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ll_features_head_number/2_head_model_systematic_experiments/"/>
    </mc:Choice>
  </mc:AlternateContent>
  <xr:revisionPtr revIDLastSave="179" documentId="11_3D6933BCD3C0D591904B0ED04B5ED87656CF7F9F" xr6:coauthVersionLast="47" xr6:coauthVersionMax="47" xr10:uidLastSave="{8FFC9132-F722-4778-A18A-911277A2AE19}"/>
  <bookViews>
    <workbookView xWindow="28680" yWindow="-5580" windowWidth="51840" windowHeight="21120" xr2:uid="{00000000-000D-0000-FFFF-FFFF00000000}"/>
  </bookViews>
  <sheets>
    <sheet name="Sheet1" sheetId="1" r:id="rId1"/>
    <sheet name="General analysis" sheetId="2" r:id="rId2"/>
    <sheet name="surge and sway" sheetId="3" r:id="rId3"/>
    <sheet name="yaw" sheetId="4" r:id="rId4"/>
  </sheet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71" i="1" l="1"/>
  <c r="BZ71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Y42" i="1"/>
  <c r="BY43" i="1"/>
  <c r="BY44" i="1"/>
  <c r="BY45" i="1"/>
  <c r="BY46" i="1"/>
  <c r="BY47" i="1"/>
  <c r="BY48" i="1"/>
  <c r="BY49" i="1"/>
  <c r="BY50" i="1"/>
  <c r="BZ42" i="1"/>
  <c r="BZ43" i="1"/>
  <c r="BZ44" i="1"/>
  <c r="BZ45" i="1"/>
  <c r="BZ46" i="1"/>
  <c r="BZ47" i="1"/>
  <c r="BZ48" i="1"/>
  <c r="BZ49" i="1"/>
  <c r="BZ50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Z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</calcChain>
</file>

<file path=xl/sharedStrings.xml><?xml version="1.0" encoding="utf-8"?>
<sst xmlns="http://schemas.openxmlformats.org/spreadsheetml/2006/main" count="1522" uniqueCount="198">
  <si>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</si>
  <si>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</si>
  <si>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</si>
  <si>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</si>
  <si>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</si>
  <si>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</si>
  <si>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</si>
  <si>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</si>
  <si>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</si>
  <si>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</si>
  <si>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</si>
  <si>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</si>
  <si>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</si>
  <si>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</si>
  <si>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</si>
  <si>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</si>
  <si>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</si>
  <si>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</si>
  <si>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</si>
  <si>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</si>
  <si>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</si>
  <si>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</si>
  <si>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</si>
  <si>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</si>
  <si>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</si>
  <si>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</si>
  <si>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</si>
  <si>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</si>
  <si>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</si>
  <si>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</si>
  <si>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</si>
  <si>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</si>
  <si>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</si>
  <si>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</si>
  <si>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</si>
  <si>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</si>
  <si>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</si>
  <si>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</si>
  <si>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</si>
  <si>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</si>
  <si>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</si>
  <si>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</si>
  <si>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</si>
  <si>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</si>
  <si>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</si>
  <si>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</si>
  <si>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</si>
  <si>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</si>
  <si>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</si>
  <si>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</si>
  <si>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</si>
  <si>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</si>
  <si>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</si>
  <si>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</si>
  <si>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</si>
  <si>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</si>
  <si>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</si>
  <si>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</si>
  <si>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</si>
  <si>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</si>
  <si>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</si>
  <si>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</si>
  <si>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</si>
  <si>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</si>
  <si>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</si>
  <si>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</si>
  <si>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</si>
  <si>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</si>
  <si>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</si>
  <si>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</si>
  <si>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</si>
  <si>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</si>
  <si>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</si>
  <si>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</si>
  <si>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</si>
  <si>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</si>
  <si>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03-04_22-46-19_multihead_spsa_serial_f5_w5_h5_effsu2_lin_r1.pkl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</si>
  <si>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</si>
  <si>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</si>
  <si>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</si>
  <si>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</si>
  <si>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</si>
  <si>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</si>
  <si>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</si>
  <si>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</si>
  <si>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</si>
  <si>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serial</t>
  </si>
  <si>
    <t>effsu2</t>
  </si>
  <si>
    <t>lin</t>
  </si>
  <si>
    <t>[[2, 3, 4, 0, 1, -1], [0, 1, 4, 2, 3, -1]]</t>
  </si>
  <si>
    <t>spsa</t>
  </si>
  <si>
    <t>[0.1, 0.001]</t>
  </si>
  <si>
    <t>[1.0, 1.0, 1.0, 1.0]</t>
  </si>
  <si>
    <t>identity</t>
  </si>
  <si>
    <t>03-04_22-46-47_multihead_spsa_serial_f5_w5_h5_effsu2_lin_r1.pkl</t>
  </si>
  <si>
    <t>Best (Lowest Val Loss)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</si>
  <si>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</si>
  <si>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</si>
  <si>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</si>
  <si>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</si>
  <si>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</si>
  <si>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</si>
  <si>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</si>
  <si>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</si>
  <si>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</si>
  <si>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</si>
  <si>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</si>
  <si>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</si>
  <si>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</si>
  <si>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</si>
  <si>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</si>
  <si>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</si>
  <si>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</si>
  <si>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</si>
  <si>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</si>
  <si>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</si>
  <si>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</si>
  <si>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</si>
  <si>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</si>
  <si>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</si>
  <si>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</si>
  <si>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</si>
  <si>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</si>
  <si>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</si>
  <si>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</si>
  <si>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</si>
  <si>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</si>
  <si>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</si>
  <si>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</si>
  <si>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</si>
  <si>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</si>
  <si>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</si>
  <si>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</si>
  <si>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</si>
  <si>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</si>
  <si>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</si>
  <si>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</si>
  <si>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</si>
  <si>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</si>
  <si>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</si>
  <si>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Etiquetas de fila</t>
  </si>
  <si>
    <t>Total general</t>
  </si>
  <si>
    <t>Promedio de Val Global Open R2</t>
  </si>
  <si>
    <t>Promedio de Val Global Closed R2</t>
  </si>
  <si>
    <t>Promedio de global open R2</t>
  </si>
  <si>
    <t>Promedio de global closed R2</t>
  </si>
  <si>
    <t>Promedio de Surge Velocity Global open R2</t>
  </si>
  <si>
    <t>Promedio de Sway Velocity Global closed R2</t>
  </si>
  <si>
    <t>Promedio de Yaw Rate Global closed R2</t>
  </si>
  <si>
    <t>Promedio de Yaw Angle Global closed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</si>
  <si>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</si>
  <si>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</si>
  <si>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</si>
  <si>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</si>
  <si>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not surge and sway</t>
  </si>
  <si>
    <t>not yaw</t>
  </si>
  <si>
    <t>2, 3, 4</t>
  </si>
  <si>
    <t>4, 2, 3</t>
  </si>
  <si>
    <t>0, 1, 4</t>
  </si>
  <si>
    <t>4, 0, 1</t>
  </si>
  <si>
    <t>03-18_18-26-31_multihead_spsa_serial_f5_w5_h5_effsu2_lin_r1.pkl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</si>
  <si>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</si>
  <si>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</si>
  <si>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03-18_18-59-38_multihead_spsa_serial_f5_w5_h5_effsu2_lin_r1.pkl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</si>
  <si>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</si>
  <si>
    <t>[[3, 4, 2, 0, 1, -1], [0, 1, 4, 2, 3, -1]]</t>
  </si>
  <si>
    <t>03-18_19-12-39_multihead_spsa_serial_f5_w5_h5_effsu2_lin_r1.pkl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</si>
  <si>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</si>
  <si>
    <t>[[3, 4, 2, 0, 1, -1], [1, 4, 0, 2, 3, -1]]</t>
  </si>
  <si>
    <t>03-18_21-19-50_multihead_spsa_serial_f5_w5_h5_effsu2_lin_r1.pkl</t>
  </si>
  <si>
    <t>03-18_21-47-59_multihead_spsa_serial_f5_w5_h5_effsu2_lin_r1.pkl</t>
  </si>
  <si>
    <t>03-18_21-59-20_multihead_spsa_serial_f5_w5_h5_effsu2_lin_r1.pkl</t>
  </si>
  <si>
    <t>03-19_10-31-05_multihead_spsa_serial_f5_w5_h5_effsu2_lin_r1.pkl</t>
  </si>
  <si>
    <t>03-19_10-31-11_multihead_spsa_serial_f5_w5_h5_effsu2_lin_r1.pkl</t>
  </si>
  <si>
    <t>03-19_10-30-42_multihead_spsa_serial_f5_w5_h5_effsu2_lin_r1.pkl</t>
  </si>
  <si>
    <t>3, 4, 2</t>
  </si>
  <si>
    <t>1, 4, 0</t>
  </si>
  <si>
    <t>Cuenta de model_id</t>
  </si>
  <si>
    <t>03-19_13-04-23_multihead_spsa_serial_f5_w5_h5_effsu2_lin_r1.pkl</t>
  </si>
  <si>
    <t>03-19_13-04-02_multihead_spsa_serial_f5_w5_h5_effsu2_lin_r1.pkl</t>
  </si>
  <si>
    <t>03-19_15-36-28_multihead_spsa_serial_f5_w5_h5_effsu2_lin_r1.pkl</t>
  </si>
  <si>
    <t>03-19_15-36-16_multihead_spsa_serial_f5_w5_h5_effsu2_lin_r1.pkl</t>
  </si>
  <si>
    <t>03-19_18-34-59_multihead_spsa_serial_f5_w5_h5_effsu2_lin_r1.pkl</t>
  </si>
  <si>
    <t>03-19_18-35-36_multihead_spsa_serial_f5_w5_h5_effsu2_lin_r1.pkl</t>
  </si>
  <si>
    <t>03-19_18-35-52_multihead_spsa_serial_f5_w5_h5_effsu2_lin_r1.pkl</t>
  </si>
  <si>
    <t>03-19_20-51-53_multihead_spsa_serial_f5_w5_h5_effsu2_lin_r1.pkl</t>
  </si>
  <si>
    <t>03-19_20-53-58_multihead_spsa_serial_f5_w5_h5_effsu2_lin_r1.pkl</t>
  </si>
  <si>
    <t>03-19_20-55-09_multihead_spsa_serial_f5_w5_h5_effsu2_lin_r1.pkl</t>
  </si>
  <si>
    <t>03-19_23-08-22_multihead_spsa_serial_f5_w5_h5_effsu2_lin_r1.pkl</t>
  </si>
  <si>
    <t>03-19_23-12-06_multihead_spsa_serial_f5_w5_h5_effsu2_lin_r1.pkl</t>
  </si>
  <si>
    <t>03-19_23-14-59_multihead_spsa_serial_f5_w5_h5_effsu2_lin_r1.pkl</t>
  </si>
  <si>
    <t>03-20_01-26-33_multihead_spsa_serial_f5_w5_h5_effsu2_lin_r1.pkl</t>
  </si>
  <si>
    <t>03-20_01-31-28_multihead_spsa_serial_f5_w5_h5_effsu2_lin_r1.pkl</t>
  </si>
  <si>
    <t>03-20_01-37-10_multihead_spsa_serial_f5_w5_h5_effsu2_lin_r1.pkl</t>
  </si>
  <si>
    <t>03-20_03-44-09_multihead_spsa_serial_f5_w5_h5_effsu2_lin_r1.pkl</t>
  </si>
  <si>
    <t>03-20_03-50-32_multihead_spsa_serial_f5_w5_h5_effsu2_lin_r1.pkl</t>
  </si>
  <si>
    <t>03-20_03-58-30_multihead_spsa_serial_f5_w5_h5_effsu2_lin_r1.pkl</t>
  </si>
  <si>
    <t>03-20_10-19-50_multihead_spsa_serial_f5_w5_h5_effsu2_lin_r1.pkl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</si>
</sst>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01.431412731479" createdVersion="8" refreshedVersion="8" minRefreshableVersion="3" recordCount="70" xr:uid="{E06ECEDB-1B4A-41B4-8171-4E04097AA4DD}">
  <cacheSource type="worksheet">
    <worksheetSource name="Tabla1"/>
  </cacheSource>
  <cacheFields count="78">
    <cacheField name="date" numFmtId="164">
      <sharedItems containsSemiMixedTypes="0" containsNonDate="0" containsDate="1" containsString="0" minDate="2026-03-04T22:46:19" maxDate="2026-03-20T10:19:50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7">
        <s v="[[2, 3, 4, 0, 1, -1], [0, 1, 4, 2, 3, -1]]"/>
        <s v="[[4, 2, 3, 0, 1, -1], [0, 1, 4, 2, 3, -1]]"/>
        <s v="[[2, 3, 4, 0, 1, -1], [4, 0, 1, 2, 3, -1]]"/>
        <s v="[[4, 2, 3, 0, 1, -1], [4, 0, 1, 2, 3, -1]]"/>
        <s v="[[2, 3, 4, 0, 1, -1], [1, 4, 0, 2, 3, -1]]"/>
        <s v="[[3, 4, 2, 0, 1, -1], [0, 1, 4, 2, 3, -1]]"/>
        <s v="[[3, 4, 2, 0, 1, -1], [1, 4, 0, 2, 3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7815856185425192E-2" maxValue="0.17949120827978421"/>
    </cacheField>
    <cacheField name="Val Global Open MSE" numFmtId="0">
      <sharedItems containsSemiMixedTypes="0" containsString="0" containsNumber="1" minValue="7.6784036815388133" maxValue="57.928199462199707"/>
    </cacheField>
    <cacheField name="Val Global Open R2" numFmtId="0">
      <sharedItems containsSemiMixedTypes="0" containsString="0" containsNumber="1" minValue="0.48175894877925618" maxValue="0.82836370625765066"/>
    </cacheField>
    <cacheField name="Val Global Closed R2" numFmtId="0">
      <sharedItems containsSemiMixedTypes="0" containsString="0" containsNumber="1" minValue="-1.1179252975170131" maxValue="0.42682083437987728"/>
    </cacheField>
    <cacheField name="step MSE" numFmtId="0">
      <sharedItems containsSemiMixedTypes="0" containsString="0" containsNumber="1" minValue="11.57812538412721" maxValue="62.436243528013669"/>
    </cacheField>
    <cacheField name="step R2" numFmtId="0">
      <sharedItems containsSemiMixedTypes="0" containsString="0" containsNumber="1" minValue="0.43792023419625559" maxValue="0.79122302403161515"/>
    </cacheField>
    <cacheField name="local MSE" numFmtId="0">
      <sharedItems containsSemiMixedTypes="0" containsString="0" containsNumber="1" minValue="11.57812538412721" maxValue="62.436243528013669"/>
    </cacheField>
    <cacheField name="global open MSE" numFmtId="0">
      <sharedItems containsSemiMixedTypes="0" containsString="0" containsNumber="1" minValue="11.57812538412721" maxValue="62.436243528013669"/>
    </cacheField>
    <cacheField name="global open R2" numFmtId="0">
      <sharedItems containsSemiMixedTypes="0" containsString="0" containsNumber="1" minValue="0.43792023419625559" maxValue="0.79122302403161515"/>
    </cacheField>
    <cacheField name="global closed MSE" numFmtId="0">
      <sharedItems containsSemiMixedTypes="0" containsString="0" containsNumber="1" minValue="68.461349622204096" maxValue="215.4704828537071"/>
    </cacheField>
    <cacheField name="global closed R2" numFmtId="0">
      <sharedItems containsSemiMixedTypes="0" containsString="0" containsNumber="1" minValue="-0.93624420040034595" maxValue="0.40976736400607838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277944209160451E-2" maxValue="0.1143734282198928"/>
    </cacheField>
    <cacheField name="Surge Velocity Step R2" numFmtId="0">
      <sharedItems containsSemiMixedTypes="0" containsString="0" containsNumber="1" minValue="0.1695010310232998" maxValue="0.68936593837014493"/>
    </cacheField>
    <cacheField name="Surge Velocity Local MSE" numFmtId="0">
      <sharedItems containsSemiMixedTypes="0" containsString="0" containsNumber="1" minValue="4.277944209160451E-2" maxValue="0.1143734282198928"/>
    </cacheField>
    <cacheField name="Surge Velocity Global open MSE" numFmtId="0">
      <sharedItems containsSemiMixedTypes="0" containsString="0" containsNumber="1" minValue="4.277944209160451E-2" maxValue="0.1143734282198928"/>
    </cacheField>
    <cacheField name="Surge Velocity Global open R2" numFmtId="0">
      <sharedItems containsSemiMixedTypes="0" containsString="0" containsNumber="1" minValue="0.1695010310232998" maxValue="0.68936593837014493"/>
    </cacheField>
    <cacheField name="Surge Velocity Global closed MSE" numFmtId="0">
      <sharedItems containsSemiMixedTypes="0" containsString="0" containsNumber="1" minValue="6.8241058017643394E-2" maxValue="0.29036554972554968"/>
    </cacheField>
    <cacheField name="Surge Velocity Global closed R2" numFmtId="0">
      <sharedItems containsSemiMixedTypes="0" containsString="0" containsNumber="1" minValue="-1.1084293216234931" maxValue="0.50448168593345732"/>
    </cacheField>
    <cacheField name="Sway Velocity Step MSE" numFmtId="0">
      <sharedItems containsSemiMixedTypes="0" containsString="0" containsNumber="1" minValue="3.8543309120436187E-2" maxValue="0.12706082673913319"/>
    </cacheField>
    <cacheField name="Sway Velocity Step R2" numFmtId="0">
      <sharedItems containsSemiMixedTypes="0" containsString="0" containsNumber="1" minValue="0.5597613732557758" maxValue="0.86645566605515456"/>
    </cacheField>
    <cacheField name="Sway Velocity Local MSE" numFmtId="0">
      <sharedItems containsSemiMixedTypes="0" containsString="0" containsNumber="1" minValue="3.8543309120436187E-2" maxValue="0.12706082673913319"/>
    </cacheField>
    <cacheField name="Sway Velocity Global open MSE" numFmtId="0">
      <sharedItems containsSemiMixedTypes="0" containsString="0" containsNumber="1" minValue="3.8543309120436187E-2" maxValue="0.12706082673913319"/>
    </cacheField>
    <cacheField name="Sway Velocity Global open R2" numFmtId="0">
      <sharedItems containsSemiMixedTypes="0" containsString="0" containsNumber="1" minValue="0.5597613732557758" maxValue="0.86645566605515456"/>
    </cacheField>
    <cacheField name="Sway Velocity Global closed MSE" numFmtId="0">
      <sharedItems containsSemiMixedTypes="0" containsString="0" containsNumber="1" minValue="7.9615167165435263E-2" maxValue="0.71579975277118024"/>
    </cacheField>
    <cacheField name="Sway Velocity Global closed R2" numFmtId="0">
      <sharedItems containsSemiMixedTypes="0" containsString="0" containsNumber="1" minValue="-1.4800932614015929" maxValue="0.72415045013926238"/>
    </cacheField>
    <cacheField name="Yaw Rate Step MSE" numFmtId="0">
      <sharedItems containsSemiMixedTypes="0" containsString="0" containsNumber="1" minValue="2.9004466403838979E-2" maxValue="0.14693644798744609"/>
    </cacheField>
    <cacheField name="Yaw Rate Step R2" numFmtId="0">
      <sharedItems containsSemiMixedTypes="0" containsString="0" containsNumber="1" minValue="0.41009663760879289" maxValue="0.88355624155655899"/>
    </cacheField>
    <cacheField name="Yaw Rate Local MSE" numFmtId="0">
      <sharedItems containsSemiMixedTypes="0" containsString="0" containsNumber="1" minValue="2.9004466403838979E-2" maxValue="0.14693644798744609"/>
    </cacheField>
    <cacheField name="Yaw Rate Global open MSE" numFmtId="0">
      <sharedItems containsSemiMixedTypes="0" containsString="0" containsNumber="1" minValue="2.9004466403838979E-2" maxValue="0.14693644798744609"/>
    </cacheField>
    <cacheField name="Yaw Rate Global open R2" numFmtId="0">
      <sharedItems containsSemiMixedTypes="0" containsString="0" containsNumber="1" minValue="0.41009663760879289" maxValue="0.88355624155655899"/>
    </cacheField>
    <cacheField name="Yaw Rate Global closed MSE" numFmtId="0">
      <sharedItems containsSemiMixedTypes="0" containsString="0" containsNumber="1" minValue="7.4936483981017099E-2" maxValue="0.514572928687139"/>
    </cacheField>
    <cacheField name="Yaw Rate Global closed R2" numFmtId="0">
      <sharedItems containsSemiMixedTypes="0" containsString="0" containsNumber="1" minValue="-1.0658475482813401" maxValue="0.69915371936884163"/>
    </cacheField>
    <cacheField name="Yaw Angle Step MSE" numFmtId="0">
      <sharedItems containsSemiMixedTypes="0" containsString="0" containsNumber="1" minValue="46.126629759905157" maxValue="249.45744044973199"/>
    </cacheField>
    <cacheField name="Yaw Angle Step R2" numFmtId="0">
      <sharedItems containsSemiMixedTypes="0" containsString="0" containsNumber="1" minValue="0.2900001502129248" maxValue="0.8687154805177435"/>
    </cacheField>
    <cacheField name="Yaw Angle Local MSE" numFmtId="0">
      <sharedItems containsSemiMixedTypes="0" containsString="0" containsNumber="1" minValue="46.126629759905157" maxValue="249.45744044973199"/>
    </cacheField>
    <cacheField name="Yaw Angle Global open MSE" numFmtId="0">
      <sharedItems containsSemiMixedTypes="0" containsString="0" containsNumber="1" minValue="46.126629759905157" maxValue="249.45744044973199"/>
    </cacheField>
    <cacheField name="Yaw Angle Global open R2" numFmtId="0">
      <sharedItems containsSemiMixedTypes="0" containsString="0" containsNumber="1" minValue="0.2900001502129248" maxValue="0.8687154805177435"/>
    </cacheField>
    <cacheField name="Yaw Angle Global closed MSE" numFmtId="0">
      <sharedItems containsSemiMixedTypes="0" containsString="0" containsNumber="1" minValue="273.47465966402473" maxValue="861.15809052738371"/>
    </cacheField>
    <cacheField name="Yaw Angle Global closed R2" numFmtId="0">
      <sharedItems containsSemiMixedTypes="0" containsString="0" containsNumber="1" minValue="-1.4510077302768369" maxValue="0.22164291058235441"/>
    </cacheField>
    <cacheField name="not surge and sway" numFmtId="0">
      <sharedItems count="3">
        <s v="2, 3, 4"/>
        <s v="4, 2, 3"/>
        <s v="3, 4, 2"/>
      </sharedItems>
    </cacheField>
    <cacheField name="not yaw" numFmtId="0">
      <sharedItems count="3">
        <s v="0, 1, 4"/>
        <s v="4, 0, 1"/>
        <s v="1, 4, 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d v="2026-03-04T22:46:19"/>
    <s v="03-04_22-46-1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3036880241652149"/>
    <n v="47.116838815873983"/>
    <n v="0.64370281493692949"/>
    <n v="-0.40190810074334082"/>
    <n v="59.478805314364969"/>
    <n v="0.5545847760440209"/>
    <n v="59.478805314364969"/>
    <n v="59.478805314364969"/>
    <n v="0.5545847760440209"/>
    <n v="106.6139957352587"/>
    <n v="-0.35841065608270151"/>
    <n v="0.8"/>
    <s v="identity"/>
    <n v="6.7167594179163084E-2"/>
    <n v="0.51227642134505713"/>
    <n v="6.7167594179163084E-2"/>
    <n v="6.7167594179163084E-2"/>
    <n v="0.51227642134505713"/>
    <n v="0.17407077153769929"/>
    <n v="-0.26397886765357881"/>
    <n v="6.0137664803459508E-2"/>
    <n v="0.79163583577938801"/>
    <n v="6.0137664803459508E-2"/>
    <n v="6.0137664803459508E-2"/>
    <n v="0.79163583577938801"/>
    <n v="0.44535657711572152"/>
    <n v="-0.54306541955269916"/>
    <n v="0.1018951601669307"/>
    <n v="0.59092316156302827"/>
    <n v="0.1018951601669307"/>
    <n v="0.1018951601669307"/>
    <n v="0.59092316156302827"/>
    <n v="0.35260461718670422"/>
    <n v="-0.41559600849254541"/>
    <n v="237.68602083831109"/>
    <n v="0.32350368548860908"/>
    <n v="237.68602083831109"/>
    <n v="237.68602083831109"/>
    <n v="0.32350368548860908"/>
    <n v="425.48395097519301"/>
    <n v="-0.21100232863197749"/>
    <x v="0"/>
    <x v="0"/>
  </r>
  <r>
    <d v="2026-03-04T22:46:47"/>
    <s v="03-04_22-46-4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3863626364934881"/>
    <n v="45.689719160016359"/>
    <n v="0.63966462856435968"/>
    <n v="0.37705225913316692"/>
    <n v="58.545445956906299"/>
    <n v="0.56220307252824719"/>
    <n v="58.545445956906299"/>
    <n v="58.545445956906299"/>
    <n v="0.56220307252824719"/>
    <n v="68.972244564366946"/>
    <n v="0.39341284445396341"/>
    <n v="0.8"/>
    <s v="identity"/>
    <n v="7.1840805082684256E-2"/>
    <n v="0.47834286791756642"/>
    <n v="7.1840805082684256E-2"/>
    <n v="7.1840805082684256E-2"/>
    <n v="0.47834286791756642"/>
    <n v="9.5536522054678982E-2"/>
    <n v="0.3062813251213653"/>
    <n v="7.7276941834006352E-2"/>
    <n v="0.73225190150979547"/>
    <n v="7.7276941834006352E-2"/>
    <n v="7.7276941834006352E-2"/>
    <n v="0.73225190150979547"/>
    <n v="0.14771639985312049"/>
    <n v="0.48819422407465007"/>
    <n v="7.3702949046989444E-2"/>
    <n v="0.70410597195951341"/>
    <n v="7.3702949046989444E-2"/>
    <n v="7.3702949046989444E-2"/>
    <n v="0.70410597195951341"/>
    <n v="0.10875012858178271"/>
    <n v="0.56340263161696469"/>
    <n v="233.95896313166199"/>
    <n v="0.33411154872611298"/>
    <n v="233.95896313166199"/>
    <n v="233.95896313166199"/>
    <n v="0.33411154872611298"/>
    <n v="275.53697520697841"/>
    <n v="0.21577319700287201"/>
    <x v="1"/>
    <x v="0"/>
  </r>
  <r>
    <d v="2026-03-04T22:46:21"/>
    <s v="03-04_22-46-2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000311011679145"/>
    <n v="26.304681123351891"/>
    <n v="0.7561415880545026"/>
    <n v="0.1238666935621993"/>
    <n v="36.687961384700877"/>
    <n v="0.66402842287376718"/>
    <n v="36.687961384700877"/>
    <n v="36.687961384700877"/>
    <n v="0.66402842287376718"/>
    <n v="136.08610818630589"/>
    <n v="0.17281632547275849"/>
    <n v="0.8"/>
    <s v="identity"/>
    <n v="6.4839648523594612E-2"/>
    <n v="0.5291803167416903"/>
    <n v="6.4839648523594612E-2"/>
    <n v="6.4839648523594612E-2"/>
    <n v="0.5291803167416903"/>
    <n v="0.15918648211250469"/>
    <n v="-0.15589968165760529"/>
    <n v="5.9409927450328831E-2"/>
    <n v="0.79415729027637849"/>
    <n v="5.9409927450328831E-2"/>
    <n v="5.9409927450328831E-2"/>
    <n v="0.79415729027637849"/>
    <n v="7.9615167165435263E-2"/>
    <n v="0.72415045013926238"/>
    <n v="6.228964373418986E-2"/>
    <n v="0.74992678274019275"/>
    <n v="6.228964373418986E-2"/>
    <n v="6.228964373418986E-2"/>
    <n v="0.74992678274019275"/>
    <n v="8.1849009079416959E-2"/>
    <n v="0.67140211754362211"/>
    <n v="146.5653063190951"/>
    <n v="0.5828493017368086"/>
    <n v="146.5653063190951"/>
    <n v="146.5653063190951"/>
    <n v="0.5828493017368086"/>
    <n v="544.02378208686548"/>
    <n v="-0.54838758413423783"/>
    <x v="0"/>
    <x v="1"/>
  </r>
  <r>
    <d v="2026-03-04T22:46:26"/>
    <s v="03-04_22-46-2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16632670975588"/>
    <n v="26.539137013154939"/>
    <n v="0.70659565528462032"/>
    <n v="0.2355586676480162"/>
    <n v="36.628808502342807"/>
    <n v="0.64326651773568844"/>
    <n v="36.628808502342807"/>
    <n v="36.628808502342807"/>
    <n v="0.64326651773568844"/>
    <n v="115.064191642775"/>
    <n v="0.27578097960509429"/>
    <n v="0.8"/>
    <s v="identity"/>
    <n v="6.8891099824538282E-2"/>
    <n v="0.49976154193829758"/>
    <n v="6.8891099824538282E-2"/>
    <n v="6.8891099824538282E-2"/>
    <n v="0.49976154193829758"/>
    <n v="0.1213835836350156"/>
    <n v="0.1185982388692276"/>
    <n v="7.8248206694832886E-2"/>
    <n v="0.72888667621173364"/>
    <n v="7.8248206694832886E-2"/>
    <n v="7.8248206694832886E-2"/>
    <n v="0.72888667621173364"/>
    <n v="0.1170484992485025"/>
    <n v="0.59445194955777247"/>
    <n v="5.9571891101947973E-2"/>
    <n v="0.76083769992830941"/>
    <n v="5.9571891101947973E-2"/>
    <n v="5.9571891101947973E-2"/>
    <n v="0.76083769992830941"/>
    <n v="7.4936483981017099E-2"/>
    <n v="0.69915371936884163"/>
    <n v="146.30852281174961"/>
    <n v="0.58358015286441756"/>
    <n v="146.30852281174961"/>
    <n v="146.30852281174961"/>
    <n v="0.58358015286441756"/>
    <n v="459.94339800423541"/>
    <n v="-0.30907998937545789"/>
    <x v="1"/>
    <x v="1"/>
  </r>
  <r>
    <d v="2026-03-05T00:51:20"/>
    <s v="03-05_00-51-2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166441566342148"/>
    <n v="41.987960081235727"/>
    <n v="0.67226077927950367"/>
    <n v="0.23149049898975599"/>
    <n v="53.066289776125927"/>
    <n v="0.59066420873137793"/>
    <n v="53.066289776125927"/>
    <n v="53.066289776125927"/>
    <n v="0.59066420873137793"/>
    <n v="102.5255399417122"/>
    <n v="0.19623905162079461"/>
    <n v="0.8"/>
    <s v="identity"/>
    <n v="7.1162614638002566E-2"/>
    <n v="0.48326740741807972"/>
    <n v="7.1162614638002566E-2"/>
    <n v="7.1162614638002566E-2"/>
    <n v="0.48326740741807972"/>
    <n v="0.1542825035836192"/>
    <n v="-0.1202904568969987"/>
    <n v="7.7631841818454672E-2"/>
    <n v="0.73102224886393441"/>
    <n v="7.7631841818454672E-2"/>
    <n v="7.7631841818454672E-2"/>
    <n v="0.73102224886393441"/>
    <n v="0.13227515570290219"/>
    <n v="0.54169483708318145"/>
    <n v="6.1795188470177738E-2"/>
    <n v="0.75191186422805956"/>
    <n v="6.1795188470177738E-2"/>
    <n v="6.1795188470177738E-2"/>
    <n v="0.75191186422805956"/>
    <n v="0.1171634507636883"/>
    <n v="0.52962580420644578"/>
    <n v="212.0545694595769"/>
    <n v="0.39645531441544041"/>
    <n v="212.0545694595769"/>
    <n v="212.0545694595769"/>
    <n v="0.39645531441544041"/>
    <n v="409.69843865679991"/>
    <n v="-0.16607397790944359"/>
    <x v="0"/>
    <x v="1"/>
  </r>
  <r>
    <d v="2026-03-05T00:50:37"/>
    <s v="03-05_00-50-3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5162704653864301"/>
    <n v="54.147460907631647"/>
    <n v="0.5533603493005268"/>
    <n v="-0.2036435450606387"/>
    <n v="62.436243528013669"/>
    <n v="0.48593907682381332"/>
    <n v="62.436243528013669"/>
    <n v="62.436243528013669"/>
    <n v="0.48593907682381332"/>
    <n v="92.195484792801281"/>
    <n v="-0.18490493821964471"/>
    <n v="0.8"/>
    <s v="identity"/>
    <n v="7.1110787294698261E-2"/>
    <n v="0.48364374094107498"/>
    <n v="7.1110787294698261E-2"/>
    <n v="7.1110787294698261E-2"/>
    <n v="0.48364374094107498"/>
    <n v="0.15765024129379121"/>
    <n v="-0.14474458701806611"/>
    <n v="7.0889247537044786E-2"/>
    <n v="0.75438389795217486"/>
    <n v="7.0889247537044786E-2"/>
    <n v="7.0889247537044786E-2"/>
    <n v="0.75438389795217486"/>
    <n v="0.38001700225555379"/>
    <n v="-0.31667774802000381"/>
    <n v="0.14553362749053991"/>
    <n v="0.41572851818907602"/>
    <n v="0.14553362749053991"/>
    <n v="0.14553362749053991"/>
    <n v="0.41572851818907602"/>
    <n v="0.30661992148949779"/>
    <n v="-0.23098200031510441"/>
    <n v="249.45744044973199"/>
    <n v="0.2900001502129248"/>
    <n v="249.45744044973199"/>
    <n v="249.45744044973199"/>
    <n v="0.2900001502129248"/>
    <n v="367.93765200616599"/>
    <n v="-4.7215417525413361E-2"/>
    <x v="0"/>
    <x v="0"/>
  </r>
  <r>
    <d v="2026-03-05T00:51:19"/>
    <s v="03-05_00-51-1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7949120827978421"/>
    <n v="52.508202694670722"/>
    <n v="0.48175894877925618"/>
    <n v="0.11535223261663551"/>
    <n v="61.434507151507439"/>
    <n v="0.43792023419625559"/>
    <n v="61.434507151507439"/>
    <n v="61.434507151507439"/>
    <n v="0.43792023419625559"/>
    <n v="77.195396952338442"/>
    <n v="0.1126927867143081"/>
    <n v="0.8"/>
    <s v="identity"/>
    <n v="7.181961299912093E-2"/>
    <n v="0.47849674984472151"/>
    <n v="7.181961299912093E-2"/>
    <n v="7.181961299912093E-2"/>
    <n v="0.47849674984472151"/>
    <n v="0.15971516684137721"/>
    <n v="-0.15973861635665251"/>
    <n v="0.12706082673913319"/>
    <n v="0.5597613732557758"/>
    <n v="0.12706082673913319"/>
    <n v="0.12706082673913319"/>
    <n v="0.5597613732557758"/>
    <n v="8.5725335432246169E-2"/>
    <n v="0.70298002211678745"/>
    <n v="0.1464988260083471"/>
    <n v="0.41185355143420982"/>
    <n v="0.1464988260083471"/>
    <n v="0.1464988260083471"/>
    <n v="0.41185355143420982"/>
    <n v="0.3026847394550683"/>
    <n v="-0.21518348915244309"/>
    <n v="245.3926493402839"/>
    <n v="0.30156926225031672"/>
    <n v="245.3926493402839"/>
    <n v="245.3926493402839"/>
    <n v="0.30156926225031672"/>
    <n v="308.23346256762488"/>
    <n v="0.12271323024953749"/>
    <x v="1"/>
    <x v="0"/>
  </r>
  <r>
    <d v="2026-03-05T00:51:32"/>
    <s v="03-05_00-51-3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730641279274879"/>
    <n v="30.002362653205878"/>
    <n v="0.65699629990715813"/>
    <n v="0.20488746304788849"/>
    <n v="37.988751256560313"/>
    <n v="0.60518853756264301"/>
    <n v="37.988751256560313"/>
    <n v="37.988751256560313"/>
    <n v="0.60518853756264301"/>
    <n v="110.0202736750535"/>
    <n v="0.15927401736397859"/>
    <n v="0.8"/>
    <s v="identity"/>
    <n v="6.834826224842476E-2"/>
    <n v="0.50370324460735927"/>
    <n v="6.834826224842476E-2"/>
    <n v="6.834826224842476E-2"/>
    <n v="0.50370324460735927"/>
    <n v="0.16543082954536739"/>
    <n v="-0.2012417177025021"/>
    <n v="0.1210250734953008"/>
    <n v="0.58067396911734059"/>
    <n v="0.1210250734953008"/>
    <n v="0.1210250734953008"/>
    <n v="0.58067396911734059"/>
    <n v="0.11303051294777131"/>
    <n v="0.60837341392021249"/>
    <n v="5.7746935471008468E-2"/>
    <n v="0.76816431954958919"/>
    <n v="5.7746935471008468E-2"/>
    <n v="5.7746935471008468E-2"/>
    <n v="0.76816431954958919"/>
    <n v="0.12918763563048569"/>
    <n v="0.48135250523883172"/>
    <n v="151.7078847550261"/>
    <n v="0.56821261697628733"/>
    <n v="151.7078847550261"/>
    <n v="151.7078847550261"/>
    <n v="0.56821261697628733"/>
    <n v="439.67344572209009"/>
    <n v="-0.25138813200063481"/>
    <x v="1"/>
    <x v="1"/>
  </r>
  <r>
    <d v="2026-03-05T02:56:09"/>
    <s v="03-05_02-56-0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9.0191414371629183E-2"/>
    <n v="31.441296412566441"/>
    <n v="0.75325142120816269"/>
    <n v="0.17696232170797119"/>
    <n v="40.628742892944388"/>
    <n v="0.67413829877721687"/>
    <n v="40.628742892944388"/>
    <n v="40.628742892944388"/>
    <n v="0.67413829877721687"/>
    <n v="97.922561106888679"/>
    <n v="-7.8237956102314654E-2"/>
    <n v="0.8"/>
    <s v="identity"/>
    <n v="6.847945537992968E-2"/>
    <n v="0.50275061284535438"/>
    <n v="6.847945537992968E-2"/>
    <n v="6.847945537992968E-2"/>
    <n v="0.50275061284535438"/>
    <n v="0.23006545331860731"/>
    <n v="-0.67057265618473538"/>
    <n v="6.0133907259283352E-2"/>
    <n v="0.79164885486741454"/>
    <n v="6.0133907259283352E-2"/>
    <n v="6.0133907259283352E-2"/>
    <n v="0.79164885486741454"/>
    <n v="0.2274862361152373"/>
    <n v="0.21180877882844801"/>
    <n v="3.3816442214977822E-2"/>
    <n v="0.86423768071195162"/>
    <n v="3.3816442214977822E-2"/>
    <n v="3.3816442214977822E-2"/>
    <n v="0.86423768071195162"/>
    <n v="0.1846213195662747"/>
    <n v="0.25880379801646008"/>
    <n v="162.35254176692351"/>
    <n v="0.53791604668414938"/>
    <n v="162.35254176692351"/>
    <n v="162.35254176692351"/>
    <n v="0.53791604668414938"/>
    <n v="391.04807141855451"/>
    <n v="-0.11299174506942419"/>
    <x v="0"/>
    <x v="1"/>
  </r>
  <r>
    <d v="2026-03-05T02:57:27"/>
    <s v="03-05_02-57-2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0308662025560909"/>
    <n v="35.865919390894987"/>
    <n v="0.69277298170716162"/>
    <n v="-0.55589251369290293"/>
    <n v="46.291590122168309"/>
    <n v="0.59150981007235359"/>
    <n v="46.291590122168309"/>
    <n v="46.291590122168309"/>
    <n v="0.59150981007235359"/>
    <n v="94.690149366851486"/>
    <n v="-0.51776275757081591"/>
    <n v="0.8"/>
    <s v="identity"/>
    <n v="6.5802960676172667E-2"/>
    <n v="0.52218542499130338"/>
    <n v="6.5802960676172667E-2"/>
    <n v="6.5802960676172667E-2"/>
    <n v="0.52218542499130338"/>
    <n v="0.18293853595466961"/>
    <n v="-0.32837030297247888"/>
    <n v="5.9023278003400279E-2"/>
    <n v="0.79549694802861959"/>
    <n v="5.9023278003400279E-2"/>
    <n v="5.9023278003400279E-2"/>
    <n v="0.79549694802861959"/>
    <n v="0.54880154056254837"/>
    <n v="-0.90148012391265153"/>
    <n v="0.10593208346287961"/>
    <n v="0.57471619141632169"/>
    <n v="0.10593208346287961"/>
    <n v="0.10593208346287961"/>
    <n v="0.57471619141632169"/>
    <n v="0.44001379090620107"/>
    <n v="-0.76651619328817744"/>
    <n v="184.93560216653009"/>
    <n v="0.47364067585317149"/>
    <n v="184.93560216653009"/>
    <n v="184.93560216653009"/>
    <n v="0.47364067585317149"/>
    <n v="377.58884359998308"/>
    <n v="-7.4684410109970845E-2"/>
    <x v="0"/>
    <x v="0"/>
  </r>
  <r>
    <d v="2026-03-05T02:58:22"/>
    <s v="03-05_02-58-2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182981262038835"/>
    <n v="33.441807163224667"/>
    <n v="0.64206688541010859"/>
    <n v="2.8639067775647731E-2"/>
    <n v="43.505063577687821"/>
    <n v="0.56246114748123366"/>
    <n v="43.505063577687821"/>
    <n v="43.505063577687821"/>
    <n v="0.56246114748123366"/>
    <n v="92.263172266996605"/>
    <n v="-0.14492252517358331"/>
    <n v="0.8"/>
    <s v="identity"/>
    <n v="7.0403848453419779E-2"/>
    <n v="0.48877703097136582"/>
    <n v="7.0403848453419779E-2"/>
    <n v="7.0403848453419779E-2"/>
    <n v="0.48877703097136582"/>
    <n v="7.8741882438792626E-2"/>
    <n v="0.42823212350534617"/>
    <n v="9.9140967189064733E-2"/>
    <n v="0.65649772341701829"/>
    <n v="9.9140967189064733E-2"/>
    <n v="9.9140967189064733E-2"/>
    <n v="0.65649772341701829"/>
    <n v="0.43694620004603429"/>
    <n v="-0.51392525931147981"/>
    <n v="9.9859577244057002E-2"/>
    <n v="0.59909538313960997"/>
    <n v="9.9859577244057002E-2"/>
    <n v="9.9859577244057002E-2"/>
    <n v="0.59909538313960997"/>
    <n v="0.36020294607061448"/>
    <n v="-0.44610089559554589"/>
    <n v="173.75084991786511"/>
    <n v="0.50547445239694222"/>
    <n v="173.75084991786511"/>
    <n v="173.75084991786511"/>
    <n v="0.50547445239694222"/>
    <n v="368.17679803942929"/>
    <n v="-4.7896069292656662E-2"/>
    <x v="1"/>
    <x v="0"/>
  </r>
  <r>
    <d v="2026-03-05T02:58:30"/>
    <s v="03-05_02-58-3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60849113696996"/>
    <n v="30.822169426879949"/>
    <n v="0.67424860703253497"/>
    <n v="0.1160288170304954"/>
    <n v="38.55403401729864"/>
    <n v="0.62795185730680858"/>
    <n v="38.55403401729864"/>
    <n v="38.55403401729864"/>
    <n v="0.62795185730680858"/>
    <n v="103.753114538845"/>
    <n v="8.9448243322019477E-2"/>
    <n v="0.8"/>
    <s v="identity"/>
    <n v="7.3172537715077923E-2"/>
    <n v="0.46867276713131401"/>
    <n v="7.3172537715077923E-2"/>
    <n v="7.3172537715077923E-2"/>
    <n v="0.46867276713131401"/>
    <n v="0.146909344847416"/>
    <n v="-6.675179128363995E-2"/>
    <n v="9.9484579348473698E-2"/>
    <n v="0.65530718067404226"/>
    <n v="9.9484579348473698E-2"/>
    <n v="9.9484579348473698E-2"/>
    <n v="0.65530718067404226"/>
    <n v="0.1512927899757506"/>
    <n v="0.47580279615233079"/>
    <n v="4.3306246029904953E-2"/>
    <n v="0.82613912003804235"/>
    <n v="4.3306246029904953E-2"/>
    <n v="4.3306246029904953E-2"/>
    <n v="0.82613912003804235"/>
    <n v="0.21708460238771951"/>
    <n v="0.1284739856865533"/>
    <n v="154.0001727061013"/>
    <n v="0.5616883613838386"/>
    <n v="154.0001727061013"/>
    <n v="154.0001727061013"/>
    <n v="0.5616883613838386"/>
    <n v="414.49717141816973"/>
    <n v="-0.179732017267173"/>
    <x v="1"/>
    <x v="1"/>
  </r>
  <r>
    <d v="2026-03-05T05:01:01"/>
    <s v="03-05_05-01-0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0369236206885819"/>
    <n v="24.745515390585371"/>
    <n v="0.74327974889464765"/>
    <n v="0.17885471403698741"/>
    <n v="33.619583535592483"/>
    <n v="0.68153562814181723"/>
    <n v="33.619583535592483"/>
    <n v="33.619583535592483"/>
    <n v="0.68153562814181723"/>
    <n v="119.11317423839191"/>
    <n v="0.24823214350317441"/>
    <n v="0.8"/>
    <s v="identity"/>
    <n v="7.0819697857478076E-2"/>
    <n v="0.48575742662186588"/>
    <n v="7.0819697857478076E-2"/>
    <n v="7.0819697857478076E-2"/>
    <n v="0.48575742662186588"/>
    <n v="0.12779623859027289"/>
    <n v="7.2034072597098375E-2"/>
    <n v="6.9866828043748275E-2"/>
    <n v="0.75792636312603601"/>
    <n v="6.9866828043748275E-2"/>
    <n v="6.9866828043748275E-2"/>
    <n v="0.75792636312603601"/>
    <n v="0.10933063276688661"/>
    <n v="0.62119270851912922"/>
    <n v="3.3698436274452112E-2"/>
    <n v="0.86471143723765853"/>
    <n v="3.3698436274452112E-2"/>
    <n v="3.3698436274452112E-2"/>
    <n v="0.86471143723765853"/>
    <n v="8.5971763728226541E-2"/>
    <n v="0.65485056166380029"/>
    <n v="134.303949180194"/>
    <n v="0.61774728558171099"/>
    <n v="134.303949180194"/>
    <n v="134.303949180194"/>
    <n v="0.61774728558171099"/>
    <n v="476.12959831848451"/>
    <n v="-0.35514876876733231"/>
    <x v="0"/>
    <x v="1"/>
  </r>
  <r>
    <d v="2026-03-05T05:05:07"/>
    <s v="03-05_05-05-0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38501126483072"/>
    <n v="15.128658788962211"/>
    <n v="0.69173028331045328"/>
    <n v="0.1011934201897827"/>
    <n v="23.760355984953041"/>
    <n v="0.62332342534833662"/>
    <n v="23.760355984953041"/>
    <n v="23.760355984953041"/>
    <n v="0.62332342534833662"/>
    <n v="111.2713762171807"/>
    <n v="0.1221164526129999"/>
    <n v="0.8"/>
    <s v="identity"/>
    <n v="8.6047510210443309E-2"/>
    <n v="0.375183820009376"/>
    <n v="8.6047510210443309E-2"/>
    <n v="8.6047510210443309E-2"/>
    <n v="0.375183820009376"/>
    <n v="0.12529244561597819"/>
    <n v="9.0214846890975364E-2"/>
    <n v="7.9565111779970346E-2"/>
    <n v="0.72432388135896841"/>
    <n v="7.9565111779970346E-2"/>
    <n v="7.9565111779970346E-2"/>
    <n v="0.72432388135896841"/>
    <n v="0.16773661222285921"/>
    <n v="0.41882846417072078"/>
    <n v="8.3797191302685453E-2"/>
    <n v="0.66358078213094729"/>
    <n v="8.3797191302685453E-2"/>
    <n v="8.3797191302685453E-2"/>
    <n v="0.66358078213094729"/>
    <n v="0.188098272298448"/>
    <n v="0.24484493256355669"/>
    <n v="94.792014126519405"/>
    <n v="0.73020521789405146"/>
    <n v="94.792014126519405"/>
    <n v="94.792014126519405"/>
    <n v="0.73020521789405146"/>
    <n v="444.60437753858452"/>
    <n v="-0.26542243317325021"/>
    <x v="1"/>
    <x v="0"/>
  </r>
  <r>
    <d v="2026-03-05T05:04:22"/>
    <s v="03-05_05-04-2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026492561201985"/>
    <n v="15.304057603322811"/>
    <n v="0.75145112109002388"/>
    <n v="-0.60852759913690102"/>
    <n v="23.771743642195158"/>
    <n v="0.668091905392726"/>
    <n v="23.771743642195158"/>
    <n v="23.771743642195158"/>
    <n v="0.668091905392726"/>
    <n v="138.0397413004267"/>
    <n v="-0.60146042590321436"/>
    <n v="0.8"/>
    <s v="identity"/>
    <n v="7.1654291792657338E-2"/>
    <n v="0.47969719555711221"/>
    <n v="7.1654291792657338E-2"/>
    <n v="7.1654291792657338E-2"/>
    <n v="0.47969719555711221"/>
    <n v="0.14218965911678411"/>
    <n v="-3.2480770521301272E-2"/>
    <n v="6.2754685893593246E-2"/>
    <n v="0.78256841665070143"/>
    <n v="6.2754685893593246E-2"/>
    <n v="6.2754685893593246E-2"/>
    <n v="0.78256841665070143"/>
    <n v="0.52114693847391591"/>
    <n v="-0.80566283420106277"/>
    <n v="7.9675771768587866E-2"/>
    <n v="0.68012697794749988"/>
    <n v="7.9675771768587866E-2"/>
    <n v="7.9675771768587866E-2"/>
    <n v="0.68012697794749988"/>
    <n v="0.49803719905625138"/>
    <n v="-0.99946182409610618"/>
    <n v="94.872889819326019"/>
    <n v="0.72997503141558595"/>
    <n v="94.872889819326019"/>
    <n v="94.872889819326019"/>
    <n v="0.72997503141558595"/>
    <n v="550.99759140505876"/>
    <n v="-0.56823627479439365"/>
    <x v="0"/>
    <x v="0"/>
  </r>
  <r>
    <d v="2026-03-05T05:05:50"/>
    <s v="03-05_05-05-5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03598125976082"/>
    <n v="21.80553665790891"/>
    <n v="0.70962665087250043"/>
    <n v="0.22180931857203071"/>
    <n v="30.546990754320731"/>
    <n v="0.63694433419546592"/>
    <n v="30.546990754320731"/>
    <n v="30.546990754320731"/>
    <n v="0.63694433419546592"/>
    <n v="119.03305469246629"/>
    <n v="0.28004382909674641"/>
    <n v="0.8"/>
    <s v="identity"/>
    <n v="8.1358414123435849E-2"/>
    <n v="0.40923272040786068"/>
    <n v="8.1358414123435849E-2"/>
    <n v="8.1358414123435849E-2"/>
    <n v="0.40923272040786068"/>
    <n v="9.3293404022150972E-2"/>
    <n v="0.32256926229612548"/>
    <n v="8.2828204282700005E-2"/>
    <n v="0.7130179627748684"/>
    <n v="8.2828204282700005E-2"/>
    <n v="8.2828204282700005E-2"/>
    <n v="0.7130179627748684"/>
    <n v="0.13075165100171751"/>
    <n v="0.54697345547958898"/>
    <n v="5.6625465818916899E-2"/>
    <n v="0.77266666547974971"/>
    <n v="5.6625465818916899E-2"/>
    <n v="5.6625465818916899E-2"/>
    <n v="0.77266666547974971"/>
    <n v="9.8420946493697939E-2"/>
    <n v="0.60487103056065505"/>
    <n v="121.96715093305779"/>
    <n v="0.65285998811938195"/>
    <n v="121.96715093305779"/>
    <n v="121.96715093305779"/>
    <n v="0.65285998811938195"/>
    <n v="475.80975276834891"/>
    <n v="-0.35423843194938881"/>
    <x v="1"/>
    <x v="1"/>
  </r>
  <r>
    <d v="2026-03-05T07:05:13"/>
    <s v="03-05_07-05-1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9.7372851455160697E-2"/>
    <n v="20.685792902523492"/>
    <n v="0.78159792453592347"/>
    <n v="-0.15121466945858331"/>
    <n v="29.134024967329751"/>
    <n v="0.70806355972745583"/>
    <n v="29.134024967329751"/>
    <n v="29.134024967329751"/>
    <n v="0.70806355972745583"/>
    <n v="130.9040767568811"/>
    <n v="-0.12486664522417661"/>
    <n v="0.8"/>
    <s v="identity"/>
    <n v="6.2477488834075681E-2"/>
    <n v="0.54633265026213107"/>
    <n v="6.2477488834075681E-2"/>
    <n v="6.2477488834075681E-2"/>
    <n v="0.54633265026213107"/>
    <n v="6.8241058017643394E-2"/>
    <n v="0.50448168593345732"/>
    <n v="4.7122331617120858E-2"/>
    <n v="0.83673118542901781"/>
    <n v="4.7122331617120858E-2"/>
    <n v="4.7122331617120858E-2"/>
    <n v="0.83673118542901781"/>
    <n v="0.45216556608122971"/>
    <n v="-0.56665711204063052"/>
    <n v="5.4697941486357517E-2"/>
    <n v="0.78040506599535764"/>
    <n v="5.4697941486357517E-2"/>
    <n v="5.4697941486357517E-2"/>
    <n v="0.78040506599535764"/>
    <n v="0.23641735387542431"/>
    <n v="5.0859103449539811E-2"/>
    <n v="116.3718021073815"/>
    <n v="0.66878533722331834"/>
    <n v="116.3718021073815"/>
    <n v="116.3718021073815"/>
    <n v="0.66878533722331834"/>
    <n v="522.85948304955264"/>
    <n v="-0.4881502582390862"/>
    <x v="0"/>
    <x v="1"/>
  </r>
  <r>
    <d v="2026-03-05T07:10:20"/>
    <s v="03-05_07-10-2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20517239790799"/>
    <n v="24.657695729421299"/>
    <n v="0.65076332782519808"/>
    <n v="-0.1297948886140193"/>
    <n v="36.984776699158303"/>
    <n v="0.56416709275403998"/>
    <n v="36.984776699158303"/>
    <n v="36.984776699158303"/>
    <n v="0.56416709275403998"/>
    <n v="128.4629497518323"/>
    <n v="-0.13192531514710421"/>
    <n v="0.8"/>
    <s v="identity"/>
    <n v="7.3565812442830988E-2"/>
    <n v="0.46581708411991057"/>
    <n v="7.3565812442830988E-2"/>
    <n v="7.3565812442830988E-2"/>
    <n v="0.46581708411991057"/>
    <n v="0.1047471255455461"/>
    <n v="0.23940043484926751"/>
    <n v="0.10521915627141171"/>
    <n v="0.63543809643853244"/>
    <n v="0.10521915627141171"/>
    <n v="0.10521915627141171"/>
    <n v="0.63543809643853244"/>
    <n v="0.33011974779488079"/>
    <n v="-0.14379441846971419"/>
    <n v="0.10569592716012691"/>
    <n v="0.57566428427518535"/>
    <n v="0.10569592716012691"/>
    <n v="0.10569592716012691"/>
    <n v="0.57566428427518535"/>
    <n v="0.28965085870131702"/>
    <n v="-0.16285658056744159"/>
    <n v="147.65462590075819"/>
    <n v="0.5797489061825345"/>
    <n v="147.65462590075819"/>
    <n v="147.65462590075819"/>
    <n v="0.5797489061825345"/>
    <n v="513.12728127528635"/>
    <n v="-0.46045069640052477"/>
    <x v="1"/>
    <x v="0"/>
  </r>
  <r>
    <d v="2026-03-05T07:10:37"/>
    <s v="03-05_07-10-3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068823470791303"/>
    <n v="23.96039746561555"/>
    <n v="0.74106797566902571"/>
    <n v="-1.1179252975170131"/>
    <n v="35.045894220138123"/>
    <n v="0.64729514138642164"/>
    <n v="35.045894220138123"/>
    <n v="35.045894220138123"/>
    <n v="0.64729514138642164"/>
    <n v="96.17596134238859"/>
    <n v="-0.93624420040034595"/>
    <n v="0.8"/>
    <s v="identity"/>
    <n v="6.2177815476614447E-2"/>
    <n v="0.54850866630252515"/>
    <n v="6.2177815476614447E-2"/>
    <n v="6.2177815476614447E-2"/>
    <n v="0.54850866630252515"/>
    <n v="0.29036554972554968"/>
    <n v="-1.1084293216234931"/>
    <n v="4.202717284708532E-2"/>
    <n v="0.85438482233293545"/>
    <n v="4.202717284708532E-2"/>
    <n v="4.202717284708532E-2"/>
    <n v="0.85438482233293545"/>
    <n v="0.71579975277118024"/>
    <n v="-1.4800932614015929"/>
    <n v="0.1034494381407043"/>
    <n v="0.5846832271194109"/>
    <n v="0.1034494381407043"/>
    <n v="0.1034494381407043"/>
    <n v="0.5846832271194109"/>
    <n v="0.514572928687139"/>
    <n v="-1.0658475482813401"/>
    <n v="139.97592245408791"/>
    <n v="0.60160384979081716"/>
    <n v="139.97592245408791"/>
    <n v="139.97592245408791"/>
    <n v="0.60160384979081716"/>
    <n v="383.18310713837297"/>
    <n v="-9.0606670294976377E-2"/>
    <x v="0"/>
    <x v="0"/>
  </r>
  <r>
    <d v="2026-03-05T07:12:09"/>
    <s v="03-05_07-12-0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44093514804047"/>
    <n v="20.646924855644521"/>
    <n v="0.66155778321801528"/>
    <n v="-0.14272563305157471"/>
    <n v="28.62507328173524"/>
    <n v="0.62877698187601949"/>
    <n v="28.62507328173524"/>
    <n v="28.62507328173524"/>
    <n v="0.62877698187601949"/>
    <n v="158.85347048662459"/>
    <n v="-0.14319242897117901"/>
    <n v="0.8"/>
    <s v="identity"/>
    <n v="8.0395107178829125E-2"/>
    <n v="0.41622757434164209"/>
    <n v="8.0395107178829125E-2"/>
    <n v="8.0395107178829125E-2"/>
    <n v="0.41622757434164209"/>
    <n v="0.16808718373424419"/>
    <n v="-0.22053028366956989"/>
    <n v="0.10526736064080219"/>
    <n v="0.63527107859418042"/>
    <n v="0.10526736064080219"/>
    <n v="0.10526736064080219"/>
    <n v="0.63527107859418042"/>
    <n v="0.14108372744344039"/>
    <n v="0.51117501735468163"/>
    <n v="5.2602114140143291E-2"/>
    <n v="0.78881914987622592"/>
    <n v="5.2602114140143291E-2"/>
    <n v="5.2602114140143291E-2"/>
    <n v="0.78881914987622592"/>
    <n v="0.26316980191594708"/>
    <n v="-5.6543513582884897E-2"/>
    <n v="114.26202854498121"/>
    <n v="0.67479012469202826"/>
    <n v="114.26202854498121"/>
    <n v="114.26202854498121"/>
    <n v="0.67479012469202826"/>
    <n v="634.84154123340591"/>
    <n v="-0.80687093598693971"/>
    <x v="1"/>
    <x v="1"/>
  </r>
  <r>
    <d v="2026-03-05T09:01:03"/>
    <s v="03-05_09-01-0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9.7707069375693956E-2"/>
    <n v="20.185794783750531"/>
    <n v="0.77488233491453962"/>
    <n v="-0.63274417347563272"/>
    <n v="25.304867311719001"/>
    <n v="0.71210830329177222"/>
    <n v="25.304867311719001"/>
    <n v="25.304867311719001"/>
    <n v="0.71210830329177222"/>
    <n v="121.2976147770047"/>
    <n v="-0.52492765615263415"/>
    <n v="0.8"/>
    <s v="identity"/>
    <n v="6.188503375491694E-2"/>
    <n v="0.55063464015667518"/>
    <n v="6.188503375491694E-2"/>
    <n v="6.188503375491694E-2"/>
    <n v="0.55063464015667518"/>
    <n v="0.1826411697089351"/>
    <n v="-0.32621103954622083"/>
    <n v="6.4556045657606406E-2"/>
    <n v="0.77632708980643639"/>
    <n v="6.4556045657606406E-2"/>
    <n v="6.4556045657606406E-2"/>
    <n v="0.77632708980643639"/>
    <n v="0.56659789501556801"/>
    <n v="-0.96314069111119505"/>
    <n v="4.7559238616107682E-2"/>
    <n v="0.8090647000340947"/>
    <n v="4.7559238616107682E-2"/>
    <n v="4.7559238616107682E-2"/>
    <n v="0.8090647000340947"/>
    <n v="0.35683244318914442"/>
    <n v="-0.43256939262292499"/>
    <n v="101.0454689288476"/>
    <n v="0.7124067831698806"/>
    <n v="101.0454689288476"/>
    <n v="101.0454689288476"/>
    <n v="0.7124067831698806"/>
    <n v="484.08438760010569"/>
    <n v="-0.37778950133019601"/>
    <x v="0"/>
    <x v="1"/>
  </r>
  <r>
    <d v="2026-03-05T09:06:48"/>
    <s v="03-05_09-06-4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430502069420353"/>
    <n v="19.89628895451219"/>
    <n v="0.6306494270634414"/>
    <n v="-0.22835227794071719"/>
    <n v="35.959209981389918"/>
    <n v="0.52592420998385914"/>
    <n v="35.959209981389918"/>
    <n v="35.959209981389918"/>
    <n v="0.52592420998385914"/>
    <n v="144.7603526527634"/>
    <n v="-0.20176535162586601"/>
    <n v="0.8"/>
    <s v="identity"/>
    <n v="7.4158914199149745E-2"/>
    <n v="0.46151039851305808"/>
    <n v="7.4158914199149745E-2"/>
    <n v="7.4158914199149745E-2"/>
    <n v="0.46151039851305808"/>
    <n v="0.1809846187621609"/>
    <n v="-0.31418233782095378"/>
    <n v="0.10766545979271699"/>
    <n v="0.62696217722363468"/>
    <n v="0.10766545979271699"/>
    <n v="0.10766545979271699"/>
    <n v="0.62696217722363468"/>
    <n v="0.19925009726785009"/>
    <n v="0.30964096920333117"/>
    <n v="0.1435522338469046"/>
    <n v="0.42368318694968821"/>
    <n v="0.1435522338469046"/>
    <n v="0.1435522338469046"/>
    <n v="0.42368318694968821"/>
    <n v="0.28803467708319003"/>
    <n v="-0.15636812257198621"/>
    <n v="143.51146331772031"/>
    <n v="0.59154107724905813"/>
    <n v="143.51146331772031"/>
    <n v="143.51146331772031"/>
    <n v="0.59154107724905813"/>
    <n v="578.37314121793963"/>
    <n v="-0.64615191531384597"/>
    <x v="1"/>
    <x v="0"/>
  </r>
  <r>
    <d v="2026-03-05T09:08:20"/>
    <s v="03-05_09-08-2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44164453591062"/>
    <n v="16.220191233525131"/>
    <n v="0.68727894838432335"/>
    <n v="-0.36185454169135811"/>
    <n v="32.741864908913087"/>
    <n v="0.57964300803191737"/>
    <n v="32.741864908913087"/>
    <n v="32.741864908913087"/>
    <n v="0.57964300803191737"/>
    <n v="142.6916487442746"/>
    <n v="-0.33367810854225838"/>
    <n v="0.8"/>
    <s v="identity"/>
    <n v="6.2660700631758576E-2"/>
    <n v="0.54500229572569558"/>
    <n v="6.2660700631758576E-2"/>
    <n v="6.2660700631758576E-2"/>
    <n v="0.54500229572569558"/>
    <n v="0.1599101813855959"/>
    <n v="-0.1611546740934002"/>
    <n v="7.6511882348260646E-2"/>
    <n v="0.73490266922496095"/>
    <n v="7.6511882348260646E-2"/>
    <n v="7.6511882348260646E-2"/>
    <n v="0.73490266922496095"/>
    <n v="0.40283905585488627"/>
    <n v="-0.39575128936159149"/>
    <n v="0.14680867864298491"/>
    <n v="0.41060959111311751"/>
    <n v="0.14680867864298491"/>
    <n v="0.14680867864298491"/>
    <n v="0.41060959111311751"/>
    <n v="0.28787452236814948"/>
    <n v="-0.15572515204833981"/>
    <n v="130.6814783740293"/>
    <n v="0.62805747606389584"/>
    <n v="130.6814783740293"/>
    <n v="130.6814783740293"/>
    <n v="0.62805747606389584"/>
    <n v="569.91597121748975"/>
    <n v="-0.62208131866570482"/>
    <x v="0"/>
    <x v="0"/>
  </r>
  <r>
    <d v="2026-03-05T09:09:43"/>
    <s v="03-05_09-09-4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58908641722325"/>
    <n v="21.27926064962865"/>
    <n v="0.63439024181343628"/>
    <n v="-6.0184789525437377E-2"/>
    <n v="25.990471266104841"/>
    <n v="0.59816129420493702"/>
    <n v="25.990471266104841"/>
    <n v="25.990471266104841"/>
    <n v="0.59816129420493702"/>
    <n v="113.22908856226439"/>
    <n v="-4.4125700276800323E-2"/>
    <n v="0.8"/>
    <s v="identity"/>
    <n v="0.11359227881516799"/>
    <n v="0.1751731856953925"/>
    <n v="0.11359227881516799"/>
    <n v="0.11359227881516799"/>
    <n v="0.1751731856953925"/>
    <n v="0.13624874982452251"/>
    <n v="1.065791228989732E-2"/>
    <n v="8.8336083159531759E-2"/>
    <n v="0.69393433885049227"/>
    <n v="8.8336083159531759E-2"/>
    <n v="8.8336083159531759E-2"/>
    <n v="0.69393433885049227"/>
    <n v="0.124952188649154"/>
    <n v="0.56706735387039042"/>
    <n v="4.5152182559343362E-2"/>
    <n v="0.81872826874558768"/>
    <n v="4.5152182559343362E-2"/>
    <n v="4.5152182559343362E-2"/>
    <n v="0.81872826874558768"/>
    <n v="0.36539159402345911"/>
    <n v="-0.4669316759469857"/>
    <n v="103.71480451988521"/>
    <n v="0.7048093835282776"/>
    <n v="103.71480451988521"/>
    <n v="103.71480451988521"/>
    <n v="0.7048093835282776"/>
    <n v="452.28976171656058"/>
    <n v="-0.28729639132050599"/>
    <x v="1"/>
    <x v="1"/>
  </r>
  <r>
    <d v="2026-03-05T11:39:59"/>
    <s v="03-05_11-39-5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1728692272057931"/>
    <n v="50.274635190822657"/>
    <n v="0.67699393827313714"/>
    <n v="0.2945791823749534"/>
    <n v="61.01551470968834"/>
    <n v="0.60901630676043872"/>
    <n v="61.01551470968834"/>
    <n v="61.01551470968834"/>
    <n v="0.60901630676043872"/>
    <n v="89.301182845619621"/>
    <n v="0.30822747282124052"/>
    <n v="0.8"/>
    <s v="identity"/>
    <n v="6.7819905419934282E-2"/>
    <n v="0.50753979832567153"/>
    <n v="6.7819905419934282E-2"/>
    <n v="6.7819905419934282E-2"/>
    <n v="0.50753979832567153"/>
    <n v="0.1563745002682364"/>
    <n v="-0.1354810576922898"/>
    <n v="5.2781968163890497E-2"/>
    <n v="0.81712175359101535"/>
    <n v="5.2781968163890497E-2"/>
    <n v="5.2781968163890497E-2"/>
    <n v="0.81712175359101535"/>
    <n v="8.478631266249062E-2"/>
    <n v="0.70623353545561907"/>
    <n v="4.8430659363434207E-2"/>
    <n v="0.80556622136562106"/>
    <n v="4.8430659363434207E-2"/>
    <n v="4.8430659363434207E-2"/>
    <n v="0.80556622136562106"/>
    <n v="8.0227909898756125E-2"/>
    <n v="0.67791031799721657"/>
    <n v="243.8930263058061"/>
    <n v="0.30583745375944521"/>
    <n v="243.8930263058061"/>
    <n v="243.8930263058061"/>
    <n v="0.30583745375944521"/>
    <n v="356.88334265964681"/>
    <n v="-1.5752904475576871E-2"/>
    <x v="0"/>
    <x v="1"/>
  </r>
  <r>
    <d v="2026-03-05T11:47:46"/>
    <s v="03-05_11-47-4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487420616461289"/>
    <n v="23.76002427553658"/>
    <n v="0.65943473527586494"/>
    <n v="0.37517917234271381"/>
    <n v="35.796366158787158"/>
    <n v="0.59075392096247037"/>
    <n v="35.796366158787158"/>
    <n v="35.796366158787158"/>
    <n v="0.59075392096247037"/>
    <n v="76.119465014616054"/>
    <n v="0.40976736400607838"/>
    <n v="0.8"/>
    <s v="identity"/>
    <n v="7.680259294567543E-2"/>
    <n v="0.44231387264628053"/>
    <n v="7.680259294567543E-2"/>
    <n v="7.680259294567543E-2"/>
    <n v="0.44231387264628053"/>
    <n v="0.10136523045723"/>
    <n v="0.26395736584056378"/>
    <n v="8.042450531636916E-2"/>
    <n v="0.72134626630634613"/>
    <n v="8.042450531636916E-2"/>
    <n v="8.042450531636916E-2"/>
    <n v="0.72134626630634613"/>
    <n v="0.1047270018298089"/>
    <n v="0.63714330646335093"/>
    <n v="9.8099904586569683E-2"/>
    <n v="0.60615991227160815"/>
    <n v="9.8099904586569683E-2"/>
    <n v="9.8099904586569683E-2"/>
    <n v="0.60615991227160815"/>
    <n v="9.8712902996676316E-2"/>
    <n v="0.60369891754759486"/>
    <n v="142.9301376322997"/>
    <n v="0.59319563262564623"/>
    <n v="142.9301376322997"/>
    <n v="142.9301376322997"/>
    <n v="0.59319563262564623"/>
    <n v="304.17305492318178"/>
    <n v="0.13426986617280981"/>
    <x v="1"/>
    <x v="0"/>
  </r>
  <r>
    <d v="2026-03-05T11:50:39"/>
    <s v="03-05_11-50-3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1023442167503671"/>
    <n v="26.79183203192391"/>
    <n v="0.71345333338238304"/>
    <n v="-0.46472225711124021"/>
    <n v="37.930511416131303"/>
    <n v="0.63463418881216305"/>
    <n v="37.930511416131303"/>
    <n v="37.930511416131303"/>
    <n v="0.63463418881216305"/>
    <n v="114.1914246417642"/>
    <n v="-0.44598159674085519"/>
    <n v="0.8"/>
    <s v="identity"/>
    <n v="6.8359776930173741E-2"/>
    <n v="0.50361963312985569"/>
    <n v="6.8359776930173741E-2"/>
    <n v="6.8359776930173741E-2"/>
    <n v="0.50361963312985569"/>
    <n v="0.16406127871445669"/>
    <n v="-0.1912970078976535"/>
    <n v="4.9352755803475548E-2"/>
    <n v="0.82900324200178166"/>
    <n v="4.9352755803475548E-2"/>
    <n v="4.9352755803475548E-2"/>
    <n v="0.82900324200178166"/>
    <n v="0.42238062256722819"/>
    <n v="-0.4634586442927433"/>
    <n v="9.0380894306245615E-2"/>
    <n v="0.63714929700945411"/>
    <n v="9.0380894306245615E-2"/>
    <n v="9.0380894306245615E-2"/>
    <n v="0.63714929700945411"/>
    <n v="0.4563505239763006"/>
    <n v="-0.83210300922483782"/>
    <n v="151.5139522374852"/>
    <n v="0.56876458310756262"/>
    <n v="151.5139522374852"/>
    <n v="151.5139522374852"/>
    <n v="0.56876458310756262"/>
    <n v="455.72290614179968"/>
    <n v="-0.29706772554819111"/>
    <x v="0"/>
    <x v="0"/>
  </r>
  <r>
    <d v="2026-03-05T11:51:52"/>
    <s v="03-05_11-51-5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15955237379465"/>
    <n v="39.051404744070517"/>
    <n v="0.66855554433117703"/>
    <n v="0.38303532490377618"/>
    <n v="45.255270242048638"/>
    <n v="0.61995512205342007"/>
    <n v="45.255270242048638"/>
    <n v="45.255270242048638"/>
    <n v="0.61995512205342007"/>
    <n v="84.287224183388801"/>
    <n v="0.38658909205158259"/>
    <n v="0.8"/>
    <s v="identity"/>
    <n v="7.7320563139772966E-2"/>
    <n v="0.43855273932314859"/>
    <n v="7.7320563139772966E-2"/>
    <n v="7.7320563139772966E-2"/>
    <n v="0.43855273932314859"/>
    <n v="0.1024775596586403"/>
    <n v="0.25588041764278951"/>
    <n v="8.2821881665683661E-2"/>
    <n v="0.71303986929243279"/>
    <n v="8.2821881665683661E-2"/>
    <n v="8.2821881665683661E-2"/>
    <n v="0.71303986929243279"/>
    <n v="0.1180437742474426"/>
    <n v="0.59100353425928076"/>
    <n v="3.9136681485702512E-2"/>
    <n v="0.84287860284180749"/>
    <n v="3.9136681485702512E-2"/>
    <n v="3.9136681485702512E-2"/>
    <n v="0.84287860284180749"/>
    <n v="8.5140545158951669E-2"/>
    <n v="0.658187641303422"/>
    <n v="180.82180184190341"/>
    <n v="0.48534927675628847"/>
    <n v="180.82180184190341"/>
    <n v="180.82180184190341"/>
    <n v="0.48534927675628847"/>
    <n v="336.84323485448942"/>
    <n v="4.1284775000837493E-2"/>
    <x v="1"/>
    <x v="1"/>
  </r>
  <r>
    <d v="2026-03-05T13:41:51"/>
    <s v="03-05_13-41-5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9.7164893593176413E-2"/>
    <n v="21.355818803423311"/>
    <n v="0.72958352406420968"/>
    <n v="-7.6519685104514734E-2"/>
    <n v="27.699381392820701"/>
    <n v="0.67737558170387135"/>
    <n v="27.699381392820701"/>
    <n v="27.699381392820701"/>
    <n v="0.67737558170387135"/>
    <n v="109.93502272093841"/>
    <n v="-8.0747767182070995E-2"/>
    <n v="0.8"/>
    <s v="identity"/>
    <n v="7.0085748941650428E-2"/>
    <n v="0.49108684471629033"/>
    <n v="7.0085748941650428E-2"/>
    <n v="7.0085748941650428E-2"/>
    <n v="0.49108684471629033"/>
    <n v="0.1292465014537009"/>
    <n v="6.15032890788626E-2"/>
    <n v="7.1609009899254297E-2"/>
    <n v="0.7518900750954115"/>
    <n v="7.1609009899254297E-2"/>
    <n v="7.1609009899254297E-2"/>
    <n v="0.7518900750954115"/>
    <n v="0.35737066570841319"/>
    <n v="-0.23821302873425901"/>
    <n v="5.4470947775419283E-2"/>
    <n v="0.78131637394623143"/>
    <n v="5.4470947775419283E-2"/>
    <n v="5.4470947775419283E-2"/>
    <n v="0.78131637394623143"/>
    <n v="0.2233611173333116"/>
    <n v="0.1032757634536339"/>
    <n v="110.60135986466641"/>
    <n v="0.68520903305755154"/>
    <n v="110.60135986466641"/>
    <n v="110.60135986466641"/>
    <n v="0.68520903305755154"/>
    <n v="439.03011259925802"/>
    <n v="-0.24955709252652511"/>
    <x v="0"/>
    <x v="1"/>
  </r>
  <r>
    <d v="2026-03-05T13:50:47"/>
    <s v="03-05_13-50-4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685189685156359"/>
    <n v="15.974104482736699"/>
    <n v="0.63604711660359903"/>
    <n v="-0.25199002089662759"/>
    <n v="23.742229143913171"/>
    <n v="0.59220068077857912"/>
    <n v="23.742229143913171"/>
    <n v="23.742229143913171"/>
    <n v="0.59220068077857912"/>
    <n v="167.41798808144631"/>
    <n v="-0.26948153130812619"/>
    <n v="0.8"/>
    <s v="identity"/>
    <n v="9.2912343471614395E-2"/>
    <n v="0.32533625458851262"/>
    <n v="9.2912343471614395E-2"/>
    <n v="9.2912343471614395E-2"/>
    <n v="0.32533625458851262"/>
    <n v="0.15552126940302349"/>
    <n v="-0.1292854984187137"/>
    <n v="8.3632000889165725E-2"/>
    <n v="0.7102329792099602"/>
    <n v="8.3632000889165725E-2"/>
    <n v="8.3632000889165725E-2"/>
    <n v="0.7102329792099602"/>
    <n v="0.1470956344108805"/>
    <n v="0.4903450437476804"/>
    <n v="9.8949847093818891E-2"/>
    <n v="0.60274766194343665"/>
    <n v="9.8949847093818891E-2"/>
    <n v="9.8949847093818891E-2"/>
    <n v="0.60274766194343665"/>
    <n v="0.38232917894259738"/>
    <n v="-0.5349307220069528"/>
    <n v="94.693422384198342"/>
    <n v="0.73048582737241374"/>
    <n v="94.693422384198342"/>
    <n v="94.693422384198342"/>
    <n v="0.73048582737241374"/>
    <n v="668.98700624302728"/>
    <n v="-0.90405494855451107"/>
    <x v="1"/>
    <x v="0"/>
  </r>
  <r>
    <d v="2026-03-05T13:54:18"/>
    <s v="03-05_13-54-1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04055179048634"/>
    <n v="16.18405464244967"/>
    <n v="0.68275978730582676"/>
    <n v="-0.44759497566484108"/>
    <n v="23.973921547476081"/>
    <n v="0.63319277671934171"/>
    <n v="23.973921547476081"/>
    <n v="23.973921547476081"/>
    <n v="0.63319277671934171"/>
    <n v="215.4704828537071"/>
    <n v="-0.4193059135220214"/>
    <n v="0.8"/>
    <s v="identity"/>
    <n v="7.6572783620993401E-2"/>
    <n v="0.44398258547739999"/>
    <n v="7.6572783620993401E-2"/>
    <n v="7.6572783620993401E-2"/>
    <n v="0.44398258547739999"/>
    <n v="0.15032026444414251"/>
    <n v="-9.1519477733481791E-2"/>
    <n v="7.6181558959863824E-2"/>
    <n v="0.73604716921462243"/>
    <n v="7.6181558959863824E-2"/>
    <n v="7.6181558959863824E-2"/>
    <n v="0.73604716921462243"/>
    <n v="0.3051614468327763"/>
    <n v="-5.731923628012825E-2"/>
    <n v="9.3412902244922547E-2"/>
    <n v="0.62497674416555271"/>
    <n v="9.3412902244922547E-2"/>
    <n v="9.3412902244922547E-2"/>
    <n v="0.62497674416555271"/>
    <n v="0.26835917616842958"/>
    <n v="-7.7377209797641067E-2"/>
    <n v="95.649518945078086"/>
    <n v="0.72776460801979503"/>
    <n v="95.649518945078086"/>
    <n v="95.649518945078086"/>
    <n v="0.72776460801979503"/>
    <n v="861.15809052738371"/>
    <n v="-1.4510077302768369"/>
    <x v="0"/>
    <x v="0"/>
  </r>
  <r>
    <d v="2026-03-05T13:56:31"/>
    <s v="03-05_13-56-3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2341196164641"/>
    <n v="21.30138379380017"/>
    <n v="0.65131151706531387"/>
    <n v="0.19224903515557279"/>
    <n v="27.442977318713901"/>
    <n v="0.58359719637188978"/>
    <n v="27.442977318713901"/>
    <n v="27.442977318713901"/>
    <n v="0.58359719637188978"/>
    <n v="118.43411441126889"/>
    <n v="0.22705168655522359"/>
    <n v="0.8"/>
    <s v="identity"/>
    <n v="0.10649053755393501"/>
    <n v="0.22674100950892639"/>
    <n v="0.10649053755393501"/>
    <n v="0.10649053755393501"/>
    <n v="0.22674100950892639"/>
    <n v="8.1926079351619885E-2"/>
    <n v="0.40511073688364252"/>
    <n v="0.1091754245566818"/>
    <n v="0.62173047181780727"/>
    <n v="0.1091754245566818"/>
    <n v="0.1091754245566818"/>
    <n v="0.62173047181780727"/>
    <n v="0.11255280781235739"/>
    <n v="0.61002856018519847"/>
    <n v="5.041737451638461E-2"/>
    <n v="0.79759018842831242"/>
    <n v="5.041737451638461E-2"/>
    <n v="5.041737451638461E-2"/>
    <n v="0.79759018842831242"/>
    <n v="0.18922715572765719"/>
    <n v="0.24031282266326059"/>
    <n v="109.5058259382284"/>
    <n v="0.68832711573251737"/>
    <n v="109.5058259382284"/>
    <n v="109.5058259382284"/>
    <n v="0.68832711573251737"/>
    <n v="473.35275160218367"/>
    <n v="-0.34724537351120821"/>
    <x v="1"/>
    <x v="1"/>
  </r>
  <r>
    <d v="2026-03-05T16:04:16"/>
    <s v="03-05_16-04-16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020878802886195"/>
    <n v="21.122786043914711"/>
    <n v="0.73668347524751721"/>
    <n v="-0.15199389084562101"/>
    <n v="28.26356769307753"/>
    <n v="0.67954201982724005"/>
    <n v="28.26356769307753"/>
    <n v="28.26356769307753"/>
    <n v="0.67954201982724005"/>
    <n v="114.004711093319"/>
    <n v="-0.1484970747324208"/>
    <n v="0.8"/>
    <s v="identity"/>
    <n v="7.6495553347255024E-2"/>
    <n v="0.44454337712028219"/>
    <n v="7.6495553347255024E-2"/>
    <n v="7.6495553347255024E-2"/>
    <n v="0.44454337712028219"/>
    <n v="0.13245983257142219"/>
    <n v="3.8170350460309477E-2"/>
    <n v="5.6309085702742241E-2"/>
    <n v="0.80490104464775036"/>
    <n v="5.6309085702742241E-2"/>
    <n v="5.6309085702742241E-2"/>
    <n v="0.80490104464775036"/>
    <n v="0.37282115056644721"/>
    <n v="-0.29174565882172271"/>
    <n v="5.2315664068502743E-2"/>
    <n v="0.78996915630915943"/>
    <n v="5.2315664068502743E-2"/>
    <n v="5.2315664068502743E-2"/>
    <n v="0.78996915630915943"/>
    <n v="0.26021519708050272"/>
    <n v="-4.468170971571328E-2"/>
    <n v="112.86915046919189"/>
    <n v="0.67875450123176662"/>
    <n v="112.86915046919189"/>
    <n v="112.86915046919189"/>
    <n v="0.67875450123176662"/>
    <n v="455.25334819305948"/>
    <n v="-0.29573128085257139"/>
    <x v="0"/>
    <x v="1"/>
  </r>
  <r>
    <d v="2026-03-05T16:13:34"/>
    <s v="03-05_16-13-3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3005810269069201"/>
    <n v="27.201001265474911"/>
    <n v="0.6209821857258786"/>
    <n v="0.38150539353518831"/>
    <n v="42.180068075070253"/>
    <n v="0.50189335817092284"/>
    <n v="42.180068075070253"/>
    <n v="42.180068075070253"/>
    <n v="0.50189335817092284"/>
    <n v="68.461349622204096"/>
    <n v="0.37855658309265278"/>
    <n v="0.8"/>
    <s v="identity"/>
    <n v="0.1059367112378007"/>
    <n v="0.2307625046385241"/>
    <n v="0.1059367112378007"/>
    <n v="0.1059367112378007"/>
    <n v="0.2307625046385241"/>
    <n v="8.6701627857980149E-2"/>
    <n v="0.37043408014126278"/>
    <n v="9.1070878234707012E-2"/>
    <n v="0.68445885801804141"/>
    <n v="9.1070878234707012E-2"/>
    <n v="9.1070878234707012E-2"/>
    <n v="0.68445885801804141"/>
    <n v="0.11360093618472369"/>
    <n v="0.60639701923631462"/>
    <n v="0.1066845327256007"/>
    <n v="0.57169534562763147"/>
    <n v="0.1066845327256007"/>
    <n v="0.1066845327256007"/>
    <n v="0.57169534562763147"/>
    <n v="0.17043626074800469"/>
    <n v="0.31575232241068979"/>
    <n v="168.41658017808291"/>
    <n v="0.52065672439949762"/>
    <n v="168.41658017808291"/>
    <n v="168.41658017808291"/>
    <n v="0.52065672439949762"/>
    <n v="273.47465966402473"/>
    <n v="0.22164291058235441"/>
    <x v="1"/>
    <x v="0"/>
  </r>
  <r>
    <d v="2026-03-05T16:17:21"/>
    <s v="03-05_16-17-2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150558643758125"/>
    <n v="25.42761242579196"/>
    <n v="0.71485347507746788"/>
    <n v="-0.31344100159880212"/>
    <n v="40.497691414044908"/>
    <n v="0.62200547654515104"/>
    <n v="40.497691414044908"/>
    <n v="40.497691414044908"/>
    <n v="0.62200547654515104"/>
    <n v="115.3673912517169"/>
    <n v="-0.30137287839498128"/>
    <n v="0.8"/>
    <s v="identity"/>
    <n v="6.3008142875243936E-2"/>
    <n v="0.54247941580957759"/>
    <n v="6.3008142875243936E-2"/>
    <n v="6.3008142875243936E-2"/>
    <n v="0.54247941580957759"/>
    <n v="0.1461012390526949"/>
    <n v="-6.0883898366679727E-2"/>
    <n v="6.3068019751537502E-2"/>
    <n v="0.78148278175539998"/>
    <n v="6.3068019751537502E-2"/>
    <n v="6.3068019751537502E-2"/>
    <n v="0.78148278175539998"/>
    <n v="0.46423502786555643"/>
    <n v="-0.60847521930340509"/>
    <n v="9.3534409007456756E-2"/>
    <n v="0.62448893294679841"/>
    <n v="9.3534409007456756E-2"/>
    <n v="9.3534409007456756E-2"/>
    <n v="0.62448893294679841"/>
    <n v="0.3052082204625623"/>
    <n v="-0.22531446721568221"/>
    <n v="161.77115508454469"/>
    <n v="0.53957077566883305"/>
    <n v="161.77115508454469"/>
    <n v="161.77115508454469"/>
    <n v="0.53957077566883305"/>
    <n v="460.5540205194859"/>
    <n v="-0.31081792869417629"/>
    <x v="0"/>
    <x v="0"/>
  </r>
  <r>
    <d v="2026-03-05T16:20:35"/>
    <s v="03-05_16-20-3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20439409873301"/>
    <n v="20.528475402269159"/>
    <n v="0.65753325714138788"/>
    <n v="0.15382814739822251"/>
    <n v="26.758536007027409"/>
    <n v="0.58155133980310392"/>
    <n v="26.758536007027409"/>
    <n v="26.758536007027409"/>
    <n v="0.58155133980310392"/>
    <n v="105.030798789958"/>
    <n v="0.18056323568744151"/>
    <n v="0.8"/>
    <s v="identity"/>
    <n v="0.1143734282198928"/>
    <n v="0.1695010310232998"/>
    <n v="0.1143734282198928"/>
    <n v="0.1143734282198928"/>
    <n v="0.1695010310232998"/>
    <n v="9.084472838866034E-2"/>
    <n v="0.34034981343132908"/>
    <n v="9.4970575569183424E-2"/>
    <n v="0.67094723965927894"/>
    <n v="9.4970575569183424E-2"/>
    <n v="9.4970575569183424E-2"/>
    <n v="0.67094723965927894"/>
    <n v="0.10593968075754"/>
    <n v="0.63294163298516637"/>
    <n v="5.2395117803477172E-2"/>
    <n v="0.78965017469460475"/>
    <n v="5.2395117803477172E-2"/>
    <n v="5.2395117803477172E-2"/>
    <n v="0.78965017469460475"/>
    <n v="0.26318461514290181"/>
    <n v="-5.6602984003656147E-2"/>
    <n v="106.7724049065172"/>
    <n v="0.6961069138352356"/>
    <n v="106.7724049065172"/>
    <n v="106.7724049065172"/>
    <n v="0.6961069138352356"/>
    <n v="419.66322613554252"/>
    <n v="-0.1944355196630683"/>
    <x v="1"/>
    <x v="1"/>
  </r>
  <r>
    <d v="2026-03-05T19:10:38"/>
    <s v="03-05_19-10-3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9.5010648612072257E-2"/>
    <n v="21.95527435450348"/>
    <n v="0.75408052250922564"/>
    <n v="-0.30062859102536948"/>
    <n v="29.717123137466881"/>
    <n v="0.71815203657011062"/>
    <n v="29.717123137466881"/>
    <n v="29.717123137466881"/>
    <n v="0.71815203657011062"/>
    <n v="147.1250370863215"/>
    <n v="-0.24000432585741149"/>
    <n v="0.8"/>
    <s v="identity"/>
    <n v="5.0959240450658097E-2"/>
    <n v="0.62997002614330677"/>
    <n v="5.0959240450658097E-2"/>
    <n v="5.0959240450658097E-2"/>
    <n v="0.62997002614330677"/>
    <n v="0.201902833019036"/>
    <n v="-0.46607561970954281"/>
    <n v="5.2248200039251028E-2"/>
    <n v="0.81897114613962163"/>
    <n v="5.2248200039251028E-2"/>
    <n v="5.2248200039251028E-2"/>
    <n v="0.81897114613962163"/>
    <n v="0.29539917741896549"/>
    <n v="-2.349505780640548E-2"/>
    <n v="5.9400732802350593E-2"/>
    <n v="0.76152484636349671"/>
    <n v="5.9400732802350593E-2"/>
    <n v="5.9400732802350593E-2"/>
    <n v="0.76152484636349671"/>
    <n v="0.19863388484277189"/>
    <n v="0.20254778063241269"/>
    <n v="118.705884376575"/>
    <n v="0.66214212763401781"/>
    <n v="118.705884376575"/>
    <n v="118.705884376575"/>
    <n v="0.66214212763401781"/>
    <n v="587.80421245000628"/>
    <n v="-0.67299440654612441"/>
    <x v="0"/>
    <x v="1"/>
  </r>
  <r>
    <d v="2026-03-05T19:19:00"/>
    <s v="03-05_19-19-0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422052985797583"/>
    <n v="27.532817547947801"/>
    <n v="0.59343442407811908"/>
    <n v="3.2248235366447608E-2"/>
    <n v="42.308523393761789"/>
    <n v="0.53088435768210129"/>
    <n v="42.308523393761789"/>
    <n v="42.308523393761789"/>
    <n v="0.53088435768210129"/>
    <n v="125.3479440553951"/>
    <n v="2.9863133682203811E-2"/>
    <n v="0.8"/>
    <s v="identity"/>
    <n v="7.5554423372554816E-2"/>
    <n v="0.4513771975786397"/>
    <n v="7.5554423372554816E-2"/>
    <n v="7.5554423372554816E-2"/>
    <n v="0.4513771975786397"/>
    <n v="0.1151996533384488"/>
    <n v="0.1635015683877635"/>
    <n v="8.9275798004110604E-2"/>
    <n v="0.6906784276202127"/>
    <n v="8.9275798004110604E-2"/>
    <n v="8.9275798004110604E-2"/>
    <n v="0.6906784276202127"/>
    <n v="0.14184287152558289"/>
    <n v="0.50854474524957727"/>
    <n v="0.1339329582954579"/>
    <n v="0.46230153569356652"/>
    <n v="0.1339329582954579"/>
    <n v="0.1339329582954579"/>
    <n v="0.46230153569356652"/>
    <n v="0.28073818564039521"/>
    <n v="-0.12707501732330681"/>
    <n v="168.93533039537579"/>
    <n v="0.51918026983598187"/>
    <n v="168.93533039537579"/>
    <n v="168.93533039537579"/>
    <n v="0.51918026983598187"/>
    <n v="500.85399551107548"/>
    <n v="-0.42551876158521718"/>
    <x v="1"/>
    <x v="0"/>
  </r>
  <r>
    <d v="2026-03-05T19:23:08"/>
    <s v="03-05_19-23-0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128370638199611"/>
    <n v="25.5161085909028"/>
    <n v="0.6961219165732534"/>
    <n v="-0.37862309323397708"/>
    <n v="40.346908071997809"/>
    <n v="0.62190575809464932"/>
    <n v="40.346908071997809"/>
    <n v="40.346908071997809"/>
    <n v="0.62190575809464932"/>
    <n v="127.2626411893977"/>
    <n v="-0.29323778540069889"/>
    <n v="0.8"/>
    <s v="identity"/>
    <n v="4.277944209160451E-2"/>
    <n v="0.68936593837014493"/>
    <n v="4.277944209160451E-2"/>
    <n v="4.277944209160451E-2"/>
    <n v="0.68936593837014493"/>
    <n v="0.1605337360082523"/>
    <n v="-0.16568248688415729"/>
    <n v="4.7675566813073438E-2"/>
    <n v="0.83481434363612783"/>
    <n v="4.7675566813073438E-2"/>
    <n v="4.7675566813073438E-2"/>
    <n v="0.83481434363612783"/>
    <n v="0.38468491949800881"/>
    <n v="-0.3328510842819592"/>
    <n v="0.14394327949306979"/>
    <n v="0.42211326236881741"/>
    <n v="0.14394327949306979"/>
    <n v="0.14394327949306979"/>
    <n v="0.42211326236881741"/>
    <n v="0.30587522790225691"/>
    <n v="-0.22799229111033181"/>
    <n v="161.15323399959379"/>
    <n v="0.541329488003508"/>
    <n v="161.15323399959379"/>
    <n v="161.15323399959379"/>
    <n v="0.541329488003508"/>
    <n v="508.19947087418251"/>
    <n v="-0.44642527932635301"/>
    <x v="0"/>
    <x v="0"/>
  </r>
  <r>
    <d v="2026-03-05T19:27:03"/>
    <s v="03-05_19-27-0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27008969977685"/>
    <n v="22.445203830898421"/>
    <n v="0.69487978941176043"/>
    <n v="9.6042910351583466E-2"/>
    <n v="30.305318625576358"/>
    <n v="0.64000499650362352"/>
    <n v="30.305318625576358"/>
    <n v="30.305318625576358"/>
    <n v="0.64000499650362352"/>
    <n v="130.3313516407367"/>
    <n v="6.1613073465189711E-2"/>
    <n v="0.8"/>
    <s v="identity"/>
    <n v="6.7131249145703176E-2"/>
    <n v="0.51254033328059734"/>
    <n v="6.7131249145703176E-2"/>
    <n v="6.7131249145703176E-2"/>
    <n v="0.51254033328059734"/>
    <n v="0.1133014341903215"/>
    <n v="0.1772850937218183"/>
    <n v="0.1058525957534102"/>
    <n v="0.63324336392468583"/>
    <n v="0.1058525957534102"/>
    <n v="0.1058525957534102"/>
    <n v="0.63324336392468583"/>
    <n v="0.15738472478155749"/>
    <n v="0.45469554317789562"/>
    <n v="6.0131781588667631E-2"/>
    <n v="0.75858991671855747"/>
    <n v="6.0131781588667631E-2"/>
    <n v="6.0131781588667631E-2"/>
    <n v="0.75858991671855747"/>
    <n v="0.2249629384351701"/>
    <n v="9.6844958388737856E-2"/>
    <n v="120.9881588758175"/>
    <n v="0.65564637209065246"/>
    <n v="120.9881588758175"/>
    <n v="120.9881588758175"/>
    <n v="0.65564637209065246"/>
    <n v="520.8297574655378"/>
    <n v="-0.48237330142769008"/>
    <x v="1"/>
    <x v="1"/>
  </r>
  <r>
    <d v="2026-03-18T18:26:31"/>
    <s v="03-18_18-26-3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8492735486566924E-2"/>
    <n v="15.5323377931501"/>
    <n v="0.79060853468302572"/>
    <n v="0.22265605882035089"/>
    <n v="18.996565272217811"/>
    <n v="0.72549919959730247"/>
    <n v="18.996565272217811"/>
    <n v="18.996565272217811"/>
    <n v="0.72549919959730247"/>
    <n v="102.34092835939219"/>
    <n v="5.141935267475678E-2"/>
    <n v="0.8"/>
    <s v="identity"/>
    <n v="6.5885944928942605E-2"/>
    <n v="0.52158285202099564"/>
    <n v="6.5885944928942605E-2"/>
    <n v="6.5885944928942605E-2"/>
    <n v="0.52158285202099564"/>
    <n v="0.1218764212075622"/>
    <n v="0.11501960087399279"/>
    <n v="7.1701355777122472E-2"/>
    <n v="0.75157011635201654"/>
    <n v="7.1701355777122472E-2"/>
    <n v="7.1701355777122472E-2"/>
    <n v="0.75157011635201654"/>
    <n v="0.22256978217376869"/>
    <n v="0.22884324166951761"/>
    <n v="3.8704826145527373E-2"/>
    <n v="0.84461236543594398"/>
    <n v="3.8704826145527373E-2"/>
    <n v="3.8704826145527373E-2"/>
    <n v="0.84461236543594398"/>
    <n v="0.24279260818296761"/>
    <n v="2.5264473909834991E-2"/>
    <n v="75.809968962019681"/>
    <n v="0.7842314645802555"/>
    <n v="75.809968962019681"/>
    <n v="75.809968962019681"/>
    <n v="0.7842314645802555"/>
    <n v="408.77647462600447"/>
    <n v="-0.16344990575431509"/>
    <x v="0"/>
    <x v="2"/>
  </r>
  <r>
    <d v="2026-03-18T18:59:38"/>
    <s v="03-18_18-59-3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53062264724385"/>
    <n v="48.188992978336508"/>
    <n v="0.58623215260980621"/>
    <n v="-0.38520131788753381"/>
    <n v="60.349004352405267"/>
    <n v="0.52280766795226319"/>
    <n v="60.349004352405267"/>
    <n v="60.349004352405267"/>
    <n v="0.52280766795226319"/>
    <n v="95.736706840005226"/>
    <n v="-0.24316694159068711"/>
    <n v="0.8"/>
    <s v="identity"/>
    <n v="6.4096955805376873E-2"/>
    <n v="0.53457322614684055"/>
    <n v="6.4096955805376873E-2"/>
    <n v="6.4096955805376873E-2"/>
    <n v="0.53457322614684055"/>
    <n v="0.24001535491229611"/>
    <n v="-0.74282180656511154"/>
    <n v="9.1540888078404728E-2"/>
    <n v="0.68283037429527638"/>
    <n v="9.1540888078404728E-2"/>
    <n v="9.1540888078404728E-2"/>
    <n v="0.68283037429527638"/>
    <n v="0.25577749864144228"/>
    <n v="0.11378559667988671"/>
    <n v="0.10956582369852109"/>
    <n v="0.56012787372917927"/>
    <n v="0.10956582369852109"/>
    <n v="0.10956582369852109"/>
    <n v="0.56012787372917927"/>
    <n v="0.31285127752991981"/>
    <n v="-0.25599892382761352"/>
    <n v="241.13081374203941"/>
    <n v="0.31369919763775428"/>
    <n v="241.13081374203941"/>
    <n v="241.13081374203941"/>
    <n v="0.31369919763775428"/>
    <n v="382.13818322893769"/>
    <n v="-8.7632632649915942E-2"/>
    <x v="2"/>
    <x v="0"/>
  </r>
  <r>
    <d v="2026-03-18T19:12:39"/>
    <s v="03-18_19-12-3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12362996637021"/>
    <n v="12.33213427674881"/>
    <n v="0.71847384575927564"/>
    <n v="-6.4529881785897303E-2"/>
    <n v="16.15212925860169"/>
    <n v="0.69275774948444002"/>
    <n v="16.15212925860169"/>
    <n v="16.15212925860169"/>
    <n v="0.69275774948444002"/>
    <n v="119.6916650215264"/>
    <n v="-8.5413140408924781E-2"/>
    <n v="0.8"/>
    <s v="identity"/>
    <n v="8.7468783754858656E-2"/>
    <n v="0.36486353642915981"/>
    <n v="8.7468783754858656E-2"/>
    <n v="8.7468783754858656E-2"/>
    <n v="0.36486353642915981"/>
    <n v="0.1244404299474902"/>
    <n v="9.6401582265129404E-2"/>
    <n v="7.1847437883881454E-2"/>
    <n v="0.75106397305260675"/>
    <n v="7.1847437883881454E-2"/>
    <n v="7.1847437883881454E-2"/>
    <n v="0.75106397305260675"/>
    <n v="0.27186034110357588"/>
    <n v="5.8061982554426628E-2"/>
    <n v="4.0246576306025877E-2"/>
    <n v="0.83842272620005498"/>
    <n v="4.0246576306025877E-2"/>
    <n v="4.0246576306025877E-2"/>
    <n v="0.83842272620005498"/>
    <n v="0.28281049537063552"/>
    <n v="-0.13539468541470681"/>
    <n v="64.408954236461867"/>
    <n v="0.81668076225593433"/>
    <n v="64.408954236461867"/>
    <n v="64.408954236461867"/>
    <n v="0.81668076225593433"/>
    <n v="478.08754881968417"/>
    <n v="-0.36072144104055098"/>
    <x v="2"/>
    <x v="2"/>
  </r>
  <r>
    <d v="2026-03-18T21:19:50"/>
    <s v="03-18_21-19-5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5752420470688604E-2"/>
    <n v="11.39170226133878"/>
    <n v="0.78524906860940347"/>
    <n v="-2.923725823044987E-2"/>
    <n v="16.034858031624019"/>
    <n v="0.70900804540299522"/>
    <n v="16.034858031624019"/>
    <n v="16.034858031624019"/>
    <n v="0.70900804540299522"/>
    <n v="139.65521630448771"/>
    <n v="-9.0658306074848427E-2"/>
    <n v="0.8"/>
    <s v="identity"/>
    <n v="7.2075940813254163E-2"/>
    <n v="0.47663547849287891"/>
    <n v="7.2075940813254163E-2"/>
    <n v="7.2075940813254163E-2"/>
    <n v="0.47663547849287891"/>
    <n v="0.13803825566443609"/>
    <n v="-2.3362138647255999E-3"/>
    <n v="8.3829876859118066E-2"/>
    <n v="0.70954738123682293"/>
    <n v="8.3829876859118066E-2"/>
    <n v="8.3829876859118066E-2"/>
    <n v="0.70954738123682293"/>
    <n v="0.2397852315386062"/>
    <n v="0.16919538653064811"/>
    <n v="4.1886612390510669E-2"/>
    <n v="0.83183850006738613"/>
    <n v="4.1886612390510669E-2"/>
    <n v="4.1886612390510669E-2"/>
    <n v="0.83183850006738613"/>
    <n v="0.23446470307027381"/>
    <n v="5.8698378805049911E-2"/>
    <n v="63.941639696433271"/>
    <n v="0.81801082181489337"/>
    <n v="63.941639696433271"/>
    <n v="63.941639696433271"/>
    <n v="0.81801082181489337"/>
    <n v="558.00857702767644"/>
    <n v="-0.58819077577036638"/>
    <x v="0"/>
    <x v="2"/>
  </r>
  <r>
    <d v="2026-03-18T21:47:59"/>
    <s v="03-18_21-47-5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5412663854528511"/>
    <n v="57.928199462199707"/>
    <n v="0.53278115688813532"/>
    <n v="5.9842894955802563E-2"/>
    <n v="61.787664974865862"/>
    <n v="0.48144372134351571"/>
    <n v="61.787664974865862"/>
    <n v="61.787664974865862"/>
    <n v="0.48144372134351571"/>
    <n v="111.5216525311412"/>
    <n v="-3.8406804174166809E-2"/>
    <n v="0.8"/>
    <s v="identity"/>
    <n v="8.5131987842450477E-2"/>
    <n v="0.38183169613346429"/>
    <n v="8.5131987842450477E-2"/>
    <n v="8.5131987842450477E-2"/>
    <n v="0.38183169613346429"/>
    <n v="0.10576268669948349"/>
    <n v="0.23202614779321901"/>
    <n v="7.6842413719537664E-2"/>
    <n v="0.73375744861904102"/>
    <n v="7.6842413719537664E-2"/>
    <n v="7.6842413719537664E-2"/>
    <n v="0.73375744861904102"/>
    <n v="0.25900169144022289"/>
    <n v="0.1026144572616932"/>
    <n v="0.12135110625197799"/>
    <n v="0.51281369198437055"/>
    <n v="0.12135110625197799"/>
    <n v="0.12135110625197799"/>
    <n v="0.51281369198437055"/>
    <n v="0.30401651872480762"/>
    <n v="-0.2205301616761266"/>
    <n v="246.86733439164911"/>
    <n v="0.29737204863718542"/>
    <n v="246.86733439164911"/>
    <n v="246.86733439164911"/>
    <n v="0.29737204863718542"/>
    <n v="445.41782922769949"/>
    <n v="-0.26773766007544059"/>
    <x v="2"/>
    <x v="0"/>
  </r>
  <r>
    <d v="2026-03-18T21:59:20"/>
    <s v="03-18_21-59-2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520762275539031"/>
    <n v="14.045960646842399"/>
    <n v="0.73806027343533287"/>
    <n v="-0.22673000321141101"/>
    <n v="19.400742055405878"/>
    <n v="0.67250445910194512"/>
    <n v="19.400742055405878"/>
    <n v="19.400742055405878"/>
    <n v="0.67250445910194512"/>
    <n v="113.79300716147741"/>
    <n v="-0.16022789127581341"/>
    <n v="0.8"/>
    <s v="identity"/>
    <n v="8.7776852336098068E-2"/>
    <n v="0.36262656020945988"/>
    <n v="8.7776852336098068E-2"/>
    <n v="8.7776852336098068E-2"/>
    <n v="0.36262656020945988"/>
    <n v="0.1079284972303448"/>
    <n v="0.21629956303595349"/>
    <n v="8.471462678967108E-2"/>
    <n v="0.70648191169412589"/>
    <n v="8.471462678967108E-2"/>
    <n v="8.471462678967108E-2"/>
    <n v="0.70648191169412589"/>
    <n v="0.24501203302237409"/>
    <n v="0.15108563574016359"/>
    <n v="3.9560388078347018E-2"/>
    <n v="0.84117755489154211"/>
    <n v="3.9560388078347018E-2"/>
    <n v="3.9560388078347018E-2"/>
    <n v="0.84117755489154211"/>
    <n v="0.42718615956877798"/>
    <n v="-0.7150173108726503"/>
    <n v="77.390916354419147"/>
    <n v="0.77973180961265354"/>
    <n v="77.390916354419147"/>
    <n v="77.390916354419147"/>
    <n v="0.77973180961265354"/>
    <n v="454.3919019560891"/>
    <n v="-0.29327945300672331"/>
    <x v="2"/>
    <x v="2"/>
  </r>
  <r>
    <d v="2026-03-19T10:31:05"/>
    <s v="03-19_10-31-0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33704765517458"/>
    <n v="31.95868566636668"/>
    <n v="0.61861214388983332"/>
    <n v="0.1417373773018325"/>
    <n v="40.412839596707677"/>
    <n v="0.5453026920385966"/>
    <n v="40.412839596707677"/>
    <n v="40.412839596707677"/>
    <n v="0.5453026920385966"/>
    <n v="99.226579560333434"/>
    <n v="0.13069427259684269"/>
    <n v="0.8"/>
    <s v="identity"/>
    <n v="9.108601563221895E-2"/>
    <n v="0.33859775606869252"/>
    <n v="9.108601563221895E-2"/>
    <n v="9.108601563221895E-2"/>
    <n v="0.33859775606869252"/>
    <n v="0.1111863759088916"/>
    <n v="0.19264315152765821"/>
    <n v="7.7955354857236259E-2"/>
    <n v="0.72990134528112149"/>
    <n v="7.7955354857236259E-2"/>
    <n v="7.7955354857236259E-2"/>
    <n v="0.72990134528112149"/>
    <n v="0.26254425961338418"/>
    <n v="9.0340215170523042E-2"/>
    <n v="0.106604814027736"/>
    <n v="0.57201539098438203"/>
    <n v="0.106604814027736"/>
    <n v="0.106604814027736"/>
    <n v="0.57201539098438203"/>
    <n v="0.1574352470481182"/>
    <n v="0.36794728017033579"/>
    <n v="161.37571220231331"/>
    <n v="0.54069627582019142"/>
    <n v="161.37571220231331"/>
    <n v="161.37571220231331"/>
    <n v="0.54069627582019142"/>
    <n v="396.37515235876128"/>
    <n v="-0.12815355648114909"/>
    <x v="2"/>
    <x v="0"/>
  </r>
  <r>
    <d v="2026-03-19T10:31:11"/>
    <s v="03-19_10-31-1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6787792688381655E-2"/>
    <n v="9.7359230939493919"/>
    <n v="0.71046220832148821"/>
    <n v="7.3589123461825584E-2"/>
    <n v="14.250652206181741"/>
    <n v="0.66170509947390554"/>
    <n v="14.250652206181741"/>
    <n v="14.250652206181741"/>
    <n v="0.66170509947390554"/>
    <n v="103.8008276184443"/>
    <n v="5.227190741585136E-2"/>
    <n v="0.8"/>
    <s v="identity"/>
    <n v="0.11081571146992721"/>
    <n v="0.19533465460828961"/>
    <n v="0.11081571146992721"/>
    <n v="0.11081571146992721"/>
    <n v="0.19533465460828961"/>
    <n v="0.1503334500744011"/>
    <n v="-9.1615222457632761E-2"/>
    <n v="6.2732792931602013E-2"/>
    <n v="0.78264427108805812"/>
    <n v="6.2732792931602013E-2"/>
    <n v="6.2732792931602013E-2"/>
    <n v="0.78264427108805812"/>
    <n v="0.26163910490469588"/>
    <n v="9.3476382911365175E-2"/>
    <n v="4.2228281529773398E-2"/>
    <n v="0.83046680654384586"/>
    <n v="4.2228281529773398E-2"/>
    <n v="4.2228281529773398E-2"/>
    <n v="0.83046680654384586"/>
    <n v="0.15259946607452721"/>
    <n v="0.38736141121257039"/>
    <n v="56.78683203879541"/>
    <n v="0.83837466565542995"/>
    <n v="56.78683203879541"/>
    <n v="56.78683203879541"/>
    <n v="0.83837466565542995"/>
    <n v="414.63873845272258"/>
    <n v="-0.1801349420028964"/>
    <x v="2"/>
    <x v="2"/>
  </r>
  <r>
    <d v="2026-03-19T10:30:42"/>
    <s v="03-19_10-30-4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6581739136269945E-2"/>
    <n v="13.569971584289419"/>
    <n v="0.81419590988806001"/>
    <n v="0.42682083437987728"/>
    <n v="17.88892607204183"/>
    <n v="0.7410199574571682"/>
    <n v="17.88892607204183"/>
    <n v="17.88892607204183"/>
    <n v="0.7410199574571682"/>
    <n v="75.263427733762313"/>
    <n v="0.16616055494226009"/>
    <n v="0.8"/>
    <s v="identity"/>
    <n v="6.834307073807748E-2"/>
    <n v="0.50374094168488825"/>
    <n v="6.834307073807748E-2"/>
    <n v="6.834307073807748E-2"/>
    <n v="0.50374094168488825"/>
    <n v="0.1790418900892751"/>
    <n v="-0.30007561578818248"/>
    <n v="5.8179358743108887E-2"/>
    <n v="0.79842094801955676"/>
    <n v="5.8179358743108887E-2"/>
    <n v="5.8179358743108887E-2"/>
    <n v="0.79842094801955676"/>
    <n v="0.155718853613981"/>
    <n v="0.46046743097343429"/>
    <n v="3.3596080614621278E-2"/>
    <n v="0.86512236283658916"/>
    <n v="3.3596080614621278E-2"/>
    <n v="3.3596080614621278E-2"/>
    <n v="0.86512236283658916"/>
    <n v="0.15949061971348111"/>
    <n v="0.35969560903719328"/>
    <n v="71.395585778071606"/>
    <n v="0.7967955772876385"/>
    <n v="71.395585778071606"/>
    <n v="71.395585778071606"/>
    <n v="0.7967955772876385"/>
    <n v="300.55945957163198"/>
    <n v="0.14455479554659861"/>
    <x v="0"/>
    <x v="2"/>
  </r>
  <r>
    <d v="2026-03-19T13:04:23"/>
    <s v="03-19_13-04-2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966105770238709"/>
    <n v="16.537435781584989"/>
    <n v="0.68974104828173066"/>
    <n v="0.1264949236945887"/>
    <n v="19.591652763310719"/>
    <n v="0.64278186836203566"/>
    <n v="19.591652763310719"/>
    <n v="19.591652763310719"/>
    <n v="0.64278186836203566"/>
    <n v="111.9079111072551"/>
    <n v="-1.4396643554636849E-2"/>
    <n v="0.8"/>
    <s v="identity"/>
    <n v="0.1018620241679766"/>
    <n v="0.26035000116687418"/>
    <n v="0.1018620241679766"/>
    <n v="0.1018620241679766"/>
    <n v="0.26035000116687418"/>
    <n v="0.13064660634829101"/>
    <n v="5.1336717266564302E-2"/>
    <n v="8.9503559302046731E-2"/>
    <n v="0.68988928336858002"/>
    <n v="8.9503559302046731E-2"/>
    <n v="8.9503559302046731E-2"/>
    <n v="0.68988928336858002"/>
    <n v="0.2152741555327268"/>
    <n v="0.25412102976611939"/>
    <n v="3.9037294238563038E-2"/>
    <n v="0.84327761120269695"/>
    <n v="3.9037294238563038E-2"/>
    <n v="3.9037294238563038E-2"/>
    <n v="0.84327761120269695"/>
    <n v="0.2716935315556161"/>
    <n v="-9.0763592014234673E-2"/>
    <n v="78.136208175534321"/>
    <n v="0.77761057770998787"/>
    <n v="78.136208175534321"/>
    <n v="78.136208175534321"/>
    <n v="0.77761057770998787"/>
    <n v="447.01403013558303"/>
    <n v="-0.2722807292369942"/>
    <x v="2"/>
    <x v="2"/>
  </r>
  <r>
    <d v="2026-03-19T13:04:02"/>
    <s v="03-19_13-04-0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636380710994899"/>
    <n v="15.18384263782543"/>
    <n v="0.70206466307428772"/>
    <n v="-7.8665088612478673E-2"/>
    <n v="23.34753254872323"/>
    <n v="0.63971959072106577"/>
    <n v="23.34753254872323"/>
    <n v="23.34753254872323"/>
    <n v="0.63971959072106577"/>
    <n v="97.568276789604994"/>
    <n v="-7.5396651672252735E-2"/>
    <n v="0.8"/>
    <s v="identity"/>
    <n v="6.4183520415723172E-2"/>
    <n v="0.53394465515127454"/>
    <n v="6.4183520415723172E-2"/>
    <n v="6.4183520415723172E-2"/>
    <n v="0.53394465515127454"/>
    <n v="0.1348927195575865"/>
    <n v="2.0504445318761059E-2"/>
    <n v="0.1007428004283227"/>
    <n v="0.65094771336575352"/>
    <n v="0.1007428004283227"/>
    <n v="0.1007428004283227"/>
    <n v="0.65094771336575352"/>
    <n v="0.32142838858424061"/>
    <n v="-0.1136807151228227"/>
    <n v="8.9903601464614527E-2"/>
    <n v="0.63906547679996795"/>
    <n v="8.9903601464614527E-2"/>
    <n v="8.9903601464614527E-2"/>
    <n v="0.63906547679996795"/>
    <n v="0.27392012788366138"/>
    <n v="-9.9702671994676528E-2"/>
    <n v="93.135300272584672"/>
    <n v="0.73492051756726706"/>
    <n v="93.135300272584672"/>
    <n v="93.135300272584672"/>
    <n v="0.73492051756726706"/>
    <n v="389.54286592239509"/>
    <n v="-0.1087076648902754"/>
    <x v="2"/>
    <x v="0"/>
  </r>
  <r>
    <d v="2026-03-19T15:36:28"/>
    <s v="03-19_15-36-2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0841692548824257E-2"/>
    <n v="14.405322201710749"/>
    <n v="0.82390444678378039"/>
    <n v="0.10608564237981399"/>
    <n v="18.819325018126769"/>
    <n v="0.76395207452778768"/>
    <n v="18.819325018126769"/>
    <n v="18.819325018126769"/>
    <n v="0.76395207452778768"/>
    <n v="83.84072579804679"/>
    <n v="4.6160865654825363E-2"/>
    <n v="0.8"/>
    <s v="identity"/>
    <n v="6.5229350009678652E-2"/>
    <n v="0.52635058008485736"/>
    <n v="6.5229350009678652E-2"/>
    <n v="6.5229350009678652E-2"/>
    <n v="0.52635058008485736"/>
    <n v="0.18300794211054269"/>
    <n v="-0.32887428140339942"/>
    <n v="3.8543309120436187E-2"/>
    <n v="0.86645566605515456"/>
    <n v="3.8543309120436187E-2"/>
    <n v="3.8543309120436187E-2"/>
    <n v="0.86645566605515456"/>
    <n v="0.20813683922108861"/>
    <n v="0.27885030638357622"/>
    <n v="3.066944680066681E-2"/>
    <n v="0.87687187189976623"/>
    <n v="3.066944680066681E-2"/>
    <n v="3.066944680066681E-2"/>
    <n v="0.87687187189976623"/>
    <n v="0.20238703207901779"/>
    <n v="0.18748008160650551"/>
    <n v="75.142857966576145"/>
    <n v="0.78613018007137214"/>
    <n v="75.142857966576145"/>
    <n v="75.142857966576145"/>
    <n v="0.78613018007137214"/>
    <n v="334.76937137877587"/>
    <n v="4.7187356032619587E-2"/>
    <x v="0"/>
    <x v="2"/>
  </r>
  <r>
    <d v="2026-03-19T15:36:16"/>
    <s v="03-19_15-36-1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54211251780714"/>
    <n v="12.712737571962769"/>
    <n v="0.69081469984643773"/>
    <n v="0.1764704085883135"/>
    <n v="17.240801346991582"/>
    <n v="0.6659839251492593"/>
    <n v="17.240801346991582"/>
    <n v="17.240801346991582"/>
    <n v="0.6659839251492593"/>
    <n v="85.977728664477851"/>
    <n v="0.1568199522084672"/>
    <n v="0.8"/>
    <s v="identity"/>
    <n v="9.9439614205962729E-2"/>
    <n v="0.27793982956673258"/>
    <n v="9.9439614205962729E-2"/>
    <n v="9.9439614205962729E-2"/>
    <n v="0.27793982956673258"/>
    <n v="0.14374537025864101"/>
    <n v="-4.3777244881182398E-2"/>
    <n v="8.0190532424710428E-2"/>
    <n v="0.72215693240354295"/>
    <n v="8.0190532424710428E-2"/>
    <n v="8.0190532424710428E-2"/>
    <n v="0.72215693240354295"/>
    <n v="0.18622323559378759"/>
    <n v="0.35477626260064687"/>
    <n v="3.4994159242310967E-2"/>
    <n v="0.85950951936134812"/>
    <n v="3.4994159242310967E-2"/>
    <n v="3.4994159242310967E-2"/>
    <n v="0.85950951936134812"/>
    <n v="0.17593615550448441"/>
    <n v="0.2936719845906115"/>
    <n v="68.74858108209304"/>
    <n v="0.80432941926542134"/>
    <n v="68.74858108209304"/>
    <n v="68.74858108209304"/>
    <n v="0.80432941926542134"/>
    <n v="343.40500989655362"/>
    <n v="2.2608806523797931E-2"/>
    <x v="2"/>
    <x v="2"/>
  </r>
  <r>
    <d v="2026-03-19T15:36:28"/>
    <s v="03-19_15-36-2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988085201130779"/>
    <n v="22.886441810190998"/>
    <n v="0.62383470864402035"/>
    <n v="-0.45998600426746739"/>
    <n v="34.88086375971568"/>
    <n v="0.53562941586024859"/>
    <n v="34.88086375971568"/>
    <n v="34.88086375971568"/>
    <n v="0.53562941586024859"/>
    <n v="110.3383615725588"/>
    <n v="-0.42480510306790448"/>
    <n v="0.8"/>
    <s v="identity"/>
    <n v="8.7531887049157944E-2"/>
    <n v="0.36440532492260391"/>
    <n v="8.7531887049157944E-2"/>
    <n v="8.7531887049157944E-2"/>
    <n v="0.36440532492260391"/>
    <n v="0.124292208780171"/>
    <n v="9.7477859583690707E-2"/>
    <n v="9.7290101182438263E-2"/>
    <n v="0.66291057881829563"/>
    <n v="9.7290101182438263E-2"/>
    <n v="9.7290101182438263E-2"/>
    <n v="0.66291057881829563"/>
    <n v="0.49813666569211862"/>
    <n v="-0.72593715359246547"/>
    <n v="0.1216938436363114"/>
    <n v="0.51143770979475955"/>
    <n v="0.1216938436363114"/>
    <n v="0.1216938436363114"/>
    <n v="0.51143770979475955"/>
    <n v="0.45275087560666721"/>
    <n v="-0.81765155959639579"/>
    <n v="139.21693920699491"/>
    <n v="0.60376404990533561"/>
    <n v="139.21693920699491"/>
    <n v="139.21693920699491"/>
    <n v="0.60376404990533561"/>
    <n v="440.27826654015632"/>
    <n v="-0.25310955866644558"/>
    <x v="2"/>
    <x v="0"/>
  </r>
  <r>
    <d v="2026-03-19T18:34:59"/>
    <s v="03-19_18-34-5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4038159938491933E-2"/>
    <n v="7.8441699353106458"/>
    <n v="0.79623994072026527"/>
    <n v="-0.40973375542539969"/>
    <n v="11.57812538412721"/>
    <n v="0.73233689784690537"/>
    <n v="11.57812538412721"/>
    <n v="11.57812538412721"/>
    <n v="0.73233689784690537"/>
    <n v="101.61396257634679"/>
    <n v="-0.23111278442142291"/>
    <n v="0.8"/>
    <s v="identity"/>
    <n v="7.145558146454041E-2"/>
    <n v="0.48114008946345599"/>
    <n v="7.145558146454041E-2"/>
    <n v="7.145558146454041E-2"/>
    <n v="0.48114008946345599"/>
    <n v="0.11751677519379761"/>
    <n v="0.14667626777545029"/>
    <n v="7.0625653614828407E-2"/>
    <n v="0.75529719459373457"/>
    <n v="7.0625653614828407E-2"/>
    <n v="7.0625653614828407E-2"/>
    <n v="0.75529719459373457"/>
    <n v="0.49228129437725038"/>
    <n v="-0.70564954258842683"/>
    <n v="4.3790541524037489E-2"/>
    <n v="0.82419482681268752"/>
    <n v="4.3790541524037489E-2"/>
    <n v="4.3790541524037489E-2"/>
    <n v="0.82419482681268752"/>
    <n v="0.30169927102804017"/>
    <n v="-0.21122714512346619"/>
    <n v="46.126629759905157"/>
    <n v="0.8687154805177435"/>
    <n v="46.126629759905157"/>
    <n v="46.126629759905157"/>
    <n v="0.8687154805177435"/>
    <n v="405.54435296478982"/>
    <n v="-0.1542507177492638"/>
    <x v="0"/>
    <x v="2"/>
  </r>
  <r>
    <d v="2026-03-19T18:35:36"/>
    <s v="03-19_18-35-3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593078686392821"/>
    <n v="9.7844050401039819"/>
    <n v="0.73969114577807649"/>
    <n v="-0.45009236987076851"/>
    <n v="14.09733766261896"/>
    <n v="0.70694336908638278"/>
    <n v="14.09733766261896"/>
    <n v="14.09733766261896"/>
    <n v="0.70694336908638278"/>
    <n v="136.39182875698239"/>
    <n v="-0.41618357101343623"/>
    <n v="0.8"/>
    <s v="identity"/>
    <n v="8.440683620464394E-2"/>
    <n v="0.38709723461493961"/>
    <n v="8.440683620464394E-2"/>
    <n v="8.440683620464394E-2"/>
    <n v="0.38709723461493961"/>
    <n v="0.12716211895293389"/>
    <n v="7.6638601054577205E-2"/>
    <n v="6.145089572075408E-2"/>
    <n v="0.78708577113346223"/>
    <n v="6.145089572075408E-2"/>
    <n v="6.145089572075408E-2"/>
    <n v="0.78708577113346223"/>
    <n v="0.39991270555830882"/>
    <n v="-0.38561211059973138"/>
    <n v="4.6445209448516558E-2"/>
    <n v="0.81353717477242538"/>
    <n v="4.6445209448516558E-2"/>
    <n v="4.6445209448516558E-2"/>
    <n v="0.81353717477242538"/>
    <n v="0.44978894623259252"/>
    <n v="-0.80576035002338875"/>
    <n v="56.197047709102129"/>
    <n v="0.84005329582470478"/>
    <n v="56.197047709102129"/>
    <n v="56.197047709102129"/>
    <n v="0.84005329582470478"/>
    <n v="544.59045125718353"/>
    <n v="-0.55000042448519904"/>
    <x v="2"/>
    <x v="2"/>
  </r>
  <r>
    <d v="2026-03-19T18:35:52"/>
    <s v="03-19_18-35-5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14797938197188"/>
    <n v="16.529551599752558"/>
    <n v="0.6252988109805182"/>
    <n v="-0.10618385319655831"/>
    <n v="32.516307100676173"/>
    <n v="0.55696460104825829"/>
    <n v="32.516307100676173"/>
    <n v="32.516307100676173"/>
    <n v="0.55696460104825829"/>
    <n v="132.26563199945579"/>
    <n v="-0.20325852208155551"/>
    <n v="0.8"/>
    <s v="identity"/>
    <n v="8.4803423944467465E-2"/>
    <n v="0.38421749485231749"/>
    <n v="8.4803423944467465E-2"/>
    <n v="8.4803423944467465E-2"/>
    <n v="0.38421749485231749"/>
    <n v="0.17108679294816301"/>
    <n v="-0.2423113249329574"/>
    <n v="6.3707639702890159E-2"/>
    <n v="0.77926663523527839"/>
    <n v="6.3707639702890159E-2"/>
    <n v="6.3707639702890159E-2"/>
    <n v="0.77926663523527839"/>
    <n v="0.27514908124907811"/>
    <n v="4.666720036599481E-2"/>
    <n v="0.14104754831140609"/>
    <n v="0.43373870713790869"/>
    <n v="0.14104754831140609"/>
    <n v="0.14104754831140609"/>
    <n v="0.43373870713790869"/>
    <n v="0.27739279221446062"/>
    <n v="-0.1136443208724924"/>
    <n v="129.77566979074629"/>
    <n v="0.63063556696752787"/>
    <n v="129.77566979074629"/>
    <n v="129.77566979074629"/>
    <n v="0.63063556696752787"/>
    <n v="528.33889933141381"/>
    <n v="-0.50374564288677837"/>
    <x v="2"/>
    <x v="0"/>
  </r>
  <r>
    <d v="2026-03-19T20:51:53"/>
    <s v="03-19_20-51-5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4676170324407912E-2"/>
    <n v="11.083075945764451"/>
    <n v="0.80222908946302574"/>
    <n v="0.15670745483248141"/>
    <n v="13.216277523208481"/>
    <n v="0.7508574646968813"/>
    <n v="13.216277523208481"/>
    <n v="13.216277523208481"/>
    <n v="0.7508574646968813"/>
    <n v="92.25862746016999"/>
    <n v="0.18097013425116129"/>
    <n v="0.8"/>
    <s v="identity"/>
    <n v="6.8421791514849353E-2"/>
    <n v="0.50316932706282413"/>
    <n v="6.8421791514849353E-2"/>
    <n v="6.8421791514849353E-2"/>
    <n v="0.50316932706282413"/>
    <n v="0.15041150188201041"/>
    <n v="-9.2181979498626943E-2"/>
    <n v="6.7334951932736226E-2"/>
    <n v="0.76669877308750178"/>
    <n v="6.7334951932736226E-2"/>
    <n v="6.7334951932736226E-2"/>
    <n v="0.76669877308750178"/>
    <n v="0.16052768534371609"/>
    <n v="0.44380585610985301"/>
    <n v="2.9004466403838979E-2"/>
    <n v="0.88355624155655899"/>
    <n v="2.9004466403838979E-2"/>
    <n v="2.9004466403838979E-2"/>
    <n v="0.88355624155655899"/>
    <n v="0.14414618137571669"/>
    <n v="0.42129867548824201"/>
    <n v="52.700348882982553"/>
    <n v="0.85000551708064209"/>
    <n v="52.700348882982553"/>
    <n v="52.700348882982553"/>
    <n v="0.85000551708064209"/>
    <n v="368.57942447207739"/>
    <n v="-4.9042015094814762E-2"/>
    <x v="0"/>
    <x v="2"/>
  </r>
  <r>
    <d v="2026-03-19T20:53:58"/>
    <s v="03-19_20-53-5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51517806427666"/>
    <n v="15.20581329712042"/>
    <n v="0.71775703763953103"/>
    <n v="0.18293792168303999"/>
    <n v="19.168610627157861"/>
    <n v="0.68924570067750057"/>
    <n v="19.168610627157861"/>
    <n v="19.168610627157861"/>
    <n v="0.68924570067750057"/>
    <n v="84.579103141877894"/>
    <n v="0.1022319750310272"/>
    <n v="0.8"/>
    <s v="identity"/>
    <n v="7.1594153836972124E-2"/>
    <n v="0.48013387487127002"/>
    <n v="7.1594153836972124E-2"/>
    <n v="7.1594153836972124E-2"/>
    <n v="0.48013387487127002"/>
    <n v="0.1586332388115172"/>
    <n v="-0.15188241997178789"/>
    <n v="0.10612288950708421"/>
    <n v="0.63230685379808882"/>
    <n v="0.10612288950708421"/>
    <n v="0.10612288950708421"/>
    <n v="0.63230685379808882"/>
    <n v="0.26026290323580992"/>
    <n v="9.8244627762135828E-2"/>
    <n v="3.4332088406160609E-2"/>
    <n v="0.86216752435422517"/>
    <n v="3.4332088406160609E-2"/>
    <n v="3.4332088406160609E-2"/>
    <n v="0.86216752435422517"/>
    <n v="0.14350491721987191"/>
    <n v="0.42387314824088501"/>
    <n v="76.462393376881295"/>
    <n v="0.78237454968642006"/>
    <n v="76.462393376881295"/>
    <n v="76.462393376881295"/>
    <n v="0.78237454968642006"/>
    <n v="337.75401150824479"/>
    <n v="3.8692544092871373E-2"/>
    <x v="2"/>
    <x v="2"/>
  </r>
  <r>
    <d v="2026-03-19T20:55:09"/>
    <s v="03-19_20-55-0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304461023187009"/>
    <n v="25.314188478003189"/>
    <n v="0.6479387702000956"/>
    <n v="-0.61369962730864791"/>
    <n v="36.163845338408422"/>
    <n v="0.57594754606660092"/>
    <n v="36.163845338408422"/>
    <n v="36.163845338408422"/>
    <n v="0.57594754606660092"/>
    <n v="117.5999024239522"/>
    <n v="-0.57617818440573132"/>
    <n v="0.8"/>
    <s v="identity"/>
    <n v="8.041282644510872E-2"/>
    <n v="0.41609890955817558"/>
    <n v="8.041282644510872E-2"/>
    <n v="8.041282644510872E-2"/>
    <n v="0.41609890955817558"/>
    <n v="0.2070928489136544"/>
    <n v="-0.50376184557982384"/>
    <n v="9.1410748866395164E-2"/>
    <n v="0.68328127886949486"/>
    <n v="9.1410748866395164E-2"/>
    <n v="9.1410748866395164E-2"/>
    <n v="0.68328127886949486"/>
    <n v="0.41305096034131078"/>
    <n v="-0.4311333573279581"/>
    <n v="9.5807551309070718E-2"/>
    <n v="0.61536298560505831"/>
    <n v="9.5807551309070718E-2"/>
    <n v="9.5807551309070718E-2"/>
    <n v="0.61536298560505831"/>
    <n v="0.50668611358124638"/>
    <n v="-1.034184480245822"/>
    <n v="144.3877502270133"/>
    <n v="0.58904701023367156"/>
    <n v="144.3877502270133"/>
    <n v="144.3877502270133"/>
    <n v="0.58904701023367156"/>
    <n v="469.27277977297189"/>
    <n v="-0.3356330544693169"/>
    <x v="2"/>
    <x v="0"/>
  </r>
  <r>
    <d v="2026-03-19T23:08:22"/>
    <s v="03-19_23-08-2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7.7815856185425192E-2"/>
    <n v="12.024451592572561"/>
    <n v="0.79080565481278531"/>
    <n v="-0.21370882728701529"/>
    <n v="15.97049355309848"/>
    <n v="0.72859447965005208"/>
    <n v="15.97049355309848"/>
    <n v="15.97049355309848"/>
    <n v="0.72859447965005208"/>
    <n v="136.92530021789759"/>
    <n v="-0.21903577222439871"/>
    <n v="0.8"/>
    <s v="identity"/>
    <n v="7.3161373598674515E-2"/>
    <n v="0.46875383305114232"/>
    <n v="7.3161373598674515E-2"/>
    <n v="7.3161373598674515E-2"/>
    <n v="0.46875383305114232"/>
    <n v="0.15416447306615219"/>
    <n v="-0.11943340273162351"/>
    <n v="6.4922028305170132E-2"/>
    <n v="0.77505903809993792"/>
    <n v="6.4922028305170132E-2"/>
    <n v="6.4922028305170132E-2"/>
    <n v="0.77505903809993792"/>
    <n v="0.30771001676333593"/>
    <n v="-6.614948676082677E-2"/>
    <n v="3.6892970303362548E-2"/>
    <n v="0.8518863935487816"/>
    <n v="3.6892970303362548E-2"/>
    <n v="3.6892970303362548E-2"/>
    <n v="0.8518863935487816"/>
    <n v="0.28241936599164907"/>
    <n v="-0.13382442467304401"/>
    <n v="63.706997840186922"/>
    <n v="0.81867865390035177"/>
    <n v="63.706997840186922"/>
    <n v="63.706997840186922"/>
    <n v="0.81867865390035177"/>
    <n v="546.95690701577098"/>
    <n v="-0.55673577473210156"/>
    <x v="0"/>
    <x v="2"/>
  </r>
  <r>
    <d v="2026-03-19T23:12:06"/>
    <s v="03-19_23-12-0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9.8786306252516165E-2"/>
    <n v="11.393903909357039"/>
    <n v="0.75410442251586218"/>
    <n v="-0.44773999769570477"/>
    <n v="14.99287001295448"/>
    <n v="0.707831614980444"/>
    <n v="14.99287001295448"/>
    <n v="14.99287001295448"/>
    <n v="0.707831614980444"/>
    <n v="134.61688853591761"/>
    <n v="-0.41497308957145962"/>
    <n v="0.8"/>
    <s v="identity"/>
    <n v="8.4528010474506601E-2"/>
    <n v="0.38621735274243019"/>
    <n v="8.4528010474506601E-2"/>
    <n v="8.4528010474506601E-2"/>
    <n v="0.38621735274243019"/>
    <n v="0.1422376047413785"/>
    <n v="-3.2828917747560922E-2"/>
    <n v="6.7288020658605147E-2"/>
    <n v="0.76686137992869008"/>
    <n v="6.7288020658605147E-2"/>
    <n v="6.7288020658605147E-2"/>
    <n v="0.76686137992869008"/>
    <n v="0.59396803477735993"/>
    <n v="-1.057972379616317"/>
    <n v="3.7761988897606437E-2"/>
    <n v="0.84839755876512901"/>
    <n v="3.7761988897606437E-2"/>
    <n v="3.7761988897606437E-2"/>
    <n v="0.84839755876512901"/>
    <n v="0.25888706767018421"/>
    <n v="-3.9349690223146487E-2"/>
    <n v="59.781902031787332"/>
    <n v="0.82985016848552273"/>
    <n v="59.781902031787332"/>
    <n v="59.781902031787332"/>
    <n v="0.82985016848552273"/>
    <n v="537.47246143648374"/>
    <n v="-0.52974137069882299"/>
    <x v="2"/>
    <x v="2"/>
  </r>
  <r>
    <d v="2026-03-19T23:14:59"/>
    <s v="03-19_23-14-5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25767923550846"/>
    <n v="15.991806027925991"/>
    <n v="0.70038193194787124"/>
    <n v="-0.35416701816128371"/>
    <n v="24.536078202009531"/>
    <n v="0.64067789799952279"/>
    <n v="24.536078202009531"/>
    <n v="24.536078202009531"/>
    <n v="0.64067789799952279"/>
    <n v="198.67241027262619"/>
    <n v="-0.27609001966392788"/>
    <n v="0.8"/>
    <s v="identity"/>
    <n v="6.3947332974128773E-2"/>
    <n v="0.5356596813578185"/>
    <n v="6.3947332974128773E-2"/>
    <n v="6.3947332974128773E-2"/>
    <n v="0.5356596813578185"/>
    <n v="0.12698321159049011"/>
    <n v="7.7937699825720519E-2"/>
    <n v="7.1036448229759047E-2"/>
    <n v="0.75387387899133984"/>
    <n v="7.1036448229759047E-2"/>
    <n v="7.1036448229759047E-2"/>
    <n v="0.75387387899133984"/>
    <n v="0.1852903047135977"/>
    <n v="0.35800866884325139"/>
    <n v="0.11163715839843839"/>
    <n v="0.55181212007612213"/>
    <n v="0.11163715839843839"/>
    <n v="0.11163715839843839"/>
    <n v="0.55181212007612213"/>
    <n v="0.31889836507518038"/>
    <n v="-0.28027606761652518"/>
    <n v="97.897691868435643"/>
    <n v="0.72136591157281171"/>
    <n v="97.897691868435643"/>
    <n v="97.897691868435643"/>
    <n v="0.72136591157281171"/>
    <n v="794.05846920912586"/>
    <n v="-1.2600303797081629"/>
    <x v="2"/>
    <x v="0"/>
  </r>
  <r>
    <d v="2026-03-20T01:26:33"/>
    <s v="03-20_01-26-3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4881515711234349E-2"/>
    <n v="9.4310473419318086"/>
    <n v="0.77434288154566278"/>
    <n v="-8.3936477843008978E-2"/>
    <n v="14.880756193460289"/>
    <n v="0.74978906095686881"/>
    <n v="14.880756193460289"/>
    <n v="14.880756193460289"/>
    <n v="0.74978906095686881"/>
    <n v="108.5299242930589"/>
    <n v="9.8725069432453738E-4"/>
    <n v="0.8"/>
    <s v="identity"/>
    <n v="6.0507330913955958E-2"/>
    <n v="0.56063854409469993"/>
    <n v="6.0507330913955958E-2"/>
    <n v="6.0507330913955958E-2"/>
    <n v="0.56063854409469993"/>
    <n v="0.17910578005788541"/>
    <n v="-0.30053953956737378"/>
    <n v="4.9537396389767632E-2"/>
    <n v="0.82836350180618723"/>
    <n v="4.9537396389767632E-2"/>
    <n v="4.9537396389767632E-2"/>
    <n v="0.82836350180618723"/>
    <n v="0.27472633502985983"/>
    <n v="4.8131925724598901E-2"/>
    <n v="5.5023660943899377E-2"/>
    <n v="0.77909740539901184"/>
    <n v="5.5023660943899377E-2"/>
    <n v="5.5023660943899377E-2"/>
    <n v="0.77909740539901184"/>
    <n v="0.12696274018977571"/>
    <n v="0.49028475669461619"/>
    <n v="59.357956385593617"/>
    <n v="0.83105679252757481"/>
    <n v="59.357956385593617"/>
    <n v="59.357956385593617"/>
    <n v="0.83105679252757481"/>
    <n v="433.53890231695959"/>
    <n v="-0.23392814007454679"/>
    <x v="0"/>
    <x v="2"/>
  </r>
  <r>
    <d v="2026-03-20T01:31:28"/>
    <s v="03-20_01-31-2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34657462132253"/>
    <n v="13.684271806658201"/>
    <n v="0.66908022468521933"/>
    <n v="-0.10577246174281391"/>
    <n v="22.457824876929479"/>
    <n v="0.63955932678068061"/>
    <n v="22.457824876929479"/>
    <n v="22.457824876929479"/>
    <n v="0.63955932678068061"/>
    <n v="114.61128320164779"/>
    <n v="-0.2005015546606409"/>
    <n v="0.8"/>
    <s v="identity"/>
    <n v="9.7806385486319494E-2"/>
    <n v="0.28979918176835628"/>
    <n v="9.7806385486319494E-2"/>
    <n v="9.7806385486319494E-2"/>
    <n v="0.28979918176835628"/>
    <n v="0.1175937088183376"/>
    <n v="0.14611763018930371"/>
    <n v="6.8437555065317998E-2"/>
    <n v="0.76287848872930009"/>
    <n v="6.8437555065317998E-2"/>
    <n v="6.8437555065317998E-2"/>
    <n v="0.76287848872930009"/>
    <n v="0.34739794737696439"/>
    <n v="-0.20365968970902371"/>
    <n v="5.9632975614383563E-2"/>
    <n v="0.76059246493202814"/>
    <n v="5.9632975614383563E-2"/>
    <n v="5.9632975614383563E-2"/>
    <n v="0.76059246493202814"/>
    <n v="0.35918003583144631"/>
    <n v="-0.44199423453374242"/>
    <n v="89.605422591551473"/>
    <n v="0.74496717169304505"/>
    <n v="89.605422591551473"/>
    <n v="89.605422591551473"/>
    <n v="0.74496717169304505"/>
    <n v="457.62096111456549"/>
    <n v="-0.30246992458912492"/>
    <x v="2"/>
    <x v="2"/>
  </r>
  <r>
    <d v="2026-03-20T01:37:10"/>
    <s v="03-20_01-37-1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61954617466139"/>
    <n v="22.248770601420091"/>
    <n v="0.64055852428738036"/>
    <n v="0.11074658726875281"/>
    <n v="38.527574728466391"/>
    <n v="0.5537751402216704"/>
    <n v="38.527574728466391"/>
    <n v="38.527574728466391"/>
    <n v="0.5537751402216704"/>
    <n v="83.460642059114917"/>
    <n v="0.1075470124742287"/>
    <n v="0.8"/>
    <s v="identity"/>
    <n v="8.1321430331290107E-2"/>
    <n v="0.40950127055734858"/>
    <n v="8.1321430331290107E-2"/>
    <n v="8.1321430331290107E-2"/>
    <n v="0.40950127055734858"/>
    <n v="0.14044589711814809"/>
    <n v="-1.9818803799243501E-2"/>
    <n v="8.5474943898886088E-2"/>
    <n v="0.70384757530075293"/>
    <n v="8.5474943898886088E-2"/>
    <n v="8.5474943898886088E-2"/>
    <n v="0.70384757530075293"/>
    <n v="0.20605874031195329"/>
    <n v="0.28605047525918609"/>
    <n v="0.11468508810162351"/>
    <n v="0.53957564638380495"/>
    <n v="0.11468508810162351"/>
    <n v="0.11468508810162351"/>
    <n v="0.53957564638380495"/>
    <n v="0.22105955965876259"/>
    <n v="0.1125157895298714"/>
    <n v="153.82881745153381"/>
    <n v="0.56217606864477965"/>
    <n v="153.82881745153381"/>
    <n v="153.82881745153381"/>
    <n v="0.56217606864477965"/>
    <n v="333.27500403937"/>
    <n v="5.1440588907101459E-2"/>
    <x v="2"/>
    <x v="0"/>
  </r>
  <r>
    <d v="2026-03-20T03:44:09"/>
    <s v="03-20_03-44-0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593418608082623E-2"/>
    <n v="7.6784036815388133"/>
    <n v="0.82836370625765066"/>
    <n v="0.14683390671686511"/>
    <n v="12.30772013412383"/>
    <n v="0.79122302403161515"/>
    <n v="12.30772013412383"/>
    <n v="12.30772013412383"/>
    <n v="0.79122302403161515"/>
    <n v="98.478721737514746"/>
    <n v="-2.0635236461810921E-2"/>
    <n v="0.8"/>
    <s v="identity"/>
    <n v="5.296289303670651E-2"/>
    <n v="0.61542091772888163"/>
    <n v="5.296289303670651E-2"/>
    <n v="5.296289303670651E-2"/>
    <n v="0.61542091772888163"/>
    <n v="0.2111631001846587"/>
    <n v="-0.53331713247343893"/>
    <n v="4.9682778493104512E-2"/>
    <n v="0.82785978386912695"/>
    <n v="4.9682778493104512E-2"/>
    <n v="4.9682778493104512E-2"/>
    <n v="0.82785978386912695"/>
    <n v="0.20652559699699069"/>
    <n v="0.28443291655772102"/>
    <n v="3.4538035995965617E-2"/>
    <n v="0.86134070992277301"/>
    <n v="3.4538035995965617E-2"/>
    <n v="3.4538035995965617E-2"/>
    <n v="0.86134070992277301"/>
    <n v="0.17789711928249921"/>
    <n v="0.28579933527846069"/>
    <n v="49.093696828969563"/>
    <n v="0.86027068460567924"/>
    <n v="49.093696828969563"/>
    <n v="49.093696828969563"/>
    <n v="0.86027068460567924"/>
    <n v="393.3193011335959"/>
    <n v="-0.1194560652099825"/>
    <x v="0"/>
    <x v="2"/>
  </r>
  <r>
    <d v="2026-03-20T03:50:32"/>
    <s v="03-20_03-50-3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08377197994392"/>
    <n v="8.1551134322014711"/>
    <n v="0.80364554018025736"/>
    <n v="-0.30533945677351398"/>
    <n v="12.7521039444577"/>
    <n v="0.74650253507842712"/>
    <n v="12.7521039444577"/>
    <n v="12.7521039444577"/>
    <n v="0.74650253507842712"/>
    <n v="107.7957254400624"/>
    <n v="-0.30624478132685901"/>
    <n v="0.8"/>
    <s v="identity"/>
    <n v="7.4625262033020834E-2"/>
    <n v="0.45812411027074151"/>
    <n v="7.4625262033020834E-2"/>
    <n v="7.4625262033020834E-2"/>
    <n v="0.45812411027074151"/>
    <n v="0.17040809415580341"/>
    <n v="-0.2373830941710304"/>
    <n v="5.6494477040852739E-2"/>
    <n v="0.8042587032574523"/>
    <n v="5.6494477040852739E-2"/>
    <n v="5.6494477040852739E-2"/>
    <n v="0.8042587032574523"/>
    <n v="0.41808673526419438"/>
    <n v="-0.44858124188481557"/>
    <n v="3.2794678084906513E-2"/>
    <n v="0.86833974050824736"/>
    <n v="3.2794678084906513E-2"/>
    <n v="3.2794678084906513E-2"/>
    <n v="0.86833974050824736"/>
    <n v="0.3273979055627716"/>
    <n v="-0.31439903425335741"/>
    <n v="50.844501360671899"/>
    <n v="0.85528758627726642"/>
    <n v="50.844501360671899"/>
    <n v="50.844501360671899"/>
    <n v="0.85528758627726642"/>
    <n v="430.26700902526699"/>
    <n v="-0.22461575499822661"/>
    <x v="2"/>
    <x v="2"/>
  </r>
  <r>
    <d v="2026-03-20T03:58:30"/>
    <s v="03-20_03-58-3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3028882632565039"/>
    <n v="15.465369051756779"/>
    <n v="0.66133080097454888"/>
    <n v="-0.20919948349734979"/>
    <n v="32.784886168570992"/>
    <n v="0.54893057116752109"/>
    <n v="32.784886168570992"/>
    <n v="32.784886168570992"/>
    <n v="0.54893057116752109"/>
    <n v="118.57664475636"/>
    <n v="-0.13074473786991889"/>
    <n v="0.8"/>
    <s v="identity"/>
    <n v="9.1616927631470488E-2"/>
    <n v="0.33474264850692498"/>
    <n v="9.1616927631470488E-2"/>
    <n v="9.1616927631470488E-2"/>
    <n v="0.33474264850692498"/>
    <n v="0.13153456436952751"/>
    <n v="4.4888993939484312E-2"/>
    <n v="5.0997328868731193E-2"/>
    <n v="0.8233051475818931"/>
    <n v="5.0997328868731193E-2"/>
    <n v="5.0997328868731193E-2"/>
    <n v="0.8233051475818931"/>
    <n v="0.31491343388739301"/>
    <n v="-9.1107788575370385E-2"/>
    <n v="0.14693644798744609"/>
    <n v="0.41009663760879289"/>
    <n v="0.14693644798744609"/>
    <n v="0.14693644798744609"/>
    <n v="0.41009663760879289"/>
    <n v="0.28118553802694379"/>
    <n v="-0.12887099565688789"/>
    <n v="130.84999396979629"/>
    <n v="0.62757785097247476"/>
    <n v="130.84999396979629"/>
    <n v="130.84999396979629"/>
    <n v="0.62757785097247476"/>
    <n v="473.57894548915391"/>
    <n v="-0.34788916118690172"/>
    <x v="2"/>
    <x v="0"/>
  </r>
  <r>
    <d v="2026-03-20T10:19:50"/>
    <s v="03-20_10-19-5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7784041639561878E-2"/>
    <n v="14.422980848629679"/>
    <n v="0.77778767990865105"/>
    <n v="0.14197253484814079"/>
    <n v="17.9926370330409"/>
    <n v="0.73455659367161918"/>
    <n v="17.9926370330409"/>
    <n v="17.9926370330409"/>
    <n v="0.73455659367161918"/>
    <n v="90.739933187346281"/>
    <n v="0.15693250629997141"/>
    <n v="0.8"/>
    <s v="identity"/>
    <n v="6.6188026342499942E-2"/>
    <n v="0.51938935037982725"/>
    <n v="6.6188026342499942E-2"/>
    <n v="6.6188026342499942E-2"/>
    <n v="0.51938935037982725"/>
    <n v="0.1404463813769225"/>
    <n v="-1.9822320144071929E-2"/>
    <n v="7.0523224222633407E-2"/>
    <n v="0.75565209056061478"/>
    <n v="7.0523224222633407E-2"/>
    <n v="7.0523224222633407E-2"/>
    <n v="0.75565209056061478"/>
    <n v="0.1903207877666839"/>
    <n v="0.34057911948499392"/>
    <n v="3.2993186520255083E-2"/>
    <n v="0.86754279192891892"/>
    <n v="3.2993186520255083E-2"/>
    <n v="3.2993186520255083E-2"/>
    <n v="0.86754279192891892"/>
    <n v="0.1647426672698408"/>
    <n v="0.33861029933105519"/>
    <n v="71.800843695078314"/>
    <n v="0.79564214181711879"/>
    <n v="71.800843695078314"/>
    <n v="71.800843695078314"/>
    <n v="0.79564214181711879"/>
    <n v="362.4642229129704"/>
    <n v="-3.1637073472082999E-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FF658-778F-488E-A79F-972E77E6F35D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1" firstHeaderRow="0" firstDataRow="1" firstDataCol="1"/>
  <pivotFields count="78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sd="0" x="0"/>
        <item sd="0" x="2"/>
        <item sd="0" x="1"/>
        <item sd="0" x="3"/>
        <item sd="0" x="4"/>
        <item sd="0" x="5"/>
        <item sd="0"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2">
    <field x="22"/>
    <field x="2"/>
  </rowFields>
  <rowItems count="8">
    <i>
      <x v="4"/>
    </i>
    <i>
      <x v="6"/>
    </i>
    <i>
      <x v="1"/>
    </i>
    <i>
      <x v="3"/>
    </i>
    <i>
      <x/>
    </i>
    <i>
      <x v="5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3"/>
    <dataField name="Promedio de Val Global Closed R2" fld="38" subtotal="average" baseField="22" baseItem="3"/>
    <dataField name="Promedio de global open R2" fld="43" subtotal="average" baseField="22" baseItem="3"/>
    <dataField name="Promedio de global closed R2" fld="45" subtotal="average" baseField="22" baseItem="3"/>
    <dataField name="Promedio de Surge Velocity Global open R2" fld="52" subtotal="average" baseField="22" baseItem="3"/>
    <dataField name="Promedio de Sway Velocity Global open R2" fld="59" subtotal="average" baseField="22" baseItem="3"/>
    <dataField name="Promedio de Yaw Rate Global open R2" fld="66" subtotal="average" baseField="22" baseItem="3"/>
    <dataField name="Promedio de Yaw Angle Global open R2" fld="73" subtotal="average" baseField="22" baseItem="3"/>
    <dataField name="Promedio de Surge Velocity Global closed R2" fld="54" subtotal="average" baseField="22" baseItem="3"/>
    <dataField name="Promedio de Sway Velocity Global closed R2" fld="61" subtotal="average" baseField="22" baseItem="3"/>
    <dataField name="Promedio de Yaw Rate Global closed R2" fld="68" subtotal="average" baseField="22" baseItem="3"/>
    <dataField name="Promedio de Yaw Angle Global closed R2" fld="75" subtotal="average" baseField="22" baseItem="3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44130-9661-4AFB-BB34-FB377E09B496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5" firstHeaderRow="0" firstDataRow="1" firstDataCol="1"/>
  <pivotFields count="78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0"/>
        <item sd="0" x="2"/>
        <item sd="0" x="1"/>
        <item sd="0" x="3"/>
        <item sd="0"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</pivotFields>
  <rowFields count="3">
    <field x="76"/>
    <field x="22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Surge Velocity Global open R2" fld="52" subtotal="average" baseField="76" baseItem="1"/>
    <dataField name="Promedio de Sway Velocity Global open R2" fld="59" subtotal="average" baseField="76" baseItem="1"/>
    <dataField name="Promedio de Surge Velocity Global closed R2" fld="54" subtotal="average" baseField="76" baseItem="1"/>
    <dataField name="Promedio de Sway Velocity Global closed R2" fld="61" subtotal="average" baseField="76" baseItem="1"/>
    <dataField name="Promedio de global open R2" fld="43" subtotal="average" baseField="76" baseItem="1"/>
    <dataField name="Promedio de global closed R2" fld="45" subtotal="average" baseField="7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42ECB-1301-4A6C-A9E6-877741A66FBD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5" firstHeaderRow="0" firstDataRow="1" firstDataCol="1"/>
  <pivotFields count="78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4">
        <item sd="0" x="0"/>
        <item sd="0" x="1"/>
        <item sd="0" x="2"/>
        <item t="default"/>
      </items>
    </pivotField>
  </pivotFields>
  <rowFields count="3">
    <field x="77"/>
    <field x="22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Yaw Rate Global open R2" fld="66" subtotal="average" baseField="77" baseItem="1"/>
    <dataField name="Promedio de Yaw Angle Global open R2" fld="73" subtotal="average" baseField="77" baseItem="1"/>
    <dataField name="Promedio de Yaw Rate Global closed R2" fld="68" subtotal="average" baseField="77" baseItem="1"/>
    <dataField name="Promedio de Yaw Angle Global closed R2" fld="75" subtotal="average" baseField="77" baseItem="1"/>
    <dataField name="Promedio de global open R2" fld="43" subtotal="average" baseField="77" baseItem="1"/>
    <dataField name="Promedio de global closed R2" fld="45" subtotal="average" baseField="7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38574-B29B-44CA-B21C-C97DD0B75F77}" name="Tabla1" displayName="Tabla1" ref="A1:BZ71" totalsRowShown="0" headerRowDxfId="5" headerRowBorderDxfId="4" tableBorderDxfId="3">
  <tableColumns count="78">
    <tableColumn id="1" xr3:uid="{F1A93649-25E8-49A9-96CE-BD40596F551D}" name="date" dataDxfId="2"/>
    <tableColumn id="2" xr3:uid="{CFAE476A-32F1-46C2-AA7A-4123F1F0F17C}" name="model_id"/>
    <tableColumn id="3" xr3:uid="{49DA4D36-4B9B-4106-854E-4324D322B298}" name="run"/>
    <tableColumn id="4" xr3:uid="{58FEC938-08E4-4AF5-A5AD-9BEA9EB7A5F9}" name="weight_selection"/>
    <tableColumn id="5" xr3:uid="{1930C8B6-028C-435F-BB23-0F25ABAC4935}" name="data"/>
    <tableColumn id="6" xr3:uid="{C8D463B2-D64B-4F0A-97A5-0274A9850E76}" name="data_n"/>
    <tableColumn id="7" xr3:uid="{21087C72-B78F-4EC9-8D8D-0CEBF17F883F}" name="data_dt"/>
    <tableColumn id="8" xr3:uid="{A0F853F7-FB02-4565-A227-D50C3DC49504}" name="features"/>
    <tableColumn id="9" xr3:uid="{D26A4272-59FD-4701-9B91-BD4BF6623A15}" name="targets"/>
    <tableColumn id="10" xr3:uid="{72592030-CD38-4EEA-A9FE-7DB22DA55033}" name="window_size"/>
    <tableColumn id="11" xr3:uid="{6A54CE56-2110-4EDD-AACB-88210F77AB1D}" name="horizon"/>
    <tableColumn id="12" xr3:uid="{CBB3E9DE-F364-4913-9463-C9565532E85C}" name="predict"/>
    <tableColumn id="13" xr3:uid="{2BAFC512-233E-438B-9BD2-8569487B5EC1}" name="norm"/>
    <tableColumn id="14" xr3:uid="{DCB0B841-F22F-49D2-B65C-3905EC1ED16B}" name="reconstruct_train"/>
    <tableColumn id="15" xr3:uid="{307A4225-75B9-4DDA-A7E1-3B328DDD0402}" name="reconstruct_val"/>
    <tableColumn id="16" xr3:uid="{F8570B30-9767-4275-BB64-89B7CF3050F2}" name="model"/>
    <tableColumn id="17" xr3:uid="{BB5DA3D7-F2B5-4AB0-97DA-B41FA96042BF}" name="heads_config"/>
    <tableColumn id="18" xr3:uid="{75225FCA-657C-410E-835E-21772345B3B7}" name="head_number"/>
    <tableColumn id="19" xr3:uid="{5D058674-F8EB-47EE-B97B-1DF7CE262D55}" name="encoding"/>
    <tableColumn id="20" xr3:uid="{64C80373-43F7-47D9-B5DC-1A69A4AE971B}" name="ansatz"/>
    <tableColumn id="21" xr3:uid="{95B09DC1-4F26-4583-ABD4-104B0FB9EC61}" name="entangle"/>
    <tableColumn id="22" xr3:uid="{1F4B0BA1-B62E-4DCA-A3FB-7C5209528FEC}" name="reps"/>
    <tableColumn id="23" xr3:uid="{A98B3189-0CCD-448F-86F9-E25513BB6F00}" name="map"/>
    <tableColumn id="24" xr3:uid="{D3C673A7-8BB0-4E88-B900-230944C1C717}" name="reorder"/>
    <tableColumn id="25" xr3:uid="{71408807-6621-4B71-88CA-C520BE965BF9}" name="optimizer"/>
    <tableColumn id="26" xr3:uid="{BE75590B-B10E-4166-B2C2-0AEEBC7DD3E1}" name="maxiter"/>
    <tableColumn id="27" xr3:uid="{DA26BA15-EC0E-4CCD-839D-E790DF17C42A}" name="iterations"/>
    <tableColumn id="28" xr3:uid="{4BF415A3-EF59-45EB-AE99-52A24B781B8D}" name="tolerance"/>
    <tableColumn id="29" xr3:uid="{61B1ABC8-A291-48F0-A06B-EC009CA10468}" name="batch_size"/>
    <tableColumn id="30" xr3:uid="{D52158E5-02C1-40DD-98DB-F64A7DACD20C}" name="learning_rate"/>
    <tableColumn id="31" xr3:uid="{98381649-A101-43A1-B795-DED51F8DB0B9}" name="perturbation"/>
    <tableColumn id="32" xr3:uid="{37EDDF12-33CC-48C2-9A47-62D07EECF55B}" name="weights"/>
    <tableColumn id="33" xr3:uid="{978E67EA-D709-4D44-9D7F-19DD4C133BDC}" name="total params"/>
    <tableColumn id="34" xr3:uid="{C42490A0-65D3-4531-8B65-8E1CD7BE7E41}" name="q params"/>
    <tableColumn id="35" xr3:uid="{97E4B1C6-0E8A-49AB-B9EE-38B720422DBD}" name="c params"/>
    <tableColumn id="36" xr3:uid="{69E62FAA-DAAA-4CFA-A3A2-221F1115272F}" name="final val loss"/>
    <tableColumn id="37" xr3:uid="{D1CB5CF8-04C3-49B1-9D33-B5E28EDB635F}" name="Val Global Open MSE"/>
    <tableColumn id="38" xr3:uid="{68AECD20-9BEA-428C-82E3-C05950DD447C}" name="Val Global Open R2"/>
    <tableColumn id="39" xr3:uid="{7DA90784-EC3E-45F6-A45C-BF810B614F6A}" name="Val Global Closed R2"/>
    <tableColumn id="40" xr3:uid="{0EFBA17B-4C30-4BDB-BE9A-1EB1405F5A35}" name="step MSE"/>
    <tableColumn id="41" xr3:uid="{2EC8F3DF-0EED-419F-B278-20B7A1B6BE4D}" name="step R2"/>
    <tableColumn id="42" xr3:uid="{F8A6EF83-2E0D-4611-B162-E45AC13FA962}" name="local MSE"/>
    <tableColumn id="43" xr3:uid="{7D5DDCC0-45A3-42E0-BC75-6D8F9C9F95A1}" name="global open MSE"/>
    <tableColumn id="44" xr3:uid="{074FBA59-BABB-4A1A-8B4D-4E0B45177B42}" name="global open R2"/>
    <tableColumn id="45" xr3:uid="{E72B1CC3-DCB1-499B-BC06-0581AF77C869}" name="global closed MSE"/>
    <tableColumn id="46" xr3:uid="{DAE0269F-1D78-44EF-AE68-26F145B86E23}" name="global closed R2"/>
    <tableColumn id="47" xr3:uid="{E7FB5DA1-E70C-49BE-8435-7DBFF09A82B6}" name="recursivity"/>
    <tableColumn id="48" xr3:uid="{CB862CDC-9D20-4806-800B-16C01F71D213}" name="initialization"/>
    <tableColumn id="49" xr3:uid="{8A0E1993-ECD7-48A2-90B0-4651F6A8A2C6}" name="Surge Velocity Step MSE"/>
    <tableColumn id="50" xr3:uid="{49F106B1-B220-44F3-A570-702D58D57ACC}" name="Surge Velocity Step R2"/>
    <tableColumn id="51" xr3:uid="{92D94C10-85C0-49A0-A2C6-058246A3C2E2}" name="Surge Velocity Local MSE"/>
    <tableColumn id="52" xr3:uid="{AA3D1687-2AD9-4569-857D-1D5AF08E90BB}" name="Surge Velocity Global open MSE"/>
    <tableColumn id="53" xr3:uid="{2260C3D4-F08B-49AA-B3BF-2E01DD9994E2}" name="Surge Velocity Global open R2"/>
    <tableColumn id="54" xr3:uid="{8FDF7813-ACE9-4D9B-87F2-9162C3796971}" name="Surge Velocity Global closed MSE"/>
    <tableColumn id="55" xr3:uid="{0CA29E7B-D719-4C8C-BF9F-A5AD9F2891D6}" name="Surge Velocity Global closed R2"/>
    <tableColumn id="56" xr3:uid="{CD1CFCEA-5BD3-4431-A0BD-E7F9142FCA44}" name="Sway Velocity Step MSE"/>
    <tableColumn id="57" xr3:uid="{87A62718-3462-40C3-891E-BC515FAB04ED}" name="Sway Velocity Step R2"/>
    <tableColumn id="58" xr3:uid="{86FEA47F-5FB4-4862-82E8-EA26F628B27D}" name="Sway Velocity Local MSE"/>
    <tableColumn id="59" xr3:uid="{4C54B552-D671-447D-983B-7006D18BBA4E}" name="Sway Velocity Global open MSE"/>
    <tableColumn id="60" xr3:uid="{CACA2C99-CB71-42E5-B541-C16F90AE6D79}" name="Sway Velocity Global open R2"/>
    <tableColumn id="61" xr3:uid="{57AB8468-CA43-4AA0-9A0A-92A16A0F85A5}" name="Sway Velocity Global closed MSE"/>
    <tableColumn id="62" xr3:uid="{B500C747-9CA6-4440-B0B7-84540E5AAEC9}" name="Sway Velocity Global closed R2"/>
    <tableColumn id="63" xr3:uid="{DADC029F-3675-41D1-B3BF-012424EAECE3}" name="Yaw Rate Step MSE"/>
    <tableColumn id="64" xr3:uid="{29CEBB83-798C-4B69-AC4B-317199DAA731}" name="Yaw Rate Step R2"/>
    <tableColumn id="65" xr3:uid="{842060D2-37A2-4B0E-92FA-E169265FDC7E}" name="Yaw Rate Local MSE"/>
    <tableColumn id="66" xr3:uid="{4AE978F5-013D-4F94-AFAD-51C175F34142}" name="Yaw Rate Global open MSE"/>
    <tableColumn id="67" xr3:uid="{23A34957-27EC-4189-B5E7-DE5804062D00}" name="Yaw Rate Global open R2"/>
    <tableColumn id="68" xr3:uid="{FD629F11-78DD-4D0C-89AA-D52B12E1E8C2}" name="Yaw Rate Global closed MSE"/>
    <tableColumn id="69" xr3:uid="{6C451DFD-70E4-4B49-ABF0-93984AC1978F}" name="Yaw Rate Global closed R2"/>
    <tableColumn id="70" xr3:uid="{4B61A737-46A4-4223-98BD-8FDEE728204E}" name="Yaw Angle Step MSE"/>
    <tableColumn id="71" xr3:uid="{EDD313FC-AAAB-4718-B48B-AA30916EA2FB}" name="Yaw Angle Step R2"/>
    <tableColumn id="72" xr3:uid="{5F6FA232-4FC3-4596-A17A-ADA4C949C7FD}" name="Yaw Angle Local MSE"/>
    <tableColumn id="73" xr3:uid="{00F83BCE-F05D-4D36-B675-686905040A39}" name="Yaw Angle Global open MSE"/>
    <tableColumn id="74" xr3:uid="{1C79AA8C-CB2A-4E16-B4A8-B88DB73D3B33}" name="Yaw Angle Global open R2"/>
    <tableColumn id="75" xr3:uid="{ABD7005B-6000-4126-9910-45CE34BC01F0}" name="Yaw Angle Global closed MSE"/>
    <tableColumn id="76" xr3:uid="{D0203ED5-ECC7-452A-9CC4-0CACF7D4A390}" name="Yaw Angle Global closed R2"/>
    <tableColumn id="77" xr3:uid="{505CEAB0-86F7-4C02-9BD1-366ECF35090D}" name="not surge and sway" dataDxfId="1">
      <calculatedColumnFormula>SUBSTITUTE(TRIM(MID(SUBSTITUTE(SUBSTITUTE(SUBSTITUTE(Tabla1[[#This Row],[map]],"[",""),"]",""),",",REPT(" ",100)),1,300))," ",", ")</calculatedColumnFormula>
    </tableColumn>
    <tableColumn id="78" xr3:uid="{19770200-085E-42D4-ABC8-53F9562511A6}" name="not yaw" dataDxfId="0">
      <calculatedColumnFormula>SUBSTITUTE(TRIM(MID(SUBSTITUTE(SUBSTITUTE(SUBSTITUTE(Tabla1[[#This Row],[map]],"[",""),"]",""),",",REPT(" ",100)),601,300))," ",", 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1"/>
  <sheetViews>
    <sheetView tabSelected="1" topLeftCell="A43" workbookViewId="0">
      <selection activeCell="Y71" sqref="Y7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154</v>
      </c>
      <c r="BZ1" s="2" t="s">
        <v>155</v>
      </c>
    </row>
    <row r="2" spans="1:78" x14ac:dyDescent="0.3">
      <c r="A2" s="1">
        <v>46085.948831018519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160</v>
      </c>
      <c r="AH2">
        <v>40</v>
      </c>
      <c r="AI2">
        <v>120</v>
      </c>
      <c r="AJ2">
        <v>0.13036880241652149</v>
      </c>
      <c r="AK2">
        <v>47.116838815873983</v>
      </c>
      <c r="AL2">
        <v>0.64370281493692949</v>
      </c>
      <c r="AM2">
        <v>-0.40190810074334082</v>
      </c>
      <c r="AN2">
        <v>59.478805314364969</v>
      </c>
      <c r="AO2">
        <v>0.5545847760440209</v>
      </c>
      <c r="AP2">
        <v>59.478805314364969</v>
      </c>
      <c r="AQ2">
        <v>59.478805314364969</v>
      </c>
      <c r="AR2">
        <v>0.5545847760440209</v>
      </c>
      <c r="AS2">
        <v>106.6139957352587</v>
      </c>
      <c r="AT2">
        <v>-0.35841065608270151</v>
      </c>
      <c r="AU2">
        <v>0.8</v>
      </c>
      <c r="AV2" t="s">
        <v>93</v>
      </c>
      <c r="AW2">
        <v>6.7167594179163084E-2</v>
      </c>
      <c r="AX2">
        <v>0.51227642134505713</v>
      </c>
      <c r="AY2">
        <v>6.7167594179163084E-2</v>
      </c>
      <c r="AZ2">
        <v>6.7167594179163084E-2</v>
      </c>
      <c r="BA2">
        <v>0.51227642134505713</v>
      </c>
      <c r="BB2">
        <v>0.17407077153769929</v>
      </c>
      <c r="BC2">
        <v>-0.26397886765357881</v>
      </c>
      <c r="BD2">
        <v>6.0137664803459508E-2</v>
      </c>
      <c r="BE2">
        <v>0.79163583577938801</v>
      </c>
      <c r="BF2">
        <v>6.0137664803459508E-2</v>
      </c>
      <c r="BG2">
        <v>6.0137664803459508E-2</v>
      </c>
      <c r="BH2">
        <v>0.79163583577938801</v>
      </c>
      <c r="BI2">
        <v>0.44535657711572152</v>
      </c>
      <c r="BJ2">
        <v>-0.54306541955269916</v>
      </c>
      <c r="BK2">
        <v>0.1018951601669307</v>
      </c>
      <c r="BL2">
        <v>0.59092316156302827</v>
      </c>
      <c r="BM2">
        <v>0.1018951601669307</v>
      </c>
      <c r="BN2">
        <v>0.1018951601669307</v>
      </c>
      <c r="BO2">
        <v>0.59092316156302827</v>
      </c>
      <c r="BP2">
        <v>0.35260461718670422</v>
      </c>
      <c r="BQ2">
        <v>-0.41559600849254541</v>
      </c>
      <c r="BR2">
        <v>237.68602083831109</v>
      </c>
      <c r="BS2">
        <v>0.32350368548860908</v>
      </c>
      <c r="BT2">
        <v>237.68602083831109</v>
      </c>
      <c r="BU2">
        <v>237.68602083831109</v>
      </c>
      <c r="BV2">
        <v>0.32350368548860908</v>
      </c>
      <c r="BW2">
        <v>425.48395097519301</v>
      </c>
      <c r="BX2">
        <v>-0.21100232863197749</v>
      </c>
      <c r="BY2" t="str">
        <f>SUBSTITUTE(TRIM(MID(SUBSTITUTE(SUBSTITUTE(SUBSTITUTE(Tabla1[[#This Row],[map]],"[",""),"]",""),",",REPT(" ",100)),1,300))," ",", ")</f>
        <v>2, 3, 4</v>
      </c>
      <c r="BZ2" t="str">
        <f>SUBSTITUTE(TRIM(MID(SUBSTITUTE(SUBSTITUTE(SUBSTITUTE(Tabla1[[#This Row],[map]],"[",""),"]",""),",",REPT(" ",100)),601,300))," ",", ")</f>
        <v>0, 1, 4</v>
      </c>
    </row>
    <row r="3" spans="1:78" x14ac:dyDescent="0.3">
      <c r="A3" s="1">
        <v>46085.949155092603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160</v>
      </c>
      <c r="AH3">
        <v>40</v>
      </c>
      <c r="AI3">
        <v>120</v>
      </c>
      <c r="AJ3">
        <v>0.13863626364934881</v>
      </c>
      <c r="AK3">
        <v>45.689719160016359</v>
      </c>
      <c r="AL3">
        <v>0.63966462856435968</v>
      </c>
      <c r="AM3">
        <v>0.37705225913316692</v>
      </c>
      <c r="AN3">
        <v>58.545445956906299</v>
      </c>
      <c r="AO3">
        <v>0.56220307252824719</v>
      </c>
      <c r="AP3">
        <v>58.545445956906299</v>
      </c>
      <c r="AQ3">
        <v>58.545445956906299</v>
      </c>
      <c r="AR3">
        <v>0.56220307252824719</v>
      </c>
      <c r="AS3">
        <v>68.972244564366946</v>
      </c>
      <c r="AT3">
        <v>0.39341284445396341</v>
      </c>
      <c r="AU3">
        <v>0.8</v>
      </c>
      <c r="AV3" t="s">
        <v>93</v>
      </c>
      <c r="AW3">
        <v>7.1840805082684256E-2</v>
      </c>
      <c r="AX3">
        <v>0.47834286791756642</v>
      </c>
      <c r="AY3">
        <v>7.1840805082684256E-2</v>
      </c>
      <c r="AZ3">
        <v>7.1840805082684256E-2</v>
      </c>
      <c r="BA3">
        <v>0.47834286791756642</v>
      </c>
      <c r="BB3">
        <v>9.5536522054678982E-2</v>
      </c>
      <c r="BC3">
        <v>0.3062813251213653</v>
      </c>
      <c r="BD3">
        <v>7.7276941834006352E-2</v>
      </c>
      <c r="BE3">
        <v>0.73225190150979547</v>
      </c>
      <c r="BF3">
        <v>7.7276941834006352E-2</v>
      </c>
      <c r="BG3">
        <v>7.7276941834006352E-2</v>
      </c>
      <c r="BH3">
        <v>0.73225190150979547</v>
      </c>
      <c r="BI3">
        <v>0.14771639985312049</v>
      </c>
      <c r="BJ3">
        <v>0.48819422407465007</v>
      </c>
      <c r="BK3">
        <v>7.3702949046989444E-2</v>
      </c>
      <c r="BL3">
        <v>0.70410597195951341</v>
      </c>
      <c r="BM3">
        <v>7.3702949046989444E-2</v>
      </c>
      <c r="BN3">
        <v>7.3702949046989444E-2</v>
      </c>
      <c r="BO3">
        <v>0.70410597195951341</v>
      </c>
      <c r="BP3">
        <v>0.10875012858178271</v>
      </c>
      <c r="BQ3">
        <v>0.56340263161696469</v>
      </c>
      <c r="BR3">
        <v>233.95896313166199</v>
      </c>
      <c r="BS3">
        <v>0.33411154872611298</v>
      </c>
      <c r="BT3">
        <v>233.95896313166199</v>
      </c>
      <c r="BU3">
        <v>233.95896313166199</v>
      </c>
      <c r="BV3">
        <v>0.33411154872611298</v>
      </c>
      <c r="BW3">
        <v>275.53697520697841</v>
      </c>
      <c r="BX3">
        <v>0.21577319700287201</v>
      </c>
      <c r="BY3" t="str">
        <f>SUBSTITUTE(TRIM(MID(SUBSTITUTE(SUBSTITUTE(SUBSTITUTE(Tabla1[[#This Row],[map]],"[",""),"]",""),",",REPT(" ",100)),1,300))," ",", ")</f>
        <v>4, 2, 3</v>
      </c>
      <c r="BZ3" t="str">
        <f>SUBSTITUTE(TRIM(MID(SUBSTITUTE(SUBSTITUTE(SUBSTITUTE(Tabla1[[#This Row],[map]],"[",""),"]",""),",",REPT(" ",100)),601,300))," ",", ")</f>
        <v>0, 1, 4</v>
      </c>
    </row>
    <row r="4" spans="1:78" x14ac:dyDescent="0.3">
      <c r="A4" s="1">
        <v>46085.948854166672</v>
      </c>
      <c r="B4" t="s">
        <v>98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160</v>
      </c>
      <c r="AH4">
        <v>40</v>
      </c>
      <c r="AI4">
        <v>120</v>
      </c>
      <c r="AJ4">
        <v>0.1000311011679145</v>
      </c>
      <c r="AK4">
        <v>26.304681123351891</v>
      </c>
      <c r="AL4">
        <v>0.7561415880545026</v>
      </c>
      <c r="AM4">
        <v>0.1238666935621993</v>
      </c>
      <c r="AN4">
        <v>36.687961384700877</v>
      </c>
      <c r="AO4">
        <v>0.66402842287376718</v>
      </c>
      <c r="AP4">
        <v>36.687961384700877</v>
      </c>
      <c r="AQ4">
        <v>36.687961384700877</v>
      </c>
      <c r="AR4">
        <v>0.66402842287376718</v>
      </c>
      <c r="AS4">
        <v>136.08610818630589</v>
      </c>
      <c r="AT4">
        <v>0.17281632547275849</v>
      </c>
      <c r="AU4">
        <v>0.8</v>
      </c>
      <c r="AV4" t="s">
        <v>93</v>
      </c>
      <c r="AW4">
        <v>6.4839648523594612E-2</v>
      </c>
      <c r="AX4">
        <v>0.5291803167416903</v>
      </c>
      <c r="AY4">
        <v>6.4839648523594612E-2</v>
      </c>
      <c r="AZ4">
        <v>6.4839648523594612E-2</v>
      </c>
      <c r="BA4">
        <v>0.5291803167416903</v>
      </c>
      <c r="BB4">
        <v>0.15918648211250469</v>
      </c>
      <c r="BC4">
        <v>-0.15589968165760529</v>
      </c>
      <c r="BD4">
        <v>5.9409927450328831E-2</v>
      </c>
      <c r="BE4">
        <v>0.79415729027637849</v>
      </c>
      <c r="BF4">
        <v>5.9409927450328831E-2</v>
      </c>
      <c r="BG4">
        <v>5.9409927450328831E-2</v>
      </c>
      <c r="BH4">
        <v>0.79415729027637849</v>
      </c>
      <c r="BI4">
        <v>7.9615167165435263E-2</v>
      </c>
      <c r="BJ4">
        <v>0.72415045013926238</v>
      </c>
      <c r="BK4">
        <v>6.228964373418986E-2</v>
      </c>
      <c r="BL4">
        <v>0.74992678274019275</v>
      </c>
      <c r="BM4">
        <v>6.228964373418986E-2</v>
      </c>
      <c r="BN4">
        <v>6.228964373418986E-2</v>
      </c>
      <c r="BO4">
        <v>0.74992678274019275</v>
      </c>
      <c r="BP4">
        <v>8.1849009079416959E-2</v>
      </c>
      <c r="BQ4">
        <v>0.67140211754362211</v>
      </c>
      <c r="BR4">
        <v>146.5653063190951</v>
      </c>
      <c r="BS4">
        <v>0.5828493017368086</v>
      </c>
      <c r="BT4">
        <v>146.5653063190951</v>
      </c>
      <c r="BU4">
        <v>146.5653063190951</v>
      </c>
      <c r="BV4">
        <v>0.5828493017368086</v>
      </c>
      <c r="BW4">
        <v>544.02378208686548</v>
      </c>
      <c r="BX4">
        <v>-0.54838758413423783</v>
      </c>
      <c r="BY4" t="str">
        <f>SUBSTITUTE(TRIM(MID(SUBSTITUTE(SUBSTITUTE(SUBSTITUTE(Tabla1[[#This Row],[map]],"[",""),"]",""),",",REPT(" ",100)),1,300))," ",", ")</f>
        <v>2, 3, 4</v>
      </c>
      <c r="BZ4" t="str">
        <f>SUBSTITUTE(TRIM(MID(SUBSTITUTE(SUBSTITUTE(SUBSTITUTE(Tabla1[[#This Row],[map]],"[",""),"]",""),",",REPT(" ",100)),601,300))," ",", ")</f>
        <v>4, 0, 1</v>
      </c>
    </row>
    <row r="5" spans="1:78" x14ac:dyDescent="0.3">
      <c r="A5" s="1">
        <v>46085.948912037027</v>
      </c>
      <c r="B5" t="s">
        <v>101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160</v>
      </c>
      <c r="AH5">
        <v>40</v>
      </c>
      <c r="AI5">
        <v>120</v>
      </c>
      <c r="AJ5">
        <v>0.1116632670975588</v>
      </c>
      <c r="AK5">
        <v>26.539137013154939</v>
      </c>
      <c r="AL5">
        <v>0.70659565528462032</v>
      </c>
      <c r="AM5">
        <v>0.2355586676480162</v>
      </c>
      <c r="AN5">
        <v>36.628808502342807</v>
      </c>
      <c r="AO5">
        <v>0.64326651773568844</v>
      </c>
      <c r="AP5">
        <v>36.628808502342807</v>
      </c>
      <c r="AQ5">
        <v>36.628808502342807</v>
      </c>
      <c r="AR5">
        <v>0.64326651773568844</v>
      </c>
      <c r="AS5">
        <v>115.064191642775</v>
      </c>
      <c r="AT5">
        <v>0.27578097960509429</v>
      </c>
      <c r="AU5">
        <v>0.8</v>
      </c>
      <c r="AV5" t="s">
        <v>93</v>
      </c>
      <c r="AW5">
        <v>6.8891099824538282E-2</v>
      </c>
      <c r="AX5">
        <v>0.49976154193829758</v>
      </c>
      <c r="AY5">
        <v>6.8891099824538282E-2</v>
      </c>
      <c r="AZ5">
        <v>6.8891099824538282E-2</v>
      </c>
      <c r="BA5">
        <v>0.49976154193829758</v>
      </c>
      <c r="BB5">
        <v>0.1213835836350156</v>
      </c>
      <c r="BC5">
        <v>0.1185982388692276</v>
      </c>
      <c r="BD5">
        <v>7.8248206694832886E-2</v>
      </c>
      <c r="BE5">
        <v>0.72888667621173364</v>
      </c>
      <c r="BF5">
        <v>7.8248206694832886E-2</v>
      </c>
      <c r="BG5">
        <v>7.8248206694832886E-2</v>
      </c>
      <c r="BH5">
        <v>0.72888667621173364</v>
      </c>
      <c r="BI5">
        <v>0.1170484992485025</v>
      </c>
      <c r="BJ5">
        <v>0.59445194955777247</v>
      </c>
      <c r="BK5">
        <v>5.9571891101947973E-2</v>
      </c>
      <c r="BL5">
        <v>0.76083769992830941</v>
      </c>
      <c r="BM5">
        <v>5.9571891101947973E-2</v>
      </c>
      <c r="BN5">
        <v>5.9571891101947973E-2</v>
      </c>
      <c r="BO5">
        <v>0.76083769992830941</v>
      </c>
      <c r="BP5">
        <v>7.4936483981017099E-2</v>
      </c>
      <c r="BQ5">
        <v>0.69915371936884163</v>
      </c>
      <c r="BR5">
        <v>146.30852281174961</v>
      </c>
      <c r="BS5">
        <v>0.58358015286441756</v>
      </c>
      <c r="BT5">
        <v>146.30852281174961</v>
      </c>
      <c r="BU5">
        <v>146.30852281174961</v>
      </c>
      <c r="BV5">
        <v>0.58358015286441756</v>
      </c>
      <c r="BW5">
        <v>459.94339800423541</v>
      </c>
      <c r="BX5">
        <v>-0.30907998937545789</v>
      </c>
      <c r="BY5" t="str">
        <f>SUBSTITUTE(TRIM(MID(SUBSTITUTE(SUBSTITUTE(SUBSTITUTE(Tabla1[[#This Row],[map]],"[",""),"]",""),",",REPT(" ",100)),1,300))," ",", ")</f>
        <v>4, 2, 3</v>
      </c>
      <c r="BZ5" t="str">
        <f>SUBSTITUTE(TRIM(MID(SUBSTITUTE(SUBSTITUTE(SUBSTITUTE(Tabla1[[#This Row],[map]],"[",""),"]",""),",",REPT(" ",100)),601,300))," ",", ")</f>
        <v>4, 0, 1</v>
      </c>
    </row>
    <row r="6" spans="1:78" x14ac:dyDescent="0.3">
      <c r="A6" s="1">
        <v>46086.03564814815</v>
      </c>
      <c r="B6" t="s">
        <v>104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99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100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160</v>
      </c>
      <c r="AH6">
        <v>40</v>
      </c>
      <c r="AI6">
        <v>120</v>
      </c>
      <c r="AJ6">
        <v>0.1166441566342148</v>
      </c>
      <c r="AK6">
        <v>41.987960081235727</v>
      </c>
      <c r="AL6">
        <v>0.67226077927950367</v>
      </c>
      <c r="AM6">
        <v>0.23149049898975599</v>
      </c>
      <c r="AN6">
        <v>53.066289776125927</v>
      </c>
      <c r="AO6">
        <v>0.59066420873137793</v>
      </c>
      <c r="AP6">
        <v>53.066289776125927</v>
      </c>
      <c r="AQ6">
        <v>53.066289776125927</v>
      </c>
      <c r="AR6">
        <v>0.59066420873137793</v>
      </c>
      <c r="AS6">
        <v>102.5255399417122</v>
      </c>
      <c r="AT6">
        <v>0.19623905162079461</v>
      </c>
      <c r="AU6">
        <v>0.8</v>
      </c>
      <c r="AV6" t="s">
        <v>93</v>
      </c>
      <c r="AW6">
        <v>7.1162614638002566E-2</v>
      </c>
      <c r="AX6">
        <v>0.48326740741807972</v>
      </c>
      <c r="AY6">
        <v>7.1162614638002566E-2</v>
      </c>
      <c r="AZ6">
        <v>7.1162614638002566E-2</v>
      </c>
      <c r="BA6">
        <v>0.48326740741807972</v>
      </c>
      <c r="BB6">
        <v>0.1542825035836192</v>
      </c>
      <c r="BC6">
        <v>-0.1202904568969987</v>
      </c>
      <c r="BD6">
        <v>7.7631841818454672E-2</v>
      </c>
      <c r="BE6">
        <v>0.73102224886393441</v>
      </c>
      <c r="BF6">
        <v>7.7631841818454672E-2</v>
      </c>
      <c r="BG6">
        <v>7.7631841818454672E-2</v>
      </c>
      <c r="BH6">
        <v>0.73102224886393441</v>
      </c>
      <c r="BI6">
        <v>0.13227515570290219</v>
      </c>
      <c r="BJ6">
        <v>0.54169483708318145</v>
      </c>
      <c r="BK6">
        <v>6.1795188470177738E-2</v>
      </c>
      <c r="BL6">
        <v>0.75191186422805956</v>
      </c>
      <c r="BM6">
        <v>6.1795188470177738E-2</v>
      </c>
      <c r="BN6">
        <v>6.1795188470177738E-2</v>
      </c>
      <c r="BO6">
        <v>0.75191186422805956</v>
      </c>
      <c r="BP6">
        <v>0.1171634507636883</v>
      </c>
      <c r="BQ6">
        <v>0.52962580420644578</v>
      </c>
      <c r="BR6">
        <v>212.0545694595769</v>
      </c>
      <c r="BS6">
        <v>0.39645531441544041</v>
      </c>
      <c r="BT6">
        <v>212.0545694595769</v>
      </c>
      <c r="BU6">
        <v>212.0545694595769</v>
      </c>
      <c r="BV6">
        <v>0.39645531441544041</v>
      </c>
      <c r="BW6">
        <v>409.69843865679991</v>
      </c>
      <c r="BX6">
        <v>-0.16607397790944359</v>
      </c>
      <c r="BY6" t="str">
        <f>SUBSTITUTE(TRIM(MID(SUBSTITUTE(SUBSTITUTE(SUBSTITUTE(Tabla1[[#This Row],[map]],"[",""),"]",""),",",REPT(" ",100)),1,300))," ",", ")</f>
        <v>2, 3, 4</v>
      </c>
      <c r="BZ6" t="str">
        <f>SUBSTITUTE(TRIM(MID(SUBSTITUTE(SUBSTITUTE(SUBSTITUTE(Tabla1[[#This Row],[map]],"[",""),"]",""),",",REPT(" ",100)),601,300))," ",", ")</f>
        <v>4, 0, 1</v>
      </c>
    </row>
    <row r="7" spans="1:78" x14ac:dyDescent="0.3">
      <c r="A7" s="1">
        <v>46086.035150462973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160</v>
      </c>
      <c r="AH7">
        <v>40</v>
      </c>
      <c r="AI7">
        <v>120</v>
      </c>
      <c r="AJ7">
        <v>0.15162704653864301</v>
      </c>
      <c r="AK7">
        <v>54.147460907631647</v>
      </c>
      <c r="AL7">
        <v>0.5533603493005268</v>
      </c>
      <c r="AM7">
        <v>-0.2036435450606387</v>
      </c>
      <c r="AN7">
        <v>62.436243528013669</v>
      </c>
      <c r="AO7">
        <v>0.48593907682381332</v>
      </c>
      <c r="AP7">
        <v>62.436243528013669</v>
      </c>
      <c r="AQ7">
        <v>62.436243528013669</v>
      </c>
      <c r="AR7">
        <v>0.48593907682381332</v>
      </c>
      <c r="AS7">
        <v>92.195484792801281</v>
      </c>
      <c r="AT7">
        <v>-0.18490493821964471</v>
      </c>
      <c r="AU7">
        <v>0.8</v>
      </c>
      <c r="AV7" t="s">
        <v>93</v>
      </c>
      <c r="AW7">
        <v>7.1110787294698261E-2</v>
      </c>
      <c r="AX7">
        <v>0.48364374094107498</v>
      </c>
      <c r="AY7">
        <v>7.1110787294698261E-2</v>
      </c>
      <c r="AZ7">
        <v>7.1110787294698261E-2</v>
      </c>
      <c r="BA7">
        <v>0.48364374094107498</v>
      </c>
      <c r="BB7">
        <v>0.15765024129379121</v>
      </c>
      <c r="BC7">
        <v>-0.14474458701806611</v>
      </c>
      <c r="BD7">
        <v>7.0889247537044786E-2</v>
      </c>
      <c r="BE7">
        <v>0.75438389795217486</v>
      </c>
      <c r="BF7">
        <v>7.0889247537044786E-2</v>
      </c>
      <c r="BG7">
        <v>7.0889247537044786E-2</v>
      </c>
      <c r="BH7">
        <v>0.75438389795217486</v>
      </c>
      <c r="BI7">
        <v>0.38001700225555379</v>
      </c>
      <c r="BJ7">
        <v>-0.31667774802000381</v>
      </c>
      <c r="BK7">
        <v>0.14553362749053991</v>
      </c>
      <c r="BL7">
        <v>0.41572851818907602</v>
      </c>
      <c r="BM7">
        <v>0.14553362749053991</v>
      </c>
      <c r="BN7">
        <v>0.14553362749053991</v>
      </c>
      <c r="BO7">
        <v>0.41572851818907602</v>
      </c>
      <c r="BP7">
        <v>0.30661992148949779</v>
      </c>
      <c r="BQ7">
        <v>-0.23098200031510441</v>
      </c>
      <c r="BR7">
        <v>249.45744044973199</v>
      </c>
      <c r="BS7">
        <v>0.2900001502129248</v>
      </c>
      <c r="BT7">
        <v>249.45744044973199</v>
      </c>
      <c r="BU7">
        <v>249.45744044973199</v>
      </c>
      <c r="BV7">
        <v>0.2900001502129248</v>
      </c>
      <c r="BW7">
        <v>367.93765200616599</v>
      </c>
      <c r="BX7">
        <v>-4.7215417525413361E-2</v>
      </c>
      <c r="BY7" t="str">
        <f>SUBSTITUTE(TRIM(MID(SUBSTITUTE(SUBSTITUTE(SUBSTITUTE(Tabla1[[#This Row],[map]],"[",""),"]",""),",",REPT(" ",100)),1,300))," ",", ")</f>
        <v>2, 3, 4</v>
      </c>
      <c r="BZ7" t="str">
        <f>SUBSTITUTE(TRIM(MID(SUBSTITUTE(SUBSTITUTE(SUBSTITUTE(Tabla1[[#This Row],[map]],"[",""),"]",""),",",REPT(" ",100)),601,300))," ",", ")</f>
        <v>0, 1, 4</v>
      </c>
    </row>
    <row r="8" spans="1:78" x14ac:dyDescent="0.3">
      <c r="A8" s="1">
        <v>46086.035636574074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96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97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160</v>
      </c>
      <c r="AH8">
        <v>40</v>
      </c>
      <c r="AI8">
        <v>120</v>
      </c>
      <c r="AJ8">
        <v>0.17949120827978421</v>
      </c>
      <c r="AK8">
        <v>52.508202694670722</v>
      </c>
      <c r="AL8">
        <v>0.48175894877925618</v>
      </c>
      <c r="AM8">
        <v>0.11535223261663551</v>
      </c>
      <c r="AN8">
        <v>61.434507151507439</v>
      </c>
      <c r="AO8">
        <v>0.43792023419625559</v>
      </c>
      <c r="AP8">
        <v>61.434507151507439</v>
      </c>
      <c r="AQ8">
        <v>61.434507151507439</v>
      </c>
      <c r="AR8">
        <v>0.43792023419625559</v>
      </c>
      <c r="AS8">
        <v>77.195396952338442</v>
      </c>
      <c r="AT8">
        <v>0.1126927867143081</v>
      </c>
      <c r="AU8">
        <v>0.8</v>
      </c>
      <c r="AV8" t="s">
        <v>93</v>
      </c>
      <c r="AW8">
        <v>7.181961299912093E-2</v>
      </c>
      <c r="AX8">
        <v>0.47849674984472151</v>
      </c>
      <c r="AY8">
        <v>7.181961299912093E-2</v>
      </c>
      <c r="AZ8">
        <v>7.181961299912093E-2</v>
      </c>
      <c r="BA8">
        <v>0.47849674984472151</v>
      </c>
      <c r="BB8">
        <v>0.15971516684137721</v>
      </c>
      <c r="BC8">
        <v>-0.15973861635665251</v>
      </c>
      <c r="BD8">
        <v>0.12706082673913319</v>
      </c>
      <c r="BE8">
        <v>0.5597613732557758</v>
      </c>
      <c r="BF8">
        <v>0.12706082673913319</v>
      </c>
      <c r="BG8">
        <v>0.12706082673913319</v>
      </c>
      <c r="BH8">
        <v>0.5597613732557758</v>
      </c>
      <c r="BI8">
        <v>8.5725335432246169E-2</v>
      </c>
      <c r="BJ8">
        <v>0.70298002211678745</v>
      </c>
      <c r="BK8">
        <v>0.1464988260083471</v>
      </c>
      <c r="BL8">
        <v>0.41185355143420982</v>
      </c>
      <c r="BM8">
        <v>0.1464988260083471</v>
      </c>
      <c r="BN8">
        <v>0.1464988260083471</v>
      </c>
      <c r="BO8">
        <v>0.41185355143420982</v>
      </c>
      <c r="BP8">
        <v>0.3026847394550683</v>
      </c>
      <c r="BQ8">
        <v>-0.21518348915244309</v>
      </c>
      <c r="BR8">
        <v>245.3926493402839</v>
      </c>
      <c r="BS8">
        <v>0.30156926225031672</v>
      </c>
      <c r="BT8">
        <v>245.3926493402839</v>
      </c>
      <c r="BU8">
        <v>245.3926493402839</v>
      </c>
      <c r="BV8">
        <v>0.30156926225031672</v>
      </c>
      <c r="BW8">
        <v>308.23346256762488</v>
      </c>
      <c r="BX8">
        <v>0.12271323024953749</v>
      </c>
      <c r="BY8" t="str">
        <f>SUBSTITUTE(TRIM(MID(SUBSTITUTE(SUBSTITUTE(SUBSTITUTE(Tabla1[[#This Row],[map]],"[",""),"]",""),",",REPT(" ",100)),1,300))," ",", ")</f>
        <v>4, 2, 3</v>
      </c>
      <c r="BZ8" t="str">
        <f>SUBSTITUTE(TRIM(MID(SUBSTITUTE(SUBSTITUTE(SUBSTITUTE(Tabla1[[#This Row],[map]],"[",""),"]",""),",",REPT(" ",100)),601,300))," ",", ")</f>
        <v>0, 1, 4</v>
      </c>
    </row>
    <row r="9" spans="1:78" x14ac:dyDescent="0.3">
      <c r="A9" s="1">
        <v>46086.035787037043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102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103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160</v>
      </c>
      <c r="AH9">
        <v>40</v>
      </c>
      <c r="AI9">
        <v>120</v>
      </c>
      <c r="AJ9">
        <v>0.12730641279274879</v>
      </c>
      <c r="AK9">
        <v>30.002362653205878</v>
      </c>
      <c r="AL9">
        <v>0.65699629990715813</v>
      </c>
      <c r="AM9">
        <v>0.20488746304788849</v>
      </c>
      <c r="AN9">
        <v>37.988751256560313</v>
      </c>
      <c r="AO9">
        <v>0.60518853756264301</v>
      </c>
      <c r="AP9">
        <v>37.988751256560313</v>
      </c>
      <c r="AQ9">
        <v>37.988751256560313</v>
      </c>
      <c r="AR9">
        <v>0.60518853756264301</v>
      </c>
      <c r="AS9">
        <v>110.0202736750535</v>
      </c>
      <c r="AT9">
        <v>0.15927401736397859</v>
      </c>
      <c r="AU9">
        <v>0.8</v>
      </c>
      <c r="AV9" t="s">
        <v>93</v>
      </c>
      <c r="AW9">
        <v>6.834826224842476E-2</v>
      </c>
      <c r="AX9">
        <v>0.50370324460735927</v>
      </c>
      <c r="AY9">
        <v>6.834826224842476E-2</v>
      </c>
      <c r="AZ9">
        <v>6.834826224842476E-2</v>
      </c>
      <c r="BA9">
        <v>0.50370324460735927</v>
      </c>
      <c r="BB9">
        <v>0.16543082954536739</v>
      </c>
      <c r="BC9">
        <v>-0.2012417177025021</v>
      </c>
      <c r="BD9">
        <v>0.1210250734953008</v>
      </c>
      <c r="BE9">
        <v>0.58067396911734059</v>
      </c>
      <c r="BF9">
        <v>0.1210250734953008</v>
      </c>
      <c r="BG9">
        <v>0.1210250734953008</v>
      </c>
      <c r="BH9">
        <v>0.58067396911734059</v>
      </c>
      <c r="BI9">
        <v>0.11303051294777131</v>
      </c>
      <c r="BJ9">
        <v>0.60837341392021249</v>
      </c>
      <c r="BK9">
        <v>5.7746935471008468E-2</v>
      </c>
      <c r="BL9">
        <v>0.76816431954958919</v>
      </c>
      <c r="BM9">
        <v>5.7746935471008468E-2</v>
      </c>
      <c r="BN9">
        <v>5.7746935471008468E-2</v>
      </c>
      <c r="BO9">
        <v>0.76816431954958919</v>
      </c>
      <c r="BP9">
        <v>0.12918763563048569</v>
      </c>
      <c r="BQ9">
        <v>0.48135250523883172</v>
      </c>
      <c r="BR9">
        <v>151.7078847550261</v>
      </c>
      <c r="BS9">
        <v>0.56821261697628733</v>
      </c>
      <c r="BT9">
        <v>151.7078847550261</v>
      </c>
      <c r="BU9">
        <v>151.7078847550261</v>
      </c>
      <c r="BV9">
        <v>0.56821261697628733</v>
      </c>
      <c r="BW9">
        <v>439.67344572209009</v>
      </c>
      <c r="BX9">
        <v>-0.25138813200063481</v>
      </c>
      <c r="BY9" t="str">
        <f>SUBSTITUTE(TRIM(MID(SUBSTITUTE(SUBSTITUTE(SUBSTITUTE(Tabla1[[#This Row],[map]],"[",""),"]",""),",",REPT(" ",100)),1,300))," ",", ")</f>
        <v>4, 2, 3</v>
      </c>
      <c r="BZ9" t="str">
        <f>SUBSTITUTE(TRIM(MID(SUBSTITUTE(SUBSTITUTE(SUBSTITUTE(Tabla1[[#This Row],[map]],"[",""),"]",""),",",REPT(" ",100)),601,300))," ",", ")</f>
        <v>4, 0, 1</v>
      </c>
    </row>
    <row r="10" spans="1:78" x14ac:dyDescent="0.3">
      <c r="A10" s="1">
        <v>46086.12232638889</v>
      </c>
      <c r="B10" t="s">
        <v>108</v>
      </c>
      <c r="C10">
        <v>2</v>
      </c>
      <c r="D10" t="s">
        <v>95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99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100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160</v>
      </c>
      <c r="AH10">
        <v>40</v>
      </c>
      <c r="AI10">
        <v>120</v>
      </c>
      <c r="AJ10">
        <v>9.0191414371629183E-2</v>
      </c>
      <c r="AK10">
        <v>31.441296412566441</v>
      </c>
      <c r="AL10">
        <v>0.75325142120816269</v>
      </c>
      <c r="AM10">
        <v>0.17696232170797119</v>
      </c>
      <c r="AN10">
        <v>40.628742892944388</v>
      </c>
      <c r="AO10">
        <v>0.67413829877721687</v>
      </c>
      <c r="AP10">
        <v>40.628742892944388</v>
      </c>
      <c r="AQ10">
        <v>40.628742892944388</v>
      </c>
      <c r="AR10">
        <v>0.67413829877721687</v>
      </c>
      <c r="AS10">
        <v>97.922561106888679</v>
      </c>
      <c r="AT10">
        <v>-7.8237956102314654E-2</v>
      </c>
      <c r="AU10">
        <v>0.8</v>
      </c>
      <c r="AV10" t="s">
        <v>93</v>
      </c>
      <c r="AW10">
        <v>6.847945537992968E-2</v>
      </c>
      <c r="AX10">
        <v>0.50275061284535438</v>
      </c>
      <c r="AY10">
        <v>6.847945537992968E-2</v>
      </c>
      <c r="AZ10">
        <v>6.847945537992968E-2</v>
      </c>
      <c r="BA10">
        <v>0.50275061284535438</v>
      </c>
      <c r="BB10">
        <v>0.23006545331860731</v>
      </c>
      <c r="BC10">
        <v>-0.67057265618473538</v>
      </c>
      <c r="BD10">
        <v>6.0133907259283352E-2</v>
      </c>
      <c r="BE10">
        <v>0.79164885486741454</v>
      </c>
      <c r="BF10">
        <v>6.0133907259283352E-2</v>
      </c>
      <c r="BG10">
        <v>6.0133907259283352E-2</v>
      </c>
      <c r="BH10">
        <v>0.79164885486741454</v>
      </c>
      <c r="BI10">
        <v>0.2274862361152373</v>
      </c>
      <c r="BJ10">
        <v>0.21180877882844801</v>
      </c>
      <c r="BK10">
        <v>3.3816442214977822E-2</v>
      </c>
      <c r="BL10">
        <v>0.86423768071195162</v>
      </c>
      <c r="BM10">
        <v>3.3816442214977822E-2</v>
      </c>
      <c r="BN10">
        <v>3.3816442214977822E-2</v>
      </c>
      <c r="BO10">
        <v>0.86423768071195162</v>
      </c>
      <c r="BP10">
        <v>0.1846213195662747</v>
      </c>
      <c r="BQ10">
        <v>0.25880379801646008</v>
      </c>
      <c r="BR10">
        <v>162.35254176692351</v>
      </c>
      <c r="BS10">
        <v>0.53791604668414938</v>
      </c>
      <c r="BT10">
        <v>162.35254176692351</v>
      </c>
      <c r="BU10">
        <v>162.35254176692351</v>
      </c>
      <c r="BV10">
        <v>0.53791604668414938</v>
      </c>
      <c r="BW10">
        <v>391.04807141855451</v>
      </c>
      <c r="BX10">
        <v>-0.11299174506942419</v>
      </c>
      <c r="BY10" t="str">
        <f>SUBSTITUTE(TRIM(MID(SUBSTITUTE(SUBSTITUTE(SUBSTITUTE(Tabla1[[#This Row],[map]],"[",""),"]",""),",",REPT(" ",100)),1,300))," ",", ")</f>
        <v>2, 3, 4</v>
      </c>
      <c r="BZ10" t="str">
        <f>SUBSTITUTE(TRIM(MID(SUBSTITUTE(SUBSTITUTE(SUBSTITUTE(Tabla1[[#This Row],[map]],"[",""),"]",""),",",REPT(" ",100)),601,300))," ",", ")</f>
        <v>4, 0, 1</v>
      </c>
    </row>
    <row r="11" spans="1:78" x14ac:dyDescent="0.3">
      <c r="A11" s="1">
        <v>46086.123229166667</v>
      </c>
      <c r="B11" t="s">
        <v>109</v>
      </c>
      <c r="C11">
        <v>2</v>
      </c>
      <c r="D11" t="s">
        <v>95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160</v>
      </c>
      <c r="AH11">
        <v>40</v>
      </c>
      <c r="AI11">
        <v>120</v>
      </c>
      <c r="AJ11">
        <v>0.10308662025560909</v>
      </c>
      <c r="AK11">
        <v>35.865919390894987</v>
      </c>
      <c r="AL11">
        <v>0.69277298170716162</v>
      </c>
      <c r="AM11">
        <v>-0.55589251369290293</v>
      </c>
      <c r="AN11">
        <v>46.291590122168309</v>
      </c>
      <c r="AO11">
        <v>0.59150981007235359</v>
      </c>
      <c r="AP11">
        <v>46.291590122168309</v>
      </c>
      <c r="AQ11">
        <v>46.291590122168309</v>
      </c>
      <c r="AR11">
        <v>0.59150981007235359</v>
      </c>
      <c r="AS11">
        <v>94.690149366851486</v>
      </c>
      <c r="AT11">
        <v>-0.51776275757081591</v>
      </c>
      <c r="AU11">
        <v>0.8</v>
      </c>
      <c r="AV11" t="s">
        <v>93</v>
      </c>
      <c r="AW11">
        <v>6.5802960676172667E-2</v>
      </c>
      <c r="AX11">
        <v>0.52218542499130338</v>
      </c>
      <c r="AY11">
        <v>6.5802960676172667E-2</v>
      </c>
      <c r="AZ11">
        <v>6.5802960676172667E-2</v>
      </c>
      <c r="BA11">
        <v>0.52218542499130338</v>
      </c>
      <c r="BB11">
        <v>0.18293853595466961</v>
      </c>
      <c r="BC11">
        <v>-0.32837030297247888</v>
      </c>
      <c r="BD11">
        <v>5.9023278003400279E-2</v>
      </c>
      <c r="BE11">
        <v>0.79549694802861959</v>
      </c>
      <c r="BF11">
        <v>5.9023278003400279E-2</v>
      </c>
      <c r="BG11">
        <v>5.9023278003400279E-2</v>
      </c>
      <c r="BH11">
        <v>0.79549694802861959</v>
      </c>
      <c r="BI11">
        <v>0.54880154056254837</v>
      </c>
      <c r="BJ11">
        <v>-0.90148012391265153</v>
      </c>
      <c r="BK11">
        <v>0.10593208346287961</v>
      </c>
      <c r="BL11">
        <v>0.57471619141632169</v>
      </c>
      <c r="BM11">
        <v>0.10593208346287961</v>
      </c>
      <c r="BN11">
        <v>0.10593208346287961</v>
      </c>
      <c r="BO11">
        <v>0.57471619141632169</v>
      </c>
      <c r="BP11">
        <v>0.44001379090620107</v>
      </c>
      <c r="BQ11">
        <v>-0.76651619328817744</v>
      </c>
      <c r="BR11">
        <v>184.93560216653009</v>
      </c>
      <c r="BS11">
        <v>0.47364067585317149</v>
      </c>
      <c r="BT11">
        <v>184.93560216653009</v>
      </c>
      <c r="BU11">
        <v>184.93560216653009</v>
      </c>
      <c r="BV11">
        <v>0.47364067585317149</v>
      </c>
      <c r="BW11">
        <v>377.58884359998308</v>
      </c>
      <c r="BX11">
        <v>-7.4684410109970845E-2</v>
      </c>
      <c r="BY11" t="str">
        <f>SUBSTITUTE(TRIM(MID(SUBSTITUTE(SUBSTITUTE(SUBSTITUTE(Tabla1[[#This Row],[map]],"[",""),"]",""),",",REPT(" ",100)),1,300))," ",", ")</f>
        <v>2, 3, 4</v>
      </c>
      <c r="BZ11" t="str">
        <f>SUBSTITUTE(TRIM(MID(SUBSTITUTE(SUBSTITUTE(SUBSTITUTE(Tabla1[[#This Row],[map]],"[",""),"]",""),",",REPT(" ",100)),601,300))," ",", ")</f>
        <v>0, 1, 4</v>
      </c>
    </row>
    <row r="12" spans="1:78" x14ac:dyDescent="0.3">
      <c r="A12" s="1">
        <v>46086.123865740738</v>
      </c>
      <c r="B12" t="s">
        <v>110</v>
      </c>
      <c r="C12">
        <v>2</v>
      </c>
      <c r="D12" t="s">
        <v>95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96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97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160</v>
      </c>
      <c r="AH12">
        <v>40</v>
      </c>
      <c r="AI12">
        <v>120</v>
      </c>
      <c r="AJ12">
        <v>0.1182981262038835</v>
      </c>
      <c r="AK12">
        <v>33.441807163224667</v>
      </c>
      <c r="AL12">
        <v>0.64206688541010859</v>
      </c>
      <c r="AM12">
        <v>2.8639067775647731E-2</v>
      </c>
      <c r="AN12">
        <v>43.505063577687821</v>
      </c>
      <c r="AO12">
        <v>0.56246114748123366</v>
      </c>
      <c r="AP12">
        <v>43.505063577687821</v>
      </c>
      <c r="AQ12">
        <v>43.505063577687821</v>
      </c>
      <c r="AR12">
        <v>0.56246114748123366</v>
      </c>
      <c r="AS12">
        <v>92.263172266996605</v>
      </c>
      <c r="AT12">
        <v>-0.14492252517358331</v>
      </c>
      <c r="AU12">
        <v>0.8</v>
      </c>
      <c r="AV12" t="s">
        <v>93</v>
      </c>
      <c r="AW12">
        <v>7.0403848453419779E-2</v>
      </c>
      <c r="AX12">
        <v>0.48877703097136582</v>
      </c>
      <c r="AY12">
        <v>7.0403848453419779E-2</v>
      </c>
      <c r="AZ12">
        <v>7.0403848453419779E-2</v>
      </c>
      <c r="BA12">
        <v>0.48877703097136582</v>
      </c>
      <c r="BB12">
        <v>7.8741882438792626E-2</v>
      </c>
      <c r="BC12">
        <v>0.42823212350534617</v>
      </c>
      <c r="BD12">
        <v>9.9140967189064733E-2</v>
      </c>
      <c r="BE12">
        <v>0.65649772341701829</v>
      </c>
      <c r="BF12">
        <v>9.9140967189064733E-2</v>
      </c>
      <c r="BG12">
        <v>9.9140967189064733E-2</v>
      </c>
      <c r="BH12">
        <v>0.65649772341701829</v>
      </c>
      <c r="BI12">
        <v>0.43694620004603429</v>
      </c>
      <c r="BJ12">
        <v>-0.51392525931147981</v>
      </c>
      <c r="BK12">
        <v>9.9859577244057002E-2</v>
      </c>
      <c r="BL12">
        <v>0.59909538313960997</v>
      </c>
      <c r="BM12">
        <v>9.9859577244057002E-2</v>
      </c>
      <c r="BN12">
        <v>9.9859577244057002E-2</v>
      </c>
      <c r="BO12">
        <v>0.59909538313960997</v>
      </c>
      <c r="BP12">
        <v>0.36020294607061448</v>
      </c>
      <c r="BQ12">
        <v>-0.44610089559554589</v>
      </c>
      <c r="BR12">
        <v>173.75084991786511</v>
      </c>
      <c r="BS12">
        <v>0.50547445239694222</v>
      </c>
      <c r="BT12">
        <v>173.75084991786511</v>
      </c>
      <c r="BU12">
        <v>173.75084991786511</v>
      </c>
      <c r="BV12">
        <v>0.50547445239694222</v>
      </c>
      <c r="BW12">
        <v>368.17679803942929</v>
      </c>
      <c r="BX12">
        <v>-4.7896069292656662E-2</v>
      </c>
      <c r="BY12" t="str">
        <f>SUBSTITUTE(TRIM(MID(SUBSTITUTE(SUBSTITUTE(SUBSTITUTE(Tabla1[[#This Row],[map]],"[",""),"]",""),",",REPT(" ",100)),1,300))," ",", ")</f>
        <v>4, 2, 3</v>
      </c>
      <c r="BZ12" t="str">
        <f>SUBSTITUTE(TRIM(MID(SUBSTITUTE(SUBSTITUTE(SUBSTITUTE(Tabla1[[#This Row],[map]],"[",""),"]",""),",",REPT(" ",100)),601,300))," ",", ")</f>
        <v>0, 1, 4</v>
      </c>
    </row>
    <row r="13" spans="1:78" x14ac:dyDescent="0.3">
      <c r="A13" s="1">
        <v>46086.12395833333</v>
      </c>
      <c r="B13" t="s">
        <v>111</v>
      </c>
      <c r="C13">
        <v>2</v>
      </c>
      <c r="D13" t="s">
        <v>95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102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103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160</v>
      </c>
      <c r="AH13">
        <v>40</v>
      </c>
      <c r="AI13">
        <v>120</v>
      </c>
      <c r="AJ13">
        <v>0.1160849113696996</v>
      </c>
      <c r="AK13">
        <v>30.822169426879949</v>
      </c>
      <c r="AL13">
        <v>0.67424860703253497</v>
      </c>
      <c r="AM13">
        <v>0.1160288170304954</v>
      </c>
      <c r="AN13">
        <v>38.55403401729864</v>
      </c>
      <c r="AO13">
        <v>0.62795185730680858</v>
      </c>
      <c r="AP13">
        <v>38.55403401729864</v>
      </c>
      <c r="AQ13">
        <v>38.55403401729864</v>
      </c>
      <c r="AR13">
        <v>0.62795185730680858</v>
      </c>
      <c r="AS13">
        <v>103.753114538845</v>
      </c>
      <c r="AT13">
        <v>8.9448243322019477E-2</v>
      </c>
      <c r="AU13">
        <v>0.8</v>
      </c>
      <c r="AV13" t="s">
        <v>93</v>
      </c>
      <c r="AW13">
        <v>7.3172537715077923E-2</v>
      </c>
      <c r="AX13">
        <v>0.46867276713131401</v>
      </c>
      <c r="AY13">
        <v>7.3172537715077923E-2</v>
      </c>
      <c r="AZ13">
        <v>7.3172537715077923E-2</v>
      </c>
      <c r="BA13">
        <v>0.46867276713131401</v>
      </c>
      <c r="BB13">
        <v>0.146909344847416</v>
      </c>
      <c r="BC13">
        <v>-6.675179128363995E-2</v>
      </c>
      <c r="BD13">
        <v>9.9484579348473698E-2</v>
      </c>
      <c r="BE13">
        <v>0.65530718067404226</v>
      </c>
      <c r="BF13">
        <v>9.9484579348473698E-2</v>
      </c>
      <c r="BG13">
        <v>9.9484579348473698E-2</v>
      </c>
      <c r="BH13">
        <v>0.65530718067404226</v>
      </c>
      <c r="BI13">
        <v>0.1512927899757506</v>
      </c>
      <c r="BJ13">
        <v>0.47580279615233079</v>
      </c>
      <c r="BK13">
        <v>4.3306246029904953E-2</v>
      </c>
      <c r="BL13">
        <v>0.82613912003804235</v>
      </c>
      <c r="BM13">
        <v>4.3306246029904953E-2</v>
      </c>
      <c r="BN13">
        <v>4.3306246029904953E-2</v>
      </c>
      <c r="BO13">
        <v>0.82613912003804235</v>
      </c>
      <c r="BP13">
        <v>0.21708460238771951</v>
      </c>
      <c r="BQ13">
        <v>0.1284739856865533</v>
      </c>
      <c r="BR13">
        <v>154.0001727061013</v>
      </c>
      <c r="BS13">
        <v>0.5616883613838386</v>
      </c>
      <c r="BT13">
        <v>154.0001727061013</v>
      </c>
      <c r="BU13">
        <v>154.0001727061013</v>
      </c>
      <c r="BV13">
        <v>0.5616883613838386</v>
      </c>
      <c r="BW13">
        <v>414.49717141816973</v>
      </c>
      <c r="BX13">
        <v>-0.179732017267173</v>
      </c>
      <c r="BY13" t="str">
        <f>SUBSTITUTE(TRIM(MID(SUBSTITUTE(SUBSTITUTE(SUBSTITUTE(Tabla1[[#This Row],[map]],"[",""),"]",""),",",REPT(" ",100)),1,300))," ",", ")</f>
        <v>4, 2, 3</v>
      </c>
      <c r="BZ13" t="str">
        <f>SUBSTITUTE(TRIM(MID(SUBSTITUTE(SUBSTITUTE(SUBSTITUTE(Tabla1[[#This Row],[map]],"[",""),"]",""),",",REPT(" ",100)),601,300))," ",", ")</f>
        <v>4, 0, 1</v>
      </c>
    </row>
    <row r="14" spans="1:78" x14ac:dyDescent="0.3">
      <c r="A14" s="1">
        <v>46086.209039351852</v>
      </c>
      <c r="B14" t="s">
        <v>112</v>
      </c>
      <c r="C14">
        <v>3</v>
      </c>
      <c r="D14" t="s">
        <v>95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99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100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160</v>
      </c>
      <c r="AH14">
        <v>40</v>
      </c>
      <c r="AI14">
        <v>120</v>
      </c>
      <c r="AJ14">
        <v>0.10369236206885819</v>
      </c>
      <c r="AK14">
        <v>24.745515390585371</v>
      </c>
      <c r="AL14">
        <v>0.74327974889464765</v>
      </c>
      <c r="AM14">
        <v>0.17885471403698741</v>
      </c>
      <c r="AN14">
        <v>33.619583535592483</v>
      </c>
      <c r="AO14">
        <v>0.68153562814181723</v>
      </c>
      <c r="AP14">
        <v>33.619583535592483</v>
      </c>
      <c r="AQ14">
        <v>33.619583535592483</v>
      </c>
      <c r="AR14">
        <v>0.68153562814181723</v>
      </c>
      <c r="AS14">
        <v>119.11317423839191</v>
      </c>
      <c r="AT14">
        <v>0.24823214350317441</v>
      </c>
      <c r="AU14">
        <v>0.8</v>
      </c>
      <c r="AV14" t="s">
        <v>93</v>
      </c>
      <c r="AW14">
        <v>7.0819697857478076E-2</v>
      </c>
      <c r="AX14">
        <v>0.48575742662186588</v>
      </c>
      <c r="AY14">
        <v>7.0819697857478076E-2</v>
      </c>
      <c r="AZ14">
        <v>7.0819697857478076E-2</v>
      </c>
      <c r="BA14">
        <v>0.48575742662186588</v>
      </c>
      <c r="BB14">
        <v>0.12779623859027289</v>
      </c>
      <c r="BC14">
        <v>7.2034072597098375E-2</v>
      </c>
      <c r="BD14">
        <v>6.9866828043748275E-2</v>
      </c>
      <c r="BE14">
        <v>0.75792636312603601</v>
      </c>
      <c r="BF14">
        <v>6.9866828043748275E-2</v>
      </c>
      <c r="BG14">
        <v>6.9866828043748275E-2</v>
      </c>
      <c r="BH14">
        <v>0.75792636312603601</v>
      </c>
      <c r="BI14">
        <v>0.10933063276688661</v>
      </c>
      <c r="BJ14">
        <v>0.62119270851912922</v>
      </c>
      <c r="BK14">
        <v>3.3698436274452112E-2</v>
      </c>
      <c r="BL14">
        <v>0.86471143723765853</v>
      </c>
      <c r="BM14">
        <v>3.3698436274452112E-2</v>
      </c>
      <c r="BN14">
        <v>3.3698436274452112E-2</v>
      </c>
      <c r="BO14">
        <v>0.86471143723765853</v>
      </c>
      <c r="BP14">
        <v>8.5971763728226541E-2</v>
      </c>
      <c r="BQ14">
        <v>0.65485056166380029</v>
      </c>
      <c r="BR14">
        <v>134.303949180194</v>
      </c>
      <c r="BS14">
        <v>0.61774728558171099</v>
      </c>
      <c r="BT14">
        <v>134.303949180194</v>
      </c>
      <c r="BU14">
        <v>134.303949180194</v>
      </c>
      <c r="BV14">
        <v>0.61774728558171099</v>
      </c>
      <c r="BW14">
        <v>476.12959831848451</v>
      </c>
      <c r="BX14">
        <v>-0.35514876876733231</v>
      </c>
      <c r="BY14" t="str">
        <f>SUBSTITUTE(TRIM(MID(SUBSTITUTE(SUBSTITUTE(SUBSTITUTE(Tabla1[[#This Row],[map]],"[",""),"]",""),",",REPT(" ",100)),1,300))," ",", ")</f>
        <v>2, 3, 4</v>
      </c>
      <c r="BZ14" t="str">
        <f>SUBSTITUTE(TRIM(MID(SUBSTITUTE(SUBSTITUTE(SUBSTITUTE(Tabla1[[#This Row],[map]],"[",""),"]",""),",",REPT(" ",100)),601,300))," ",", ")</f>
        <v>4, 0, 1</v>
      </c>
    </row>
    <row r="15" spans="1:78" x14ac:dyDescent="0.3">
      <c r="A15" s="1">
        <v>46086.211886574078</v>
      </c>
      <c r="B15" t="s">
        <v>113</v>
      </c>
      <c r="C15">
        <v>3</v>
      </c>
      <c r="D15" t="s">
        <v>95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96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97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160</v>
      </c>
      <c r="AH15">
        <v>40</v>
      </c>
      <c r="AI15">
        <v>120</v>
      </c>
      <c r="AJ15">
        <v>0.1238501126483072</v>
      </c>
      <c r="AK15">
        <v>15.128658788962211</v>
      </c>
      <c r="AL15">
        <v>0.69173028331045328</v>
      </c>
      <c r="AM15">
        <v>0.1011934201897827</v>
      </c>
      <c r="AN15">
        <v>23.760355984953041</v>
      </c>
      <c r="AO15">
        <v>0.62332342534833662</v>
      </c>
      <c r="AP15">
        <v>23.760355984953041</v>
      </c>
      <c r="AQ15">
        <v>23.760355984953041</v>
      </c>
      <c r="AR15">
        <v>0.62332342534833662</v>
      </c>
      <c r="AS15">
        <v>111.2713762171807</v>
      </c>
      <c r="AT15">
        <v>0.1221164526129999</v>
      </c>
      <c r="AU15">
        <v>0.8</v>
      </c>
      <c r="AV15" t="s">
        <v>93</v>
      </c>
      <c r="AW15">
        <v>8.6047510210443309E-2</v>
      </c>
      <c r="AX15">
        <v>0.375183820009376</v>
      </c>
      <c r="AY15">
        <v>8.6047510210443309E-2</v>
      </c>
      <c r="AZ15">
        <v>8.6047510210443309E-2</v>
      </c>
      <c r="BA15">
        <v>0.375183820009376</v>
      </c>
      <c r="BB15">
        <v>0.12529244561597819</v>
      </c>
      <c r="BC15">
        <v>9.0214846890975364E-2</v>
      </c>
      <c r="BD15">
        <v>7.9565111779970346E-2</v>
      </c>
      <c r="BE15">
        <v>0.72432388135896841</v>
      </c>
      <c r="BF15">
        <v>7.9565111779970346E-2</v>
      </c>
      <c r="BG15">
        <v>7.9565111779970346E-2</v>
      </c>
      <c r="BH15">
        <v>0.72432388135896841</v>
      </c>
      <c r="BI15">
        <v>0.16773661222285921</v>
      </c>
      <c r="BJ15">
        <v>0.41882846417072078</v>
      </c>
      <c r="BK15">
        <v>8.3797191302685453E-2</v>
      </c>
      <c r="BL15">
        <v>0.66358078213094729</v>
      </c>
      <c r="BM15">
        <v>8.3797191302685453E-2</v>
      </c>
      <c r="BN15">
        <v>8.3797191302685453E-2</v>
      </c>
      <c r="BO15">
        <v>0.66358078213094729</v>
      </c>
      <c r="BP15">
        <v>0.188098272298448</v>
      </c>
      <c r="BQ15">
        <v>0.24484493256355669</v>
      </c>
      <c r="BR15">
        <v>94.792014126519405</v>
      </c>
      <c r="BS15">
        <v>0.73020521789405146</v>
      </c>
      <c r="BT15">
        <v>94.792014126519405</v>
      </c>
      <c r="BU15">
        <v>94.792014126519405</v>
      </c>
      <c r="BV15">
        <v>0.73020521789405146</v>
      </c>
      <c r="BW15">
        <v>444.60437753858452</v>
      </c>
      <c r="BX15">
        <v>-0.26542243317325021</v>
      </c>
      <c r="BY15" t="str">
        <f>SUBSTITUTE(TRIM(MID(SUBSTITUTE(SUBSTITUTE(SUBSTITUTE(Tabla1[[#This Row],[map]],"[",""),"]",""),",",REPT(" ",100)),1,300))," ",", ")</f>
        <v>4, 2, 3</v>
      </c>
      <c r="BZ15" t="str">
        <f>SUBSTITUTE(TRIM(MID(SUBSTITUTE(SUBSTITUTE(SUBSTITUTE(Tabla1[[#This Row],[map]],"[",""),"]",""),",",REPT(" ",100)),601,300))," ",", ")</f>
        <v>0, 1, 4</v>
      </c>
    </row>
    <row r="16" spans="1:78" x14ac:dyDescent="0.3">
      <c r="A16" s="1">
        <v>46086.211365740739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85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89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160</v>
      </c>
      <c r="AH16">
        <v>40</v>
      </c>
      <c r="AI16">
        <v>120</v>
      </c>
      <c r="AJ16">
        <v>0.1026492561201985</v>
      </c>
      <c r="AK16">
        <v>15.304057603322811</v>
      </c>
      <c r="AL16">
        <v>0.75145112109002388</v>
      </c>
      <c r="AM16">
        <v>-0.60852759913690102</v>
      </c>
      <c r="AN16">
        <v>23.771743642195158</v>
      </c>
      <c r="AO16">
        <v>0.668091905392726</v>
      </c>
      <c r="AP16">
        <v>23.771743642195158</v>
      </c>
      <c r="AQ16">
        <v>23.771743642195158</v>
      </c>
      <c r="AR16">
        <v>0.668091905392726</v>
      </c>
      <c r="AS16">
        <v>138.0397413004267</v>
      </c>
      <c r="AT16">
        <v>-0.60146042590321436</v>
      </c>
      <c r="AU16">
        <v>0.8</v>
      </c>
      <c r="AV16" t="s">
        <v>93</v>
      </c>
      <c r="AW16">
        <v>7.1654291792657338E-2</v>
      </c>
      <c r="AX16">
        <v>0.47969719555711221</v>
      </c>
      <c r="AY16">
        <v>7.1654291792657338E-2</v>
      </c>
      <c r="AZ16">
        <v>7.1654291792657338E-2</v>
      </c>
      <c r="BA16">
        <v>0.47969719555711221</v>
      </c>
      <c r="BB16">
        <v>0.14218965911678411</v>
      </c>
      <c r="BC16">
        <v>-3.2480770521301272E-2</v>
      </c>
      <c r="BD16">
        <v>6.2754685893593246E-2</v>
      </c>
      <c r="BE16">
        <v>0.78256841665070143</v>
      </c>
      <c r="BF16">
        <v>6.2754685893593246E-2</v>
      </c>
      <c r="BG16">
        <v>6.2754685893593246E-2</v>
      </c>
      <c r="BH16">
        <v>0.78256841665070143</v>
      </c>
      <c r="BI16">
        <v>0.52114693847391591</v>
      </c>
      <c r="BJ16">
        <v>-0.80566283420106277</v>
      </c>
      <c r="BK16">
        <v>7.9675771768587866E-2</v>
      </c>
      <c r="BL16">
        <v>0.68012697794749988</v>
      </c>
      <c r="BM16">
        <v>7.9675771768587866E-2</v>
      </c>
      <c r="BN16">
        <v>7.9675771768587866E-2</v>
      </c>
      <c r="BO16">
        <v>0.68012697794749988</v>
      </c>
      <c r="BP16">
        <v>0.49803719905625138</v>
      </c>
      <c r="BQ16">
        <v>-0.99946182409610618</v>
      </c>
      <c r="BR16">
        <v>94.872889819326019</v>
      </c>
      <c r="BS16">
        <v>0.72997503141558595</v>
      </c>
      <c r="BT16">
        <v>94.872889819326019</v>
      </c>
      <c r="BU16">
        <v>94.872889819326019</v>
      </c>
      <c r="BV16">
        <v>0.72997503141558595</v>
      </c>
      <c r="BW16">
        <v>550.99759140505876</v>
      </c>
      <c r="BX16">
        <v>-0.56823627479439365</v>
      </c>
      <c r="BY16" t="str">
        <f>SUBSTITUTE(TRIM(MID(SUBSTITUTE(SUBSTITUTE(SUBSTITUTE(Tabla1[[#This Row],[map]],"[",""),"]",""),",",REPT(" ",100)),1,300))," ",", ")</f>
        <v>2, 3, 4</v>
      </c>
      <c r="BZ16" t="str">
        <f>SUBSTITUTE(TRIM(MID(SUBSTITUTE(SUBSTITUTE(SUBSTITUTE(Tabla1[[#This Row],[map]],"[",""),"]",""),",",REPT(" ",100)),601,300))," ",", ")</f>
        <v>0, 1, 4</v>
      </c>
    </row>
    <row r="17" spans="1:78" x14ac:dyDescent="0.3">
      <c r="A17" s="1">
        <v>46086.212384259263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102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103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160</v>
      </c>
      <c r="AH17">
        <v>40</v>
      </c>
      <c r="AI17">
        <v>120</v>
      </c>
      <c r="AJ17">
        <v>0.1203598125976082</v>
      </c>
      <c r="AK17">
        <v>21.80553665790891</v>
      </c>
      <c r="AL17">
        <v>0.70962665087250043</v>
      </c>
      <c r="AM17">
        <v>0.22180931857203071</v>
      </c>
      <c r="AN17">
        <v>30.546990754320731</v>
      </c>
      <c r="AO17">
        <v>0.63694433419546592</v>
      </c>
      <c r="AP17">
        <v>30.546990754320731</v>
      </c>
      <c r="AQ17">
        <v>30.546990754320731</v>
      </c>
      <c r="AR17">
        <v>0.63694433419546592</v>
      </c>
      <c r="AS17">
        <v>119.03305469246629</v>
      </c>
      <c r="AT17">
        <v>0.28004382909674641</v>
      </c>
      <c r="AU17">
        <v>0.8</v>
      </c>
      <c r="AV17" t="s">
        <v>93</v>
      </c>
      <c r="AW17">
        <v>8.1358414123435849E-2</v>
      </c>
      <c r="AX17">
        <v>0.40923272040786068</v>
      </c>
      <c r="AY17">
        <v>8.1358414123435849E-2</v>
      </c>
      <c r="AZ17">
        <v>8.1358414123435849E-2</v>
      </c>
      <c r="BA17">
        <v>0.40923272040786068</v>
      </c>
      <c r="BB17">
        <v>9.3293404022150972E-2</v>
      </c>
      <c r="BC17">
        <v>0.32256926229612548</v>
      </c>
      <c r="BD17">
        <v>8.2828204282700005E-2</v>
      </c>
      <c r="BE17">
        <v>0.7130179627748684</v>
      </c>
      <c r="BF17">
        <v>8.2828204282700005E-2</v>
      </c>
      <c r="BG17">
        <v>8.2828204282700005E-2</v>
      </c>
      <c r="BH17">
        <v>0.7130179627748684</v>
      </c>
      <c r="BI17">
        <v>0.13075165100171751</v>
      </c>
      <c r="BJ17">
        <v>0.54697345547958898</v>
      </c>
      <c r="BK17">
        <v>5.6625465818916899E-2</v>
      </c>
      <c r="BL17">
        <v>0.77266666547974971</v>
      </c>
      <c r="BM17">
        <v>5.6625465818916899E-2</v>
      </c>
      <c r="BN17">
        <v>5.6625465818916899E-2</v>
      </c>
      <c r="BO17">
        <v>0.77266666547974971</v>
      </c>
      <c r="BP17">
        <v>9.8420946493697939E-2</v>
      </c>
      <c r="BQ17">
        <v>0.60487103056065505</v>
      </c>
      <c r="BR17">
        <v>121.96715093305779</v>
      </c>
      <c r="BS17">
        <v>0.65285998811938195</v>
      </c>
      <c r="BT17">
        <v>121.96715093305779</v>
      </c>
      <c r="BU17">
        <v>121.96715093305779</v>
      </c>
      <c r="BV17">
        <v>0.65285998811938195</v>
      </c>
      <c r="BW17">
        <v>475.80975276834891</v>
      </c>
      <c r="BX17">
        <v>-0.35423843194938881</v>
      </c>
      <c r="BY17" t="str">
        <f>SUBSTITUTE(TRIM(MID(SUBSTITUTE(SUBSTITUTE(SUBSTITUTE(Tabla1[[#This Row],[map]],"[",""),"]",""),",",REPT(" ",100)),1,300))," ",", ")</f>
        <v>4, 2, 3</v>
      </c>
      <c r="BZ17" t="str">
        <f>SUBSTITUTE(TRIM(MID(SUBSTITUTE(SUBSTITUTE(SUBSTITUTE(Tabla1[[#This Row],[map]],"[",""),"]",""),",",REPT(" ",100)),601,300))," ",", ")</f>
        <v>4, 0, 1</v>
      </c>
    </row>
    <row r="18" spans="1:78" x14ac:dyDescent="0.3">
      <c r="A18" s="1">
        <v>46086.295289351852</v>
      </c>
      <c r="B18" t="s">
        <v>116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99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100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160</v>
      </c>
      <c r="AH18">
        <v>40</v>
      </c>
      <c r="AI18">
        <v>120</v>
      </c>
      <c r="AJ18">
        <v>9.7372851455160697E-2</v>
      </c>
      <c r="AK18">
        <v>20.685792902523492</v>
      </c>
      <c r="AL18">
        <v>0.78159792453592347</v>
      </c>
      <c r="AM18">
        <v>-0.15121466945858331</v>
      </c>
      <c r="AN18">
        <v>29.134024967329751</v>
      </c>
      <c r="AO18">
        <v>0.70806355972745583</v>
      </c>
      <c r="AP18">
        <v>29.134024967329751</v>
      </c>
      <c r="AQ18">
        <v>29.134024967329751</v>
      </c>
      <c r="AR18">
        <v>0.70806355972745583</v>
      </c>
      <c r="AS18">
        <v>130.9040767568811</v>
      </c>
      <c r="AT18">
        <v>-0.12486664522417661</v>
      </c>
      <c r="AU18">
        <v>0.8</v>
      </c>
      <c r="AV18" t="s">
        <v>93</v>
      </c>
      <c r="AW18">
        <v>6.2477488834075681E-2</v>
      </c>
      <c r="AX18">
        <v>0.54633265026213107</v>
      </c>
      <c r="AY18">
        <v>6.2477488834075681E-2</v>
      </c>
      <c r="AZ18">
        <v>6.2477488834075681E-2</v>
      </c>
      <c r="BA18">
        <v>0.54633265026213107</v>
      </c>
      <c r="BB18">
        <v>6.8241058017643394E-2</v>
      </c>
      <c r="BC18">
        <v>0.50448168593345732</v>
      </c>
      <c r="BD18">
        <v>4.7122331617120858E-2</v>
      </c>
      <c r="BE18">
        <v>0.83673118542901781</v>
      </c>
      <c r="BF18">
        <v>4.7122331617120858E-2</v>
      </c>
      <c r="BG18">
        <v>4.7122331617120858E-2</v>
      </c>
      <c r="BH18">
        <v>0.83673118542901781</v>
      </c>
      <c r="BI18">
        <v>0.45216556608122971</v>
      </c>
      <c r="BJ18">
        <v>-0.56665711204063052</v>
      </c>
      <c r="BK18">
        <v>5.4697941486357517E-2</v>
      </c>
      <c r="BL18">
        <v>0.78040506599535764</v>
      </c>
      <c r="BM18">
        <v>5.4697941486357517E-2</v>
      </c>
      <c r="BN18">
        <v>5.4697941486357517E-2</v>
      </c>
      <c r="BO18">
        <v>0.78040506599535764</v>
      </c>
      <c r="BP18">
        <v>0.23641735387542431</v>
      </c>
      <c r="BQ18">
        <v>5.0859103449539811E-2</v>
      </c>
      <c r="BR18">
        <v>116.3718021073815</v>
      </c>
      <c r="BS18">
        <v>0.66878533722331834</v>
      </c>
      <c r="BT18">
        <v>116.3718021073815</v>
      </c>
      <c r="BU18">
        <v>116.3718021073815</v>
      </c>
      <c r="BV18">
        <v>0.66878533722331834</v>
      </c>
      <c r="BW18">
        <v>522.85948304955264</v>
      </c>
      <c r="BX18">
        <v>-0.4881502582390862</v>
      </c>
      <c r="BY18" t="str">
        <f>SUBSTITUTE(TRIM(MID(SUBSTITUTE(SUBSTITUTE(SUBSTITUTE(Tabla1[[#This Row],[map]],"[",""),"]",""),",",REPT(" ",100)),1,300))," ",", ")</f>
        <v>2, 3, 4</v>
      </c>
      <c r="BZ18" t="str">
        <f>SUBSTITUTE(TRIM(MID(SUBSTITUTE(SUBSTITUTE(SUBSTITUTE(Tabla1[[#This Row],[map]],"[",""),"]",""),",",REPT(" ",100)),601,300))," ",", ")</f>
        <v>4, 0, 1</v>
      </c>
    </row>
    <row r="19" spans="1:78" x14ac:dyDescent="0.3">
      <c r="A19" s="1">
        <v>46086.298842592587</v>
      </c>
      <c r="B19" t="s">
        <v>117</v>
      </c>
      <c r="C19">
        <v>4</v>
      </c>
      <c r="D19" t="s">
        <v>95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96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97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160</v>
      </c>
      <c r="AH19">
        <v>40</v>
      </c>
      <c r="AI19">
        <v>120</v>
      </c>
      <c r="AJ19">
        <v>0.1220517239790799</v>
      </c>
      <c r="AK19">
        <v>24.657695729421299</v>
      </c>
      <c r="AL19">
        <v>0.65076332782519808</v>
      </c>
      <c r="AM19">
        <v>-0.1297948886140193</v>
      </c>
      <c r="AN19">
        <v>36.984776699158303</v>
      </c>
      <c r="AO19">
        <v>0.56416709275403998</v>
      </c>
      <c r="AP19">
        <v>36.984776699158303</v>
      </c>
      <c r="AQ19">
        <v>36.984776699158303</v>
      </c>
      <c r="AR19">
        <v>0.56416709275403998</v>
      </c>
      <c r="AS19">
        <v>128.4629497518323</v>
      </c>
      <c r="AT19">
        <v>-0.13192531514710421</v>
      </c>
      <c r="AU19">
        <v>0.8</v>
      </c>
      <c r="AV19" t="s">
        <v>93</v>
      </c>
      <c r="AW19">
        <v>7.3565812442830988E-2</v>
      </c>
      <c r="AX19">
        <v>0.46581708411991057</v>
      </c>
      <c r="AY19">
        <v>7.3565812442830988E-2</v>
      </c>
      <c r="AZ19">
        <v>7.3565812442830988E-2</v>
      </c>
      <c r="BA19">
        <v>0.46581708411991057</v>
      </c>
      <c r="BB19">
        <v>0.1047471255455461</v>
      </c>
      <c r="BC19">
        <v>0.23940043484926751</v>
      </c>
      <c r="BD19">
        <v>0.10521915627141171</v>
      </c>
      <c r="BE19">
        <v>0.63543809643853244</v>
      </c>
      <c r="BF19">
        <v>0.10521915627141171</v>
      </c>
      <c r="BG19">
        <v>0.10521915627141171</v>
      </c>
      <c r="BH19">
        <v>0.63543809643853244</v>
      </c>
      <c r="BI19">
        <v>0.33011974779488079</v>
      </c>
      <c r="BJ19">
        <v>-0.14379441846971419</v>
      </c>
      <c r="BK19">
        <v>0.10569592716012691</v>
      </c>
      <c r="BL19">
        <v>0.57566428427518535</v>
      </c>
      <c r="BM19">
        <v>0.10569592716012691</v>
      </c>
      <c r="BN19">
        <v>0.10569592716012691</v>
      </c>
      <c r="BO19">
        <v>0.57566428427518535</v>
      </c>
      <c r="BP19">
        <v>0.28965085870131702</v>
      </c>
      <c r="BQ19">
        <v>-0.16285658056744159</v>
      </c>
      <c r="BR19">
        <v>147.65462590075819</v>
      </c>
      <c r="BS19">
        <v>0.5797489061825345</v>
      </c>
      <c r="BT19">
        <v>147.65462590075819</v>
      </c>
      <c r="BU19">
        <v>147.65462590075819</v>
      </c>
      <c r="BV19">
        <v>0.5797489061825345</v>
      </c>
      <c r="BW19">
        <v>513.12728127528635</v>
      </c>
      <c r="BX19">
        <v>-0.46045069640052477</v>
      </c>
      <c r="BY19" t="str">
        <f>SUBSTITUTE(TRIM(MID(SUBSTITUTE(SUBSTITUTE(SUBSTITUTE(Tabla1[[#This Row],[map]],"[",""),"]",""),",",REPT(" ",100)),1,300))," ",", ")</f>
        <v>4, 2, 3</v>
      </c>
      <c r="BZ19" t="str">
        <f>SUBSTITUTE(TRIM(MID(SUBSTITUTE(SUBSTITUTE(SUBSTITUTE(Tabla1[[#This Row],[map]],"[",""),"]",""),",",REPT(" ",100)),601,300))," ",", ")</f>
        <v>0, 1, 4</v>
      </c>
    </row>
    <row r="20" spans="1:78" x14ac:dyDescent="0.3">
      <c r="A20" s="1">
        <v>46086.299039351848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85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89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160</v>
      </c>
      <c r="AH20">
        <v>40</v>
      </c>
      <c r="AI20">
        <v>120</v>
      </c>
      <c r="AJ20">
        <v>0.1068823470791303</v>
      </c>
      <c r="AK20">
        <v>23.96039746561555</v>
      </c>
      <c r="AL20">
        <v>0.74106797566902571</v>
      </c>
      <c r="AM20">
        <v>-1.1179252975170131</v>
      </c>
      <c r="AN20">
        <v>35.045894220138123</v>
      </c>
      <c r="AO20">
        <v>0.64729514138642164</v>
      </c>
      <c r="AP20">
        <v>35.045894220138123</v>
      </c>
      <c r="AQ20">
        <v>35.045894220138123</v>
      </c>
      <c r="AR20">
        <v>0.64729514138642164</v>
      </c>
      <c r="AS20">
        <v>96.17596134238859</v>
      </c>
      <c r="AT20">
        <v>-0.93624420040034595</v>
      </c>
      <c r="AU20">
        <v>0.8</v>
      </c>
      <c r="AV20" t="s">
        <v>93</v>
      </c>
      <c r="AW20">
        <v>6.2177815476614447E-2</v>
      </c>
      <c r="AX20">
        <v>0.54850866630252515</v>
      </c>
      <c r="AY20">
        <v>6.2177815476614447E-2</v>
      </c>
      <c r="AZ20">
        <v>6.2177815476614447E-2</v>
      </c>
      <c r="BA20">
        <v>0.54850866630252515</v>
      </c>
      <c r="BB20">
        <v>0.29036554972554968</v>
      </c>
      <c r="BC20">
        <v>-1.1084293216234931</v>
      </c>
      <c r="BD20">
        <v>4.202717284708532E-2</v>
      </c>
      <c r="BE20">
        <v>0.85438482233293545</v>
      </c>
      <c r="BF20">
        <v>4.202717284708532E-2</v>
      </c>
      <c r="BG20">
        <v>4.202717284708532E-2</v>
      </c>
      <c r="BH20">
        <v>0.85438482233293545</v>
      </c>
      <c r="BI20">
        <v>0.71579975277118024</v>
      </c>
      <c r="BJ20">
        <v>-1.4800932614015929</v>
      </c>
      <c r="BK20">
        <v>0.1034494381407043</v>
      </c>
      <c r="BL20">
        <v>0.5846832271194109</v>
      </c>
      <c r="BM20">
        <v>0.1034494381407043</v>
      </c>
      <c r="BN20">
        <v>0.1034494381407043</v>
      </c>
      <c r="BO20">
        <v>0.5846832271194109</v>
      </c>
      <c r="BP20">
        <v>0.514572928687139</v>
      </c>
      <c r="BQ20">
        <v>-1.0658475482813401</v>
      </c>
      <c r="BR20">
        <v>139.97592245408791</v>
      </c>
      <c r="BS20">
        <v>0.60160384979081716</v>
      </c>
      <c r="BT20">
        <v>139.97592245408791</v>
      </c>
      <c r="BU20">
        <v>139.97592245408791</v>
      </c>
      <c r="BV20">
        <v>0.60160384979081716</v>
      </c>
      <c r="BW20">
        <v>383.18310713837297</v>
      </c>
      <c r="BX20">
        <v>-9.0606670294976377E-2</v>
      </c>
      <c r="BY20" t="str">
        <f>SUBSTITUTE(TRIM(MID(SUBSTITUTE(SUBSTITUTE(SUBSTITUTE(Tabla1[[#This Row],[map]],"[",""),"]",""),",",REPT(" ",100)),1,300))," ",", ")</f>
        <v>2, 3, 4</v>
      </c>
      <c r="BZ20" t="str">
        <f>SUBSTITUTE(TRIM(MID(SUBSTITUTE(SUBSTITUTE(SUBSTITUTE(Tabla1[[#This Row],[map]],"[",""),"]",""),",",REPT(" ",100)),601,300))," ",", ")</f>
        <v>0, 1, 4</v>
      </c>
    </row>
    <row r="21" spans="1:78" x14ac:dyDescent="0.3">
      <c r="A21" s="1">
        <v>46086.300104166658</v>
      </c>
      <c r="B21" t="s">
        <v>119</v>
      </c>
      <c r="C21">
        <v>4</v>
      </c>
      <c r="D21" t="s">
        <v>95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102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103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160</v>
      </c>
      <c r="AH21">
        <v>40</v>
      </c>
      <c r="AI21">
        <v>120</v>
      </c>
      <c r="AJ21">
        <v>0.1244093514804047</v>
      </c>
      <c r="AK21">
        <v>20.646924855644521</v>
      </c>
      <c r="AL21">
        <v>0.66155778321801528</v>
      </c>
      <c r="AM21">
        <v>-0.14272563305157471</v>
      </c>
      <c r="AN21">
        <v>28.62507328173524</v>
      </c>
      <c r="AO21">
        <v>0.62877698187601949</v>
      </c>
      <c r="AP21">
        <v>28.62507328173524</v>
      </c>
      <c r="AQ21">
        <v>28.62507328173524</v>
      </c>
      <c r="AR21">
        <v>0.62877698187601949</v>
      </c>
      <c r="AS21">
        <v>158.85347048662459</v>
      </c>
      <c r="AT21">
        <v>-0.14319242897117901</v>
      </c>
      <c r="AU21">
        <v>0.8</v>
      </c>
      <c r="AV21" t="s">
        <v>93</v>
      </c>
      <c r="AW21">
        <v>8.0395107178829125E-2</v>
      </c>
      <c r="AX21">
        <v>0.41622757434164209</v>
      </c>
      <c r="AY21">
        <v>8.0395107178829125E-2</v>
      </c>
      <c r="AZ21">
        <v>8.0395107178829125E-2</v>
      </c>
      <c r="BA21">
        <v>0.41622757434164209</v>
      </c>
      <c r="BB21">
        <v>0.16808718373424419</v>
      </c>
      <c r="BC21">
        <v>-0.22053028366956989</v>
      </c>
      <c r="BD21">
        <v>0.10526736064080219</v>
      </c>
      <c r="BE21">
        <v>0.63527107859418042</v>
      </c>
      <c r="BF21">
        <v>0.10526736064080219</v>
      </c>
      <c r="BG21">
        <v>0.10526736064080219</v>
      </c>
      <c r="BH21">
        <v>0.63527107859418042</v>
      </c>
      <c r="BI21">
        <v>0.14108372744344039</v>
      </c>
      <c r="BJ21">
        <v>0.51117501735468163</v>
      </c>
      <c r="BK21">
        <v>5.2602114140143291E-2</v>
      </c>
      <c r="BL21">
        <v>0.78881914987622592</v>
      </c>
      <c r="BM21">
        <v>5.2602114140143291E-2</v>
      </c>
      <c r="BN21">
        <v>5.2602114140143291E-2</v>
      </c>
      <c r="BO21">
        <v>0.78881914987622592</v>
      </c>
      <c r="BP21">
        <v>0.26316980191594708</v>
      </c>
      <c r="BQ21">
        <v>-5.6543513582884897E-2</v>
      </c>
      <c r="BR21">
        <v>114.26202854498121</v>
      </c>
      <c r="BS21">
        <v>0.67479012469202826</v>
      </c>
      <c r="BT21">
        <v>114.26202854498121</v>
      </c>
      <c r="BU21">
        <v>114.26202854498121</v>
      </c>
      <c r="BV21">
        <v>0.67479012469202826</v>
      </c>
      <c r="BW21">
        <v>634.84154123340591</v>
      </c>
      <c r="BX21">
        <v>-0.80687093598693971</v>
      </c>
      <c r="BY21" t="str">
        <f>SUBSTITUTE(TRIM(MID(SUBSTITUTE(SUBSTITUTE(SUBSTITUTE(Tabla1[[#This Row],[map]],"[",""),"]",""),",",REPT(" ",100)),1,300))," ",", ")</f>
        <v>4, 2, 3</v>
      </c>
      <c r="BZ21" t="str">
        <f>SUBSTITUTE(TRIM(MID(SUBSTITUTE(SUBSTITUTE(SUBSTITUTE(Tabla1[[#This Row],[map]],"[",""),"]",""),",",REPT(" ",100)),601,300))," ",", ")</f>
        <v>4, 0, 1</v>
      </c>
    </row>
    <row r="22" spans="1:78" x14ac:dyDescent="0.3">
      <c r="A22" s="1">
        <v>46086.37572916667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99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100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160</v>
      </c>
      <c r="AH22">
        <v>40</v>
      </c>
      <c r="AI22">
        <v>120</v>
      </c>
      <c r="AJ22">
        <v>9.7707069375693956E-2</v>
      </c>
      <c r="AK22">
        <v>20.185794783750531</v>
      </c>
      <c r="AL22">
        <v>0.77488233491453962</v>
      </c>
      <c r="AM22">
        <v>-0.63274417347563272</v>
      </c>
      <c r="AN22">
        <v>25.304867311719001</v>
      </c>
      <c r="AO22">
        <v>0.71210830329177222</v>
      </c>
      <c r="AP22">
        <v>25.304867311719001</v>
      </c>
      <c r="AQ22">
        <v>25.304867311719001</v>
      </c>
      <c r="AR22">
        <v>0.71210830329177222</v>
      </c>
      <c r="AS22">
        <v>121.2976147770047</v>
      </c>
      <c r="AT22">
        <v>-0.52492765615263415</v>
      </c>
      <c r="AU22">
        <v>0.8</v>
      </c>
      <c r="AV22" t="s">
        <v>93</v>
      </c>
      <c r="AW22">
        <v>6.188503375491694E-2</v>
      </c>
      <c r="AX22">
        <v>0.55063464015667518</v>
      </c>
      <c r="AY22">
        <v>6.188503375491694E-2</v>
      </c>
      <c r="AZ22">
        <v>6.188503375491694E-2</v>
      </c>
      <c r="BA22">
        <v>0.55063464015667518</v>
      </c>
      <c r="BB22">
        <v>0.1826411697089351</v>
      </c>
      <c r="BC22">
        <v>-0.32621103954622083</v>
      </c>
      <c r="BD22">
        <v>6.4556045657606406E-2</v>
      </c>
      <c r="BE22">
        <v>0.77632708980643639</v>
      </c>
      <c r="BF22">
        <v>6.4556045657606406E-2</v>
      </c>
      <c r="BG22">
        <v>6.4556045657606406E-2</v>
      </c>
      <c r="BH22">
        <v>0.77632708980643639</v>
      </c>
      <c r="BI22">
        <v>0.56659789501556801</v>
      </c>
      <c r="BJ22">
        <v>-0.96314069111119505</v>
      </c>
      <c r="BK22">
        <v>4.7559238616107682E-2</v>
      </c>
      <c r="BL22">
        <v>0.8090647000340947</v>
      </c>
      <c r="BM22">
        <v>4.7559238616107682E-2</v>
      </c>
      <c r="BN22">
        <v>4.7559238616107682E-2</v>
      </c>
      <c r="BO22">
        <v>0.8090647000340947</v>
      </c>
      <c r="BP22">
        <v>0.35683244318914442</v>
      </c>
      <c r="BQ22">
        <v>-0.43256939262292499</v>
      </c>
      <c r="BR22">
        <v>101.0454689288476</v>
      </c>
      <c r="BS22">
        <v>0.7124067831698806</v>
      </c>
      <c r="BT22">
        <v>101.0454689288476</v>
      </c>
      <c r="BU22">
        <v>101.0454689288476</v>
      </c>
      <c r="BV22">
        <v>0.7124067831698806</v>
      </c>
      <c r="BW22">
        <v>484.08438760010569</v>
      </c>
      <c r="BX22">
        <v>-0.37778950133019601</v>
      </c>
      <c r="BY22" t="str">
        <f>SUBSTITUTE(TRIM(MID(SUBSTITUTE(SUBSTITUTE(SUBSTITUTE(Tabla1[[#This Row],[map]],"[",""),"]",""),",",REPT(" ",100)),1,300))," ",", ")</f>
        <v>2, 3, 4</v>
      </c>
      <c r="BZ22" t="str">
        <f>SUBSTITUTE(TRIM(MID(SUBSTITUTE(SUBSTITUTE(SUBSTITUTE(Tabla1[[#This Row],[map]],"[",""),"]",""),",",REPT(" ",100)),601,300))," ",", ")</f>
        <v>4, 0, 1</v>
      </c>
    </row>
    <row r="23" spans="1:78" x14ac:dyDescent="0.3">
      <c r="A23" s="1">
        <v>46086.37972222222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96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97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160</v>
      </c>
      <c r="AH23">
        <v>40</v>
      </c>
      <c r="AI23">
        <v>120</v>
      </c>
      <c r="AJ23">
        <v>0.1430502069420353</v>
      </c>
      <c r="AK23">
        <v>19.89628895451219</v>
      </c>
      <c r="AL23">
        <v>0.6306494270634414</v>
      </c>
      <c r="AM23">
        <v>-0.22835227794071719</v>
      </c>
      <c r="AN23">
        <v>35.959209981389918</v>
      </c>
      <c r="AO23">
        <v>0.52592420998385914</v>
      </c>
      <c r="AP23">
        <v>35.959209981389918</v>
      </c>
      <c r="AQ23">
        <v>35.959209981389918</v>
      </c>
      <c r="AR23">
        <v>0.52592420998385914</v>
      </c>
      <c r="AS23">
        <v>144.7603526527634</v>
      </c>
      <c r="AT23">
        <v>-0.20176535162586601</v>
      </c>
      <c r="AU23">
        <v>0.8</v>
      </c>
      <c r="AV23" t="s">
        <v>93</v>
      </c>
      <c r="AW23">
        <v>7.4158914199149745E-2</v>
      </c>
      <c r="AX23">
        <v>0.46151039851305808</v>
      </c>
      <c r="AY23">
        <v>7.4158914199149745E-2</v>
      </c>
      <c r="AZ23">
        <v>7.4158914199149745E-2</v>
      </c>
      <c r="BA23">
        <v>0.46151039851305808</v>
      </c>
      <c r="BB23">
        <v>0.1809846187621609</v>
      </c>
      <c r="BC23">
        <v>-0.31418233782095378</v>
      </c>
      <c r="BD23">
        <v>0.10766545979271699</v>
      </c>
      <c r="BE23">
        <v>0.62696217722363468</v>
      </c>
      <c r="BF23">
        <v>0.10766545979271699</v>
      </c>
      <c r="BG23">
        <v>0.10766545979271699</v>
      </c>
      <c r="BH23">
        <v>0.62696217722363468</v>
      </c>
      <c r="BI23">
        <v>0.19925009726785009</v>
      </c>
      <c r="BJ23">
        <v>0.30964096920333117</v>
      </c>
      <c r="BK23">
        <v>0.1435522338469046</v>
      </c>
      <c r="BL23">
        <v>0.42368318694968821</v>
      </c>
      <c r="BM23">
        <v>0.1435522338469046</v>
      </c>
      <c r="BN23">
        <v>0.1435522338469046</v>
      </c>
      <c r="BO23">
        <v>0.42368318694968821</v>
      </c>
      <c r="BP23">
        <v>0.28803467708319003</v>
      </c>
      <c r="BQ23">
        <v>-0.15636812257198621</v>
      </c>
      <c r="BR23">
        <v>143.51146331772031</v>
      </c>
      <c r="BS23">
        <v>0.59154107724905813</v>
      </c>
      <c r="BT23">
        <v>143.51146331772031</v>
      </c>
      <c r="BU23">
        <v>143.51146331772031</v>
      </c>
      <c r="BV23">
        <v>0.59154107724905813</v>
      </c>
      <c r="BW23">
        <v>578.37314121793963</v>
      </c>
      <c r="BX23">
        <v>-0.64615191531384597</v>
      </c>
      <c r="BY23" t="str">
        <f>SUBSTITUTE(TRIM(MID(SUBSTITUTE(SUBSTITUTE(SUBSTITUTE(Tabla1[[#This Row],[map]],"[",""),"]",""),",",REPT(" ",100)),1,300))," ",", ")</f>
        <v>4, 2, 3</v>
      </c>
      <c r="BZ23" t="str">
        <f>SUBSTITUTE(TRIM(MID(SUBSTITUTE(SUBSTITUTE(SUBSTITUTE(Tabla1[[#This Row],[map]],"[",""),"]",""),",",REPT(" ",100)),601,300))," ",", ")</f>
        <v>0, 1, 4</v>
      </c>
    </row>
    <row r="24" spans="1:78" x14ac:dyDescent="0.3">
      <c r="A24" s="1">
        <v>46086.380787037036</v>
      </c>
      <c r="B24" t="s">
        <v>122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85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89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160</v>
      </c>
      <c r="AH24">
        <v>40</v>
      </c>
      <c r="AI24">
        <v>120</v>
      </c>
      <c r="AJ24">
        <v>0.1244164453591062</v>
      </c>
      <c r="AK24">
        <v>16.220191233525131</v>
      </c>
      <c r="AL24">
        <v>0.68727894838432335</v>
      </c>
      <c r="AM24">
        <v>-0.36185454169135811</v>
      </c>
      <c r="AN24">
        <v>32.741864908913087</v>
      </c>
      <c r="AO24">
        <v>0.57964300803191737</v>
      </c>
      <c r="AP24">
        <v>32.741864908913087</v>
      </c>
      <c r="AQ24">
        <v>32.741864908913087</v>
      </c>
      <c r="AR24">
        <v>0.57964300803191737</v>
      </c>
      <c r="AS24">
        <v>142.6916487442746</v>
      </c>
      <c r="AT24">
        <v>-0.33367810854225838</v>
      </c>
      <c r="AU24">
        <v>0.8</v>
      </c>
      <c r="AV24" t="s">
        <v>93</v>
      </c>
      <c r="AW24">
        <v>6.2660700631758576E-2</v>
      </c>
      <c r="AX24">
        <v>0.54500229572569558</v>
      </c>
      <c r="AY24">
        <v>6.2660700631758576E-2</v>
      </c>
      <c r="AZ24">
        <v>6.2660700631758576E-2</v>
      </c>
      <c r="BA24">
        <v>0.54500229572569558</v>
      </c>
      <c r="BB24">
        <v>0.1599101813855959</v>
      </c>
      <c r="BC24">
        <v>-0.1611546740934002</v>
      </c>
      <c r="BD24">
        <v>7.6511882348260646E-2</v>
      </c>
      <c r="BE24">
        <v>0.73490266922496095</v>
      </c>
      <c r="BF24">
        <v>7.6511882348260646E-2</v>
      </c>
      <c r="BG24">
        <v>7.6511882348260646E-2</v>
      </c>
      <c r="BH24">
        <v>0.73490266922496095</v>
      </c>
      <c r="BI24">
        <v>0.40283905585488627</v>
      </c>
      <c r="BJ24">
        <v>-0.39575128936159149</v>
      </c>
      <c r="BK24">
        <v>0.14680867864298491</v>
      </c>
      <c r="BL24">
        <v>0.41060959111311751</v>
      </c>
      <c r="BM24">
        <v>0.14680867864298491</v>
      </c>
      <c r="BN24">
        <v>0.14680867864298491</v>
      </c>
      <c r="BO24">
        <v>0.41060959111311751</v>
      </c>
      <c r="BP24">
        <v>0.28787452236814948</v>
      </c>
      <c r="BQ24">
        <v>-0.15572515204833981</v>
      </c>
      <c r="BR24">
        <v>130.6814783740293</v>
      </c>
      <c r="BS24">
        <v>0.62805747606389584</v>
      </c>
      <c r="BT24">
        <v>130.6814783740293</v>
      </c>
      <c r="BU24">
        <v>130.6814783740293</v>
      </c>
      <c r="BV24">
        <v>0.62805747606389584</v>
      </c>
      <c r="BW24">
        <v>569.91597121748975</v>
      </c>
      <c r="BX24">
        <v>-0.62208131866570482</v>
      </c>
      <c r="BY24" t="str">
        <f>SUBSTITUTE(TRIM(MID(SUBSTITUTE(SUBSTITUTE(SUBSTITUTE(Tabla1[[#This Row],[map]],"[",""),"]",""),",",REPT(" ",100)),1,300))," ",", ")</f>
        <v>2, 3, 4</v>
      </c>
      <c r="BZ24" t="str">
        <f>SUBSTITUTE(TRIM(MID(SUBSTITUTE(SUBSTITUTE(SUBSTITUTE(Tabla1[[#This Row],[map]],"[",""),"]",""),",",REPT(" ",100)),601,300))," ",", ")</f>
        <v>0, 1, 4</v>
      </c>
    </row>
    <row r="25" spans="1:78" x14ac:dyDescent="0.3">
      <c r="A25" s="1">
        <v>46086.381747685176</v>
      </c>
      <c r="B25" t="s">
        <v>123</v>
      </c>
      <c r="C25">
        <v>5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102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103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160</v>
      </c>
      <c r="AH25">
        <v>40</v>
      </c>
      <c r="AI25">
        <v>120</v>
      </c>
      <c r="AJ25">
        <v>0.1258908641722325</v>
      </c>
      <c r="AK25">
        <v>21.27926064962865</v>
      </c>
      <c r="AL25">
        <v>0.63439024181343628</v>
      </c>
      <c r="AM25">
        <v>-6.0184789525437377E-2</v>
      </c>
      <c r="AN25">
        <v>25.990471266104841</v>
      </c>
      <c r="AO25">
        <v>0.59816129420493702</v>
      </c>
      <c r="AP25">
        <v>25.990471266104841</v>
      </c>
      <c r="AQ25">
        <v>25.990471266104841</v>
      </c>
      <c r="AR25">
        <v>0.59816129420493702</v>
      </c>
      <c r="AS25">
        <v>113.22908856226439</v>
      </c>
      <c r="AT25">
        <v>-4.4125700276800323E-2</v>
      </c>
      <c r="AU25">
        <v>0.8</v>
      </c>
      <c r="AV25" t="s">
        <v>93</v>
      </c>
      <c r="AW25">
        <v>0.11359227881516799</v>
      </c>
      <c r="AX25">
        <v>0.1751731856953925</v>
      </c>
      <c r="AY25">
        <v>0.11359227881516799</v>
      </c>
      <c r="AZ25">
        <v>0.11359227881516799</v>
      </c>
      <c r="BA25">
        <v>0.1751731856953925</v>
      </c>
      <c r="BB25">
        <v>0.13624874982452251</v>
      </c>
      <c r="BC25">
        <v>1.065791228989732E-2</v>
      </c>
      <c r="BD25">
        <v>8.8336083159531759E-2</v>
      </c>
      <c r="BE25">
        <v>0.69393433885049227</v>
      </c>
      <c r="BF25">
        <v>8.8336083159531759E-2</v>
      </c>
      <c r="BG25">
        <v>8.8336083159531759E-2</v>
      </c>
      <c r="BH25">
        <v>0.69393433885049227</v>
      </c>
      <c r="BI25">
        <v>0.124952188649154</v>
      </c>
      <c r="BJ25">
        <v>0.56706735387039042</v>
      </c>
      <c r="BK25">
        <v>4.5152182559343362E-2</v>
      </c>
      <c r="BL25">
        <v>0.81872826874558768</v>
      </c>
      <c r="BM25">
        <v>4.5152182559343362E-2</v>
      </c>
      <c r="BN25">
        <v>4.5152182559343362E-2</v>
      </c>
      <c r="BO25">
        <v>0.81872826874558768</v>
      </c>
      <c r="BP25">
        <v>0.36539159402345911</v>
      </c>
      <c r="BQ25">
        <v>-0.4669316759469857</v>
      </c>
      <c r="BR25">
        <v>103.71480451988521</v>
      </c>
      <c r="BS25">
        <v>0.7048093835282776</v>
      </c>
      <c r="BT25">
        <v>103.71480451988521</v>
      </c>
      <c r="BU25">
        <v>103.71480451988521</v>
      </c>
      <c r="BV25">
        <v>0.7048093835282776</v>
      </c>
      <c r="BW25">
        <v>452.28976171656058</v>
      </c>
      <c r="BX25">
        <v>-0.28729639132050599</v>
      </c>
      <c r="BY25" t="str">
        <f>SUBSTITUTE(TRIM(MID(SUBSTITUTE(SUBSTITUTE(SUBSTITUTE(Tabla1[[#This Row],[map]],"[",""),"]",""),",",REPT(" ",100)),1,300))," ",", ")</f>
        <v>4, 2, 3</v>
      </c>
      <c r="BZ25" t="str">
        <f>SUBSTITUTE(TRIM(MID(SUBSTITUTE(SUBSTITUTE(SUBSTITUTE(Tabla1[[#This Row],[map]],"[",""),"]",""),",",REPT(" ",100)),601,300))," ",", ")</f>
        <v>4, 0, 1</v>
      </c>
    </row>
    <row r="26" spans="1:78" x14ac:dyDescent="0.3">
      <c r="A26" s="1">
        <v>46086.48609953704</v>
      </c>
      <c r="B26" t="s">
        <v>124</v>
      </c>
      <c r="C26">
        <v>6</v>
      </c>
      <c r="D26" t="s">
        <v>95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99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100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160</v>
      </c>
      <c r="AH26">
        <v>40</v>
      </c>
      <c r="AI26">
        <v>120</v>
      </c>
      <c r="AJ26">
        <v>0.11728692272057931</v>
      </c>
      <c r="AK26">
        <v>50.274635190822657</v>
      </c>
      <c r="AL26">
        <v>0.67699393827313714</v>
      </c>
      <c r="AM26">
        <v>0.2945791823749534</v>
      </c>
      <c r="AN26">
        <v>61.01551470968834</v>
      </c>
      <c r="AO26">
        <v>0.60901630676043872</v>
      </c>
      <c r="AP26">
        <v>61.01551470968834</v>
      </c>
      <c r="AQ26">
        <v>61.01551470968834</v>
      </c>
      <c r="AR26">
        <v>0.60901630676043872</v>
      </c>
      <c r="AS26">
        <v>89.301182845619621</v>
      </c>
      <c r="AT26">
        <v>0.30822747282124052</v>
      </c>
      <c r="AU26">
        <v>0.8</v>
      </c>
      <c r="AV26" t="s">
        <v>93</v>
      </c>
      <c r="AW26">
        <v>6.7819905419934282E-2</v>
      </c>
      <c r="AX26">
        <v>0.50753979832567153</v>
      </c>
      <c r="AY26">
        <v>6.7819905419934282E-2</v>
      </c>
      <c r="AZ26">
        <v>6.7819905419934282E-2</v>
      </c>
      <c r="BA26">
        <v>0.50753979832567153</v>
      </c>
      <c r="BB26">
        <v>0.1563745002682364</v>
      </c>
      <c r="BC26">
        <v>-0.1354810576922898</v>
      </c>
      <c r="BD26">
        <v>5.2781968163890497E-2</v>
      </c>
      <c r="BE26">
        <v>0.81712175359101535</v>
      </c>
      <c r="BF26">
        <v>5.2781968163890497E-2</v>
      </c>
      <c r="BG26">
        <v>5.2781968163890497E-2</v>
      </c>
      <c r="BH26">
        <v>0.81712175359101535</v>
      </c>
      <c r="BI26">
        <v>8.478631266249062E-2</v>
      </c>
      <c r="BJ26">
        <v>0.70623353545561907</v>
      </c>
      <c r="BK26">
        <v>4.8430659363434207E-2</v>
      </c>
      <c r="BL26">
        <v>0.80556622136562106</v>
      </c>
      <c r="BM26">
        <v>4.8430659363434207E-2</v>
      </c>
      <c r="BN26">
        <v>4.8430659363434207E-2</v>
      </c>
      <c r="BO26">
        <v>0.80556622136562106</v>
      </c>
      <c r="BP26">
        <v>8.0227909898756125E-2</v>
      </c>
      <c r="BQ26">
        <v>0.67791031799721657</v>
      </c>
      <c r="BR26">
        <v>243.8930263058061</v>
      </c>
      <c r="BS26">
        <v>0.30583745375944521</v>
      </c>
      <c r="BT26">
        <v>243.8930263058061</v>
      </c>
      <c r="BU26">
        <v>243.8930263058061</v>
      </c>
      <c r="BV26">
        <v>0.30583745375944521</v>
      </c>
      <c r="BW26">
        <v>356.88334265964681</v>
      </c>
      <c r="BX26">
        <v>-1.5752904475576871E-2</v>
      </c>
      <c r="BY26" t="str">
        <f>SUBSTITUTE(TRIM(MID(SUBSTITUTE(SUBSTITUTE(SUBSTITUTE(Tabla1[[#This Row],[map]],"[",""),"]",""),",",REPT(" ",100)),1,300))," ",", ")</f>
        <v>2, 3, 4</v>
      </c>
      <c r="BZ26" t="str">
        <f>SUBSTITUTE(TRIM(MID(SUBSTITUTE(SUBSTITUTE(SUBSTITUTE(Tabla1[[#This Row],[map]],"[",""),"]",""),",",REPT(" ",100)),601,300))," ",", ")</f>
        <v>4, 0, 1</v>
      </c>
    </row>
    <row r="27" spans="1:78" x14ac:dyDescent="0.3">
      <c r="A27" s="1">
        <v>46086.49150462963</v>
      </c>
      <c r="B27" t="s">
        <v>125</v>
      </c>
      <c r="C27">
        <v>6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96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97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160</v>
      </c>
      <c r="AH27">
        <v>40</v>
      </c>
      <c r="AI27">
        <v>120</v>
      </c>
      <c r="AJ27">
        <v>0.12487420616461289</v>
      </c>
      <c r="AK27">
        <v>23.76002427553658</v>
      </c>
      <c r="AL27">
        <v>0.65943473527586494</v>
      </c>
      <c r="AM27">
        <v>0.37517917234271381</v>
      </c>
      <c r="AN27">
        <v>35.796366158787158</v>
      </c>
      <c r="AO27">
        <v>0.59075392096247037</v>
      </c>
      <c r="AP27">
        <v>35.796366158787158</v>
      </c>
      <c r="AQ27">
        <v>35.796366158787158</v>
      </c>
      <c r="AR27">
        <v>0.59075392096247037</v>
      </c>
      <c r="AS27">
        <v>76.119465014616054</v>
      </c>
      <c r="AT27">
        <v>0.40976736400607838</v>
      </c>
      <c r="AU27">
        <v>0.8</v>
      </c>
      <c r="AV27" t="s">
        <v>93</v>
      </c>
      <c r="AW27">
        <v>7.680259294567543E-2</v>
      </c>
      <c r="AX27">
        <v>0.44231387264628053</v>
      </c>
      <c r="AY27">
        <v>7.680259294567543E-2</v>
      </c>
      <c r="AZ27">
        <v>7.680259294567543E-2</v>
      </c>
      <c r="BA27">
        <v>0.44231387264628053</v>
      </c>
      <c r="BB27">
        <v>0.10136523045723</v>
      </c>
      <c r="BC27">
        <v>0.26395736584056378</v>
      </c>
      <c r="BD27">
        <v>8.042450531636916E-2</v>
      </c>
      <c r="BE27">
        <v>0.72134626630634613</v>
      </c>
      <c r="BF27">
        <v>8.042450531636916E-2</v>
      </c>
      <c r="BG27">
        <v>8.042450531636916E-2</v>
      </c>
      <c r="BH27">
        <v>0.72134626630634613</v>
      </c>
      <c r="BI27">
        <v>0.1047270018298089</v>
      </c>
      <c r="BJ27">
        <v>0.63714330646335093</v>
      </c>
      <c r="BK27">
        <v>9.8099904586569683E-2</v>
      </c>
      <c r="BL27">
        <v>0.60615991227160815</v>
      </c>
      <c r="BM27">
        <v>9.8099904586569683E-2</v>
      </c>
      <c r="BN27">
        <v>9.8099904586569683E-2</v>
      </c>
      <c r="BO27">
        <v>0.60615991227160815</v>
      </c>
      <c r="BP27">
        <v>9.8712902996676316E-2</v>
      </c>
      <c r="BQ27">
        <v>0.60369891754759486</v>
      </c>
      <c r="BR27">
        <v>142.9301376322997</v>
      </c>
      <c r="BS27">
        <v>0.59319563262564623</v>
      </c>
      <c r="BT27">
        <v>142.9301376322997</v>
      </c>
      <c r="BU27">
        <v>142.9301376322997</v>
      </c>
      <c r="BV27">
        <v>0.59319563262564623</v>
      </c>
      <c r="BW27">
        <v>304.17305492318178</v>
      </c>
      <c r="BX27">
        <v>0.13426986617280981</v>
      </c>
      <c r="BY27" t="str">
        <f>SUBSTITUTE(TRIM(MID(SUBSTITUTE(SUBSTITUTE(SUBSTITUTE(Tabla1[[#This Row],[map]],"[",""),"]",""),",",REPT(" ",100)),1,300))," ",", ")</f>
        <v>4, 2, 3</v>
      </c>
      <c r="BZ27" t="str">
        <f>SUBSTITUTE(TRIM(MID(SUBSTITUTE(SUBSTITUTE(SUBSTITUTE(Tabla1[[#This Row],[map]],"[",""),"]",""),",",REPT(" ",100)),601,300))," ",", ")</f>
        <v>0, 1, 4</v>
      </c>
    </row>
    <row r="28" spans="1:78" x14ac:dyDescent="0.3">
      <c r="A28" s="1">
        <v>46086.493506944447</v>
      </c>
      <c r="B28" t="s">
        <v>126</v>
      </c>
      <c r="C28">
        <v>6</v>
      </c>
      <c r="D28" t="s">
        <v>95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160</v>
      </c>
      <c r="AH28">
        <v>40</v>
      </c>
      <c r="AI28">
        <v>120</v>
      </c>
      <c r="AJ28">
        <v>0.11023442167503671</v>
      </c>
      <c r="AK28">
        <v>26.79183203192391</v>
      </c>
      <c r="AL28">
        <v>0.71345333338238304</v>
      </c>
      <c r="AM28">
        <v>-0.46472225711124021</v>
      </c>
      <c r="AN28">
        <v>37.930511416131303</v>
      </c>
      <c r="AO28">
        <v>0.63463418881216305</v>
      </c>
      <c r="AP28">
        <v>37.930511416131303</v>
      </c>
      <c r="AQ28">
        <v>37.930511416131303</v>
      </c>
      <c r="AR28">
        <v>0.63463418881216305</v>
      </c>
      <c r="AS28">
        <v>114.1914246417642</v>
      </c>
      <c r="AT28">
        <v>-0.44598159674085519</v>
      </c>
      <c r="AU28">
        <v>0.8</v>
      </c>
      <c r="AV28" t="s">
        <v>93</v>
      </c>
      <c r="AW28">
        <v>6.8359776930173741E-2</v>
      </c>
      <c r="AX28">
        <v>0.50361963312985569</v>
      </c>
      <c r="AY28">
        <v>6.8359776930173741E-2</v>
      </c>
      <c r="AZ28">
        <v>6.8359776930173741E-2</v>
      </c>
      <c r="BA28">
        <v>0.50361963312985569</v>
      </c>
      <c r="BB28">
        <v>0.16406127871445669</v>
      </c>
      <c r="BC28">
        <v>-0.1912970078976535</v>
      </c>
      <c r="BD28">
        <v>4.9352755803475548E-2</v>
      </c>
      <c r="BE28">
        <v>0.82900324200178166</v>
      </c>
      <c r="BF28">
        <v>4.9352755803475548E-2</v>
      </c>
      <c r="BG28">
        <v>4.9352755803475548E-2</v>
      </c>
      <c r="BH28">
        <v>0.82900324200178166</v>
      </c>
      <c r="BI28">
        <v>0.42238062256722819</v>
      </c>
      <c r="BJ28">
        <v>-0.4634586442927433</v>
      </c>
      <c r="BK28">
        <v>9.0380894306245615E-2</v>
      </c>
      <c r="BL28">
        <v>0.63714929700945411</v>
      </c>
      <c r="BM28">
        <v>9.0380894306245615E-2</v>
      </c>
      <c r="BN28">
        <v>9.0380894306245615E-2</v>
      </c>
      <c r="BO28">
        <v>0.63714929700945411</v>
      </c>
      <c r="BP28">
        <v>0.4563505239763006</v>
      </c>
      <c r="BQ28">
        <v>-0.83210300922483782</v>
      </c>
      <c r="BR28">
        <v>151.5139522374852</v>
      </c>
      <c r="BS28">
        <v>0.56876458310756262</v>
      </c>
      <c r="BT28">
        <v>151.5139522374852</v>
      </c>
      <c r="BU28">
        <v>151.5139522374852</v>
      </c>
      <c r="BV28">
        <v>0.56876458310756262</v>
      </c>
      <c r="BW28">
        <v>455.72290614179968</v>
      </c>
      <c r="BX28">
        <v>-0.29706772554819111</v>
      </c>
      <c r="BY28" t="str">
        <f>SUBSTITUTE(TRIM(MID(SUBSTITUTE(SUBSTITUTE(SUBSTITUTE(Tabla1[[#This Row],[map]],"[",""),"]",""),",",REPT(" ",100)),1,300))," ",", ")</f>
        <v>2, 3, 4</v>
      </c>
      <c r="BZ28" t="str">
        <f>SUBSTITUTE(TRIM(MID(SUBSTITUTE(SUBSTITUTE(SUBSTITUTE(Tabla1[[#This Row],[map]],"[",""),"]",""),",",REPT(" ",100)),601,300))," ",", ")</f>
        <v>0, 1, 4</v>
      </c>
    </row>
    <row r="29" spans="1:78" x14ac:dyDescent="0.3">
      <c r="A29" s="1">
        <v>46086.494351851848</v>
      </c>
      <c r="B29" t="s">
        <v>127</v>
      </c>
      <c r="C29">
        <v>6</v>
      </c>
      <c r="D29" t="s">
        <v>95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102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103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160</v>
      </c>
      <c r="AH29">
        <v>40</v>
      </c>
      <c r="AI29">
        <v>120</v>
      </c>
      <c r="AJ29">
        <v>0.1115955237379465</v>
      </c>
      <c r="AK29">
        <v>39.051404744070517</v>
      </c>
      <c r="AL29">
        <v>0.66855554433117703</v>
      </c>
      <c r="AM29">
        <v>0.38303532490377618</v>
      </c>
      <c r="AN29">
        <v>45.255270242048638</v>
      </c>
      <c r="AO29">
        <v>0.61995512205342007</v>
      </c>
      <c r="AP29">
        <v>45.255270242048638</v>
      </c>
      <c r="AQ29">
        <v>45.255270242048638</v>
      </c>
      <c r="AR29">
        <v>0.61995512205342007</v>
      </c>
      <c r="AS29">
        <v>84.287224183388801</v>
      </c>
      <c r="AT29">
        <v>0.38658909205158259</v>
      </c>
      <c r="AU29">
        <v>0.8</v>
      </c>
      <c r="AV29" t="s">
        <v>93</v>
      </c>
      <c r="AW29">
        <v>7.7320563139772966E-2</v>
      </c>
      <c r="AX29">
        <v>0.43855273932314859</v>
      </c>
      <c r="AY29">
        <v>7.7320563139772966E-2</v>
      </c>
      <c r="AZ29">
        <v>7.7320563139772966E-2</v>
      </c>
      <c r="BA29">
        <v>0.43855273932314859</v>
      </c>
      <c r="BB29">
        <v>0.1024775596586403</v>
      </c>
      <c r="BC29">
        <v>0.25588041764278951</v>
      </c>
      <c r="BD29">
        <v>8.2821881665683661E-2</v>
      </c>
      <c r="BE29">
        <v>0.71303986929243279</v>
      </c>
      <c r="BF29">
        <v>8.2821881665683661E-2</v>
      </c>
      <c r="BG29">
        <v>8.2821881665683661E-2</v>
      </c>
      <c r="BH29">
        <v>0.71303986929243279</v>
      </c>
      <c r="BI29">
        <v>0.1180437742474426</v>
      </c>
      <c r="BJ29">
        <v>0.59100353425928076</v>
      </c>
      <c r="BK29">
        <v>3.9136681485702512E-2</v>
      </c>
      <c r="BL29">
        <v>0.84287860284180749</v>
      </c>
      <c r="BM29">
        <v>3.9136681485702512E-2</v>
      </c>
      <c r="BN29">
        <v>3.9136681485702512E-2</v>
      </c>
      <c r="BO29">
        <v>0.84287860284180749</v>
      </c>
      <c r="BP29">
        <v>8.5140545158951669E-2</v>
      </c>
      <c r="BQ29">
        <v>0.658187641303422</v>
      </c>
      <c r="BR29">
        <v>180.82180184190341</v>
      </c>
      <c r="BS29">
        <v>0.48534927675628847</v>
      </c>
      <c r="BT29">
        <v>180.82180184190341</v>
      </c>
      <c r="BU29">
        <v>180.82180184190341</v>
      </c>
      <c r="BV29">
        <v>0.48534927675628847</v>
      </c>
      <c r="BW29">
        <v>336.84323485448942</v>
      </c>
      <c r="BX29">
        <v>4.1284775000837493E-2</v>
      </c>
      <c r="BY29" t="str">
        <f>SUBSTITUTE(TRIM(MID(SUBSTITUTE(SUBSTITUTE(SUBSTITUTE(Tabla1[[#This Row],[map]],"[",""),"]",""),",",REPT(" ",100)),1,300))," ",", ")</f>
        <v>4, 2, 3</v>
      </c>
      <c r="BZ29" t="str">
        <f>SUBSTITUTE(TRIM(MID(SUBSTITUTE(SUBSTITUTE(SUBSTITUTE(Tabla1[[#This Row],[map]],"[",""),"]",""),",",REPT(" ",100)),601,300))," ",", ")</f>
        <v>4, 0, 1</v>
      </c>
    </row>
    <row r="30" spans="1:78" x14ac:dyDescent="0.3">
      <c r="A30" s="1">
        <v>46086.570729166669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99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100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160</v>
      </c>
      <c r="AH30">
        <v>40</v>
      </c>
      <c r="AI30">
        <v>120</v>
      </c>
      <c r="AJ30">
        <v>9.7164893593176413E-2</v>
      </c>
      <c r="AK30">
        <v>21.355818803423311</v>
      </c>
      <c r="AL30">
        <v>0.72958352406420968</v>
      </c>
      <c r="AM30">
        <v>-7.6519685104514734E-2</v>
      </c>
      <c r="AN30">
        <v>27.699381392820701</v>
      </c>
      <c r="AO30">
        <v>0.67737558170387135</v>
      </c>
      <c r="AP30">
        <v>27.699381392820701</v>
      </c>
      <c r="AQ30">
        <v>27.699381392820701</v>
      </c>
      <c r="AR30">
        <v>0.67737558170387135</v>
      </c>
      <c r="AS30">
        <v>109.93502272093841</v>
      </c>
      <c r="AT30">
        <v>-8.0747767182070995E-2</v>
      </c>
      <c r="AU30">
        <v>0.8</v>
      </c>
      <c r="AV30" t="s">
        <v>93</v>
      </c>
      <c r="AW30">
        <v>7.0085748941650428E-2</v>
      </c>
      <c r="AX30">
        <v>0.49108684471629033</v>
      </c>
      <c r="AY30">
        <v>7.0085748941650428E-2</v>
      </c>
      <c r="AZ30">
        <v>7.0085748941650428E-2</v>
      </c>
      <c r="BA30">
        <v>0.49108684471629033</v>
      </c>
      <c r="BB30">
        <v>0.1292465014537009</v>
      </c>
      <c r="BC30">
        <v>6.15032890788626E-2</v>
      </c>
      <c r="BD30">
        <v>7.1609009899254297E-2</v>
      </c>
      <c r="BE30">
        <v>0.7518900750954115</v>
      </c>
      <c r="BF30">
        <v>7.1609009899254297E-2</v>
      </c>
      <c r="BG30">
        <v>7.1609009899254297E-2</v>
      </c>
      <c r="BH30">
        <v>0.7518900750954115</v>
      </c>
      <c r="BI30">
        <v>0.35737066570841319</v>
      </c>
      <c r="BJ30">
        <v>-0.23821302873425901</v>
      </c>
      <c r="BK30">
        <v>5.4470947775419283E-2</v>
      </c>
      <c r="BL30">
        <v>0.78131637394623143</v>
      </c>
      <c r="BM30">
        <v>5.4470947775419283E-2</v>
      </c>
      <c r="BN30">
        <v>5.4470947775419283E-2</v>
      </c>
      <c r="BO30">
        <v>0.78131637394623143</v>
      </c>
      <c r="BP30">
        <v>0.2233611173333116</v>
      </c>
      <c r="BQ30">
        <v>0.1032757634536339</v>
      </c>
      <c r="BR30">
        <v>110.60135986466641</v>
      </c>
      <c r="BS30">
        <v>0.68520903305755154</v>
      </c>
      <c r="BT30">
        <v>110.60135986466641</v>
      </c>
      <c r="BU30">
        <v>110.60135986466641</v>
      </c>
      <c r="BV30">
        <v>0.68520903305755154</v>
      </c>
      <c r="BW30">
        <v>439.03011259925802</v>
      </c>
      <c r="BX30">
        <v>-0.24955709252652511</v>
      </c>
      <c r="BY30" t="str">
        <f>SUBSTITUTE(TRIM(MID(SUBSTITUTE(SUBSTITUTE(SUBSTITUTE(Tabla1[[#This Row],[map]],"[",""),"]",""),",",REPT(" ",100)),1,300))," ",", ")</f>
        <v>2, 3, 4</v>
      </c>
      <c r="BZ30" t="str">
        <f>SUBSTITUTE(TRIM(MID(SUBSTITUTE(SUBSTITUTE(SUBSTITUTE(Tabla1[[#This Row],[map]],"[",""),"]",""),",",REPT(" ",100)),601,300))," ",", ")</f>
        <v>4, 0, 1</v>
      </c>
    </row>
    <row r="31" spans="1:78" x14ac:dyDescent="0.3">
      <c r="A31" s="1">
        <v>46086.576932870368</v>
      </c>
      <c r="B31" t="s">
        <v>129</v>
      </c>
      <c r="C31">
        <v>7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96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97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160</v>
      </c>
      <c r="AH31">
        <v>40</v>
      </c>
      <c r="AI31">
        <v>120</v>
      </c>
      <c r="AJ31">
        <v>0.12685189685156359</v>
      </c>
      <c r="AK31">
        <v>15.974104482736699</v>
      </c>
      <c r="AL31">
        <v>0.63604711660359903</v>
      </c>
      <c r="AM31">
        <v>-0.25199002089662759</v>
      </c>
      <c r="AN31">
        <v>23.742229143913171</v>
      </c>
      <c r="AO31">
        <v>0.59220068077857912</v>
      </c>
      <c r="AP31">
        <v>23.742229143913171</v>
      </c>
      <c r="AQ31">
        <v>23.742229143913171</v>
      </c>
      <c r="AR31">
        <v>0.59220068077857912</v>
      </c>
      <c r="AS31">
        <v>167.41798808144631</v>
      </c>
      <c r="AT31">
        <v>-0.26948153130812619</v>
      </c>
      <c r="AU31">
        <v>0.8</v>
      </c>
      <c r="AV31" t="s">
        <v>93</v>
      </c>
      <c r="AW31">
        <v>9.2912343471614395E-2</v>
      </c>
      <c r="AX31">
        <v>0.32533625458851262</v>
      </c>
      <c r="AY31">
        <v>9.2912343471614395E-2</v>
      </c>
      <c r="AZ31">
        <v>9.2912343471614395E-2</v>
      </c>
      <c r="BA31">
        <v>0.32533625458851262</v>
      </c>
      <c r="BB31">
        <v>0.15552126940302349</v>
      </c>
      <c r="BC31">
        <v>-0.1292854984187137</v>
      </c>
      <c r="BD31">
        <v>8.3632000889165725E-2</v>
      </c>
      <c r="BE31">
        <v>0.7102329792099602</v>
      </c>
      <c r="BF31">
        <v>8.3632000889165725E-2</v>
      </c>
      <c r="BG31">
        <v>8.3632000889165725E-2</v>
      </c>
      <c r="BH31">
        <v>0.7102329792099602</v>
      </c>
      <c r="BI31">
        <v>0.1470956344108805</v>
      </c>
      <c r="BJ31">
        <v>0.4903450437476804</v>
      </c>
      <c r="BK31">
        <v>9.8949847093818891E-2</v>
      </c>
      <c r="BL31">
        <v>0.60274766194343665</v>
      </c>
      <c r="BM31">
        <v>9.8949847093818891E-2</v>
      </c>
      <c r="BN31">
        <v>9.8949847093818891E-2</v>
      </c>
      <c r="BO31">
        <v>0.60274766194343665</v>
      </c>
      <c r="BP31">
        <v>0.38232917894259738</v>
      </c>
      <c r="BQ31">
        <v>-0.5349307220069528</v>
      </c>
      <c r="BR31">
        <v>94.693422384198342</v>
      </c>
      <c r="BS31">
        <v>0.73048582737241374</v>
      </c>
      <c r="BT31">
        <v>94.693422384198342</v>
      </c>
      <c r="BU31">
        <v>94.693422384198342</v>
      </c>
      <c r="BV31">
        <v>0.73048582737241374</v>
      </c>
      <c r="BW31">
        <v>668.98700624302728</v>
      </c>
      <c r="BX31">
        <v>-0.90405494855451107</v>
      </c>
      <c r="BY31" t="str">
        <f>SUBSTITUTE(TRIM(MID(SUBSTITUTE(SUBSTITUTE(SUBSTITUTE(Tabla1[[#This Row],[map]],"[",""),"]",""),",",REPT(" ",100)),1,300))," ",", ")</f>
        <v>4, 2, 3</v>
      </c>
      <c r="BZ31" t="str">
        <f>SUBSTITUTE(TRIM(MID(SUBSTITUTE(SUBSTITUTE(SUBSTITUTE(Tabla1[[#This Row],[map]],"[",""),"]",""),",",REPT(" ",100)),601,300))," ",", ")</f>
        <v>0, 1, 4</v>
      </c>
    </row>
    <row r="32" spans="1:78" x14ac:dyDescent="0.3">
      <c r="A32" s="1">
        <v>46086.579375000001</v>
      </c>
      <c r="B32" t="s">
        <v>130</v>
      </c>
      <c r="C32">
        <v>7</v>
      </c>
      <c r="D32" t="s">
        <v>95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85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89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160</v>
      </c>
      <c r="AH32">
        <v>40</v>
      </c>
      <c r="AI32">
        <v>120</v>
      </c>
      <c r="AJ32">
        <v>0.1204055179048634</v>
      </c>
      <c r="AK32">
        <v>16.18405464244967</v>
      </c>
      <c r="AL32">
        <v>0.68275978730582676</v>
      </c>
      <c r="AM32">
        <v>-0.44759497566484108</v>
      </c>
      <c r="AN32">
        <v>23.973921547476081</v>
      </c>
      <c r="AO32">
        <v>0.63319277671934171</v>
      </c>
      <c r="AP32">
        <v>23.973921547476081</v>
      </c>
      <c r="AQ32">
        <v>23.973921547476081</v>
      </c>
      <c r="AR32">
        <v>0.63319277671934171</v>
      </c>
      <c r="AS32">
        <v>215.4704828537071</v>
      </c>
      <c r="AT32">
        <v>-0.4193059135220214</v>
      </c>
      <c r="AU32">
        <v>0.8</v>
      </c>
      <c r="AV32" t="s">
        <v>93</v>
      </c>
      <c r="AW32">
        <v>7.6572783620993401E-2</v>
      </c>
      <c r="AX32">
        <v>0.44398258547739999</v>
      </c>
      <c r="AY32">
        <v>7.6572783620993401E-2</v>
      </c>
      <c r="AZ32">
        <v>7.6572783620993401E-2</v>
      </c>
      <c r="BA32">
        <v>0.44398258547739999</v>
      </c>
      <c r="BB32">
        <v>0.15032026444414251</v>
      </c>
      <c r="BC32">
        <v>-9.1519477733481791E-2</v>
      </c>
      <c r="BD32">
        <v>7.6181558959863824E-2</v>
      </c>
      <c r="BE32">
        <v>0.73604716921462243</v>
      </c>
      <c r="BF32">
        <v>7.6181558959863824E-2</v>
      </c>
      <c r="BG32">
        <v>7.6181558959863824E-2</v>
      </c>
      <c r="BH32">
        <v>0.73604716921462243</v>
      </c>
      <c r="BI32">
        <v>0.3051614468327763</v>
      </c>
      <c r="BJ32">
        <v>-5.731923628012825E-2</v>
      </c>
      <c r="BK32">
        <v>9.3412902244922547E-2</v>
      </c>
      <c r="BL32">
        <v>0.62497674416555271</v>
      </c>
      <c r="BM32">
        <v>9.3412902244922547E-2</v>
      </c>
      <c r="BN32">
        <v>9.3412902244922547E-2</v>
      </c>
      <c r="BO32">
        <v>0.62497674416555271</v>
      </c>
      <c r="BP32">
        <v>0.26835917616842958</v>
      </c>
      <c r="BQ32">
        <v>-7.7377209797641067E-2</v>
      </c>
      <c r="BR32">
        <v>95.649518945078086</v>
      </c>
      <c r="BS32">
        <v>0.72776460801979503</v>
      </c>
      <c r="BT32">
        <v>95.649518945078086</v>
      </c>
      <c r="BU32">
        <v>95.649518945078086</v>
      </c>
      <c r="BV32">
        <v>0.72776460801979503</v>
      </c>
      <c r="BW32">
        <v>861.15809052738371</v>
      </c>
      <c r="BX32">
        <v>-1.4510077302768369</v>
      </c>
      <c r="BY32" t="str">
        <f>SUBSTITUTE(TRIM(MID(SUBSTITUTE(SUBSTITUTE(SUBSTITUTE(Tabla1[[#This Row],[map]],"[",""),"]",""),",",REPT(" ",100)),1,300))," ",", ")</f>
        <v>2, 3, 4</v>
      </c>
      <c r="BZ32" t="str">
        <f>SUBSTITUTE(TRIM(MID(SUBSTITUTE(SUBSTITUTE(SUBSTITUTE(Tabla1[[#This Row],[map]],"[",""),"]",""),",",REPT(" ",100)),601,300))," ",", ")</f>
        <v>0, 1, 4</v>
      </c>
    </row>
    <row r="33" spans="1:78" x14ac:dyDescent="0.3">
      <c r="A33" s="1">
        <v>46086.580914351849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102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103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160</v>
      </c>
      <c r="AH33">
        <v>40</v>
      </c>
      <c r="AI33">
        <v>120</v>
      </c>
      <c r="AJ33">
        <v>0.112341196164641</v>
      </c>
      <c r="AK33">
        <v>21.30138379380017</v>
      </c>
      <c r="AL33">
        <v>0.65131151706531387</v>
      </c>
      <c r="AM33">
        <v>0.19224903515557279</v>
      </c>
      <c r="AN33">
        <v>27.442977318713901</v>
      </c>
      <c r="AO33">
        <v>0.58359719637188978</v>
      </c>
      <c r="AP33">
        <v>27.442977318713901</v>
      </c>
      <c r="AQ33">
        <v>27.442977318713901</v>
      </c>
      <c r="AR33">
        <v>0.58359719637188978</v>
      </c>
      <c r="AS33">
        <v>118.43411441126889</v>
      </c>
      <c r="AT33">
        <v>0.22705168655522359</v>
      </c>
      <c r="AU33">
        <v>0.8</v>
      </c>
      <c r="AV33" t="s">
        <v>93</v>
      </c>
      <c r="AW33">
        <v>0.10649053755393501</v>
      </c>
      <c r="AX33">
        <v>0.22674100950892639</v>
      </c>
      <c r="AY33">
        <v>0.10649053755393501</v>
      </c>
      <c r="AZ33">
        <v>0.10649053755393501</v>
      </c>
      <c r="BA33">
        <v>0.22674100950892639</v>
      </c>
      <c r="BB33">
        <v>8.1926079351619885E-2</v>
      </c>
      <c r="BC33">
        <v>0.40511073688364252</v>
      </c>
      <c r="BD33">
        <v>0.1091754245566818</v>
      </c>
      <c r="BE33">
        <v>0.62173047181780727</v>
      </c>
      <c r="BF33">
        <v>0.1091754245566818</v>
      </c>
      <c r="BG33">
        <v>0.1091754245566818</v>
      </c>
      <c r="BH33">
        <v>0.62173047181780727</v>
      </c>
      <c r="BI33">
        <v>0.11255280781235739</v>
      </c>
      <c r="BJ33">
        <v>0.61002856018519847</v>
      </c>
      <c r="BK33">
        <v>5.041737451638461E-2</v>
      </c>
      <c r="BL33">
        <v>0.79759018842831242</v>
      </c>
      <c r="BM33">
        <v>5.041737451638461E-2</v>
      </c>
      <c r="BN33">
        <v>5.041737451638461E-2</v>
      </c>
      <c r="BO33">
        <v>0.79759018842831242</v>
      </c>
      <c r="BP33">
        <v>0.18922715572765719</v>
      </c>
      <c r="BQ33">
        <v>0.24031282266326059</v>
      </c>
      <c r="BR33">
        <v>109.5058259382284</v>
      </c>
      <c r="BS33">
        <v>0.68832711573251737</v>
      </c>
      <c r="BT33">
        <v>109.5058259382284</v>
      </c>
      <c r="BU33">
        <v>109.5058259382284</v>
      </c>
      <c r="BV33">
        <v>0.68832711573251737</v>
      </c>
      <c r="BW33">
        <v>473.35275160218367</v>
      </c>
      <c r="BX33">
        <v>-0.34724537351120821</v>
      </c>
      <c r="BY33" t="str">
        <f>SUBSTITUTE(TRIM(MID(SUBSTITUTE(SUBSTITUTE(SUBSTITUTE(Tabla1[[#This Row],[map]],"[",""),"]",""),",",REPT(" ",100)),1,300))," ",", ")</f>
        <v>4, 2, 3</v>
      </c>
      <c r="BZ33" t="str">
        <f>SUBSTITUTE(TRIM(MID(SUBSTITUTE(SUBSTITUTE(SUBSTITUTE(Tabla1[[#This Row],[map]],"[",""),"]",""),",",REPT(" ",100)),601,300))," ",", ")</f>
        <v>4, 0, 1</v>
      </c>
    </row>
    <row r="34" spans="1:78" x14ac:dyDescent="0.3">
      <c r="A34" s="1">
        <v>46086.669629629629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99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100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160</v>
      </c>
      <c r="AH34">
        <v>40</v>
      </c>
      <c r="AI34">
        <v>120</v>
      </c>
      <c r="AJ34">
        <v>0.1020878802886195</v>
      </c>
      <c r="AK34">
        <v>21.122786043914711</v>
      </c>
      <c r="AL34">
        <v>0.73668347524751721</v>
      </c>
      <c r="AM34">
        <v>-0.15199389084562101</v>
      </c>
      <c r="AN34">
        <v>28.26356769307753</v>
      </c>
      <c r="AO34">
        <v>0.67954201982724005</v>
      </c>
      <c r="AP34">
        <v>28.26356769307753</v>
      </c>
      <c r="AQ34">
        <v>28.26356769307753</v>
      </c>
      <c r="AR34">
        <v>0.67954201982724005</v>
      </c>
      <c r="AS34">
        <v>114.004711093319</v>
      </c>
      <c r="AT34">
        <v>-0.1484970747324208</v>
      </c>
      <c r="AU34">
        <v>0.8</v>
      </c>
      <c r="AV34" t="s">
        <v>93</v>
      </c>
      <c r="AW34">
        <v>7.6495553347255024E-2</v>
      </c>
      <c r="AX34">
        <v>0.44454337712028219</v>
      </c>
      <c r="AY34">
        <v>7.6495553347255024E-2</v>
      </c>
      <c r="AZ34">
        <v>7.6495553347255024E-2</v>
      </c>
      <c r="BA34">
        <v>0.44454337712028219</v>
      </c>
      <c r="BB34">
        <v>0.13245983257142219</v>
      </c>
      <c r="BC34">
        <v>3.8170350460309477E-2</v>
      </c>
      <c r="BD34">
        <v>5.6309085702742241E-2</v>
      </c>
      <c r="BE34">
        <v>0.80490104464775036</v>
      </c>
      <c r="BF34">
        <v>5.6309085702742241E-2</v>
      </c>
      <c r="BG34">
        <v>5.6309085702742241E-2</v>
      </c>
      <c r="BH34">
        <v>0.80490104464775036</v>
      </c>
      <c r="BI34">
        <v>0.37282115056644721</v>
      </c>
      <c r="BJ34">
        <v>-0.29174565882172271</v>
      </c>
      <c r="BK34">
        <v>5.2315664068502743E-2</v>
      </c>
      <c r="BL34">
        <v>0.78996915630915943</v>
      </c>
      <c r="BM34">
        <v>5.2315664068502743E-2</v>
      </c>
      <c r="BN34">
        <v>5.2315664068502743E-2</v>
      </c>
      <c r="BO34">
        <v>0.78996915630915943</v>
      </c>
      <c r="BP34">
        <v>0.26021519708050272</v>
      </c>
      <c r="BQ34">
        <v>-4.468170971571328E-2</v>
      </c>
      <c r="BR34">
        <v>112.86915046919189</v>
      </c>
      <c r="BS34">
        <v>0.67875450123176662</v>
      </c>
      <c r="BT34">
        <v>112.86915046919189</v>
      </c>
      <c r="BU34">
        <v>112.86915046919189</v>
      </c>
      <c r="BV34">
        <v>0.67875450123176662</v>
      </c>
      <c r="BW34">
        <v>455.25334819305948</v>
      </c>
      <c r="BX34">
        <v>-0.29573128085257139</v>
      </c>
      <c r="BY34" t="str">
        <f>SUBSTITUTE(TRIM(MID(SUBSTITUTE(SUBSTITUTE(SUBSTITUTE(Tabla1[[#This Row],[map]],"[",""),"]",""),",",REPT(" ",100)),1,300))," ",", ")</f>
        <v>2, 3, 4</v>
      </c>
      <c r="BZ34" t="str">
        <f>SUBSTITUTE(TRIM(MID(SUBSTITUTE(SUBSTITUTE(SUBSTITUTE(Tabla1[[#This Row],[map]],"[",""),"]",""),",",REPT(" ",100)),601,300))," ",", ")</f>
        <v>4, 0, 1</v>
      </c>
    </row>
    <row r="35" spans="1:78" x14ac:dyDescent="0.3">
      <c r="A35" s="1">
        <v>46086.676087962973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96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97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160</v>
      </c>
      <c r="AH35">
        <v>40</v>
      </c>
      <c r="AI35">
        <v>120</v>
      </c>
      <c r="AJ35">
        <v>0.13005810269069201</v>
      </c>
      <c r="AK35">
        <v>27.201001265474911</v>
      </c>
      <c r="AL35">
        <v>0.6209821857258786</v>
      </c>
      <c r="AM35">
        <v>0.38150539353518831</v>
      </c>
      <c r="AN35">
        <v>42.180068075070253</v>
      </c>
      <c r="AO35">
        <v>0.50189335817092284</v>
      </c>
      <c r="AP35">
        <v>42.180068075070253</v>
      </c>
      <c r="AQ35">
        <v>42.180068075070253</v>
      </c>
      <c r="AR35">
        <v>0.50189335817092284</v>
      </c>
      <c r="AS35">
        <v>68.461349622204096</v>
      </c>
      <c r="AT35">
        <v>0.37855658309265278</v>
      </c>
      <c r="AU35">
        <v>0.8</v>
      </c>
      <c r="AV35" t="s">
        <v>93</v>
      </c>
      <c r="AW35">
        <v>0.1059367112378007</v>
      </c>
      <c r="AX35">
        <v>0.2307625046385241</v>
      </c>
      <c r="AY35">
        <v>0.1059367112378007</v>
      </c>
      <c r="AZ35">
        <v>0.1059367112378007</v>
      </c>
      <c r="BA35">
        <v>0.2307625046385241</v>
      </c>
      <c r="BB35">
        <v>8.6701627857980149E-2</v>
      </c>
      <c r="BC35">
        <v>0.37043408014126278</v>
      </c>
      <c r="BD35">
        <v>9.1070878234707012E-2</v>
      </c>
      <c r="BE35">
        <v>0.68445885801804141</v>
      </c>
      <c r="BF35">
        <v>9.1070878234707012E-2</v>
      </c>
      <c r="BG35">
        <v>9.1070878234707012E-2</v>
      </c>
      <c r="BH35">
        <v>0.68445885801804141</v>
      </c>
      <c r="BI35">
        <v>0.11360093618472369</v>
      </c>
      <c r="BJ35">
        <v>0.60639701923631462</v>
      </c>
      <c r="BK35">
        <v>0.1066845327256007</v>
      </c>
      <c r="BL35">
        <v>0.57169534562763147</v>
      </c>
      <c r="BM35">
        <v>0.1066845327256007</v>
      </c>
      <c r="BN35">
        <v>0.1066845327256007</v>
      </c>
      <c r="BO35">
        <v>0.57169534562763147</v>
      </c>
      <c r="BP35">
        <v>0.17043626074800469</v>
      </c>
      <c r="BQ35">
        <v>0.31575232241068979</v>
      </c>
      <c r="BR35">
        <v>168.41658017808291</v>
      </c>
      <c r="BS35">
        <v>0.52065672439949762</v>
      </c>
      <c r="BT35">
        <v>168.41658017808291</v>
      </c>
      <c r="BU35">
        <v>168.41658017808291</v>
      </c>
      <c r="BV35">
        <v>0.52065672439949762</v>
      </c>
      <c r="BW35">
        <v>273.47465966402473</v>
      </c>
      <c r="BX35">
        <v>0.22164291058235441</v>
      </c>
      <c r="BY35" t="str">
        <f>SUBSTITUTE(TRIM(MID(SUBSTITUTE(SUBSTITUTE(SUBSTITUTE(Tabla1[[#This Row],[map]],"[",""),"]",""),",",REPT(" ",100)),1,300))," ",", ")</f>
        <v>4, 2, 3</v>
      </c>
      <c r="BZ35" t="str">
        <f>SUBSTITUTE(TRIM(MID(SUBSTITUTE(SUBSTITUTE(SUBSTITUTE(Tabla1[[#This Row],[map]],"[",""),"]",""),",",REPT(" ",100)),601,300))," ",", ")</f>
        <v>0, 1, 4</v>
      </c>
    </row>
    <row r="36" spans="1:78" x14ac:dyDescent="0.3">
      <c r="A36" s="1">
        <v>46086.678715277783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85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89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160</v>
      </c>
      <c r="AH36">
        <v>40</v>
      </c>
      <c r="AI36">
        <v>120</v>
      </c>
      <c r="AJ36">
        <v>0.1150558643758125</v>
      </c>
      <c r="AK36">
        <v>25.42761242579196</v>
      </c>
      <c r="AL36">
        <v>0.71485347507746788</v>
      </c>
      <c r="AM36">
        <v>-0.31344100159880212</v>
      </c>
      <c r="AN36">
        <v>40.497691414044908</v>
      </c>
      <c r="AO36">
        <v>0.62200547654515104</v>
      </c>
      <c r="AP36">
        <v>40.497691414044908</v>
      </c>
      <c r="AQ36">
        <v>40.497691414044908</v>
      </c>
      <c r="AR36">
        <v>0.62200547654515104</v>
      </c>
      <c r="AS36">
        <v>115.3673912517169</v>
      </c>
      <c r="AT36">
        <v>-0.30137287839498128</v>
      </c>
      <c r="AU36">
        <v>0.8</v>
      </c>
      <c r="AV36" t="s">
        <v>93</v>
      </c>
      <c r="AW36">
        <v>6.3008142875243936E-2</v>
      </c>
      <c r="AX36">
        <v>0.54247941580957759</v>
      </c>
      <c r="AY36">
        <v>6.3008142875243936E-2</v>
      </c>
      <c r="AZ36">
        <v>6.3008142875243936E-2</v>
      </c>
      <c r="BA36">
        <v>0.54247941580957759</v>
      </c>
      <c r="BB36">
        <v>0.1461012390526949</v>
      </c>
      <c r="BC36">
        <v>-6.0883898366679727E-2</v>
      </c>
      <c r="BD36">
        <v>6.3068019751537502E-2</v>
      </c>
      <c r="BE36">
        <v>0.78148278175539998</v>
      </c>
      <c r="BF36">
        <v>6.3068019751537502E-2</v>
      </c>
      <c r="BG36">
        <v>6.3068019751537502E-2</v>
      </c>
      <c r="BH36">
        <v>0.78148278175539998</v>
      </c>
      <c r="BI36">
        <v>0.46423502786555643</v>
      </c>
      <c r="BJ36">
        <v>-0.60847521930340509</v>
      </c>
      <c r="BK36">
        <v>9.3534409007456756E-2</v>
      </c>
      <c r="BL36">
        <v>0.62448893294679841</v>
      </c>
      <c r="BM36">
        <v>9.3534409007456756E-2</v>
      </c>
      <c r="BN36">
        <v>9.3534409007456756E-2</v>
      </c>
      <c r="BO36">
        <v>0.62448893294679841</v>
      </c>
      <c r="BP36">
        <v>0.3052082204625623</v>
      </c>
      <c r="BQ36">
        <v>-0.22531446721568221</v>
      </c>
      <c r="BR36">
        <v>161.77115508454469</v>
      </c>
      <c r="BS36">
        <v>0.53957077566883305</v>
      </c>
      <c r="BT36">
        <v>161.77115508454469</v>
      </c>
      <c r="BU36">
        <v>161.77115508454469</v>
      </c>
      <c r="BV36">
        <v>0.53957077566883305</v>
      </c>
      <c r="BW36">
        <v>460.5540205194859</v>
      </c>
      <c r="BX36">
        <v>-0.31081792869417629</v>
      </c>
      <c r="BY36" t="str">
        <f>SUBSTITUTE(TRIM(MID(SUBSTITUTE(SUBSTITUTE(SUBSTITUTE(Tabla1[[#This Row],[map]],"[",""),"]",""),",",REPT(" ",100)),1,300))," ",", ")</f>
        <v>2, 3, 4</v>
      </c>
      <c r="BZ36" t="str">
        <f>SUBSTITUTE(TRIM(MID(SUBSTITUTE(SUBSTITUTE(SUBSTITUTE(Tabla1[[#This Row],[map]],"[",""),"]",""),",",REPT(" ",100)),601,300))," ",", ")</f>
        <v>0, 1, 4</v>
      </c>
    </row>
    <row r="37" spans="1:78" x14ac:dyDescent="0.3">
      <c r="A37" s="1">
        <v>46086.680960648147</v>
      </c>
      <c r="B37" t="s">
        <v>135</v>
      </c>
      <c r="C37">
        <v>8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102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103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160</v>
      </c>
      <c r="AH37">
        <v>40</v>
      </c>
      <c r="AI37">
        <v>120</v>
      </c>
      <c r="AJ37">
        <v>0.1120439409873301</v>
      </c>
      <c r="AK37">
        <v>20.528475402269159</v>
      </c>
      <c r="AL37">
        <v>0.65753325714138788</v>
      </c>
      <c r="AM37">
        <v>0.15382814739822251</v>
      </c>
      <c r="AN37">
        <v>26.758536007027409</v>
      </c>
      <c r="AO37">
        <v>0.58155133980310392</v>
      </c>
      <c r="AP37">
        <v>26.758536007027409</v>
      </c>
      <c r="AQ37">
        <v>26.758536007027409</v>
      </c>
      <c r="AR37">
        <v>0.58155133980310392</v>
      </c>
      <c r="AS37">
        <v>105.030798789958</v>
      </c>
      <c r="AT37">
        <v>0.18056323568744151</v>
      </c>
      <c r="AU37">
        <v>0.8</v>
      </c>
      <c r="AV37" t="s">
        <v>93</v>
      </c>
      <c r="AW37">
        <v>0.1143734282198928</v>
      </c>
      <c r="AX37">
        <v>0.1695010310232998</v>
      </c>
      <c r="AY37">
        <v>0.1143734282198928</v>
      </c>
      <c r="AZ37">
        <v>0.1143734282198928</v>
      </c>
      <c r="BA37">
        <v>0.1695010310232998</v>
      </c>
      <c r="BB37">
        <v>9.084472838866034E-2</v>
      </c>
      <c r="BC37">
        <v>0.34034981343132908</v>
      </c>
      <c r="BD37">
        <v>9.4970575569183424E-2</v>
      </c>
      <c r="BE37">
        <v>0.67094723965927894</v>
      </c>
      <c r="BF37">
        <v>9.4970575569183424E-2</v>
      </c>
      <c r="BG37">
        <v>9.4970575569183424E-2</v>
      </c>
      <c r="BH37">
        <v>0.67094723965927894</v>
      </c>
      <c r="BI37">
        <v>0.10593968075754</v>
      </c>
      <c r="BJ37">
        <v>0.63294163298516637</v>
      </c>
      <c r="BK37">
        <v>5.2395117803477172E-2</v>
      </c>
      <c r="BL37">
        <v>0.78965017469460475</v>
      </c>
      <c r="BM37">
        <v>5.2395117803477172E-2</v>
      </c>
      <c r="BN37">
        <v>5.2395117803477172E-2</v>
      </c>
      <c r="BO37">
        <v>0.78965017469460475</v>
      </c>
      <c r="BP37">
        <v>0.26318461514290181</v>
      </c>
      <c r="BQ37">
        <v>-5.6602984003656147E-2</v>
      </c>
      <c r="BR37">
        <v>106.7724049065172</v>
      </c>
      <c r="BS37">
        <v>0.6961069138352356</v>
      </c>
      <c r="BT37">
        <v>106.7724049065172</v>
      </c>
      <c r="BU37">
        <v>106.7724049065172</v>
      </c>
      <c r="BV37">
        <v>0.6961069138352356</v>
      </c>
      <c r="BW37">
        <v>419.66322613554252</v>
      </c>
      <c r="BX37">
        <v>-0.1944355196630683</v>
      </c>
      <c r="BY37" t="str">
        <f>SUBSTITUTE(TRIM(MID(SUBSTITUTE(SUBSTITUTE(SUBSTITUTE(Tabla1[[#This Row],[map]],"[",""),"]",""),",",REPT(" ",100)),1,300))," ",", ")</f>
        <v>4, 2, 3</v>
      </c>
      <c r="BZ37" t="str">
        <f>SUBSTITUTE(TRIM(MID(SUBSTITUTE(SUBSTITUTE(SUBSTITUTE(Tabla1[[#This Row],[map]],"[",""),"]",""),",",REPT(" ",100)),601,300))," ",", ")</f>
        <v>4, 0, 1</v>
      </c>
    </row>
    <row r="38" spans="1:78" x14ac:dyDescent="0.3">
      <c r="A38" s="1">
        <v>46086.799050925933</v>
      </c>
      <c r="B38" t="s">
        <v>136</v>
      </c>
      <c r="C38">
        <v>9</v>
      </c>
      <c r="D38" t="s">
        <v>95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99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100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160</v>
      </c>
      <c r="AH38">
        <v>40</v>
      </c>
      <c r="AI38">
        <v>120</v>
      </c>
      <c r="AJ38">
        <v>9.5010648612072257E-2</v>
      </c>
      <c r="AK38">
        <v>21.95527435450348</v>
      </c>
      <c r="AL38">
        <v>0.75408052250922564</v>
      </c>
      <c r="AM38">
        <v>-0.30062859102536948</v>
      </c>
      <c r="AN38">
        <v>29.717123137466881</v>
      </c>
      <c r="AO38">
        <v>0.71815203657011062</v>
      </c>
      <c r="AP38">
        <v>29.717123137466881</v>
      </c>
      <c r="AQ38">
        <v>29.717123137466881</v>
      </c>
      <c r="AR38">
        <v>0.71815203657011062</v>
      </c>
      <c r="AS38">
        <v>147.1250370863215</v>
      </c>
      <c r="AT38">
        <v>-0.24000432585741149</v>
      </c>
      <c r="AU38">
        <v>0.8</v>
      </c>
      <c r="AV38" t="s">
        <v>93</v>
      </c>
      <c r="AW38">
        <v>5.0959240450658097E-2</v>
      </c>
      <c r="AX38">
        <v>0.62997002614330677</v>
      </c>
      <c r="AY38">
        <v>5.0959240450658097E-2</v>
      </c>
      <c r="AZ38">
        <v>5.0959240450658097E-2</v>
      </c>
      <c r="BA38">
        <v>0.62997002614330677</v>
      </c>
      <c r="BB38">
        <v>0.201902833019036</v>
      </c>
      <c r="BC38">
        <v>-0.46607561970954281</v>
      </c>
      <c r="BD38">
        <v>5.2248200039251028E-2</v>
      </c>
      <c r="BE38">
        <v>0.81897114613962163</v>
      </c>
      <c r="BF38">
        <v>5.2248200039251028E-2</v>
      </c>
      <c r="BG38">
        <v>5.2248200039251028E-2</v>
      </c>
      <c r="BH38">
        <v>0.81897114613962163</v>
      </c>
      <c r="BI38">
        <v>0.29539917741896549</v>
      </c>
      <c r="BJ38">
        <v>-2.349505780640548E-2</v>
      </c>
      <c r="BK38">
        <v>5.9400732802350593E-2</v>
      </c>
      <c r="BL38">
        <v>0.76152484636349671</v>
      </c>
      <c r="BM38">
        <v>5.9400732802350593E-2</v>
      </c>
      <c r="BN38">
        <v>5.9400732802350593E-2</v>
      </c>
      <c r="BO38">
        <v>0.76152484636349671</v>
      </c>
      <c r="BP38">
        <v>0.19863388484277189</v>
      </c>
      <c r="BQ38">
        <v>0.20254778063241269</v>
      </c>
      <c r="BR38">
        <v>118.705884376575</v>
      </c>
      <c r="BS38">
        <v>0.66214212763401781</v>
      </c>
      <c r="BT38">
        <v>118.705884376575</v>
      </c>
      <c r="BU38">
        <v>118.705884376575</v>
      </c>
      <c r="BV38">
        <v>0.66214212763401781</v>
      </c>
      <c r="BW38">
        <v>587.80421245000628</v>
      </c>
      <c r="BX38">
        <v>-0.67299440654612441</v>
      </c>
      <c r="BY38" t="str">
        <f>SUBSTITUTE(TRIM(MID(SUBSTITUTE(SUBSTITUTE(SUBSTITUTE(Tabla1[[#This Row],[map]],"[",""),"]",""),",",REPT(" ",100)),1,300))," ",", ")</f>
        <v>2, 3, 4</v>
      </c>
      <c r="BZ38" t="str">
        <f>SUBSTITUTE(TRIM(MID(SUBSTITUTE(SUBSTITUTE(SUBSTITUTE(Tabla1[[#This Row],[map]],"[",""),"]",""),",",REPT(" ",100)),601,300))," ",", ")</f>
        <v>4, 0, 1</v>
      </c>
    </row>
    <row r="39" spans="1:78" x14ac:dyDescent="0.3">
      <c r="A39" s="1">
        <v>46086.804861111108</v>
      </c>
      <c r="B39" t="s">
        <v>137</v>
      </c>
      <c r="C39">
        <v>9</v>
      </c>
      <c r="D39" t="s">
        <v>95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96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97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160</v>
      </c>
      <c r="AH39">
        <v>40</v>
      </c>
      <c r="AI39">
        <v>120</v>
      </c>
      <c r="AJ39">
        <v>0.1422052985797583</v>
      </c>
      <c r="AK39">
        <v>27.532817547947801</v>
      </c>
      <c r="AL39">
        <v>0.59343442407811908</v>
      </c>
      <c r="AM39">
        <v>3.2248235366447608E-2</v>
      </c>
      <c r="AN39">
        <v>42.308523393761789</v>
      </c>
      <c r="AO39">
        <v>0.53088435768210129</v>
      </c>
      <c r="AP39">
        <v>42.308523393761789</v>
      </c>
      <c r="AQ39">
        <v>42.308523393761789</v>
      </c>
      <c r="AR39">
        <v>0.53088435768210129</v>
      </c>
      <c r="AS39">
        <v>125.3479440553951</v>
      </c>
      <c r="AT39">
        <v>2.9863133682203811E-2</v>
      </c>
      <c r="AU39">
        <v>0.8</v>
      </c>
      <c r="AV39" t="s">
        <v>93</v>
      </c>
      <c r="AW39">
        <v>7.5554423372554816E-2</v>
      </c>
      <c r="AX39">
        <v>0.4513771975786397</v>
      </c>
      <c r="AY39">
        <v>7.5554423372554816E-2</v>
      </c>
      <c r="AZ39">
        <v>7.5554423372554816E-2</v>
      </c>
      <c r="BA39">
        <v>0.4513771975786397</v>
      </c>
      <c r="BB39">
        <v>0.1151996533384488</v>
      </c>
      <c r="BC39">
        <v>0.1635015683877635</v>
      </c>
      <c r="BD39">
        <v>8.9275798004110604E-2</v>
      </c>
      <c r="BE39">
        <v>0.6906784276202127</v>
      </c>
      <c r="BF39">
        <v>8.9275798004110604E-2</v>
      </c>
      <c r="BG39">
        <v>8.9275798004110604E-2</v>
      </c>
      <c r="BH39">
        <v>0.6906784276202127</v>
      </c>
      <c r="BI39">
        <v>0.14184287152558289</v>
      </c>
      <c r="BJ39">
        <v>0.50854474524957727</v>
      </c>
      <c r="BK39">
        <v>0.1339329582954579</v>
      </c>
      <c r="BL39">
        <v>0.46230153569356652</v>
      </c>
      <c r="BM39">
        <v>0.1339329582954579</v>
      </c>
      <c r="BN39">
        <v>0.1339329582954579</v>
      </c>
      <c r="BO39">
        <v>0.46230153569356652</v>
      </c>
      <c r="BP39">
        <v>0.28073818564039521</v>
      </c>
      <c r="BQ39">
        <v>-0.12707501732330681</v>
      </c>
      <c r="BR39">
        <v>168.93533039537579</v>
      </c>
      <c r="BS39">
        <v>0.51918026983598187</v>
      </c>
      <c r="BT39">
        <v>168.93533039537579</v>
      </c>
      <c r="BU39">
        <v>168.93533039537579</v>
      </c>
      <c r="BV39">
        <v>0.51918026983598187</v>
      </c>
      <c r="BW39">
        <v>500.85399551107548</v>
      </c>
      <c r="BX39">
        <v>-0.42551876158521718</v>
      </c>
      <c r="BY39" t="str">
        <f>SUBSTITUTE(TRIM(MID(SUBSTITUTE(SUBSTITUTE(SUBSTITUTE(Tabla1[[#This Row],[map]],"[",""),"]",""),",",REPT(" ",100)),1,300))," ",", ")</f>
        <v>4, 2, 3</v>
      </c>
      <c r="BZ39" t="str">
        <f>SUBSTITUTE(TRIM(MID(SUBSTITUTE(SUBSTITUTE(SUBSTITUTE(Tabla1[[#This Row],[map]],"[",""),"]",""),",",REPT(" ",100)),601,300))," ",", ")</f>
        <v>0, 1, 4</v>
      </c>
    </row>
    <row r="40" spans="1:78" x14ac:dyDescent="0.3">
      <c r="A40" s="1">
        <v>46086.80773148148</v>
      </c>
      <c r="B40" t="s">
        <v>138</v>
      </c>
      <c r="C40">
        <v>9</v>
      </c>
      <c r="D40" t="s">
        <v>77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85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89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160</v>
      </c>
      <c r="AH40">
        <v>40</v>
      </c>
      <c r="AI40">
        <v>120</v>
      </c>
      <c r="AJ40">
        <v>0.12128370638199611</v>
      </c>
      <c r="AK40">
        <v>25.5161085909028</v>
      </c>
      <c r="AL40">
        <v>0.6961219165732534</v>
      </c>
      <c r="AM40">
        <v>-0.37862309323397708</v>
      </c>
      <c r="AN40">
        <v>40.346908071997809</v>
      </c>
      <c r="AO40">
        <v>0.62190575809464932</v>
      </c>
      <c r="AP40">
        <v>40.346908071997809</v>
      </c>
      <c r="AQ40">
        <v>40.346908071997809</v>
      </c>
      <c r="AR40">
        <v>0.62190575809464932</v>
      </c>
      <c r="AS40">
        <v>127.2626411893977</v>
      </c>
      <c r="AT40">
        <v>-0.29323778540069889</v>
      </c>
      <c r="AU40">
        <v>0.8</v>
      </c>
      <c r="AV40" t="s">
        <v>93</v>
      </c>
      <c r="AW40">
        <v>4.277944209160451E-2</v>
      </c>
      <c r="AX40">
        <v>0.68936593837014493</v>
      </c>
      <c r="AY40">
        <v>4.277944209160451E-2</v>
      </c>
      <c r="AZ40">
        <v>4.277944209160451E-2</v>
      </c>
      <c r="BA40">
        <v>0.68936593837014493</v>
      </c>
      <c r="BB40">
        <v>0.1605337360082523</v>
      </c>
      <c r="BC40">
        <v>-0.16568248688415729</v>
      </c>
      <c r="BD40">
        <v>4.7675566813073438E-2</v>
      </c>
      <c r="BE40">
        <v>0.83481434363612783</v>
      </c>
      <c r="BF40">
        <v>4.7675566813073438E-2</v>
      </c>
      <c r="BG40">
        <v>4.7675566813073438E-2</v>
      </c>
      <c r="BH40">
        <v>0.83481434363612783</v>
      </c>
      <c r="BI40">
        <v>0.38468491949800881</v>
      </c>
      <c r="BJ40">
        <v>-0.3328510842819592</v>
      </c>
      <c r="BK40">
        <v>0.14394327949306979</v>
      </c>
      <c r="BL40">
        <v>0.42211326236881741</v>
      </c>
      <c r="BM40">
        <v>0.14394327949306979</v>
      </c>
      <c r="BN40">
        <v>0.14394327949306979</v>
      </c>
      <c r="BO40">
        <v>0.42211326236881741</v>
      </c>
      <c r="BP40">
        <v>0.30587522790225691</v>
      </c>
      <c r="BQ40">
        <v>-0.22799229111033181</v>
      </c>
      <c r="BR40">
        <v>161.15323399959379</v>
      </c>
      <c r="BS40">
        <v>0.541329488003508</v>
      </c>
      <c r="BT40">
        <v>161.15323399959379</v>
      </c>
      <c r="BU40">
        <v>161.15323399959379</v>
      </c>
      <c r="BV40">
        <v>0.541329488003508</v>
      </c>
      <c r="BW40">
        <v>508.19947087418251</v>
      </c>
      <c r="BX40">
        <v>-0.44642527932635301</v>
      </c>
      <c r="BY40" t="str">
        <f>SUBSTITUTE(TRIM(MID(SUBSTITUTE(SUBSTITUTE(SUBSTITUTE(Tabla1[[#This Row],[map]],"[",""),"]",""),",",REPT(" ",100)),1,300))," ",", ")</f>
        <v>2, 3, 4</v>
      </c>
      <c r="BZ40" t="str">
        <f>SUBSTITUTE(TRIM(MID(SUBSTITUTE(SUBSTITUTE(SUBSTITUTE(Tabla1[[#This Row],[map]],"[",""),"]",""),",",REPT(" ",100)),601,300))," ",", ")</f>
        <v>0, 1, 4</v>
      </c>
    </row>
    <row r="41" spans="1:78" x14ac:dyDescent="0.3">
      <c r="A41" s="1">
        <v>46086.81045138889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102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103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160</v>
      </c>
      <c r="AH41">
        <v>40</v>
      </c>
      <c r="AI41">
        <v>120</v>
      </c>
      <c r="AJ41">
        <v>0.1127008969977685</v>
      </c>
      <c r="AK41">
        <v>22.445203830898421</v>
      </c>
      <c r="AL41">
        <v>0.69487978941176043</v>
      </c>
      <c r="AM41">
        <v>9.6042910351583466E-2</v>
      </c>
      <c r="AN41">
        <v>30.305318625576358</v>
      </c>
      <c r="AO41">
        <v>0.64000499650362352</v>
      </c>
      <c r="AP41">
        <v>30.305318625576358</v>
      </c>
      <c r="AQ41">
        <v>30.305318625576358</v>
      </c>
      <c r="AR41">
        <v>0.64000499650362352</v>
      </c>
      <c r="AS41">
        <v>130.3313516407367</v>
      </c>
      <c r="AT41">
        <v>6.1613073465189711E-2</v>
      </c>
      <c r="AU41">
        <v>0.8</v>
      </c>
      <c r="AV41" t="s">
        <v>93</v>
      </c>
      <c r="AW41">
        <v>6.7131249145703176E-2</v>
      </c>
      <c r="AX41">
        <v>0.51254033328059734</v>
      </c>
      <c r="AY41">
        <v>6.7131249145703176E-2</v>
      </c>
      <c r="AZ41">
        <v>6.7131249145703176E-2</v>
      </c>
      <c r="BA41">
        <v>0.51254033328059734</v>
      </c>
      <c r="BB41">
        <v>0.1133014341903215</v>
      </c>
      <c r="BC41">
        <v>0.1772850937218183</v>
      </c>
      <c r="BD41">
        <v>0.1058525957534102</v>
      </c>
      <c r="BE41">
        <v>0.63324336392468583</v>
      </c>
      <c r="BF41">
        <v>0.1058525957534102</v>
      </c>
      <c r="BG41">
        <v>0.1058525957534102</v>
      </c>
      <c r="BH41">
        <v>0.63324336392468583</v>
      </c>
      <c r="BI41">
        <v>0.15738472478155749</v>
      </c>
      <c r="BJ41">
        <v>0.45469554317789562</v>
      </c>
      <c r="BK41">
        <v>6.0131781588667631E-2</v>
      </c>
      <c r="BL41">
        <v>0.75858991671855747</v>
      </c>
      <c r="BM41">
        <v>6.0131781588667631E-2</v>
      </c>
      <c r="BN41">
        <v>6.0131781588667631E-2</v>
      </c>
      <c r="BO41">
        <v>0.75858991671855747</v>
      </c>
      <c r="BP41">
        <v>0.2249629384351701</v>
      </c>
      <c r="BQ41">
        <v>9.6844958388737856E-2</v>
      </c>
      <c r="BR41">
        <v>120.9881588758175</v>
      </c>
      <c r="BS41">
        <v>0.65564637209065246</v>
      </c>
      <c r="BT41">
        <v>120.9881588758175</v>
      </c>
      <c r="BU41">
        <v>120.9881588758175</v>
      </c>
      <c r="BV41">
        <v>0.65564637209065246</v>
      </c>
      <c r="BW41">
        <v>520.8297574655378</v>
      </c>
      <c r="BX41">
        <v>-0.48237330142769008</v>
      </c>
      <c r="BY41" t="str">
        <f>SUBSTITUTE(TRIM(MID(SUBSTITUTE(SUBSTITUTE(SUBSTITUTE(Tabla1[[#This Row],[map]],"[",""),"]",""),",",REPT(" ",100)),1,300))," ",", ")</f>
        <v>4, 2, 3</v>
      </c>
      <c r="BZ41" t="str">
        <f>SUBSTITUTE(TRIM(MID(SUBSTITUTE(SUBSTITUTE(SUBSTITUTE(Tabla1[[#This Row],[map]],"[",""),"]",""),",",REPT(" ",100)),601,300))," ",", ")</f>
        <v>4, 0, 1</v>
      </c>
    </row>
    <row r="42" spans="1:78" x14ac:dyDescent="0.3">
      <c r="A42" s="1">
        <v>46099.768414351849</v>
      </c>
      <c r="B42" t="s">
        <v>160</v>
      </c>
      <c r="C42">
        <v>0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161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162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9.8492735486566924E-2</v>
      </c>
      <c r="AK42">
        <v>15.5323377931501</v>
      </c>
      <c r="AL42">
        <v>0.79060853468302572</v>
      </c>
      <c r="AM42">
        <v>0.22265605882035089</v>
      </c>
      <c r="AN42">
        <v>18.996565272217811</v>
      </c>
      <c r="AO42">
        <v>0.72549919959730247</v>
      </c>
      <c r="AP42">
        <v>18.996565272217811</v>
      </c>
      <c r="AQ42">
        <v>18.996565272217811</v>
      </c>
      <c r="AR42">
        <v>0.72549919959730247</v>
      </c>
      <c r="AS42">
        <v>102.34092835939219</v>
      </c>
      <c r="AT42">
        <v>5.141935267475678E-2</v>
      </c>
      <c r="AU42">
        <v>0.8</v>
      </c>
      <c r="AV42" t="s">
        <v>93</v>
      </c>
      <c r="AW42">
        <v>6.5885944928942605E-2</v>
      </c>
      <c r="AX42">
        <v>0.52158285202099564</v>
      </c>
      <c r="AY42">
        <v>6.5885944928942605E-2</v>
      </c>
      <c r="AZ42">
        <v>6.5885944928942605E-2</v>
      </c>
      <c r="BA42">
        <v>0.52158285202099564</v>
      </c>
      <c r="BB42">
        <v>0.1218764212075622</v>
      </c>
      <c r="BC42">
        <v>0.11501960087399279</v>
      </c>
      <c r="BD42">
        <v>7.1701355777122472E-2</v>
      </c>
      <c r="BE42">
        <v>0.75157011635201654</v>
      </c>
      <c r="BF42">
        <v>7.1701355777122472E-2</v>
      </c>
      <c r="BG42">
        <v>7.1701355777122472E-2</v>
      </c>
      <c r="BH42">
        <v>0.75157011635201654</v>
      </c>
      <c r="BI42">
        <v>0.22256978217376869</v>
      </c>
      <c r="BJ42">
        <v>0.22884324166951761</v>
      </c>
      <c r="BK42">
        <v>3.8704826145527373E-2</v>
      </c>
      <c r="BL42">
        <v>0.84461236543594398</v>
      </c>
      <c r="BM42">
        <v>3.8704826145527373E-2</v>
      </c>
      <c r="BN42">
        <v>3.8704826145527373E-2</v>
      </c>
      <c r="BO42">
        <v>0.84461236543594398</v>
      </c>
      <c r="BP42">
        <v>0.24279260818296761</v>
      </c>
      <c r="BQ42">
        <v>2.5264473909834991E-2</v>
      </c>
      <c r="BR42">
        <v>75.809968962019681</v>
      </c>
      <c r="BS42">
        <v>0.7842314645802555</v>
      </c>
      <c r="BT42">
        <v>75.809968962019681</v>
      </c>
      <c r="BU42">
        <v>75.809968962019681</v>
      </c>
      <c r="BV42">
        <v>0.7842314645802555</v>
      </c>
      <c r="BW42">
        <v>408.77647462600447</v>
      </c>
      <c r="BX42">
        <v>-0.16344990575431509</v>
      </c>
      <c r="BY42" t="str">
        <f>SUBSTITUTE(TRIM(MID(SUBSTITUTE(SUBSTITUTE(SUBSTITUTE(Tabla1[[#This Row],[map]],"[",""),"]",""),",",REPT(" ",100)),1,300))," ",", ")</f>
        <v>2, 3, 4</v>
      </c>
      <c r="BZ42" t="str">
        <f>SUBSTITUTE(TRIM(MID(SUBSTITUTE(SUBSTITUTE(SUBSTITUTE(Tabla1[[#This Row],[map]],"[",""),"]",""),",",REPT(" ",100)),601,300))," ",", ")</f>
        <v>1, 4, 0</v>
      </c>
    </row>
    <row r="43" spans="1:78" x14ac:dyDescent="0.3">
      <c r="A43" s="1">
        <v>46099.791412037041</v>
      </c>
      <c r="B43" t="s">
        <v>163</v>
      </c>
      <c r="C43">
        <v>0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164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165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160</v>
      </c>
      <c r="AH43">
        <v>40</v>
      </c>
      <c r="AI43">
        <v>120</v>
      </c>
      <c r="AJ43">
        <v>0.153062264724385</v>
      </c>
      <c r="AK43">
        <v>48.188992978336508</v>
      </c>
      <c r="AL43">
        <v>0.58623215260980621</v>
      </c>
      <c r="AM43">
        <v>-0.38520131788753381</v>
      </c>
      <c r="AN43">
        <v>60.349004352405267</v>
      </c>
      <c r="AO43">
        <v>0.52280766795226319</v>
      </c>
      <c r="AP43">
        <v>60.349004352405267</v>
      </c>
      <c r="AQ43">
        <v>60.349004352405267</v>
      </c>
      <c r="AR43">
        <v>0.52280766795226319</v>
      </c>
      <c r="AS43">
        <v>95.736706840005226</v>
      </c>
      <c r="AT43">
        <v>-0.24316694159068711</v>
      </c>
      <c r="AU43">
        <v>0.8</v>
      </c>
      <c r="AV43" t="s">
        <v>93</v>
      </c>
      <c r="AW43">
        <v>6.4096955805376873E-2</v>
      </c>
      <c r="AX43">
        <v>0.53457322614684055</v>
      </c>
      <c r="AY43">
        <v>6.4096955805376873E-2</v>
      </c>
      <c r="AZ43">
        <v>6.4096955805376873E-2</v>
      </c>
      <c r="BA43">
        <v>0.53457322614684055</v>
      </c>
      <c r="BB43">
        <v>0.24001535491229611</v>
      </c>
      <c r="BC43">
        <v>-0.74282180656511154</v>
      </c>
      <c r="BD43">
        <v>9.1540888078404728E-2</v>
      </c>
      <c r="BE43">
        <v>0.68283037429527638</v>
      </c>
      <c r="BF43">
        <v>9.1540888078404728E-2</v>
      </c>
      <c r="BG43">
        <v>9.1540888078404728E-2</v>
      </c>
      <c r="BH43">
        <v>0.68283037429527638</v>
      </c>
      <c r="BI43">
        <v>0.25577749864144228</v>
      </c>
      <c r="BJ43">
        <v>0.11378559667988671</v>
      </c>
      <c r="BK43">
        <v>0.10956582369852109</v>
      </c>
      <c r="BL43">
        <v>0.56012787372917927</v>
      </c>
      <c r="BM43">
        <v>0.10956582369852109</v>
      </c>
      <c r="BN43">
        <v>0.10956582369852109</v>
      </c>
      <c r="BO43">
        <v>0.56012787372917927</v>
      </c>
      <c r="BP43">
        <v>0.31285127752991981</v>
      </c>
      <c r="BQ43">
        <v>-0.25599892382761352</v>
      </c>
      <c r="BR43">
        <v>241.13081374203941</v>
      </c>
      <c r="BS43">
        <v>0.31369919763775428</v>
      </c>
      <c r="BT43">
        <v>241.13081374203941</v>
      </c>
      <c r="BU43">
        <v>241.13081374203941</v>
      </c>
      <c r="BV43">
        <v>0.31369919763775428</v>
      </c>
      <c r="BW43">
        <v>382.13818322893769</v>
      </c>
      <c r="BX43">
        <v>-8.7632632649915942E-2</v>
      </c>
      <c r="BY43" t="str">
        <f>SUBSTITUTE(TRIM(MID(SUBSTITUTE(SUBSTITUTE(SUBSTITUTE(Tabla1[[#This Row],[map]],"[",""),"]",""),",",REPT(" ",100)),1,300))," ",", ")</f>
        <v>3, 4, 2</v>
      </c>
      <c r="BZ43" t="str">
        <f>SUBSTITUTE(TRIM(MID(SUBSTITUTE(SUBSTITUTE(SUBSTITUTE(Tabla1[[#This Row],[map]],"[",""),"]",""),",",REPT(" ",100)),601,300))," ",", ")</f>
        <v>0, 1, 4</v>
      </c>
    </row>
    <row r="44" spans="1:78" x14ac:dyDescent="0.3">
      <c r="A44" s="1">
        <v>46099.800451388888</v>
      </c>
      <c r="B44" t="s">
        <v>166</v>
      </c>
      <c r="C44">
        <v>0</v>
      </c>
      <c r="D44" t="s">
        <v>95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167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168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160</v>
      </c>
      <c r="AH44">
        <v>40</v>
      </c>
      <c r="AI44">
        <v>120</v>
      </c>
      <c r="AJ44">
        <v>0.1112362996637021</v>
      </c>
      <c r="AK44">
        <v>12.33213427674881</v>
      </c>
      <c r="AL44">
        <v>0.71847384575927564</v>
      </c>
      <c r="AM44">
        <v>-6.4529881785897303E-2</v>
      </c>
      <c r="AN44">
        <v>16.15212925860169</v>
      </c>
      <c r="AO44">
        <v>0.69275774948444002</v>
      </c>
      <c r="AP44">
        <v>16.15212925860169</v>
      </c>
      <c r="AQ44">
        <v>16.15212925860169</v>
      </c>
      <c r="AR44">
        <v>0.69275774948444002</v>
      </c>
      <c r="AS44">
        <v>119.6916650215264</v>
      </c>
      <c r="AT44">
        <v>-8.5413140408924781E-2</v>
      </c>
      <c r="AU44">
        <v>0.8</v>
      </c>
      <c r="AV44" t="s">
        <v>93</v>
      </c>
      <c r="AW44">
        <v>8.7468783754858656E-2</v>
      </c>
      <c r="AX44">
        <v>0.36486353642915981</v>
      </c>
      <c r="AY44">
        <v>8.7468783754858656E-2</v>
      </c>
      <c r="AZ44">
        <v>8.7468783754858656E-2</v>
      </c>
      <c r="BA44">
        <v>0.36486353642915981</v>
      </c>
      <c r="BB44">
        <v>0.1244404299474902</v>
      </c>
      <c r="BC44">
        <v>9.6401582265129404E-2</v>
      </c>
      <c r="BD44">
        <v>7.1847437883881454E-2</v>
      </c>
      <c r="BE44">
        <v>0.75106397305260675</v>
      </c>
      <c r="BF44">
        <v>7.1847437883881454E-2</v>
      </c>
      <c r="BG44">
        <v>7.1847437883881454E-2</v>
      </c>
      <c r="BH44">
        <v>0.75106397305260675</v>
      </c>
      <c r="BI44">
        <v>0.27186034110357588</v>
      </c>
      <c r="BJ44">
        <v>5.8061982554426628E-2</v>
      </c>
      <c r="BK44">
        <v>4.0246576306025877E-2</v>
      </c>
      <c r="BL44">
        <v>0.83842272620005498</v>
      </c>
      <c r="BM44">
        <v>4.0246576306025877E-2</v>
      </c>
      <c r="BN44">
        <v>4.0246576306025877E-2</v>
      </c>
      <c r="BO44">
        <v>0.83842272620005498</v>
      </c>
      <c r="BP44">
        <v>0.28281049537063552</v>
      </c>
      <c r="BQ44">
        <v>-0.13539468541470681</v>
      </c>
      <c r="BR44">
        <v>64.408954236461867</v>
      </c>
      <c r="BS44">
        <v>0.81668076225593433</v>
      </c>
      <c r="BT44">
        <v>64.408954236461867</v>
      </c>
      <c r="BU44">
        <v>64.408954236461867</v>
      </c>
      <c r="BV44">
        <v>0.81668076225593433</v>
      </c>
      <c r="BW44">
        <v>478.08754881968417</v>
      </c>
      <c r="BX44">
        <v>-0.36072144104055098</v>
      </c>
      <c r="BY44" t="str">
        <f>SUBSTITUTE(TRIM(MID(SUBSTITUTE(SUBSTITUTE(SUBSTITUTE(Tabla1[[#This Row],[map]],"[",""),"]",""),",",REPT(" ",100)),1,300))," ",", ")</f>
        <v>3, 4, 2</v>
      </c>
      <c r="BZ44" t="str">
        <f>SUBSTITUTE(TRIM(MID(SUBSTITUTE(SUBSTITUTE(SUBSTITUTE(Tabla1[[#This Row],[map]],"[",""),"]",""),",",REPT(" ",100)),601,300))," ",", ")</f>
        <v>1, 4, 0</v>
      </c>
    </row>
    <row r="45" spans="1:78" x14ac:dyDescent="0.3">
      <c r="A45" s="1">
        <v>46099.888773148137</v>
      </c>
      <c r="B45" t="s">
        <v>169</v>
      </c>
      <c r="C45">
        <v>1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161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162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160</v>
      </c>
      <c r="AH45">
        <v>40</v>
      </c>
      <c r="AI45">
        <v>120</v>
      </c>
      <c r="AJ45">
        <v>9.5752420470688604E-2</v>
      </c>
      <c r="AK45">
        <v>11.39170226133878</v>
      </c>
      <c r="AL45">
        <v>0.78524906860940347</v>
      </c>
      <c r="AM45">
        <v>-2.923725823044987E-2</v>
      </c>
      <c r="AN45">
        <v>16.034858031624019</v>
      </c>
      <c r="AO45">
        <v>0.70900804540299522</v>
      </c>
      <c r="AP45">
        <v>16.034858031624019</v>
      </c>
      <c r="AQ45">
        <v>16.034858031624019</v>
      </c>
      <c r="AR45">
        <v>0.70900804540299522</v>
      </c>
      <c r="AS45">
        <v>139.65521630448771</v>
      </c>
      <c r="AT45">
        <v>-9.0658306074848427E-2</v>
      </c>
      <c r="AU45">
        <v>0.8</v>
      </c>
      <c r="AV45" t="s">
        <v>93</v>
      </c>
      <c r="AW45">
        <v>7.2075940813254163E-2</v>
      </c>
      <c r="AX45">
        <v>0.47663547849287891</v>
      </c>
      <c r="AY45">
        <v>7.2075940813254163E-2</v>
      </c>
      <c r="AZ45">
        <v>7.2075940813254163E-2</v>
      </c>
      <c r="BA45">
        <v>0.47663547849287891</v>
      </c>
      <c r="BB45">
        <v>0.13803825566443609</v>
      </c>
      <c r="BC45">
        <v>-2.3362138647255999E-3</v>
      </c>
      <c r="BD45">
        <v>8.3829876859118066E-2</v>
      </c>
      <c r="BE45">
        <v>0.70954738123682293</v>
      </c>
      <c r="BF45">
        <v>8.3829876859118066E-2</v>
      </c>
      <c r="BG45">
        <v>8.3829876859118066E-2</v>
      </c>
      <c r="BH45">
        <v>0.70954738123682293</v>
      </c>
      <c r="BI45">
        <v>0.2397852315386062</v>
      </c>
      <c r="BJ45">
        <v>0.16919538653064811</v>
      </c>
      <c r="BK45">
        <v>4.1886612390510669E-2</v>
      </c>
      <c r="BL45">
        <v>0.83183850006738613</v>
      </c>
      <c r="BM45">
        <v>4.1886612390510669E-2</v>
      </c>
      <c r="BN45">
        <v>4.1886612390510669E-2</v>
      </c>
      <c r="BO45">
        <v>0.83183850006738613</v>
      </c>
      <c r="BP45">
        <v>0.23446470307027381</v>
      </c>
      <c r="BQ45">
        <v>5.8698378805049911E-2</v>
      </c>
      <c r="BR45">
        <v>63.941639696433271</v>
      </c>
      <c r="BS45">
        <v>0.81801082181489337</v>
      </c>
      <c r="BT45">
        <v>63.941639696433271</v>
      </c>
      <c r="BU45">
        <v>63.941639696433271</v>
      </c>
      <c r="BV45">
        <v>0.81801082181489337</v>
      </c>
      <c r="BW45">
        <v>558.00857702767644</v>
      </c>
      <c r="BX45">
        <v>-0.58819077577036638</v>
      </c>
      <c r="BY45" t="str">
        <f>SUBSTITUTE(TRIM(MID(SUBSTITUTE(SUBSTITUTE(SUBSTITUTE(Tabla1[[#This Row],[map]],"[",""),"]",""),",",REPT(" ",100)),1,300))," ",", ")</f>
        <v>2, 3, 4</v>
      </c>
      <c r="BZ45" t="str">
        <f>SUBSTITUTE(TRIM(MID(SUBSTITUTE(SUBSTITUTE(SUBSTITUTE(Tabla1[[#This Row],[map]],"[",""),"]",""),",",REPT(" ",100)),601,300))," ",", ")</f>
        <v>1, 4, 0</v>
      </c>
    </row>
    <row r="46" spans="1:78" x14ac:dyDescent="0.3">
      <c r="A46" s="1">
        <v>46099.908321759263</v>
      </c>
      <c r="B46" t="s">
        <v>170</v>
      </c>
      <c r="C46">
        <v>1</v>
      </c>
      <c r="D46" t="s">
        <v>95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164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165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160</v>
      </c>
      <c r="AH46">
        <v>40</v>
      </c>
      <c r="AI46">
        <v>120</v>
      </c>
      <c r="AJ46">
        <v>0.15412663854528511</v>
      </c>
      <c r="AK46">
        <v>57.928199462199707</v>
      </c>
      <c r="AL46">
        <v>0.53278115688813532</v>
      </c>
      <c r="AM46">
        <v>5.9842894955802563E-2</v>
      </c>
      <c r="AN46">
        <v>61.787664974865862</v>
      </c>
      <c r="AO46">
        <v>0.48144372134351571</v>
      </c>
      <c r="AP46">
        <v>61.787664974865862</v>
      </c>
      <c r="AQ46">
        <v>61.787664974865862</v>
      </c>
      <c r="AR46">
        <v>0.48144372134351571</v>
      </c>
      <c r="AS46">
        <v>111.5216525311412</v>
      </c>
      <c r="AT46">
        <v>-3.8406804174166809E-2</v>
      </c>
      <c r="AU46">
        <v>0.8</v>
      </c>
      <c r="AV46" t="s">
        <v>93</v>
      </c>
      <c r="AW46">
        <v>8.5131987842450477E-2</v>
      </c>
      <c r="AX46">
        <v>0.38183169613346429</v>
      </c>
      <c r="AY46">
        <v>8.5131987842450477E-2</v>
      </c>
      <c r="AZ46">
        <v>8.5131987842450477E-2</v>
      </c>
      <c r="BA46">
        <v>0.38183169613346429</v>
      </c>
      <c r="BB46">
        <v>0.10576268669948349</v>
      </c>
      <c r="BC46">
        <v>0.23202614779321901</v>
      </c>
      <c r="BD46">
        <v>7.6842413719537664E-2</v>
      </c>
      <c r="BE46">
        <v>0.73375744861904102</v>
      </c>
      <c r="BF46">
        <v>7.6842413719537664E-2</v>
      </c>
      <c r="BG46">
        <v>7.6842413719537664E-2</v>
      </c>
      <c r="BH46">
        <v>0.73375744861904102</v>
      </c>
      <c r="BI46">
        <v>0.25900169144022289</v>
      </c>
      <c r="BJ46">
        <v>0.1026144572616932</v>
      </c>
      <c r="BK46">
        <v>0.12135110625197799</v>
      </c>
      <c r="BL46">
        <v>0.51281369198437055</v>
      </c>
      <c r="BM46">
        <v>0.12135110625197799</v>
      </c>
      <c r="BN46">
        <v>0.12135110625197799</v>
      </c>
      <c r="BO46">
        <v>0.51281369198437055</v>
      </c>
      <c r="BP46">
        <v>0.30401651872480762</v>
      </c>
      <c r="BQ46">
        <v>-0.2205301616761266</v>
      </c>
      <c r="BR46">
        <v>246.86733439164911</v>
      </c>
      <c r="BS46">
        <v>0.29737204863718542</v>
      </c>
      <c r="BT46">
        <v>246.86733439164911</v>
      </c>
      <c r="BU46">
        <v>246.86733439164911</v>
      </c>
      <c r="BV46">
        <v>0.29737204863718542</v>
      </c>
      <c r="BW46">
        <v>445.41782922769949</v>
      </c>
      <c r="BX46">
        <v>-0.26773766007544059</v>
      </c>
      <c r="BY46" t="str">
        <f>SUBSTITUTE(TRIM(MID(SUBSTITUTE(SUBSTITUTE(SUBSTITUTE(Tabla1[[#This Row],[map]],"[",""),"]",""),",",REPT(" ",100)),1,300))," ",", ")</f>
        <v>3, 4, 2</v>
      </c>
      <c r="BZ46" t="str">
        <f>SUBSTITUTE(TRIM(MID(SUBSTITUTE(SUBSTITUTE(SUBSTITUTE(Tabla1[[#This Row],[map]],"[",""),"]",""),",",REPT(" ",100)),601,300))," ",", ")</f>
        <v>0, 1, 4</v>
      </c>
    </row>
    <row r="47" spans="1:78" x14ac:dyDescent="0.3">
      <c r="A47" s="1">
        <v>46099.916203703702</v>
      </c>
      <c r="B47" t="s">
        <v>171</v>
      </c>
      <c r="C47">
        <v>1</v>
      </c>
      <c r="D47" t="s">
        <v>77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167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168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160</v>
      </c>
      <c r="AH47">
        <v>40</v>
      </c>
      <c r="AI47">
        <v>120</v>
      </c>
      <c r="AJ47">
        <v>0.10520762275539031</v>
      </c>
      <c r="AK47">
        <v>14.045960646842399</v>
      </c>
      <c r="AL47">
        <v>0.73806027343533287</v>
      </c>
      <c r="AM47">
        <v>-0.22673000321141101</v>
      </c>
      <c r="AN47">
        <v>19.400742055405878</v>
      </c>
      <c r="AO47">
        <v>0.67250445910194512</v>
      </c>
      <c r="AP47">
        <v>19.400742055405878</v>
      </c>
      <c r="AQ47">
        <v>19.400742055405878</v>
      </c>
      <c r="AR47">
        <v>0.67250445910194512</v>
      </c>
      <c r="AS47">
        <v>113.79300716147741</v>
      </c>
      <c r="AT47">
        <v>-0.16022789127581341</v>
      </c>
      <c r="AU47">
        <v>0.8</v>
      </c>
      <c r="AV47" t="s">
        <v>93</v>
      </c>
      <c r="AW47">
        <v>8.7776852336098068E-2</v>
      </c>
      <c r="AX47">
        <v>0.36262656020945988</v>
      </c>
      <c r="AY47">
        <v>8.7776852336098068E-2</v>
      </c>
      <c r="AZ47">
        <v>8.7776852336098068E-2</v>
      </c>
      <c r="BA47">
        <v>0.36262656020945988</v>
      </c>
      <c r="BB47">
        <v>0.1079284972303448</v>
      </c>
      <c r="BC47">
        <v>0.21629956303595349</v>
      </c>
      <c r="BD47">
        <v>8.471462678967108E-2</v>
      </c>
      <c r="BE47">
        <v>0.70648191169412589</v>
      </c>
      <c r="BF47">
        <v>8.471462678967108E-2</v>
      </c>
      <c r="BG47">
        <v>8.471462678967108E-2</v>
      </c>
      <c r="BH47">
        <v>0.70648191169412589</v>
      </c>
      <c r="BI47">
        <v>0.24501203302237409</v>
      </c>
      <c r="BJ47">
        <v>0.15108563574016359</v>
      </c>
      <c r="BK47">
        <v>3.9560388078347018E-2</v>
      </c>
      <c r="BL47">
        <v>0.84117755489154211</v>
      </c>
      <c r="BM47">
        <v>3.9560388078347018E-2</v>
      </c>
      <c r="BN47">
        <v>3.9560388078347018E-2</v>
      </c>
      <c r="BO47">
        <v>0.84117755489154211</v>
      </c>
      <c r="BP47">
        <v>0.42718615956877798</v>
      </c>
      <c r="BQ47">
        <v>-0.7150173108726503</v>
      </c>
      <c r="BR47">
        <v>77.390916354419147</v>
      </c>
      <c r="BS47">
        <v>0.77973180961265354</v>
      </c>
      <c r="BT47">
        <v>77.390916354419147</v>
      </c>
      <c r="BU47">
        <v>77.390916354419147</v>
      </c>
      <c r="BV47">
        <v>0.77973180961265354</v>
      </c>
      <c r="BW47">
        <v>454.3919019560891</v>
      </c>
      <c r="BX47">
        <v>-0.29327945300672331</v>
      </c>
      <c r="BY47" t="str">
        <f>SUBSTITUTE(TRIM(MID(SUBSTITUTE(SUBSTITUTE(SUBSTITUTE(Tabla1[[#This Row],[map]],"[",""),"]",""),",",REPT(" ",100)),1,300))," ",", ")</f>
        <v>3, 4, 2</v>
      </c>
      <c r="BZ47" t="str">
        <f>SUBSTITUTE(TRIM(MID(SUBSTITUTE(SUBSTITUTE(SUBSTITUTE(Tabla1[[#This Row],[map]],"[",""),"]",""),",",REPT(" ",100)),601,300))," ",", ")</f>
        <v>1, 4, 0</v>
      </c>
    </row>
    <row r="48" spans="1:78" x14ac:dyDescent="0.3">
      <c r="A48" s="1">
        <v>46100.438252314823</v>
      </c>
      <c r="B48" t="s">
        <v>172</v>
      </c>
      <c r="C48">
        <v>2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164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165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160</v>
      </c>
      <c r="AH48">
        <v>40</v>
      </c>
      <c r="AI48">
        <v>120</v>
      </c>
      <c r="AJ48">
        <v>0.1133704765517458</v>
      </c>
      <c r="AK48">
        <v>31.95868566636668</v>
      </c>
      <c r="AL48">
        <v>0.61861214388983332</v>
      </c>
      <c r="AM48">
        <v>0.1417373773018325</v>
      </c>
      <c r="AN48">
        <v>40.412839596707677</v>
      </c>
      <c r="AO48">
        <v>0.5453026920385966</v>
      </c>
      <c r="AP48">
        <v>40.412839596707677</v>
      </c>
      <c r="AQ48">
        <v>40.412839596707677</v>
      </c>
      <c r="AR48">
        <v>0.5453026920385966</v>
      </c>
      <c r="AS48">
        <v>99.226579560333434</v>
      </c>
      <c r="AT48">
        <v>0.13069427259684269</v>
      </c>
      <c r="AU48">
        <v>0.8</v>
      </c>
      <c r="AV48" t="s">
        <v>93</v>
      </c>
      <c r="AW48">
        <v>9.108601563221895E-2</v>
      </c>
      <c r="AX48">
        <v>0.33859775606869252</v>
      </c>
      <c r="AY48">
        <v>9.108601563221895E-2</v>
      </c>
      <c r="AZ48">
        <v>9.108601563221895E-2</v>
      </c>
      <c r="BA48">
        <v>0.33859775606869252</v>
      </c>
      <c r="BB48">
        <v>0.1111863759088916</v>
      </c>
      <c r="BC48">
        <v>0.19264315152765821</v>
      </c>
      <c r="BD48">
        <v>7.7955354857236259E-2</v>
      </c>
      <c r="BE48">
        <v>0.72990134528112149</v>
      </c>
      <c r="BF48">
        <v>7.7955354857236259E-2</v>
      </c>
      <c r="BG48">
        <v>7.7955354857236259E-2</v>
      </c>
      <c r="BH48">
        <v>0.72990134528112149</v>
      </c>
      <c r="BI48">
        <v>0.26254425961338418</v>
      </c>
      <c r="BJ48">
        <v>9.0340215170523042E-2</v>
      </c>
      <c r="BK48">
        <v>0.106604814027736</v>
      </c>
      <c r="BL48">
        <v>0.57201539098438203</v>
      </c>
      <c r="BM48">
        <v>0.106604814027736</v>
      </c>
      <c r="BN48">
        <v>0.106604814027736</v>
      </c>
      <c r="BO48">
        <v>0.57201539098438203</v>
      </c>
      <c r="BP48">
        <v>0.1574352470481182</v>
      </c>
      <c r="BQ48">
        <v>0.36794728017033579</v>
      </c>
      <c r="BR48">
        <v>161.37571220231331</v>
      </c>
      <c r="BS48">
        <v>0.54069627582019142</v>
      </c>
      <c r="BT48">
        <v>161.37571220231331</v>
      </c>
      <c r="BU48">
        <v>161.37571220231331</v>
      </c>
      <c r="BV48">
        <v>0.54069627582019142</v>
      </c>
      <c r="BW48">
        <v>396.37515235876128</v>
      </c>
      <c r="BX48">
        <v>-0.12815355648114909</v>
      </c>
      <c r="BY48" t="str">
        <f>SUBSTITUTE(TRIM(MID(SUBSTITUTE(SUBSTITUTE(SUBSTITUTE(Tabla1[[#This Row],[map]],"[",""),"]",""),",",REPT(" ",100)),1,300))," ",", ")</f>
        <v>3, 4, 2</v>
      </c>
      <c r="BZ48" t="str">
        <f>SUBSTITUTE(TRIM(MID(SUBSTITUTE(SUBSTITUTE(SUBSTITUTE(Tabla1[[#This Row],[map]],"[",""),"]",""),",",REPT(" ",100)),601,300))," ",", ")</f>
        <v>0, 1, 4</v>
      </c>
    </row>
    <row r="49" spans="1:78" x14ac:dyDescent="0.3">
      <c r="A49" s="1">
        <v>46100.438321759262</v>
      </c>
      <c r="B49" t="s">
        <v>173</v>
      </c>
      <c r="C49">
        <v>2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167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168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160</v>
      </c>
      <c r="AH49">
        <v>40</v>
      </c>
      <c r="AI49">
        <v>120</v>
      </c>
      <c r="AJ49">
        <v>9.6787792688381655E-2</v>
      </c>
      <c r="AK49">
        <v>9.7359230939493919</v>
      </c>
      <c r="AL49">
        <v>0.71046220832148821</v>
      </c>
      <c r="AM49">
        <v>7.3589123461825584E-2</v>
      </c>
      <c r="AN49">
        <v>14.250652206181741</v>
      </c>
      <c r="AO49">
        <v>0.66170509947390554</v>
      </c>
      <c r="AP49">
        <v>14.250652206181741</v>
      </c>
      <c r="AQ49">
        <v>14.250652206181741</v>
      </c>
      <c r="AR49">
        <v>0.66170509947390554</v>
      </c>
      <c r="AS49">
        <v>103.8008276184443</v>
      </c>
      <c r="AT49">
        <v>5.227190741585136E-2</v>
      </c>
      <c r="AU49">
        <v>0.8</v>
      </c>
      <c r="AV49" t="s">
        <v>93</v>
      </c>
      <c r="AW49">
        <v>0.11081571146992721</v>
      </c>
      <c r="AX49">
        <v>0.19533465460828961</v>
      </c>
      <c r="AY49">
        <v>0.11081571146992721</v>
      </c>
      <c r="AZ49">
        <v>0.11081571146992721</v>
      </c>
      <c r="BA49">
        <v>0.19533465460828961</v>
      </c>
      <c r="BB49">
        <v>0.1503334500744011</v>
      </c>
      <c r="BC49">
        <v>-9.1615222457632761E-2</v>
      </c>
      <c r="BD49">
        <v>6.2732792931602013E-2</v>
      </c>
      <c r="BE49">
        <v>0.78264427108805812</v>
      </c>
      <c r="BF49">
        <v>6.2732792931602013E-2</v>
      </c>
      <c r="BG49">
        <v>6.2732792931602013E-2</v>
      </c>
      <c r="BH49">
        <v>0.78264427108805812</v>
      </c>
      <c r="BI49">
        <v>0.26163910490469588</v>
      </c>
      <c r="BJ49">
        <v>9.3476382911365175E-2</v>
      </c>
      <c r="BK49">
        <v>4.2228281529773398E-2</v>
      </c>
      <c r="BL49">
        <v>0.83046680654384586</v>
      </c>
      <c r="BM49">
        <v>4.2228281529773398E-2</v>
      </c>
      <c r="BN49">
        <v>4.2228281529773398E-2</v>
      </c>
      <c r="BO49">
        <v>0.83046680654384586</v>
      </c>
      <c r="BP49">
        <v>0.15259946607452721</v>
      </c>
      <c r="BQ49">
        <v>0.38736141121257039</v>
      </c>
      <c r="BR49">
        <v>56.78683203879541</v>
      </c>
      <c r="BS49">
        <v>0.83837466565542995</v>
      </c>
      <c r="BT49">
        <v>56.78683203879541</v>
      </c>
      <c r="BU49">
        <v>56.78683203879541</v>
      </c>
      <c r="BV49">
        <v>0.83837466565542995</v>
      </c>
      <c r="BW49">
        <v>414.63873845272258</v>
      </c>
      <c r="BX49">
        <v>-0.1801349420028964</v>
      </c>
      <c r="BY49" t="str">
        <f>SUBSTITUTE(TRIM(MID(SUBSTITUTE(SUBSTITUTE(SUBSTITUTE(Tabla1[[#This Row],[map]],"[",""),"]",""),",",REPT(" ",100)),1,300))," ",", ")</f>
        <v>3, 4, 2</v>
      </c>
      <c r="BZ49" t="str">
        <f>SUBSTITUTE(TRIM(MID(SUBSTITUTE(SUBSTITUTE(SUBSTITUTE(Tabla1[[#This Row],[map]],"[",""),"]",""),",",REPT(" ",100)),601,300))," ",", ")</f>
        <v>1, 4, 0</v>
      </c>
    </row>
    <row r="50" spans="1:78" x14ac:dyDescent="0.3">
      <c r="A50" s="1">
        <v>46100.437986111108</v>
      </c>
      <c r="B50" t="s">
        <v>174</v>
      </c>
      <c r="C50">
        <v>2</v>
      </c>
      <c r="D50" t="s">
        <v>95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161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162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160</v>
      </c>
      <c r="AH50">
        <v>40</v>
      </c>
      <c r="AI50">
        <v>120</v>
      </c>
      <c r="AJ50">
        <v>8.6581739136269945E-2</v>
      </c>
      <c r="AK50">
        <v>13.569971584289419</v>
      </c>
      <c r="AL50">
        <v>0.81419590988806001</v>
      </c>
      <c r="AM50">
        <v>0.42682083437987728</v>
      </c>
      <c r="AN50">
        <v>17.88892607204183</v>
      </c>
      <c r="AO50">
        <v>0.7410199574571682</v>
      </c>
      <c r="AP50">
        <v>17.88892607204183</v>
      </c>
      <c r="AQ50">
        <v>17.88892607204183</v>
      </c>
      <c r="AR50">
        <v>0.7410199574571682</v>
      </c>
      <c r="AS50">
        <v>75.263427733762313</v>
      </c>
      <c r="AT50">
        <v>0.16616055494226009</v>
      </c>
      <c r="AU50">
        <v>0.8</v>
      </c>
      <c r="AV50" t="s">
        <v>93</v>
      </c>
      <c r="AW50">
        <v>6.834307073807748E-2</v>
      </c>
      <c r="AX50">
        <v>0.50374094168488825</v>
      </c>
      <c r="AY50">
        <v>6.834307073807748E-2</v>
      </c>
      <c r="AZ50">
        <v>6.834307073807748E-2</v>
      </c>
      <c r="BA50">
        <v>0.50374094168488825</v>
      </c>
      <c r="BB50">
        <v>0.1790418900892751</v>
      </c>
      <c r="BC50">
        <v>-0.30007561578818248</v>
      </c>
      <c r="BD50">
        <v>5.8179358743108887E-2</v>
      </c>
      <c r="BE50">
        <v>0.79842094801955676</v>
      </c>
      <c r="BF50">
        <v>5.8179358743108887E-2</v>
      </c>
      <c r="BG50">
        <v>5.8179358743108887E-2</v>
      </c>
      <c r="BH50">
        <v>0.79842094801955676</v>
      </c>
      <c r="BI50">
        <v>0.155718853613981</v>
      </c>
      <c r="BJ50">
        <v>0.46046743097343429</v>
      </c>
      <c r="BK50">
        <v>3.3596080614621278E-2</v>
      </c>
      <c r="BL50">
        <v>0.86512236283658916</v>
      </c>
      <c r="BM50">
        <v>3.3596080614621278E-2</v>
      </c>
      <c r="BN50">
        <v>3.3596080614621278E-2</v>
      </c>
      <c r="BO50">
        <v>0.86512236283658916</v>
      </c>
      <c r="BP50">
        <v>0.15949061971348111</v>
      </c>
      <c r="BQ50">
        <v>0.35969560903719328</v>
      </c>
      <c r="BR50">
        <v>71.395585778071606</v>
      </c>
      <c r="BS50">
        <v>0.7967955772876385</v>
      </c>
      <c r="BT50">
        <v>71.395585778071606</v>
      </c>
      <c r="BU50">
        <v>71.395585778071606</v>
      </c>
      <c r="BV50">
        <v>0.7967955772876385</v>
      </c>
      <c r="BW50">
        <v>300.55945957163198</v>
      </c>
      <c r="BX50">
        <v>0.14455479554659861</v>
      </c>
      <c r="BY50" t="str">
        <f>SUBSTITUTE(TRIM(MID(SUBSTITUTE(SUBSTITUTE(SUBSTITUTE(Tabla1[[#This Row],[map]],"[",""),"]",""),",",REPT(" ",100)),1,300))," ",", ")</f>
        <v>2, 3, 4</v>
      </c>
      <c r="BZ50" t="str">
        <f>SUBSTITUTE(TRIM(MID(SUBSTITUTE(SUBSTITUTE(SUBSTITUTE(Tabla1[[#This Row],[map]],"[",""),"]",""),",",REPT(" ",100)),601,300))," ",", ")</f>
        <v>1, 4, 0</v>
      </c>
    </row>
    <row r="51" spans="1:78" x14ac:dyDescent="0.3">
      <c r="A51" s="1">
        <v>46100.544710648152</v>
      </c>
      <c r="B51" t="s">
        <v>178</v>
      </c>
      <c r="C51">
        <v>3</v>
      </c>
      <c r="D51" t="s">
        <v>95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167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168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160</v>
      </c>
      <c r="AH51">
        <v>40</v>
      </c>
      <c r="AI51">
        <v>120</v>
      </c>
      <c r="AJ51">
        <v>0.11966105770238709</v>
      </c>
      <c r="AK51">
        <v>16.537435781584989</v>
      </c>
      <c r="AL51">
        <v>0.68974104828173066</v>
      </c>
      <c r="AM51">
        <v>0.1264949236945887</v>
      </c>
      <c r="AN51">
        <v>19.591652763310719</v>
      </c>
      <c r="AO51">
        <v>0.64278186836203566</v>
      </c>
      <c r="AP51">
        <v>19.591652763310719</v>
      </c>
      <c r="AQ51">
        <v>19.591652763310719</v>
      </c>
      <c r="AR51">
        <v>0.64278186836203566</v>
      </c>
      <c r="AS51">
        <v>111.9079111072551</v>
      </c>
      <c r="AT51">
        <v>-1.4396643554636849E-2</v>
      </c>
      <c r="AU51">
        <v>0.8</v>
      </c>
      <c r="AV51" t="s">
        <v>93</v>
      </c>
      <c r="AW51">
        <v>0.1018620241679766</v>
      </c>
      <c r="AX51">
        <v>0.26035000116687418</v>
      </c>
      <c r="AY51">
        <v>0.1018620241679766</v>
      </c>
      <c r="AZ51">
        <v>0.1018620241679766</v>
      </c>
      <c r="BA51">
        <v>0.26035000116687418</v>
      </c>
      <c r="BB51">
        <v>0.13064660634829101</v>
      </c>
      <c r="BC51">
        <v>5.1336717266564302E-2</v>
      </c>
      <c r="BD51">
        <v>8.9503559302046731E-2</v>
      </c>
      <c r="BE51">
        <v>0.68988928336858002</v>
      </c>
      <c r="BF51">
        <v>8.9503559302046731E-2</v>
      </c>
      <c r="BG51">
        <v>8.9503559302046731E-2</v>
      </c>
      <c r="BH51">
        <v>0.68988928336858002</v>
      </c>
      <c r="BI51">
        <v>0.2152741555327268</v>
      </c>
      <c r="BJ51">
        <v>0.25412102976611939</v>
      </c>
      <c r="BK51">
        <v>3.9037294238563038E-2</v>
      </c>
      <c r="BL51">
        <v>0.84327761120269695</v>
      </c>
      <c r="BM51">
        <v>3.9037294238563038E-2</v>
      </c>
      <c r="BN51">
        <v>3.9037294238563038E-2</v>
      </c>
      <c r="BO51">
        <v>0.84327761120269695</v>
      </c>
      <c r="BP51">
        <v>0.2716935315556161</v>
      </c>
      <c r="BQ51">
        <v>-9.0763592014234673E-2</v>
      </c>
      <c r="BR51">
        <v>78.136208175534321</v>
      </c>
      <c r="BS51">
        <v>0.77761057770998787</v>
      </c>
      <c r="BT51">
        <v>78.136208175534321</v>
      </c>
      <c r="BU51">
        <v>78.136208175534321</v>
      </c>
      <c r="BV51">
        <v>0.77761057770998787</v>
      </c>
      <c r="BW51">
        <v>447.01403013558303</v>
      </c>
      <c r="BX51">
        <v>-0.2722807292369942</v>
      </c>
      <c r="BY51" t="str">
        <f>SUBSTITUTE(TRIM(MID(SUBSTITUTE(SUBSTITUTE(SUBSTITUTE(Tabla1[[#This Row],[map]],"[",""),"]",""),",",REPT(" ",100)),1,300))," ",", ")</f>
        <v>3, 4, 2</v>
      </c>
      <c r="BZ51" t="str">
        <f>SUBSTITUTE(TRIM(MID(SUBSTITUTE(SUBSTITUTE(SUBSTITUTE(Tabla1[[#This Row],[map]],"[",""),"]",""),",",REPT(" ",100)),601,300))," ",", ")</f>
        <v>1, 4, 0</v>
      </c>
    </row>
    <row r="52" spans="1:78" x14ac:dyDescent="0.3">
      <c r="A52" s="1">
        <v>46100.54446759259</v>
      </c>
      <c r="B52" t="s">
        <v>179</v>
      </c>
      <c r="C52">
        <v>3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164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165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160</v>
      </c>
      <c r="AH52">
        <v>40</v>
      </c>
      <c r="AI52">
        <v>120</v>
      </c>
      <c r="AJ52">
        <v>0.11636380710994899</v>
      </c>
      <c r="AK52">
        <v>15.18384263782543</v>
      </c>
      <c r="AL52">
        <v>0.70206466307428772</v>
      </c>
      <c r="AM52">
        <v>-7.8665088612478673E-2</v>
      </c>
      <c r="AN52">
        <v>23.34753254872323</v>
      </c>
      <c r="AO52">
        <v>0.63971959072106577</v>
      </c>
      <c r="AP52">
        <v>23.34753254872323</v>
      </c>
      <c r="AQ52">
        <v>23.34753254872323</v>
      </c>
      <c r="AR52">
        <v>0.63971959072106577</v>
      </c>
      <c r="AS52">
        <v>97.568276789604994</v>
      </c>
      <c r="AT52">
        <v>-7.5396651672252735E-2</v>
      </c>
      <c r="AU52">
        <v>0.8</v>
      </c>
      <c r="AV52" t="s">
        <v>93</v>
      </c>
      <c r="AW52">
        <v>6.4183520415723172E-2</v>
      </c>
      <c r="AX52">
        <v>0.53394465515127454</v>
      </c>
      <c r="AY52">
        <v>6.4183520415723172E-2</v>
      </c>
      <c r="AZ52">
        <v>6.4183520415723172E-2</v>
      </c>
      <c r="BA52">
        <v>0.53394465515127454</v>
      </c>
      <c r="BB52">
        <v>0.1348927195575865</v>
      </c>
      <c r="BC52">
        <v>2.0504445318761059E-2</v>
      </c>
      <c r="BD52">
        <v>0.1007428004283227</v>
      </c>
      <c r="BE52">
        <v>0.65094771336575352</v>
      </c>
      <c r="BF52">
        <v>0.1007428004283227</v>
      </c>
      <c r="BG52">
        <v>0.1007428004283227</v>
      </c>
      <c r="BH52">
        <v>0.65094771336575352</v>
      </c>
      <c r="BI52">
        <v>0.32142838858424061</v>
      </c>
      <c r="BJ52">
        <v>-0.1136807151228227</v>
      </c>
      <c r="BK52">
        <v>8.9903601464614527E-2</v>
      </c>
      <c r="BL52">
        <v>0.63906547679996795</v>
      </c>
      <c r="BM52">
        <v>8.9903601464614527E-2</v>
      </c>
      <c r="BN52">
        <v>8.9903601464614527E-2</v>
      </c>
      <c r="BO52">
        <v>0.63906547679996795</v>
      </c>
      <c r="BP52">
        <v>0.27392012788366138</v>
      </c>
      <c r="BQ52">
        <v>-9.9702671994676528E-2</v>
      </c>
      <c r="BR52">
        <v>93.135300272584672</v>
      </c>
      <c r="BS52">
        <v>0.73492051756726706</v>
      </c>
      <c r="BT52">
        <v>93.135300272584672</v>
      </c>
      <c r="BU52">
        <v>93.135300272584672</v>
      </c>
      <c r="BV52">
        <v>0.73492051756726706</v>
      </c>
      <c r="BW52">
        <v>389.54286592239509</v>
      </c>
      <c r="BX52">
        <v>-0.1087076648902754</v>
      </c>
      <c r="BY52" t="str">
        <f>SUBSTITUTE(TRIM(MID(SUBSTITUTE(SUBSTITUTE(SUBSTITUTE(Tabla1[[#This Row],[map]],"[",""),"]",""),",",REPT(" ",100)),1,300))," ",", ")</f>
        <v>3, 4, 2</v>
      </c>
      <c r="BZ52" t="str">
        <f>SUBSTITUTE(TRIM(MID(SUBSTITUTE(SUBSTITUTE(SUBSTITUTE(Tabla1[[#This Row],[map]],"[",""),"]",""),",",REPT(" ",100)),601,300))," ",", ")</f>
        <v>0, 1, 4</v>
      </c>
    </row>
    <row r="53" spans="1:78" x14ac:dyDescent="0.3">
      <c r="A53" s="1">
        <v>46100.650324074071</v>
      </c>
      <c r="B53" t="s">
        <v>180</v>
      </c>
      <c r="C53">
        <v>4</v>
      </c>
      <c r="D53" t="s">
        <v>95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161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162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160</v>
      </c>
      <c r="AH53">
        <v>40</v>
      </c>
      <c r="AI53">
        <v>120</v>
      </c>
      <c r="AJ53">
        <v>8.0841692548824257E-2</v>
      </c>
      <c r="AK53">
        <v>14.405322201710749</v>
      </c>
      <c r="AL53">
        <v>0.82390444678378039</v>
      </c>
      <c r="AM53">
        <v>0.10608564237981399</v>
      </c>
      <c r="AN53">
        <v>18.819325018126769</v>
      </c>
      <c r="AO53">
        <v>0.76395207452778768</v>
      </c>
      <c r="AP53">
        <v>18.819325018126769</v>
      </c>
      <c r="AQ53">
        <v>18.819325018126769</v>
      </c>
      <c r="AR53">
        <v>0.76395207452778768</v>
      </c>
      <c r="AS53">
        <v>83.84072579804679</v>
      </c>
      <c r="AT53">
        <v>4.6160865654825363E-2</v>
      </c>
      <c r="AU53">
        <v>0.8</v>
      </c>
      <c r="AV53" t="s">
        <v>93</v>
      </c>
      <c r="AW53">
        <v>6.5229350009678652E-2</v>
      </c>
      <c r="AX53">
        <v>0.52635058008485736</v>
      </c>
      <c r="AY53">
        <v>6.5229350009678652E-2</v>
      </c>
      <c r="AZ53">
        <v>6.5229350009678652E-2</v>
      </c>
      <c r="BA53">
        <v>0.52635058008485736</v>
      </c>
      <c r="BB53">
        <v>0.18300794211054269</v>
      </c>
      <c r="BC53">
        <v>-0.32887428140339942</v>
      </c>
      <c r="BD53">
        <v>3.8543309120436187E-2</v>
      </c>
      <c r="BE53">
        <v>0.86645566605515456</v>
      </c>
      <c r="BF53">
        <v>3.8543309120436187E-2</v>
      </c>
      <c r="BG53">
        <v>3.8543309120436187E-2</v>
      </c>
      <c r="BH53">
        <v>0.86645566605515456</v>
      </c>
      <c r="BI53">
        <v>0.20813683922108861</v>
      </c>
      <c r="BJ53">
        <v>0.27885030638357622</v>
      </c>
      <c r="BK53">
        <v>3.066944680066681E-2</v>
      </c>
      <c r="BL53">
        <v>0.87687187189976623</v>
      </c>
      <c r="BM53">
        <v>3.066944680066681E-2</v>
      </c>
      <c r="BN53">
        <v>3.066944680066681E-2</v>
      </c>
      <c r="BO53">
        <v>0.87687187189976623</v>
      </c>
      <c r="BP53">
        <v>0.20238703207901779</v>
      </c>
      <c r="BQ53">
        <v>0.18748008160650551</v>
      </c>
      <c r="BR53">
        <v>75.142857966576145</v>
      </c>
      <c r="BS53">
        <v>0.78613018007137214</v>
      </c>
      <c r="BT53">
        <v>75.142857966576145</v>
      </c>
      <c r="BU53">
        <v>75.142857966576145</v>
      </c>
      <c r="BV53">
        <v>0.78613018007137214</v>
      </c>
      <c r="BW53">
        <v>334.76937137877587</v>
      </c>
      <c r="BX53">
        <v>4.7187356032619587E-2</v>
      </c>
      <c r="BY53" t="str">
        <f>SUBSTITUTE(TRIM(MID(SUBSTITUTE(SUBSTITUTE(SUBSTITUTE(Tabla1[[#This Row],[map]],"[",""),"]",""),",",REPT(" ",100)),1,300))," ",", ")</f>
        <v>2, 3, 4</v>
      </c>
      <c r="BZ53" t="str">
        <f>SUBSTITUTE(TRIM(MID(SUBSTITUTE(SUBSTITUTE(SUBSTITUTE(Tabla1[[#This Row],[map]],"[",""),"]",""),",",REPT(" ",100)),601,300))," ",", ")</f>
        <v>1, 4, 0</v>
      </c>
    </row>
    <row r="54" spans="1:78" x14ac:dyDescent="0.3">
      <c r="A54" s="1">
        <v>46100.650185185194</v>
      </c>
      <c r="B54" t="s">
        <v>181</v>
      </c>
      <c r="C54">
        <v>4</v>
      </c>
      <c r="D54" t="s">
        <v>95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167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168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160</v>
      </c>
      <c r="AH54">
        <v>40</v>
      </c>
      <c r="AI54">
        <v>120</v>
      </c>
      <c r="AJ54">
        <v>0.1054211251780714</v>
      </c>
      <c r="AK54">
        <v>12.712737571962769</v>
      </c>
      <c r="AL54">
        <v>0.69081469984643773</v>
      </c>
      <c r="AM54">
        <v>0.1764704085883135</v>
      </c>
      <c r="AN54">
        <v>17.240801346991582</v>
      </c>
      <c r="AO54">
        <v>0.6659839251492593</v>
      </c>
      <c r="AP54">
        <v>17.240801346991582</v>
      </c>
      <c r="AQ54">
        <v>17.240801346991582</v>
      </c>
      <c r="AR54">
        <v>0.6659839251492593</v>
      </c>
      <c r="AS54">
        <v>85.977728664477851</v>
      </c>
      <c r="AT54">
        <v>0.1568199522084672</v>
      </c>
      <c r="AU54">
        <v>0.8</v>
      </c>
      <c r="AV54" t="s">
        <v>93</v>
      </c>
      <c r="AW54">
        <v>9.9439614205962729E-2</v>
      </c>
      <c r="AX54">
        <v>0.27793982956673258</v>
      </c>
      <c r="AY54">
        <v>9.9439614205962729E-2</v>
      </c>
      <c r="AZ54">
        <v>9.9439614205962729E-2</v>
      </c>
      <c r="BA54">
        <v>0.27793982956673258</v>
      </c>
      <c r="BB54">
        <v>0.14374537025864101</v>
      </c>
      <c r="BC54">
        <v>-4.3777244881182398E-2</v>
      </c>
      <c r="BD54">
        <v>8.0190532424710428E-2</v>
      </c>
      <c r="BE54">
        <v>0.72215693240354295</v>
      </c>
      <c r="BF54">
        <v>8.0190532424710428E-2</v>
      </c>
      <c r="BG54">
        <v>8.0190532424710428E-2</v>
      </c>
      <c r="BH54">
        <v>0.72215693240354295</v>
      </c>
      <c r="BI54">
        <v>0.18622323559378759</v>
      </c>
      <c r="BJ54">
        <v>0.35477626260064687</v>
      </c>
      <c r="BK54">
        <v>3.4994159242310967E-2</v>
      </c>
      <c r="BL54">
        <v>0.85950951936134812</v>
      </c>
      <c r="BM54">
        <v>3.4994159242310967E-2</v>
      </c>
      <c r="BN54">
        <v>3.4994159242310967E-2</v>
      </c>
      <c r="BO54">
        <v>0.85950951936134812</v>
      </c>
      <c r="BP54">
        <v>0.17593615550448441</v>
      </c>
      <c r="BQ54">
        <v>0.2936719845906115</v>
      </c>
      <c r="BR54">
        <v>68.74858108209304</v>
      </c>
      <c r="BS54">
        <v>0.80432941926542134</v>
      </c>
      <c r="BT54">
        <v>68.74858108209304</v>
      </c>
      <c r="BU54">
        <v>68.74858108209304</v>
      </c>
      <c r="BV54">
        <v>0.80432941926542134</v>
      </c>
      <c r="BW54">
        <v>343.40500989655362</v>
      </c>
      <c r="BX54">
        <v>2.2608806523797931E-2</v>
      </c>
      <c r="BY54" t="str">
        <f>SUBSTITUTE(TRIM(MID(SUBSTITUTE(SUBSTITUTE(SUBSTITUTE(Tabla1[[#This Row],[map]],"[",""),"]",""),",",REPT(" ",100)),1,300))," ",", ")</f>
        <v>3, 4, 2</v>
      </c>
      <c r="BZ54" t="str">
        <f>SUBSTITUTE(TRIM(MID(SUBSTITUTE(SUBSTITUTE(SUBSTITUTE(Tabla1[[#This Row],[map]],"[",""),"]",""),",",REPT(" ",100)),601,300))," ",", ")</f>
        <v>1, 4, 0</v>
      </c>
    </row>
    <row r="55" spans="1:78" x14ac:dyDescent="0.3">
      <c r="A55" s="1">
        <v>46100.650324074071</v>
      </c>
      <c r="B55" t="s">
        <v>180</v>
      </c>
      <c r="C55">
        <v>4</v>
      </c>
      <c r="D55" t="s">
        <v>95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164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165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160</v>
      </c>
      <c r="AH55">
        <v>40</v>
      </c>
      <c r="AI55">
        <v>120</v>
      </c>
      <c r="AJ55">
        <v>0.13988085201130779</v>
      </c>
      <c r="AK55">
        <v>22.886441810190998</v>
      </c>
      <c r="AL55">
        <v>0.62383470864402035</v>
      </c>
      <c r="AM55">
        <v>-0.45998600426746739</v>
      </c>
      <c r="AN55">
        <v>34.88086375971568</v>
      </c>
      <c r="AO55">
        <v>0.53562941586024859</v>
      </c>
      <c r="AP55">
        <v>34.88086375971568</v>
      </c>
      <c r="AQ55">
        <v>34.88086375971568</v>
      </c>
      <c r="AR55">
        <v>0.53562941586024859</v>
      </c>
      <c r="AS55">
        <v>110.3383615725588</v>
      </c>
      <c r="AT55">
        <v>-0.42480510306790448</v>
      </c>
      <c r="AU55">
        <v>0.8</v>
      </c>
      <c r="AV55" t="s">
        <v>93</v>
      </c>
      <c r="AW55">
        <v>8.7531887049157944E-2</v>
      </c>
      <c r="AX55">
        <v>0.36440532492260391</v>
      </c>
      <c r="AY55">
        <v>8.7531887049157944E-2</v>
      </c>
      <c r="AZ55">
        <v>8.7531887049157944E-2</v>
      </c>
      <c r="BA55">
        <v>0.36440532492260391</v>
      </c>
      <c r="BB55">
        <v>0.124292208780171</v>
      </c>
      <c r="BC55">
        <v>9.7477859583690707E-2</v>
      </c>
      <c r="BD55">
        <v>9.7290101182438263E-2</v>
      </c>
      <c r="BE55">
        <v>0.66291057881829563</v>
      </c>
      <c r="BF55">
        <v>9.7290101182438263E-2</v>
      </c>
      <c r="BG55">
        <v>9.7290101182438263E-2</v>
      </c>
      <c r="BH55">
        <v>0.66291057881829563</v>
      </c>
      <c r="BI55">
        <v>0.49813666569211862</v>
      </c>
      <c r="BJ55">
        <v>-0.72593715359246547</v>
      </c>
      <c r="BK55">
        <v>0.1216938436363114</v>
      </c>
      <c r="BL55">
        <v>0.51143770979475955</v>
      </c>
      <c r="BM55">
        <v>0.1216938436363114</v>
      </c>
      <c r="BN55">
        <v>0.1216938436363114</v>
      </c>
      <c r="BO55">
        <v>0.51143770979475955</v>
      </c>
      <c r="BP55">
        <v>0.45275087560666721</v>
      </c>
      <c r="BQ55">
        <v>-0.81765155959639579</v>
      </c>
      <c r="BR55">
        <v>139.21693920699491</v>
      </c>
      <c r="BS55">
        <v>0.60376404990533561</v>
      </c>
      <c r="BT55">
        <v>139.21693920699491</v>
      </c>
      <c r="BU55">
        <v>139.21693920699491</v>
      </c>
      <c r="BV55">
        <v>0.60376404990533561</v>
      </c>
      <c r="BW55">
        <v>440.27826654015632</v>
      </c>
      <c r="BX55">
        <v>-0.25310955866644558</v>
      </c>
      <c r="BY55" t="str">
        <f>SUBSTITUTE(TRIM(MID(SUBSTITUTE(SUBSTITUTE(SUBSTITUTE(Tabla1[[#This Row],[map]],"[",""),"]",""),",",REPT(" ",100)),1,300))," ",", ")</f>
        <v>3, 4, 2</v>
      </c>
      <c r="BZ55" t="str">
        <f>SUBSTITUTE(TRIM(MID(SUBSTITUTE(SUBSTITUTE(SUBSTITUTE(Tabla1[[#This Row],[map]],"[",""),"]",""),",",REPT(" ",100)),601,300))," ",", ")</f>
        <v>0, 1, 4</v>
      </c>
    </row>
    <row r="56" spans="1:78" x14ac:dyDescent="0.3">
      <c r="A56" s="1">
        <v>46100.774293981478</v>
      </c>
      <c r="B56" t="s">
        <v>182</v>
      </c>
      <c r="C56">
        <v>5</v>
      </c>
      <c r="D56" t="s">
        <v>77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161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162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160</v>
      </c>
      <c r="AH56">
        <v>40</v>
      </c>
      <c r="AI56">
        <v>120</v>
      </c>
      <c r="AJ56">
        <v>9.4038159938491933E-2</v>
      </c>
      <c r="AK56">
        <v>7.8441699353106458</v>
      </c>
      <c r="AL56">
        <v>0.79623994072026527</v>
      </c>
      <c r="AM56">
        <v>-0.40973375542539969</v>
      </c>
      <c r="AN56">
        <v>11.57812538412721</v>
      </c>
      <c r="AO56">
        <v>0.73233689784690537</v>
      </c>
      <c r="AP56">
        <v>11.57812538412721</v>
      </c>
      <c r="AQ56">
        <v>11.57812538412721</v>
      </c>
      <c r="AR56">
        <v>0.73233689784690537</v>
      </c>
      <c r="AS56">
        <v>101.61396257634679</v>
      </c>
      <c r="AT56">
        <v>-0.23111278442142291</v>
      </c>
      <c r="AU56">
        <v>0.8</v>
      </c>
      <c r="AV56" t="s">
        <v>93</v>
      </c>
      <c r="AW56">
        <v>7.145558146454041E-2</v>
      </c>
      <c r="AX56">
        <v>0.48114008946345599</v>
      </c>
      <c r="AY56">
        <v>7.145558146454041E-2</v>
      </c>
      <c r="AZ56">
        <v>7.145558146454041E-2</v>
      </c>
      <c r="BA56">
        <v>0.48114008946345599</v>
      </c>
      <c r="BB56">
        <v>0.11751677519379761</v>
      </c>
      <c r="BC56">
        <v>0.14667626777545029</v>
      </c>
      <c r="BD56">
        <v>7.0625653614828407E-2</v>
      </c>
      <c r="BE56">
        <v>0.75529719459373457</v>
      </c>
      <c r="BF56">
        <v>7.0625653614828407E-2</v>
      </c>
      <c r="BG56">
        <v>7.0625653614828407E-2</v>
      </c>
      <c r="BH56">
        <v>0.75529719459373457</v>
      </c>
      <c r="BI56">
        <v>0.49228129437725038</v>
      </c>
      <c r="BJ56">
        <v>-0.70564954258842683</v>
      </c>
      <c r="BK56">
        <v>4.3790541524037489E-2</v>
      </c>
      <c r="BL56">
        <v>0.82419482681268752</v>
      </c>
      <c r="BM56">
        <v>4.3790541524037489E-2</v>
      </c>
      <c r="BN56">
        <v>4.3790541524037489E-2</v>
      </c>
      <c r="BO56">
        <v>0.82419482681268752</v>
      </c>
      <c r="BP56">
        <v>0.30169927102804017</v>
      </c>
      <c r="BQ56">
        <v>-0.21122714512346619</v>
      </c>
      <c r="BR56">
        <v>46.126629759905157</v>
      </c>
      <c r="BS56">
        <v>0.8687154805177435</v>
      </c>
      <c r="BT56">
        <v>46.126629759905157</v>
      </c>
      <c r="BU56">
        <v>46.126629759905157</v>
      </c>
      <c r="BV56">
        <v>0.8687154805177435</v>
      </c>
      <c r="BW56">
        <v>405.54435296478982</v>
      </c>
      <c r="BX56">
        <v>-0.1542507177492638</v>
      </c>
      <c r="BY56" t="str">
        <f>SUBSTITUTE(TRIM(MID(SUBSTITUTE(SUBSTITUTE(SUBSTITUTE(Tabla1[[#This Row],[map]],"[",""),"]",""),",",REPT(" ",100)),1,300))," ",", ")</f>
        <v>2, 3, 4</v>
      </c>
      <c r="BZ56" t="str">
        <f>SUBSTITUTE(TRIM(MID(SUBSTITUTE(SUBSTITUTE(SUBSTITUTE(Tabla1[[#This Row],[map]],"[",""),"]",""),",",REPT(" ",100)),601,300))," ",", ")</f>
        <v>1, 4, 0</v>
      </c>
    </row>
    <row r="57" spans="1:78" x14ac:dyDescent="0.3">
      <c r="A57" s="1">
        <v>46100.774722222217</v>
      </c>
      <c r="B57" t="s">
        <v>183</v>
      </c>
      <c r="C57">
        <v>5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167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168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160</v>
      </c>
      <c r="AH57">
        <v>40</v>
      </c>
      <c r="AI57">
        <v>120</v>
      </c>
      <c r="AJ57">
        <v>0.10593078686392821</v>
      </c>
      <c r="AK57">
        <v>9.7844050401039819</v>
      </c>
      <c r="AL57">
        <v>0.73969114577807649</v>
      </c>
      <c r="AM57">
        <v>-0.45009236987076851</v>
      </c>
      <c r="AN57">
        <v>14.09733766261896</v>
      </c>
      <c r="AO57">
        <v>0.70694336908638278</v>
      </c>
      <c r="AP57">
        <v>14.09733766261896</v>
      </c>
      <c r="AQ57">
        <v>14.09733766261896</v>
      </c>
      <c r="AR57">
        <v>0.70694336908638278</v>
      </c>
      <c r="AS57">
        <v>136.39182875698239</v>
      </c>
      <c r="AT57">
        <v>-0.41618357101343623</v>
      </c>
      <c r="AU57">
        <v>0.8</v>
      </c>
      <c r="AV57" t="s">
        <v>93</v>
      </c>
      <c r="AW57">
        <v>8.440683620464394E-2</v>
      </c>
      <c r="AX57">
        <v>0.38709723461493961</v>
      </c>
      <c r="AY57">
        <v>8.440683620464394E-2</v>
      </c>
      <c r="AZ57">
        <v>8.440683620464394E-2</v>
      </c>
      <c r="BA57">
        <v>0.38709723461493961</v>
      </c>
      <c r="BB57">
        <v>0.12716211895293389</v>
      </c>
      <c r="BC57">
        <v>7.6638601054577205E-2</v>
      </c>
      <c r="BD57">
        <v>6.145089572075408E-2</v>
      </c>
      <c r="BE57">
        <v>0.78708577113346223</v>
      </c>
      <c r="BF57">
        <v>6.145089572075408E-2</v>
      </c>
      <c r="BG57">
        <v>6.145089572075408E-2</v>
      </c>
      <c r="BH57">
        <v>0.78708577113346223</v>
      </c>
      <c r="BI57">
        <v>0.39991270555830882</v>
      </c>
      <c r="BJ57">
        <v>-0.38561211059973138</v>
      </c>
      <c r="BK57">
        <v>4.6445209448516558E-2</v>
      </c>
      <c r="BL57">
        <v>0.81353717477242538</v>
      </c>
      <c r="BM57">
        <v>4.6445209448516558E-2</v>
      </c>
      <c r="BN57">
        <v>4.6445209448516558E-2</v>
      </c>
      <c r="BO57">
        <v>0.81353717477242538</v>
      </c>
      <c r="BP57">
        <v>0.44978894623259252</v>
      </c>
      <c r="BQ57">
        <v>-0.80576035002338875</v>
      </c>
      <c r="BR57">
        <v>56.197047709102129</v>
      </c>
      <c r="BS57">
        <v>0.84005329582470478</v>
      </c>
      <c r="BT57">
        <v>56.197047709102129</v>
      </c>
      <c r="BU57">
        <v>56.197047709102129</v>
      </c>
      <c r="BV57">
        <v>0.84005329582470478</v>
      </c>
      <c r="BW57">
        <v>544.59045125718353</v>
      </c>
      <c r="BX57">
        <v>-0.55000042448519904</v>
      </c>
      <c r="BY57" t="str">
        <f>SUBSTITUTE(TRIM(MID(SUBSTITUTE(SUBSTITUTE(SUBSTITUTE(Tabla1[[#This Row],[map]],"[",""),"]",""),",",REPT(" ",100)),1,300))," ",", ")</f>
        <v>3, 4, 2</v>
      </c>
      <c r="BZ57" t="str">
        <f>SUBSTITUTE(TRIM(MID(SUBSTITUTE(SUBSTITUTE(SUBSTITUTE(Tabla1[[#This Row],[map]],"[",""),"]",""),",",REPT(" ",100)),601,300))," ",", ")</f>
        <v>1, 4, 0</v>
      </c>
    </row>
    <row r="58" spans="1:78" x14ac:dyDescent="0.3">
      <c r="A58" s="1">
        <v>46100.774907407409</v>
      </c>
      <c r="B58" t="s">
        <v>184</v>
      </c>
      <c r="C58">
        <v>5</v>
      </c>
      <c r="D58" t="s">
        <v>95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164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165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160</v>
      </c>
      <c r="AH58">
        <v>40</v>
      </c>
      <c r="AI58">
        <v>120</v>
      </c>
      <c r="AJ58">
        <v>0.1314797938197188</v>
      </c>
      <c r="AK58">
        <v>16.529551599752558</v>
      </c>
      <c r="AL58">
        <v>0.6252988109805182</v>
      </c>
      <c r="AM58">
        <v>-0.10618385319655831</v>
      </c>
      <c r="AN58">
        <v>32.516307100676173</v>
      </c>
      <c r="AO58">
        <v>0.55696460104825829</v>
      </c>
      <c r="AP58">
        <v>32.516307100676173</v>
      </c>
      <c r="AQ58">
        <v>32.516307100676173</v>
      </c>
      <c r="AR58">
        <v>0.55696460104825829</v>
      </c>
      <c r="AS58">
        <v>132.26563199945579</v>
      </c>
      <c r="AT58">
        <v>-0.20325852208155551</v>
      </c>
      <c r="AU58">
        <v>0.8</v>
      </c>
      <c r="AV58" t="s">
        <v>93</v>
      </c>
      <c r="AW58">
        <v>8.4803423944467465E-2</v>
      </c>
      <c r="AX58">
        <v>0.38421749485231749</v>
      </c>
      <c r="AY58">
        <v>8.4803423944467465E-2</v>
      </c>
      <c r="AZ58">
        <v>8.4803423944467465E-2</v>
      </c>
      <c r="BA58">
        <v>0.38421749485231749</v>
      </c>
      <c r="BB58">
        <v>0.17108679294816301</v>
      </c>
      <c r="BC58">
        <v>-0.2423113249329574</v>
      </c>
      <c r="BD58">
        <v>6.3707639702890159E-2</v>
      </c>
      <c r="BE58">
        <v>0.77926663523527839</v>
      </c>
      <c r="BF58">
        <v>6.3707639702890159E-2</v>
      </c>
      <c r="BG58">
        <v>6.3707639702890159E-2</v>
      </c>
      <c r="BH58">
        <v>0.77926663523527839</v>
      </c>
      <c r="BI58">
        <v>0.27514908124907811</v>
      </c>
      <c r="BJ58">
        <v>4.666720036599481E-2</v>
      </c>
      <c r="BK58">
        <v>0.14104754831140609</v>
      </c>
      <c r="BL58">
        <v>0.43373870713790869</v>
      </c>
      <c r="BM58">
        <v>0.14104754831140609</v>
      </c>
      <c r="BN58">
        <v>0.14104754831140609</v>
      </c>
      <c r="BO58">
        <v>0.43373870713790869</v>
      </c>
      <c r="BP58">
        <v>0.27739279221446062</v>
      </c>
      <c r="BQ58">
        <v>-0.1136443208724924</v>
      </c>
      <c r="BR58">
        <v>129.77566979074629</v>
      </c>
      <c r="BS58">
        <v>0.63063556696752787</v>
      </c>
      <c r="BT58">
        <v>129.77566979074629</v>
      </c>
      <c r="BU58">
        <v>129.77566979074629</v>
      </c>
      <c r="BV58">
        <v>0.63063556696752787</v>
      </c>
      <c r="BW58">
        <v>528.33889933141381</v>
      </c>
      <c r="BX58">
        <v>-0.50374564288677837</v>
      </c>
      <c r="BY58" t="str">
        <f>SUBSTITUTE(TRIM(MID(SUBSTITUTE(SUBSTITUTE(SUBSTITUTE(Tabla1[[#This Row],[map]],"[",""),"]",""),",",REPT(" ",100)),1,300))," ",", ")</f>
        <v>3, 4, 2</v>
      </c>
      <c r="BZ58" t="str">
        <f>SUBSTITUTE(TRIM(MID(SUBSTITUTE(SUBSTITUTE(SUBSTITUTE(Tabla1[[#This Row],[map]],"[",""),"]",""),",",REPT(" ",100)),601,300))," ",", ")</f>
        <v>0, 1, 4</v>
      </c>
    </row>
    <row r="59" spans="1:78" x14ac:dyDescent="0.3">
      <c r="A59" s="1">
        <v>46100.869363425933</v>
      </c>
      <c r="B59" t="s">
        <v>185</v>
      </c>
      <c r="C59">
        <v>6</v>
      </c>
      <c r="D59" t="s">
        <v>95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161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162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160</v>
      </c>
      <c r="AH59">
        <v>40</v>
      </c>
      <c r="AI59">
        <v>120</v>
      </c>
      <c r="AJ59">
        <v>8.4676170324407912E-2</v>
      </c>
      <c r="AK59">
        <v>11.083075945764451</v>
      </c>
      <c r="AL59">
        <v>0.80222908946302574</v>
      </c>
      <c r="AM59">
        <v>0.15670745483248141</v>
      </c>
      <c r="AN59">
        <v>13.216277523208481</v>
      </c>
      <c r="AO59">
        <v>0.7508574646968813</v>
      </c>
      <c r="AP59">
        <v>13.216277523208481</v>
      </c>
      <c r="AQ59">
        <v>13.216277523208481</v>
      </c>
      <c r="AR59">
        <v>0.7508574646968813</v>
      </c>
      <c r="AS59">
        <v>92.25862746016999</v>
      </c>
      <c r="AT59">
        <v>0.18097013425116129</v>
      </c>
      <c r="AU59">
        <v>0.8</v>
      </c>
      <c r="AV59" t="s">
        <v>93</v>
      </c>
      <c r="AW59">
        <v>6.8421791514849353E-2</v>
      </c>
      <c r="AX59">
        <v>0.50316932706282413</v>
      </c>
      <c r="AY59">
        <v>6.8421791514849353E-2</v>
      </c>
      <c r="AZ59">
        <v>6.8421791514849353E-2</v>
      </c>
      <c r="BA59">
        <v>0.50316932706282413</v>
      </c>
      <c r="BB59">
        <v>0.15041150188201041</v>
      </c>
      <c r="BC59">
        <v>-9.2181979498626943E-2</v>
      </c>
      <c r="BD59">
        <v>6.7334951932736226E-2</v>
      </c>
      <c r="BE59">
        <v>0.76669877308750178</v>
      </c>
      <c r="BF59">
        <v>6.7334951932736226E-2</v>
      </c>
      <c r="BG59">
        <v>6.7334951932736226E-2</v>
      </c>
      <c r="BH59">
        <v>0.76669877308750178</v>
      </c>
      <c r="BI59">
        <v>0.16052768534371609</v>
      </c>
      <c r="BJ59">
        <v>0.44380585610985301</v>
      </c>
      <c r="BK59">
        <v>2.9004466403838979E-2</v>
      </c>
      <c r="BL59">
        <v>0.88355624155655899</v>
      </c>
      <c r="BM59">
        <v>2.9004466403838979E-2</v>
      </c>
      <c r="BN59">
        <v>2.9004466403838979E-2</v>
      </c>
      <c r="BO59">
        <v>0.88355624155655899</v>
      </c>
      <c r="BP59">
        <v>0.14414618137571669</v>
      </c>
      <c r="BQ59">
        <v>0.42129867548824201</v>
      </c>
      <c r="BR59">
        <v>52.700348882982553</v>
      </c>
      <c r="BS59">
        <v>0.85000551708064209</v>
      </c>
      <c r="BT59">
        <v>52.700348882982553</v>
      </c>
      <c r="BU59">
        <v>52.700348882982553</v>
      </c>
      <c r="BV59">
        <v>0.85000551708064209</v>
      </c>
      <c r="BW59">
        <v>368.57942447207739</v>
      </c>
      <c r="BX59">
        <v>-4.9042015094814762E-2</v>
      </c>
      <c r="BY59" t="str">
        <f>SUBSTITUTE(TRIM(MID(SUBSTITUTE(SUBSTITUTE(SUBSTITUTE(Tabla1[[#This Row],[map]],"[",""),"]",""),",",REPT(" ",100)),1,300))," ",", ")</f>
        <v>2, 3, 4</v>
      </c>
      <c r="BZ59" t="str">
        <f>SUBSTITUTE(TRIM(MID(SUBSTITUTE(SUBSTITUTE(SUBSTITUTE(Tabla1[[#This Row],[map]],"[",""),"]",""),",",REPT(" ",100)),601,300))," ",", ")</f>
        <v>1, 4, 0</v>
      </c>
    </row>
    <row r="60" spans="1:78" x14ac:dyDescent="0.3">
      <c r="A60" s="1">
        <v>46100.870810185188</v>
      </c>
      <c r="B60" t="s">
        <v>186</v>
      </c>
      <c r="C60">
        <v>6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167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168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160</v>
      </c>
      <c r="AH60">
        <v>40</v>
      </c>
      <c r="AI60">
        <v>120</v>
      </c>
      <c r="AJ60">
        <v>0.1051517806427666</v>
      </c>
      <c r="AK60">
        <v>15.20581329712042</v>
      </c>
      <c r="AL60">
        <v>0.71775703763953103</v>
      </c>
      <c r="AM60">
        <v>0.18293792168303999</v>
      </c>
      <c r="AN60">
        <v>19.168610627157861</v>
      </c>
      <c r="AO60">
        <v>0.68924570067750057</v>
      </c>
      <c r="AP60">
        <v>19.168610627157861</v>
      </c>
      <c r="AQ60">
        <v>19.168610627157861</v>
      </c>
      <c r="AR60">
        <v>0.68924570067750057</v>
      </c>
      <c r="AS60">
        <v>84.579103141877894</v>
      </c>
      <c r="AT60">
        <v>0.1022319750310272</v>
      </c>
      <c r="AU60">
        <v>0.8</v>
      </c>
      <c r="AV60" t="s">
        <v>93</v>
      </c>
      <c r="AW60">
        <v>7.1594153836972124E-2</v>
      </c>
      <c r="AX60">
        <v>0.48013387487127002</v>
      </c>
      <c r="AY60">
        <v>7.1594153836972124E-2</v>
      </c>
      <c r="AZ60">
        <v>7.1594153836972124E-2</v>
      </c>
      <c r="BA60">
        <v>0.48013387487127002</v>
      </c>
      <c r="BB60">
        <v>0.1586332388115172</v>
      </c>
      <c r="BC60">
        <v>-0.15188241997178789</v>
      </c>
      <c r="BD60">
        <v>0.10612288950708421</v>
      </c>
      <c r="BE60">
        <v>0.63230685379808882</v>
      </c>
      <c r="BF60">
        <v>0.10612288950708421</v>
      </c>
      <c r="BG60">
        <v>0.10612288950708421</v>
      </c>
      <c r="BH60">
        <v>0.63230685379808882</v>
      </c>
      <c r="BI60">
        <v>0.26026290323580992</v>
      </c>
      <c r="BJ60">
        <v>9.8244627762135828E-2</v>
      </c>
      <c r="BK60">
        <v>3.4332088406160609E-2</v>
      </c>
      <c r="BL60">
        <v>0.86216752435422517</v>
      </c>
      <c r="BM60">
        <v>3.4332088406160609E-2</v>
      </c>
      <c r="BN60">
        <v>3.4332088406160609E-2</v>
      </c>
      <c r="BO60">
        <v>0.86216752435422517</v>
      </c>
      <c r="BP60">
        <v>0.14350491721987191</v>
      </c>
      <c r="BQ60">
        <v>0.42387314824088501</v>
      </c>
      <c r="BR60">
        <v>76.462393376881295</v>
      </c>
      <c r="BS60">
        <v>0.78237454968642006</v>
      </c>
      <c r="BT60">
        <v>76.462393376881295</v>
      </c>
      <c r="BU60">
        <v>76.462393376881295</v>
      </c>
      <c r="BV60">
        <v>0.78237454968642006</v>
      </c>
      <c r="BW60">
        <v>337.75401150824479</v>
      </c>
      <c r="BX60">
        <v>3.8692544092871373E-2</v>
      </c>
      <c r="BY60" t="str">
        <f>SUBSTITUTE(TRIM(MID(SUBSTITUTE(SUBSTITUTE(SUBSTITUTE(Tabla1[[#This Row],[map]],"[",""),"]",""),",",REPT(" ",100)),1,300))," ",", ")</f>
        <v>3, 4, 2</v>
      </c>
      <c r="BZ60" t="str">
        <f>SUBSTITUTE(TRIM(MID(SUBSTITUTE(SUBSTITUTE(SUBSTITUTE(Tabla1[[#This Row],[map]],"[",""),"]",""),",",REPT(" ",100)),601,300))," ",", ")</f>
        <v>1, 4, 0</v>
      </c>
    </row>
    <row r="61" spans="1:78" x14ac:dyDescent="0.3">
      <c r="A61" s="1">
        <v>46100.871631944443</v>
      </c>
      <c r="B61" t="s">
        <v>187</v>
      </c>
      <c r="C61">
        <v>6</v>
      </c>
      <c r="D61" t="s">
        <v>95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164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165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160</v>
      </c>
      <c r="AH61">
        <v>40</v>
      </c>
      <c r="AI61">
        <v>120</v>
      </c>
      <c r="AJ61">
        <v>0.13304461023187009</v>
      </c>
      <c r="AK61">
        <v>25.314188478003189</v>
      </c>
      <c r="AL61">
        <v>0.6479387702000956</v>
      </c>
      <c r="AM61">
        <v>-0.61369962730864791</v>
      </c>
      <c r="AN61">
        <v>36.163845338408422</v>
      </c>
      <c r="AO61">
        <v>0.57594754606660092</v>
      </c>
      <c r="AP61">
        <v>36.163845338408422</v>
      </c>
      <c r="AQ61">
        <v>36.163845338408422</v>
      </c>
      <c r="AR61">
        <v>0.57594754606660092</v>
      </c>
      <c r="AS61">
        <v>117.5999024239522</v>
      </c>
      <c r="AT61">
        <v>-0.57617818440573132</v>
      </c>
      <c r="AU61">
        <v>0.8</v>
      </c>
      <c r="AV61" t="s">
        <v>93</v>
      </c>
      <c r="AW61">
        <v>8.041282644510872E-2</v>
      </c>
      <c r="AX61">
        <v>0.41609890955817558</v>
      </c>
      <c r="AY61">
        <v>8.041282644510872E-2</v>
      </c>
      <c r="AZ61">
        <v>8.041282644510872E-2</v>
      </c>
      <c r="BA61">
        <v>0.41609890955817558</v>
      </c>
      <c r="BB61">
        <v>0.2070928489136544</v>
      </c>
      <c r="BC61">
        <v>-0.50376184557982384</v>
      </c>
      <c r="BD61">
        <v>9.1410748866395164E-2</v>
      </c>
      <c r="BE61">
        <v>0.68328127886949486</v>
      </c>
      <c r="BF61">
        <v>9.1410748866395164E-2</v>
      </c>
      <c r="BG61">
        <v>9.1410748866395164E-2</v>
      </c>
      <c r="BH61">
        <v>0.68328127886949486</v>
      </c>
      <c r="BI61">
        <v>0.41305096034131078</v>
      </c>
      <c r="BJ61">
        <v>-0.4311333573279581</v>
      </c>
      <c r="BK61">
        <v>9.5807551309070718E-2</v>
      </c>
      <c r="BL61">
        <v>0.61536298560505831</v>
      </c>
      <c r="BM61">
        <v>9.5807551309070718E-2</v>
      </c>
      <c r="BN61">
        <v>9.5807551309070718E-2</v>
      </c>
      <c r="BO61">
        <v>0.61536298560505831</v>
      </c>
      <c r="BP61">
        <v>0.50668611358124638</v>
      </c>
      <c r="BQ61">
        <v>-1.034184480245822</v>
      </c>
      <c r="BR61">
        <v>144.3877502270133</v>
      </c>
      <c r="BS61">
        <v>0.58904701023367156</v>
      </c>
      <c r="BT61">
        <v>144.3877502270133</v>
      </c>
      <c r="BU61">
        <v>144.3877502270133</v>
      </c>
      <c r="BV61">
        <v>0.58904701023367156</v>
      </c>
      <c r="BW61">
        <v>469.27277977297189</v>
      </c>
      <c r="BX61">
        <v>-0.3356330544693169</v>
      </c>
      <c r="BY61" t="str">
        <f>SUBSTITUTE(TRIM(MID(SUBSTITUTE(SUBSTITUTE(SUBSTITUTE(Tabla1[[#This Row],[map]],"[",""),"]",""),",",REPT(" ",100)),1,300))," ",", ")</f>
        <v>3, 4, 2</v>
      </c>
      <c r="BZ61" t="str">
        <f>SUBSTITUTE(TRIM(MID(SUBSTITUTE(SUBSTITUTE(SUBSTITUTE(Tabla1[[#This Row],[map]],"[",""),"]",""),",",REPT(" ",100)),601,300))," ",", ")</f>
        <v>0, 1, 4</v>
      </c>
    </row>
    <row r="62" spans="1:78" x14ac:dyDescent="0.3">
      <c r="A62" s="1">
        <v>46100.964143518519</v>
      </c>
      <c r="B62" t="s">
        <v>188</v>
      </c>
      <c r="C62">
        <v>7</v>
      </c>
      <c r="D62" t="s">
        <v>95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161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162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160</v>
      </c>
      <c r="AH62">
        <v>40</v>
      </c>
      <c r="AI62">
        <v>120</v>
      </c>
      <c r="AJ62">
        <v>7.7815856185425192E-2</v>
      </c>
      <c r="AK62">
        <v>12.024451592572561</v>
      </c>
      <c r="AL62">
        <v>0.79080565481278531</v>
      </c>
      <c r="AM62">
        <v>-0.21370882728701529</v>
      </c>
      <c r="AN62">
        <v>15.97049355309848</v>
      </c>
      <c r="AO62">
        <v>0.72859447965005208</v>
      </c>
      <c r="AP62">
        <v>15.97049355309848</v>
      </c>
      <c r="AQ62">
        <v>15.97049355309848</v>
      </c>
      <c r="AR62">
        <v>0.72859447965005208</v>
      </c>
      <c r="AS62">
        <v>136.92530021789759</v>
      </c>
      <c r="AT62">
        <v>-0.21903577222439871</v>
      </c>
      <c r="AU62">
        <v>0.8</v>
      </c>
      <c r="AV62" t="s">
        <v>93</v>
      </c>
      <c r="AW62">
        <v>7.3161373598674515E-2</v>
      </c>
      <c r="AX62">
        <v>0.46875383305114232</v>
      </c>
      <c r="AY62">
        <v>7.3161373598674515E-2</v>
      </c>
      <c r="AZ62">
        <v>7.3161373598674515E-2</v>
      </c>
      <c r="BA62">
        <v>0.46875383305114232</v>
      </c>
      <c r="BB62">
        <v>0.15416447306615219</v>
      </c>
      <c r="BC62">
        <v>-0.11943340273162351</v>
      </c>
      <c r="BD62">
        <v>6.4922028305170132E-2</v>
      </c>
      <c r="BE62">
        <v>0.77505903809993792</v>
      </c>
      <c r="BF62">
        <v>6.4922028305170132E-2</v>
      </c>
      <c r="BG62">
        <v>6.4922028305170132E-2</v>
      </c>
      <c r="BH62">
        <v>0.77505903809993792</v>
      </c>
      <c r="BI62">
        <v>0.30771001676333593</v>
      </c>
      <c r="BJ62">
        <v>-6.614948676082677E-2</v>
      </c>
      <c r="BK62">
        <v>3.6892970303362548E-2</v>
      </c>
      <c r="BL62">
        <v>0.8518863935487816</v>
      </c>
      <c r="BM62">
        <v>3.6892970303362548E-2</v>
      </c>
      <c r="BN62">
        <v>3.6892970303362548E-2</v>
      </c>
      <c r="BO62">
        <v>0.8518863935487816</v>
      </c>
      <c r="BP62">
        <v>0.28241936599164907</v>
      </c>
      <c r="BQ62">
        <v>-0.13382442467304401</v>
      </c>
      <c r="BR62">
        <v>63.706997840186922</v>
      </c>
      <c r="BS62">
        <v>0.81867865390035177</v>
      </c>
      <c r="BT62">
        <v>63.706997840186922</v>
      </c>
      <c r="BU62">
        <v>63.706997840186922</v>
      </c>
      <c r="BV62">
        <v>0.81867865390035177</v>
      </c>
      <c r="BW62">
        <v>546.95690701577098</v>
      </c>
      <c r="BX62">
        <v>-0.55673577473210156</v>
      </c>
      <c r="BY62" t="str">
        <f>SUBSTITUTE(TRIM(MID(SUBSTITUTE(SUBSTITUTE(SUBSTITUTE(Tabla1[[#This Row],[map]],"[",""),"]",""),",",REPT(" ",100)),1,300))," ",", ")</f>
        <v>2, 3, 4</v>
      </c>
      <c r="BZ62" t="str">
        <f>SUBSTITUTE(TRIM(MID(SUBSTITUTE(SUBSTITUTE(SUBSTITUTE(Tabla1[[#This Row],[map]],"[",""),"]",""),",",REPT(" ",100)),601,300))," ",", ")</f>
        <v>1, 4, 0</v>
      </c>
    </row>
    <row r="63" spans="1:78" x14ac:dyDescent="0.3">
      <c r="A63" s="1">
        <v>46100.966736111113</v>
      </c>
      <c r="B63" t="s">
        <v>189</v>
      </c>
      <c r="C63">
        <v>7</v>
      </c>
      <c r="D63" t="s">
        <v>95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167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168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160</v>
      </c>
      <c r="AH63">
        <v>40</v>
      </c>
      <c r="AI63">
        <v>120</v>
      </c>
      <c r="AJ63">
        <v>9.8786306252516165E-2</v>
      </c>
      <c r="AK63">
        <v>11.393903909357039</v>
      </c>
      <c r="AL63">
        <v>0.75410442251586218</v>
      </c>
      <c r="AM63">
        <v>-0.44773999769570477</v>
      </c>
      <c r="AN63">
        <v>14.99287001295448</v>
      </c>
      <c r="AO63">
        <v>0.707831614980444</v>
      </c>
      <c r="AP63">
        <v>14.99287001295448</v>
      </c>
      <c r="AQ63">
        <v>14.99287001295448</v>
      </c>
      <c r="AR63">
        <v>0.707831614980444</v>
      </c>
      <c r="AS63">
        <v>134.61688853591761</v>
      </c>
      <c r="AT63">
        <v>-0.41497308957145962</v>
      </c>
      <c r="AU63">
        <v>0.8</v>
      </c>
      <c r="AV63" t="s">
        <v>93</v>
      </c>
      <c r="AW63">
        <v>8.4528010474506601E-2</v>
      </c>
      <c r="AX63">
        <v>0.38621735274243019</v>
      </c>
      <c r="AY63">
        <v>8.4528010474506601E-2</v>
      </c>
      <c r="AZ63">
        <v>8.4528010474506601E-2</v>
      </c>
      <c r="BA63">
        <v>0.38621735274243019</v>
      </c>
      <c r="BB63">
        <v>0.1422376047413785</v>
      </c>
      <c r="BC63">
        <v>-3.2828917747560922E-2</v>
      </c>
      <c r="BD63">
        <v>6.7288020658605147E-2</v>
      </c>
      <c r="BE63">
        <v>0.76686137992869008</v>
      </c>
      <c r="BF63">
        <v>6.7288020658605147E-2</v>
      </c>
      <c r="BG63">
        <v>6.7288020658605147E-2</v>
      </c>
      <c r="BH63">
        <v>0.76686137992869008</v>
      </c>
      <c r="BI63">
        <v>0.59396803477735993</v>
      </c>
      <c r="BJ63">
        <v>-1.057972379616317</v>
      </c>
      <c r="BK63">
        <v>3.7761988897606437E-2</v>
      </c>
      <c r="BL63">
        <v>0.84839755876512901</v>
      </c>
      <c r="BM63">
        <v>3.7761988897606437E-2</v>
      </c>
      <c r="BN63">
        <v>3.7761988897606437E-2</v>
      </c>
      <c r="BO63">
        <v>0.84839755876512901</v>
      </c>
      <c r="BP63">
        <v>0.25888706767018421</v>
      </c>
      <c r="BQ63">
        <v>-3.9349690223146487E-2</v>
      </c>
      <c r="BR63">
        <v>59.781902031787332</v>
      </c>
      <c r="BS63">
        <v>0.82985016848552273</v>
      </c>
      <c r="BT63">
        <v>59.781902031787332</v>
      </c>
      <c r="BU63">
        <v>59.781902031787332</v>
      </c>
      <c r="BV63">
        <v>0.82985016848552273</v>
      </c>
      <c r="BW63">
        <v>537.47246143648374</v>
      </c>
      <c r="BX63">
        <v>-0.52974137069882299</v>
      </c>
      <c r="BY63" t="str">
        <f>SUBSTITUTE(TRIM(MID(SUBSTITUTE(SUBSTITUTE(SUBSTITUTE(Tabla1[[#This Row],[map]],"[",""),"]",""),",",REPT(" ",100)),1,300))," ",", ")</f>
        <v>3, 4, 2</v>
      </c>
      <c r="BZ63" t="str">
        <f>SUBSTITUTE(TRIM(MID(SUBSTITUTE(SUBSTITUTE(SUBSTITUTE(Tabla1[[#This Row],[map]],"[",""),"]",""),",",REPT(" ",100)),601,300))," ",", ")</f>
        <v>1, 4, 0</v>
      </c>
    </row>
    <row r="64" spans="1:78" x14ac:dyDescent="0.3">
      <c r="A64" s="1">
        <v>46100.968738425923</v>
      </c>
      <c r="B64" t="s">
        <v>190</v>
      </c>
      <c r="C64">
        <v>7</v>
      </c>
      <c r="D64" t="s">
        <v>95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164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165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160</v>
      </c>
      <c r="AH64">
        <v>40</v>
      </c>
      <c r="AI64">
        <v>120</v>
      </c>
      <c r="AJ64">
        <v>0.1325767923550846</v>
      </c>
      <c r="AK64">
        <v>15.991806027925991</v>
      </c>
      <c r="AL64">
        <v>0.70038193194787124</v>
      </c>
      <c r="AM64">
        <v>-0.35416701816128371</v>
      </c>
      <c r="AN64">
        <v>24.536078202009531</v>
      </c>
      <c r="AO64">
        <v>0.64067789799952279</v>
      </c>
      <c r="AP64">
        <v>24.536078202009531</v>
      </c>
      <c r="AQ64">
        <v>24.536078202009531</v>
      </c>
      <c r="AR64">
        <v>0.64067789799952279</v>
      </c>
      <c r="AS64">
        <v>198.67241027262619</v>
      </c>
      <c r="AT64">
        <v>-0.27609001966392788</v>
      </c>
      <c r="AU64">
        <v>0.8</v>
      </c>
      <c r="AV64" t="s">
        <v>93</v>
      </c>
      <c r="AW64">
        <v>6.3947332974128773E-2</v>
      </c>
      <c r="AX64">
        <v>0.5356596813578185</v>
      </c>
      <c r="AY64">
        <v>6.3947332974128773E-2</v>
      </c>
      <c r="AZ64">
        <v>6.3947332974128773E-2</v>
      </c>
      <c r="BA64">
        <v>0.5356596813578185</v>
      </c>
      <c r="BB64">
        <v>0.12698321159049011</v>
      </c>
      <c r="BC64">
        <v>7.7937699825720519E-2</v>
      </c>
      <c r="BD64">
        <v>7.1036448229759047E-2</v>
      </c>
      <c r="BE64">
        <v>0.75387387899133984</v>
      </c>
      <c r="BF64">
        <v>7.1036448229759047E-2</v>
      </c>
      <c r="BG64">
        <v>7.1036448229759047E-2</v>
      </c>
      <c r="BH64">
        <v>0.75387387899133984</v>
      </c>
      <c r="BI64">
        <v>0.1852903047135977</v>
      </c>
      <c r="BJ64">
        <v>0.35800866884325139</v>
      </c>
      <c r="BK64">
        <v>0.11163715839843839</v>
      </c>
      <c r="BL64">
        <v>0.55181212007612213</v>
      </c>
      <c r="BM64">
        <v>0.11163715839843839</v>
      </c>
      <c r="BN64">
        <v>0.11163715839843839</v>
      </c>
      <c r="BO64">
        <v>0.55181212007612213</v>
      </c>
      <c r="BP64">
        <v>0.31889836507518038</v>
      </c>
      <c r="BQ64">
        <v>-0.28027606761652518</v>
      </c>
      <c r="BR64">
        <v>97.897691868435643</v>
      </c>
      <c r="BS64">
        <v>0.72136591157281171</v>
      </c>
      <c r="BT64">
        <v>97.897691868435643</v>
      </c>
      <c r="BU64">
        <v>97.897691868435643</v>
      </c>
      <c r="BV64">
        <v>0.72136591157281171</v>
      </c>
      <c r="BW64">
        <v>794.05846920912586</v>
      </c>
      <c r="BX64">
        <v>-1.2600303797081629</v>
      </c>
      <c r="BY64" t="str">
        <f>SUBSTITUTE(TRIM(MID(SUBSTITUTE(SUBSTITUTE(SUBSTITUTE(Tabla1[[#This Row],[map]],"[",""),"]",""),",",REPT(" ",100)),1,300))," ",", ")</f>
        <v>3, 4, 2</v>
      </c>
      <c r="BZ64" t="str">
        <f>SUBSTITUTE(TRIM(MID(SUBSTITUTE(SUBSTITUTE(SUBSTITUTE(Tabla1[[#This Row],[map]],"[",""),"]",""),",",REPT(" ",100)),601,300))," ",", ")</f>
        <v>0, 1, 4</v>
      </c>
    </row>
    <row r="65" spans="1:78" x14ac:dyDescent="0.3">
      <c r="A65" s="1">
        <v>46101.060104166667</v>
      </c>
      <c r="B65" t="s">
        <v>191</v>
      </c>
      <c r="C65">
        <v>8</v>
      </c>
      <c r="D65" t="s">
        <v>95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161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162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160</v>
      </c>
      <c r="AH65">
        <v>40</v>
      </c>
      <c r="AI65">
        <v>120</v>
      </c>
      <c r="AJ65">
        <v>9.4881515711234349E-2</v>
      </c>
      <c r="AK65">
        <v>9.4310473419318086</v>
      </c>
      <c r="AL65">
        <v>0.77434288154566278</v>
      </c>
      <c r="AM65">
        <v>-8.3936477843008978E-2</v>
      </c>
      <c r="AN65">
        <v>14.880756193460289</v>
      </c>
      <c r="AO65">
        <v>0.74978906095686881</v>
      </c>
      <c r="AP65">
        <v>14.880756193460289</v>
      </c>
      <c r="AQ65">
        <v>14.880756193460289</v>
      </c>
      <c r="AR65">
        <v>0.74978906095686881</v>
      </c>
      <c r="AS65">
        <v>108.5299242930589</v>
      </c>
      <c r="AT65">
        <v>9.8725069432453738E-4</v>
      </c>
      <c r="AU65">
        <v>0.8</v>
      </c>
      <c r="AV65" t="s">
        <v>93</v>
      </c>
      <c r="AW65">
        <v>6.0507330913955958E-2</v>
      </c>
      <c r="AX65">
        <v>0.56063854409469993</v>
      </c>
      <c r="AY65">
        <v>6.0507330913955958E-2</v>
      </c>
      <c r="AZ65">
        <v>6.0507330913955958E-2</v>
      </c>
      <c r="BA65">
        <v>0.56063854409469993</v>
      </c>
      <c r="BB65">
        <v>0.17910578005788541</v>
      </c>
      <c r="BC65">
        <v>-0.30053953956737378</v>
      </c>
      <c r="BD65">
        <v>4.9537396389767632E-2</v>
      </c>
      <c r="BE65">
        <v>0.82836350180618723</v>
      </c>
      <c r="BF65">
        <v>4.9537396389767632E-2</v>
      </c>
      <c r="BG65">
        <v>4.9537396389767632E-2</v>
      </c>
      <c r="BH65">
        <v>0.82836350180618723</v>
      </c>
      <c r="BI65">
        <v>0.27472633502985983</v>
      </c>
      <c r="BJ65">
        <v>4.8131925724598901E-2</v>
      </c>
      <c r="BK65">
        <v>5.5023660943899377E-2</v>
      </c>
      <c r="BL65">
        <v>0.77909740539901184</v>
      </c>
      <c r="BM65">
        <v>5.5023660943899377E-2</v>
      </c>
      <c r="BN65">
        <v>5.5023660943899377E-2</v>
      </c>
      <c r="BO65">
        <v>0.77909740539901184</v>
      </c>
      <c r="BP65">
        <v>0.12696274018977571</v>
      </c>
      <c r="BQ65">
        <v>0.49028475669461619</v>
      </c>
      <c r="BR65">
        <v>59.357956385593617</v>
      </c>
      <c r="BS65">
        <v>0.83105679252757481</v>
      </c>
      <c r="BT65">
        <v>59.357956385593617</v>
      </c>
      <c r="BU65">
        <v>59.357956385593617</v>
      </c>
      <c r="BV65">
        <v>0.83105679252757481</v>
      </c>
      <c r="BW65">
        <v>433.53890231695959</v>
      </c>
      <c r="BX65">
        <v>-0.23392814007454679</v>
      </c>
      <c r="BY65" t="str">
        <f>SUBSTITUTE(TRIM(MID(SUBSTITUTE(SUBSTITUTE(SUBSTITUTE(Tabla1[[#This Row],[map]],"[",""),"]",""),",",REPT(" ",100)),1,300))," ",", ")</f>
        <v>2, 3, 4</v>
      </c>
      <c r="BZ65" t="str">
        <f>SUBSTITUTE(TRIM(MID(SUBSTITUTE(SUBSTITUTE(SUBSTITUTE(Tabla1[[#This Row],[map]],"[",""),"]",""),",",REPT(" ",100)),601,300))," ",", ")</f>
        <v>1, 4, 0</v>
      </c>
    </row>
    <row r="66" spans="1:78" x14ac:dyDescent="0.3">
      <c r="A66" s="1">
        <v>46101.063518518517</v>
      </c>
      <c r="B66" t="s">
        <v>192</v>
      </c>
      <c r="C66">
        <v>8</v>
      </c>
      <c r="D66" t="s">
        <v>77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167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168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160</v>
      </c>
      <c r="AH66">
        <v>40</v>
      </c>
      <c r="AI66">
        <v>120</v>
      </c>
      <c r="AJ66">
        <v>0.1134657462132253</v>
      </c>
      <c r="AK66">
        <v>13.684271806658201</v>
      </c>
      <c r="AL66">
        <v>0.66908022468521933</v>
      </c>
      <c r="AM66">
        <v>-0.10577246174281391</v>
      </c>
      <c r="AN66">
        <v>22.457824876929479</v>
      </c>
      <c r="AO66">
        <v>0.63955932678068061</v>
      </c>
      <c r="AP66">
        <v>22.457824876929479</v>
      </c>
      <c r="AQ66">
        <v>22.457824876929479</v>
      </c>
      <c r="AR66">
        <v>0.63955932678068061</v>
      </c>
      <c r="AS66">
        <v>114.61128320164779</v>
      </c>
      <c r="AT66">
        <v>-0.2005015546606409</v>
      </c>
      <c r="AU66">
        <v>0.8</v>
      </c>
      <c r="AV66" t="s">
        <v>93</v>
      </c>
      <c r="AW66">
        <v>9.7806385486319494E-2</v>
      </c>
      <c r="AX66">
        <v>0.28979918176835628</v>
      </c>
      <c r="AY66">
        <v>9.7806385486319494E-2</v>
      </c>
      <c r="AZ66">
        <v>9.7806385486319494E-2</v>
      </c>
      <c r="BA66">
        <v>0.28979918176835628</v>
      </c>
      <c r="BB66">
        <v>0.1175937088183376</v>
      </c>
      <c r="BC66">
        <v>0.14611763018930371</v>
      </c>
      <c r="BD66">
        <v>6.8437555065317998E-2</v>
      </c>
      <c r="BE66">
        <v>0.76287848872930009</v>
      </c>
      <c r="BF66">
        <v>6.8437555065317998E-2</v>
      </c>
      <c r="BG66">
        <v>6.8437555065317998E-2</v>
      </c>
      <c r="BH66">
        <v>0.76287848872930009</v>
      </c>
      <c r="BI66">
        <v>0.34739794737696439</v>
      </c>
      <c r="BJ66">
        <v>-0.20365968970902371</v>
      </c>
      <c r="BK66">
        <v>5.9632975614383563E-2</v>
      </c>
      <c r="BL66">
        <v>0.76059246493202814</v>
      </c>
      <c r="BM66">
        <v>5.9632975614383563E-2</v>
      </c>
      <c r="BN66">
        <v>5.9632975614383563E-2</v>
      </c>
      <c r="BO66">
        <v>0.76059246493202814</v>
      </c>
      <c r="BP66">
        <v>0.35918003583144631</v>
      </c>
      <c r="BQ66">
        <v>-0.44199423453374242</v>
      </c>
      <c r="BR66">
        <v>89.605422591551473</v>
      </c>
      <c r="BS66">
        <v>0.74496717169304505</v>
      </c>
      <c r="BT66">
        <v>89.605422591551473</v>
      </c>
      <c r="BU66">
        <v>89.605422591551473</v>
      </c>
      <c r="BV66">
        <v>0.74496717169304505</v>
      </c>
      <c r="BW66">
        <v>457.62096111456549</v>
      </c>
      <c r="BX66">
        <v>-0.30246992458912492</v>
      </c>
      <c r="BY66" t="str">
        <f>SUBSTITUTE(TRIM(MID(SUBSTITUTE(SUBSTITUTE(SUBSTITUTE(Tabla1[[#This Row],[map]],"[",""),"]",""),",",REPT(" ",100)),1,300))," ",", ")</f>
        <v>3, 4, 2</v>
      </c>
      <c r="BZ66" t="str">
        <f>SUBSTITUTE(TRIM(MID(SUBSTITUTE(SUBSTITUTE(SUBSTITUTE(Tabla1[[#This Row],[map]],"[",""),"]",""),",",REPT(" ",100)),601,300))," ",", ")</f>
        <v>1, 4, 0</v>
      </c>
    </row>
    <row r="67" spans="1:78" x14ac:dyDescent="0.3">
      <c r="A67" s="1">
        <v>46101.067476851851</v>
      </c>
      <c r="B67" t="s">
        <v>193</v>
      </c>
      <c r="C67">
        <v>8</v>
      </c>
      <c r="D67" t="s">
        <v>95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164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165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160</v>
      </c>
      <c r="AH67">
        <v>40</v>
      </c>
      <c r="AI67">
        <v>120</v>
      </c>
      <c r="AJ67">
        <v>0.1361954617466139</v>
      </c>
      <c r="AK67">
        <v>22.248770601420091</v>
      </c>
      <c r="AL67">
        <v>0.64055852428738036</v>
      </c>
      <c r="AM67">
        <v>0.11074658726875281</v>
      </c>
      <c r="AN67">
        <v>38.527574728466391</v>
      </c>
      <c r="AO67">
        <v>0.5537751402216704</v>
      </c>
      <c r="AP67">
        <v>38.527574728466391</v>
      </c>
      <c r="AQ67">
        <v>38.527574728466391</v>
      </c>
      <c r="AR67">
        <v>0.5537751402216704</v>
      </c>
      <c r="AS67">
        <v>83.460642059114917</v>
      </c>
      <c r="AT67">
        <v>0.1075470124742287</v>
      </c>
      <c r="AU67">
        <v>0.8</v>
      </c>
      <c r="AV67" t="s">
        <v>93</v>
      </c>
      <c r="AW67">
        <v>8.1321430331290107E-2</v>
      </c>
      <c r="AX67">
        <v>0.40950127055734858</v>
      </c>
      <c r="AY67">
        <v>8.1321430331290107E-2</v>
      </c>
      <c r="AZ67">
        <v>8.1321430331290107E-2</v>
      </c>
      <c r="BA67">
        <v>0.40950127055734858</v>
      </c>
      <c r="BB67">
        <v>0.14044589711814809</v>
      </c>
      <c r="BC67">
        <v>-1.9818803799243501E-2</v>
      </c>
      <c r="BD67">
        <v>8.5474943898886088E-2</v>
      </c>
      <c r="BE67">
        <v>0.70384757530075293</v>
      </c>
      <c r="BF67">
        <v>8.5474943898886088E-2</v>
      </c>
      <c r="BG67">
        <v>8.5474943898886088E-2</v>
      </c>
      <c r="BH67">
        <v>0.70384757530075293</v>
      </c>
      <c r="BI67">
        <v>0.20605874031195329</v>
      </c>
      <c r="BJ67">
        <v>0.28605047525918609</v>
      </c>
      <c r="BK67">
        <v>0.11468508810162351</v>
      </c>
      <c r="BL67">
        <v>0.53957564638380495</v>
      </c>
      <c r="BM67">
        <v>0.11468508810162351</v>
      </c>
      <c r="BN67">
        <v>0.11468508810162351</v>
      </c>
      <c r="BO67">
        <v>0.53957564638380495</v>
      </c>
      <c r="BP67">
        <v>0.22105955965876259</v>
      </c>
      <c r="BQ67">
        <v>0.1125157895298714</v>
      </c>
      <c r="BR67">
        <v>153.82881745153381</v>
      </c>
      <c r="BS67">
        <v>0.56217606864477965</v>
      </c>
      <c r="BT67">
        <v>153.82881745153381</v>
      </c>
      <c r="BU67">
        <v>153.82881745153381</v>
      </c>
      <c r="BV67">
        <v>0.56217606864477965</v>
      </c>
      <c r="BW67">
        <v>333.27500403937</v>
      </c>
      <c r="BX67">
        <v>5.1440588907101459E-2</v>
      </c>
      <c r="BY67" t="str">
        <f>SUBSTITUTE(TRIM(MID(SUBSTITUTE(SUBSTITUTE(SUBSTITUTE(Tabla1[[#This Row],[map]],"[",""),"]",""),",",REPT(" ",100)),1,300))," ",", ")</f>
        <v>3, 4, 2</v>
      </c>
      <c r="BZ67" t="str">
        <f>SUBSTITUTE(TRIM(MID(SUBSTITUTE(SUBSTITUTE(SUBSTITUTE(Tabla1[[#This Row],[map]],"[",""),"]",""),",",REPT(" ",100)),601,300))," ",", ")</f>
        <v>0, 1, 4</v>
      </c>
    </row>
    <row r="68" spans="1:78" x14ac:dyDescent="0.3">
      <c r="A68" s="1">
        <v>46101.155659722222</v>
      </c>
      <c r="B68" t="s">
        <v>194</v>
      </c>
      <c r="C68">
        <v>9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161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162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160</v>
      </c>
      <c r="AH68">
        <v>40</v>
      </c>
      <c r="AI68">
        <v>120</v>
      </c>
      <c r="AJ68">
        <v>8.593418608082623E-2</v>
      </c>
      <c r="AK68">
        <v>7.6784036815388133</v>
      </c>
      <c r="AL68">
        <v>0.82836370625765066</v>
      </c>
      <c r="AM68">
        <v>0.14683390671686511</v>
      </c>
      <c r="AN68">
        <v>12.30772013412383</v>
      </c>
      <c r="AO68">
        <v>0.79122302403161515</v>
      </c>
      <c r="AP68">
        <v>12.30772013412383</v>
      </c>
      <c r="AQ68">
        <v>12.30772013412383</v>
      </c>
      <c r="AR68">
        <v>0.79122302403161515</v>
      </c>
      <c r="AS68">
        <v>98.478721737514746</v>
      </c>
      <c r="AT68">
        <v>-2.0635236461810921E-2</v>
      </c>
      <c r="AU68">
        <v>0.8</v>
      </c>
      <c r="AV68" t="s">
        <v>93</v>
      </c>
      <c r="AW68">
        <v>5.296289303670651E-2</v>
      </c>
      <c r="AX68">
        <v>0.61542091772888163</v>
      </c>
      <c r="AY68">
        <v>5.296289303670651E-2</v>
      </c>
      <c r="AZ68">
        <v>5.296289303670651E-2</v>
      </c>
      <c r="BA68">
        <v>0.61542091772888163</v>
      </c>
      <c r="BB68">
        <v>0.2111631001846587</v>
      </c>
      <c r="BC68">
        <v>-0.53331713247343893</v>
      </c>
      <c r="BD68">
        <v>4.9682778493104512E-2</v>
      </c>
      <c r="BE68">
        <v>0.82785978386912695</v>
      </c>
      <c r="BF68">
        <v>4.9682778493104512E-2</v>
      </c>
      <c r="BG68">
        <v>4.9682778493104512E-2</v>
      </c>
      <c r="BH68">
        <v>0.82785978386912695</v>
      </c>
      <c r="BI68">
        <v>0.20652559699699069</v>
      </c>
      <c r="BJ68">
        <v>0.28443291655772102</v>
      </c>
      <c r="BK68">
        <v>3.4538035995965617E-2</v>
      </c>
      <c r="BL68">
        <v>0.86134070992277301</v>
      </c>
      <c r="BM68">
        <v>3.4538035995965617E-2</v>
      </c>
      <c r="BN68">
        <v>3.4538035995965617E-2</v>
      </c>
      <c r="BO68">
        <v>0.86134070992277301</v>
      </c>
      <c r="BP68">
        <v>0.17789711928249921</v>
      </c>
      <c r="BQ68">
        <v>0.28579933527846069</v>
      </c>
      <c r="BR68">
        <v>49.093696828969563</v>
      </c>
      <c r="BS68">
        <v>0.86027068460567924</v>
      </c>
      <c r="BT68">
        <v>49.093696828969563</v>
      </c>
      <c r="BU68">
        <v>49.093696828969563</v>
      </c>
      <c r="BV68">
        <v>0.86027068460567924</v>
      </c>
      <c r="BW68">
        <v>393.3193011335959</v>
      </c>
      <c r="BX68">
        <v>-0.1194560652099825</v>
      </c>
      <c r="BY68" t="str">
        <f>SUBSTITUTE(TRIM(MID(SUBSTITUTE(SUBSTITUTE(SUBSTITUTE(Tabla1[[#This Row],[map]],"[",""),"]",""),",",REPT(" ",100)),1,300))," ",", ")</f>
        <v>2, 3, 4</v>
      </c>
      <c r="BZ68" t="str">
        <f>SUBSTITUTE(TRIM(MID(SUBSTITUTE(SUBSTITUTE(SUBSTITUTE(Tabla1[[#This Row],[map]],"[",""),"]",""),",",REPT(" ",100)),601,300))," ",", ")</f>
        <v>1, 4, 0</v>
      </c>
    </row>
    <row r="69" spans="1:78" x14ac:dyDescent="0.3">
      <c r="A69" s="1">
        <v>46101.160092592603</v>
      </c>
      <c r="B69" t="s">
        <v>195</v>
      </c>
      <c r="C69">
        <v>9</v>
      </c>
      <c r="D69" t="s">
        <v>95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167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168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160</v>
      </c>
      <c r="AH69">
        <v>40</v>
      </c>
      <c r="AI69">
        <v>120</v>
      </c>
      <c r="AJ69">
        <v>0.1008377197994392</v>
      </c>
      <c r="AK69">
        <v>8.1551134322014711</v>
      </c>
      <c r="AL69">
        <v>0.80364554018025736</v>
      </c>
      <c r="AM69">
        <v>-0.30533945677351398</v>
      </c>
      <c r="AN69">
        <v>12.7521039444577</v>
      </c>
      <c r="AO69">
        <v>0.74650253507842712</v>
      </c>
      <c r="AP69">
        <v>12.7521039444577</v>
      </c>
      <c r="AQ69">
        <v>12.7521039444577</v>
      </c>
      <c r="AR69">
        <v>0.74650253507842712</v>
      </c>
      <c r="AS69">
        <v>107.7957254400624</v>
      </c>
      <c r="AT69">
        <v>-0.30624478132685901</v>
      </c>
      <c r="AU69">
        <v>0.8</v>
      </c>
      <c r="AV69" t="s">
        <v>93</v>
      </c>
      <c r="AW69">
        <v>7.4625262033020834E-2</v>
      </c>
      <c r="AX69">
        <v>0.45812411027074151</v>
      </c>
      <c r="AY69">
        <v>7.4625262033020834E-2</v>
      </c>
      <c r="AZ69">
        <v>7.4625262033020834E-2</v>
      </c>
      <c r="BA69">
        <v>0.45812411027074151</v>
      </c>
      <c r="BB69">
        <v>0.17040809415580341</v>
      </c>
      <c r="BC69">
        <v>-0.2373830941710304</v>
      </c>
      <c r="BD69">
        <v>5.6494477040852739E-2</v>
      </c>
      <c r="BE69">
        <v>0.8042587032574523</v>
      </c>
      <c r="BF69">
        <v>5.6494477040852739E-2</v>
      </c>
      <c r="BG69">
        <v>5.6494477040852739E-2</v>
      </c>
      <c r="BH69">
        <v>0.8042587032574523</v>
      </c>
      <c r="BI69">
        <v>0.41808673526419438</v>
      </c>
      <c r="BJ69">
        <v>-0.44858124188481557</v>
      </c>
      <c r="BK69">
        <v>3.2794678084906513E-2</v>
      </c>
      <c r="BL69">
        <v>0.86833974050824736</v>
      </c>
      <c r="BM69">
        <v>3.2794678084906513E-2</v>
      </c>
      <c r="BN69">
        <v>3.2794678084906513E-2</v>
      </c>
      <c r="BO69">
        <v>0.86833974050824736</v>
      </c>
      <c r="BP69">
        <v>0.3273979055627716</v>
      </c>
      <c r="BQ69">
        <v>-0.31439903425335741</v>
      </c>
      <c r="BR69">
        <v>50.844501360671899</v>
      </c>
      <c r="BS69">
        <v>0.85528758627726642</v>
      </c>
      <c r="BT69">
        <v>50.844501360671899</v>
      </c>
      <c r="BU69">
        <v>50.844501360671899</v>
      </c>
      <c r="BV69">
        <v>0.85528758627726642</v>
      </c>
      <c r="BW69">
        <v>430.26700902526699</v>
      </c>
      <c r="BX69">
        <v>-0.22461575499822661</v>
      </c>
      <c r="BY69" t="str">
        <f>SUBSTITUTE(TRIM(MID(SUBSTITUTE(SUBSTITUTE(SUBSTITUTE(Tabla1[[#This Row],[map]],"[",""),"]",""),",",REPT(" ",100)),1,300))," ",", ")</f>
        <v>3, 4, 2</v>
      </c>
      <c r="BZ69" t="str">
        <f>SUBSTITUTE(TRIM(MID(SUBSTITUTE(SUBSTITUTE(SUBSTITUTE(Tabla1[[#This Row],[map]],"[",""),"]",""),",",REPT(" ",100)),601,300))," ",", ")</f>
        <v>1, 4, 0</v>
      </c>
    </row>
    <row r="70" spans="1:78" x14ac:dyDescent="0.3">
      <c r="A70" s="1">
        <v>46101.165625000001</v>
      </c>
      <c r="B70" t="s">
        <v>196</v>
      </c>
      <c r="C70">
        <v>9</v>
      </c>
      <c r="D70" t="s">
        <v>95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164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165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160</v>
      </c>
      <c r="AH70">
        <v>40</v>
      </c>
      <c r="AI70">
        <v>120</v>
      </c>
      <c r="AJ70">
        <v>0.13028882632565039</v>
      </c>
      <c r="AK70">
        <v>15.465369051756779</v>
      </c>
      <c r="AL70">
        <v>0.66133080097454888</v>
      </c>
      <c r="AM70">
        <v>-0.20919948349734979</v>
      </c>
      <c r="AN70">
        <v>32.784886168570992</v>
      </c>
      <c r="AO70">
        <v>0.54893057116752109</v>
      </c>
      <c r="AP70">
        <v>32.784886168570992</v>
      </c>
      <c r="AQ70">
        <v>32.784886168570992</v>
      </c>
      <c r="AR70">
        <v>0.54893057116752109</v>
      </c>
      <c r="AS70">
        <v>118.57664475636</v>
      </c>
      <c r="AT70">
        <v>-0.13074473786991889</v>
      </c>
      <c r="AU70">
        <v>0.8</v>
      </c>
      <c r="AV70" t="s">
        <v>93</v>
      </c>
      <c r="AW70">
        <v>9.1616927631470488E-2</v>
      </c>
      <c r="AX70">
        <v>0.33474264850692498</v>
      </c>
      <c r="AY70">
        <v>9.1616927631470488E-2</v>
      </c>
      <c r="AZ70">
        <v>9.1616927631470488E-2</v>
      </c>
      <c r="BA70">
        <v>0.33474264850692498</v>
      </c>
      <c r="BB70">
        <v>0.13153456436952751</v>
      </c>
      <c r="BC70">
        <v>4.4888993939484312E-2</v>
      </c>
      <c r="BD70">
        <v>5.0997328868731193E-2</v>
      </c>
      <c r="BE70">
        <v>0.8233051475818931</v>
      </c>
      <c r="BF70">
        <v>5.0997328868731193E-2</v>
      </c>
      <c r="BG70">
        <v>5.0997328868731193E-2</v>
      </c>
      <c r="BH70">
        <v>0.8233051475818931</v>
      </c>
      <c r="BI70">
        <v>0.31491343388739301</v>
      </c>
      <c r="BJ70">
        <v>-9.1107788575370385E-2</v>
      </c>
      <c r="BK70">
        <v>0.14693644798744609</v>
      </c>
      <c r="BL70">
        <v>0.41009663760879289</v>
      </c>
      <c r="BM70">
        <v>0.14693644798744609</v>
      </c>
      <c r="BN70">
        <v>0.14693644798744609</v>
      </c>
      <c r="BO70">
        <v>0.41009663760879289</v>
      </c>
      <c r="BP70">
        <v>0.28118553802694379</v>
      </c>
      <c r="BQ70">
        <v>-0.12887099565688789</v>
      </c>
      <c r="BR70">
        <v>130.84999396979629</v>
      </c>
      <c r="BS70">
        <v>0.62757785097247476</v>
      </c>
      <c r="BT70">
        <v>130.84999396979629</v>
      </c>
      <c r="BU70">
        <v>130.84999396979629</v>
      </c>
      <c r="BV70">
        <v>0.62757785097247476</v>
      </c>
      <c r="BW70">
        <v>473.57894548915391</v>
      </c>
      <c r="BX70">
        <v>-0.34788916118690172</v>
      </c>
      <c r="BY70" t="str">
        <f>SUBSTITUTE(TRIM(MID(SUBSTITUTE(SUBSTITUTE(SUBSTITUTE(Tabla1[[#This Row],[map]],"[",""),"]",""),",",REPT(" ",100)),1,300))," ",", ")</f>
        <v>3, 4, 2</v>
      </c>
      <c r="BZ70" t="str">
        <f>SUBSTITUTE(TRIM(MID(SUBSTITUTE(SUBSTITUTE(SUBSTITUTE(Tabla1[[#This Row],[map]],"[",""),"]",""),",",REPT(" ",100)),601,300))," ",", ")</f>
        <v>0, 1, 4</v>
      </c>
    </row>
    <row r="71" spans="1:78" x14ac:dyDescent="0.3">
      <c r="A71" s="1">
        <v>46101.430439814823</v>
      </c>
      <c r="B71" t="s">
        <v>197</v>
      </c>
      <c r="C71">
        <v>3</v>
      </c>
      <c r="D71" t="s">
        <v>95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161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162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160</v>
      </c>
      <c r="AH71">
        <v>40</v>
      </c>
      <c r="AI71">
        <v>120</v>
      </c>
      <c r="AJ71">
        <v>9.7784041639561878E-2</v>
      </c>
      <c r="AK71">
        <v>14.422980848629679</v>
      </c>
      <c r="AL71">
        <v>0.77778767990865105</v>
      </c>
      <c r="AM71">
        <v>0.14197253484814079</v>
      </c>
      <c r="AN71">
        <v>17.9926370330409</v>
      </c>
      <c r="AO71">
        <v>0.73455659367161918</v>
      </c>
      <c r="AP71">
        <v>17.9926370330409</v>
      </c>
      <c r="AQ71">
        <v>17.9926370330409</v>
      </c>
      <c r="AR71">
        <v>0.73455659367161918</v>
      </c>
      <c r="AS71">
        <v>90.739933187346281</v>
      </c>
      <c r="AT71">
        <v>0.15693250629997141</v>
      </c>
      <c r="AU71">
        <v>0.8</v>
      </c>
      <c r="AV71" t="s">
        <v>93</v>
      </c>
      <c r="AW71">
        <v>6.6188026342499942E-2</v>
      </c>
      <c r="AX71">
        <v>0.51938935037982725</v>
      </c>
      <c r="AY71">
        <v>6.6188026342499942E-2</v>
      </c>
      <c r="AZ71">
        <v>6.6188026342499942E-2</v>
      </c>
      <c r="BA71">
        <v>0.51938935037982725</v>
      </c>
      <c r="BB71">
        <v>0.1404463813769225</v>
      </c>
      <c r="BC71">
        <v>-1.9822320144071929E-2</v>
      </c>
      <c r="BD71">
        <v>7.0523224222633407E-2</v>
      </c>
      <c r="BE71">
        <v>0.75565209056061478</v>
      </c>
      <c r="BF71">
        <v>7.0523224222633407E-2</v>
      </c>
      <c r="BG71">
        <v>7.0523224222633407E-2</v>
      </c>
      <c r="BH71">
        <v>0.75565209056061478</v>
      </c>
      <c r="BI71">
        <v>0.1903207877666839</v>
      </c>
      <c r="BJ71">
        <v>0.34057911948499392</v>
      </c>
      <c r="BK71">
        <v>3.2993186520255083E-2</v>
      </c>
      <c r="BL71">
        <v>0.86754279192891892</v>
      </c>
      <c r="BM71">
        <v>3.2993186520255083E-2</v>
      </c>
      <c r="BN71">
        <v>3.2993186520255083E-2</v>
      </c>
      <c r="BO71">
        <v>0.86754279192891892</v>
      </c>
      <c r="BP71">
        <v>0.1647426672698408</v>
      </c>
      <c r="BQ71">
        <v>0.33861029933105519</v>
      </c>
      <c r="BR71">
        <v>71.800843695078314</v>
      </c>
      <c r="BS71">
        <v>0.79564214181711879</v>
      </c>
      <c r="BT71">
        <v>71.800843695078314</v>
      </c>
      <c r="BU71">
        <v>71.800843695078314</v>
      </c>
      <c r="BV71">
        <v>0.79564214181711879</v>
      </c>
      <c r="BW71">
        <v>362.4642229129704</v>
      </c>
      <c r="BX71">
        <v>-3.1637073472082999E-2</v>
      </c>
      <c r="BY71" t="str">
        <f>SUBSTITUTE(TRIM(MID(SUBSTITUTE(SUBSTITUTE(SUBSTITUTE(Tabla1[[#This Row],[map]],"[",""),"]",""),",",REPT(" ",100)),1,300))," ",", ")</f>
        <v>2, 3, 4</v>
      </c>
      <c r="BZ71" t="str">
        <f>SUBSTITUTE(TRIM(MID(SUBSTITUTE(SUBSTITUTE(SUBSTITUTE(Tabla1[[#This Row],[map]],"[",""),"]",""),",",REPT(" ",100)),601,300))," ",", ")</f>
        <v>1, 4, 0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146D-29C0-49CD-841B-1483093DC05A}">
  <dimension ref="A3:N11"/>
  <sheetViews>
    <sheetView zoomScale="106" workbookViewId="0">
      <selection activeCell="B18" sqref="B18"/>
    </sheetView>
  </sheetViews>
  <sheetFormatPr baseColWidth="10" defaultRowHeight="14.4" x14ac:dyDescent="0.3"/>
  <cols>
    <col min="1" max="1" width="32.44140625" bestFit="1" customWidth="1"/>
    <col min="2" max="2" width="30.5546875" bestFit="1" customWidth="1"/>
    <col min="3" max="3" width="31.33203125" bestFit="1" customWidth="1"/>
    <col min="4" max="4" width="26.6640625" bestFit="1" customWidth="1"/>
    <col min="5" max="5" width="27.77734375" bestFit="1" customWidth="1"/>
    <col min="6" max="6" width="40.6640625" bestFit="1" customWidth="1"/>
    <col min="7" max="7" width="40.21875" bestFit="1" customWidth="1"/>
    <col min="8" max="8" width="36" bestFit="1" customWidth="1"/>
    <col min="9" max="9" width="36.88671875" bestFit="1" customWidth="1"/>
    <col min="10" max="10" width="41.6640625" bestFit="1" customWidth="1"/>
    <col min="11" max="11" width="41.21875" bestFit="1" customWidth="1"/>
    <col min="12" max="12" width="36.88671875" bestFit="1" customWidth="1"/>
    <col min="13" max="13" width="38" bestFit="1" customWidth="1"/>
    <col min="14" max="14" width="19" bestFit="1" customWidth="1"/>
  </cols>
  <sheetData>
    <row r="3" spans="1:14" x14ac:dyDescent="0.3">
      <c r="A3" s="3" t="s">
        <v>140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150</v>
      </c>
      <c r="H3" t="s">
        <v>151</v>
      </c>
      <c r="I3" t="s">
        <v>152</v>
      </c>
      <c r="J3" t="s">
        <v>153</v>
      </c>
      <c r="K3" t="s">
        <v>147</v>
      </c>
      <c r="L3" t="s">
        <v>148</v>
      </c>
      <c r="M3" t="s">
        <v>149</v>
      </c>
      <c r="N3" t="s">
        <v>177</v>
      </c>
    </row>
    <row r="4" spans="1:14" x14ac:dyDescent="0.3">
      <c r="A4" s="4" t="s">
        <v>162</v>
      </c>
      <c r="B4">
        <v>0.79837269126723109</v>
      </c>
      <c r="C4">
        <v>4.6446011319165557E-2</v>
      </c>
      <c r="D4">
        <v>0.74268367978391958</v>
      </c>
      <c r="E4">
        <v>4.1188565334818487E-3</v>
      </c>
      <c r="F4">
        <v>0.51768219140644511</v>
      </c>
      <c r="G4">
        <v>0.78349244936806539</v>
      </c>
      <c r="H4">
        <v>0.8486063469408418</v>
      </c>
      <c r="I4">
        <v>0.8209537314203269</v>
      </c>
      <c r="J4">
        <v>-0.14348846168219995</v>
      </c>
      <c r="K4">
        <v>0.14825071540850893</v>
      </c>
      <c r="L4">
        <v>0.18220800403544474</v>
      </c>
      <c r="M4">
        <v>-0.17049483162782558</v>
      </c>
      <c r="N4">
        <v>10</v>
      </c>
    </row>
    <row r="5" spans="1:14" x14ac:dyDescent="0.3">
      <c r="A5" s="4" t="s">
        <v>168</v>
      </c>
      <c r="B5">
        <v>0.72318304464432115</v>
      </c>
      <c r="C5">
        <v>-0.10407117936523416</v>
      </c>
      <c r="D5">
        <v>0.6825815648175021</v>
      </c>
      <c r="E5">
        <v>-0.12866168371564252</v>
      </c>
      <c r="F5">
        <v>0.34624863362482539</v>
      </c>
      <c r="G5">
        <v>0.74056275684539075</v>
      </c>
      <c r="H5">
        <v>0.83658886815315425</v>
      </c>
      <c r="I5">
        <v>0.80692600064663866</v>
      </c>
      <c r="J5">
        <v>2.9307194582333745E-3</v>
      </c>
      <c r="K5">
        <v>-0.10860595004750302</v>
      </c>
      <c r="L5">
        <v>-0.14377723532911596</v>
      </c>
      <c r="M5">
        <v>-0.26519426894418691</v>
      </c>
      <c r="N5">
        <v>10</v>
      </c>
    </row>
    <row r="6" spans="1:14" x14ac:dyDescent="0.3">
      <c r="A6" s="4" t="s">
        <v>100</v>
      </c>
      <c r="B6">
        <v>0.73787552569813697</v>
      </c>
      <c r="C6">
        <v>-3.0734759923785392E-2</v>
      </c>
      <c r="D6">
        <v>0.67146243664050664</v>
      </c>
      <c r="E6">
        <v>-2.7176643183306065E-2</v>
      </c>
      <c r="F6">
        <v>0.51710631003513474</v>
      </c>
      <c r="G6">
        <v>0.78806970518430164</v>
      </c>
      <c r="H6">
        <v>0.7958634128931823</v>
      </c>
      <c r="I6">
        <v>0.58481031844940889</v>
      </c>
      <c r="J6">
        <v>-0.11983411136176651</v>
      </c>
      <c r="K6">
        <v>7.2182876151142744E-2</v>
      </c>
      <c r="L6">
        <v>0.2672024144624493</v>
      </c>
      <c r="M6">
        <v>-0.3282577519850518</v>
      </c>
      <c r="N6">
        <v>10</v>
      </c>
    </row>
    <row r="7" spans="1:14" x14ac:dyDescent="0.3">
      <c r="A7" s="4" t="s">
        <v>103</v>
      </c>
      <c r="B7">
        <v>0.67156953460779056</v>
      </c>
      <c r="C7">
        <v>0.14005292615305737</v>
      </c>
      <c r="D7">
        <v>0.61653981776136002</v>
      </c>
      <c r="E7">
        <v>0.14730460278992968</v>
      </c>
      <c r="F7">
        <v>0.38201061472578379</v>
      </c>
      <c r="G7">
        <v>0.66460521509168635</v>
      </c>
      <c r="H7">
        <v>0.79240641063007855</v>
      </c>
      <c r="I7">
        <v>0.62713703059789239</v>
      </c>
      <c r="J7">
        <v>0.11419276824791177</v>
      </c>
      <c r="K7">
        <v>0.55925132569425184</v>
      </c>
      <c r="L7">
        <v>0.23291184896767758</v>
      </c>
      <c r="M7">
        <v>-0.31713753175012294</v>
      </c>
      <c r="N7">
        <v>10</v>
      </c>
    </row>
    <row r="8" spans="1:14" x14ac:dyDescent="0.3">
      <c r="A8" s="4" t="s">
        <v>89</v>
      </c>
      <c r="B8">
        <v>0.68768227034269214</v>
      </c>
      <c r="C8">
        <v>-0.48541329254510152</v>
      </c>
      <c r="D8">
        <v>0.60388019179225583</v>
      </c>
      <c r="E8">
        <v>-0.43923592607775375</v>
      </c>
      <c r="F8">
        <v>0.5270761317649747</v>
      </c>
      <c r="G8">
        <v>0.7894720126576712</v>
      </c>
      <c r="H8">
        <v>0.55655159038390767</v>
      </c>
      <c r="I8">
        <v>0.5424210323624703</v>
      </c>
      <c r="J8">
        <v>-0.2548541394764291</v>
      </c>
      <c r="K8">
        <v>-0.59048348606078371</v>
      </c>
      <c r="L8">
        <v>-0.49969157038701056</v>
      </c>
      <c r="M8">
        <v>-0.41191450838679938</v>
      </c>
      <c r="N8">
        <v>10</v>
      </c>
    </row>
    <row r="9" spans="1:14" x14ac:dyDescent="0.3">
      <c r="A9" s="4" t="s">
        <v>165</v>
      </c>
      <c r="B9">
        <v>0.63390336634964972</v>
      </c>
      <c r="C9">
        <v>-0.18947755334049315</v>
      </c>
      <c r="D9">
        <v>0.5601198844419264</v>
      </c>
      <c r="E9">
        <v>-0.17298056794550734</v>
      </c>
      <c r="F9">
        <v>0.4233572663255461</v>
      </c>
      <c r="G9">
        <v>0.72039219763582474</v>
      </c>
      <c r="H9">
        <v>0.53460462401043463</v>
      </c>
      <c r="I9">
        <v>0.56212544979589985</v>
      </c>
      <c r="J9">
        <v>-8.4323548288860239E-2</v>
      </c>
      <c r="K9">
        <v>-3.6439240103808127E-2</v>
      </c>
      <c r="L9">
        <v>-0.24703961117863327</v>
      </c>
      <c r="M9">
        <v>-0.32411987221072847</v>
      </c>
      <c r="N9">
        <v>10</v>
      </c>
    </row>
    <row r="10" spans="1:14" x14ac:dyDescent="0.3">
      <c r="A10" s="4" t="s">
        <v>97</v>
      </c>
      <c r="B10">
        <v>0.62465319626362792</v>
      </c>
      <c r="C10">
        <v>8.010325935082184E-2</v>
      </c>
      <c r="D10">
        <v>0.54917314998860456</v>
      </c>
      <c r="E10">
        <v>6.9831444130752665E-2</v>
      </c>
      <c r="F10">
        <v>0.41979177808279555</v>
      </c>
      <c r="G10">
        <v>0.67419516843582861</v>
      </c>
      <c r="H10">
        <v>0.56208876154253973</v>
      </c>
      <c r="I10">
        <v>0.54061689189325546</v>
      </c>
      <c r="J10">
        <v>0.12588152921402246</v>
      </c>
      <c r="K10">
        <v>0.35043541164812186</v>
      </c>
      <c r="L10">
        <v>8.5183976921129646E-3</v>
      </c>
      <c r="M10">
        <v>-0.20550956203124321</v>
      </c>
      <c r="N10">
        <v>10</v>
      </c>
    </row>
    <row r="11" spans="1:14" x14ac:dyDescent="0.3">
      <c r="A11" s="4" t="s">
        <v>141</v>
      </c>
      <c r="B11">
        <v>0.69674851845334951</v>
      </c>
      <c r="C11">
        <v>-7.7584941193081375E-2</v>
      </c>
      <c r="D11">
        <v>0.63234867503229641</v>
      </c>
      <c r="E11">
        <v>-7.8114273924006467E-2</v>
      </c>
      <c r="F11">
        <v>0.44761041799507223</v>
      </c>
      <c r="G11">
        <v>0.73725564360268159</v>
      </c>
      <c r="H11">
        <v>0.70381571636487728</v>
      </c>
      <c r="I11">
        <v>0.64071292216655606</v>
      </c>
      <c r="J11">
        <v>-5.1356463412726878E-2</v>
      </c>
      <c r="K11">
        <v>5.6370236098561517E-2</v>
      </c>
      <c r="L11">
        <v>-2.8523964533867904E-2</v>
      </c>
      <c r="M11">
        <v>-0.28894690384799393</v>
      </c>
      <c r="N1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8618-23C3-4FB0-BA8E-76D52637E7DC}">
  <dimension ref="A1:G5"/>
  <sheetViews>
    <sheetView workbookViewId="0">
      <selection activeCell="C15" sqref="C15"/>
    </sheetView>
  </sheetViews>
  <sheetFormatPr baseColWidth="10" defaultRowHeight="14.4" x14ac:dyDescent="0.3"/>
  <cols>
    <col min="1" max="1" width="16.5546875" bestFit="1" customWidth="1"/>
    <col min="2" max="2" width="37.88671875" bestFit="1" customWidth="1"/>
    <col min="3" max="3" width="37.5546875" bestFit="1" customWidth="1"/>
    <col min="4" max="4" width="38.88671875" bestFit="1" customWidth="1"/>
    <col min="5" max="5" width="38.5546875" bestFit="1" customWidth="1"/>
    <col min="6" max="6" width="24.88671875" bestFit="1" customWidth="1"/>
    <col min="7" max="7" width="25.88671875" bestFit="1" customWidth="1"/>
  </cols>
  <sheetData>
    <row r="1" spans="1:7" x14ac:dyDescent="0.3">
      <c r="A1" s="3" t="s">
        <v>140</v>
      </c>
      <c r="B1" t="s">
        <v>146</v>
      </c>
      <c r="C1" t="s">
        <v>150</v>
      </c>
      <c r="D1" t="s">
        <v>153</v>
      </c>
      <c r="E1" t="s">
        <v>147</v>
      </c>
      <c r="F1" t="s">
        <v>144</v>
      </c>
      <c r="G1" t="s">
        <v>145</v>
      </c>
    </row>
    <row r="2" spans="1:7" x14ac:dyDescent="0.3">
      <c r="A2" s="4" t="s">
        <v>156</v>
      </c>
      <c r="B2">
        <v>0.52062154440218478</v>
      </c>
      <c r="C2">
        <v>0.78701138907001289</v>
      </c>
      <c r="D2">
        <v>-0.17272557084013182</v>
      </c>
      <c r="E2">
        <v>-0.12334996483371069</v>
      </c>
      <c r="F2">
        <v>0.67267543607222746</v>
      </c>
      <c r="G2">
        <v>-0.15409790424252598</v>
      </c>
    </row>
    <row r="3" spans="1:7" x14ac:dyDescent="0.3">
      <c r="A3" s="4" t="s">
        <v>157</v>
      </c>
      <c r="B3">
        <v>0.40090119640428962</v>
      </c>
      <c r="C3">
        <v>0.66940019176375742</v>
      </c>
      <c r="D3">
        <v>0.12003714873096712</v>
      </c>
      <c r="E3">
        <v>0.45484336867118691</v>
      </c>
      <c r="F3">
        <v>0.58285648387498235</v>
      </c>
      <c r="G3">
        <v>0.10856802346034118</v>
      </c>
    </row>
    <row r="4" spans="1:7" x14ac:dyDescent="0.3">
      <c r="A4" s="4" t="s">
        <v>175</v>
      </c>
      <c r="B4">
        <v>0.38480294997518572</v>
      </c>
      <c r="C4">
        <v>0.73047747724060774</v>
      </c>
      <c r="D4">
        <v>-4.0696414415313437E-2</v>
      </c>
      <c r="E4">
        <v>-7.2522595075655588E-2</v>
      </c>
      <c r="F4">
        <v>0.62135072462971419</v>
      </c>
      <c r="G4">
        <v>-0.15082112583057491</v>
      </c>
    </row>
    <row r="5" spans="1:7" x14ac:dyDescent="0.3">
      <c r="A5" s="4" t="s">
        <v>141</v>
      </c>
      <c r="B5">
        <v>0.44761041799507223</v>
      </c>
      <c r="C5">
        <v>0.73725564360268148</v>
      </c>
      <c r="D5">
        <v>-5.1356463412726865E-2</v>
      </c>
      <c r="E5">
        <v>5.6370236098561538E-2</v>
      </c>
      <c r="F5">
        <v>0.63234867503229653</v>
      </c>
      <c r="G5">
        <v>-7.8114273924006494E-2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5BD4-995E-464A-862A-BCBA100A418A}">
  <dimension ref="A1:G5"/>
  <sheetViews>
    <sheetView workbookViewId="0">
      <selection activeCell="C4" sqref="C4"/>
    </sheetView>
  </sheetViews>
  <sheetFormatPr baseColWidth="10" defaultRowHeight="14.4" x14ac:dyDescent="0.3"/>
  <cols>
    <col min="1" max="1" width="16.5546875" bestFit="1" customWidth="1"/>
    <col min="2" max="2" width="33.44140625" bestFit="1" customWidth="1"/>
    <col min="3" max="4" width="34.44140625" bestFit="1" customWidth="1"/>
    <col min="5" max="5" width="35.44140625" bestFit="1" customWidth="1"/>
    <col min="6" max="6" width="24.88671875" bestFit="1" customWidth="1"/>
    <col min="7" max="7" width="25.88671875" bestFit="1" customWidth="1"/>
  </cols>
  <sheetData>
    <row r="1" spans="1:7" x14ac:dyDescent="0.3">
      <c r="A1" s="3" t="s">
        <v>140</v>
      </c>
      <c r="B1" t="s">
        <v>151</v>
      </c>
      <c r="C1" t="s">
        <v>152</v>
      </c>
      <c r="D1" t="s">
        <v>148</v>
      </c>
      <c r="E1" t="s">
        <v>149</v>
      </c>
      <c r="F1" t="s">
        <v>144</v>
      </c>
      <c r="G1" t="s">
        <v>145</v>
      </c>
    </row>
    <row r="2" spans="1:7" x14ac:dyDescent="0.3">
      <c r="A2" s="4" t="s">
        <v>158</v>
      </c>
      <c r="B2">
        <v>0.55108165864562708</v>
      </c>
      <c r="C2">
        <v>0.54838779135054205</v>
      </c>
      <c r="D2">
        <v>-0.24607092795784363</v>
      </c>
      <c r="E2">
        <v>-0.31384798087625704</v>
      </c>
      <c r="F2">
        <v>0.5710577420742623</v>
      </c>
      <c r="G2">
        <v>-0.18079501663083614</v>
      </c>
    </row>
    <row r="3" spans="1:7" x14ac:dyDescent="0.3">
      <c r="A3" s="4" t="s">
        <v>159</v>
      </c>
      <c r="B3">
        <v>0.79413491176163042</v>
      </c>
      <c r="C3">
        <v>0.60597367452365081</v>
      </c>
      <c r="D3">
        <v>0.25005713171506339</v>
      </c>
      <c r="E3">
        <v>-0.32269764186758737</v>
      </c>
      <c r="F3">
        <v>0.64400112720093339</v>
      </c>
      <c r="G3">
        <v>6.0063979803311809E-2</v>
      </c>
    </row>
    <row r="4" spans="1:7" x14ac:dyDescent="0.3">
      <c r="A4" s="4" t="s">
        <v>176</v>
      </c>
      <c r="B4">
        <v>0.84259760754699786</v>
      </c>
      <c r="C4">
        <v>0.81393986603348267</v>
      </c>
      <c r="D4">
        <v>1.9215384353164382E-2</v>
      </c>
      <c r="E4">
        <v>-0.2178445502860063</v>
      </c>
      <c r="F4">
        <v>0.71263262230071089</v>
      </c>
      <c r="G4">
        <v>-6.2271413591080328E-2</v>
      </c>
    </row>
    <row r="5" spans="1:7" x14ac:dyDescent="0.3">
      <c r="A5" s="4" t="s">
        <v>141</v>
      </c>
      <c r="B5">
        <v>0.70381571636487705</v>
      </c>
      <c r="C5">
        <v>0.64071292216655606</v>
      </c>
      <c r="D5">
        <v>-2.8523964533867893E-2</v>
      </c>
      <c r="E5">
        <v>-0.28894690384799399</v>
      </c>
      <c r="F5">
        <v>0.63234867503229641</v>
      </c>
      <c r="G5">
        <v>-7.811427392400648E-2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General analysis</vt:lpstr>
      <vt:lpstr>surge and sway</vt:lpstr>
      <vt:lpstr>yaw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2026-03-05T20:22:33Z</dcterms:created>
  <dcterms:modified xsi:type="dcterms:W3CDTF">2026-04-15T08:14:58Z</dcterms:modified>
</cp:coreProperties>
</file>