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2_head_model_systematic_experiments_good_angle/"/>
    </mc:Choice>
  </mc:AlternateContent>
  <xr:revisionPtr revIDLastSave="79" documentId="11_05E1B2ABD35053C9A4A91FD04B5ED87656CF0F5C" xr6:coauthVersionLast="47" xr6:coauthVersionMax="47" xr10:uidLastSave="{3CDC1652-35FB-46D0-8361-4906E17676FD}"/>
  <bookViews>
    <workbookView xWindow="-108" yWindow="-108" windowWidth="23256" windowHeight="12456" activeTab="3" xr2:uid="{00000000-000D-0000-FFFF-FFFF00000000}"/>
  </bookViews>
  <sheets>
    <sheet name="Sheet1" sheetId="1" r:id="rId1"/>
    <sheet name="general analysis" sheetId="2" r:id="rId2"/>
    <sheet name="surge and sway" sheetId="3" r:id="rId3"/>
    <sheet name="yaw" sheetId="4" r:id="rId4"/>
  </sheets>
  <calcPr calcId="191029"/>
  <pivotCaches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42" i="1" l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2" i="1"/>
  <c r="BZ3" i="1"/>
  <c r="BZ4" i="1"/>
  <c r="BZ5" i="1"/>
  <c r="BZ6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Y2" i="1"/>
  <c r="BY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</calcChain>
</file>

<file path=xl/sharedStrings.xml><?xml version="1.0" encoding="utf-8"?>
<sst xmlns="http://schemas.openxmlformats.org/spreadsheetml/2006/main" count="1522" uniqueCount="198">
  <si>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</si>
  <si>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</si>
  <si>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</si>
  <si>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</si>
  <si>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</si>
  <si>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</si>
  <si>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</si>
  <si>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</si>
  <si>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</si>
  <si>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</si>
  <si>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</si>
  <si>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</si>
  <si>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</si>
  <si>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</si>
  <si>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</si>
  <si>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</si>
  <si>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</si>
  <si>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</si>
  <si>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</si>
  <si>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</si>
  <si>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</si>
  <si>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</si>
  <si>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</si>
  <si>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</si>
  <si>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</si>
  <si>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</si>
  <si>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</si>
  <si>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</si>
  <si>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</si>
  <si>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</si>
  <si>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</si>
  <si>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</si>
  <si>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</si>
  <si>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</si>
  <si>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</si>
  <si>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</si>
  <si>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</si>
  <si>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</si>
  <si>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</si>
  <si>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</si>
  <si>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</si>
  <si>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</si>
  <si>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</si>
  <si>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</si>
  <si>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</si>
  <si>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</si>
  <si>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</si>
  <si>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</si>
  <si>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</si>
  <si>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</si>
  <si>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</si>
  <si>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</si>
  <si>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</si>
  <si>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</si>
  <si>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</si>
  <si>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</si>
  <si>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</si>
  <si>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</si>
  <si>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</si>
  <si>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</si>
  <si>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</si>
  <si>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</si>
  <si>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</si>
  <si>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</si>
  <si>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</si>
  <si>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</si>
  <si>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</si>
  <si>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</si>
  <si>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</si>
  <si>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</si>
  <si>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</si>
  <si>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</si>
  <si>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</si>
  <si>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</si>
  <si>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</si>
  <si>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</si>
  <si>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03-09_15-55-26_multihead_spsa_serial_f5_w5_h5_effsu2_lin_r1.pkl</t>
  </si>
  <si>
    <t>Final (Last Iteration)</t>
  </si>
  <si>
    <t>data/reduce_row_number_absolutes</t>
  </si>
  <si>
    <t>['sv', 'wv', 'yr', 'ya', 'rarad']</t>
  </si>
  <si>
    <t>['Surge Velocity', 'Sway Velocity', 'Yaw Rate', 'Yaw Angle']</t>
  </si>
  <si>
    <t>motion</t>
  </si>
  <si>
    <t>true</t>
  </si>
  <si>
    <t>false</t>
  </si>
  <si>
    <t>multihead</t>
  </si>
  <si>
    <t>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</t>
  </si>
  <si>
    <t>serial</t>
  </si>
  <si>
    <t>effsu2</t>
  </si>
  <si>
    <t>lin</t>
  </si>
  <si>
    <t>[[0, 1, -1, 2, 3, 4], [2, 3, -1, 4, 0, 1]]</t>
  </si>
  <si>
    <t>spsa</t>
  </si>
  <si>
    <t>[0.1, 0.001]</t>
  </si>
  <si>
    <t>[1.0, 1.0, 1.0, 1.0]</t>
  </si>
  <si>
    <t>identity</t>
  </si>
  <si>
    <t>03-09_15-54-26_multihead_spsa_serial_f5_w5_h5_effsu2_lin_r1.pkl</t>
  </si>
  <si>
    <t>Best (Lowest Val Loss)</t>
  </si>
  <si>
    <t>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</t>
  </si>
  <si>
    <t>[[0, 1, -1, 2, 3, 4], [2, 3, -1, 0, 1, 4]]</t>
  </si>
  <si>
    <t>03-09_15-54-59_multihead_spsa_serial_f5_w5_h5_effsu2_lin_r1.pkl</t>
  </si>
  <si>
    <t>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</t>
  </si>
  <si>
    <t>[[0, 1, -1, 4, 2, 3], [2, 3, -1, 0, 1, 4]]</t>
  </si>
  <si>
    <t>03-09_15-56-25_multihead_spsa_serial_f5_w5_h5_effsu2_lin_r1.pkl</t>
  </si>
  <si>
    <t>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</t>
  </si>
  <si>
    <t>[[0, 1, -1, 4, 2, 3], [2, 3, -1, 4, 0, 1]]</t>
  </si>
  <si>
    <t>03-09_18-39-35_multihead_spsa_serial_f5_w5_h5_effsu2_lin_r1.pkl</t>
  </si>
  <si>
    <t>03-09_18-40-05_multihead_spsa_serial_f5_w5_h5_effsu2_lin_r1.pkl</t>
  </si>
  <si>
    <t>03-09_18-40-53_multihead_spsa_serial_f5_w5_h5_effsu2_lin_r1.pkl</t>
  </si>
  <si>
    <t>03-09_18-43-16_multihead_spsa_serial_f5_w5_h5_effsu2_lin_r1.pkl</t>
  </si>
  <si>
    <t>03-09_20-55-45_multihead_spsa_serial_f5_w5_h5_effsu2_lin_r1.pkl</t>
  </si>
  <si>
    <t>03-09_20-56-54_multihead_spsa_serial_f5_w5_h5_effsu2_lin_r1.pkl</t>
  </si>
  <si>
    <t>03-09_20-58-03_multihead_spsa_serial_f5_w5_h5_effsu2_lin_r1.pkl</t>
  </si>
  <si>
    <t>03-09_21-01-16_multihead_spsa_serial_f5_w5_h5_effsu2_lin_r1.pkl</t>
  </si>
  <si>
    <t>03-09_23-15-17_multihead_spsa_serial_f5_w5_h5_effsu2_lin_r1.pkl</t>
  </si>
  <si>
    <t>03-09_23-17-42_multihead_spsa_serial_f5_w5_h5_effsu2_lin_r1.pkl</t>
  </si>
  <si>
    <t>03-09_23-16-44_multihead_spsa_serial_f5_w5_h5_effsu2_lin_r1.pkl</t>
  </si>
  <si>
    <t>03-09_23-23-08_multihead_spsa_serial_f5_w5_h5_effsu2_lin_r1.pkl</t>
  </si>
  <si>
    <t>03-10_01-35-43_multihead_spsa_serial_f5_w5_h5_effsu2_lin_r1.pkl</t>
  </si>
  <si>
    <t>03-10_01-38-31_multihead_spsa_serial_f5_w5_h5_effsu2_lin_r1.pkl</t>
  </si>
  <si>
    <t>03-10_01-38-04_multihead_spsa_serial_f5_w5_h5_effsu2_lin_r1.pkl</t>
  </si>
  <si>
    <t>03-10_01-46-17_multihead_spsa_serial_f5_w5_h5_effsu2_lin_r1.pkl</t>
  </si>
  <si>
    <t>03-10_03-54-20_multihead_spsa_serial_f5_w5_h5_effsu2_lin_r1.pkl</t>
  </si>
  <si>
    <t>03-10_03-57-33_multihead_spsa_serial_f5_w5_h5_effsu2_lin_r1.pkl</t>
  </si>
  <si>
    <t>03-10_03-57-30_multihead_spsa_serial_f5_w5_h5_effsu2_lin_r1.pkl</t>
  </si>
  <si>
    <t>03-10_04-05-39_multihead_spsa_serial_f5_w5_h5_effsu2_lin_r1.pkl</t>
  </si>
  <si>
    <t>03-10_05-44-07_multihead_spsa_serial_f5_w5_h5_effsu2_lin_r1.pkl</t>
  </si>
  <si>
    <t>03-10_05-43-52_multihead_spsa_serial_f5_w5_h5_effsu2_lin_r1.pkl</t>
  </si>
  <si>
    <t>03-10_05-47-02_multihead_spsa_serial_f5_w5_h5_effsu2_lin_r1.pkl</t>
  </si>
  <si>
    <t>03-10_05-55-44_multihead_spsa_serial_f5_w5_h5_effsu2_lin_r1.pkl</t>
  </si>
  <si>
    <t>03-10_07-30-24_multihead_spsa_serial_f5_w5_h5_effsu2_lin_r1.pkl</t>
  </si>
  <si>
    <t>03-10_07-32-13_multihead_spsa_serial_f5_w5_h5_effsu2_lin_r1.pkl</t>
  </si>
  <si>
    <t>03-10_07-36-36_multihead_spsa_serial_f5_w5_h5_effsu2_lin_r1.pkl</t>
  </si>
  <si>
    <t>03-10_07-44-54_multihead_spsa_serial_f5_w5_h5_effsu2_lin_r1.pkl</t>
  </si>
  <si>
    <t>03-10_09-17-10_multihead_spsa_serial_f5_w5_h5_effsu2_lin_r1.pkl</t>
  </si>
  <si>
    <t>03-10_09-46-57_multihead_spsa_serial_f5_w5_h5_effsu2_lin_r1.pkl</t>
  </si>
  <si>
    <t>03-10_09-52-45_multihead_spsa_serial_f5_w5_h5_effsu2_lin_r1.pkl</t>
  </si>
  <si>
    <t>03-10_10-01-56_multihead_spsa_serial_f5_w5_h5_effsu2_lin_r1.pkl</t>
  </si>
  <si>
    <t>03-10_11-52-24_multihead_spsa_serial_f5_w5_h5_effsu2_lin_r1.pkl</t>
  </si>
  <si>
    <t>03-10_11-58-03_multihead_spsa_serial_f5_w5_h5_effsu2_lin_r1.pkl</t>
  </si>
  <si>
    <t>03-10_12-04-57_multihead_spsa_serial_f5_w5_h5_effsu2_lin_r1.pkl</t>
  </si>
  <si>
    <t>03-10_12-14-26_multihead_spsa_serial_f5_w5_h5_effsu2_lin_r1.pkl</t>
  </si>
  <si>
    <t>Etiquetas de fila</t>
  </si>
  <si>
    <t>Total general</t>
  </si>
  <si>
    <t>Cuenta de model_id</t>
  </si>
  <si>
    <t>Promedio de Val Global Open R2</t>
  </si>
  <si>
    <t>Promedio de Val Global Closed R2</t>
  </si>
  <si>
    <t>Promedio de global open R2</t>
  </si>
  <si>
    <t>Promedio de Yaw Angle Global closed R2</t>
  </si>
  <si>
    <t>Promedio de Yaw Rate Global closed R2</t>
  </si>
  <si>
    <t>Promedio de Sway Velocity Global closed R2</t>
  </si>
  <si>
    <t>Promedio de Surge Velocity Global closed R2</t>
  </si>
  <si>
    <t>Promedio de Yaw Rate Global open R2</t>
  </si>
  <si>
    <t>Promedio de Sway Velocity Global open R2</t>
  </si>
  <si>
    <t>Promedio de Surge Velocity Global open R2</t>
  </si>
  <si>
    <t>Promedio de Yaw Angle Global open R2</t>
  </si>
  <si>
    <t>Promedio de global closed R2</t>
  </si>
  <si>
    <t>not surge and sway</t>
  </si>
  <si>
    <t>not yaw</t>
  </si>
  <si>
    <t>2, 3, 4</t>
  </si>
  <si>
    <t>4, 2, 3</t>
  </si>
  <si>
    <t>0, 1, 4</t>
  </si>
  <si>
    <t>4, 0, 1</t>
  </si>
  <si>
    <t>04-01_13-49-14_multihead_spsa_serial_f5_w5_h5_effsu2_lin_r1.pkl</t>
  </si>
  <si>
    <t>[{'features': ['sv', 'wv', 'yr', 'ya', 'rarad'], 'output_dim': 2, 'reps': 1, 'encoding': 'serial', 'ansatz': 'effsu2', 'entangle': 'lin', 'map': [0, 1, -1, 3, 4, 2]}, {'features': ['sv', 'wv', 'yr', 'ya', 'rarad'], 'output_dim': 2, 'reps': 1, 'encoding': 'serial', 'ansatz': 'effsu2', 'entangle': 'lin', 'map': [2, 3, -1, 0, 1, 4]}]</t>
  </si>
  <si>
    <t>[[0, 1, -1, 3, 4, 2], [2, 3, -1, 0, 1, 4]]</t>
  </si>
  <si>
    <t>04-01_13-49-18_multihead_spsa_serial_f5_w5_h5_effsu2_lin_r1.pkl</t>
  </si>
  <si>
    <t>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1, 4, 0]}]</t>
  </si>
  <si>
    <t>[[0, 1, -1, 2, 3, 4], [2, 3, -1, 1, 4, 0]]</t>
  </si>
  <si>
    <t>04-01_13-49-24_multihead_spsa_serial_f5_w5_h5_effsu2_lin_r1.pkl</t>
  </si>
  <si>
    <t>[{'features': ['sv', 'wv', 'yr', 'ya', 'rarad'], 'output_dim': 2, 'reps': 1, 'encoding': 'serial', 'ansatz': 'effsu2', 'entangle': 'lin', 'map': [0, 1, -1, 3, 4, 2]}, {'features': ['sv', 'wv', 'yr', 'ya', 'rarad'], 'output_dim': 2, 'reps': 1, 'encoding': 'serial', 'ansatz': 'effsu2', 'entangle': 'lin', 'map': [2, 3, -1, 1, 4, 0]}]</t>
  </si>
  <si>
    <t>[[0, 1, -1, 3, 4, 2], [2, 3, -1, 1, 4, 0]]</t>
  </si>
  <si>
    <t>04-01_16-18-04_multihead_spsa_serial_f5_w5_h5_effsu2_lin_r1.pkl</t>
  </si>
  <si>
    <t>04-01_16-18-19_multihead_spsa_serial_f5_w5_h5_effsu2_lin_r1.pkl</t>
  </si>
  <si>
    <t>04-01_16-19-00_multihead_spsa_serial_f5_w5_h5_effsu2_lin_r1.pkl</t>
  </si>
  <si>
    <t>04-01_18-38-27_multihead_spsa_serial_f5_w5_h5_effsu2_lin_r1.pkl</t>
  </si>
  <si>
    <t>04-01_18-38-58_multihead_spsa_serial_f5_w5_h5_effsu2_lin_r1.pkl</t>
  </si>
  <si>
    <t>04-01_18-39-53_multihead_spsa_serial_f5_w5_h5_effsu2_lin_r1.pkl</t>
  </si>
  <si>
    <t>04-01_20-49-57_multihead_spsa_serial_f5_w5_h5_effsu2_lin_r1.pkl</t>
  </si>
  <si>
    <t>04-01_20-51-06_multihead_spsa_serial_f5_w5_h5_effsu2_lin_r1.pkl</t>
  </si>
  <si>
    <t>04-01_20-50-35_multihead_spsa_serial_f5_w5_h5_effsu2_lin_r1.pkl</t>
  </si>
  <si>
    <t>04-01_23-01-33_multihead_spsa_serial_f5_w5_h5_effsu2_lin_r1.pkl</t>
  </si>
  <si>
    <t>04-01_23-00-42_multihead_spsa_serial_f5_w5_h5_effsu2_lin_r1.pkl</t>
  </si>
  <si>
    <t>04-01_23-02-40_multihead_spsa_serial_f5_w5_h5_effsu2_lin_r1.pkl</t>
  </si>
  <si>
    <t>04-02_01-11-33_multihead_spsa_serial_f5_w5_h5_effsu2_lin_r1.pkl</t>
  </si>
  <si>
    <t>04-02_01-11-35_multihead_spsa_serial_f5_w5_h5_effsu2_lin_r1.pkl</t>
  </si>
  <si>
    <t>04-02_01-13-45_multihead_spsa_serial_f5_w5_h5_effsu2_lin_r1.pkl</t>
  </si>
  <si>
    <t>04-02_03-01-35_multihead_spsa_serial_f5_w5_h5_effsu2_lin_r1.pkl</t>
  </si>
  <si>
    <t>04-02_03-02-21_multihead_spsa_serial_f5_w5_h5_effsu2_lin_r1.pkl</t>
  </si>
  <si>
    <t>04-02_03-02-55_multihead_spsa_serial_f5_w5_h5_effsu2_lin_r1.pkl</t>
  </si>
  <si>
    <t>04-02_04-51-02_multihead_spsa_serial_f5_w5_h5_effsu2_lin_r1.pkl</t>
  </si>
  <si>
    <t>04-02_04-52-56_multihead_spsa_serial_f5_w5_h5_effsu2_lin_r1.pkl</t>
  </si>
  <si>
    <t>04-02_06-41-48_multihead_spsa_serial_f5_w5_h5_effsu2_lin_r1.pkl</t>
  </si>
  <si>
    <t>04-02_06-41-34_multihead_spsa_serial_f5_w5_h5_effsu2_lin_r1.pkl</t>
  </si>
  <si>
    <t>04-02_06-42-59_multihead_spsa_serial_f5_w5_h5_effsu2_lin_r1.pkl</t>
  </si>
  <si>
    <t>04-02_08-26-05_multihead_spsa_serial_f5_w5_h5_effsu2_lin_r1.pkl</t>
  </si>
  <si>
    <t>04-02_08-26-16_multihead_spsa_serial_f5_w5_h5_effsu2_lin_r1.pkl</t>
  </si>
  <si>
    <t>04-02_08-28-39_multihead_spsa_serial_f5_w5_h5_effsu2_lin_r1.pkl</t>
  </si>
  <si>
    <t>3, 4, 2</t>
  </si>
  <si>
    <t>1, 4, 0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</si>
</sst>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14.602378703705" createdVersion="8" refreshedVersion="8" minRefreshableVersion="3" recordCount="70" xr:uid="{CF6CE0FB-71E6-49D9-9CF9-61E2DDAE2D30}">
  <cacheSource type="worksheet">
    <worksheetSource name="Tabla1"/>
  </cacheSource>
  <cacheFields count="78">
    <cacheField name="date" numFmtId="164">
      <sharedItems containsSemiMixedTypes="0" containsNonDate="0" containsDate="1" containsString="0" minDate="2026-03-09T15:54:26" maxDate="2026-04-02T08:28:39"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2" maxValue="2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 count="7">
        <s v="[[0, 1, -1, 2, 3, 4], [2, 3, -1, 4, 0, 1]]"/>
        <s v="[[0, 1, -1, 2, 3, 4], [2, 3, -1, 0, 1, 4]]"/>
        <s v="[[0, 1, -1, 4, 2, 3], [2, 3, -1, 0, 1, 4]]"/>
        <s v="[[0, 1, -1, 4, 2, 3], [2, 3, -1, 4, 0, 1]]"/>
        <s v="[[0, 1, -1, 3, 4, 2], [2, 3, -1, 0, 1, 4]]"/>
        <s v="[[0, 1, -1, 2, 3, 4], [2, 3, -1, 1, 4, 0]]"/>
        <s v="[[0, 1, -1, 3, 4, 2], [2, 3, -1, 1, 4, 0]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60" maxValue="160"/>
    </cacheField>
    <cacheField name="q params" numFmtId="0">
      <sharedItems containsSemiMixedTypes="0" containsString="0" containsNumber="1" containsInteger="1" minValue="40" maxValue="4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9.4420824638358158E-2" maxValue="0.14908250076880231"/>
    </cacheField>
    <cacheField name="Val Global Open MSE" numFmtId="0">
      <sharedItems containsSemiMixedTypes="0" containsString="0" containsNumber="1" minValue="15.87849827279395" maxValue="48.397229203824573"/>
    </cacheField>
    <cacheField name="Val Global Open R2" numFmtId="0">
      <sharedItems containsSemiMixedTypes="0" containsString="0" containsNumber="1" minValue="0.51447871560587144" maxValue="0.74023107813149602"/>
    </cacheField>
    <cacheField name="Val Global Closed R2" numFmtId="0">
      <sharedItems containsSemiMixedTypes="0" containsString="0" containsNumber="1" minValue="-1.2015192674101289" maxValue="0.32135834655689771"/>
    </cacheField>
    <cacheField name="step MSE" numFmtId="0">
      <sharedItems containsSemiMixedTypes="0" containsString="0" containsNumber="1" minValue="21.708754749413991" maxValue="56.097815918733083"/>
    </cacheField>
    <cacheField name="step R2" numFmtId="0">
      <sharedItems containsSemiMixedTypes="0" containsString="0" containsNumber="1" minValue="0.46290326327387282" maxValue="0.72479092668660594"/>
    </cacheField>
    <cacheField name="local MSE" numFmtId="0">
      <sharedItems containsSemiMixedTypes="0" containsString="0" containsNumber="1" minValue="21.708754749413991" maxValue="56.097815918733083"/>
    </cacheField>
    <cacheField name="global open MSE" numFmtId="0">
      <sharedItems containsSemiMixedTypes="0" containsString="0" containsNumber="1" minValue="21.708754749413991" maxValue="56.097815918733083"/>
    </cacheField>
    <cacheField name="global open R2" numFmtId="0">
      <sharedItems containsSemiMixedTypes="0" containsString="0" containsNumber="1" minValue="0.46290326327387282" maxValue="0.72479092668660594"/>
    </cacheField>
    <cacheField name="global closed MSE" numFmtId="0">
      <sharedItems containsSemiMixedTypes="0" containsString="0" containsNumber="1" minValue="69.177929956717804" maxValue="176.95228435119611"/>
    </cacheField>
    <cacheField name="global closed R2" numFmtId="0">
      <sharedItems containsSemiMixedTypes="0" containsString="0" containsNumber="1" minValue="-1.0928058353429839" maxValue="0.31371942602825981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4.8358225967362119E-2" maxValue="0.11934830971212471"/>
    </cacheField>
    <cacheField name="Surge Velocity Step R2" numFmtId="0">
      <sharedItems containsSemiMixedTypes="0" containsString="0" containsNumber="1" minValue="0.1333769590742063" maxValue="0.64885675429591338"/>
    </cacheField>
    <cacheField name="Surge Velocity Local MSE" numFmtId="0">
      <sharedItems containsSemiMixedTypes="0" containsString="0" containsNumber="1" minValue="4.8358225967362119E-2" maxValue="0.11934830971212471"/>
    </cacheField>
    <cacheField name="Surge Velocity Global open MSE" numFmtId="0">
      <sharedItems containsSemiMixedTypes="0" containsString="0" containsNumber="1" minValue="4.8358225967362119E-2" maxValue="0.11934830971212471"/>
    </cacheField>
    <cacheField name="Surge Velocity Global open R2" numFmtId="0">
      <sharedItems containsSemiMixedTypes="0" containsString="0" containsNumber="1" minValue="0.1333769590742063" maxValue="0.64885675429591338"/>
    </cacheField>
    <cacheField name="Surge Velocity Global closed MSE" numFmtId="0">
      <sharedItems containsSemiMixedTypes="0" containsString="0" containsNumber="1" minValue="9.3967265747716161E-2" maxValue="0.24958587220711451"/>
    </cacheField>
    <cacheField name="Surge Velocity Global closed R2" numFmtId="0">
      <sharedItems containsSemiMixedTypes="0" containsString="0" containsNumber="1" minValue="-0.81231613640752065" maxValue="0.31767615489325229"/>
    </cacheField>
    <cacheField name="Sway Velocity Step MSE" numFmtId="0">
      <sharedItems containsSemiMixedTypes="0" containsString="0" containsNumber="1" minValue="4.4278076917052142E-2" maxValue="0.1578087614694699"/>
    </cacheField>
    <cacheField name="Sway Velocity Step R2" numFmtId="0">
      <sharedItems containsSemiMixedTypes="0" containsString="0" containsNumber="1" minValue="0.45322634662088751" maxValue="0.84658592048311787"/>
    </cacheField>
    <cacheField name="Sway Velocity Local MSE" numFmtId="0">
      <sharedItems containsSemiMixedTypes="0" containsString="0" containsNumber="1" minValue="4.4278076917052142E-2" maxValue="0.1578087614694699"/>
    </cacheField>
    <cacheField name="Sway Velocity Global open MSE" numFmtId="0">
      <sharedItems containsSemiMixedTypes="0" containsString="0" containsNumber="1" minValue="4.4278076917052142E-2" maxValue="0.1578087614694699"/>
    </cacheField>
    <cacheField name="Sway Velocity Global open R2" numFmtId="0">
      <sharedItems containsSemiMixedTypes="0" containsString="0" containsNumber="1" minValue="0.45322634662088751" maxValue="0.84658592048311787"/>
    </cacheField>
    <cacheField name="Sway Velocity Global closed MSE" numFmtId="0">
      <sharedItems containsSemiMixedTypes="0" containsString="0" containsNumber="1" minValue="8.1959414597623931E-2" maxValue="0.43673431012168712"/>
    </cacheField>
    <cacheField name="Sway Velocity Global closed R2" numFmtId="0">
      <sharedItems containsSemiMixedTypes="0" containsString="0" containsNumber="1" minValue="-0.51319110597949269" maxValue="0.71602813347580907"/>
    </cacheField>
    <cacheField name="Yaw Rate Step MSE" numFmtId="0">
      <sharedItems containsSemiMixedTypes="0" containsString="0" containsNumber="1" minValue="3.5704340799265537E-2" maxValue="0.13108593017475231"/>
    </cacheField>
    <cacheField name="Yaw Rate Step R2" numFmtId="0">
      <sharedItems containsSemiMixedTypes="0" containsString="0" containsNumber="1" minValue="0.47373145307778192" maxValue="0.85665836504195481"/>
    </cacheField>
    <cacheField name="Yaw Rate Local MSE" numFmtId="0">
      <sharedItems containsSemiMixedTypes="0" containsString="0" containsNumber="1" minValue="3.5704340799265537E-2" maxValue="0.13108593017475231"/>
    </cacheField>
    <cacheField name="Yaw Rate Global open MSE" numFmtId="0">
      <sharedItems containsSemiMixedTypes="0" containsString="0" containsNumber="1" minValue="3.5704340799265537E-2" maxValue="0.13108593017475231"/>
    </cacheField>
    <cacheField name="Yaw Rate Global open R2" numFmtId="0">
      <sharedItems containsSemiMixedTypes="0" containsString="0" containsNumber="1" minValue="0.47373145307778192" maxValue="0.85665836504195481"/>
    </cacheField>
    <cacheField name="Yaw Rate Global closed MSE" numFmtId="0">
      <sharedItems containsSemiMixedTypes="0" containsString="0" containsNumber="1" minValue="9.2898235006079882E-2" maxValue="0.90646752200645364"/>
    </cacheField>
    <cacheField name="Yaw Rate Global closed R2" numFmtId="0">
      <sharedItems containsSemiMixedTypes="0" containsString="0" containsNumber="1" minValue="-2.639180383452024" maxValue="0.62704297033927814"/>
    </cacheField>
    <cacheField name="Yaw Angle Step MSE" numFmtId="0">
      <sharedItems containsSemiMixedTypes="0" containsString="0" containsNumber="1" minValue="86.653925859408844" maxValue="224.17952270261929"/>
    </cacheField>
    <cacheField name="Yaw Angle Step R2" numFmtId="0">
      <sharedItems containsSemiMixedTypes="0" containsString="0" containsNumber="1" minValue="0.36194556010338108" maxValue="0.75336765168149655"/>
    </cacheField>
    <cacheField name="Yaw Angle Local MSE" numFmtId="0">
      <sharedItems containsSemiMixedTypes="0" containsString="0" containsNumber="1" minValue="86.653925859408844" maxValue="224.17952270261929"/>
    </cacheField>
    <cacheField name="Yaw Angle Global open MSE" numFmtId="0">
      <sharedItems containsSemiMixedTypes="0" containsString="0" containsNumber="1" minValue="86.653925859408844" maxValue="224.17952270261929"/>
    </cacheField>
    <cacheField name="Yaw Angle Global open R2" numFmtId="0">
      <sharedItems containsSemiMixedTypes="0" containsString="0" containsNumber="1" minValue="0.36194556010338108" maxValue="0.75336765168149655"/>
    </cacheField>
    <cacheField name="Yaw Angle Global closed MSE" numFmtId="0">
      <sharedItems containsSemiMixedTypes="0" containsString="0" containsNumber="1" minValue="276.22886975752209" maxValue="706.34876870686662"/>
    </cacheField>
    <cacheField name="Yaw Angle Global closed R2" numFmtId="0">
      <sharedItems containsSemiMixedTypes="0" containsString="0" containsNumber="1" minValue="-1.0103931106445361" maxValue="0.2138039431451042"/>
    </cacheField>
    <cacheField name="not surge and sway" numFmtId="0">
      <sharedItems count="3">
        <s v="2, 3, 4"/>
        <s v="4, 2, 3"/>
        <s v="3, 4, 2"/>
      </sharedItems>
    </cacheField>
    <cacheField name="not yaw" numFmtId="0">
      <sharedItems count="3">
        <s v="4, 0, 1"/>
        <s v="0, 1, 4"/>
        <s v="1, 4, 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d v="2026-03-09T15:55:26"/>
    <s v="03-09_15-55-26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60"/>
    <n v="40"/>
    <n v="120"/>
    <n v="0.11571132200253161"/>
    <n v="35.427442859283701"/>
    <n v="0.69109351577857647"/>
    <n v="5.8443297819760147E-2"/>
    <n v="37.906346682234613"/>
    <n v="0.70260835692500756"/>
    <n v="37.906346682234613"/>
    <n v="37.906346682234613"/>
    <n v="0.70260835692500756"/>
    <n v="111.23954943529441"/>
    <n v="0.13761405619115699"/>
    <n v="0.8"/>
    <s v="identity"/>
    <n v="5.7863040815411729E-2"/>
    <n v="0.57983950916758487"/>
    <n v="5.7863040815411729E-2"/>
    <n v="5.7863040815411729E-2"/>
    <n v="0.57983950916758487"/>
    <n v="0.15547555837541019"/>
    <n v="-0.12895357725577841"/>
    <n v="5.0223178530560839E-2"/>
    <n v="0.82598741315906743"/>
    <n v="5.0223178530560839E-2"/>
    <n v="5.0223178530560839E-2"/>
    <n v="0.82598741315906743"/>
    <n v="0.19697353751554569"/>
    <n v="0.31752876251285661"/>
    <n v="4.0916050829308957E-2"/>
    <n v="0.83573499774514048"/>
    <n v="4.0916050829308957E-2"/>
    <n v="4.0916050829308957E-2"/>
    <n v="0.83573499774514048"/>
    <n v="9.2898235006079882E-2"/>
    <n v="0.62704297033927814"/>
    <n v="151.4763844587622"/>
    <n v="0.56887150762824257"/>
    <n v="151.4763844587622"/>
    <n v="151.4763844587622"/>
    <n v="0.56887150762824257"/>
    <n v="444.51285041028092"/>
    <n v="-0.26516193083172951"/>
    <x v="0"/>
    <x v="0"/>
  </r>
  <r>
    <d v="2026-03-09T15:54:26"/>
    <s v="03-09_15-54-26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60"/>
    <n v="40"/>
    <n v="120"/>
    <n v="0.1189388311222343"/>
    <n v="34.910287484626721"/>
    <n v="0.6684069943010521"/>
    <n v="-0.14478506873416519"/>
    <n v="49.913349858525933"/>
    <n v="0.63256722053571957"/>
    <n v="49.913349858525933"/>
    <n v="49.913349858525933"/>
    <n v="0.63256722053571957"/>
    <n v="114.78433310409299"/>
    <n v="-8.2933393258060484E-2"/>
    <n v="0.8"/>
    <s v="identity"/>
    <n v="5.9567309634595673E-2"/>
    <n v="0.56746431399139241"/>
    <n v="5.9567309634595673E-2"/>
    <n v="5.9567309634595673E-2"/>
    <n v="0.56746431399139241"/>
    <n v="0.1832491805484977"/>
    <n v="-0.33062598437425028"/>
    <n v="5.5129809952101053E-2"/>
    <n v="0.80898698325163598"/>
    <n v="5.5129809952101053E-2"/>
    <n v="5.5129809952101053E-2"/>
    <n v="0.80898698325163598"/>
    <n v="0.26244759941155299"/>
    <n v="9.0675122124988072E-2"/>
    <n v="6.9359761503259051E-2"/>
    <n v="0.72154249618909772"/>
    <n v="6.9359761503259051E-2"/>
    <n v="6.9359761503259051E-2"/>
    <n v="0.72154249618909772"/>
    <n v="0.195986366220219"/>
    <n v="0.2131767304867791"/>
    <n v="199.46934255301471"/>
    <n v="0.43227508871075138"/>
    <n v="199.46934255301471"/>
    <n v="199.46934255301471"/>
    <n v="0.43227508871075138"/>
    <n v="458.49564927019162"/>
    <n v="-0.30495944126974722"/>
    <x v="0"/>
    <x v="1"/>
  </r>
  <r>
    <d v="2026-03-09T15:54:59"/>
    <s v="03-09_15-54-59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60"/>
    <n v="40"/>
    <n v="120"/>
    <n v="0.141243821982934"/>
    <n v="36.324223066556293"/>
    <n v="0.60210503627220202"/>
    <n v="8.821272769749175E-2"/>
    <n v="50.743565042011546"/>
    <n v="0.52723040254253828"/>
    <n v="50.743565042011546"/>
    <n v="50.743565042011546"/>
    <n v="0.52723040254253828"/>
    <n v="83.33369098736496"/>
    <n v="0.16174734888693301"/>
    <n v="0.8"/>
    <s v="identity"/>
    <n v="9.2888058085569825E-2"/>
    <n v="0.32551259789119319"/>
    <n v="9.2888058085569825E-2"/>
    <n v="9.2888058085569825E-2"/>
    <n v="0.32551259789119319"/>
    <n v="0.16070154902860631"/>
    <n v="-0.16690102638720419"/>
    <n v="0.10671516690925729"/>
    <n v="0.63025473909935781"/>
    <n v="0.10671516690925729"/>
    <n v="0.10671516690925729"/>
    <n v="0.63025473909935781"/>
    <n v="0.21185403204525771"/>
    <n v="0.26597102717334831"/>
    <n v="6.7229369746615406E-2"/>
    <n v="0.73009534524505126"/>
    <n v="6.7229369746615406E-2"/>
    <n v="6.7229369746615406E-2"/>
    <n v="0.73009534524505126"/>
    <n v="0.12573078122475409"/>
    <n v="0.4952306822682111"/>
    <n v="202.7074275733043"/>
    <n v="0.42305892793455419"/>
    <n v="202.7074275733043"/>
    <n v="202.7074275733043"/>
    <n v="0.42305892793455419"/>
    <n v="332.83647758716251"/>
    <n v="5.2688712493367929E-2"/>
    <x v="1"/>
    <x v="1"/>
  </r>
  <r>
    <d v="2026-03-09T15:56:25"/>
    <s v="03-09_15-56-25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60"/>
    <n v="40"/>
    <n v="120"/>
    <n v="0.13836150901107039"/>
    <n v="34.114266884951022"/>
    <n v="0.62278369446214721"/>
    <n v="-9.5708130349052567E-3"/>
    <n v="38.648803112036909"/>
    <n v="0.5935522541906848"/>
    <n v="38.648803112036909"/>
    <n v="38.648803112036909"/>
    <n v="0.5935522541906848"/>
    <n v="101.17141308307031"/>
    <n v="-7.8608412992740018E-3"/>
    <n v="0.8"/>
    <s v="identity"/>
    <n v="9.0854043396861275E-2"/>
    <n v="0.3402821744278709"/>
    <n v="9.0854043396861275E-2"/>
    <n v="9.0854043396861275E-2"/>
    <n v="0.3402821744278709"/>
    <n v="0.18239413238585059"/>
    <n v="-0.32441722917161209"/>
    <n v="0.106052483074158"/>
    <n v="0.63255079705063078"/>
    <n v="0.106052483074158"/>
    <n v="0.106052483074158"/>
    <n v="0.63255079705063078"/>
    <n v="0.30919304520900598"/>
    <n v="-7.1287863576876109E-2"/>
    <n v="3.9677369265258923E-2"/>
    <n v="0.84070791242746312"/>
    <n v="3.9677369265258923E-2"/>
    <n v="3.9677369265258923E-2"/>
    <n v="0.84070791242746312"/>
    <n v="0.12097466789121079"/>
    <n v="0.51432497293468027"/>
    <n v="154.35862855241049"/>
    <n v="0.56066813285677575"/>
    <n v="154.35862855241049"/>
    <n v="154.35862855241049"/>
    <n v="0.56066813285677575"/>
    <n v="404.0730904867961"/>
    <n v="-0.1500632453832775"/>
    <x v="1"/>
    <x v="0"/>
  </r>
  <r>
    <d v="2026-03-09T18:39:35"/>
    <s v="03-09_18-39-35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60"/>
    <n v="40"/>
    <n v="120"/>
    <n v="0.12105920555711611"/>
    <n v="30.626794281235789"/>
    <n v="0.68944429598359602"/>
    <n v="6.7737074389096819E-2"/>
    <n v="38.762252314407881"/>
    <n v="0.67709605080690483"/>
    <n v="38.762252314407881"/>
    <n v="38.762252314407881"/>
    <n v="0.67709605080690483"/>
    <n v="107.4122989382372"/>
    <n v="0.1822323758416603"/>
    <n v="0.8"/>
    <s v="identity"/>
    <n v="4.951718418515326E-2"/>
    <n v="0.64044121914982943"/>
    <n v="4.951718418515326E-2"/>
    <n v="4.951718418515326E-2"/>
    <n v="0.64044121914982943"/>
    <n v="0.13760353103174411"/>
    <n v="8.2044904954270415E-4"/>
    <n v="8.0487150901826801E-2"/>
    <n v="0.72112921273270558"/>
    <n v="8.0487150901826801E-2"/>
    <n v="8.0487150901826801E-2"/>
    <n v="0.72112921273270558"/>
    <n v="0.16809470985637931"/>
    <n v="0.4175877323537861"/>
    <n v="5.2908282158767347E-2"/>
    <n v="0.78758998212297771"/>
    <n v="5.2908282158767347E-2"/>
    <n v="5.2908282158767347E-2"/>
    <n v="0.78758998212297771"/>
    <n v="0.11652799921711569"/>
    <n v="0.53217694117140024"/>
    <n v="154.86609664038579"/>
    <n v="0.55922378922210769"/>
    <n v="154.86609664038579"/>
    <n v="154.86609664038579"/>
    <n v="0.55922378922210769"/>
    <n v="429.22696951284303"/>
    <n v="-0.22165561920807991"/>
    <x v="0"/>
    <x v="0"/>
  </r>
  <r>
    <d v="2026-03-09T18:40:05"/>
    <s v="03-09_18-40-05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60"/>
    <n v="40"/>
    <n v="120"/>
    <n v="0.13185327266232641"/>
    <n v="38.274356284050143"/>
    <n v="0.63213805037825699"/>
    <n v="-0.1167526662100393"/>
    <n v="53.485651815748021"/>
    <n v="0.60227216982847764"/>
    <n v="53.485651815748021"/>
    <n v="53.485651815748021"/>
    <n v="0.60227216982847764"/>
    <n v="91.752681580964463"/>
    <n v="-5.1015239830499631E-2"/>
    <n v="0.8"/>
    <s v="identity"/>
    <n v="5.492281143223627E-2"/>
    <n v="0.60118937608411671"/>
    <n v="5.492281143223627E-2"/>
    <n v="5.492281143223627E-2"/>
    <n v="0.60118937608411671"/>
    <n v="0.13090477536010081"/>
    <n v="4.946207643899736E-2"/>
    <n v="7.9635108080096842E-2"/>
    <n v="0.72408135912898064"/>
    <n v="7.9635108080096842E-2"/>
    <n v="7.9635108080096842E-2"/>
    <n v="0.72408135912898064"/>
    <n v="0.29825913886257382"/>
    <n v="-3.3404213372192348E-2"/>
    <n v="7.6684725089020578E-2"/>
    <n v="0.69213508429220028"/>
    <n v="7.6684725089020578E-2"/>
    <n v="7.6684725089020578E-2"/>
    <n v="0.69213508429220028"/>
    <n v="0.29332271521643438"/>
    <n v="-0.1775979230604279"/>
    <n v="213.73136461838959"/>
    <n v="0.39168285980861689"/>
    <n v="213.73136461838959"/>
    <n v="213.73136461838959"/>
    <n v="0.39168285980861689"/>
    <n v="366.28823969441822"/>
    <n v="-4.2520899328374773E-2"/>
    <x v="0"/>
    <x v="1"/>
  </r>
  <r>
    <d v="2026-03-09T18:40:53"/>
    <s v="03-09_18-40-53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60"/>
    <n v="40"/>
    <n v="120"/>
    <n v="0.14908250076880231"/>
    <n v="39.857448092618689"/>
    <n v="0.51447871560587144"/>
    <n v="-0.35370762101253328"/>
    <n v="53.335476750914673"/>
    <n v="0.46290326327387282"/>
    <n v="53.335476750914673"/>
    <n v="53.335476750914673"/>
    <n v="0.46290326327387282"/>
    <n v="92.728307543845219"/>
    <n v="-9.0955514520716652E-3"/>
    <n v="0.8"/>
    <s v="identity"/>
    <n v="0.11441462814089599"/>
    <n v="0.16920186632702719"/>
    <n v="0.11441462814089599"/>
    <n v="0.11441462814089599"/>
    <n v="0.16920186632702719"/>
    <n v="0.14741104307598199"/>
    <n v="-7.0394769098036214E-2"/>
    <n v="0.1130164219861064"/>
    <n v="0.60842223609280577"/>
    <n v="0.1130164219861064"/>
    <n v="0.1130164219861064"/>
    <n v="0.60842223609280577"/>
    <n v="0.26470312213113117"/>
    <n v="8.2860217640727485E-2"/>
    <n v="7.962677483346553E-2"/>
    <n v="0.68032368514419206"/>
    <n v="7.962677483346553E-2"/>
    <n v="7.962677483346553E-2"/>
    <n v="0.68032368514419206"/>
    <n v="0.24785055750056589"/>
    <n v="4.9584072386811284E-3"/>
    <n v="213.0348491786992"/>
    <n v="0.39366526553146469"/>
    <n v="213.0348491786992"/>
    <n v="213.0348491786992"/>
    <n v="0.39366526553146469"/>
    <n v="370.25326545267342"/>
    <n v="-5.3806061589671828E-2"/>
    <x v="1"/>
    <x v="1"/>
  </r>
  <r>
    <d v="2026-03-09T18:43:16"/>
    <s v="03-09_18-43-16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60"/>
    <n v="40"/>
    <n v="120"/>
    <n v="0.12321119845034061"/>
    <n v="28.870691204457419"/>
    <n v="0.65009765907627792"/>
    <n v="-0.27356805301731801"/>
    <n v="39.47735006610521"/>
    <n v="0.58589814419219621"/>
    <n v="39.47735006610521"/>
    <n v="39.47735006610521"/>
    <n v="0.58589814419219621"/>
    <n v="102.5489346544193"/>
    <n v="-0.21102798277452131"/>
    <n v="0.8"/>
    <s v="identity"/>
    <n v="8.8493418647107372E-2"/>
    <n v="0.35742336230100408"/>
    <n v="8.8493418647107372E-2"/>
    <n v="8.8493418647107372E-2"/>
    <n v="0.35742336230100408"/>
    <n v="0.22931740060475"/>
    <n v="-0.66514082628099036"/>
    <n v="0.1136428775525582"/>
    <n v="0.60625170135468975"/>
    <n v="0.1136428775525582"/>
    <n v="0.1136428775525582"/>
    <n v="0.60625170135468975"/>
    <n v="0.40909622454214589"/>
    <n v="-0.4174310424442762"/>
    <n v="4.2678650898245359E-2"/>
    <n v="0.82865871598212004"/>
    <n v="4.2678650898245359E-2"/>
    <n v="4.2678650898245359E-2"/>
    <n v="0.82865871598212004"/>
    <n v="0.14852738067958859"/>
    <n v="0.40370954606488169"/>
    <n v="157.6645853173236"/>
    <n v="0.55125879713097348"/>
    <n v="157.6645853173236"/>
    <n v="157.6645853173236"/>
    <n v="0.55125879713097348"/>
    <n v="409.40879761185062"/>
    <n v="-0.16524960843769981"/>
    <x v="1"/>
    <x v="0"/>
  </r>
  <r>
    <d v="2026-03-09T20:55:45"/>
    <s v="03-09_20-55-45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60"/>
    <n v="40"/>
    <n v="120"/>
    <n v="0.10295457962454591"/>
    <n v="36.244581326337922"/>
    <n v="0.67465609845307017"/>
    <n v="-0.37411311523173918"/>
    <n v="47.053422496462233"/>
    <n v="0.63297748955519717"/>
    <n v="47.053422496462233"/>
    <n v="47.053422496462233"/>
    <n v="0.63297748955519717"/>
    <n v="127.61501350116311"/>
    <n v="-0.190978471265799"/>
    <n v="0.8"/>
    <s v="identity"/>
    <n v="5.5639834993071548E-2"/>
    <n v="0.59598285795071915"/>
    <n v="5.5639834993071548E-2"/>
    <n v="5.5639834993071548E-2"/>
    <n v="0.59598285795071915"/>
    <n v="0.17317340889683919"/>
    <n v="-0.25746285462824819"/>
    <n v="6.5672076524234818E-2"/>
    <n v="0.77246028121768562"/>
    <n v="6.5672076524234818E-2"/>
    <n v="6.5672076524234818E-2"/>
    <n v="0.77246028121768562"/>
    <n v="0.26944299204539718"/>
    <n v="6.6437580738743063E-2"/>
    <n v="7.5075103229896967E-2"/>
    <n v="0.69859720693012139"/>
    <n v="7.5075103229896967E-2"/>
    <n v="7.5075103229896967E-2"/>
    <n v="0.69859720693012139"/>
    <n v="0.2794951370705438"/>
    <n v="-0.12208457049398409"/>
    <n v="188.01730297110191"/>
    <n v="0.46486961212226002"/>
    <n v="188.01730297110191"/>
    <n v="188.01730297110191"/>
    <n v="0.46486961212226002"/>
    <n v="509.73794246664039"/>
    <n v="-0.4508040406797027"/>
    <x v="0"/>
    <x v="0"/>
  </r>
  <r>
    <d v="2026-03-09T20:56:54"/>
    <s v="03-09_20-56-54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60"/>
    <n v="40"/>
    <n v="120"/>
    <n v="0.11692419366346871"/>
    <n v="17.9188279345937"/>
    <n v="0.70240668957073304"/>
    <n v="-0.2020035337485952"/>
    <n v="25.195567819335881"/>
    <n v="0.67298068574454528"/>
    <n v="25.195567819335881"/>
    <n v="25.195567819335881"/>
    <n v="0.67298068574454528"/>
    <n v="140.73028589881201"/>
    <n v="-0.181249425988525"/>
    <n v="0.8"/>
    <s v="identity"/>
    <n v="5.7626629347184002E-2"/>
    <n v="0.58155616209714389"/>
    <n v="5.7626629347184002E-2"/>
    <n v="5.7626629347184002E-2"/>
    <n v="0.58155616209714389"/>
    <n v="0.15172883945725041"/>
    <n v="-0.10174755355773191"/>
    <n v="6.4296866514130774E-2"/>
    <n v="0.77722509018257691"/>
    <n v="6.4296866514130774E-2"/>
    <n v="6.4296866514130774E-2"/>
    <n v="0.77722509018257691"/>
    <n v="0.27215457353932571"/>
    <n v="5.7042530007308863E-2"/>
    <n v="9.4809775589742643E-2"/>
    <n v="0.61936873951979987"/>
    <n v="9.4809775589742643E-2"/>
    <n v="9.4809775589742643E-2"/>
    <n v="0.61936873951979987"/>
    <n v="0.26903540216741262"/>
    <n v="-8.0092043291986492E-2"/>
    <n v="100.56553800589241"/>
    <n v="0.71377275117866024"/>
    <n v="100.56553800589241"/>
    <n v="100.56553800589241"/>
    <n v="0.71377275117866024"/>
    <n v="562.22822478008482"/>
    <n v="-0.60020063711169613"/>
    <x v="0"/>
    <x v="1"/>
  </r>
  <r>
    <d v="2026-03-09T20:58:03"/>
    <s v="03-09_20-58-03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60"/>
    <n v="40"/>
    <n v="120"/>
    <n v="0.13407457667988579"/>
    <n v="17.855951387524119"/>
    <n v="0.62325370359198584"/>
    <n v="-0.121960660697171"/>
    <n v="25.525240563113179"/>
    <n v="0.56300392761960805"/>
    <n v="25.525240563113179"/>
    <n v="25.525240563113179"/>
    <n v="0.56300392761960805"/>
    <n v="123.63872347392611"/>
    <n v="-5.3409303142653269E-2"/>
    <n v="0.8"/>
    <s v="identity"/>
    <n v="8.5084475818110641E-2"/>
    <n v="0.38217669486124889"/>
    <n v="8.5084475818110641E-2"/>
    <n v="8.5084475818110641E-2"/>
    <n v="0.38217669486124889"/>
    <n v="0.2007533302030749"/>
    <n v="-0.45772874300618738"/>
    <n v="0.12983981930512339"/>
    <n v="0.55013275755744018"/>
    <n v="0.12983981930512339"/>
    <n v="0.12983981930512339"/>
    <n v="0.55013275755744018"/>
    <n v="0.11596675528098579"/>
    <n v="0.59819996136416631"/>
    <n v="9.7289113868011742E-2"/>
    <n v="0.60941498055196963"/>
    <n v="9.7289113868011742E-2"/>
    <n v="9.7289113868011742E-2"/>
    <n v="0.60941498055196963"/>
    <n v="0.2361559906119787"/>
    <n v="5.1908394282575883E-2"/>
    <n v="101.7887488434616"/>
    <n v="0.71029127750777521"/>
    <n v="101.7887488434616"/>
    <n v="101.7887488434616"/>
    <n v="0.71029127750777521"/>
    <n v="494.00201781960988"/>
    <n v="-0.40601682521116378"/>
    <x v="1"/>
    <x v="1"/>
  </r>
  <r>
    <d v="2026-03-09T21:01:16"/>
    <s v="03-09_21-01-16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60"/>
    <n v="40"/>
    <n v="120"/>
    <n v="0.13172836397919779"/>
    <n v="38.411907349703533"/>
    <n v="0.59112377628551716"/>
    <n v="-0.59214406707300127"/>
    <n v="49.192137382751497"/>
    <n v="0.50958929276368248"/>
    <n v="49.192137382751497"/>
    <n v="49.192137382751497"/>
    <n v="0.50958929276368248"/>
    <n v="116.4833568945737"/>
    <n v="-0.42402256442680969"/>
    <n v="0.8"/>
    <s v="identity"/>
    <n v="7.7022830539449846E-2"/>
    <n v="0.44071466295740153"/>
    <n v="7.7022830539449846E-2"/>
    <n v="7.7022830539449846E-2"/>
    <n v="0.44071466295740153"/>
    <n v="0.22987955649127059"/>
    <n v="-0.66922280486138153"/>
    <n v="0.1578087614694699"/>
    <n v="0.45322634662088751"/>
    <n v="0.1578087614694699"/>
    <n v="0.1578087614694699"/>
    <n v="0.45322634662088751"/>
    <n v="0.33685489757251869"/>
    <n v="-0.16713027394239699"/>
    <n v="7.3835052084214023E-2"/>
    <n v="0.70357562004949892"/>
    <n v="7.3835052084214023E-2"/>
    <n v="7.3835052084214023E-2"/>
    <n v="0.70357562004949892"/>
    <n v="0.38267290917236468"/>
    <n v="-0.5363106901569421"/>
    <n v="196.45988288691279"/>
    <n v="0.44084054142693607"/>
    <n v="196.45988288691279"/>
    <n v="196.45988288691279"/>
    <n v="0.44084054142693607"/>
    <n v="464.98402021505848"/>
    <n v="-0.32342648874651592"/>
    <x v="1"/>
    <x v="0"/>
  </r>
  <r>
    <d v="2026-03-09T23:15:17"/>
    <s v="03-09_23-15-17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60"/>
    <n v="40"/>
    <n v="120"/>
    <n v="0.12079123302917109"/>
    <n v="26.75034778320348"/>
    <n v="0.68742955405347761"/>
    <n v="-0.1194884935292011"/>
    <n v="36.35138345624096"/>
    <n v="0.68031869607599527"/>
    <n v="36.35138345624096"/>
    <n v="36.35138345624096"/>
    <n v="0.68031869607599527"/>
    <n v="106.6249558170522"/>
    <n v="-3.4196423796922892E-2"/>
    <n v="0.8"/>
    <s v="identity"/>
    <n v="5.8113169225273847E-2"/>
    <n v="0.57802325350632322"/>
    <n v="5.8113169225273847E-2"/>
    <n v="5.8113169225273847E-2"/>
    <n v="0.57802325350632322"/>
    <n v="0.148362116913209"/>
    <n v="-7.730079485534036E-2"/>
    <n v="7.2116626477049195E-2"/>
    <n v="0.75013129207112161"/>
    <n v="7.2116626477049195E-2"/>
    <n v="7.2116626477049195E-2"/>
    <n v="0.75013129207112161"/>
    <n v="0.26625089931231799"/>
    <n v="7.7497500285277909E-2"/>
    <n v="4.8207494913890529E-2"/>
    <n v="0.80646215604319837"/>
    <n v="4.8207494913890529E-2"/>
    <n v="4.8207494913890529E-2"/>
    <n v="0.80646215604319837"/>
    <n v="0.2303853974813696"/>
    <n v="7.5075500452371879E-2"/>
    <n v="145.22709653434811"/>
    <n v="0.58665808268333408"/>
    <n v="145.22709653434811"/>
    <n v="145.22709653434811"/>
    <n v="0.58665808268333408"/>
    <n v="425.85482485450302"/>
    <n v="-0.21205790107000649"/>
    <x v="0"/>
    <x v="0"/>
  </r>
  <r>
    <d v="2026-03-09T23:17:42"/>
    <s v="03-09_23-17-42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60"/>
    <n v="40"/>
    <n v="120"/>
    <n v="0.1470144266645535"/>
    <n v="20.51335391777916"/>
    <n v="0.61618668868160742"/>
    <n v="-0.2155565846189168"/>
    <n v="31.727931062373031"/>
    <n v="0.57547275773707751"/>
    <n v="31.727931062373031"/>
    <n v="31.727931062373031"/>
    <n v="0.57547275773707751"/>
    <n v="141.73672415404221"/>
    <n v="-0.18487368891322539"/>
    <n v="0.8"/>
    <s v="identity"/>
    <n v="8.1096097340595336E-2"/>
    <n v="0.41113747941600631"/>
    <n v="8.1096097340595336E-2"/>
    <n v="8.1096097340595336E-2"/>
    <n v="0.41113747941600631"/>
    <n v="0.17420944066480509"/>
    <n v="-0.26498578480979851"/>
    <n v="0.1109586207335103"/>
    <n v="0.61555207792372157"/>
    <n v="0.1109586207335103"/>
    <n v="0.1109586207335103"/>
    <n v="0.61555207792372157"/>
    <n v="0.33367319982874688"/>
    <n v="-0.15610637081362941"/>
    <n v="9.0764395822995711E-2"/>
    <n v="0.63560965972196282"/>
    <n v="9.0764395822995711E-2"/>
    <n v="9.0764395822995711E-2"/>
    <n v="0.63560965972196282"/>
    <n v="0.17603337890691739"/>
    <n v="0.2932816633817904"/>
    <n v="126.6289051355952"/>
    <n v="0.63959181388662012"/>
    <n v="126.6289051355952"/>
    <n v="126.6289051355952"/>
    <n v="0.63959181388662012"/>
    <n v="566.26298059677038"/>
    <n v="-0.61168426341127535"/>
    <x v="1"/>
    <x v="1"/>
  </r>
  <r>
    <d v="2026-03-09T23:16:44"/>
    <s v="03-09_23-16-44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60"/>
    <n v="40"/>
    <n v="120"/>
    <n v="0.12247018833846469"/>
    <n v="20.81599983690381"/>
    <n v="0.69906040256034641"/>
    <n v="-2.3129365446347441E-2"/>
    <n v="32.785482987981773"/>
    <n v="0.67151036243695528"/>
    <n v="32.785482987981773"/>
    <n v="32.785482987981773"/>
    <n v="0.67151036243695528"/>
    <n v="133.57890257624689"/>
    <n v="-1.5073184807416229E-2"/>
    <n v="0.8"/>
    <s v="identity"/>
    <n v="5.5016846883479333E-2"/>
    <n v="0.6005065571241528"/>
    <n v="5.5016846883479333E-2"/>
    <n v="5.5016846883479333E-2"/>
    <n v="0.6005065571241528"/>
    <n v="0.1501678224355637"/>
    <n v="-9.0412551650003836E-2"/>
    <n v="5.8543278840564782E-2"/>
    <n v="0.79716004260865825"/>
    <n v="5.8543278840564782E-2"/>
    <n v="5.8543278840564782E-2"/>
    <n v="0.79716004260865825"/>
    <n v="0.21677781495297191"/>
    <n v="0.2489111710295728"/>
    <n v="8.4423983845804892E-2"/>
    <n v="0.661064408325998"/>
    <n v="8.4423983845804892E-2"/>
    <n v="8.4423983845804892E-2"/>
    <n v="0.661064408325998"/>
    <n v="0.17425414934847799"/>
    <n v="0.30042470728522608"/>
    <n v="130.9439478423574"/>
    <n v="0.6273104416890114"/>
    <n v="130.9439478423574"/>
    <n v="130.9439478423574"/>
    <n v="0.6273104416890114"/>
    <n v="533.77441051824917"/>
    <n v="-0.51921606589445246"/>
    <x v="0"/>
    <x v="1"/>
  </r>
  <r>
    <d v="2026-03-09T23:23:08"/>
    <s v="03-09_23-23-08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60"/>
    <n v="40"/>
    <n v="120"/>
    <n v="0.1319867785875681"/>
    <n v="29.29678168442976"/>
    <n v="0.62224598180541468"/>
    <n v="-5.3040542394878182E-2"/>
    <n v="38.195809728708937"/>
    <n v="0.58156083898681854"/>
    <n v="38.195809728708937"/>
    <n v="38.195809728708937"/>
    <n v="0.58156083898681854"/>
    <n v="103.81655496522011"/>
    <n v="1.8629976287501741E-2"/>
    <n v="0.8"/>
    <s v="identity"/>
    <n v="8.8482761404791554E-2"/>
    <n v="0.35750074765958939"/>
    <n v="8.8482761404791554E-2"/>
    <n v="8.8482761404791554E-2"/>
    <n v="0.35750074765958939"/>
    <n v="0.17027499726130579"/>
    <n v="-0.23641663862821161"/>
    <n v="0.1162363977245717"/>
    <n v="0.59726570788791644"/>
    <n v="0.1162363977245717"/>
    <n v="0.1162363977245717"/>
    <n v="0.59726570788791644"/>
    <n v="0.13472941459013929"/>
    <n v="0.53319135422445307"/>
    <n v="4.8421137404748307E-2"/>
    <n v="0.80560444901793127"/>
    <n v="4.8421137404748307E-2"/>
    <n v="4.8421137404748307E-2"/>
    <n v="0.80560444901793127"/>
    <n v="0.2595324552412418"/>
    <n v="-4.1940717183624798E-2"/>
    <n v="152.53009861830131"/>
    <n v="0.5658724513818445"/>
    <n v="152.53009861830131"/>
    <n v="152.53009861830131"/>
    <n v="0.5658724513818445"/>
    <n v="414.70168299378759"/>
    <n v="-0.18031409326260789"/>
    <x v="1"/>
    <x v="0"/>
  </r>
  <r>
    <d v="2026-03-10T01:35:43"/>
    <s v="03-10_01-35-43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60"/>
    <n v="40"/>
    <n v="120"/>
    <n v="0.13100494471832949"/>
    <n v="27.456585753052909"/>
    <n v="0.6316322517939672"/>
    <n v="-0.42152663270451263"/>
    <n v="31.70898950802566"/>
    <n v="0.61152167754342235"/>
    <n v="31.70898950802566"/>
    <n v="31.70898950802566"/>
    <n v="0.61152167754342235"/>
    <n v="133.89653517499821"/>
    <n v="-0.38155637389977659"/>
    <n v="0.8"/>
    <s v="identity"/>
    <n v="0.1015199364418737"/>
    <n v="0.26283400036362681"/>
    <n v="0.1015199364418737"/>
    <n v="0.1015199364418737"/>
    <n v="0.26283400036362681"/>
    <n v="0.21055329884850521"/>
    <n v="-0.5288891863251215"/>
    <n v="5.318983808511548E-2"/>
    <n v="0.81570857142764863"/>
    <n v="5.318983808511548E-2"/>
    <n v="5.318983808511548E-2"/>
    <n v="0.81570857142764863"/>
    <n v="0.2156716598025987"/>
    <n v="0.25274376237077462"/>
    <n v="6.7774105076165006E-2"/>
    <n v="0.72790840519773203"/>
    <n v="6.7774105076165006E-2"/>
    <n v="6.7774105076165006E-2"/>
    <n v="0.72790840519773203"/>
    <n v="0.43045626954192168"/>
    <n v="-0.72814576807280873"/>
    <n v="126.6134741524999"/>
    <n v="0.63963573318467737"/>
    <n v="126.6134741524999"/>
    <n v="126.6134741524999"/>
    <n v="0.63963573318467737"/>
    <n v="534.7294594718004"/>
    <n v="-0.52193430357194259"/>
    <x v="0"/>
    <x v="0"/>
  </r>
  <r>
    <d v="2026-03-10T01:38:31"/>
    <s v="03-10_01-38-31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60"/>
    <n v="40"/>
    <n v="120"/>
    <n v="0.1183279342859563"/>
    <n v="22.460168516109231"/>
    <n v="0.64286938042332509"/>
    <n v="-0.23922392859800309"/>
    <n v="36.518881199062463"/>
    <n v="0.60420172774053671"/>
    <n v="36.518881199062463"/>
    <n v="36.518881199062463"/>
    <n v="0.60420172774053671"/>
    <n v="157.72746873163319"/>
    <n v="-0.2231624611911795"/>
    <n v="0.8"/>
    <s v="identity"/>
    <n v="8.3760971544354287E-2"/>
    <n v="0.39178704712486789"/>
    <n v="8.3760971544354287E-2"/>
    <n v="8.3760971544354287E-2"/>
    <n v="0.39178704712486789"/>
    <n v="0.16119008398378409"/>
    <n v="-0.17044842181723549"/>
    <n v="5.5515133705992557E-2"/>
    <n v="0.8076519187426241"/>
    <n v="5.5515133705992557E-2"/>
    <n v="5.5515133705992557E-2"/>
    <n v="0.8076519187426241"/>
    <n v="0.29288667776303579"/>
    <n v="-1.47897831233379E-2"/>
    <n v="9.154701892701736E-2"/>
    <n v="0.63246767550449445"/>
    <n v="9.154701892701736E-2"/>
    <n v="9.154701892701736E-2"/>
    <n v="0.63246767550449445"/>
    <n v="0.2275823227543135"/>
    <n v="8.632895886362657E-2"/>
    <n v="145.8447016720724"/>
    <n v="0.58490026959016117"/>
    <n v="145.8447016720724"/>
    <n v="145.8447016720724"/>
    <n v="0.58490026959016117"/>
    <n v="630.22821584203132"/>
    <n v="-0.79374059868776037"/>
    <x v="0"/>
    <x v="1"/>
  </r>
  <r>
    <d v="2026-03-10T01:38:04"/>
    <s v="03-10_01-38-04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60"/>
    <n v="40"/>
    <n v="120"/>
    <n v="0.1277316103973766"/>
    <n v="26.576257919086991"/>
    <n v="0.64994613216604757"/>
    <n v="-5.1587704112767717E-2"/>
    <n v="42.966550690266949"/>
    <n v="0.57480083903843637"/>
    <n v="42.966550690266949"/>
    <n v="42.966550690266949"/>
    <n v="0.57480083903843637"/>
    <n v="99.315058058715508"/>
    <n v="3.7811300609649517E-2"/>
    <n v="0.8"/>
    <s v="identity"/>
    <n v="8.919082940038156E-2"/>
    <n v="0.35235925850904709"/>
    <n v="8.919082940038156E-2"/>
    <n v="8.919082940038156E-2"/>
    <n v="0.35235925850904709"/>
    <n v="0.24778311244853971"/>
    <n v="-0.79922576966665004"/>
    <n v="9.5340187027959489E-2"/>
    <n v="0.66966661489697854"/>
    <n v="9.5340187027959489E-2"/>
    <n v="9.5340187027959489E-2"/>
    <n v="0.66966661489697854"/>
    <n v="9.2006546464354619E-2"/>
    <n v="0.68121696744421434"/>
    <n v="5.8373803577724669E-2"/>
    <n v="0.76564764238069993"/>
    <n v="5.8373803577724669E-2"/>
    <n v="5.8373803577724669E-2"/>
    <n v="0.76564764238069993"/>
    <n v="0.14981674694147121"/>
    <n v="0.39853314835242798"/>
    <n v="171.62329794106219"/>
    <n v="0.51152984036701443"/>
    <n v="171.62329794106219"/>
    <n v="171.62329794106219"/>
    <n v="0.51152984036701443"/>
    <n v="396.77062582900697"/>
    <n v="-0.12927914369138799"/>
    <x v="1"/>
    <x v="1"/>
  </r>
  <r>
    <d v="2026-03-10T01:46:17"/>
    <s v="03-10_01-46-17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60"/>
    <n v="40"/>
    <n v="120"/>
    <n v="0.1410887851192362"/>
    <n v="23.991678269102479"/>
    <n v="0.62305637154982718"/>
    <n v="-0.2189597407755797"/>
    <n v="29.438985708548891"/>
    <n v="0.5757233861886214"/>
    <n v="29.438985708548891"/>
    <n v="29.438985708548891"/>
    <n v="0.5757233861886214"/>
    <n v="122.1261220113274"/>
    <n v="-0.21476725645508149"/>
    <n v="0.8"/>
    <s v="identity"/>
    <n v="0.1054177052730631"/>
    <n v="0.2345311589957112"/>
    <n v="0.1054177052730631"/>
    <n v="0.1054177052730631"/>
    <n v="0.2345311589957112"/>
    <n v="0.242086662082974"/>
    <n v="-0.75786217473851969"/>
    <n v="9.7721017633182305E-2"/>
    <n v="0.66141754535246955"/>
    <n v="9.7721017633182305E-2"/>
    <n v="9.7721017633182305E-2"/>
    <n v="0.66141754535246955"/>
    <n v="0.13106696533127371"/>
    <n v="0.54588095867314512"/>
    <n v="6.4429118956519996E-2"/>
    <n v="0.74133746644262544"/>
    <n v="6.4429118956519996E-2"/>
    <n v="6.4429118956519996E-2"/>
    <n v="0.74133746644262544"/>
    <n v="0.31351717948382929"/>
    <n v="-0.25867230954650378"/>
    <n v="117.488374992332"/>
    <n v="0.66560737396368597"/>
    <n v="117.488374992332"/>
    <n v="117.488374992332"/>
    <n v="0.66560737396368597"/>
    <n v="487.81781723841277"/>
    <n v="-0.38841550020844062"/>
    <x v="1"/>
    <x v="0"/>
  </r>
  <r>
    <d v="2026-03-10T03:54:20"/>
    <s v="03-10_03-54-20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60"/>
    <n v="40"/>
    <n v="120"/>
    <n v="0.1224286319582818"/>
    <n v="26.352675661385749"/>
    <n v="0.70911095808807434"/>
    <n v="-0.51077278899995626"/>
    <n v="30.081703153231189"/>
    <n v="0.7041161703292852"/>
    <n v="30.081703153231189"/>
    <n v="30.081703153231189"/>
    <n v="0.7041161703292852"/>
    <n v="125.236867284148"/>
    <n v="-0.31730566586884779"/>
    <n v="0.8"/>
    <s v="identity"/>
    <n v="5.1674667026343407E-2"/>
    <n v="0.62477510418693372"/>
    <n v="5.1674667026343407E-2"/>
    <n v="5.1674667026343407E-2"/>
    <n v="0.62477510418693372"/>
    <n v="0.19902567872011209"/>
    <n v="-0.44518375945814598"/>
    <n v="6.7401799283623484E-2"/>
    <n v="0.766467161294069"/>
    <n v="6.7401799283623484E-2"/>
    <n v="6.7401799283623484E-2"/>
    <n v="0.766467161294069"/>
    <n v="0.29812555805438179"/>
    <n v="-3.2941384402264802E-2"/>
    <n v="5.7989680701020917E-2"/>
    <n v="0.76718977423186785"/>
    <n v="5.7989680701020917E-2"/>
    <n v="5.7989680701020917E-2"/>
    <n v="0.76718977423186785"/>
    <n v="0.340673740708482"/>
    <n v="-0.36769731319143978"/>
    <n v="120.14974646591349"/>
    <n v="0.65803264160427488"/>
    <n v="120.14974646591349"/>
    <n v="120.14974646591349"/>
    <n v="0.65803264160427488"/>
    <n v="500.10964415910831"/>
    <n v="-0.42340020642353232"/>
    <x v="0"/>
    <x v="0"/>
  </r>
  <r>
    <d v="2026-03-10T03:57:33"/>
    <s v="03-10_03-57-33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60"/>
    <n v="40"/>
    <n v="120"/>
    <n v="0.1462908783622818"/>
    <n v="23.548709335515881"/>
    <n v="0.58229323770293395"/>
    <n v="0.17450810485703391"/>
    <n v="35.479147801626837"/>
    <n v="0.53436240276165736"/>
    <n v="35.479147801626837"/>
    <n v="35.479147801626837"/>
    <n v="0.53436240276165736"/>
    <n v="117.14286419172571"/>
    <n v="0.1585450780099123"/>
    <n v="0.8"/>
    <s v="identity"/>
    <n v="9.2037810062852346E-2"/>
    <n v="0.33168649787156068"/>
    <n v="9.2037810062852346E-2"/>
    <n v="9.2037810062852346E-2"/>
    <n v="0.33168649787156068"/>
    <n v="0.15725032065868599"/>
    <n v="-0.14184064612640351"/>
    <n v="0.10935424722579661"/>
    <n v="0.6211108894626296"/>
    <n v="0.10935424722579661"/>
    <n v="0.10935424722579661"/>
    <n v="0.6211108894626296"/>
    <n v="8.5381409183416024E-2"/>
    <n v="0.70417165311252417"/>
    <n v="0.10269641673288089"/>
    <n v="0.58770636988971603"/>
    <n v="0.10269641673288089"/>
    <n v="0.10269641673288089"/>
    <n v="0.58770636988971603"/>
    <n v="0.14836201586404291"/>
    <n v="0.40437343349409149"/>
    <n v="141.61250273248609"/>
    <n v="0.59694585382271814"/>
    <n v="141.61250273248609"/>
    <n v="141.61250273248609"/>
    <n v="0.59694585382271814"/>
    <n v="468.18046302119728"/>
    <n v="-0.33252412844056561"/>
    <x v="1"/>
    <x v="1"/>
  </r>
  <r>
    <d v="2026-03-10T03:57:30"/>
    <s v="03-10_03-57-30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60"/>
    <n v="40"/>
    <n v="120"/>
    <n v="0.12422974942978091"/>
    <n v="27.143865524225891"/>
    <n v="0.67749200633407614"/>
    <n v="-0.26928622474959479"/>
    <n v="43.064376532313482"/>
    <n v="0.63322371375369402"/>
    <n v="43.064376532313482"/>
    <n v="43.064376532313482"/>
    <n v="0.63322371375369402"/>
    <n v="102.7140297695428"/>
    <n v="-0.15060981742802371"/>
    <n v="0.8"/>
    <s v="identity"/>
    <n v="5.2083097503222493E-2"/>
    <n v="0.62180937084112031"/>
    <n v="5.2083097503222493E-2"/>
    <n v="5.2083097503222493E-2"/>
    <n v="0.62180937084112031"/>
    <n v="0.15751633406637841"/>
    <n v="-0.14377224741055669"/>
    <n v="6.9624150756056408E-2"/>
    <n v="0.75876718809638521"/>
    <n v="6.9624150756056408E-2"/>
    <n v="6.9624150756056408E-2"/>
    <n v="0.75876718809638521"/>
    <n v="0.29849769665502468"/>
    <n v="-3.4230765171381787E-2"/>
    <n v="8.9174318333141003E-2"/>
    <n v="0.64199331789919056"/>
    <n v="8.9174318333141003E-2"/>
    <n v="8.9174318333141003E-2"/>
    <n v="0.64199331789919056"/>
    <n v="0.31316453025616842"/>
    <n v="-0.25725653444106711"/>
    <n v="172.04662456266109"/>
    <n v="0.51032497817808053"/>
    <n v="172.04662456266109"/>
    <n v="172.04662456266109"/>
    <n v="0.51032497817808053"/>
    <n v="410.08694051719488"/>
    <n v="-0.16717972268909501"/>
    <x v="0"/>
    <x v="1"/>
  </r>
  <r>
    <d v="2026-03-10T04:05:39"/>
    <s v="03-10_04-05-39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60"/>
    <n v="40"/>
    <n v="120"/>
    <n v="0.12847192303332231"/>
    <n v="27.66231246681641"/>
    <n v="0.65596355318777566"/>
    <n v="-3.7732895592560101E-2"/>
    <n v="31.652900972980909"/>
    <n v="0.64076216950898157"/>
    <n v="31.652900972980909"/>
    <n v="31.652900972980909"/>
    <n v="0.64076216950898157"/>
    <n v="144.2558920200735"/>
    <n v="-8.4659576234222822E-2"/>
    <n v="0.8"/>
    <s v="identity"/>
    <n v="7.1333043246173775E-2"/>
    <n v="0.48202987536563308"/>
    <n v="7.1333043246173775E-2"/>
    <n v="7.1333043246173775E-2"/>
    <n v="0.48202987536563308"/>
    <n v="0.1138876097573592"/>
    <n v="0.17302870120442171"/>
    <n v="9.0089419409379229E-2"/>
    <n v="0.68785940322585271"/>
    <n v="9.0089419409379229E-2"/>
    <n v="9.0089419409379229E-2"/>
    <n v="0.68785940322585271"/>
    <n v="0.15248132100580561"/>
    <n v="0.47168478998203778"/>
    <n v="6.1553114320538567E-2"/>
    <n v="0.75288371537034615"/>
    <n v="6.1553114320538567E-2"/>
    <n v="6.1553114320538567E-2"/>
    <n v="0.75288371537034615"/>
    <n v="0.33445998984192871"/>
    <n v="-0.34275106888346341"/>
    <n v="126.3886283149469"/>
    <n v="0.64027568407409596"/>
    <n v="126.3886283149469"/>
    <n v="126.3886283149469"/>
    <n v="0.64027568407409596"/>
    <n v="576.42273915968906"/>
    <n v="-0.64060072723989725"/>
    <x v="1"/>
    <x v="0"/>
  </r>
  <r>
    <d v="2026-03-10T05:44:07"/>
    <s v="03-10_05-44-07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60"/>
    <n v="40"/>
    <n v="120"/>
    <n v="0.1475047957053337"/>
    <n v="29.34052381277559"/>
    <n v="0.53253348026605729"/>
    <n v="-0.1678855589309094"/>
    <n v="42.630217460641703"/>
    <n v="0.48033498700168709"/>
    <n v="42.630217460641703"/>
    <n v="42.630217460641703"/>
    <n v="0.48033498700168709"/>
    <n v="144.7923904320831"/>
    <n v="-0.1162465704632543"/>
    <n v="0.8"/>
    <s v="identity"/>
    <n v="0.10249074146379129"/>
    <n v="0.25578470069386572"/>
    <n v="0.10249074146379129"/>
    <n v="0.10249074146379129"/>
    <n v="0.25578470069386572"/>
    <n v="0.17588364472731849"/>
    <n v="-0.27714267098007911"/>
    <n v="9.4840772220395567E-2"/>
    <n v="0.67139698053916863"/>
    <n v="9.4840772220395567E-2"/>
    <n v="9.4840772220395567E-2"/>
    <n v="0.67139698053916863"/>
    <n v="8.1959414597623931E-2"/>
    <n v="0.71602813347580907"/>
    <n v="0.1298833553794829"/>
    <n v="0.4785594105040899"/>
    <n v="0.1298833553794829"/>
    <n v="0.1298833553794829"/>
    <n v="0.4785594105040899"/>
    <n v="0.31312009418079412"/>
    <n v="-0.25707813765365478"/>
    <n v="170.1936549735031"/>
    <n v="0.51559885626963142"/>
    <n v="170.1936549735031"/>
    <n v="170.1936549735031"/>
    <n v="0.51559885626963142"/>
    <n v="578.59859857482547"/>
    <n v="-0.64679360669508412"/>
    <x v="1"/>
    <x v="1"/>
  </r>
  <r>
    <d v="2026-03-10T05:43:52"/>
    <s v="03-10_05-43-52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60"/>
    <n v="40"/>
    <n v="120"/>
    <n v="0.1150127327022344"/>
    <n v="34.670842491465848"/>
    <n v="0.6914609084933131"/>
    <n v="7.7905110565417074E-2"/>
    <n v="39.074799004599242"/>
    <n v="0.69684938719877454"/>
    <n v="39.074799004599242"/>
    <n v="39.074799004599242"/>
    <n v="0.69684938719877454"/>
    <n v="112.45303517510921"/>
    <n v="0.16320565346171451"/>
    <n v="0.8"/>
    <s v="identity"/>
    <n v="5.0185268779787663E-2"/>
    <n v="0.63559006118710459"/>
    <n v="5.0185268779787663E-2"/>
    <n v="5.0185268779787663E-2"/>
    <n v="0.63559006118710459"/>
    <n v="0.1422980546645943"/>
    <n v="-3.3267862349351862E-2"/>
    <n v="6.510793438241276E-2"/>
    <n v="0.77441491324848599"/>
    <n v="6.510793438241276E-2"/>
    <n v="6.510793438241276E-2"/>
    <n v="0.77441491324848599"/>
    <n v="0.14690278199432821"/>
    <n v="0.49101323618122727"/>
    <n v="4.4388763308140691E-2"/>
    <n v="0.82179315556820298"/>
    <n v="4.4388763308140691E-2"/>
    <n v="4.4388763308140691E-2"/>
    <n v="0.82179315556820298"/>
    <n v="0.13098766551095731"/>
    <n v="0.47412595462161838"/>
    <n v="156.1395140519262"/>
    <n v="0.55559941879130426"/>
    <n v="156.1395140519262"/>
    <n v="156.1395140519262"/>
    <n v="0.55559941879130426"/>
    <n v="449.39195219827081"/>
    <n v="-0.27904871460664232"/>
    <x v="0"/>
    <x v="0"/>
  </r>
  <r>
    <d v="2026-03-10T05:47:02"/>
    <s v="03-10_05-47-02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60"/>
    <n v="40"/>
    <n v="120"/>
    <n v="0.13101920056077571"/>
    <n v="24.84679267453777"/>
    <n v="0.62058161637759879"/>
    <n v="0.11649892098202751"/>
    <n v="36.503425672555409"/>
    <n v="0.60080671485630144"/>
    <n v="36.503425672555409"/>
    <n v="36.503425672555409"/>
    <n v="0.60080671485630144"/>
    <n v="124.6300560384648"/>
    <n v="0.1172398622306581"/>
    <n v="0.8"/>
    <s v="identity"/>
    <n v="5.7494616755544577E-2"/>
    <n v="0.58251474419925331"/>
    <n v="5.7494616755544577E-2"/>
    <n v="5.7494616755544577E-2"/>
    <n v="0.58251474419925331"/>
    <n v="0.12915781217115441"/>
    <n v="6.2147287941714979E-2"/>
    <n v="6.8740451197059682E-2"/>
    <n v="0.76182901832598005"/>
    <n v="6.8740451197059682E-2"/>
    <n v="6.8740451197059682E-2"/>
    <n v="0.76182901832598005"/>
    <n v="0.18045532973152581"/>
    <n v="0.37476082449245179"/>
    <n v="0.13108593017475231"/>
    <n v="0.47373145307778192"/>
    <n v="0.13108593017475231"/>
    <n v="0.13108593017475231"/>
    <n v="0.47373145307778192"/>
    <n v="0.13708268024194509"/>
    <n v="0.44965639834147192"/>
    <n v="145.75638169209421"/>
    <n v="0.58515164382219309"/>
    <n v="145.75638169209421"/>
    <n v="145.75638169209421"/>
    <n v="0.58515164382219309"/>
    <n v="498.07352833171672"/>
    <n v="-0.41760506185301582"/>
    <x v="0"/>
    <x v="1"/>
  </r>
  <r>
    <d v="2026-03-10T05:55:44"/>
    <s v="03-10_05-55-44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60"/>
    <n v="40"/>
    <n v="120"/>
    <n v="0.13013830804498391"/>
    <n v="41.691373715679433"/>
    <n v="0.56387289494278914"/>
    <n v="2.0679064522918039E-2"/>
    <n v="45.217757231651817"/>
    <n v="0.560753786982503"/>
    <n v="45.217757231651817"/>
    <n v="45.217757231651817"/>
    <n v="0.560753786982503"/>
    <n v="103.2294120477744"/>
    <n v="9.7222929566083194E-2"/>
    <n v="0.8"/>
    <s v="identity"/>
    <n v="9.9808137818989048E-2"/>
    <n v="0.27526387165041039"/>
    <n v="9.9808137818989048E-2"/>
    <n v="9.9808137818989048E-2"/>
    <n v="0.27526387165041039"/>
    <n v="0.15757507638280191"/>
    <n v="-0.14419879257917029"/>
    <n v="9.1671464896580887E-2"/>
    <n v="0.68237795350915531"/>
    <n v="9.1671464896580887E-2"/>
    <n v="9.1671464896580887E-2"/>
    <n v="0.68237795350915531"/>
    <n v="0.23927410985231479"/>
    <n v="0.1709663140072504"/>
    <n v="4.9947394090287672E-2"/>
    <n v="0.79947701118338765"/>
    <n v="4.9947394090287672E-2"/>
    <n v="4.9947394090287672E-2"/>
    <n v="0.79947701118338765"/>
    <n v="0.1156001178156357"/>
    <n v="0.53590209150768775"/>
    <n v="180.62960192980199"/>
    <n v="0.4858963115870597"/>
    <n v="180.62960192980199"/>
    <n v="180.62960192980199"/>
    <n v="0.4858963115870597"/>
    <n v="412.40519888704711"/>
    <n v="-0.1737778946714392"/>
    <x v="1"/>
    <x v="0"/>
  </r>
  <r>
    <d v="2026-03-10T07:30:24"/>
    <s v="03-10_07-30-24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60"/>
    <n v="40"/>
    <n v="120"/>
    <n v="0.1201847814636683"/>
    <n v="28.101702514303991"/>
    <n v="0.63715388565753717"/>
    <n v="0.2104660992221323"/>
    <n v="38.258744377533503"/>
    <n v="0.61038172219901643"/>
    <n v="38.258744377533503"/>
    <n v="38.258744377533503"/>
    <n v="0.61038172219901643"/>
    <n v="114.11701479097231"/>
    <n v="0.1743497033189034"/>
    <n v="0.8"/>
    <s v="identity"/>
    <n v="6.9452427332472713E-2"/>
    <n v="0.49568557845750089"/>
    <n v="6.9452427332472713E-2"/>
    <n v="6.9452427332472713E-2"/>
    <n v="0.49568557845750089"/>
    <n v="9.3967265747716161E-2"/>
    <n v="0.31767615489325229"/>
    <n v="9.0971745172874263E-2"/>
    <n v="0.68480233290425319"/>
    <n v="9.0971745172874263E-2"/>
    <n v="9.0971745172874263E-2"/>
    <n v="0.68480233290425319"/>
    <n v="0.1260550254366701"/>
    <n v="0.56324625994774558"/>
    <n v="7.573913286459967E-2"/>
    <n v="0.69593133798062845"/>
    <n v="7.573913286459967E-2"/>
    <n v="7.573913286459967E-2"/>
    <n v="0.69593133798062845"/>
    <n v="0.22058751297253679"/>
    <n v="0.11441090766580229"/>
    <n v="152.79881420476411"/>
    <n v="0.56510763945368492"/>
    <n v="152.79881420476411"/>
    <n v="152.79881420476411"/>
    <n v="0.56510763945368492"/>
    <n v="456.02744935973209"/>
    <n v="-0.29793450923119469"/>
    <x v="1"/>
    <x v="1"/>
  </r>
  <r>
    <d v="2026-03-10T07:32:13"/>
    <s v="03-10_07-32-13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60"/>
    <n v="40"/>
    <n v="120"/>
    <n v="0.1230935343112821"/>
    <n v="41.838748116154093"/>
    <n v="0.66617130308460726"/>
    <n v="0.1077450441815572"/>
    <n v="48.646366203532772"/>
    <n v="0.65434328508687623"/>
    <n v="48.646366203532772"/>
    <n v="48.646366203532772"/>
    <n v="0.65434328508687623"/>
    <n v="69.177929956717804"/>
    <n v="0.22102118063409051"/>
    <n v="0.8"/>
    <s v="identity"/>
    <n v="5.394851311137458E-2"/>
    <n v="0.60826404162090286"/>
    <n v="5.394851311137458E-2"/>
    <n v="5.394851311137458E-2"/>
    <n v="0.60826404162090286"/>
    <n v="0.154562917291614"/>
    <n v="-0.1223266229803386"/>
    <n v="7.1723463373191229E-2"/>
    <n v="0.75149351825342314"/>
    <n v="7.1723463373191229E-2"/>
    <n v="7.1723463373191229E-2"/>
    <n v="0.75149351825342314"/>
    <n v="0.2010857009722532"/>
    <n v="0.30328099441950512"/>
    <n v="4.7090035122764808E-2"/>
    <n v="0.81094840364990772"/>
    <n v="4.7090035122764808E-2"/>
    <n v="4.7090035122764808E-2"/>
    <n v="0.81094840364990772"/>
    <n v="0.12720145108572611"/>
    <n v="0.48932640795208682"/>
    <n v="194.41270280252311"/>
    <n v="0.44666717682327223"/>
    <n v="194.41270280252311"/>
    <n v="194.41270280252311"/>
    <n v="0.44666717682327223"/>
    <n v="276.22886975752209"/>
    <n v="0.2138039431451042"/>
    <x v="0"/>
    <x v="0"/>
  </r>
  <r>
    <d v="2026-03-10T07:36:36"/>
    <s v="03-10_07-36-36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60"/>
    <n v="40"/>
    <n v="120"/>
    <n v="0.11873103006959509"/>
    <n v="25.729283118409519"/>
    <n v="0.69272459658614438"/>
    <n v="-5.3096425457295196E-3"/>
    <n v="35.601104348167809"/>
    <n v="0.67070983191965294"/>
    <n v="35.601104348167809"/>
    <n v="35.601104348167809"/>
    <n v="0.67070983191965294"/>
    <n v="95.1172738725854"/>
    <n v="0.12517243745284501"/>
    <n v="0.8"/>
    <s v="identity"/>
    <n v="5.1068255946372702E-2"/>
    <n v="0.62917843269190321"/>
    <n v="5.1068255946372702E-2"/>
    <n v="5.1068255946372702E-2"/>
    <n v="0.62917843269190321"/>
    <n v="0.1075439845948179"/>
    <n v="0.2190916219287731"/>
    <n v="7.0609173653831306E-2"/>
    <n v="0.75535429413876631"/>
    <n v="7.0609173653831306E-2"/>
    <n v="7.0609173653831306E-2"/>
    <n v="0.75535429413876631"/>
    <n v="0.24028824720532291"/>
    <n v="0.16745254468057261"/>
    <n v="7.3964022235146601E-2"/>
    <n v="0.70305784568700913"/>
    <n v="7.3964022235146601E-2"/>
    <n v="7.3964022235146601E-2"/>
    <n v="0.70305784568700913"/>
    <n v="0.20039752097485111"/>
    <n v="0.19546733940358291"/>
    <n v="142.20877594083589"/>
    <n v="0.59524875516092945"/>
    <n v="142.20877594083589"/>
    <n v="142.20877594083589"/>
    <n v="0.59524875516092945"/>
    <n v="379.92086573756802"/>
    <n v="-8.1321756201554241E-2"/>
    <x v="0"/>
    <x v="1"/>
  </r>
  <r>
    <d v="2026-03-10T07:44:54"/>
    <s v="03-10_07-44-54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60"/>
    <n v="40"/>
    <n v="120"/>
    <n v="0.12472858981274219"/>
    <n v="48.397229203824573"/>
    <n v="0.61882570519272584"/>
    <n v="0.20782154253528051"/>
    <n v="54.830848622879707"/>
    <n v="0.60377300080901808"/>
    <n v="54.830848622879707"/>
    <n v="54.830848622879707"/>
    <n v="0.60377300080901808"/>
    <n v="87.255649095095606"/>
    <n v="0.31371942602825981"/>
    <n v="0.8"/>
    <s v="identity"/>
    <n v="6.2116303665878517E-2"/>
    <n v="0.54895532158068872"/>
    <n v="6.2116303665878517E-2"/>
    <n v="6.2116303665878517E-2"/>
    <n v="0.54895532158068872"/>
    <n v="9.708383476912924E-2"/>
    <n v="0.29504583420327479"/>
    <n v="9.0414270041169434E-2"/>
    <n v="0.68673386516895074"/>
    <n v="9.0414270041169434E-2"/>
    <n v="9.0414270041169434E-2"/>
    <n v="0.68673386516895074"/>
    <n v="0.14702831078588061"/>
    <n v="0.49057830572918998"/>
    <n v="4.905439673788331E-2"/>
    <n v="0.80306211309652753"/>
    <n v="4.905439673788331E-2"/>
    <n v="4.905439673788331E-2"/>
    <n v="0.80306211309652753"/>
    <n v="0.13411843929783601"/>
    <n v="0.4615568881370129"/>
    <n v="219.121809521074"/>
    <n v="0.37634070338990439"/>
    <n v="219.121809521074"/>
    <n v="219.121809521074"/>
    <n v="0.37634070338990439"/>
    <n v="348.64436579552881"/>
    <n v="7.6966760435568382E-3"/>
    <x v="1"/>
    <x v="0"/>
  </r>
  <r>
    <d v="2026-03-10T09:17:10"/>
    <s v="03-10_09-17-10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60"/>
    <n v="40"/>
    <n v="120"/>
    <n v="0.12146746666050449"/>
    <n v="21.124423986967589"/>
    <n v="0.64244493743369646"/>
    <n v="-0.2207235711467683"/>
    <n v="31.64838611804149"/>
    <n v="0.58604870801238962"/>
    <n v="31.64838611804149"/>
    <n v="31.64838611804149"/>
    <n v="0.58604870801238962"/>
    <n v="158.96075450784471"/>
    <n v="-0.18405085732773691"/>
    <n v="0.8"/>
    <s v="identity"/>
    <n v="8.2855012827127178E-2"/>
    <n v="0.3983654787789932"/>
    <n v="8.2855012827127178E-2"/>
    <n v="8.2855012827127178E-2"/>
    <n v="0.3983654787789932"/>
    <n v="0.166573415722124"/>
    <n v="-0.20953837066230491"/>
    <n v="9.1456601249518751E-2"/>
    <n v="0.6831224101552158"/>
    <n v="9.1456601249518751E-2"/>
    <n v="9.1456601249518751E-2"/>
    <n v="0.6831224101552158"/>
    <n v="0.19093912633065679"/>
    <n v="0.33843670842682139"/>
    <n v="9.4091954866403163E-2"/>
    <n v="0.62225056267594581"/>
    <n v="9.4091954866403163E-2"/>
    <n v="9.4091954866403163E-2"/>
    <n v="0.62225056267594581"/>
    <n v="0.2633202340707762"/>
    <n v="-5.7147451102546487E-2"/>
    <n v="126.3251409032225"/>
    <n v="0.64045638043940145"/>
    <n v="126.3251409032225"/>
    <n v="126.3251409032225"/>
    <n v="0.64045638043940145"/>
    <n v="635.22218525525477"/>
    <n v="-0.80795431597291167"/>
    <x v="1"/>
    <x v="1"/>
  </r>
  <r>
    <d v="2026-03-10T09:46:57"/>
    <s v="03-10_09-46-57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60"/>
    <n v="40"/>
    <n v="120"/>
    <n v="0.11466922127405731"/>
    <n v="29.273877705291781"/>
    <n v="0.64430945494355096"/>
    <n v="0.32135834655689771"/>
    <n v="33.639978306833378"/>
    <n v="0.56793965195976537"/>
    <n v="33.639978306833378"/>
    <n v="33.639978306833378"/>
    <n v="0.56793965195976537"/>
    <n v="94.124338254792576"/>
    <n v="0.2261900041217566"/>
    <n v="0.8"/>
    <s v="identity"/>
    <n v="0.11934830971212471"/>
    <n v="0.1333769590742063"/>
    <n v="0.11934830971212471"/>
    <n v="0.11934830971212471"/>
    <n v="0.1333769590742063"/>
    <n v="0.12568587876914289"/>
    <n v="8.7358013506246057E-2"/>
    <n v="8.7622256900944301E-2"/>
    <n v="0.69640759437605015"/>
    <n v="8.7622256900944301E-2"/>
    <n v="8.7622256900944301E-2"/>
    <n v="0.69640759437605015"/>
    <n v="0.109702481738723"/>
    <n v="0.61990433125196742"/>
    <n v="4.3778888391095561E-2"/>
    <n v="0.82424161045554123"/>
    <n v="4.3778888391095561E-2"/>
    <n v="4.3778888391095561E-2"/>
    <n v="0.82424161045554123"/>
    <n v="0.18235894289130589"/>
    <n v="0.26788652477240837"/>
    <n v="134.30916377232981"/>
    <n v="0.61773244393326632"/>
    <n v="134.30916377232981"/>
    <n v="134.30916377232981"/>
    <n v="0.61773244393326632"/>
    <n v="376.07960571577161"/>
    <n v="-7.0388853043598099E-2"/>
    <x v="0"/>
    <x v="0"/>
  </r>
  <r>
    <d v="2026-03-10T09:52:45"/>
    <s v="03-10_09-52-45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60"/>
    <n v="40"/>
    <n v="120"/>
    <n v="0.1210096140575363"/>
    <n v="19.321378943120799"/>
    <n v="0.69957380809839909"/>
    <n v="-0.22717884011366191"/>
    <n v="30.098785046974712"/>
    <n v="0.66414795741482413"/>
    <n v="30.098785046974712"/>
    <n v="30.098785046974712"/>
    <n v="0.66414795741482413"/>
    <n v="157.61736596965031"/>
    <n v="-0.16311368682988581"/>
    <n v="0.8"/>
    <s v="identity"/>
    <n v="4.8358225967362119E-2"/>
    <n v="0.64885675429591338"/>
    <n v="4.8358225967362119E-2"/>
    <n v="4.8358225967362119E-2"/>
    <n v="0.64885675429591338"/>
    <n v="0.16035088832408589"/>
    <n v="-0.1643547762826354"/>
    <n v="7.9792302327110501E-2"/>
    <n v="0.72353671463694169"/>
    <n v="7.9792302327110501E-2"/>
    <n v="7.9792302327110501E-2"/>
    <n v="0.72353671463694169"/>
    <n v="0.23490378349704211"/>
    <n v="0.1861085614051792"/>
    <n v="9.3099629297044836E-2"/>
    <n v="0.62623443596245165"/>
    <n v="9.3099629297044836E-2"/>
    <n v="9.3099629297044836E-2"/>
    <n v="0.62623443596245165"/>
    <n v="0.21957675479036851"/>
    <n v="0.1184687820624694"/>
    <n v="120.1738900303074"/>
    <n v="0.65796392476399124"/>
    <n v="120.1738900303074"/>
    <n v="120.1738900303074"/>
    <n v="0.65796392476399124"/>
    <n v="629.85463245199094"/>
    <n v="-0.79267731450456114"/>
    <x v="0"/>
    <x v="1"/>
  </r>
  <r>
    <d v="2026-03-10T10:01:56"/>
    <s v="03-10_10-01-56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60"/>
    <n v="40"/>
    <n v="120"/>
    <n v="0.1135048197980511"/>
    <n v="36.194042248902768"/>
    <n v="0.63760421223177199"/>
    <n v="0.24791507629414791"/>
    <n v="42.856341100186782"/>
    <n v="0.5943002691124506"/>
    <n v="42.856341100186782"/>
    <n v="42.856341100186782"/>
    <n v="0.5943002691124506"/>
    <n v="112.2474760322478"/>
    <n v="0.20003235617597639"/>
    <n v="0.8"/>
    <s v="identity"/>
    <n v="8.2395559219800532E-2"/>
    <n v="0.40170170602264799"/>
    <n v="8.2395559219800532E-2"/>
    <n v="8.2395559219800532E-2"/>
    <n v="0.40170170602264799"/>
    <n v="0.13814211642971169"/>
    <n v="-3.0903773082897601E-3"/>
    <n v="0.1021016724496079"/>
    <n v="0.6462395120426192"/>
    <n v="0.1021016724496079"/>
    <n v="0.1021016724496079"/>
    <n v="0.6462395120426192"/>
    <n v="0.1308867444405247"/>
    <n v="0.54650538556765027"/>
    <n v="4.5704355267939242E-2"/>
    <n v="0.81651146997385471"/>
    <n v="4.5704355267939242E-2"/>
    <n v="4.5704355267939242E-2"/>
    <n v="0.81651146997385471"/>
    <n v="0.1161928591709923"/>
    <n v="0.53352242245115056"/>
    <n v="171.19516281380999"/>
    <n v="0.51274838841067893"/>
    <n v="171.19516281380999"/>
    <n v="171.19516281380999"/>
    <n v="0.51274838841067893"/>
    <n v="448.60468240895068"/>
    <n v="-0.27680800600660432"/>
    <x v="1"/>
    <x v="0"/>
  </r>
  <r>
    <d v="2026-03-10T11:52:24"/>
    <s v="03-10_11-52-24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60"/>
    <n v="40"/>
    <n v="120"/>
    <n v="0.1115337044370364"/>
    <n v="22.86741453529616"/>
    <n v="0.67422480896129755"/>
    <n v="7.908804815323861E-2"/>
    <n v="31.801766022272538"/>
    <n v="0.61687802576107975"/>
    <n v="31.801766022272538"/>
    <n v="31.801766022272538"/>
    <n v="0.61687802576107975"/>
    <n v="95.614999099828651"/>
    <n v="0.1890591073598398"/>
    <n v="0.8"/>
    <s v="identity"/>
    <n v="7.1463748310349531E-2"/>
    <n v="0.48108078760348871"/>
    <n v="7.1463748310349531E-2"/>
    <n v="7.1463748310349531E-2"/>
    <n v="0.48108078760348871"/>
    <n v="0.13673863659365429"/>
    <n v="7.1007009427206391E-3"/>
    <n v="9.881699176874166E-2"/>
    <n v="0.65762022905311601"/>
    <n v="9.881699176874166E-2"/>
    <n v="9.881699176874166E-2"/>
    <n v="0.65762022905311601"/>
    <n v="0.16624369450709339"/>
    <n v="0.4240011051954814"/>
    <n v="7.7176563736505222E-2"/>
    <n v="0.69016050769205051"/>
    <n v="7.7176563736505222E-2"/>
    <n v="7.7176563736505222E-2"/>
    <n v="0.69016050769205051"/>
    <n v="0.14636164724216841"/>
    <n v="0.4124042807905125"/>
    <n v="126.9596067852747"/>
    <n v="0.63865057869566544"/>
    <n v="126.9596067852747"/>
    <n v="126.9596067852747"/>
    <n v="0.63865057869566544"/>
    <n v="382.01065242097081"/>
    <n v="-8.7269657489357222E-2"/>
    <x v="1"/>
    <x v="1"/>
  </r>
  <r>
    <d v="2026-03-10T11:58:03"/>
    <s v="03-10_11-58-03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60"/>
    <n v="40"/>
    <n v="120"/>
    <n v="0.1036374589218793"/>
    <n v="32.132166927444153"/>
    <n v="0.70196823551458731"/>
    <n v="-1.379030094953998E-2"/>
    <n v="39.69828401466021"/>
    <n v="0.65006205180967358"/>
    <n v="39.69828401466021"/>
    <n v="39.69828401466021"/>
    <n v="0.65006205180967358"/>
    <n v="95.178407987414104"/>
    <n v="0.1143663018240625"/>
    <n v="0.8"/>
    <s v="identity"/>
    <n v="5.9990782806474872E-2"/>
    <n v="0.56438935123029732"/>
    <n v="5.9990782806474872E-2"/>
    <n v="5.9990782806474872E-2"/>
    <n v="0.56438935123029732"/>
    <n v="0.16112118410425949"/>
    <n v="-0.16994811960719949"/>
    <n v="0.10662189155028209"/>
    <n v="0.63057791829626808"/>
    <n v="0.10662189155028209"/>
    <n v="0.10662189155028209"/>
    <n v="0.63057791829626808"/>
    <n v="0.25660981341693079"/>
    <n v="0.1109018037502825"/>
    <n v="3.5704340799265537E-2"/>
    <n v="0.85665836504195481"/>
    <n v="3.5704340799265537E-2"/>
    <n v="3.5704340799265537E-2"/>
    <n v="0.85665836504195481"/>
    <n v="9.9978950326988419E-2"/>
    <n v="0.59861613796957402"/>
    <n v="158.59081904348361"/>
    <n v="0.54862257267017678"/>
    <n v="158.59081904348361"/>
    <n v="158.59081904348361"/>
    <n v="0.54862257267017678"/>
    <n v="380.19592200180853"/>
    <n v="-8.21046148164013E-2"/>
    <x v="0"/>
    <x v="0"/>
  </r>
  <r>
    <d v="2026-03-10T12:04:57"/>
    <s v="03-10_12-04-57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60"/>
    <n v="40"/>
    <n v="120"/>
    <n v="0.1068714916876294"/>
    <n v="22.80181238543965"/>
    <n v="0.70549559187932753"/>
    <n v="-4.4736513661533923E-2"/>
    <n v="31.485017064239919"/>
    <n v="0.63844135994721862"/>
    <n v="31.485017064239919"/>
    <n v="31.485017064239919"/>
    <n v="0.63844135994721862"/>
    <n v="108.1280817565214"/>
    <n v="2.4047508136528811E-2"/>
    <n v="0.8"/>
    <s v="identity"/>
    <n v="5.9488708749725089E-2"/>
    <n v="0.56803505804323795"/>
    <n v="5.9488708749725089E-2"/>
    <n v="5.9488708749725089E-2"/>
    <n v="0.56803505804323795"/>
    <n v="0.15314657336894119"/>
    <n v="-0.1120421348277694"/>
    <n v="9.4551123004568915E-2"/>
    <n v="0.67240055320814607"/>
    <n v="9.4551123004568915E-2"/>
    <n v="9.4551123004568915E-2"/>
    <n v="0.67240055320814607"/>
    <n v="0.25822424201522209"/>
    <n v="0.10530815347010911"/>
    <n v="8.1922799530567414E-2"/>
    <n v="0.67110587222231333"/>
    <n v="8.1922799530567414E-2"/>
    <n v="8.1922799530567414E-2"/>
    <n v="0.67110587222231333"/>
    <n v="0.16631792551228641"/>
    <n v="0.33228613574481891"/>
    <n v="125.7041056256747"/>
    <n v="0.64222395631517593"/>
    <n v="125.7041056256747"/>
    <n v="125.7041056256747"/>
    <n v="0.64222395631517593"/>
    <n v="431.9346382851881"/>
    <n v="-0.22936212184104329"/>
    <x v="0"/>
    <x v="1"/>
  </r>
  <r>
    <d v="2026-03-10T12:14:26"/>
    <s v="03-10_12-14-26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60"/>
    <n v="40"/>
    <n v="120"/>
    <n v="0.10963746312409681"/>
    <n v="32.688398441997371"/>
    <n v="0.67823475532944877"/>
    <n v="-0.1029880481877879"/>
    <n v="38.990025347889947"/>
    <n v="0.63856283429066907"/>
    <n v="38.990025347889947"/>
    <n v="38.990025347889947"/>
    <n v="0.63856283429066907"/>
    <n v="143.0015879443468"/>
    <n v="-0.1645826545454373"/>
    <n v="0.8"/>
    <s v="identity"/>
    <n v="6.3539551963305241E-2"/>
    <n v="0.53862069874033602"/>
    <n v="6.3539551963305241E-2"/>
    <n v="6.3539551963305241E-2"/>
    <n v="0.53862069874033602"/>
    <n v="0.21216343120311729"/>
    <n v="-0.54058082905397731"/>
    <n v="0.1106348768373643"/>
    <n v="0.61667378137799533"/>
    <n v="0.1106348768373643"/>
    <n v="0.1106348768373643"/>
    <n v="0.61667378137799533"/>
    <n v="0.25050754951804449"/>
    <n v="0.1320448448261293"/>
    <n v="3.9295941591769731E-2"/>
    <n v="0.84223922389022254"/>
    <n v="3.9295941591769731E-2"/>
    <n v="3.9295941591769731E-2"/>
    <n v="0.84223922389022254"/>
    <n v="0.15531051880980509"/>
    <n v="0.37647739199157387"/>
    <n v="155.7466310211687"/>
    <n v="0.55671763315411815"/>
    <n v="155.7466310211687"/>
    <n v="155.7466310211687"/>
    <n v="0.55671763315411815"/>
    <n v="571.38837027785735"/>
    <n v="-0.62627202594548326"/>
    <x v="1"/>
    <x v="0"/>
  </r>
  <r>
    <d v="2026-04-01T13:49:14"/>
    <s v="04-01_13-49-14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3, 4, 2]}, {'features': ['sv', 'wv', 'yr', 'ya', 'rarad'], 'output_dim': 2, 'reps': 1, 'encoding': 'serial', 'ansatz': 'effsu2', 'entangle': 'lin', 'map': [2, 3, -1, 0, 1, 4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0.11978872272838741"/>
    <n v="38.384674880549198"/>
    <n v="0.67660794211865638"/>
    <n v="0.15280515330155789"/>
    <n v="56.097815918733083"/>
    <n v="0.58461020707724798"/>
    <n v="56.097815918733083"/>
    <n v="56.097815918733083"/>
    <n v="0.58461020707724798"/>
    <n v="82.208438808118188"/>
    <n v="0.20087621558152211"/>
    <n v="0.8"/>
    <s v="identity"/>
    <n v="6.7473499184269994E-2"/>
    <n v="0.51005515548549352"/>
    <n v="6.7473499184269994E-2"/>
    <n v="6.7473499184269994E-2"/>
    <n v="0.51005515548549352"/>
    <n v="9.9165340659049236E-2"/>
    <n v="0.27993141014164807"/>
    <n v="8.297619738315358E-2"/>
    <n v="0.71250519829046077"/>
    <n v="8.297619738315358E-2"/>
    <n v="8.297619738315358E-2"/>
    <n v="0.71250519829046077"/>
    <n v="0.25589419450089818"/>
    <n v="0.1133812704510082"/>
    <n v="6.1291275745358351E-2"/>
    <n v="0.75393491442965466"/>
    <n v="6.1291275745358351E-2"/>
    <n v="6.1291275745358351E-2"/>
    <n v="0.75393491442965466"/>
    <n v="0.16324179198321301"/>
    <n v="0.34463583887715371"/>
    <n v="224.17952270261929"/>
    <n v="0.36194556010338108"/>
    <n v="224.17952270261929"/>
    <n v="224.17952270261929"/>
    <n v="0.36194556010338108"/>
    <n v="328.31545390532949"/>
    <n v="6.5556342856279759E-2"/>
    <x v="2"/>
    <x v="1"/>
  </r>
  <r>
    <d v="2026-04-01T13:49:18"/>
    <s v="04-01_13-49-18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1, 4, 0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9.4420824638358158E-2"/>
    <n v="23.288242110323321"/>
    <n v="0.74023107813149602"/>
    <n v="-1.2015192674101289"/>
    <n v="31.575068579944819"/>
    <n v="0.71550606752103785"/>
    <n v="31.575068579944819"/>
    <n v="31.575068579944819"/>
    <n v="0.71550606752103785"/>
    <n v="176.95228435119611"/>
    <n v="-1.0928058353429839"/>
    <n v="0.8"/>
    <s v="identity"/>
    <n v="5.7783849004917981E-2"/>
    <n v="0.5804145441034968"/>
    <n v="5.7783849004917981E-2"/>
    <n v="5.7783849004917981E-2"/>
    <n v="0.5804145441034968"/>
    <n v="0.22506774216223371"/>
    <n v="-0.63428281135616471"/>
    <n v="4.4278076917052142E-2"/>
    <n v="0.84658592048311787"/>
    <n v="4.4278076917052142E-2"/>
    <n v="4.4278076917052142E-2"/>
    <n v="0.84658592048311787"/>
    <n v="0.42334304673328282"/>
    <n v="-0.46679323847163401"/>
    <n v="5.1296652652398612E-2"/>
    <n v="0.79406016482956554"/>
    <n v="5.1296652652398612E-2"/>
    <n v="5.1296652652398612E-2"/>
    <n v="0.79406016482956554"/>
    <n v="0.81195790902437259"/>
    <n v="-2.2597541808995798"/>
    <n v="126.14691574120459"/>
    <n v="0.64096364066797129"/>
    <n v="126.14691574120459"/>
    <n v="126.14691574120459"/>
    <n v="0.64096364066797129"/>
    <n v="706.34876870686662"/>
    <n v="-1.0103931106445361"/>
    <x v="0"/>
    <x v="2"/>
  </r>
  <r>
    <d v="2026-04-01T13:49:24"/>
    <s v="04-01_13-49-24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3, 4, 2]}, {'features': ['sv', 'wv', 'yr', 'ya', 'rarad'], 'output_dim': 2, 'reps': 1, 'encoding': 'serial', 'ansatz': 'effsu2', 'entangle': 'lin', 'map': [2, 3, -1, 1, 4, 0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0.11202295001552159"/>
    <n v="25.43004187781041"/>
    <n v="0.68947522006065198"/>
    <n v="-4.7768105576408683E-2"/>
    <n v="31.971558410773572"/>
    <n v="0.65712861672850797"/>
    <n v="31.971558410773572"/>
    <n v="31.971558410773572"/>
    <n v="0.65712861672850797"/>
    <n v="95.753205269104342"/>
    <n v="-7.7013894300554664E-2"/>
    <n v="0.8"/>
    <s v="identity"/>
    <n v="6.8622886618960821E-2"/>
    <n v="0.50170911659934347"/>
    <n v="6.8622886618960821E-2"/>
    <n v="6.8622886618960821E-2"/>
    <n v="0.50170911659934347"/>
    <n v="0.109392319802011"/>
    <n v="0.20567031850376791"/>
    <n v="8.3605350279908841E-2"/>
    <n v="0.7103253178789446"/>
    <n v="8.3605350279908841E-2"/>
    <n v="8.3605350279908841E-2"/>
    <n v="0.7103253178789446"/>
    <n v="0.23846967839686481"/>
    <n v="0.17375349718829691"/>
    <n v="5.4829356891434679E-2"/>
    <n v="0.77987747471091573"/>
    <n v="5.4829356891434679E-2"/>
    <n v="5.4829356891434679E-2"/>
    <n v="0.77987747471091573"/>
    <n v="0.39840782549791492"/>
    <n v="-0.59948140222001967"/>
    <n v="127.6791760493043"/>
    <n v="0.6366025577248281"/>
    <n v="127.6791760493043"/>
    <n v="127.6791760493043"/>
    <n v="0.6366025577248281"/>
    <n v="382.26655125272049"/>
    <n v="-8.7997990674270277E-2"/>
    <x v="2"/>
    <x v="2"/>
  </r>
  <r>
    <d v="2026-04-01T16:18:04"/>
    <s v="04-01_16-18-04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3, 4, 2]}, {'features': ['sv', 'wv', 'yr', 'ya', 'rarad'], 'output_dim': 2, 'reps': 1, 'encoding': 'serial', 'ansatz': 'effsu2', 'entangle': 'lin', 'map': [2, 3, -1, 0, 1, 4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0.14085179252017599"/>
    <n v="40.606428113402202"/>
    <n v="0.54095213899250361"/>
    <n v="-1.6826493245364779E-2"/>
    <n v="54.086767640822558"/>
    <n v="0.4874892825716961"/>
    <n v="54.086767640822558"/>
    <n v="54.086767640822558"/>
    <n v="0.4874892825716961"/>
    <n v="92.590578030896637"/>
    <n v="-2.1417553868145419E-2"/>
    <n v="0.8"/>
    <s v="identity"/>
    <n v="0.10240221576436651"/>
    <n v="0.25642751173174799"/>
    <n v="0.10240221576436651"/>
    <n v="0.10240221576436651"/>
    <n v="0.25642751173174799"/>
    <n v="0.12794209408752369"/>
    <n v="7.0974973101947447E-2"/>
    <n v="9.9074319527295923E-2"/>
    <n v="0.65672864333030567"/>
    <n v="9.9074319527295923E-2"/>
    <n v="9.9074319527295923E-2"/>
    <n v="0.65672864333030567"/>
    <n v="0.32958721795519919"/>
    <n v="-0.1419493163140115"/>
    <n v="8.6745926327336131E-2"/>
    <n v="0.65174254369747997"/>
    <n v="8.6745926327336131E-2"/>
    <n v="8.6745926327336131E-2"/>
    <n v="0.65174254369747997"/>
    <n v="0.23976086979280681"/>
    <n v="3.7435944601702631E-2"/>
    <n v="216.05884810167171"/>
    <n v="0.38505843152725172"/>
    <n v="216.05884810167171"/>
    <n v="216.05884810167171"/>
    <n v="0.38505843152725172"/>
    <n v="369.66502194175092"/>
    <n v="-5.213181686223356E-2"/>
    <x v="2"/>
    <x v="1"/>
  </r>
  <r>
    <d v="2026-04-01T16:18:19"/>
    <s v="04-01_16-18-19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1, 4, 0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0.11197057568337811"/>
    <n v="22.643150277731081"/>
    <n v="0.71028281413481498"/>
    <n v="-0.1106534282192641"/>
    <n v="26.29141055749977"/>
    <n v="0.70454056415551758"/>
    <n v="26.29141055749977"/>
    <n v="26.29141055749977"/>
    <n v="0.70454056415551758"/>
    <n v="94.479872652132741"/>
    <n v="-5.9359363233310543E-2"/>
    <n v="0.8"/>
    <s v="identity"/>
    <n v="5.4089058093724947E-2"/>
    <n v="0.6072435033302046"/>
    <n v="5.4089058093724947E-2"/>
    <n v="5.4089058093724947E-2"/>
    <n v="0.6072435033302046"/>
    <n v="0.15944849042408299"/>
    <n v="-0.1578022007655471"/>
    <n v="7.9603696140728514E-2"/>
    <n v="0.72419019478986679"/>
    <n v="7.9603696140728514E-2"/>
    <n v="7.9603696140728514E-2"/>
    <n v="0.72419019478986679"/>
    <n v="0.2088274389298983"/>
    <n v="0.27645752589222511"/>
    <n v="5.3424894984036082E-2"/>
    <n v="0.78551594503514455"/>
    <n v="5.3424894984036082E-2"/>
    <n v="5.3424894984036082E-2"/>
    <n v="0.78551594503514455"/>
    <n v="0.3194335412446716"/>
    <n v="-0.28242463065979062"/>
    <n v="104.9785245807811"/>
    <n v="0.70121261346685371"/>
    <n v="104.9785245807811"/>
    <n v="104.9785245807811"/>
    <n v="0.70121261346685371"/>
    <n v="377.23178113793182"/>
    <n v="-7.3668147400131501E-2"/>
    <x v="0"/>
    <x v="2"/>
  </r>
  <r>
    <d v="2026-04-01T16:19:00"/>
    <s v="04-01_16-19-00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3, 4, 2]}, {'features': ['sv', 'wv', 'yr', 'ya', 'rarad'], 'output_dim': 2, 'reps': 1, 'encoding': 'serial', 'ansatz': 'effsu2', 'entangle': 'lin', 'map': [2, 3, -1, 1, 4, 0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0.1182984677395628"/>
    <n v="20.884515468522132"/>
    <n v="0.65968671157678138"/>
    <n v="-0.50261266775745694"/>
    <n v="28.369377296762849"/>
    <n v="0.60534887741415855"/>
    <n v="28.369377296762849"/>
    <n v="28.369377296762849"/>
    <n v="0.60534887741415855"/>
    <n v="109.6090769386212"/>
    <n v="-0.32619522165801879"/>
    <n v="0.8"/>
    <s v="identity"/>
    <n v="8.6490467935893323E-2"/>
    <n v="0.37196737419663678"/>
    <n v="8.6490467935893323E-2"/>
    <n v="8.6490467935893323E-2"/>
    <n v="0.37196737419663678"/>
    <n v="0.13420329833246691"/>
    <n v="2.5510534806187479E-2"/>
    <n v="0.1175504339078083"/>
    <n v="0.59271285316749189"/>
    <n v="0.1175504339078083"/>
    <n v="0.1175504339078083"/>
    <n v="0.59271285316749189"/>
    <n v="0.26229610334671638"/>
    <n v="9.1200023632812433E-2"/>
    <n v="5.5059173747873669E-2"/>
    <n v="0.77895483272382271"/>
    <n v="5.5059173747873669E-2"/>
    <n v="5.5059173747873669E-2"/>
    <n v="0.77895483272382271"/>
    <n v="0.54208400045480065"/>
    <n v="-1.176295799624097"/>
    <n v="113.21840911145991"/>
    <n v="0.67776044956868509"/>
    <n v="113.21840911145991"/>
    <n v="113.21840911145991"/>
    <n v="0.67776044956868509"/>
    <n v="437.49772435234809"/>
    <n v="-0.245195645446975"/>
    <x v="2"/>
    <x v="2"/>
  </r>
  <r>
    <d v="2026-04-01T18:38:27"/>
    <s v="04-01_18-38-27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3, 4, 2]}, {'features': ['sv', 'wv', 'yr', 'ya', 'rarad'], 'output_dim': 2, 'reps': 1, 'encoding': 'serial', 'ansatz': 'effsu2', 'entangle': 'lin', 'map': [2, 3, -1, 0, 1, 4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0.1229038818828511"/>
    <n v="18.289569524960321"/>
    <n v="0.65049478569496555"/>
    <n v="-0.1203443681578483"/>
    <n v="27.252541518610641"/>
    <n v="0.59145782953025261"/>
    <n v="27.252541518610641"/>
    <n v="27.252541518610641"/>
    <n v="0.59145782953025261"/>
    <n v="129.3758794719063"/>
    <n v="-0.1100074878348786"/>
    <n v="0.8"/>
    <s v="identity"/>
    <n v="8.5422991804586942E-2"/>
    <n v="0.37971863111229692"/>
    <n v="8.5422991804586942E-2"/>
    <n v="8.5422991804586942E-2"/>
    <n v="0.37971863111229692"/>
    <n v="0.12261142452529949"/>
    <n v="0.10968252645840661"/>
    <n v="9.4295851053387503E-2"/>
    <n v="0.67328501599749302"/>
    <n v="9.4295851053387503E-2"/>
    <n v="9.4295851053387503E-2"/>
    <n v="0.67328501599749302"/>
    <n v="0.31574300449294218"/>
    <n v="-9.398207354224053E-2"/>
    <n v="9.4077013219895533E-2"/>
    <n v="0.62231054866060265"/>
    <n v="9.4077013219895533E-2"/>
    <n v="9.4077013219895533E-2"/>
    <n v="0.62231054866060265"/>
    <n v="0.2452920377861309"/>
    <n v="1.523005462747873E-2"/>
    <n v="108.7363702183649"/>
    <n v="0.69051712235062424"/>
    <n v="108.7363702183649"/>
    <n v="108.7363702183649"/>
    <n v="0.69051712235062424"/>
    <n v="516.81987142081834"/>
    <n v="-0.47096045888316079"/>
    <x v="2"/>
    <x v="1"/>
  </r>
  <r>
    <d v="2026-04-01T18:38:58"/>
    <s v="04-01_18-38-58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1, 4, 0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0.1133370935821903"/>
    <n v="25.968800180296249"/>
    <n v="0.70297724037936571"/>
    <n v="-0.813420072144869"/>
    <n v="30.15820177382232"/>
    <n v="0.68811728945366535"/>
    <n v="30.15820177382232"/>
    <n v="30.15820177382232"/>
    <n v="0.68811728945366535"/>
    <n v="132.85387483277859"/>
    <n v="-0.81228635386974379"/>
    <n v="0.8"/>
    <s v="identity"/>
    <n v="5.3965928428333629E-2"/>
    <n v="0.60813758390249739"/>
    <n v="5.3965928428333629E-2"/>
    <n v="5.3965928428333629E-2"/>
    <n v="0.60813758390249739"/>
    <n v="0.18973274347780869"/>
    <n v="-0.37770503421907953"/>
    <n v="6.3617190462895865E-2"/>
    <n v="0.77958002253352809"/>
    <n v="6.3617190462895865E-2"/>
    <n v="6.3617190462895865E-2"/>
    <n v="0.77958002253352809"/>
    <n v="0.28163104903131569"/>
    <n v="2.420856643225466E-2"/>
    <n v="7.2844644184968554E-2"/>
    <n v="0.7075517944970644"/>
    <n v="7.2844644184968554E-2"/>
    <n v="7.2844644184968554E-2"/>
    <n v="0.7075517944970644"/>
    <n v="0.84362547708013369"/>
    <n v="-2.3868894501313642"/>
    <n v="120.44237933221351"/>
    <n v="0.65719975688156962"/>
    <n v="120.44237933221351"/>
    <n v="120.44237933221351"/>
    <n v="0.65719975688156962"/>
    <n v="530.10051006152537"/>
    <n v="-0.50875949756077654"/>
    <x v="0"/>
    <x v="2"/>
  </r>
  <r>
    <d v="2026-04-01T18:39:53"/>
    <s v="04-01_18-39-53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3, 4, 2]}, {'features': ['sv', 'wv', 'yr', 'ya', 'rarad'], 'output_dim': 2, 'reps': 1, 'encoding': 'serial', 'ansatz': 'effsu2', 'entangle': 'lin', 'map': [2, 3, -1, 1, 4, 0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0.11842396841280189"/>
    <n v="22.974957777600359"/>
    <n v="0.65521726074036679"/>
    <n v="-0.77308079793668105"/>
    <n v="27.280164011163698"/>
    <n v="0.6051648336920239"/>
    <n v="27.280164011163698"/>
    <n v="27.280164011163698"/>
    <n v="0.6051648336920239"/>
    <n v="131.86856405869321"/>
    <n v="-0.73694137982904118"/>
    <n v="0.8"/>
    <s v="identity"/>
    <n v="9.5736779610438291E-2"/>
    <n v="0.30482719634183658"/>
    <n v="9.5736779610438291E-2"/>
    <n v="9.5736779610438291E-2"/>
    <n v="0.30482719634183658"/>
    <n v="0.1201571073325534"/>
    <n v="0.12750404260810699"/>
    <n v="8.1736610018897829E-2"/>
    <n v="0.71680010375404501"/>
    <n v="8.1736610018897829E-2"/>
    <n v="8.1736610018897829E-2"/>
    <n v="0.71680010375404501"/>
    <n v="0.43015508045119072"/>
    <n v="-0.49039548037632552"/>
    <n v="7.2509532463619922E-2"/>
    <n v="0.70889716206180342"/>
    <n v="7.2509532463619922E-2"/>
    <n v="7.2509532463619922E-2"/>
    <n v="0.70889716206180342"/>
    <n v="0.76901311033959396"/>
    <n v="-2.087344397701822"/>
    <n v="108.8706731225611"/>
    <n v="0.6901348726104144"/>
    <n v="108.8706731225611"/>
    <n v="108.8706731225611"/>
    <n v="0.6901348726104144"/>
    <n v="526.15493093665134"/>
    <n v="-0.49752968384612761"/>
    <x v="2"/>
    <x v="2"/>
  </r>
  <r>
    <d v="2026-04-01T20:49:57"/>
    <s v="04-01_20-49-57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3, 4, 2]}, {'features': ['sv', 'wv', 'yr', 'ya', 'rarad'], 'output_dim': 2, 'reps': 1, 'encoding': 'serial', 'ansatz': 'effsu2', 'entangle': 'lin', 'map': [2, 3, -1, 0, 1, 4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0.1329712610734132"/>
    <n v="23.682266284565269"/>
    <n v="0.64094234087510249"/>
    <n v="-1.496795239830714E-2"/>
    <n v="34.228938789973952"/>
    <n v="0.60513676856031251"/>
    <n v="34.228938789973952"/>
    <n v="34.228938789973952"/>
    <n v="0.60513676856031251"/>
    <n v="140.67174077945151"/>
    <n v="-8.0136938039742228E-2"/>
    <n v="0.8"/>
    <s v="identity"/>
    <n v="8.1553297312694881E-2"/>
    <n v="0.40781761647795722"/>
    <n v="8.1553297312694881E-2"/>
    <n v="8.1553297312694881E-2"/>
    <n v="0.40781761647795722"/>
    <n v="0.1631000354352575"/>
    <n v="-0.18431713884296469"/>
    <n v="8.6863438234488777E-2"/>
    <n v="0.69903673898530183"/>
    <n v="8.6863438234488777E-2"/>
    <n v="8.6863438234488777E-2"/>
    <n v="0.69903673898530183"/>
    <n v="0.2251635984000393"/>
    <n v="0.21985622243797509"/>
    <n v="7.4055902981991564E-2"/>
    <n v="0.70268897355048177"/>
    <n v="7.4055902981991564E-2"/>
    <n v="7.4055902981991564E-2"/>
    <n v="0.70268897355048177"/>
    <n v="0.18836396317211609"/>
    <n v="0.24377826774430869"/>
    <n v="136.67328252136639"/>
    <n v="0.61100374522751233"/>
    <n v="136.67328252136639"/>
    <n v="136.67328252136639"/>
    <n v="0.61100374522751233"/>
    <n v="562.11033552080028"/>
    <n v="-0.59986510349829669"/>
    <x v="2"/>
    <x v="1"/>
  </r>
  <r>
    <d v="2026-04-01T20:51:06"/>
    <s v="04-01_20-51-06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3, 4, 2]}, {'features': ['sv', 'wv', 'yr', 'ya', 'rarad'], 'output_dim': 2, 'reps': 1, 'encoding': 'serial', 'ansatz': 'effsu2', 'entangle': 'lin', 'map': [2, 3, -1, 1, 4, 0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0.12930208604100141"/>
    <n v="21.88126389326084"/>
    <n v="0.63669671025303143"/>
    <n v="-0.60204243828164294"/>
    <n v="25.750396558682841"/>
    <n v="0.63900413810435985"/>
    <n v="25.750396558682841"/>
    <n v="25.750396558682841"/>
    <n v="0.63900413810435985"/>
    <n v="111.2920270288209"/>
    <n v="-0.30163803486040469"/>
    <n v="0.8"/>
    <s v="identity"/>
    <n v="8.9684382913759048E-2"/>
    <n v="0.34877542185769861"/>
    <n v="8.9684382913759048E-2"/>
    <n v="8.9684382913759048E-2"/>
    <n v="0.34877542185769861"/>
    <n v="0.1182106161101403"/>
    <n v="0.14163808561526731"/>
    <n v="8.1336701262963093E-2"/>
    <n v="0.71818570218004263"/>
    <n v="8.1336701262963093E-2"/>
    <n v="8.1336701262963093E-2"/>
    <n v="0.71818570218004263"/>
    <n v="0.39987133745311798"/>
    <n v="-0.38546877895072851"/>
    <n v="5.4406654078132118E-2"/>
    <n v="0.78157449280462044"/>
    <n v="5.4406654078132118E-2"/>
    <n v="5.4406654078132118E-2"/>
    <n v="0.78157449280462044"/>
    <n v="0.42304033492774817"/>
    <n v="-0.69837313627114672"/>
    <n v="102.7761584964764"/>
    <n v="0.70748093557507974"/>
    <n v="102.7761584964764"/>
    <n v="102.7761584964764"/>
    <n v="0.70748093557507974"/>
    <n v="444.2269858267922"/>
    <n v="-0.26434830983501539"/>
    <x v="2"/>
    <x v="2"/>
  </r>
  <r>
    <d v="2026-04-01T20:50:35"/>
    <s v="04-01_20-50-35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1, 4, 0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0.1148048358151737"/>
    <n v="18.062810944349309"/>
    <n v="0.72303421114476307"/>
    <n v="-0.23420516346457079"/>
    <n v="22.615831542437181"/>
    <n v="0.71306898945457142"/>
    <n v="22.615831542437181"/>
    <n v="22.615831542437181"/>
    <n v="0.71306898945457142"/>
    <n v="103.5044793686754"/>
    <n v="-7.4675840168736435E-2"/>
    <n v="0.8"/>
    <s v="identity"/>
    <n v="6.0161692467336297E-2"/>
    <n v="0.56314832611333843"/>
    <n v="6.0161692467336297E-2"/>
    <n v="6.0161692467336297E-2"/>
    <n v="0.56314832611333843"/>
    <n v="0.1711316966264626"/>
    <n v="-0.24263738369600671"/>
    <n v="6.4192019355956864E-2"/>
    <n v="0.77758836319218261"/>
    <n v="6.4192019355956864E-2"/>
    <n v="6.4192019355956864E-2"/>
    <n v="0.77758836319218261"/>
    <n v="0.16726578407691131"/>
    <n v="0.42045978313600801"/>
    <n v="5.7664371922515723E-2"/>
    <n v="0.76849578608177993"/>
    <n v="5.7664371922515723E-2"/>
    <n v="5.7664371922515723E-2"/>
    <n v="0.76849578608177993"/>
    <n v="0.32382191847798392"/>
    <n v="-0.30004257719946131"/>
    <n v="90.281308086003037"/>
    <n v="0.74304348243098595"/>
    <n v="90.281308086003037"/>
    <n v="90.281308086003037"/>
    <n v="0.74304348243098595"/>
    <n v="413.35569807552008"/>
    <n v="-0.17648318291548559"/>
    <x v="0"/>
    <x v="2"/>
  </r>
  <r>
    <d v="2026-04-01T23:01:33"/>
    <s v="04-01_23-01-33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3, 4, 2]}, {'features': ['sv', 'wv', 'yr', 'ya', 'rarad'], 'output_dim': 2, 'reps': 1, 'encoding': 'serial', 'ansatz': 'effsu2', 'entangle': 'lin', 'map': [2, 3, -1, 1, 4, 0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0.1249751377746393"/>
    <n v="23.806642493178298"/>
    <n v="0.6206287957052663"/>
    <n v="-0.20568393192390211"/>
    <n v="29.893629532989081"/>
    <n v="0.59535528577559482"/>
    <n v="29.893629532989081"/>
    <n v="29.893629532989081"/>
    <n v="0.59535528577559482"/>
    <n v="96.302766919461263"/>
    <n v="-0.12932759771736699"/>
    <n v="0.8"/>
    <s v="identity"/>
    <n v="8.0598141426545533E-2"/>
    <n v="0.41475328318835741"/>
    <n v="8.0598141426545533E-2"/>
    <n v="8.0598141426545533E-2"/>
    <n v="0.41475328318835741"/>
    <n v="0.1267098768376537"/>
    <n v="7.992246354181487E-2"/>
    <n v="8.4249502562107614E-2"/>
    <n v="0.70809346780046556"/>
    <n v="8.4249502562107614E-2"/>
    <n v="8.4249502562107614E-2"/>
    <n v="0.70809346780046556"/>
    <n v="0.30082011472673531"/>
    <n v="-4.2277447763137348E-2"/>
    <n v="0.10009494003699219"/>
    <n v="0.59815047597167514"/>
    <n v="0.10009494003699219"/>
    <n v="0.10009494003699219"/>
    <n v="0.59815047597167514"/>
    <n v="0.36387157280235122"/>
    <n v="-0.46082927152984482"/>
    <n v="119.309575547931"/>
    <n v="0.6604239161418779"/>
    <n v="119.309575547931"/>
    <n v="119.309575547931"/>
    <n v="0.6604239161418779"/>
    <n v="384.4196661134792"/>
    <n v="-9.4126135118296483E-2"/>
    <x v="2"/>
    <x v="2"/>
  </r>
  <r>
    <d v="2026-04-01T23:00:42"/>
    <s v="04-01_23-00-42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3, 4, 2]}, {'features': ['sv', 'wv', 'yr', 'ya', 'rarad'], 'output_dim': 2, 'reps': 1, 'encoding': 'serial', 'ansatz': 'effsu2', 'entangle': 'lin', 'map': [2, 3, -1, 0, 1, 4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0.1028597418670212"/>
    <n v="23.078271117688701"/>
    <n v="0.69223020754370301"/>
    <n v="0.30735486218700642"/>
    <n v="37.80580530112924"/>
    <n v="0.63773843163947741"/>
    <n v="37.80580530112924"/>
    <n v="37.80580530112924"/>
    <n v="0.63773843163947741"/>
    <n v="78.233228861978432"/>
    <n v="0.26317731451649451"/>
    <n v="0.8"/>
    <s v="identity"/>
    <n v="8.520656890494048E-2"/>
    <n v="0.3812901411895655"/>
    <n v="8.520656890494048E-2"/>
    <n v="8.520656890494048E-2"/>
    <n v="0.3812901411895655"/>
    <n v="0.1102971308515967"/>
    <n v="0.19910022040060629"/>
    <n v="6.766165435410898E-2"/>
    <n v="0.76556681897520518"/>
    <n v="6.766165435410898E-2"/>
    <n v="6.766165435410898E-2"/>
    <n v="0.76556681897520518"/>
    <n v="0.1974836661472236"/>
    <n v="0.31576127575839158"/>
    <n v="4.1360194048952963E-2"/>
    <n v="0.83395190320161616"/>
    <n v="4.1360194048952963E-2"/>
    <n v="4.1360194048952963E-2"/>
    <n v="0.83395190320161616"/>
    <n v="0.14266928616095401"/>
    <n v="0.42722794263074487"/>
    <n v="151.02899278720969"/>
    <n v="0.57014486319152269"/>
    <n v="151.02899278720969"/>
    <n v="151.02899278720969"/>
    <n v="0.57014486319152269"/>
    <n v="312.48246536475659"/>
    <n v="0.1106198192762283"/>
    <x v="2"/>
    <x v="1"/>
  </r>
  <r>
    <d v="2026-04-01T23:02:40"/>
    <s v="04-01_23-02-40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1, 4, 0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0.1149541668149533"/>
    <n v="22.958876350085379"/>
    <n v="0.67145953468962871"/>
    <n v="4.278008857793697E-3"/>
    <n v="28.917580075691149"/>
    <n v="0.63978352238290104"/>
    <n v="28.917580075691149"/>
    <n v="28.917580075691149"/>
    <n v="0.63978352238290104"/>
    <n v="99.875997273586435"/>
    <n v="1.7167932973211539E-2"/>
    <n v="0.8"/>
    <s v="identity"/>
    <n v="7.3333793174557668E-2"/>
    <n v="0.46750184399886829"/>
    <n v="7.3333793174557668E-2"/>
    <n v="7.3333793174557668E-2"/>
    <n v="0.46750184399886829"/>
    <n v="0.1594517089927974"/>
    <n v="-0.1578255717358894"/>
    <n v="5.6516003481491099E-2"/>
    <n v="0.80418411873830087"/>
    <n v="5.6516003481491099E-2"/>
    <n v="5.6516003481491099E-2"/>
    <n v="0.80418411873830087"/>
    <n v="0.2196236657658856"/>
    <n v="0.239050905785366"/>
    <n v="9.5642788280044619E-2"/>
    <n v="0.61602445705173814"/>
    <n v="9.5642788280044619E-2"/>
    <n v="9.5642788280044619E-2"/>
    <n v="0.61602445705173814"/>
    <n v="0.21849681981112631"/>
    <n v="0.1228043794186358"/>
    <n v="115.4448277178286"/>
    <n v="0.67142366974269529"/>
    <n v="115.4448277178286"/>
    <n v="115.4448277178286"/>
    <n v="0.67142366974269529"/>
    <n v="398.90641689977718"/>
    <n v="-0.13535798157527551"/>
    <x v="0"/>
    <x v="2"/>
  </r>
  <r>
    <d v="2026-04-02T01:11:33"/>
    <s v="04-02_01-11-33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3, 4, 2]}, {'features': ['sv', 'wv', 'yr', 'ya', 'rarad'], 'output_dim': 2, 'reps': 1, 'encoding': 'serial', 'ansatz': 'effsu2', 'entangle': 'lin', 'map': [2, 3, -1, 1, 4, 0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0.11387041448660259"/>
    <n v="19.177443439258841"/>
    <n v="0.71314181372348351"/>
    <n v="-0.18606126885491159"/>
    <n v="24.576673605058531"/>
    <n v="0.64835714618807594"/>
    <n v="24.576673605058531"/>
    <n v="24.576673605058531"/>
    <n v="0.64835714618807594"/>
    <n v="114.33088059568431"/>
    <n v="-0.11486773732722159"/>
    <n v="0.8"/>
    <s v="identity"/>
    <n v="7.038063228398328E-2"/>
    <n v="0.48894561037901918"/>
    <n v="7.038063228398328E-2"/>
    <n v="7.038063228398328E-2"/>
    <n v="0.48894561037901918"/>
    <n v="0.1162649661593177"/>
    <n v="0.15576601990295089"/>
    <n v="0.1103958385221942"/>
    <n v="0.61750199808577577"/>
    <n v="0.1103958385221942"/>
    <n v="0.1103958385221942"/>
    <n v="0.61750199808577577"/>
    <n v="0.34514067647831809"/>
    <n v="-0.19583872815767189"/>
    <n v="5.8261423189793257E-2"/>
    <n v="0.76609881409211378"/>
    <n v="5.8261423189793257E-2"/>
    <n v="5.8261423189793257E-2"/>
    <n v="0.76609881409211378"/>
    <n v="0.27894652144764798"/>
    <n v="-0.1198820522962238"/>
    <n v="98.067656526238025"/>
    <n v="0.72088216219539791"/>
    <n v="98.067656526238025"/>
    <n v="98.067656526238025"/>
    <n v="0.72088216219539791"/>
    <n v="456.58317021865417"/>
    <n v="-0.29951618875795832"/>
    <x v="2"/>
    <x v="2"/>
  </r>
  <r>
    <d v="2026-04-02T01:11:35"/>
    <s v="04-02_01-11-35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3, 4, 2]}, {'features': ['sv', 'wv', 'yr', 'ya', 'rarad'], 'output_dim': 2, 'reps': 1, 'encoding': 'serial', 'ansatz': 'effsu2', 'entangle': 'lin', 'map': [2, 3, -1, 0, 1, 4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0.12785743875796859"/>
    <n v="28.119758896507651"/>
    <n v="0.66136097595380694"/>
    <n v="-1.88501569413487E-2"/>
    <n v="44.998600829907723"/>
    <n v="0.58283631375832523"/>
    <n v="44.998600829907723"/>
    <n v="44.998600829907723"/>
    <n v="0.58283631375832523"/>
    <n v="82.821479627670612"/>
    <n v="5.702811730827681E-2"/>
    <n v="0.8"/>
    <s v="identity"/>
    <n v="6.2037000457737183E-2"/>
    <n v="0.54953116540755476"/>
    <n v="6.2037000457737183E-2"/>
    <n v="6.2037000457737183E-2"/>
    <n v="0.54953116540755476"/>
    <n v="0.1277562031894853"/>
    <n v="7.2324781370929236E-2"/>
    <n v="0.1014934449345169"/>
    <n v="0.64834689047595373"/>
    <n v="0.1014934449345169"/>
    <n v="0.1014934449345169"/>
    <n v="0.64834689047595373"/>
    <n v="0.33160488389164922"/>
    <n v="-0.14894009784666259"/>
    <n v="8.8413958491657132E-2"/>
    <n v="0.64504592215948209"/>
    <n v="8.8413958491657132E-2"/>
    <n v="8.8413958491657132E-2"/>
    <n v="0.64504592215948209"/>
    <n v="0.18786441618825939"/>
    <n v="0.24578379087683061"/>
    <n v="179.74245891574631"/>
    <n v="0.48842127699031102"/>
    <n v="179.74245891574631"/>
    <n v="179.74245891574631"/>
    <n v="0.48842127699031102"/>
    <n v="330.63869300741112"/>
    <n v="5.8943994832009072E-2"/>
    <x v="2"/>
    <x v="1"/>
  </r>
  <r>
    <d v="2026-04-02T01:13:45"/>
    <s v="04-02_01-13-45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1, 4, 0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0.126985970891343"/>
    <n v="21.195291889550901"/>
    <n v="0.63086319764687504"/>
    <n v="-8.8012298889971891E-2"/>
    <n v="26.19291256227222"/>
    <n v="0.56695236572847851"/>
    <n v="26.19291256227222"/>
    <n v="26.19291256227222"/>
    <n v="0.56695236572847851"/>
    <n v="111.1834772070895"/>
    <n v="-5.4972623726953267E-2"/>
    <n v="0.8"/>
    <s v="identity"/>
    <n v="0.109052924752121"/>
    <n v="0.20813476538969611"/>
    <n v="0.109052924752121"/>
    <n v="0.109052924752121"/>
    <n v="0.20813476538969611"/>
    <n v="0.1639534656788329"/>
    <n v="-0.19051414586123999"/>
    <n v="0.1117621309807259"/>
    <n v="0.61276808653245396"/>
    <n v="0.1117621309807259"/>
    <n v="0.1117621309807259"/>
    <n v="0.61276808653245396"/>
    <n v="0.16919473932210399"/>
    <n v="0.41377636520155542"/>
    <n v="6.3692330627834859E-2"/>
    <n v="0.74429543853474445"/>
    <n v="6.3692330627834859E-2"/>
    <n v="6.3692330627834859E-2"/>
    <n v="0.74429543853474445"/>
    <n v="0.2937082581988249"/>
    <n v="-0.179145756186746"/>
    <n v="104.48714286272811"/>
    <n v="0.70261117245702365"/>
    <n v="104.48714286272811"/>
    <n v="104.48714286272811"/>
    <n v="0.70261117245702365"/>
    <n v="444.10705236515793"/>
    <n v="-0.26400695806137692"/>
    <x v="0"/>
    <x v="2"/>
  </r>
  <r>
    <d v="2026-04-02T03:01:35"/>
    <s v="04-02_03-01-35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3, 4, 2]}, {'features': ['sv', 'wv', 'yr', 'ya', 'rarad'], 'output_dim': 2, 'reps': 1, 'encoding': 'serial', 'ansatz': 'effsu2', 'entangle': 'lin', 'map': [2, 3, -1, 1, 4, 0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0.12035220293172171"/>
    <n v="20.5889465372865"/>
    <n v="0.70978916852812313"/>
    <n v="-0.16272741905358909"/>
    <n v="26.64983611165222"/>
    <n v="0.66216378532488696"/>
    <n v="26.64983611165222"/>
    <n v="26.64983611165222"/>
    <n v="0.66216378532488696"/>
    <n v="100.58180505322041"/>
    <n v="-0.13432365063759469"/>
    <n v="0.8"/>
    <s v="identity"/>
    <n v="5.3092461323671347E-2"/>
    <n v="0.6144800844390943"/>
    <n v="5.3092461323671347E-2"/>
    <n v="5.3092461323671347E-2"/>
    <n v="0.6144800844390943"/>
    <n v="0.2030776798197047"/>
    <n v="-0.47460652651059682"/>
    <n v="9.6620671624307181E-2"/>
    <n v="0.66523000925910858"/>
    <n v="9.6620671624307181E-2"/>
    <n v="9.6620671624307181E-2"/>
    <n v="0.66523000925910858"/>
    <n v="0.2871711976233135"/>
    <n v="5.0131348370588968E-3"/>
    <n v="8.1778121619716218E-2"/>
    <n v="0.671686708272482"/>
    <n v="8.1778121619716218E-2"/>
    <n v="8.1778121619716218E-2"/>
    <n v="0.671686708272482"/>
    <n v="0.23031898718631261"/>
    <n v="7.5342116781323187E-2"/>
    <n v="106.3678531920407"/>
    <n v="0.69725833932886538"/>
    <n v="106.3678531920407"/>
    <n v="106.3678531920407"/>
    <n v="0.69725833932886538"/>
    <n v="401.60665234825029"/>
    <n v="-0.1430433276581555"/>
    <x v="2"/>
    <x v="2"/>
  </r>
  <r>
    <d v="2026-04-02T03:02:21"/>
    <s v="04-02_03-02-21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3, 4, 2]}, {'features': ['sv', 'wv', 'yr', 'ya', 'rarad'], 'output_dim': 2, 'reps': 1, 'encoding': 'serial', 'ansatz': 'effsu2', 'entangle': 'lin', 'map': [2, 3, -1, 0, 1, 4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0.14659105412741019"/>
    <n v="31.74112735187402"/>
    <n v="0.62241160099656812"/>
    <n v="-0.1997932088607158"/>
    <n v="44.947034627958679"/>
    <n v="0.55006132999184221"/>
    <n v="44.947034627958679"/>
    <n v="44.947034627958679"/>
    <n v="0.55006132999184221"/>
    <n v="129.80834315030251"/>
    <n v="-0.24793358102052121"/>
    <n v="0.8"/>
    <s v="identity"/>
    <n v="6.3632900926069075E-2"/>
    <n v="0.53794286457433249"/>
    <n v="6.3632900926069075E-2"/>
    <n v="6.3632900926069075E-2"/>
    <n v="0.53794286457433249"/>
    <n v="0.1700714292776197"/>
    <n v="-0.23493847186168831"/>
    <n v="8.8135015567196148E-2"/>
    <n v="0.69463099511351456"/>
    <n v="8.8135015567196148E-2"/>
    <n v="8.8135015567196148E-2"/>
    <n v="0.69463099511351456"/>
    <n v="0.31359558948065491"/>
    <n v="-8.6541739173881416E-2"/>
    <n v="0.1298785805602802"/>
    <n v="0.4785785798929042"/>
    <n v="0.1298785805602802"/>
    <n v="0.1298785805602802"/>
    <n v="0.4785785798929042"/>
    <n v="0.29756962974129619"/>
    <n v="-0.19464794157059401"/>
    <n v="179.5064920147814"/>
    <n v="0.48909288038661702"/>
    <n v="179.5064920147814"/>
    <n v="179.5064920147814"/>
    <n v="0.48909288038661702"/>
    <n v="518.4521359527115"/>
    <n v="-0.47560617147592832"/>
    <x v="2"/>
    <x v="1"/>
  </r>
  <r>
    <d v="2026-04-02T03:02:55"/>
    <s v="04-02_03-02-55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1, 4, 0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0.1144319900869139"/>
    <n v="16.918610329643339"/>
    <n v="0.7007586301593326"/>
    <n v="-1.166883308940283"/>
    <n v="24.605370947344909"/>
    <n v="0.67317417571815175"/>
    <n v="24.605370947344909"/>
    <n v="24.605370947344909"/>
    <n v="0.67317417571815175"/>
    <n v="123.4715719552394"/>
    <n v="-0.93949067916040618"/>
    <n v="0.8"/>
    <s v="identity"/>
    <n v="5.0644625189646367E-2"/>
    <n v="0.63225453972273926"/>
    <n v="5.0644625189646367E-2"/>
    <n v="5.0644625189646367E-2"/>
    <n v="0.63225453972273926"/>
    <n v="0.24958587220711451"/>
    <n v="-0.81231613640752065"/>
    <n v="7.6605882877000528E-2"/>
    <n v="0.7345769774696993"/>
    <n v="7.6605882877000528E-2"/>
    <n v="7.6605882877000528E-2"/>
    <n v="0.7345769774696993"/>
    <n v="0.2611452041847121"/>
    <n v="9.5187643417800283E-2"/>
    <n v="9.8302111435198278E-2"/>
    <n v="0.6053481157327758"/>
    <n v="9.8302111435198278E-2"/>
    <n v="9.8302111435198278E-2"/>
    <n v="0.6053481157327758"/>
    <n v="0.90646752200645364"/>
    <n v="-2.639180383452024"/>
    <n v="98.19593116987825"/>
    <n v="0.72051706994739018"/>
    <n v="98.19593116987825"/>
    <n v="98.19593116987825"/>
    <n v="0.72051706994739018"/>
    <n v="492.46908922256"/>
    <n v="-0.40165384019986239"/>
    <x v="0"/>
    <x v="2"/>
  </r>
  <r>
    <d v="2026-04-02T04:51:02"/>
    <s v="04-02_04-51-02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3, 4, 2]}, {'features': ['sv', 'wv', 'yr', 'ya', 'rarad'], 'output_dim': 2, 'reps': 1, 'encoding': 'serial', 'ansatz': 'effsu2', 'entangle': 'lin', 'map': [2, 3, -1, 1, 4, 0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0.10644015264577281"/>
    <n v="18.110709158114059"/>
    <n v="0.69339560322367577"/>
    <n v="-0.2816631906697396"/>
    <n v="24.83693723385942"/>
    <n v="0.62948858470596769"/>
    <n v="24.83693723385942"/>
    <n v="24.83693723385942"/>
    <n v="0.62948858470596769"/>
    <n v="111.6569100225443"/>
    <n v="-0.246506975737872"/>
    <n v="0.8"/>
    <s v="identity"/>
    <n v="7.8651634861723982E-2"/>
    <n v="0.42888743760123971"/>
    <n v="7.8651634861723982E-2"/>
    <n v="7.8651634861723982E-2"/>
    <n v="0.42888743760123971"/>
    <n v="0.14319693959197941"/>
    <n v="-3.9794929143107671E-2"/>
    <n v="0.10991572395318421"/>
    <n v="0.61916549252356035"/>
    <n v="0.10991572395318421"/>
    <n v="0.10991572395318421"/>
    <n v="0.61916549252356035"/>
    <n v="0.38901161788718658"/>
    <n v="-0.34784217009551788"/>
    <n v="6.1785672884658929E-2"/>
    <n v="0.75195006629411976"/>
    <n v="6.1785672884658929E-2"/>
    <n v="6.1785672884658929E-2"/>
    <n v="0.75195006629411976"/>
    <n v="0.33120099226466232"/>
    <n v="-0.32966722443788038"/>
    <n v="99.097395903737834"/>
    <n v="0.7179513424049494"/>
    <n v="99.097395903737834"/>
    <n v="99.097395903737834"/>
    <n v="0.7179513424049494"/>
    <n v="445.76423054043352"/>
    <n v="-0.26872357927497892"/>
    <x v="2"/>
    <x v="2"/>
  </r>
  <r>
    <d v="2026-04-02T04:52:56"/>
    <s v="04-02_04-52-56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1, 4, 0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0.1199830065351413"/>
    <n v="15.87849827279395"/>
    <n v="0.73846307937984423"/>
    <n v="-0.28101906940422422"/>
    <n v="21.708754749413991"/>
    <n v="0.72479092668660594"/>
    <n v="21.708754749413991"/>
    <n v="21.708754749413991"/>
    <n v="0.72479092668660594"/>
    <n v="102.3337237662135"/>
    <n v="-0.15955805367654169"/>
    <n v="0.8"/>
    <s v="identity"/>
    <n v="5.1276154113411791E-2"/>
    <n v="0.62766882319548967"/>
    <n v="5.1276154113411791E-2"/>
    <n v="5.1276154113411791E-2"/>
    <n v="0.62766882319548967"/>
    <n v="0.1717236782710285"/>
    <n v="-0.24693593584327569"/>
    <n v="7.1470369519375604E-2"/>
    <n v="0.75237043440060003"/>
    <n v="7.1470369519375604E-2"/>
    <n v="7.1470369519375604E-2"/>
    <n v="0.75237043440060003"/>
    <n v="0.22674844388994189"/>
    <n v="0.21436507130994939"/>
    <n v="5.8346614614322501E-2"/>
    <n v="0.76575679746883873"/>
    <n v="5.8346614614322501E-2"/>
    <n v="5.8346614614322501E-2"/>
    <n v="0.76575679746883873"/>
    <n v="0.35937552193318778"/>
    <n v="-0.44277904939960799"/>
    <n v="86.653925859408844"/>
    <n v="0.75336765168149655"/>
    <n v="86.653925859408844"/>
    <n v="86.653925859408844"/>
    <n v="0.75336765168149655"/>
    <n v="408.57704742076072"/>
    <n v="-0.16288230077323559"/>
    <x v="0"/>
    <x v="2"/>
  </r>
  <r>
    <d v="2026-04-02T04:52:56"/>
    <s v="04-02_04-52-56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3, 4, 2]}, {'features': ['sv', 'wv', 'yr', 'ya', 'rarad'], 'output_dim': 2, 'reps': 1, 'encoding': 'serial', 'ansatz': 'effsu2', 'entangle': 'lin', 'map': [2, 3, -1, 0, 1, 4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0.1117127183857102"/>
    <n v="25.973834515328651"/>
    <n v="0.67686716766098809"/>
    <n v="0.19571427940423741"/>
    <n v="35.55409866974604"/>
    <n v="0.6076328344637747"/>
    <n v="35.55409866974604"/>
    <n v="35.55409866974604"/>
    <n v="0.6076328344637747"/>
    <n v="91.634726802899721"/>
    <n v="0.14221453389680311"/>
    <n v="0.8"/>
    <s v="identity"/>
    <n v="5.2254101783289063E-2"/>
    <n v="0.62056765866639352"/>
    <n v="5.2254101783289063E-2"/>
    <n v="5.2254101783289063E-2"/>
    <n v="0.62056765866639352"/>
    <n v="0.10337501790659059"/>
    <n v="0.24936371038636801"/>
    <n v="0.1403522614419922"/>
    <n v="0.51370939082171985"/>
    <n v="0.1403522614419922"/>
    <n v="0.1403522614419922"/>
    <n v="0.51370939082171985"/>
    <n v="0.3029844260017136"/>
    <n v="-4.9776324072982707E-2"/>
    <n v="7.4659298278092062E-2"/>
    <n v="0.70026653229171987"/>
    <n v="7.4659298278092062E-2"/>
    <n v="7.4659298278092062E-2"/>
    <n v="0.70026653229171987"/>
    <n v="0.14672864363664129"/>
    <n v="0.41093090634836232"/>
    <n v="141.94912901748069"/>
    <n v="0.59598775607526377"/>
    <n v="141.94912901748069"/>
    <n v="141.94912901748069"/>
    <n v="0.59598775607526377"/>
    <n v="365.98581912405308"/>
    <n v="-4.1660157074527193E-2"/>
    <x v="2"/>
    <x v="1"/>
  </r>
  <r>
    <d v="2026-04-02T06:41:48"/>
    <s v="04-02_06-41-48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1, 4, 0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0.1209511666432032"/>
    <n v="28.835416475973918"/>
    <n v="0.66993797317920833"/>
    <n v="-0.1382601584946884"/>
    <n v="33.898599118934719"/>
    <n v="0.65482525827977911"/>
    <n v="33.898599118934719"/>
    <n v="33.898599118934719"/>
    <n v="0.65482525827977911"/>
    <n v="97.041935445284139"/>
    <n v="-0.2331440500019949"/>
    <n v="0.8"/>
    <s v="identity"/>
    <n v="5.5119936577370569E-2"/>
    <n v="0.59975799265580265"/>
    <n v="5.5119936577370569E-2"/>
    <n v="5.5119936577370569E-2"/>
    <n v="0.59975799265580265"/>
    <n v="0.16857687736227289"/>
    <n v="-0.22408609256261469"/>
    <n v="8.1945238667084933E-2"/>
    <n v="0.71607725004740297"/>
    <n v="8.1945238667084933E-2"/>
    <n v="8.1945238667084933E-2"/>
    <n v="0.71607725004740297"/>
    <n v="0.32551165450407832"/>
    <n v="-0.12782835942291459"/>
    <n v="7.7520279583232515E-2"/>
    <n v="0.68878059728541752"/>
    <n v="7.7520279583232515E-2"/>
    <n v="7.7520279583232515E-2"/>
    <n v="0.68878059728541752"/>
    <n v="0.36822881880707492"/>
    <n v="-0.47832223603359969"/>
    <n v="135.37981102091101"/>
    <n v="0.6146851931304953"/>
    <n v="135.37981102091101"/>
    <n v="135.37981102091101"/>
    <n v="0.6146851931304953"/>
    <n v="387.30542443046443"/>
    <n v="-0.1023395119888659"/>
    <x v="0"/>
    <x v="2"/>
  </r>
  <r>
    <d v="2026-04-02T06:41:34"/>
    <s v="04-02_06-41-34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3, 4, 2]}, {'features': ['sv', 'wv', 'yr', 'ya', 'rarad'], 'output_dim': 2, 'reps': 1, 'encoding': 'serial', 'ansatz': 'effsu2', 'entangle': 'lin', 'map': [2, 3, -1, 1, 4, 0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0.1260650549547048"/>
    <n v="23.527182827646641"/>
    <n v="0.67778017241463018"/>
    <n v="-0.41290848723076462"/>
    <n v="30.753626567555081"/>
    <n v="0.59670688871369126"/>
    <n v="30.753626567555081"/>
    <n v="30.753626567555081"/>
    <n v="0.59670688871369126"/>
    <n v="119.1929510051108"/>
    <n v="-0.47513535895909642"/>
    <n v="0.8"/>
    <s v="identity"/>
    <n v="8.3046652659006612E-2"/>
    <n v="0.39697392581719221"/>
    <n v="8.3046652659006612E-2"/>
    <n v="8.3046652659006612E-2"/>
    <n v="0.39697392581719221"/>
    <n v="0.1182764014811435"/>
    <n v="0.141160398764027"/>
    <n v="9.3860109928482649E-2"/>
    <n v="0.6747947659288227"/>
    <n v="9.3860109928482649E-2"/>
    <n v="9.3860109928482649E-2"/>
    <n v="0.6747947659288227"/>
    <n v="0.43673431012168712"/>
    <n v="-0.51319110597949269"/>
    <n v="8.3583563168152131E-2"/>
    <n v="0.66443843152011273"/>
    <n v="8.3583563168152131E-2"/>
    <n v="8.3583563168152131E-2"/>
    <n v="0.66443843152011273"/>
    <n v="0.54167542322524531"/>
    <n v="-1.174655491281188"/>
    <n v="122.7540159444642"/>
    <n v="0.65062043158864036"/>
    <n v="122.7540159444642"/>
    <n v="122.7540159444642"/>
    <n v="0.65062043158864036"/>
    <n v="475.67511788561711"/>
    <n v="-0.35385523733974572"/>
    <x v="2"/>
    <x v="2"/>
  </r>
  <r>
    <d v="2026-04-02T06:42:59"/>
    <s v="04-02_06-42-59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3, 4, 2]}, {'features': ['sv', 'wv', 'yr', 'ya', 'rarad'], 'output_dim': 2, 'reps': 1, 'encoding': 'serial', 'ansatz': 'effsu2', 'entangle': 'lin', 'map': [2, 3, -1, 0, 1, 4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0.12138787343515001"/>
    <n v="22.718569446437119"/>
    <n v="0.67997566059281733"/>
    <n v="-0.2524057609584891"/>
    <n v="35.152480584045414"/>
    <n v="0.58281896090933205"/>
    <n v="35.152480584045414"/>
    <n v="35.152480584045414"/>
    <n v="0.58281896090933205"/>
    <n v="165.33797618756711"/>
    <n v="-0.29943453996731589"/>
    <n v="0.8"/>
    <s v="identity"/>
    <n v="7.7861691045911063E-2"/>
    <n v="0.43462345106864098"/>
    <n v="7.7861691045911063E-2"/>
    <n v="7.7861691045911063E-2"/>
    <n v="0.43462345106864098"/>
    <n v="0.151620995997093"/>
    <n v="-0.1009644705998665"/>
    <n v="9.6806889644940414E-2"/>
    <n v="0.66458480359043381"/>
    <n v="9.6806889644940414E-2"/>
    <n v="9.6806889644940414E-2"/>
    <n v="0.66458480359043381"/>
    <n v="0.35248194984599229"/>
    <n v="-0.22127467241273499"/>
    <n v="9.1785602222339363E-2"/>
    <n v="0.63150983903812741"/>
    <n v="9.1785602222339363E-2"/>
    <n v="9.1785602222339363E-2"/>
    <n v="0.63150983903812741"/>
    <n v="0.2479187338724344"/>
    <n v="4.6847006699455296E-3"/>
    <n v="140.34346815326899"/>
    <n v="0.60055774994012512"/>
    <n v="140.34346815326899"/>
    <n v="140.34346815326899"/>
    <n v="0.60055774994012512"/>
    <n v="660.59988307054755"/>
    <n v="-0.88018371752660274"/>
    <x v="2"/>
    <x v="1"/>
  </r>
  <r>
    <d v="2026-04-02T08:26:05"/>
    <s v="04-02_08-26-05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1, 4, 0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60"/>
    <n v="40"/>
    <n v="120"/>
    <n v="0.1075072190860067"/>
    <n v="23.063490193674561"/>
    <n v="0.72727662178156649"/>
    <n v="-0.69806619386223534"/>
    <n v="38.557792811270737"/>
    <n v="0.67134294347936563"/>
    <n v="38.557792811270737"/>
    <n v="38.557792811270737"/>
    <n v="0.67134294347936563"/>
    <n v="119.4852404963394"/>
    <n v="-0.62430831600162717"/>
    <n v="0.8"/>
    <s v="identity"/>
    <n v="5.6578383415073888E-2"/>
    <n v="0.58916778290278882"/>
    <n v="5.6578383415073888E-2"/>
    <n v="5.6578383415073888E-2"/>
    <n v="0.58916778290278882"/>
    <n v="0.16362116167679991"/>
    <n v="-0.18810118915118479"/>
    <n v="7.3828487702938025E-2"/>
    <n v="0.74420005854617965"/>
    <n v="7.3828487702938025E-2"/>
    <n v="7.3828487702938025E-2"/>
    <n v="0.74420005854617965"/>
    <n v="0.28098158737714762"/>
    <n v="2.6458812350621089E-2"/>
    <n v="5.219506676371688E-2"/>
    <n v="0.79045331634271743"/>
    <n v="5.219506676371688E-2"/>
    <n v="5.219506676371688E-2"/>
    <n v="0.79045331634271743"/>
    <n v="0.74194232935619842"/>
    <n v="-1.9786637745930791"/>
    <n v="154.04856930720081"/>
    <n v="0.56155061612577417"/>
    <n v="154.04856930720081"/>
    <n v="154.04856930720081"/>
    <n v="0.56155061612577417"/>
    <n v="476.75441690694629"/>
    <n v="-0.35692711261288901"/>
    <x v="0"/>
    <x v="2"/>
  </r>
  <r>
    <d v="2026-04-02T08:26:16"/>
    <s v="04-02_08-26-16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3, 4, 2]}, {'features': ['sv', 'wv', 'yr', 'ya', 'rarad'], 'output_dim': 2, 'reps': 1, 'encoding': 'serial', 'ansatz': 'effsu2', 'entangle': 'lin', 'map': [2, 3, -1, 1, 4, 0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60"/>
    <n v="40"/>
    <n v="120"/>
    <n v="0.12104005376127169"/>
    <n v="22.154927479977641"/>
    <n v="0.65294339513779454"/>
    <n v="-0.5154593879153937"/>
    <n v="28.806720680351962"/>
    <n v="0.59989647185558925"/>
    <n v="28.806720680351962"/>
    <n v="28.806720680351962"/>
    <n v="0.59989647185558925"/>
    <n v="106.7620728814595"/>
    <n v="-0.52987632883173119"/>
    <n v="0.8"/>
    <s v="identity"/>
    <n v="8.5866730618469139E-2"/>
    <n v="0.37649651358762498"/>
    <n v="8.5866730618469139E-2"/>
    <n v="8.5866730618469139E-2"/>
    <n v="0.37649651358762498"/>
    <n v="0.15502146441387901"/>
    <n v="-0.12565626797039789"/>
    <n v="9.2507679865457992E-2"/>
    <n v="0.67948064724247059"/>
    <n v="9.2507679865457992E-2"/>
    <n v="9.2507679865457992E-2"/>
    <n v="0.67948064724247059"/>
    <n v="0.39431592312324609"/>
    <n v="-0.366220454834286"/>
    <n v="8.1993085775982369E-2"/>
    <n v="0.67082369517864548"/>
    <n v="8.1993085775982369E-2"/>
    <n v="8.1993085775982369E-2"/>
    <n v="0.67082369517864548"/>
    <n v="0.60165382392439115"/>
    <n v="-1.4154497988058681"/>
    <n v="114.9665152251481"/>
    <n v="0.67278503141361656"/>
    <n v="114.9665152251481"/>
    <n v="114.9665152251481"/>
    <n v="0.67278503141361656"/>
    <n v="425.89730031437631"/>
    <n v="-0.21217879371636481"/>
    <x v="2"/>
    <x v="2"/>
  </r>
  <r>
    <d v="2026-04-02T08:28:39"/>
    <s v="04-02_08-28-39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3, 4, 2]}, {'features': ['sv', 'wv', 'yr', 'ya', 'rarad'], 'output_dim': 2, 'reps': 1, 'encoding': 'serial', 'ansatz': 'effsu2', 'entangle': 'lin', 'map': [2, 3, -1, 0, 1, 4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0.1250460056216251"/>
    <n v="19.139613600271751"/>
    <n v="0.66685694325392197"/>
    <n v="-3.3616428639136803E-2"/>
    <n v="29.13478789413486"/>
    <n v="0.60205865364742661"/>
    <n v="29.13478789413486"/>
    <n v="29.13478789413486"/>
    <n v="0.60205865364742661"/>
    <n v="128.73105350595111"/>
    <n v="-7.7551677221922244E-2"/>
    <n v="0.8"/>
    <s v="identity"/>
    <n v="8.1702003155025058E-2"/>
    <n v="0.40673781979215201"/>
    <n v="8.1702003155025058E-2"/>
    <n v="8.1702003155025058E-2"/>
    <n v="0.40673781979215201"/>
    <n v="0.1268576756636676"/>
    <n v="7.8849252967200245E-2"/>
    <n v="8.7877713150712591E-2"/>
    <n v="0.69552249303146252"/>
    <n v="8.7877713150712591E-2"/>
    <n v="8.7877713150712591E-2"/>
    <n v="0.69552249303146252"/>
    <n v="0.28721695483026821"/>
    <n v="4.8545958878772888E-3"/>
    <n v="9.0436709154054995E-2"/>
    <n v="0.63692521804984215"/>
    <n v="9.0436709154054995E-2"/>
    <n v="9.0436709154054995E-2"/>
    <n v="0.63692521804984215"/>
    <n v="0.23169532622247541"/>
    <n v="6.9816550889788331E-2"/>
    <n v="116.2791351510802"/>
    <n v="0.66904908371624927"/>
    <n v="116.2791351510802"/>
    <n v="116.2791351510802"/>
    <n v="0.66904908371624927"/>
    <n v="514.27844406708834"/>
    <n v="-0.46372710863255318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178BD3-3D75-4ACA-832E-2B46CB0D386F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11" firstHeaderRow="0" firstDataRow="1" firstDataCol="1"/>
  <pivotFields count="78">
    <pivotField numFmtId="164"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sd="0" x="1"/>
        <item sd="0" x="0"/>
        <item sd="0" x="2"/>
        <item sd="0" x="3"/>
        <item sd="0" x="4"/>
        <item sd="0" x="5"/>
        <item sd="0" x="6"/>
        <item t="default" sd="0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2">
    <field x="22"/>
    <field x="2"/>
  </rowFields>
  <rowItems count="8">
    <i>
      <x v="5"/>
    </i>
    <i>
      <x v="1"/>
    </i>
    <i>
      <x/>
    </i>
    <i>
      <x v="6"/>
    </i>
    <i>
      <x v="3"/>
    </i>
    <i>
      <x v="4"/>
    </i>
    <i>
      <x v="2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Promedio de Val Global Open R2" fld="37" subtotal="average" baseField="22" baseItem="3"/>
    <dataField name="Promedio de Val Global Closed R2" fld="38" subtotal="average" baseField="22" baseItem="3"/>
    <dataField name="Promedio de global open R2" fld="43" subtotal="average" baseField="22" baseItem="3"/>
    <dataField name="Promedio de global closed R2" fld="45" subtotal="average" baseField="22" baseItem="3"/>
    <dataField name="Promedio de Surge Velocity Global open R2" fld="52" subtotal="average" baseField="22" baseItem="3"/>
    <dataField name="Promedio de Sway Velocity Global open R2" fld="59" subtotal="average" baseField="22" baseItem="3"/>
    <dataField name="Promedio de Yaw Rate Global open R2" fld="66" subtotal="average" baseField="22" baseItem="3"/>
    <dataField name="Promedio de Yaw Angle Global open R2" fld="73" subtotal="average" baseField="22" baseItem="3"/>
    <dataField name="Promedio de Surge Velocity Global closed R2" fld="54" subtotal="average" baseField="22" baseItem="3"/>
    <dataField name="Promedio de Sway Velocity Global closed R2" fld="61" subtotal="average" baseField="22" baseItem="3"/>
    <dataField name="Promedio de Yaw Rate Global closed R2" fld="68" subtotal="average" baseField="22" baseItem="3"/>
    <dataField name="Promedio de Yaw Angle Global closed R2" fld="75" subtotal="average" baseField="22" baseItem="3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5B1712-0BA8-4A82-B815-4D11FED636C2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G5" firstHeaderRow="0" firstDataRow="1" firstDataCol="1"/>
  <pivotFields count="78">
    <pivotField numFmtId="164"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sd="0" x="0"/>
        <item sd="0" x="1"/>
        <item sd="0" x="2"/>
        <item t="default"/>
      </items>
    </pivotField>
    <pivotField showAll="0"/>
  </pivotFields>
  <rowFields count="3">
    <field x="76"/>
    <field x="22"/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Promedio de Surge Velocity Global open R2" fld="52" subtotal="average" baseField="76" baseItem="1"/>
    <dataField name="Promedio de Sway Velocity Global open R2" fld="59" subtotal="average" baseField="76" baseItem="1"/>
    <dataField name="Promedio de Surge Velocity Global closed R2" fld="54" subtotal="average" baseField="76" baseItem="1"/>
    <dataField name="Promedio de Sway Velocity Global closed R2" fld="61" subtotal="average" baseField="76" baseItem="1"/>
    <dataField name="Promedio de global open R2" fld="43" subtotal="average" baseField="76" baseItem="1"/>
    <dataField name="Promedio de global closed R2" fld="45" subtotal="average" baseField="76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1B064-73C0-4A58-B504-4B148F38E2C6}" name="TablaDiná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G6" firstHeaderRow="0" firstDataRow="1" firstDataCol="1"/>
  <pivotFields count="78">
    <pivotField numFmtId="164"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4">
        <item sd="0" x="1"/>
        <item sd="0" x="0"/>
        <item sd="0" x="2"/>
        <item t="default"/>
      </items>
    </pivotField>
  </pivotFields>
  <rowFields count="3">
    <field x="77"/>
    <field x="22"/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Promedio de Yaw Rate Global open R2" fld="66" subtotal="average" baseField="77" baseItem="1"/>
    <dataField name="Promedio de Yaw Angle Global open R2" fld="73" subtotal="average" baseField="77" baseItem="1"/>
    <dataField name="Promedio de Yaw Rate Global closed R2" fld="68" subtotal="average" baseField="77" baseItem="1"/>
    <dataField name="Promedio de Yaw Angle Global closed R2" fld="75" subtotal="average" baseField="77" baseItem="1"/>
    <dataField name="Promedio de global open R2" fld="43" subtotal="average" baseField="77" baseItem="1"/>
    <dataField name="Promedio de global closed R2" fld="45" subtotal="average" baseField="77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35DA28-D553-42C0-81F6-48AE730B2F3E}" name="Tabla1" displayName="Tabla1" ref="A1:BZ71" totalsRowShown="0" headerRowDxfId="5" headerRowBorderDxfId="4" tableBorderDxfId="3">
  <tableColumns count="78">
    <tableColumn id="1" xr3:uid="{1E698EC1-8797-42D0-B11A-1C1A14BD0020}" name="date" dataDxfId="2"/>
    <tableColumn id="2" xr3:uid="{D758F56B-9BEB-4B5D-823C-3DAB319F6813}" name="model_id"/>
    <tableColumn id="3" xr3:uid="{1F3A1742-8A02-4238-B7CE-5EB5405ED8C5}" name="run"/>
    <tableColumn id="4" xr3:uid="{96E0C2F9-1B1E-4388-BD5A-1814600CEEEE}" name="weight_selection"/>
    <tableColumn id="5" xr3:uid="{618DCED7-B9EB-4E7F-9830-826932F17E93}" name="data"/>
    <tableColumn id="6" xr3:uid="{0A03254E-8E38-473E-A9ED-26C813D8BA9E}" name="data_n"/>
    <tableColumn id="7" xr3:uid="{839BC795-20E4-4672-B196-1968EFCE25AD}" name="data_dt"/>
    <tableColumn id="8" xr3:uid="{8E544C0A-AE89-4E0D-82E1-3061B0AAD367}" name="features"/>
    <tableColumn id="9" xr3:uid="{40D282C5-3C84-46FF-89A6-B26360E5816C}" name="targets"/>
    <tableColumn id="10" xr3:uid="{59D4AB13-5EF9-4F18-B6C0-7AC2C35F98CD}" name="window_size"/>
    <tableColumn id="11" xr3:uid="{8F39AF22-05F3-4D2C-94A2-A5781249231C}" name="horizon"/>
    <tableColumn id="12" xr3:uid="{BCCCBD49-B71D-411A-A5BF-2DF22E24181C}" name="predict"/>
    <tableColumn id="13" xr3:uid="{7D3A59DC-4F4B-4C63-B165-F38C99E54057}" name="norm"/>
    <tableColumn id="14" xr3:uid="{B588C0F7-DBCA-414B-9945-A92142351FB1}" name="reconstruct_train"/>
    <tableColumn id="15" xr3:uid="{D9EEF2C5-ADC1-4C96-861A-985E50A48744}" name="reconstruct_val"/>
    <tableColumn id="16" xr3:uid="{5E7FF15E-3C4C-4151-A8FC-02D4FE47FC24}" name="model"/>
    <tableColumn id="17" xr3:uid="{95E21A93-0E7A-4CEE-8614-996CE78C854A}" name="heads_config"/>
    <tableColumn id="18" xr3:uid="{94FD2C16-9DDD-4E7C-9CBB-821F128BB891}" name="head_number"/>
    <tableColumn id="19" xr3:uid="{B1D46074-8153-431B-AFF8-677985B6C9ED}" name="encoding"/>
    <tableColumn id="20" xr3:uid="{08B4C9CA-D6D6-4F06-B164-BA6CBB9CE980}" name="ansatz"/>
    <tableColumn id="21" xr3:uid="{CB729C8A-5C3D-4049-A3AA-BED8CDF6A55D}" name="entangle"/>
    <tableColumn id="22" xr3:uid="{DA7AB070-CA38-4B36-B3F0-DC3D0ADF4FA4}" name="reps"/>
    <tableColumn id="23" xr3:uid="{4F3CA469-D0E2-40D7-A21A-53FD17F5A956}" name="map"/>
    <tableColumn id="24" xr3:uid="{52563956-B927-4373-979F-352CEDA02636}" name="reorder"/>
    <tableColumn id="25" xr3:uid="{D514D60C-1D01-4FC2-9998-FC6A77C58270}" name="optimizer"/>
    <tableColumn id="26" xr3:uid="{F7F31FB9-CE3D-4B74-8EAC-5DBD8413F45E}" name="maxiter"/>
    <tableColumn id="27" xr3:uid="{663A16F3-5960-4A7C-A25D-AE970AE2F4B1}" name="iterations"/>
    <tableColumn id="28" xr3:uid="{5071B968-0A82-45AC-BC62-8F95FFC4FA24}" name="tolerance"/>
    <tableColumn id="29" xr3:uid="{E32D8FE4-08F7-4557-9A09-3CEA6B1280CA}" name="batch_size"/>
    <tableColumn id="30" xr3:uid="{7BDB8555-BD06-4B3A-804C-DFD12CE6ABCB}" name="learning_rate"/>
    <tableColumn id="31" xr3:uid="{E4922FB2-799B-4175-980A-135AC2387A3E}" name="perturbation"/>
    <tableColumn id="32" xr3:uid="{D44F2773-86BB-4371-885D-5A3C82DABB3C}" name="weights"/>
    <tableColumn id="33" xr3:uid="{17EFB523-31BF-40F9-8DF9-09B909FC359E}" name="total params"/>
    <tableColumn id="34" xr3:uid="{65E76564-1360-4778-ABAC-CE3AD2888103}" name="q params"/>
    <tableColumn id="35" xr3:uid="{F61E645E-496C-4681-A214-172F1DF59B07}" name="c params"/>
    <tableColumn id="36" xr3:uid="{C33FB76D-7A49-4023-9799-BF4A09BED662}" name="final val loss"/>
    <tableColumn id="37" xr3:uid="{0D456450-EC4A-4F91-9AF6-87A88E03F69E}" name="Val Global Open MSE"/>
    <tableColumn id="38" xr3:uid="{ADB32585-743E-4C40-8D29-32BE673A5EBF}" name="Val Global Open R2"/>
    <tableColumn id="39" xr3:uid="{5A5A032B-EECB-4F90-A8D0-2679B57D559E}" name="Val Global Closed R2"/>
    <tableColumn id="40" xr3:uid="{23D7AAEC-8745-41F3-9AD1-552FA13391B1}" name="step MSE"/>
    <tableColumn id="41" xr3:uid="{5079CED2-92EF-49C8-8E47-BD150C9CFD16}" name="step R2"/>
    <tableColumn id="42" xr3:uid="{0A8A4EF1-EA12-41E4-BAEC-E7C3D1283274}" name="local MSE"/>
    <tableColumn id="43" xr3:uid="{204788C5-BA1F-49ED-B775-3D4A71EE0796}" name="global open MSE"/>
    <tableColumn id="44" xr3:uid="{86FC270E-8DEE-4189-A5B9-C819569B77AC}" name="global open R2"/>
    <tableColumn id="45" xr3:uid="{F11A4C52-2C6C-47CD-9E9D-B90165067A5D}" name="global closed MSE"/>
    <tableColumn id="46" xr3:uid="{28C6F9C5-4158-48DA-8ACF-CFE7DB83AE2A}" name="global closed R2"/>
    <tableColumn id="47" xr3:uid="{80DF256E-C616-416A-BFAC-79D9E64C6DEF}" name="recursivity"/>
    <tableColumn id="48" xr3:uid="{7B858960-93F9-4E15-B885-0911B8275B22}" name="initialization"/>
    <tableColumn id="49" xr3:uid="{D7E4FA65-6F6F-4198-9616-971A9DE01B5D}" name="Surge Velocity Step MSE"/>
    <tableColumn id="50" xr3:uid="{F929C729-C691-4817-B364-A8687DA7BD9B}" name="Surge Velocity Step R2"/>
    <tableColumn id="51" xr3:uid="{26DE1E0E-C676-4847-918E-966B67E8EB65}" name="Surge Velocity Local MSE"/>
    <tableColumn id="52" xr3:uid="{21306C6F-59B0-404D-BAC2-06E2462A4FF4}" name="Surge Velocity Global open MSE"/>
    <tableColumn id="53" xr3:uid="{EB3CC08F-B53C-4F41-B325-BB863A70C90B}" name="Surge Velocity Global open R2"/>
    <tableColumn id="54" xr3:uid="{887825BE-1E14-408A-A1B7-ECBA03EF6526}" name="Surge Velocity Global closed MSE"/>
    <tableColumn id="55" xr3:uid="{BAB0D721-9BDC-47FE-9025-FD143F2171BA}" name="Surge Velocity Global closed R2"/>
    <tableColumn id="56" xr3:uid="{48A31978-63C2-4424-B3B0-63418BD3607F}" name="Sway Velocity Step MSE"/>
    <tableColumn id="57" xr3:uid="{7B39E232-4416-48A9-9907-8747131F38B7}" name="Sway Velocity Step R2"/>
    <tableColumn id="58" xr3:uid="{278225BB-6CB5-4DCF-A1CD-27F6115CB693}" name="Sway Velocity Local MSE"/>
    <tableColumn id="59" xr3:uid="{962C53D0-AA66-453D-BB90-771C80D557CA}" name="Sway Velocity Global open MSE"/>
    <tableColumn id="60" xr3:uid="{C0B1B78A-57C0-45E3-A2DE-4490BF4F1546}" name="Sway Velocity Global open R2"/>
    <tableColumn id="61" xr3:uid="{A9219469-10C6-4A72-A1D0-F249AA7601EE}" name="Sway Velocity Global closed MSE"/>
    <tableColumn id="62" xr3:uid="{042FF4F4-2102-4BE5-895A-7A9C909755FE}" name="Sway Velocity Global closed R2"/>
    <tableColumn id="63" xr3:uid="{B68204BC-99A6-4CFF-A010-4D1432D4C2F5}" name="Yaw Rate Step MSE"/>
    <tableColumn id="64" xr3:uid="{D69F1310-06FF-42EF-AB46-F141F51C112C}" name="Yaw Rate Step R2"/>
    <tableColumn id="65" xr3:uid="{0165EEFB-6780-40B1-9D06-C6371A679F99}" name="Yaw Rate Local MSE"/>
    <tableColumn id="66" xr3:uid="{848E96BC-10FB-4EA2-96FF-66357E2D718E}" name="Yaw Rate Global open MSE"/>
    <tableColumn id="67" xr3:uid="{90F1641F-3844-4BA2-9573-9A4FE513BD8A}" name="Yaw Rate Global open R2"/>
    <tableColumn id="68" xr3:uid="{40DF02B4-6EAB-424F-B9FB-80F77B760715}" name="Yaw Rate Global closed MSE"/>
    <tableColumn id="69" xr3:uid="{6B1548C4-083B-4753-9A86-24E7B96C57EC}" name="Yaw Rate Global closed R2"/>
    <tableColumn id="70" xr3:uid="{B46E44A1-3104-476D-8DEA-A795C190649A}" name="Yaw Angle Step MSE"/>
    <tableColumn id="71" xr3:uid="{71AF0BEF-2DAF-473F-B006-5E58D363E631}" name="Yaw Angle Step R2"/>
    <tableColumn id="72" xr3:uid="{E6233B89-9933-46F4-AA5B-BA00C03DB60D}" name="Yaw Angle Local MSE"/>
    <tableColumn id="73" xr3:uid="{9FE147B5-7031-4972-A0E0-3AC791F4A50A}" name="Yaw Angle Global open MSE"/>
    <tableColumn id="74" xr3:uid="{17DF8E8A-736A-4C8C-8DA2-944E7BFC6C84}" name="Yaw Angle Global open R2"/>
    <tableColumn id="75" xr3:uid="{28CD0907-A87E-4117-86C2-93864E6764CC}" name="Yaw Angle Global closed MSE"/>
    <tableColumn id="76" xr3:uid="{F85D3CA4-437C-49EB-A97E-776518ED5FEF}" name="Yaw Angle Global closed R2"/>
    <tableColumn id="77" xr3:uid="{A09BB709-646D-493A-909B-3CA94441856B}" name="not surge and sway" dataDxfId="1">
      <calculatedColumnFormula>SUBSTITUTE(TRIM(MID(SUBSTITUTE(SUBSTITUTE(SUBSTITUTE(Tabla1[[#This Row],[map]],"[",""),"]",""),",",REPT(" ",100)),300,300))," ",", ")</calculatedColumnFormula>
    </tableColumn>
    <tableColumn id="78" xr3:uid="{DA347E80-9226-46F1-B1AD-81E1674A70A0}" name="not yaw" dataDxfId="0">
      <calculatedColumnFormula>SUBSTITUTE(TRIM(MID(SUBSTITUTE(SUBSTITUTE(SUBSTITUTE(Tabla1[[#This Row],[map]],"[",""),"]",""),",",REPT(" ",100)),901,300))," ",", 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71"/>
  <sheetViews>
    <sheetView topLeftCell="AJ32" zoomScale="57" workbookViewId="0">
      <selection activeCell="BT67" sqref="BT67"/>
    </sheetView>
  </sheetViews>
  <sheetFormatPr baseColWidth="10" defaultColWidth="8.88671875" defaultRowHeight="14.4" x14ac:dyDescent="0.3"/>
  <cols>
    <col min="1" max="1" width="18.21875" bestFit="1" customWidth="1"/>
    <col min="2" max="2" width="10.77734375" customWidth="1"/>
    <col min="3" max="3" width="9" bestFit="1" customWidth="1"/>
    <col min="4" max="4" width="17" customWidth="1"/>
    <col min="6" max="6" width="9" bestFit="1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0.21875" customWidth="1"/>
    <col min="24" max="24" width="9.109375" customWidth="1"/>
    <col min="25" max="25" width="10.77734375" customWidth="1"/>
    <col min="26" max="26" width="9.21875" customWidth="1"/>
    <col min="27" max="28" width="10.77734375" customWidth="1"/>
    <col min="29" max="29" width="11.6640625" customWidth="1"/>
    <col min="30" max="30" width="14" customWidth="1"/>
    <col min="31" max="31" width="13.5546875" customWidth="1"/>
    <col min="32" max="32" width="9.33203125" customWidth="1"/>
    <col min="33" max="33" width="13.44140625" customWidth="1"/>
    <col min="34" max="34" width="10.6640625" customWidth="1"/>
    <col min="35" max="35" width="10.44140625" customWidth="1"/>
    <col min="36" max="36" width="13" customWidth="1"/>
    <col min="37" max="37" width="20.5546875" customWidth="1"/>
    <col min="38" max="38" width="18.88671875" customWidth="1"/>
    <col min="39" max="39" width="19.88671875" customWidth="1"/>
    <col min="40" max="40" width="10.6640625" customWidth="1"/>
    <col min="41" max="41" width="9" customWidth="1"/>
    <col min="42" max="42" width="11" customWidth="1"/>
    <col min="43" max="43" width="17" customWidth="1"/>
    <col min="44" max="44" width="15.33203125" customWidth="1"/>
    <col min="45" max="45" width="18" customWidth="1"/>
    <col min="46" max="46" width="16.33203125" customWidth="1"/>
    <col min="47" max="47" width="11.5546875" customWidth="1"/>
    <col min="48" max="48" width="13" customWidth="1"/>
    <col min="49" max="49" width="23.33203125" customWidth="1"/>
    <col min="50" max="50" width="21.6640625" customWidth="1"/>
    <col min="51" max="51" width="23.88671875" customWidth="1"/>
    <col min="52" max="52" width="29.6640625" customWidth="1"/>
    <col min="53" max="53" width="28" customWidth="1"/>
    <col min="54" max="54" width="30.6640625" customWidth="1"/>
    <col min="55" max="55" width="29" customWidth="1"/>
    <col min="56" max="56" width="23" customWidth="1"/>
    <col min="57" max="57" width="21.33203125" customWidth="1"/>
    <col min="58" max="58" width="23.5546875" customWidth="1"/>
    <col min="59" max="59" width="29.33203125" customWidth="1"/>
    <col min="60" max="60" width="27.6640625" customWidth="1"/>
    <col min="61" max="61" width="30.33203125" customWidth="1"/>
    <col min="62" max="62" width="28.6640625" customWidth="1"/>
    <col min="63" max="63" width="19" customWidth="1"/>
    <col min="64" max="64" width="17.33203125" customWidth="1"/>
    <col min="65" max="65" width="19.5546875" customWidth="1"/>
    <col min="66" max="66" width="25.33203125" customWidth="1"/>
    <col min="67" max="67" width="23.6640625" customWidth="1"/>
    <col min="68" max="68" width="26.33203125" customWidth="1"/>
    <col min="69" max="69" width="24.6640625" customWidth="1"/>
    <col min="70" max="70" width="20" customWidth="1"/>
    <col min="71" max="71" width="18.33203125" customWidth="1"/>
    <col min="72" max="72" width="20.5546875" customWidth="1"/>
    <col min="73" max="73" width="26.33203125" customWidth="1"/>
    <col min="74" max="74" width="24.6640625" customWidth="1"/>
    <col min="75" max="75" width="27.33203125" customWidth="1"/>
    <col min="76" max="76" width="25.6640625" customWidth="1"/>
  </cols>
  <sheetData>
    <row r="1" spans="1:7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155</v>
      </c>
      <c r="BZ1" s="2" t="s">
        <v>156</v>
      </c>
    </row>
    <row r="2" spans="1:78" x14ac:dyDescent="0.3">
      <c r="A2" s="1">
        <v>46090.663495370369</v>
      </c>
      <c r="B2" t="s">
        <v>76</v>
      </c>
      <c r="C2">
        <v>0</v>
      </c>
      <c r="D2" t="s">
        <v>77</v>
      </c>
      <c r="E2" t="s">
        <v>78</v>
      </c>
      <c r="F2">
        <v>16590</v>
      </c>
      <c r="G2">
        <v>4.5</v>
      </c>
      <c r="H2" t="s">
        <v>79</v>
      </c>
      <c r="I2" t="s">
        <v>80</v>
      </c>
      <c r="J2">
        <v>5</v>
      </c>
      <c r="K2">
        <v>5</v>
      </c>
      <c r="L2" t="s">
        <v>81</v>
      </c>
      <c r="M2" t="s">
        <v>82</v>
      </c>
      <c r="N2" t="s">
        <v>83</v>
      </c>
      <c r="O2" t="s">
        <v>83</v>
      </c>
      <c r="P2" t="s">
        <v>84</v>
      </c>
      <c r="Q2" t="s">
        <v>85</v>
      </c>
      <c r="R2">
        <v>2</v>
      </c>
      <c r="S2" t="s">
        <v>86</v>
      </c>
      <c r="T2" t="s">
        <v>87</v>
      </c>
      <c r="U2" t="s">
        <v>88</v>
      </c>
      <c r="V2">
        <v>1</v>
      </c>
      <c r="W2" t="s">
        <v>89</v>
      </c>
      <c r="X2" t="s">
        <v>83</v>
      </c>
      <c r="Y2" t="s">
        <v>90</v>
      </c>
      <c r="Z2">
        <v>4000</v>
      </c>
      <c r="AA2">
        <v>4000</v>
      </c>
      <c r="AC2">
        <v>256</v>
      </c>
      <c r="AD2" t="s">
        <v>91</v>
      </c>
      <c r="AE2">
        <v>0.15</v>
      </c>
      <c r="AF2" t="s">
        <v>92</v>
      </c>
      <c r="AG2">
        <v>160</v>
      </c>
      <c r="AH2">
        <v>40</v>
      </c>
      <c r="AI2">
        <v>120</v>
      </c>
      <c r="AJ2">
        <v>0.11571132200253161</v>
      </c>
      <c r="AK2">
        <v>35.427442859283701</v>
      </c>
      <c r="AL2">
        <v>0.69109351577857647</v>
      </c>
      <c r="AM2">
        <v>5.8443297819760147E-2</v>
      </c>
      <c r="AN2">
        <v>37.906346682234613</v>
      </c>
      <c r="AO2">
        <v>0.70260835692500756</v>
      </c>
      <c r="AP2">
        <v>37.906346682234613</v>
      </c>
      <c r="AQ2">
        <v>37.906346682234613</v>
      </c>
      <c r="AR2">
        <v>0.70260835692500756</v>
      </c>
      <c r="AS2">
        <v>111.23954943529441</v>
      </c>
      <c r="AT2">
        <v>0.13761405619115699</v>
      </c>
      <c r="AU2">
        <v>0.8</v>
      </c>
      <c r="AV2" t="s">
        <v>93</v>
      </c>
      <c r="AW2">
        <v>5.7863040815411729E-2</v>
      </c>
      <c r="AX2">
        <v>0.57983950916758487</v>
      </c>
      <c r="AY2">
        <v>5.7863040815411729E-2</v>
      </c>
      <c r="AZ2">
        <v>5.7863040815411729E-2</v>
      </c>
      <c r="BA2">
        <v>0.57983950916758487</v>
      </c>
      <c r="BB2">
        <v>0.15547555837541019</v>
      </c>
      <c r="BC2">
        <v>-0.12895357725577841</v>
      </c>
      <c r="BD2">
        <v>5.0223178530560839E-2</v>
      </c>
      <c r="BE2">
        <v>0.82598741315906743</v>
      </c>
      <c r="BF2">
        <v>5.0223178530560839E-2</v>
      </c>
      <c r="BG2">
        <v>5.0223178530560839E-2</v>
      </c>
      <c r="BH2">
        <v>0.82598741315906743</v>
      </c>
      <c r="BI2">
        <v>0.19697353751554569</v>
      </c>
      <c r="BJ2">
        <v>0.31752876251285661</v>
      </c>
      <c r="BK2">
        <v>4.0916050829308957E-2</v>
      </c>
      <c r="BL2">
        <v>0.83573499774514048</v>
      </c>
      <c r="BM2">
        <v>4.0916050829308957E-2</v>
      </c>
      <c r="BN2">
        <v>4.0916050829308957E-2</v>
      </c>
      <c r="BO2">
        <v>0.83573499774514048</v>
      </c>
      <c r="BP2">
        <v>9.2898235006079882E-2</v>
      </c>
      <c r="BQ2">
        <v>0.62704297033927814</v>
      </c>
      <c r="BR2">
        <v>151.4763844587622</v>
      </c>
      <c r="BS2">
        <v>0.56887150762824257</v>
      </c>
      <c r="BT2">
        <v>151.4763844587622</v>
      </c>
      <c r="BU2">
        <v>151.4763844587622</v>
      </c>
      <c r="BV2">
        <v>0.56887150762824257</v>
      </c>
      <c r="BW2">
        <v>444.51285041028092</v>
      </c>
      <c r="BX2">
        <v>-0.26516193083172951</v>
      </c>
      <c r="BY2" t="str">
        <f>SUBSTITUTE(TRIM(MID(SUBSTITUTE(SUBSTITUTE(SUBSTITUTE(Tabla1[[#This Row],[map]],"[",""),"]",""),",",REPT(" ",100)),300,300))," ",", ")</f>
        <v>2, 3, 4</v>
      </c>
      <c r="BZ2" t="str">
        <f>SUBSTITUTE(TRIM(MID(SUBSTITUTE(SUBSTITUTE(SUBSTITUTE(Tabla1[[#This Row],[map]],"[",""),"]",""),",",REPT(" ",100)),901,300))," ",", ")</f>
        <v>4, 0, 1</v>
      </c>
    </row>
    <row r="3" spans="1:78" x14ac:dyDescent="0.3">
      <c r="A3" s="1">
        <v>46090.662800925929</v>
      </c>
      <c r="B3" t="s">
        <v>94</v>
      </c>
      <c r="C3">
        <v>0</v>
      </c>
      <c r="D3" t="s">
        <v>95</v>
      </c>
      <c r="E3" t="s">
        <v>78</v>
      </c>
      <c r="F3">
        <v>16590</v>
      </c>
      <c r="G3">
        <v>4.5</v>
      </c>
      <c r="H3" t="s">
        <v>79</v>
      </c>
      <c r="I3" t="s">
        <v>80</v>
      </c>
      <c r="J3">
        <v>5</v>
      </c>
      <c r="K3">
        <v>5</v>
      </c>
      <c r="L3" t="s">
        <v>81</v>
      </c>
      <c r="M3" t="s">
        <v>82</v>
      </c>
      <c r="N3" t="s">
        <v>83</v>
      </c>
      <c r="O3" t="s">
        <v>83</v>
      </c>
      <c r="P3" t="s">
        <v>84</v>
      </c>
      <c r="Q3" t="s">
        <v>96</v>
      </c>
      <c r="R3">
        <v>2</v>
      </c>
      <c r="S3" t="s">
        <v>86</v>
      </c>
      <c r="T3" t="s">
        <v>87</v>
      </c>
      <c r="U3" t="s">
        <v>88</v>
      </c>
      <c r="V3">
        <v>1</v>
      </c>
      <c r="W3" t="s">
        <v>97</v>
      </c>
      <c r="X3" t="s">
        <v>83</v>
      </c>
      <c r="Y3" t="s">
        <v>90</v>
      </c>
      <c r="Z3">
        <v>4000</v>
      </c>
      <c r="AA3">
        <v>4000</v>
      </c>
      <c r="AC3">
        <v>256</v>
      </c>
      <c r="AD3" t="s">
        <v>91</v>
      </c>
      <c r="AE3">
        <v>0.15</v>
      </c>
      <c r="AF3" t="s">
        <v>92</v>
      </c>
      <c r="AG3">
        <v>160</v>
      </c>
      <c r="AH3">
        <v>40</v>
      </c>
      <c r="AI3">
        <v>120</v>
      </c>
      <c r="AJ3">
        <v>0.1189388311222343</v>
      </c>
      <c r="AK3">
        <v>34.910287484626721</v>
      </c>
      <c r="AL3">
        <v>0.6684069943010521</v>
      </c>
      <c r="AM3">
        <v>-0.14478506873416519</v>
      </c>
      <c r="AN3">
        <v>49.913349858525933</v>
      </c>
      <c r="AO3">
        <v>0.63256722053571957</v>
      </c>
      <c r="AP3">
        <v>49.913349858525933</v>
      </c>
      <c r="AQ3">
        <v>49.913349858525933</v>
      </c>
      <c r="AR3">
        <v>0.63256722053571957</v>
      </c>
      <c r="AS3">
        <v>114.78433310409299</v>
      </c>
      <c r="AT3">
        <v>-8.2933393258060484E-2</v>
      </c>
      <c r="AU3">
        <v>0.8</v>
      </c>
      <c r="AV3" t="s">
        <v>93</v>
      </c>
      <c r="AW3">
        <v>5.9567309634595673E-2</v>
      </c>
      <c r="AX3">
        <v>0.56746431399139241</v>
      </c>
      <c r="AY3">
        <v>5.9567309634595673E-2</v>
      </c>
      <c r="AZ3">
        <v>5.9567309634595673E-2</v>
      </c>
      <c r="BA3">
        <v>0.56746431399139241</v>
      </c>
      <c r="BB3">
        <v>0.1832491805484977</v>
      </c>
      <c r="BC3">
        <v>-0.33062598437425028</v>
      </c>
      <c r="BD3">
        <v>5.5129809952101053E-2</v>
      </c>
      <c r="BE3">
        <v>0.80898698325163598</v>
      </c>
      <c r="BF3">
        <v>5.5129809952101053E-2</v>
      </c>
      <c r="BG3">
        <v>5.5129809952101053E-2</v>
      </c>
      <c r="BH3">
        <v>0.80898698325163598</v>
      </c>
      <c r="BI3">
        <v>0.26244759941155299</v>
      </c>
      <c r="BJ3">
        <v>9.0675122124988072E-2</v>
      </c>
      <c r="BK3">
        <v>6.9359761503259051E-2</v>
      </c>
      <c r="BL3">
        <v>0.72154249618909772</v>
      </c>
      <c r="BM3">
        <v>6.9359761503259051E-2</v>
      </c>
      <c r="BN3">
        <v>6.9359761503259051E-2</v>
      </c>
      <c r="BO3">
        <v>0.72154249618909772</v>
      </c>
      <c r="BP3">
        <v>0.195986366220219</v>
      </c>
      <c r="BQ3">
        <v>0.2131767304867791</v>
      </c>
      <c r="BR3">
        <v>199.46934255301471</v>
      </c>
      <c r="BS3">
        <v>0.43227508871075138</v>
      </c>
      <c r="BT3">
        <v>199.46934255301471</v>
      </c>
      <c r="BU3">
        <v>199.46934255301471</v>
      </c>
      <c r="BV3">
        <v>0.43227508871075138</v>
      </c>
      <c r="BW3">
        <v>458.49564927019162</v>
      </c>
      <c r="BX3">
        <v>-0.30495944126974722</v>
      </c>
      <c r="BY3" t="str">
        <f>SUBSTITUTE(TRIM(MID(SUBSTITUTE(SUBSTITUTE(SUBSTITUTE(Tabla1[[#This Row],[map]],"[",""),"]",""),",",REPT(" ",100)),300,300))," ",", ")</f>
        <v>2, 3, 4</v>
      </c>
      <c r="BZ3" t="str">
        <f>SUBSTITUTE(TRIM(MID(SUBSTITUTE(SUBSTITUTE(SUBSTITUTE(Tabla1[[#This Row],[map]],"[",""),"]",""),",",REPT(" ",100)),901,300))," ",", ")</f>
        <v>0, 1, 4</v>
      </c>
    </row>
    <row r="4" spans="1:78" x14ac:dyDescent="0.3">
      <c r="A4" s="1">
        <v>46090.663182870368</v>
      </c>
      <c r="B4" t="s">
        <v>98</v>
      </c>
      <c r="C4">
        <v>0</v>
      </c>
      <c r="D4" t="s">
        <v>95</v>
      </c>
      <c r="E4" t="s">
        <v>78</v>
      </c>
      <c r="F4">
        <v>16590</v>
      </c>
      <c r="G4">
        <v>4.5</v>
      </c>
      <c r="H4" t="s">
        <v>79</v>
      </c>
      <c r="I4" t="s">
        <v>80</v>
      </c>
      <c r="J4">
        <v>5</v>
      </c>
      <c r="K4">
        <v>5</v>
      </c>
      <c r="L4" t="s">
        <v>81</v>
      </c>
      <c r="M4" t="s">
        <v>82</v>
      </c>
      <c r="N4" t="s">
        <v>83</v>
      </c>
      <c r="O4" t="s">
        <v>83</v>
      </c>
      <c r="P4" t="s">
        <v>84</v>
      </c>
      <c r="Q4" t="s">
        <v>99</v>
      </c>
      <c r="R4">
        <v>2</v>
      </c>
      <c r="S4" t="s">
        <v>86</v>
      </c>
      <c r="T4" t="s">
        <v>87</v>
      </c>
      <c r="U4" t="s">
        <v>88</v>
      </c>
      <c r="V4">
        <v>1</v>
      </c>
      <c r="W4" t="s">
        <v>100</v>
      </c>
      <c r="X4" t="s">
        <v>83</v>
      </c>
      <c r="Y4" t="s">
        <v>90</v>
      </c>
      <c r="Z4">
        <v>4000</v>
      </c>
      <c r="AA4">
        <v>4000</v>
      </c>
      <c r="AC4">
        <v>256</v>
      </c>
      <c r="AD4" t="s">
        <v>91</v>
      </c>
      <c r="AE4">
        <v>0.15</v>
      </c>
      <c r="AF4" t="s">
        <v>92</v>
      </c>
      <c r="AG4">
        <v>160</v>
      </c>
      <c r="AH4">
        <v>40</v>
      </c>
      <c r="AI4">
        <v>120</v>
      </c>
      <c r="AJ4">
        <v>0.141243821982934</v>
      </c>
      <c r="AK4">
        <v>36.324223066556293</v>
      </c>
      <c r="AL4">
        <v>0.60210503627220202</v>
      </c>
      <c r="AM4">
        <v>8.821272769749175E-2</v>
      </c>
      <c r="AN4">
        <v>50.743565042011546</v>
      </c>
      <c r="AO4">
        <v>0.52723040254253828</v>
      </c>
      <c r="AP4">
        <v>50.743565042011546</v>
      </c>
      <c r="AQ4">
        <v>50.743565042011546</v>
      </c>
      <c r="AR4">
        <v>0.52723040254253828</v>
      </c>
      <c r="AS4">
        <v>83.33369098736496</v>
      </c>
      <c r="AT4">
        <v>0.16174734888693301</v>
      </c>
      <c r="AU4">
        <v>0.8</v>
      </c>
      <c r="AV4" t="s">
        <v>93</v>
      </c>
      <c r="AW4">
        <v>9.2888058085569825E-2</v>
      </c>
      <c r="AX4">
        <v>0.32551259789119319</v>
      </c>
      <c r="AY4">
        <v>9.2888058085569825E-2</v>
      </c>
      <c r="AZ4">
        <v>9.2888058085569825E-2</v>
      </c>
      <c r="BA4">
        <v>0.32551259789119319</v>
      </c>
      <c r="BB4">
        <v>0.16070154902860631</v>
      </c>
      <c r="BC4">
        <v>-0.16690102638720419</v>
      </c>
      <c r="BD4">
        <v>0.10671516690925729</v>
      </c>
      <c r="BE4">
        <v>0.63025473909935781</v>
      </c>
      <c r="BF4">
        <v>0.10671516690925729</v>
      </c>
      <c r="BG4">
        <v>0.10671516690925729</v>
      </c>
      <c r="BH4">
        <v>0.63025473909935781</v>
      </c>
      <c r="BI4">
        <v>0.21185403204525771</v>
      </c>
      <c r="BJ4">
        <v>0.26597102717334831</v>
      </c>
      <c r="BK4">
        <v>6.7229369746615406E-2</v>
      </c>
      <c r="BL4">
        <v>0.73009534524505126</v>
      </c>
      <c r="BM4">
        <v>6.7229369746615406E-2</v>
      </c>
      <c r="BN4">
        <v>6.7229369746615406E-2</v>
      </c>
      <c r="BO4">
        <v>0.73009534524505126</v>
      </c>
      <c r="BP4">
        <v>0.12573078122475409</v>
      </c>
      <c r="BQ4">
        <v>0.4952306822682111</v>
      </c>
      <c r="BR4">
        <v>202.7074275733043</v>
      </c>
      <c r="BS4">
        <v>0.42305892793455419</v>
      </c>
      <c r="BT4">
        <v>202.7074275733043</v>
      </c>
      <c r="BU4">
        <v>202.7074275733043</v>
      </c>
      <c r="BV4">
        <v>0.42305892793455419</v>
      </c>
      <c r="BW4">
        <v>332.83647758716251</v>
      </c>
      <c r="BX4">
        <v>5.2688712493367929E-2</v>
      </c>
      <c r="BY4" t="str">
        <f>SUBSTITUTE(TRIM(MID(SUBSTITUTE(SUBSTITUTE(SUBSTITUTE(Tabla1[[#This Row],[map]],"[",""),"]",""),",",REPT(" ",100)),300,300))," ",", ")</f>
        <v>4, 2, 3</v>
      </c>
      <c r="BZ4" t="str">
        <f>SUBSTITUTE(TRIM(MID(SUBSTITUTE(SUBSTITUTE(SUBSTITUTE(Tabla1[[#This Row],[map]],"[",""),"]",""),",",REPT(" ",100)),901,300))," ",", ")</f>
        <v>0, 1, 4</v>
      </c>
    </row>
    <row r="5" spans="1:78" x14ac:dyDescent="0.3">
      <c r="A5" s="1">
        <v>46090.664178240739</v>
      </c>
      <c r="B5" t="s">
        <v>101</v>
      </c>
      <c r="C5">
        <v>0</v>
      </c>
      <c r="D5" t="s">
        <v>77</v>
      </c>
      <c r="E5" t="s">
        <v>78</v>
      </c>
      <c r="F5">
        <v>16590</v>
      </c>
      <c r="G5">
        <v>4.5</v>
      </c>
      <c r="H5" t="s">
        <v>79</v>
      </c>
      <c r="I5" t="s">
        <v>80</v>
      </c>
      <c r="J5">
        <v>5</v>
      </c>
      <c r="K5">
        <v>5</v>
      </c>
      <c r="L5" t="s">
        <v>81</v>
      </c>
      <c r="M5" t="s">
        <v>82</v>
      </c>
      <c r="N5" t="s">
        <v>83</v>
      </c>
      <c r="O5" t="s">
        <v>83</v>
      </c>
      <c r="P5" t="s">
        <v>84</v>
      </c>
      <c r="Q5" t="s">
        <v>102</v>
      </c>
      <c r="R5">
        <v>2</v>
      </c>
      <c r="S5" t="s">
        <v>86</v>
      </c>
      <c r="T5" t="s">
        <v>87</v>
      </c>
      <c r="U5" t="s">
        <v>88</v>
      </c>
      <c r="V5">
        <v>1</v>
      </c>
      <c r="W5" t="s">
        <v>103</v>
      </c>
      <c r="X5" t="s">
        <v>83</v>
      </c>
      <c r="Y5" t="s">
        <v>90</v>
      </c>
      <c r="Z5">
        <v>4000</v>
      </c>
      <c r="AA5">
        <v>4000</v>
      </c>
      <c r="AC5">
        <v>256</v>
      </c>
      <c r="AD5" t="s">
        <v>91</v>
      </c>
      <c r="AE5">
        <v>0.15</v>
      </c>
      <c r="AF5" t="s">
        <v>92</v>
      </c>
      <c r="AG5">
        <v>160</v>
      </c>
      <c r="AH5">
        <v>40</v>
      </c>
      <c r="AI5">
        <v>120</v>
      </c>
      <c r="AJ5">
        <v>0.13836150901107039</v>
      </c>
      <c r="AK5">
        <v>34.114266884951022</v>
      </c>
      <c r="AL5">
        <v>0.62278369446214721</v>
      </c>
      <c r="AM5">
        <v>-9.5708130349052567E-3</v>
      </c>
      <c r="AN5">
        <v>38.648803112036909</v>
      </c>
      <c r="AO5">
        <v>0.5935522541906848</v>
      </c>
      <c r="AP5">
        <v>38.648803112036909</v>
      </c>
      <c r="AQ5">
        <v>38.648803112036909</v>
      </c>
      <c r="AR5">
        <v>0.5935522541906848</v>
      </c>
      <c r="AS5">
        <v>101.17141308307031</v>
      </c>
      <c r="AT5">
        <v>-7.8608412992740018E-3</v>
      </c>
      <c r="AU5">
        <v>0.8</v>
      </c>
      <c r="AV5" t="s">
        <v>93</v>
      </c>
      <c r="AW5">
        <v>9.0854043396861275E-2</v>
      </c>
      <c r="AX5">
        <v>0.3402821744278709</v>
      </c>
      <c r="AY5">
        <v>9.0854043396861275E-2</v>
      </c>
      <c r="AZ5">
        <v>9.0854043396861275E-2</v>
      </c>
      <c r="BA5">
        <v>0.3402821744278709</v>
      </c>
      <c r="BB5">
        <v>0.18239413238585059</v>
      </c>
      <c r="BC5">
        <v>-0.32441722917161209</v>
      </c>
      <c r="BD5">
        <v>0.106052483074158</v>
      </c>
      <c r="BE5">
        <v>0.63255079705063078</v>
      </c>
      <c r="BF5">
        <v>0.106052483074158</v>
      </c>
      <c r="BG5">
        <v>0.106052483074158</v>
      </c>
      <c r="BH5">
        <v>0.63255079705063078</v>
      </c>
      <c r="BI5">
        <v>0.30919304520900598</v>
      </c>
      <c r="BJ5">
        <v>-7.1287863576876109E-2</v>
      </c>
      <c r="BK5">
        <v>3.9677369265258923E-2</v>
      </c>
      <c r="BL5">
        <v>0.84070791242746312</v>
      </c>
      <c r="BM5">
        <v>3.9677369265258923E-2</v>
      </c>
      <c r="BN5">
        <v>3.9677369265258923E-2</v>
      </c>
      <c r="BO5">
        <v>0.84070791242746312</v>
      </c>
      <c r="BP5">
        <v>0.12097466789121079</v>
      </c>
      <c r="BQ5">
        <v>0.51432497293468027</v>
      </c>
      <c r="BR5">
        <v>154.35862855241049</v>
      </c>
      <c r="BS5">
        <v>0.56066813285677575</v>
      </c>
      <c r="BT5">
        <v>154.35862855241049</v>
      </c>
      <c r="BU5">
        <v>154.35862855241049</v>
      </c>
      <c r="BV5">
        <v>0.56066813285677575</v>
      </c>
      <c r="BW5">
        <v>404.0730904867961</v>
      </c>
      <c r="BX5">
        <v>-0.1500632453832775</v>
      </c>
      <c r="BY5" t="str">
        <f>SUBSTITUTE(TRIM(MID(SUBSTITUTE(SUBSTITUTE(SUBSTITUTE(Tabla1[[#This Row],[map]],"[",""),"]",""),",",REPT(" ",100)),300,300))," ",", ")</f>
        <v>4, 2, 3</v>
      </c>
      <c r="BZ5" t="str">
        <f>SUBSTITUTE(TRIM(MID(SUBSTITUTE(SUBSTITUTE(SUBSTITUTE(Tabla1[[#This Row],[map]],"[",""),"]",""),",",REPT(" ",100)),901,300))," ",", ")</f>
        <v>4, 0, 1</v>
      </c>
    </row>
    <row r="6" spans="1:78" x14ac:dyDescent="0.3">
      <c r="A6" s="1">
        <v>46090.777488425927</v>
      </c>
      <c r="B6" t="s">
        <v>104</v>
      </c>
      <c r="C6">
        <v>1</v>
      </c>
      <c r="D6" t="s">
        <v>77</v>
      </c>
      <c r="E6" t="s">
        <v>78</v>
      </c>
      <c r="F6">
        <v>16590</v>
      </c>
      <c r="G6">
        <v>4.5</v>
      </c>
      <c r="H6" t="s">
        <v>79</v>
      </c>
      <c r="I6" t="s">
        <v>80</v>
      </c>
      <c r="J6">
        <v>5</v>
      </c>
      <c r="K6">
        <v>5</v>
      </c>
      <c r="L6" t="s">
        <v>81</v>
      </c>
      <c r="M6" t="s">
        <v>82</v>
      </c>
      <c r="N6" t="s">
        <v>83</v>
      </c>
      <c r="O6" t="s">
        <v>83</v>
      </c>
      <c r="P6" t="s">
        <v>84</v>
      </c>
      <c r="Q6" t="s">
        <v>85</v>
      </c>
      <c r="R6">
        <v>2</v>
      </c>
      <c r="S6" t="s">
        <v>86</v>
      </c>
      <c r="T6" t="s">
        <v>87</v>
      </c>
      <c r="U6" t="s">
        <v>88</v>
      </c>
      <c r="V6">
        <v>1</v>
      </c>
      <c r="W6" t="s">
        <v>89</v>
      </c>
      <c r="X6" t="s">
        <v>83</v>
      </c>
      <c r="Y6" t="s">
        <v>90</v>
      </c>
      <c r="Z6">
        <v>4000</v>
      </c>
      <c r="AA6">
        <v>4000</v>
      </c>
      <c r="AC6">
        <v>256</v>
      </c>
      <c r="AD6" t="s">
        <v>91</v>
      </c>
      <c r="AE6">
        <v>0.15</v>
      </c>
      <c r="AF6" t="s">
        <v>92</v>
      </c>
      <c r="AG6">
        <v>160</v>
      </c>
      <c r="AH6">
        <v>40</v>
      </c>
      <c r="AI6">
        <v>120</v>
      </c>
      <c r="AJ6">
        <v>0.12105920555711611</v>
      </c>
      <c r="AK6">
        <v>30.626794281235789</v>
      </c>
      <c r="AL6">
        <v>0.68944429598359602</v>
      </c>
      <c r="AM6">
        <v>6.7737074389096819E-2</v>
      </c>
      <c r="AN6">
        <v>38.762252314407881</v>
      </c>
      <c r="AO6">
        <v>0.67709605080690483</v>
      </c>
      <c r="AP6">
        <v>38.762252314407881</v>
      </c>
      <c r="AQ6">
        <v>38.762252314407881</v>
      </c>
      <c r="AR6">
        <v>0.67709605080690483</v>
      </c>
      <c r="AS6">
        <v>107.4122989382372</v>
      </c>
      <c r="AT6">
        <v>0.1822323758416603</v>
      </c>
      <c r="AU6">
        <v>0.8</v>
      </c>
      <c r="AV6" t="s">
        <v>93</v>
      </c>
      <c r="AW6">
        <v>4.951718418515326E-2</v>
      </c>
      <c r="AX6">
        <v>0.64044121914982943</v>
      </c>
      <c r="AY6">
        <v>4.951718418515326E-2</v>
      </c>
      <c r="AZ6">
        <v>4.951718418515326E-2</v>
      </c>
      <c r="BA6">
        <v>0.64044121914982943</v>
      </c>
      <c r="BB6">
        <v>0.13760353103174411</v>
      </c>
      <c r="BC6">
        <v>8.2044904954270415E-4</v>
      </c>
      <c r="BD6">
        <v>8.0487150901826801E-2</v>
      </c>
      <c r="BE6">
        <v>0.72112921273270558</v>
      </c>
      <c r="BF6">
        <v>8.0487150901826801E-2</v>
      </c>
      <c r="BG6">
        <v>8.0487150901826801E-2</v>
      </c>
      <c r="BH6">
        <v>0.72112921273270558</v>
      </c>
      <c r="BI6">
        <v>0.16809470985637931</v>
      </c>
      <c r="BJ6">
        <v>0.4175877323537861</v>
      </c>
      <c r="BK6">
        <v>5.2908282158767347E-2</v>
      </c>
      <c r="BL6">
        <v>0.78758998212297771</v>
      </c>
      <c r="BM6">
        <v>5.2908282158767347E-2</v>
      </c>
      <c r="BN6">
        <v>5.2908282158767347E-2</v>
      </c>
      <c r="BO6">
        <v>0.78758998212297771</v>
      </c>
      <c r="BP6">
        <v>0.11652799921711569</v>
      </c>
      <c r="BQ6">
        <v>0.53217694117140024</v>
      </c>
      <c r="BR6">
        <v>154.86609664038579</v>
      </c>
      <c r="BS6">
        <v>0.55922378922210769</v>
      </c>
      <c r="BT6">
        <v>154.86609664038579</v>
      </c>
      <c r="BU6">
        <v>154.86609664038579</v>
      </c>
      <c r="BV6">
        <v>0.55922378922210769</v>
      </c>
      <c r="BW6">
        <v>429.22696951284303</v>
      </c>
      <c r="BX6">
        <v>-0.22165561920807991</v>
      </c>
      <c r="BY6" t="str">
        <f>SUBSTITUTE(TRIM(MID(SUBSTITUTE(SUBSTITUTE(SUBSTITUTE(Tabla1[[#This Row],[map]],"[",""),"]",""),",",REPT(" ",100)),300,300))," ",", ")</f>
        <v>2, 3, 4</v>
      </c>
      <c r="BZ6" t="str">
        <f>SUBSTITUTE(TRIM(MID(SUBSTITUTE(SUBSTITUTE(SUBSTITUTE(Tabla1[[#This Row],[map]],"[",""),"]",""),",",REPT(" ",100)),901,300))," ",", ")</f>
        <v>4, 0, 1</v>
      </c>
    </row>
    <row r="7" spans="1:78" x14ac:dyDescent="0.3">
      <c r="A7" s="1">
        <v>46090.77783564815</v>
      </c>
      <c r="B7" t="s">
        <v>105</v>
      </c>
      <c r="C7">
        <v>1</v>
      </c>
      <c r="D7" t="s">
        <v>77</v>
      </c>
      <c r="E7" t="s">
        <v>78</v>
      </c>
      <c r="F7">
        <v>16590</v>
      </c>
      <c r="G7">
        <v>4.5</v>
      </c>
      <c r="H7" t="s">
        <v>79</v>
      </c>
      <c r="I7" t="s">
        <v>80</v>
      </c>
      <c r="J7">
        <v>5</v>
      </c>
      <c r="K7">
        <v>5</v>
      </c>
      <c r="L7" t="s">
        <v>81</v>
      </c>
      <c r="M7" t="s">
        <v>82</v>
      </c>
      <c r="N7" t="s">
        <v>83</v>
      </c>
      <c r="O7" t="s">
        <v>83</v>
      </c>
      <c r="P7" t="s">
        <v>84</v>
      </c>
      <c r="Q7" t="s">
        <v>96</v>
      </c>
      <c r="R7">
        <v>2</v>
      </c>
      <c r="S7" t="s">
        <v>86</v>
      </c>
      <c r="T7" t="s">
        <v>87</v>
      </c>
      <c r="U7" t="s">
        <v>88</v>
      </c>
      <c r="V7">
        <v>1</v>
      </c>
      <c r="W7" t="s">
        <v>97</v>
      </c>
      <c r="X7" t="s">
        <v>83</v>
      </c>
      <c r="Y7" t="s">
        <v>90</v>
      </c>
      <c r="Z7">
        <v>4000</v>
      </c>
      <c r="AA7">
        <v>4000</v>
      </c>
      <c r="AC7">
        <v>256</v>
      </c>
      <c r="AD7" t="s">
        <v>91</v>
      </c>
      <c r="AE7">
        <v>0.15</v>
      </c>
      <c r="AF7" t="s">
        <v>92</v>
      </c>
      <c r="AG7">
        <v>160</v>
      </c>
      <c r="AH7">
        <v>40</v>
      </c>
      <c r="AI7">
        <v>120</v>
      </c>
      <c r="AJ7">
        <v>0.13185327266232641</v>
      </c>
      <c r="AK7">
        <v>38.274356284050143</v>
      </c>
      <c r="AL7">
        <v>0.63213805037825699</v>
      </c>
      <c r="AM7">
        <v>-0.1167526662100393</v>
      </c>
      <c r="AN7">
        <v>53.485651815748021</v>
      </c>
      <c r="AO7">
        <v>0.60227216982847764</v>
      </c>
      <c r="AP7">
        <v>53.485651815748021</v>
      </c>
      <c r="AQ7">
        <v>53.485651815748021</v>
      </c>
      <c r="AR7">
        <v>0.60227216982847764</v>
      </c>
      <c r="AS7">
        <v>91.752681580964463</v>
      </c>
      <c r="AT7">
        <v>-5.1015239830499631E-2</v>
      </c>
      <c r="AU7">
        <v>0.8</v>
      </c>
      <c r="AV7" t="s">
        <v>93</v>
      </c>
      <c r="AW7">
        <v>5.492281143223627E-2</v>
      </c>
      <c r="AX7">
        <v>0.60118937608411671</v>
      </c>
      <c r="AY7">
        <v>5.492281143223627E-2</v>
      </c>
      <c r="AZ7">
        <v>5.492281143223627E-2</v>
      </c>
      <c r="BA7">
        <v>0.60118937608411671</v>
      </c>
      <c r="BB7">
        <v>0.13090477536010081</v>
      </c>
      <c r="BC7">
        <v>4.946207643899736E-2</v>
      </c>
      <c r="BD7">
        <v>7.9635108080096842E-2</v>
      </c>
      <c r="BE7">
        <v>0.72408135912898064</v>
      </c>
      <c r="BF7">
        <v>7.9635108080096842E-2</v>
      </c>
      <c r="BG7">
        <v>7.9635108080096842E-2</v>
      </c>
      <c r="BH7">
        <v>0.72408135912898064</v>
      </c>
      <c r="BI7">
        <v>0.29825913886257382</v>
      </c>
      <c r="BJ7">
        <v>-3.3404213372192348E-2</v>
      </c>
      <c r="BK7">
        <v>7.6684725089020578E-2</v>
      </c>
      <c r="BL7">
        <v>0.69213508429220028</v>
      </c>
      <c r="BM7">
        <v>7.6684725089020578E-2</v>
      </c>
      <c r="BN7">
        <v>7.6684725089020578E-2</v>
      </c>
      <c r="BO7">
        <v>0.69213508429220028</v>
      </c>
      <c r="BP7">
        <v>0.29332271521643438</v>
      </c>
      <c r="BQ7">
        <v>-0.1775979230604279</v>
      </c>
      <c r="BR7">
        <v>213.73136461838959</v>
      </c>
      <c r="BS7">
        <v>0.39168285980861689</v>
      </c>
      <c r="BT7">
        <v>213.73136461838959</v>
      </c>
      <c r="BU7">
        <v>213.73136461838959</v>
      </c>
      <c r="BV7">
        <v>0.39168285980861689</v>
      </c>
      <c r="BW7">
        <v>366.28823969441822</v>
      </c>
      <c r="BX7">
        <v>-4.2520899328374773E-2</v>
      </c>
      <c r="BY7" t="str">
        <f>SUBSTITUTE(TRIM(MID(SUBSTITUTE(SUBSTITUTE(SUBSTITUTE(Tabla1[[#This Row],[map]],"[",""),"]",""),",",REPT(" ",100)),300,300))," ",", ")</f>
        <v>2, 3, 4</v>
      </c>
      <c r="BZ7" t="str">
        <f>SUBSTITUTE(TRIM(MID(SUBSTITUTE(SUBSTITUTE(SUBSTITUTE(Tabla1[[#This Row],[map]],"[",""),"]",""),",",REPT(" ",100)),901,300))," ",", ")</f>
        <v>0, 1, 4</v>
      </c>
    </row>
    <row r="8" spans="1:78" x14ac:dyDescent="0.3">
      <c r="A8" s="1">
        <v>46090.778391203698</v>
      </c>
      <c r="B8" t="s">
        <v>106</v>
      </c>
      <c r="C8">
        <v>1</v>
      </c>
      <c r="D8" t="s">
        <v>77</v>
      </c>
      <c r="E8" t="s">
        <v>78</v>
      </c>
      <c r="F8">
        <v>16590</v>
      </c>
      <c r="G8">
        <v>4.5</v>
      </c>
      <c r="H8" t="s">
        <v>79</v>
      </c>
      <c r="I8" t="s">
        <v>80</v>
      </c>
      <c r="J8">
        <v>5</v>
      </c>
      <c r="K8">
        <v>5</v>
      </c>
      <c r="L8" t="s">
        <v>81</v>
      </c>
      <c r="M8" t="s">
        <v>82</v>
      </c>
      <c r="N8" t="s">
        <v>83</v>
      </c>
      <c r="O8" t="s">
        <v>83</v>
      </c>
      <c r="P8" t="s">
        <v>84</v>
      </c>
      <c r="Q8" t="s">
        <v>99</v>
      </c>
      <c r="R8">
        <v>2</v>
      </c>
      <c r="S8" t="s">
        <v>86</v>
      </c>
      <c r="T8" t="s">
        <v>87</v>
      </c>
      <c r="U8" t="s">
        <v>88</v>
      </c>
      <c r="V8">
        <v>1</v>
      </c>
      <c r="W8" t="s">
        <v>100</v>
      </c>
      <c r="X8" t="s">
        <v>83</v>
      </c>
      <c r="Y8" t="s">
        <v>90</v>
      </c>
      <c r="Z8">
        <v>4000</v>
      </c>
      <c r="AA8">
        <v>4000</v>
      </c>
      <c r="AC8">
        <v>256</v>
      </c>
      <c r="AD8" t="s">
        <v>91</v>
      </c>
      <c r="AE8">
        <v>0.15</v>
      </c>
      <c r="AF8" t="s">
        <v>92</v>
      </c>
      <c r="AG8">
        <v>160</v>
      </c>
      <c r="AH8">
        <v>40</v>
      </c>
      <c r="AI8">
        <v>120</v>
      </c>
      <c r="AJ8">
        <v>0.14908250076880231</v>
      </c>
      <c r="AK8">
        <v>39.857448092618689</v>
      </c>
      <c r="AL8">
        <v>0.51447871560587144</v>
      </c>
      <c r="AM8">
        <v>-0.35370762101253328</v>
      </c>
      <c r="AN8">
        <v>53.335476750914673</v>
      </c>
      <c r="AO8">
        <v>0.46290326327387282</v>
      </c>
      <c r="AP8">
        <v>53.335476750914673</v>
      </c>
      <c r="AQ8">
        <v>53.335476750914673</v>
      </c>
      <c r="AR8">
        <v>0.46290326327387282</v>
      </c>
      <c r="AS8">
        <v>92.728307543845219</v>
      </c>
      <c r="AT8">
        <v>-9.0955514520716652E-3</v>
      </c>
      <c r="AU8">
        <v>0.8</v>
      </c>
      <c r="AV8" t="s">
        <v>93</v>
      </c>
      <c r="AW8">
        <v>0.11441462814089599</v>
      </c>
      <c r="AX8">
        <v>0.16920186632702719</v>
      </c>
      <c r="AY8">
        <v>0.11441462814089599</v>
      </c>
      <c r="AZ8">
        <v>0.11441462814089599</v>
      </c>
      <c r="BA8">
        <v>0.16920186632702719</v>
      </c>
      <c r="BB8">
        <v>0.14741104307598199</v>
      </c>
      <c r="BC8">
        <v>-7.0394769098036214E-2</v>
      </c>
      <c r="BD8">
        <v>0.1130164219861064</v>
      </c>
      <c r="BE8">
        <v>0.60842223609280577</v>
      </c>
      <c r="BF8">
        <v>0.1130164219861064</v>
      </c>
      <c r="BG8">
        <v>0.1130164219861064</v>
      </c>
      <c r="BH8">
        <v>0.60842223609280577</v>
      </c>
      <c r="BI8">
        <v>0.26470312213113117</v>
      </c>
      <c r="BJ8">
        <v>8.2860217640727485E-2</v>
      </c>
      <c r="BK8">
        <v>7.962677483346553E-2</v>
      </c>
      <c r="BL8">
        <v>0.68032368514419206</v>
      </c>
      <c r="BM8">
        <v>7.962677483346553E-2</v>
      </c>
      <c r="BN8">
        <v>7.962677483346553E-2</v>
      </c>
      <c r="BO8">
        <v>0.68032368514419206</v>
      </c>
      <c r="BP8">
        <v>0.24785055750056589</v>
      </c>
      <c r="BQ8">
        <v>4.9584072386811284E-3</v>
      </c>
      <c r="BR8">
        <v>213.0348491786992</v>
      </c>
      <c r="BS8">
        <v>0.39366526553146469</v>
      </c>
      <c r="BT8">
        <v>213.0348491786992</v>
      </c>
      <c r="BU8">
        <v>213.0348491786992</v>
      </c>
      <c r="BV8">
        <v>0.39366526553146469</v>
      </c>
      <c r="BW8">
        <v>370.25326545267342</v>
      </c>
      <c r="BX8">
        <v>-5.3806061589671828E-2</v>
      </c>
      <c r="BY8" t="str">
        <f>SUBSTITUTE(TRIM(MID(SUBSTITUTE(SUBSTITUTE(SUBSTITUTE(Tabla1[[#This Row],[map]],"[",""),"]",""),",",REPT(" ",100)),300,300))," ",", ")</f>
        <v>4, 2, 3</v>
      </c>
      <c r="BZ8" t="str">
        <f>SUBSTITUTE(TRIM(MID(SUBSTITUTE(SUBSTITUTE(SUBSTITUTE(Tabla1[[#This Row],[map]],"[",""),"]",""),",",REPT(" ",100)),901,300))," ",", ")</f>
        <v>0, 1, 4</v>
      </c>
    </row>
    <row r="9" spans="1:78" x14ac:dyDescent="0.3">
      <c r="A9" s="1">
        <v>46090.780046296299</v>
      </c>
      <c r="B9" t="s">
        <v>107</v>
      </c>
      <c r="C9">
        <v>1</v>
      </c>
      <c r="D9" t="s">
        <v>95</v>
      </c>
      <c r="E9" t="s">
        <v>78</v>
      </c>
      <c r="F9">
        <v>16590</v>
      </c>
      <c r="G9">
        <v>4.5</v>
      </c>
      <c r="H9" t="s">
        <v>79</v>
      </c>
      <c r="I9" t="s">
        <v>80</v>
      </c>
      <c r="J9">
        <v>5</v>
      </c>
      <c r="K9">
        <v>5</v>
      </c>
      <c r="L9" t="s">
        <v>81</v>
      </c>
      <c r="M9" t="s">
        <v>82</v>
      </c>
      <c r="N9" t="s">
        <v>83</v>
      </c>
      <c r="O9" t="s">
        <v>83</v>
      </c>
      <c r="P9" t="s">
        <v>84</v>
      </c>
      <c r="Q9" t="s">
        <v>102</v>
      </c>
      <c r="R9">
        <v>2</v>
      </c>
      <c r="S9" t="s">
        <v>86</v>
      </c>
      <c r="T9" t="s">
        <v>87</v>
      </c>
      <c r="U9" t="s">
        <v>88</v>
      </c>
      <c r="V9">
        <v>1</v>
      </c>
      <c r="W9" t="s">
        <v>103</v>
      </c>
      <c r="X9" t="s">
        <v>83</v>
      </c>
      <c r="Y9" t="s">
        <v>90</v>
      </c>
      <c r="Z9">
        <v>4000</v>
      </c>
      <c r="AA9">
        <v>4000</v>
      </c>
      <c r="AC9">
        <v>256</v>
      </c>
      <c r="AD9" t="s">
        <v>91</v>
      </c>
      <c r="AE9">
        <v>0.15</v>
      </c>
      <c r="AF9" t="s">
        <v>92</v>
      </c>
      <c r="AG9">
        <v>160</v>
      </c>
      <c r="AH9">
        <v>40</v>
      </c>
      <c r="AI9">
        <v>120</v>
      </c>
      <c r="AJ9">
        <v>0.12321119845034061</v>
      </c>
      <c r="AK9">
        <v>28.870691204457419</v>
      </c>
      <c r="AL9">
        <v>0.65009765907627792</v>
      </c>
      <c r="AM9">
        <v>-0.27356805301731801</v>
      </c>
      <c r="AN9">
        <v>39.47735006610521</v>
      </c>
      <c r="AO9">
        <v>0.58589814419219621</v>
      </c>
      <c r="AP9">
        <v>39.47735006610521</v>
      </c>
      <c r="AQ9">
        <v>39.47735006610521</v>
      </c>
      <c r="AR9">
        <v>0.58589814419219621</v>
      </c>
      <c r="AS9">
        <v>102.5489346544193</v>
      </c>
      <c r="AT9">
        <v>-0.21102798277452131</v>
      </c>
      <c r="AU9">
        <v>0.8</v>
      </c>
      <c r="AV9" t="s">
        <v>93</v>
      </c>
      <c r="AW9">
        <v>8.8493418647107372E-2</v>
      </c>
      <c r="AX9">
        <v>0.35742336230100408</v>
      </c>
      <c r="AY9">
        <v>8.8493418647107372E-2</v>
      </c>
      <c r="AZ9">
        <v>8.8493418647107372E-2</v>
      </c>
      <c r="BA9">
        <v>0.35742336230100408</v>
      </c>
      <c r="BB9">
        <v>0.22931740060475</v>
      </c>
      <c r="BC9">
        <v>-0.66514082628099036</v>
      </c>
      <c r="BD9">
        <v>0.1136428775525582</v>
      </c>
      <c r="BE9">
        <v>0.60625170135468975</v>
      </c>
      <c r="BF9">
        <v>0.1136428775525582</v>
      </c>
      <c r="BG9">
        <v>0.1136428775525582</v>
      </c>
      <c r="BH9">
        <v>0.60625170135468975</v>
      </c>
      <c r="BI9">
        <v>0.40909622454214589</v>
      </c>
      <c r="BJ9">
        <v>-0.4174310424442762</v>
      </c>
      <c r="BK9">
        <v>4.2678650898245359E-2</v>
      </c>
      <c r="BL9">
        <v>0.82865871598212004</v>
      </c>
      <c r="BM9">
        <v>4.2678650898245359E-2</v>
      </c>
      <c r="BN9">
        <v>4.2678650898245359E-2</v>
      </c>
      <c r="BO9">
        <v>0.82865871598212004</v>
      </c>
      <c r="BP9">
        <v>0.14852738067958859</v>
      </c>
      <c r="BQ9">
        <v>0.40370954606488169</v>
      </c>
      <c r="BR9">
        <v>157.6645853173236</v>
      </c>
      <c r="BS9">
        <v>0.55125879713097348</v>
      </c>
      <c r="BT9">
        <v>157.6645853173236</v>
      </c>
      <c r="BU9">
        <v>157.6645853173236</v>
      </c>
      <c r="BV9">
        <v>0.55125879713097348</v>
      </c>
      <c r="BW9">
        <v>409.40879761185062</v>
      </c>
      <c r="BX9">
        <v>-0.16524960843769981</v>
      </c>
      <c r="BY9" t="str">
        <f>SUBSTITUTE(TRIM(MID(SUBSTITUTE(SUBSTITUTE(SUBSTITUTE(Tabla1[[#This Row],[map]],"[",""),"]",""),",",REPT(" ",100)),300,300))," ",", ")</f>
        <v>4, 2, 3</v>
      </c>
      <c r="BZ9" t="str">
        <f>SUBSTITUTE(TRIM(MID(SUBSTITUTE(SUBSTITUTE(SUBSTITUTE(Tabla1[[#This Row],[map]],"[",""),"]",""),",",REPT(" ",100)),901,300))," ",", ")</f>
        <v>4, 0, 1</v>
      </c>
    </row>
    <row r="10" spans="1:78" x14ac:dyDescent="0.3">
      <c r="A10" s="1">
        <v>46090.872048611112</v>
      </c>
      <c r="B10" t="s">
        <v>108</v>
      </c>
      <c r="C10">
        <v>2</v>
      </c>
      <c r="D10" t="s">
        <v>77</v>
      </c>
      <c r="E10" t="s">
        <v>78</v>
      </c>
      <c r="F10">
        <v>16590</v>
      </c>
      <c r="G10">
        <v>4.5</v>
      </c>
      <c r="H10" t="s">
        <v>79</v>
      </c>
      <c r="I10" t="s">
        <v>80</v>
      </c>
      <c r="J10">
        <v>5</v>
      </c>
      <c r="K10">
        <v>5</v>
      </c>
      <c r="L10" t="s">
        <v>81</v>
      </c>
      <c r="M10" t="s">
        <v>82</v>
      </c>
      <c r="N10" t="s">
        <v>83</v>
      </c>
      <c r="O10" t="s">
        <v>83</v>
      </c>
      <c r="P10" t="s">
        <v>84</v>
      </c>
      <c r="Q10" t="s">
        <v>85</v>
      </c>
      <c r="R10">
        <v>2</v>
      </c>
      <c r="S10" t="s">
        <v>86</v>
      </c>
      <c r="T10" t="s">
        <v>87</v>
      </c>
      <c r="U10" t="s">
        <v>88</v>
      </c>
      <c r="V10">
        <v>1</v>
      </c>
      <c r="W10" t="s">
        <v>89</v>
      </c>
      <c r="X10" t="s">
        <v>83</v>
      </c>
      <c r="Y10" t="s">
        <v>90</v>
      </c>
      <c r="Z10">
        <v>4000</v>
      </c>
      <c r="AA10">
        <v>4000</v>
      </c>
      <c r="AC10">
        <v>256</v>
      </c>
      <c r="AD10" t="s">
        <v>91</v>
      </c>
      <c r="AE10">
        <v>0.15</v>
      </c>
      <c r="AF10" t="s">
        <v>92</v>
      </c>
      <c r="AG10">
        <v>160</v>
      </c>
      <c r="AH10">
        <v>40</v>
      </c>
      <c r="AI10">
        <v>120</v>
      </c>
      <c r="AJ10">
        <v>0.10295457962454591</v>
      </c>
      <c r="AK10">
        <v>36.244581326337922</v>
      </c>
      <c r="AL10">
        <v>0.67465609845307017</v>
      </c>
      <c r="AM10">
        <v>-0.37411311523173918</v>
      </c>
      <c r="AN10">
        <v>47.053422496462233</v>
      </c>
      <c r="AO10">
        <v>0.63297748955519717</v>
      </c>
      <c r="AP10">
        <v>47.053422496462233</v>
      </c>
      <c r="AQ10">
        <v>47.053422496462233</v>
      </c>
      <c r="AR10">
        <v>0.63297748955519717</v>
      </c>
      <c r="AS10">
        <v>127.61501350116311</v>
      </c>
      <c r="AT10">
        <v>-0.190978471265799</v>
      </c>
      <c r="AU10">
        <v>0.8</v>
      </c>
      <c r="AV10" t="s">
        <v>93</v>
      </c>
      <c r="AW10">
        <v>5.5639834993071548E-2</v>
      </c>
      <c r="AX10">
        <v>0.59598285795071915</v>
      </c>
      <c r="AY10">
        <v>5.5639834993071548E-2</v>
      </c>
      <c r="AZ10">
        <v>5.5639834993071548E-2</v>
      </c>
      <c r="BA10">
        <v>0.59598285795071915</v>
      </c>
      <c r="BB10">
        <v>0.17317340889683919</v>
      </c>
      <c r="BC10">
        <v>-0.25746285462824819</v>
      </c>
      <c r="BD10">
        <v>6.5672076524234818E-2</v>
      </c>
      <c r="BE10">
        <v>0.77246028121768562</v>
      </c>
      <c r="BF10">
        <v>6.5672076524234818E-2</v>
      </c>
      <c r="BG10">
        <v>6.5672076524234818E-2</v>
      </c>
      <c r="BH10">
        <v>0.77246028121768562</v>
      </c>
      <c r="BI10">
        <v>0.26944299204539718</v>
      </c>
      <c r="BJ10">
        <v>6.6437580738743063E-2</v>
      </c>
      <c r="BK10">
        <v>7.5075103229896967E-2</v>
      </c>
      <c r="BL10">
        <v>0.69859720693012139</v>
      </c>
      <c r="BM10">
        <v>7.5075103229896967E-2</v>
      </c>
      <c r="BN10">
        <v>7.5075103229896967E-2</v>
      </c>
      <c r="BO10">
        <v>0.69859720693012139</v>
      </c>
      <c r="BP10">
        <v>0.2794951370705438</v>
      </c>
      <c r="BQ10">
        <v>-0.12208457049398409</v>
      </c>
      <c r="BR10">
        <v>188.01730297110191</v>
      </c>
      <c r="BS10">
        <v>0.46486961212226002</v>
      </c>
      <c r="BT10">
        <v>188.01730297110191</v>
      </c>
      <c r="BU10">
        <v>188.01730297110191</v>
      </c>
      <c r="BV10">
        <v>0.46486961212226002</v>
      </c>
      <c r="BW10">
        <v>509.73794246664039</v>
      </c>
      <c r="BX10">
        <v>-0.4508040406797027</v>
      </c>
      <c r="BY10" t="str">
        <f>SUBSTITUTE(TRIM(MID(SUBSTITUTE(SUBSTITUTE(SUBSTITUTE(Tabla1[[#This Row],[map]],"[",""),"]",""),",",REPT(" ",100)),300,300))," ",", ")</f>
        <v>2, 3, 4</v>
      </c>
      <c r="BZ10" t="str">
        <f>SUBSTITUTE(TRIM(MID(SUBSTITUTE(SUBSTITUTE(SUBSTITUTE(Tabla1[[#This Row],[map]],"[",""),"]",""),",",REPT(" ",100)),901,300))," ",", ")</f>
        <v>4, 0, 1</v>
      </c>
    </row>
    <row r="11" spans="1:78" x14ac:dyDescent="0.3">
      <c r="A11" s="1">
        <v>46090.872847222221</v>
      </c>
      <c r="B11" t="s">
        <v>109</v>
      </c>
      <c r="C11">
        <v>2</v>
      </c>
      <c r="D11" t="s">
        <v>77</v>
      </c>
      <c r="E11" t="s">
        <v>78</v>
      </c>
      <c r="F11">
        <v>16590</v>
      </c>
      <c r="G11">
        <v>4.5</v>
      </c>
      <c r="H11" t="s">
        <v>79</v>
      </c>
      <c r="I11" t="s">
        <v>80</v>
      </c>
      <c r="J11">
        <v>5</v>
      </c>
      <c r="K11">
        <v>5</v>
      </c>
      <c r="L11" t="s">
        <v>81</v>
      </c>
      <c r="M11" t="s">
        <v>82</v>
      </c>
      <c r="N11" t="s">
        <v>83</v>
      </c>
      <c r="O11" t="s">
        <v>83</v>
      </c>
      <c r="P11" t="s">
        <v>84</v>
      </c>
      <c r="Q11" t="s">
        <v>96</v>
      </c>
      <c r="R11">
        <v>2</v>
      </c>
      <c r="S11" t="s">
        <v>86</v>
      </c>
      <c r="T11" t="s">
        <v>87</v>
      </c>
      <c r="U11" t="s">
        <v>88</v>
      </c>
      <c r="V11">
        <v>1</v>
      </c>
      <c r="W11" t="s">
        <v>97</v>
      </c>
      <c r="X11" t="s">
        <v>83</v>
      </c>
      <c r="Y11" t="s">
        <v>90</v>
      </c>
      <c r="Z11">
        <v>4000</v>
      </c>
      <c r="AA11">
        <v>4000</v>
      </c>
      <c r="AC11">
        <v>256</v>
      </c>
      <c r="AD11" t="s">
        <v>91</v>
      </c>
      <c r="AE11">
        <v>0.15</v>
      </c>
      <c r="AF11" t="s">
        <v>92</v>
      </c>
      <c r="AG11">
        <v>160</v>
      </c>
      <c r="AH11">
        <v>40</v>
      </c>
      <c r="AI11">
        <v>120</v>
      </c>
      <c r="AJ11">
        <v>0.11692419366346871</v>
      </c>
      <c r="AK11">
        <v>17.9188279345937</v>
      </c>
      <c r="AL11">
        <v>0.70240668957073304</v>
      </c>
      <c r="AM11">
        <v>-0.2020035337485952</v>
      </c>
      <c r="AN11">
        <v>25.195567819335881</v>
      </c>
      <c r="AO11">
        <v>0.67298068574454528</v>
      </c>
      <c r="AP11">
        <v>25.195567819335881</v>
      </c>
      <c r="AQ11">
        <v>25.195567819335881</v>
      </c>
      <c r="AR11">
        <v>0.67298068574454528</v>
      </c>
      <c r="AS11">
        <v>140.73028589881201</v>
      </c>
      <c r="AT11">
        <v>-0.181249425988525</v>
      </c>
      <c r="AU11">
        <v>0.8</v>
      </c>
      <c r="AV11" t="s">
        <v>93</v>
      </c>
      <c r="AW11">
        <v>5.7626629347184002E-2</v>
      </c>
      <c r="AX11">
        <v>0.58155616209714389</v>
      </c>
      <c r="AY11">
        <v>5.7626629347184002E-2</v>
      </c>
      <c r="AZ11">
        <v>5.7626629347184002E-2</v>
      </c>
      <c r="BA11">
        <v>0.58155616209714389</v>
      </c>
      <c r="BB11">
        <v>0.15172883945725041</v>
      </c>
      <c r="BC11">
        <v>-0.10174755355773191</v>
      </c>
      <c r="BD11">
        <v>6.4296866514130774E-2</v>
      </c>
      <c r="BE11">
        <v>0.77722509018257691</v>
      </c>
      <c r="BF11">
        <v>6.4296866514130774E-2</v>
      </c>
      <c r="BG11">
        <v>6.4296866514130774E-2</v>
      </c>
      <c r="BH11">
        <v>0.77722509018257691</v>
      </c>
      <c r="BI11">
        <v>0.27215457353932571</v>
      </c>
      <c r="BJ11">
        <v>5.7042530007308863E-2</v>
      </c>
      <c r="BK11">
        <v>9.4809775589742643E-2</v>
      </c>
      <c r="BL11">
        <v>0.61936873951979987</v>
      </c>
      <c r="BM11">
        <v>9.4809775589742643E-2</v>
      </c>
      <c r="BN11">
        <v>9.4809775589742643E-2</v>
      </c>
      <c r="BO11">
        <v>0.61936873951979987</v>
      </c>
      <c r="BP11">
        <v>0.26903540216741262</v>
      </c>
      <c r="BQ11">
        <v>-8.0092043291986492E-2</v>
      </c>
      <c r="BR11">
        <v>100.56553800589241</v>
      </c>
      <c r="BS11">
        <v>0.71377275117866024</v>
      </c>
      <c r="BT11">
        <v>100.56553800589241</v>
      </c>
      <c r="BU11">
        <v>100.56553800589241</v>
      </c>
      <c r="BV11">
        <v>0.71377275117866024</v>
      </c>
      <c r="BW11">
        <v>562.22822478008482</v>
      </c>
      <c r="BX11">
        <v>-0.60020063711169613</v>
      </c>
      <c r="BY11" t="str">
        <f>SUBSTITUTE(TRIM(MID(SUBSTITUTE(SUBSTITUTE(SUBSTITUTE(Tabla1[[#This Row],[map]],"[",""),"]",""),",",REPT(" ",100)),300,300))," ",", ")</f>
        <v>2, 3, 4</v>
      </c>
      <c r="BZ11" t="str">
        <f>SUBSTITUTE(TRIM(MID(SUBSTITUTE(SUBSTITUTE(SUBSTITUTE(Tabla1[[#This Row],[map]],"[",""),"]",""),",",REPT(" ",100)),901,300))," ",", ")</f>
        <v>0, 1, 4</v>
      </c>
    </row>
    <row r="12" spans="1:78" x14ac:dyDescent="0.3">
      <c r="A12" s="1">
        <v>46090.873645833337</v>
      </c>
      <c r="B12" t="s">
        <v>110</v>
      </c>
      <c r="C12">
        <v>2</v>
      </c>
      <c r="D12" t="s">
        <v>95</v>
      </c>
      <c r="E12" t="s">
        <v>78</v>
      </c>
      <c r="F12">
        <v>16590</v>
      </c>
      <c r="G12">
        <v>4.5</v>
      </c>
      <c r="H12" t="s">
        <v>79</v>
      </c>
      <c r="I12" t="s">
        <v>80</v>
      </c>
      <c r="J12">
        <v>5</v>
      </c>
      <c r="K12">
        <v>5</v>
      </c>
      <c r="L12" t="s">
        <v>81</v>
      </c>
      <c r="M12" t="s">
        <v>82</v>
      </c>
      <c r="N12" t="s">
        <v>83</v>
      </c>
      <c r="O12" t="s">
        <v>83</v>
      </c>
      <c r="P12" t="s">
        <v>84</v>
      </c>
      <c r="Q12" t="s">
        <v>99</v>
      </c>
      <c r="R12">
        <v>2</v>
      </c>
      <c r="S12" t="s">
        <v>86</v>
      </c>
      <c r="T12" t="s">
        <v>87</v>
      </c>
      <c r="U12" t="s">
        <v>88</v>
      </c>
      <c r="V12">
        <v>1</v>
      </c>
      <c r="W12" t="s">
        <v>100</v>
      </c>
      <c r="X12" t="s">
        <v>83</v>
      </c>
      <c r="Y12" t="s">
        <v>90</v>
      </c>
      <c r="Z12">
        <v>4000</v>
      </c>
      <c r="AA12">
        <v>4000</v>
      </c>
      <c r="AC12">
        <v>256</v>
      </c>
      <c r="AD12" t="s">
        <v>91</v>
      </c>
      <c r="AE12">
        <v>0.15</v>
      </c>
      <c r="AF12" t="s">
        <v>92</v>
      </c>
      <c r="AG12">
        <v>160</v>
      </c>
      <c r="AH12">
        <v>40</v>
      </c>
      <c r="AI12">
        <v>120</v>
      </c>
      <c r="AJ12">
        <v>0.13407457667988579</v>
      </c>
      <c r="AK12">
        <v>17.855951387524119</v>
      </c>
      <c r="AL12">
        <v>0.62325370359198584</v>
      </c>
      <c r="AM12">
        <v>-0.121960660697171</v>
      </c>
      <c r="AN12">
        <v>25.525240563113179</v>
      </c>
      <c r="AO12">
        <v>0.56300392761960805</v>
      </c>
      <c r="AP12">
        <v>25.525240563113179</v>
      </c>
      <c r="AQ12">
        <v>25.525240563113179</v>
      </c>
      <c r="AR12">
        <v>0.56300392761960805</v>
      </c>
      <c r="AS12">
        <v>123.63872347392611</v>
      </c>
      <c r="AT12">
        <v>-5.3409303142653269E-2</v>
      </c>
      <c r="AU12">
        <v>0.8</v>
      </c>
      <c r="AV12" t="s">
        <v>93</v>
      </c>
      <c r="AW12">
        <v>8.5084475818110641E-2</v>
      </c>
      <c r="AX12">
        <v>0.38217669486124889</v>
      </c>
      <c r="AY12">
        <v>8.5084475818110641E-2</v>
      </c>
      <c r="AZ12">
        <v>8.5084475818110641E-2</v>
      </c>
      <c r="BA12">
        <v>0.38217669486124889</v>
      </c>
      <c r="BB12">
        <v>0.2007533302030749</v>
      </c>
      <c r="BC12">
        <v>-0.45772874300618738</v>
      </c>
      <c r="BD12">
        <v>0.12983981930512339</v>
      </c>
      <c r="BE12">
        <v>0.55013275755744018</v>
      </c>
      <c r="BF12">
        <v>0.12983981930512339</v>
      </c>
      <c r="BG12">
        <v>0.12983981930512339</v>
      </c>
      <c r="BH12">
        <v>0.55013275755744018</v>
      </c>
      <c r="BI12">
        <v>0.11596675528098579</v>
      </c>
      <c r="BJ12">
        <v>0.59819996136416631</v>
      </c>
      <c r="BK12">
        <v>9.7289113868011742E-2</v>
      </c>
      <c r="BL12">
        <v>0.60941498055196963</v>
      </c>
      <c r="BM12">
        <v>9.7289113868011742E-2</v>
      </c>
      <c r="BN12">
        <v>9.7289113868011742E-2</v>
      </c>
      <c r="BO12">
        <v>0.60941498055196963</v>
      </c>
      <c r="BP12">
        <v>0.2361559906119787</v>
      </c>
      <c r="BQ12">
        <v>5.1908394282575883E-2</v>
      </c>
      <c r="BR12">
        <v>101.7887488434616</v>
      </c>
      <c r="BS12">
        <v>0.71029127750777521</v>
      </c>
      <c r="BT12">
        <v>101.7887488434616</v>
      </c>
      <c r="BU12">
        <v>101.7887488434616</v>
      </c>
      <c r="BV12">
        <v>0.71029127750777521</v>
      </c>
      <c r="BW12">
        <v>494.00201781960988</v>
      </c>
      <c r="BX12">
        <v>-0.40601682521116378</v>
      </c>
      <c r="BY12" t="str">
        <f>SUBSTITUTE(TRIM(MID(SUBSTITUTE(SUBSTITUTE(SUBSTITUTE(Tabla1[[#This Row],[map]],"[",""),"]",""),",",REPT(" ",100)),300,300))," ",", ")</f>
        <v>4, 2, 3</v>
      </c>
      <c r="BZ12" t="str">
        <f>SUBSTITUTE(TRIM(MID(SUBSTITUTE(SUBSTITUTE(SUBSTITUTE(Tabla1[[#This Row],[map]],"[",""),"]",""),",",REPT(" ",100)),901,300))," ",", ")</f>
        <v>0, 1, 4</v>
      </c>
    </row>
    <row r="13" spans="1:78" x14ac:dyDescent="0.3">
      <c r="A13" s="1">
        <v>46090.875879629632</v>
      </c>
      <c r="B13" t="s">
        <v>111</v>
      </c>
      <c r="C13">
        <v>2</v>
      </c>
      <c r="D13" t="s">
        <v>95</v>
      </c>
      <c r="E13" t="s">
        <v>78</v>
      </c>
      <c r="F13">
        <v>16590</v>
      </c>
      <c r="G13">
        <v>4.5</v>
      </c>
      <c r="H13" t="s">
        <v>79</v>
      </c>
      <c r="I13" t="s">
        <v>80</v>
      </c>
      <c r="J13">
        <v>5</v>
      </c>
      <c r="K13">
        <v>5</v>
      </c>
      <c r="L13" t="s">
        <v>81</v>
      </c>
      <c r="M13" t="s">
        <v>82</v>
      </c>
      <c r="N13" t="s">
        <v>83</v>
      </c>
      <c r="O13" t="s">
        <v>83</v>
      </c>
      <c r="P13" t="s">
        <v>84</v>
      </c>
      <c r="Q13" t="s">
        <v>102</v>
      </c>
      <c r="R13">
        <v>2</v>
      </c>
      <c r="S13" t="s">
        <v>86</v>
      </c>
      <c r="T13" t="s">
        <v>87</v>
      </c>
      <c r="U13" t="s">
        <v>88</v>
      </c>
      <c r="V13">
        <v>1</v>
      </c>
      <c r="W13" t="s">
        <v>103</v>
      </c>
      <c r="X13" t="s">
        <v>83</v>
      </c>
      <c r="Y13" t="s">
        <v>90</v>
      </c>
      <c r="Z13">
        <v>4000</v>
      </c>
      <c r="AA13">
        <v>4000</v>
      </c>
      <c r="AC13">
        <v>256</v>
      </c>
      <c r="AD13" t="s">
        <v>91</v>
      </c>
      <c r="AE13">
        <v>0.15</v>
      </c>
      <c r="AF13" t="s">
        <v>92</v>
      </c>
      <c r="AG13">
        <v>160</v>
      </c>
      <c r="AH13">
        <v>40</v>
      </c>
      <c r="AI13">
        <v>120</v>
      </c>
      <c r="AJ13">
        <v>0.13172836397919779</v>
      </c>
      <c r="AK13">
        <v>38.411907349703533</v>
      </c>
      <c r="AL13">
        <v>0.59112377628551716</v>
      </c>
      <c r="AM13">
        <v>-0.59214406707300127</v>
      </c>
      <c r="AN13">
        <v>49.192137382751497</v>
      </c>
      <c r="AO13">
        <v>0.50958929276368248</v>
      </c>
      <c r="AP13">
        <v>49.192137382751497</v>
      </c>
      <c r="AQ13">
        <v>49.192137382751497</v>
      </c>
      <c r="AR13">
        <v>0.50958929276368248</v>
      </c>
      <c r="AS13">
        <v>116.4833568945737</v>
      </c>
      <c r="AT13">
        <v>-0.42402256442680969</v>
      </c>
      <c r="AU13">
        <v>0.8</v>
      </c>
      <c r="AV13" t="s">
        <v>93</v>
      </c>
      <c r="AW13">
        <v>7.7022830539449846E-2</v>
      </c>
      <c r="AX13">
        <v>0.44071466295740153</v>
      </c>
      <c r="AY13">
        <v>7.7022830539449846E-2</v>
      </c>
      <c r="AZ13">
        <v>7.7022830539449846E-2</v>
      </c>
      <c r="BA13">
        <v>0.44071466295740153</v>
      </c>
      <c r="BB13">
        <v>0.22987955649127059</v>
      </c>
      <c r="BC13">
        <v>-0.66922280486138153</v>
      </c>
      <c r="BD13">
        <v>0.1578087614694699</v>
      </c>
      <c r="BE13">
        <v>0.45322634662088751</v>
      </c>
      <c r="BF13">
        <v>0.1578087614694699</v>
      </c>
      <c r="BG13">
        <v>0.1578087614694699</v>
      </c>
      <c r="BH13">
        <v>0.45322634662088751</v>
      </c>
      <c r="BI13">
        <v>0.33685489757251869</v>
      </c>
      <c r="BJ13">
        <v>-0.16713027394239699</v>
      </c>
      <c r="BK13">
        <v>7.3835052084214023E-2</v>
      </c>
      <c r="BL13">
        <v>0.70357562004949892</v>
      </c>
      <c r="BM13">
        <v>7.3835052084214023E-2</v>
      </c>
      <c r="BN13">
        <v>7.3835052084214023E-2</v>
      </c>
      <c r="BO13">
        <v>0.70357562004949892</v>
      </c>
      <c r="BP13">
        <v>0.38267290917236468</v>
      </c>
      <c r="BQ13">
        <v>-0.5363106901569421</v>
      </c>
      <c r="BR13">
        <v>196.45988288691279</v>
      </c>
      <c r="BS13">
        <v>0.44084054142693607</v>
      </c>
      <c r="BT13">
        <v>196.45988288691279</v>
      </c>
      <c r="BU13">
        <v>196.45988288691279</v>
      </c>
      <c r="BV13">
        <v>0.44084054142693607</v>
      </c>
      <c r="BW13">
        <v>464.98402021505848</v>
      </c>
      <c r="BX13">
        <v>-0.32342648874651592</v>
      </c>
      <c r="BY13" t="str">
        <f>SUBSTITUTE(TRIM(MID(SUBSTITUTE(SUBSTITUTE(SUBSTITUTE(Tabla1[[#This Row],[map]],"[",""),"]",""),",",REPT(" ",100)),300,300))," ",", ")</f>
        <v>4, 2, 3</v>
      </c>
      <c r="BZ13" t="str">
        <f>SUBSTITUTE(TRIM(MID(SUBSTITUTE(SUBSTITUTE(SUBSTITUTE(Tabla1[[#This Row],[map]],"[",""),"]",""),",",REPT(" ",100)),901,300))," ",", ")</f>
        <v>4, 0, 1</v>
      </c>
    </row>
    <row r="14" spans="1:78" x14ac:dyDescent="0.3">
      <c r="A14" s="1">
        <v>46090.968946759262</v>
      </c>
      <c r="B14" t="s">
        <v>112</v>
      </c>
      <c r="C14">
        <v>3</v>
      </c>
      <c r="D14" t="s">
        <v>95</v>
      </c>
      <c r="E14" t="s">
        <v>78</v>
      </c>
      <c r="F14">
        <v>16590</v>
      </c>
      <c r="G14">
        <v>4.5</v>
      </c>
      <c r="H14" t="s">
        <v>79</v>
      </c>
      <c r="I14" t="s">
        <v>80</v>
      </c>
      <c r="J14">
        <v>5</v>
      </c>
      <c r="K14">
        <v>5</v>
      </c>
      <c r="L14" t="s">
        <v>81</v>
      </c>
      <c r="M14" t="s">
        <v>82</v>
      </c>
      <c r="N14" t="s">
        <v>83</v>
      </c>
      <c r="O14" t="s">
        <v>83</v>
      </c>
      <c r="P14" t="s">
        <v>84</v>
      </c>
      <c r="Q14" t="s">
        <v>85</v>
      </c>
      <c r="R14">
        <v>2</v>
      </c>
      <c r="S14" t="s">
        <v>86</v>
      </c>
      <c r="T14" t="s">
        <v>87</v>
      </c>
      <c r="U14" t="s">
        <v>88</v>
      </c>
      <c r="V14">
        <v>1</v>
      </c>
      <c r="W14" t="s">
        <v>89</v>
      </c>
      <c r="X14" t="s">
        <v>83</v>
      </c>
      <c r="Y14" t="s">
        <v>90</v>
      </c>
      <c r="Z14">
        <v>4000</v>
      </c>
      <c r="AA14">
        <v>4000</v>
      </c>
      <c r="AC14">
        <v>256</v>
      </c>
      <c r="AD14" t="s">
        <v>91</v>
      </c>
      <c r="AE14">
        <v>0.15</v>
      </c>
      <c r="AF14" t="s">
        <v>92</v>
      </c>
      <c r="AG14">
        <v>160</v>
      </c>
      <c r="AH14">
        <v>40</v>
      </c>
      <c r="AI14">
        <v>120</v>
      </c>
      <c r="AJ14">
        <v>0.12079123302917109</v>
      </c>
      <c r="AK14">
        <v>26.75034778320348</v>
      </c>
      <c r="AL14">
        <v>0.68742955405347761</v>
      </c>
      <c r="AM14">
        <v>-0.1194884935292011</v>
      </c>
      <c r="AN14">
        <v>36.35138345624096</v>
      </c>
      <c r="AO14">
        <v>0.68031869607599527</v>
      </c>
      <c r="AP14">
        <v>36.35138345624096</v>
      </c>
      <c r="AQ14">
        <v>36.35138345624096</v>
      </c>
      <c r="AR14">
        <v>0.68031869607599527</v>
      </c>
      <c r="AS14">
        <v>106.6249558170522</v>
      </c>
      <c r="AT14">
        <v>-3.4196423796922892E-2</v>
      </c>
      <c r="AU14">
        <v>0.8</v>
      </c>
      <c r="AV14" t="s">
        <v>93</v>
      </c>
      <c r="AW14">
        <v>5.8113169225273847E-2</v>
      </c>
      <c r="AX14">
        <v>0.57802325350632322</v>
      </c>
      <c r="AY14">
        <v>5.8113169225273847E-2</v>
      </c>
      <c r="AZ14">
        <v>5.8113169225273847E-2</v>
      </c>
      <c r="BA14">
        <v>0.57802325350632322</v>
      </c>
      <c r="BB14">
        <v>0.148362116913209</v>
      </c>
      <c r="BC14">
        <v>-7.730079485534036E-2</v>
      </c>
      <c r="BD14">
        <v>7.2116626477049195E-2</v>
      </c>
      <c r="BE14">
        <v>0.75013129207112161</v>
      </c>
      <c r="BF14">
        <v>7.2116626477049195E-2</v>
      </c>
      <c r="BG14">
        <v>7.2116626477049195E-2</v>
      </c>
      <c r="BH14">
        <v>0.75013129207112161</v>
      </c>
      <c r="BI14">
        <v>0.26625089931231799</v>
      </c>
      <c r="BJ14">
        <v>7.7497500285277909E-2</v>
      </c>
      <c r="BK14">
        <v>4.8207494913890529E-2</v>
      </c>
      <c r="BL14">
        <v>0.80646215604319837</v>
      </c>
      <c r="BM14">
        <v>4.8207494913890529E-2</v>
      </c>
      <c r="BN14">
        <v>4.8207494913890529E-2</v>
      </c>
      <c r="BO14">
        <v>0.80646215604319837</v>
      </c>
      <c r="BP14">
        <v>0.2303853974813696</v>
      </c>
      <c r="BQ14">
        <v>7.5075500452371879E-2</v>
      </c>
      <c r="BR14">
        <v>145.22709653434811</v>
      </c>
      <c r="BS14">
        <v>0.58665808268333408</v>
      </c>
      <c r="BT14">
        <v>145.22709653434811</v>
      </c>
      <c r="BU14">
        <v>145.22709653434811</v>
      </c>
      <c r="BV14">
        <v>0.58665808268333408</v>
      </c>
      <c r="BW14">
        <v>425.85482485450302</v>
      </c>
      <c r="BX14">
        <v>-0.21205790107000649</v>
      </c>
      <c r="BY14" t="str">
        <f>SUBSTITUTE(TRIM(MID(SUBSTITUTE(SUBSTITUTE(SUBSTITUTE(Tabla1[[#This Row],[map]],"[",""),"]",""),",",REPT(" ",100)),300,300))," ",", ")</f>
        <v>2, 3, 4</v>
      </c>
      <c r="BZ14" t="str">
        <f>SUBSTITUTE(TRIM(MID(SUBSTITUTE(SUBSTITUTE(SUBSTITUTE(Tabla1[[#This Row],[map]],"[",""),"]",""),",",REPT(" ",100)),901,300))," ",", ")</f>
        <v>4, 0, 1</v>
      </c>
    </row>
    <row r="15" spans="1:78" x14ac:dyDescent="0.3">
      <c r="A15" s="1">
        <v>46090.970625000002</v>
      </c>
      <c r="B15" t="s">
        <v>113</v>
      </c>
      <c r="C15">
        <v>3</v>
      </c>
      <c r="D15" t="s">
        <v>77</v>
      </c>
      <c r="E15" t="s">
        <v>78</v>
      </c>
      <c r="F15">
        <v>16590</v>
      </c>
      <c r="G15">
        <v>4.5</v>
      </c>
      <c r="H15" t="s">
        <v>79</v>
      </c>
      <c r="I15" t="s">
        <v>80</v>
      </c>
      <c r="J15">
        <v>5</v>
      </c>
      <c r="K15">
        <v>5</v>
      </c>
      <c r="L15" t="s">
        <v>81</v>
      </c>
      <c r="M15" t="s">
        <v>82</v>
      </c>
      <c r="N15" t="s">
        <v>83</v>
      </c>
      <c r="O15" t="s">
        <v>83</v>
      </c>
      <c r="P15" t="s">
        <v>84</v>
      </c>
      <c r="Q15" t="s">
        <v>99</v>
      </c>
      <c r="R15">
        <v>2</v>
      </c>
      <c r="S15" t="s">
        <v>86</v>
      </c>
      <c r="T15" t="s">
        <v>87</v>
      </c>
      <c r="U15" t="s">
        <v>88</v>
      </c>
      <c r="V15">
        <v>1</v>
      </c>
      <c r="W15" t="s">
        <v>100</v>
      </c>
      <c r="X15" t="s">
        <v>83</v>
      </c>
      <c r="Y15" t="s">
        <v>90</v>
      </c>
      <c r="Z15">
        <v>4000</v>
      </c>
      <c r="AA15">
        <v>4000</v>
      </c>
      <c r="AC15">
        <v>256</v>
      </c>
      <c r="AD15" t="s">
        <v>91</v>
      </c>
      <c r="AE15">
        <v>0.15</v>
      </c>
      <c r="AF15" t="s">
        <v>92</v>
      </c>
      <c r="AG15">
        <v>160</v>
      </c>
      <c r="AH15">
        <v>40</v>
      </c>
      <c r="AI15">
        <v>120</v>
      </c>
      <c r="AJ15">
        <v>0.1470144266645535</v>
      </c>
      <c r="AK15">
        <v>20.51335391777916</v>
      </c>
      <c r="AL15">
        <v>0.61618668868160742</v>
      </c>
      <c r="AM15">
        <v>-0.2155565846189168</v>
      </c>
      <c r="AN15">
        <v>31.727931062373031</v>
      </c>
      <c r="AO15">
        <v>0.57547275773707751</v>
      </c>
      <c r="AP15">
        <v>31.727931062373031</v>
      </c>
      <c r="AQ15">
        <v>31.727931062373031</v>
      </c>
      <c r="AR15">
        <v>0.57547275773707751</v>
      </c>
      <c r="AS15">
        <v>141.73672415404221</v>
      </c>
      <c r="AT15">
        <v>-0.18487368891322539</v>
      </c>
      <c r="AU15">
        <v>0.8</v>
      </c>
      <c r="AV15" t="s">
        <v>93</v>
      </c>
      <c r="AW15">
        <v>8.1096097340595336E-2</v>
      </c>
      <c r="AX15">
        <v>0.41113747941600631</v>
      </c>
      <c r="AY15">
        <v>8.1096097340595336E-2</v>
      </c>
      <c r="AZ15">
        <v>8.1096097340595336E-2</v>
      </c>
      <c r="BA15">
        <v>0.41113747941600631</v>
      </c>
      <c r="BB15">
        <v>0.17420944066480509</v>
      </c>
      <c r="BC15">
        <v>-0.26498578480979851</v>
      </c>
      <c r="BD15">
        <v>0.1109586207335103</v>
      </c>
      <c r="BE15">
        <v>0.61555207792372157</v>
      </c>
      <c r="BF15">
        <v>0.1109586207335103</v>
      </c>
      <c r="BG15">
        <v>0.1109586207335103</v>
      </c>
      <c r="BH15">
        <v>0.61555207792372157</v>
      </c>
      <c r="BI15">
        <v>0.33367319982874688</v>
      </c>
      <c r="BJ15">
        <v>-0.15610637081362941</v>
      </c>
      <c r="BK15">
        <v>9.0764395822995711E-2</v>
      </c>
      <c r="BL15">
        <v>0.63560965972196282</v>
      </c>
      <c r="BM15">
        <v>9.0764395822995711E-2</v>
      </c>
      <c r="BN15">
        <v>9.0764395822995711E-2</v>
      </c>
      <c r="BO15">
        <v>0.63560965972196282</v>
      </c>
      <c r="BP15">
        <v>0.17603337890691739</v>
      </c>
      <c r="BQ15">
        <v>0.2932816633817904</v>
      </c>
      <c r="BR15">
        <v>126.6289051355952</v>
      </c>
      <c r="BS15">
        <v>0.63959181388662012</v>
      </c>
      <c r="BT15">
        <v>126.6289051355952</v>
      </c>
      <c r="BU15">
        <v>126.6289051355952</v>
      </c>
      <c r="BV15">
        <v>0.63959181388662012</v>
      </c>
      <c r="BW15">
        <v>566.26298059677038</v>
      </c>
      <c r="BX15">
        <v>-0.61168426341127535</v>
      </c>
      <c r="BY15" t="str">
        <f>SUBSTITUTE(TRIM(MID(SUBSTITUTE(SUBSTITUTE(SUBSTITUTE(Tabla1[[#This Row],[map]],"[",""),"]",""),",",REPT(" ",100)),300,300))," ",", ")</f>
        <v>4, 2, 3</v>
      </c>
      <c r="BZ15" t="str">
        <f>SUBSTITUTE(TRIM(MID(SUBSTITUTE(SUBSTITUTE(SUBSTITUTE(Tabla1[[#This Row],[map]],"[",""),"]",""),",",REPT(" ",100)),901,300))," ",", ")</f>
        <v>0, 1, 4</v>
      </c>
    </row>
    <row r="16" spans="1:78" x14ac:dyDescent="0.3">
      <c r="A16" s="1">
        <v>46090.969953703701</v>
      </c>
      <c r="B16" t="s">
        <v>114</v>
      </c>
      <c r="C16">
        <v>3</v>
      </c>
      <c r="D16" t="s">
        <v>77</v>
      </c>
      <c r="E16" t="s">
        <v>78</v>
      </c>
      <c r="F16">
        <v>16590</v>
      </c>
      <c r="G16">
        <v>4.5</v>
      </c>
      <c r="H16" t="s">
        <v>79</v>
      </c>
      <c r="I16" t="s">
        <v>80</v>
      </c>
      <c r="J16">
        <v>5</v>
      </c>
      <c r="K16">
        <v>5</v>
      </c>
      <c r="L16" t="s">
        <v>81</v>
      </c>
      <c r="M16" t="s">
        <v>82</v>
      </c>
      <c r="N16" t="s">
        <v>83</v>
      </c>
      <c r="O16" t="s">
        <v>83</v>
      </c>
      <c r="P16" t="s">
        <v>84</v>
      </c>
      <c r="Q16" t="s">
        <v>96</v>
      </c>
      <c r="R16">
        <v>2</v>
      </c>
      <c r="S16" t="s">
        <v>86</v>
      </c>
      <c r="T16" t="s">
        <v>87</v>
      </c>
      <c r="U16" t="s">
        <v>88</v>
      </c>
      <c r="V16">
        <v>1</v>
      </c>
      <c r="W16" t="s">
        <v>97</v>
      </c>
      <c r="X16" t="s">
        <v>83</v>
      </c>
      <c r="Y16" t="s">
        <v>90</v>
      </c>
      <c r="Z16">
        <v>4000</v>
      </c>
      <c r="AA16">
        <v>4000</v>
      </c>
      <c r="AC16">
        <v>256</v>
      </c>
      <c r="AD16" t="s">
        <v>91</v>
      </c>
      <c r="AE16">
        <v>0.15</v>
      </c>
      <c r="AF16" t="s">
        <v>92</v>
      </c>
      <c r="AG16">
        <v>160</v>
      </c>
      <c r="AH16">
        <v>40</v>
      </c>
      <c r="AI16">
        <v>120</v>
      </c>
      <c r="AJ16">
        <v>0.12247018833846469</v>
      </c>
      <c r="AK16">
        <v>20.81599983690381</v>
      </c>
      <c r="AL16">
        <v>0.69906040256034641</v>
      </c>
      <c r="AM16">
        <v>-2.3129365446347441E-2</v>
      </c>
      <c r="AN16">
        <v>32.785482987981773</v>
      </c>
      <c r="AO16">
        <v>0.67151036243695528</v>
      </c>
      <c r="AP16">
        <v>32.785482987981773</v>
      </c>
      <c r="AQ16">
        <v>32.785482987981773</v>
      </c>
      <c r="AR16">
        <v>0.67151036243695528</v>
      </c>
      <c r="AS16">
        <v>133.57890257624689</v>
      </c>
      <c r="AT16">
        <v>-1.5073184807416229E-2</v>
      </c>
      <c r="AU16">
        <v>0.8</v>
      </c>
      <c r="AV16" t="s">
        <v>93</v>
      </c>
      <c r="AW16">
        <v>5.5016846883479333E-2</v>
      </c>
      <c r="AX16">
        <v>0.6005065571241528</v>
      </c>
      <c r="AY16">
        <v>5.5016846883479333E-2</v>
      </c>
      <c r="AZ16">
        <v>5.5016846883479333E-2</v>
      </c>
      <c r="BA16">
        <v>0.6005065571241528</v>
      </c>
      <c r="BB16">
        <v>0.1501678224355637</v>
      </c>
      <c r="BC16">
        <v>-9.0412551650003836E-2</v>
      </c>
      <c r="BD16">
        <v>5.8543278840564782E-2</v>
      </c>
      <c r="BE16">
        <v>0.79716004260865825</v>
      </c>
      <c r="BF16">
        <v>5.8543278840564782E-2</v>
      </c>
      <c r="BG16">
        <v>5.8543278840564782E-2</v>
      </c>
      <c r="BH16">
        <v>0.79716004260865825</v>
      </c>
      <c r="BI16">
        <v>0.21677781495297191</v>
      </c>
      <c r="BJ16">
        <v>0.2489111710295728</v>
      </c>
      <c r="BK16">
        <v>8.4423983845804892E-2</v>
      </c>
      <c r="BL16">
        <v>0.661064408325998</v>
      </c>
      <c r="BM16">
        <v>8.4423983845804892E-2</v>
      </c>
      <c r="BN16">
        <v>8.4423983845804892E-2</v>
      </c>
      <c r="BO16">
        <v>0.661064408325998</v>
      </c>
      <c r="BP16">
        <v>0.17425414934847799</v>
      </c>
      <c r="BQ16">
        <v>0.30042470728522608</v>
      </c>
      <c r="BR16">
        <v>130.9439478423574</v>
      </c>
      <c r="BS16">
        <v>0.6273104416890114</v>
      </c>
      <c r="BT16">
        <v>130.9439478423574</v>
      </c>
      <c r="BU16">
        <v>130.9439478423574</v>
      </c>
      <c r="BV16">
        <v>0.6273104416890114</v>
      </c>
      <c r="BW16">
        <v>533.77441051824917</v>
      </c>
      <c r="BX16">
        <v>-0.51921606589445246</v>
      </c>
      <c r="BY16" t="str">
        <f>SUBSTITUTE(TRIM(MID(SUBSTITUTE(SUBSTITUTE(SUBSTITUTE(Tabla1[[#This Row],[map]],"[",""),"]",""),",",REPT(" ",100)),300,300))," ",", ")</f>
        <v>2, 3, 4</v>
      </c>
      <c r="BZ16" t="str">
        <f>SUBSTITUTE(TRIM(MID(SUBSTITUTE(SUBSTITUTE(SUBSTITUTE(Tabla1[[#This Row],[map]],"[",""),"]",""),",",REPT(" ",100)),901,300))," ",", ")</f>
        <v>0, 1, 4</v>
      </c>
    </row>
    <row r="17" spans="1:78" x14ac:dyDescent="0.3">
      <c r="A17" s="1">
        <v>46090.974398148152</v>
      </c>
      <c r="B17" t="s">
        <v>115</v>
      </c>
      <c r="C17">
        <v>3</v>
      </c>
      <c r="D17" t="s">
        <v>77</v>
      </c>
      <c r="E17" t="s">
        <v>78</v>
      </c>
      <c r="F17">
        <v>16590</v>
      </c>
      <c r="G17">
        <v>4.5</v>
      </c>
      <c r="H17" t="s">
        <v>79</v>
      </c>
      <c r="I17" t="s">
        <v>80</v>
      </c>
      <c r="J17">
        <v>5</v>
      </c>
      <c r="K17">
        <v>5</v>
      </c>
      <c r="L17" t="s">
        <v>81</v>
      </c>
      <c r="M17" t="s">
        <v>82</v>
      </c>
      <c r="N17" t="s">
        <v>83</v>
      </c>
      <c r="O17" t="s">
        <v>83</v>
      </c>
      <c r="P17" t="s">
        <v>84</v>
      </c>
      <c r="Q17" t="s">
        <v>102</v>
      </c>
      <c r="R17">
        <v>2</v>
      </c>
      <c r="S17" t="s">
        <v>86</v>
      </c>
      <c r="T17" t="s">
        <v>87</v>
      </c>
      <c r="U17" t="s">
        <v>88</v>
      </c>
      <c r="V17">
        <v>1</v>
      </c>
      <c r="W17" t="s">
        <v>103</v>
      </c>
      <c r="X17" t="s">
        <v>83</v>
      </c>
      <c r="Y17" t="s">
        <v>90</v>
      </c>
      <c r="Z17">
        <v>4000</v>
      </c>
      <c r="AA17">
        <v>4000</v>
      </c>
      <c r="AC17">
        <v>256</v>
      </c>
      <c r="AD17" t="s">
        <v>91</v>
      </c>
      <c r="AE17">
        <v>0.15</v>
      </c>
      <c r="AF17" t="s">
        <v>92</v>
      </c>
      <c r="AG17">
        <v>160</v>
      </c>
      <c r="AH17">
        <v>40</v>
      </c>
      <c r="AI17">
        <v>120</v>
      </c>
      <c r="AJ17">
        <v>0.1319867785875681</v>
      </c>
      <c r="AK17">
        <v>29.29678168442976</v>
      </c>
      <c r="AL17">
        <v>0.62224598180541468</v>
      </c>
      <c r="AM17">
        <v>-5.3040542394878182E-2</v>
      </c>
      <c r="AN17">
        <v>38.195809728708937</v>
      </c>
      <c r="AO17">
        <v>0.58156083898681854</v>
      </c>
      <c r="AP17">
        <v>38.195809728708937</v>
      </c>
      <c r="AQ17">
        <v>38.195809728708937</v>
      </c>
      <c r="AR17">
        <v>0.58156083898681854</v>
      </c>
      <c r="AS17">
        <v>103.81655496522011</v>
      </c>
      <c r="AT17">
        <v>1.8629976287501741E-2</v>
      </c>
      <c r="AU17">
        <v>0.8</v>
      </c>
      <c r="AV17" t="s">
        <v>93</v>
      </c>
      <c r="AW17">
        <v>8.8482761404791554E-2</v>
      </c>
      <c r="AX17">
        <v>0.35750074765958939</v>
      </c>
      <c r="AY17">
        <v>8.8482761404791554E-2</v>
      </c>
      <c r="AZ17">
        <v>8.8482761404791554E-2</v>
      </c>
      <c r="BA17">
        <v>0.35750074765958939</v>
      </c>
      <c r="BB17">
        <v>0.17027499726130579</v>
      </c>
      <c r="BC17">
        <v>-0.23641663862821161</v>
      </c>
      <c r="BD17">
        <v>0.1162363977245717</v>
      </c>
      <c r="BE17">
        <v>0.59726570788791644</v>
      </c>
      <c r="BF17">
        <v>0.1162363977245717</v>
      </c>
      <c r="BG17">
        <v>0.1162363977245717</v>
      </c>
      <c r="BH17">
        <v>0.59726570788791644</v>
      </c>
      <c r="BI17">
        <v>0.13472941459013929</v>
      </c>
      <c r="BJ17">
        <v>0.53319135422445307</v>
      </c>
      <c r="BK17">
        <v>4.8421137404748307E-2</v>
      </c>
      <c r="BL17">
        <v>0.80560444901793127</v>
      </c>
      <c r="BM17">
        <v>4.8421137404748307E-2</v>
      </c>
      <c r="BN17">
        <v>4.8421137404748307E-2</v>
      </c>
      <c r="BO17">
        <v>0.80560444901793127</v>
      </c>
      <c r="BP17">
        <v>0.2595324552412418</v>
      </c>
      <c r="BQ17">
        <v>-4.1940717183624798E-2</v>
      </c>
      <c r="BR17">
        <v>152.53009861830131</v>
      </c>
      <c r="BS17">
        <v>0.5658724513818445</v>
      </c>
      <c r="BT17">
        <v>152.53009861830131</v>
      </c>
      <c r="BU17">
        <v>152.53009861830131</v>
      </c>
      <c r="BV17">
        <v>0.5658724513818445</v>
      </c>
      <c r="BW17">
        <v>414.70168299378759</v>
      </c>
      <c r="BX17">
        <v>-0.18031409326260789</v>
      </c>
      <c r="BY17" t="str">
        <f>SUBSTITUTE(TRIM(MID(SUBSTITUTE(SUBSTITUTE(SUBSTITUTE(Tabla1[[#This Row],[map]],"[",""),"]",""),",",REPT(" ",100)),300,300))," ",", ")</f>
        <v>4, 2, 3</v>
      </c>
      <c r="BZ17" t="str">
        <f>SUBSTITUTE(TRIM(MID(SUBSTITUTE(SUBSTITUTE(SUBSTITUTE(Tabla1[[#This Row],[map]],"[",""),"]",""),",",REPT(" ",100)),901,300))," ",", ")</f>
        <v>4, 0, 1</v>
      </c>
    </row>
    <row r="18" spans="1:78" x14ac:dyDescent="0.3">
      <c r="A18" s="1">
        <v>46091.066469907397</v>
      </c>
      <c r="B18" t="s">
        <v>116</v>
      </c>
      <c r="C18">
        <v>4</v>
      </c>
      <c r="D18" t="s">
        <v>95</v>
      </c>
      <c r="E18" t="s">
        <v>78</v>
      </c>
      <c r="F18">
        <v>16590</v>
      </c>
      <c r="G18">
        <v>4.5</v>
      </c>
      <c r="H18" t="s">
        <v>79</v>
      </c>
      <c r="I18" t="s">
        <v>80</v>
      </c>
      <c r="J18">
        <v>5</v>
      </c>
      <c r="K18">
        <v>5</v>
      </c>
      <c r="L18" t="s">
        <v>81</v>
      </c>
      <c r="M18" t="s">
        <v>82</v>
      </c>
      <c r="N18" t="s">
        <v>83</v>
      </c>
      <c r="O18" t="s">
        <v>83</v>
      </c>
      <c r="P18" t="s">
        <v>84</v>
      </c>
      <c r="Q18" t="s">
        <v>85</v>
      </c>
      <c r="R18">
        <v>2</v>
      </c>
      <c r="S18" t="s">
        <v>86</v>
      </c>
      <c r="T18" t="s">
        <v>87</v>
      </c>
      <c r="U18" t="s">
        <v>88</v>
      </c>
      <c r="V18">
        <v>1</v>
      </c>
      <c r="W18" t="s">
        <v>89</v>
      </c>
      <c r="X18" t="s">
        <v>83</v>
      </c>
      <c r="Y18" t="s">
        <v>90</v>
      </c>
      <c r="Z18">
        <v>4000</v>
      </c>
      <c r="AA18">
        <v>4000</v>
      </c>
      <c r="AC18">
        <v>256</v>
      </c>
      <c r="AD18" t="s">
        <v>91</v>
      </c>
      <c r="AE18">
        <v>0.15</v>
      </c>
      <c r="AF18" t="s">
        <v>92</v>
      </c>
      <c r="AG18">
        <v>160</v>
      </c>
      <c r="AH18">
        <v>40</v>
      </c>
      <c r="AI18">
        <v>120</v>
      </c>
      <c r="AJ18">
        <v>0.13100494471832949</v>
      </c>
      <c r="AK18">
        <v>27.456585753052909</v>
      </c>
      <c r="AL18">
        <v>0.6316322517939672</v>
      </c>
      <c r="AM18">
        <v>-0.42152663270451263</v>
      </c>
      <c r="AN18">
        <v>31.70898950802566</v>
      </c>
      <c r="AO18">
        <v>0.61152167754342235</v>
      </c>
      <c r="AP18">
        <v>31.70898950802566</v>
      </c>
      <c r="AQ18">
        <v>31.70898950802566</v>
      </c>
      <c r="AR18">
        <v>0.61152167754342235</v>
      </c>
      <c r="AS18">
        <v>133.89653517499821</v>
      </c>
      <c r="AT18">
        <v>-0.38155637389977659</v>
      </c>
      <c r="AU18">
        <v>0.8</v>
      </c>
      <c r="AV18" t="s">
        <v>93</v>
      </c>
      <c r="AW18">
        <v>0.1015199364418737</v>
      </c>
      <c r="AX18">
        <v>0.26283400036362681</v>
      </c>
      <c r="AY18">
        <v>0.1015199364418737</v>
      </c>
      <c r="AZ18">
        <v>0.1015199364418737</v>
      </c>
      <c r="BA18">
        <v>0.26283400036362681</v>
      </c>
      <c r="BB18">
        <v>0.21055329884850521</v>
      </c>
      <c r="BC18">
        <v>-0.5288891863251215</v>
      </c>
      <c r="BD18">
        <v>5.318983808511548E-2</v>
      </c>
      <c r="BE18">
        <v>0.81570857142764863</v>
      </c>
      <c r="BF18">
        <v>5.318983808511548E-2</v>
      </c>
      <c r="BG18">
        <v>5.318983808511548E-2</v>
      </c>
      <c r="BH18">
        <v>0.81570857142764863</v>
      </c>
      <c r="BI18">
        <v>0.2156716598025987</v>
      </c>
      <c r="BJ18">
        <v>0.25274376237077462</v>
      </c>
      <c r="BK18">
        <v>6.7774105076165006E-2</v>
      </c>
      <c r="BL18">
        <v>0.72790840519773203</v>
      </c>
      <c r="BM18">
        <v>6.7774105076165006E-2</v>
      </c>
      <c r="BN18">
        <v>6.7774105076165006E-2</v>
      </c>
      <c r="BO18">
        <v>0.72790840519773203</v>
      </c>
      <c r="BP18">
        <v>0.43045626954192168</v>
      </c>
      <c r="BQ18">
        <v>-0.72814576807280873</v>
      </c>
      <c r="BR18">
        <v>126.6134741524999</v>
      </c>
      <c r="BS18">
        <v>0.63963573318467737</v>
      </c>
      <c r="BT18">
        <v>126.6134741524999</v>
      </c>
      <c r="BU18">
        <v>126.6134741524999</v>
      </c>
      <c r="BV18">
        <v>0.63963573318467737</v>
      </c>
      <c r="BW18">
        <v>534.7294594718004</v>
      </c>
      <c r="BX18">
        <v>-0.52193430357194259</v>
      </c>
      <c r="BY18" t="str">
        <f>SUBSTITUTE(TRIM(MID(SUBSTITUTE(SUBSTITUTE(SUBSTITUTE(Tabla1[[#This Row],[map]],"[",""),"]",""),",",REPT(" ",100)),300,300))," ",", ")</f>
        <v>2, 3, 4</v>
      </c>
      <c r="BZ18" t="str">
        <f>SUBSTITUTE(TRIM(MID(SUBSTITUTE(SUBSTITUTE(SUBSTITUTE(Tabla1[[#This Row],[map]],"[",""),"]",""),",",REPT(" ",100)),901,300))," ",", ")</f>
        <v>4, 0, 1</v>
      </c>
    </row>
    <row r="19" spans="1:78" x14ac:dyDescent="0.3">
      <c r="A19" s="1">
        <v>46091.068414351852</v>
      </c>
      <c r="B19" t="s">
        <v>117</v>
      </c>
      <c r="C19">
        <v>4</v>
      </c>
      <c r="D19" t="s">
        <v>95</v>
      </c>
      <c r="E19" t="s">
        <v>78</v>
      </c>
      <c r="F19">
        <v>16590</v>
      </c>
      <c r="G19">
        <v>4.5</v>
      </c>
      <c r="H19" t="s">
        <v>79</v>
      </c>
      <c r="I19" t="s">
        <v>80</v>
      </c>
      <c r="J19">
        <v>5</v>
      </c>
      <c r="K19">
        <v>5</v>
      </c>
      <c r="L19" t="s">
        <v>81</v>
      </c>
      <c r="M19" t="s">
        <v>82</v>
      </c>
      <c r="N19" t="s">
        <v>83</v>
      </c>
      <c r="O19" t="s">
        <v>83</v>
      </c>
      <c r="P19" t="s">
        <v>84</v>
      </c>
      <c r="Q19" t="s">
        <v>96</v>
      </c>
      <c r="R19">
        <v>2</v>
      </c>
      <c r="S19" t="s">
        <v>86</v>
      </c>
      <c r="T19" t="s">
        <v>87</v>
      </c>
      <c r="U19" t="s">
        <v>88</v>
      </c>
      <c r="V19">
        <v>1</v>
      </c>
      <c r="W19" t="s">
        <v>97</v>
      </c>
      <c r="X19" t="s">
        <v>83</v>
      </c>
      <c r="Y19" t="s">
        <v>90</v>
      </c>
      <c r="Z19">
        <v>4000</v>
      </c>
      <c r="AA19">
        <v>4000</v>
      </c>
      <c r="AC19">
        <v>256</v>
      </c>
      <c r="AD19" t="s">
        <v>91</v>
      </c>
      <c r="AE19">
        <v>0.15</v>
      </c>
      <c r="AF19" t="s">
        <v>92</v>
      </c>
      <c r="AG19">
        <v>160</v>
      </c>
      <c r="AH19">
        <v>40</v>
      </c>
      <c r="AI19">
        <v>120</v>
      </c>
      <c r="AJ19">
        <v>0.1183279342859563</v>
      </c>
      <c r="AK19">
        <v>22.460168516109231</v>
      </c>
      <c r="AL19">
        <v>0.64286938042332509</v>
      </c>
      <c r="AM19">
        <v>-0.23922392859800309</v>
      </c>
      <c r="AN19">
        <v>36.518881199062463</v>
      </c>
      <c r="AO19">
        <v>0.60420172774053671</v>
      </c>
      <c r="AP19">
        <v>36.518881199062463</v>
      </c>
      <c r="AQ19">
        <v>36.518881199062463</v>
      </c>
      <c r="AR19">
        <v>0.60420172774053671</v>
      </c>
      <c r="AS19">
        <v>157.72746873163319</v>
      </c>
      <c r="AT19">
        <v>-0.2231624611911795</v>
      </c>
      <c r="AU19">
        <v>0.8</v>
      </c>
      <c r="AV19" t="s">
        <v>93</v>
      </c>
      <c r="AW19">
        <v>8.3760971544354287E-2</v>
      </c>
      <c r="AX19">
        <v>0.39178704712486789</v>
      </c>
      <c r="AY19">
        <v>8.3760971544354287E-2</v>
      </c>
      <c r="AZ19">
        <v>8.3760971544354287E-2</v>
      </c>
      <c r="BA19">
        <v>0.39178704712486789</v>
      </c>
      <c r="BB19">
        <v>0.16119008398378409</v>
      </c>
      <c r="BC19">
        <v>-0.17044842181723549</v>
      </c>
      <c r="BD19">
        <v>5.5515133705992557E-2</v>
      </c>
      <c r="BE19">
        <v>0.8076519187426241</v>
      </c>
      <c r="BF19">
        <v>5.5515133705992557E-2</v>
      </c>
      <c r="BG19">
        <v>5.5515133705992557E-2</v>
      </c>
      <c r="BH19">
        <v>0.8076519187426241</v>
      </c>
      <c r="BI19">
        <v>0.29288667776303579</v>
      </c>
      <c r="BJ19">
        <v>-1.47897831233379E-2</v>
      </c>
      <c r="BK19">
        <v>9.154701892701736E-2</v>
      </c>
      <c r="BL19">
        <v>0.63246767550449445</v>
      </c>
      <c r="BM19">
        <v>9.154701892701736E-2</v>
      </c>
      <c r="BN19">
        <v>9.154701892701736E-2</v>
      </c>
      <c r="BO19">
        <v>0.63246767550449445</v>
      </c>
      <c r="BP19">
        <v>0.2275823227543135</v>
      </c>
      <c r="BQ19">
        <v>8.632895886362657E-2</v>
      </c>
      <c r="BR19">
        <v>145.8447016720724</v>
      </c>
      <c r="BS19">
        <v>0.58490026959016117</v>
      </c>
      <c r="BT19">
        <v>145.8447016720724</v>
      </c>
      <c r="BU19">
        <v>145.8447016720724</v>
      </c>
      <c r="BV19">
        <v>0.58490026959016117</v>
      </c>
      <c r="BW19">
        <v>630.22821584203132</v>
      </c>
      <c r="BX19">
        <v>-0.79374059868776037</v>
      </c>
      <c r="BY19" t="str">
        <f>SUBSTITUTE(TRIM(MID(SUBSTITUTE(SUBSTITUTE(SUBSTITUTE(Tabla1[[#This Row],[map]],"[",""),"]",""),",",REPT(" ",100)),300,300))," ",", ")</f>
        <v>2, 3, 4</v>
      </c>
      <c r="BZ19" t="str">
        <f>SUBSTITUTE(TRIM(MID(SUBSTITUTE(SUBSTITUTE(SUBSTITUTE(Tabla1[[#This Row],[map]],"[",""),"]",""),",",REPT(" ",100)),901,300))," ",", ")</f>
        <v>0, 1, 4</v>
      </c>
    </row>
    <row r="20" spans="1:78" x14ac:dyDescent="0.3">
      <c r="A20" s="1">
        <v>46091.068101851852</v>
      </c>
      <c r="B20" t="s">
        <v>118</v>
      </c>
      <c r="C20">
        <v>4</v>
      </c>
      <c r="D20" t="s">
        <v>77</v>
      </c>
      <c r="E20" t="s">
        <v>78</v>
      </c>
      <c r="F20">
        <v>16590</v>
      </c>
      <c r="G20">
        <v>4.5</v>
      </c>
      <c r="H20" t="s">
        <v>79</v>
      </c>
      <c r="I20" t="s">
        <v>80</v>
      </c>
      <c r="J20">
        <v>5</v>
      </c>
      <c r="K20">
        <v>5</v>
      </c>
      <c r="L20" t="s">
        <v>81</v>
      </c>
      <c r="M20" t="s">
        <v>82</v>
      </c>
      <c r="N20" t="s">
        <v>83</v>
      </c>
      <c r="O20" t="s">
        <v>83</v>
      </c>
      <c r="P20" t="s">
        <v>84</v>
      </c>
      <c r="Q20" t="s">
        <v>99</v>
      </c>
      <c r="R20">
        <v>2</v>
      </c>
      <c r="S20" t="s">
        <v>86</v>
      </c>
      <c r="T20" t="s">
        <v>87</v>
      </c>
      <c r="U20" t="s">
        <v>88</v>
      </c>
      <c r="V20">
        <v>1</v>
      </c>
      <c r="W20" t="s">
        <v>100</v>
      </c>
      <c r="X20" t="s">
        <v>83</v>
      </c>
      <c r="Y20" t="s">
        <v>90</v>
      </c>
      <c r="Z20">
        <v>4000</v>
      </c>
      <c r="AA20">
        <v>4000</v>
      </c>
      <c r="AC20">
        <v>256</v>
      </c>
      <c r="AD20" t="s">
        <v>91</v>
      </c>
      <c r="AE20">
        <v>0.15</v>
      </c>
      <c r="AF20" t="s">
        <v>92</v>
      </c>
      <c r="AG20">
        <v>160</v>
      </c>
      <c r="AH20">
        <v>40</v>
      </c>
      <c r="AI20">
        <v>120</v>
      </c>
      <c r="AJ20">
        <v>0.1277316103973766</v>
      </c>
      <c r="AK20">
        <v>26.576257919086991</v>
      </c>
      <c r="AL20">
        <v>0.64994613216604757</v>
      </c>
      <c r="AM20">
        <v>-5.1587704112767717E-2</v>
      </c>
      <c r="AN20">
        <v>42.966550690266949</v>
      </c>
      <c r="AO20">
        <v>0.57480083903843637</v>
      </c>
      <c r="AP20">
        <v>42.966550690266949</v>
      </c>
      <c r="AQ20">
        <v>42.966550690266949</v>
      </c>
      <c r="AR20">
        <v>0.57480083903843637</v>
      </c>
      <c r="AS20">
        <v>99.315058058715508</v>
      </c>
      <c r="AT20">
        <v>3.7811300609649517E-2</v>
      </c>
      <c r="AU20">
        <v>0.8</v>
      </c>
      <c r="AV20" t="s">
        <v>93</v>
      </c>
      <c r="AW20">
        <v>8.919082940038156E-2</v>
      </c>
      <c r="AX20">
        <v>0.35235925850904709</v>
      </c>
      <c r="AY20">
        <v>8.919082940038156E-2</v>
      </c>
      <c r="AZ20">
        <v>8.919082940038156E-2</v>
      </c>
      <c r="BA20">
        <v>0.35235925850904709</v>
      </c>
      <c r="BB20">
        <v>0.24778311244853971</v>
      </c>
      <c r="BC20">
        <v>-0.79922576966665004</v>
      </c>
      <c r="BD20">
        <v>9.5340187027959489E-2</v>
      </c>
      <c r="BE20">
        <v>0.66966661489697854</v>
      </c>
      <c r="BF20">
        <v>9.5340187027959489E-2</v>
      </c>
      <c r="BG20">
        <v>9.5340187027959489E-2</v>
      </c>
      <c r="BH20">
        <v>0.66966661489697854</v>
      </c>
      <c r="BI20">
        <v>9.2006546464354619E-2</v>
      </c>
      <c r="BJ20">
        <v>0.68121696744421434</v>
      </c>
      <c r="BK20">
        <v>5.8373803577724669E-2</v>
      </c>
      <c r="BL20">
        <v>0.76564764238069993</v>
      </c>
      <c r="BM20">
        <v>5.8373803577724669E-2</v>
      </c>
      <c r="BN20">
        <v>5.8373803577724669E-2</v>
      </c>
      <c r="BO20">
        <v>0.76564764238069993</v>
      </c>
      <c r="BP20">
        <v>0.14981674694147121</v>
      </c>
      <c r="BQ20">
        <v>0.39853314835242798</v>
      </c>
      <c r="BR20">
        <v>171.62329794106219</v>
      </c>
      <c r="BS20">
        <v>0.51152984036701443</v>
      </c>
      <c r="BT20">
        <v>171.62329794106219</v>
      </c>
      <c r="BU20">
        <v>171.62329794106219</v>
      </c>
      <c r="BV20">
        <v>0.51152984036701443</v>
      </c>
      <c r="BW20">
        <v>396.77062582900697</v>
      </c>
      <c r="BX20">
        <v>-0.12927914369138799</v>
      </c>
      <c r="BY20" t="str">
        <f>SUBSTITUTE(TRIM(MID(SUBSTITUTE(SUBSTITUTE(SUBSTITUTE(Tabla1[[#This Row],[map]],"[",""),"]",""),",",REPT(" ",100)),300,300))," ",", ")</f>
        <v>4, 2, 3</v>
      </c>
      <c r="BZ20" t="str">
        <f>SUBSTITUTE(TRIM(MID(SUBSTITUTE(SUBSTITUTE(SUBSTITUTE(Tabla1[[#This Row],[map]],"[",""),"]",""),",",REPT(" ",100)),901,300))," ",", ")</f>
        <v>0, 1, 4</v>
      </c>
    </row>
    <row r="21" spans="1:78" x14ac:dyDescent="0.3">
      <c r="A21" s="1">
        <v>46091.073807870373</v>
      </c>
      <c r="B21" t="s">
        <v>119</v>
      </c>
      <c r="C21">
        <v>4</v>
      </c>
      <c r="D21" t="s">
        <v>77</v>
      </c>
      <c r="E21" t="s">
        <v>78</v>
      </c>
      <c r="F21">
        <v>16590</v>
      </c>
      <c r="G21">
        <v>4.5</v>
      </c>
      <c r="H21" t="s">
        <v>79</v>
      </c>
      <c r="I21" t="s">
        <v>80</v>
      </c>
      <c r="J21">
        <v>5</v>
      </c>
      <c r="K21">
        <v>5</v>
      </c>
      <c r="L21" t="s">
        <v>81</v>
      </c>
      <c r="M21" t="s">
        <v>82</v>
      </c>
      <c r="N21" t="s">
        <v>83</v>
      </c>
      <c r="O21" t="s">
        <v>83</v>
      </c>
      <c r="P21" t="s">
        <v>84</v>
      </c>
      <c r="Q21" t="s">
        <v>102</v>
      </c>
      <c r="R21">
        <v>2</v>
      </c>
      <c r="S21" t="s">
        <v>86</v>
      </c>
      <c r="T21" t="s">
        <v>87</v>
      </c>
      <c r="U21" t="s">
        <v>88</v>
      </c>
      <c r="V21">
        <v>1</v>
      </c>
      <c r="W21" t="s">
        <v>103</v>
      </c>
      <c r="X21" t="s">
        <v>83</v>
      </c>
      <c r="Y21" t="s">
        <v>90</v>
      </c>
      <c r="Z21">
        <v>4000</v>
      </c>
      <c r="AA21">
        <v>4000</v>
      </c>
      <c r="AC21">
        <v>256</v>
      </c>
      <c r="AD21" t="s">
        <v>91</v>
      </c>
      <c r="AE21">
        <v>0.15</v>
      </c>
      <c r="AF21" t="s">
        <v>92</v>
      </c>
      <c r="AG21">
        <v>160</v>
      </c>
      <c r="AH21">
        <v>40</v>
      </c>
      <c r="AI21">
        <v>120</v>
      </c>
      <c r="AJ21">
        <v>0.1410887851192362</v>
      </c>
      <c r="AK21">
        <v>23.991678269102479</v>
      </c>
      <c r="AL21">
        <v>0.62305637154982718</v>
      </c>
      <c r="AM21">
        <v>-0.2189597407755797</v>
      </c>
      <c r="AN21">
        <v>29.438985708548891</v>
      </c>
      <c r="AO21">
        <v>0.5757233861886214</v>
      </c>
      <c r="AP21">
        <v>29.438985708548891</v>
      </c>
      <c r="AQ21">
        <v>29.438985708548891</v>
      </c>
      <c r="AR21">
        <v>0.5757233861886214</v>
      </c>
      <c r="AS21">
        <v>122.1261220113274</v>
      </c>
      <c r="AT21">
        <v>-0.21476725645508149</v>
      </c>
      <c r="AU21">
        <v>0.8</v>
      </c>
      <c r="AV21" t="s">
        <v>93</v>
      </c>
      <c r="AW21">
        <v>0.1054177052730631</v>
      </c>
      <c r="AX21">
        <v>0.2345311589957112</v>
      </c>
      <c r="AY21">
        <v>0.1054177052730631</v>
      </c>
      <c r="AZ21">
        <v>0.1054177052730631</v>
      </c>
      <c r="BA21">
        <v>0.2345311589957112</v>
      </c>
      <c r="BB21">
        <v>0.242086662082974</v>
      </c>
      <c r="BC21">
        <v>-0.75786217473851969</v>
      </c>
      <c r="BD21">
        <v>9.7721017633182305E-2</v>
      </c>
      <c r="BE21">
        <v>0.66141754535246955</v>
      </c>
      <c r="BF21">
        <v>9.7721017633182305E-2</v>
      </c>
      <c r="BG21">
        <v>9.7721017633182305E-2</v>
      </c>
      <c r="BH21">
        <v>0.66141754535246955</v>
      </c>
      <c r="BI21">
        <v>0.13106696533127371</v>
      </c>
      <c r="BJ21">
        <v>0.54588095867314512</v>
      </c>
      <c r="BK21">
        <v>6.4429118956519996E-2</v>
      </c>
      <c r="BL21">
        <v>0.74133746644262544</v>
      </c>
      <c r="BM21">
        <v>6.4429118956519996E-2</v>
      </c>
      <c r="BN21">
        <v>6.4429118956519996E-2</v>
      </c>
      <c r="BO21">
        <v>0.74133746644262544</v>
      </c>
      <c r="BP21">
        <v>0.31351717948382929</v>
      </c>
      <c r="BQ21">
        <v>-0.25867230954650378</v>
      </c>
      <c r="BR21">
        <v>117.488374992332</v>
      </c>
      <c r="BS21">
        <v>0.66560737396368597</v>
      </c>
      <c r="BT21">
        <v>117.488374992332</v>
      </c>
      <c r="BU21">
        <v>117.488374992332</v>
      </c>
      <c r="BV21">
        <v>0.66560737396368597</v>
      </c>
      <c r="BW21">
        <v>487.81781723841277</v>
      </c>
      <c r="BX21">
        <v>-0.38841550020844062</v>
      </c>
      <c r="BY21" t="str">
        <f>SUBSTITUTE(TRIM(MID(SUBSTITUTE(SUBSTITUTE(SUBSTITUTE(Tabla1[[#This Row],[map]],"[",""),"]",""),",",REPT(" ",100)),300,300))," ",", ")</f>
        <v>4, 2, 3</v>
      </c>
      <c r="BZ21" t="str">
        <f>SUBSTITUTE(TRIM(MID(SUBSTITUTE(SUBSTITUTE(SUBSTITUTE(Tabla1[[#This Row],[map]],"[",""),"]",""),",",REPT(" ",100)),901,300))," ",", ")</f>
        <v>4, 0, 1</v>
      </c>
    </row>
    <row r="22" spans="1:78" x14ac:dyDescent="0.3">
      <c r="A22" s="1">
        <v>46091.162731481483</v>
      </c>
      <c r="B22" t="s">
        <v>120</v>
      </c>
      <c r="C22">
        <v>5</v>
      </c>
      <c r="D22" t="s">
        <v>95</v>
      </c>
      <c r="E22" t="s">
        <v>78</v>
      </c>
      <c r="F22">
        <v>16590</v>
      </c>
      <c r="G22">
        <v>4.5</v>
      </c>
      <c r="H22" t="s">
        <v>79</v>
      </c>
      <c r="I22" t="s">
        <v>80</v>
      </c>
      <c r="J22">
        <v>5</v>
      </c>
      <c r="K22">
        <v>5</v>
      </c>
      <c r="L22" t="s">
        <v>81</v>
      </c>
      <c r="M22" t="s">
        <v>82</v>
      </c>
      <c r="N22" t="s">
        <v>83</v>
      </c>
      <c r="O22" t="s">
        <v>83</v>
      </c>
      <c r="P22" t="s">
        <v>84</v>
      </c>
      <c r="Q22" t="s">
        <v>85</v>
      </c>
      <c r="R22">
        <v>2</v>
      </c>
      <c r="S22" t="s">
        <v>86</v>
      </c>
      <c r="T22" t="s">
        <v>87</v>
      </c>
      <c r="U22" t="s">
        <v>88</v>
      </c>
      <c r="V22">
        <v>1</v>
      </c>
      <c r="W22" t="s">
        <v>89</v>
      </c>
      <c r="X22" t="s">
        <v>83</v>
      </c>
      <c r="Y22" t="s">
        <v>90</v>
      </c>
      <c r="Z22">
        <v>4000</v>
      </c>
      <c r="AA22">
        <v>4000</v>
      </c>
      <c r="AC22">
        <v>256</v>
      </c>
      <c r="AD22" t="s">
        <v>91</v>
      </c>
      <c r="AE22">
        <v>0.15</v>
      </c>
      <c r="AF22" t="s">
        <v>92</v>
      </c>
      <c r="AG22">
        <v>160</v>
      </c>
      <c r="AH22">
        <v>40</v>
      </c>
      <c r="AI22">
        <v>120</v>
      </c>
      <c r="AJ22">
        <v>0.1224286319582818</v>
      </c>
      <c r="AK22">
        <v>26.352675661385749</v>
      </c>
      <c r="AL22">
        <v>0.70911095808807434</v>
      </c>
      <c r="AM22">
        <v>-0.51077278899995626</v>
      </c>
      <c r="AN22">
        <v>30.081703153231189</v>
      </c>
      <c r="AO22">
        <v>0.7041161703292852</v>
      </c>
      <c r="AP22">
        <v>30.081703153231189</v>
      </c>
      <c r="AQ22">
        <v>30.081703153231189</v>
      </c>
      <c r="AR22">
        <v>0.7041161703292852</v>
      </c>
      <c r="AS22">
        <v>125.236867284148</v>
      </c>
      <c r="AT22">
        <v>-0.31730566586884779</v>
      </c>
      <c r="AU22">
        <v>0.8</v>
      </c>
      <c r="AV22" t="s">
        <v>93</v>
      </c>
      <c r="AW22">
        <v>5.1674667026343407E-2</v>
      </c>
      <c r="AX22">
        <v>0.62477510418693372</v>
      </c>
      <c r="AY22">
        <v>5.1674667026343407E-2</v>
      </c>
      <c r="AZ22">
        <v>5.1674667026343407E-2</v>
      </c>
      <c r="BA22">
        <v>0.62477510418693372</v>
      </c>
      <c r="BB22">
        <v>0.19902567872011209</v>
      </c>
      <c r="BC22">
        <v>-0.44518375945814598</v>
      </c>
      <c r="BD22">
        <v>6.7401799283623484E-2</v>
      </c>
      <c r="BE22">
        <v>0.766467161294069</v>
      </c>
      <c r="BF22">
        <v>6.7401799283623484E-2</v>
      </c>
      <c r="BG22">
        <v>6.7401799283623484E-2</v>
      </c>
      <c r="BH22">
        <v>0.766467161294069</v>
      </c>
      <c r="BI22">
        <v>0.29812555805438179</v>
      </c>
      <c r="BJ22">
        <v>-3.2941384402264802E-2</v>
      </c>
      <c r="BK22">
        <v>5.7989680701020917E-2</v>
      </c>
      <c r="BL22">
        <v>0.76718977423186785</v>
      </c>
      <c r="BM22">
        <v>5.7989680701020917E-2</v>
      </c>
      <c r="BN22">
        <v>5.7989680701020917E-2</v>
      </c>
      <c r="BO22">
        <v>0.76718977423186785</v>
      </c>
      <c r="BP22">
        <v>0.340673740708482</v>
      </c>
      <c r="BQ22">
        <v>-0.36769731319143978</v>
      </c>
      <c r="BR22">
        <v>120.14974646591349</v>
      </c>
      <c r="BS22">
        <v>0.65803264160427488</v>
      </c>
      <c r="BT22">
        <v>120.14974646591349</v>
      </c>
      <c r="BU22">
        <v>120.14974646591349</v>
      </c>
      <c r="BV22">
        <v>0.65803264160427488</v>
      </c>
      <c r="BW22">
        <v>500.10964415910831</v>
      </c>
      <c r="BX22">
        <v>-0.42340020642353232</v>
      </c>
      <c r="BY22" t="str">
        <f>SUBSTITUTE(TRIM(MID(SUBSTITUTE(SUBSTITUTE(SUBSTITUTE(Tabla1[[#This Row],[map]],"[",""),"]",""),",",REPT(" ",100)),300,300))," ",", ")</f>
        <v>2, 3, 4</v>
      </c>
      <c r="BZ22" t="str">
        <f>SUBSTITUTE(TRIM(MID(SUBSTITUTE(SUBSTITUTE(SUBSTITUTE(Tabla1[[#This Row],[map]],"[",""),"]",""),",",REPT(" ",100)),901,300))," ",", ")</f>
        <v>4, 0, 1</v>
      </c>
    </row>
    <row r="23" spans="1:78" x14ac:dyDescent="0.3">
      <c r="A23" s="1">
        <v>46091.164965277778</v>
      </c>
      <c r="B23" t="s">
        <v>121</v>
      </c>
      <c r="C23">
        <v>5</v>
      </c>
      <c r="D23" t="s">
        <v>77</v>
      </c>
      <c r="E23" t="s">
        <v>78</v>
      </c>
      <c r="F23">
        <v>16590</v>
      </c>
      <c r="G23">
        <v>4.5</v>
      </c>
      <c r="H23" t="s">
        <v>79</v>
      </c>
      <c r="I23" t="s">
        <v>80</v>
      </c>
      <c r="J23">
        <v>5</v>
      </c>
      <c r="K23">
        <v>5</v>
      </c>
      <c r="L23" t="s">
        <v>81</v>
      </c>
      <c r="M23" t="s">
        <v>82</v>
      </c>
      <c r="N23" t="s">
        <v>83</v>
      </c>
      <c r="O23" t="s">
        <v>83</v>
      </c>
      <c r="P23" t="s">
        <v>84</v>
      </c>
      <c r="Q23" t="s">
        <v>99</v>
      </c>
      <c r="R23">
        <v>2</v>
      </c>
      <c r="S23" t="s">
        <v>86</v>
      </c>
      <c r="T23" t="s">
        <v>87</v>
      </c>
      <c r="U23" t="s">
        <v>88</v>
      </c>
      <c r="V23">
        <v>1</v>
      </c>
      <c r="W23" t="s">
        <v>100</v>
      </c>
      <c r="X23" t="s">
        <v>83</v>
      </c>
      <c r="Y23" t="s">
        <v>90</v>
      </c>
      <c r="Z23">
        <v>4000</v>
      </c>
      <c r="AA23">
        <v>4000</v>
      </c>
      <c r="AC23">
        <v>256</v>
      </c>
      <c r="AD23" t="s">
        <v>91</v>
      </c>
      <c r="AE23">
        <v>0.15</v>
      </c>
      <c r="AF23" t="s">
        <v>92</v>
      </c>
      <c r="AG23">
        <v>160</v>
      </c>
      <c r="AH23">
        <v>40</v>
      </c>
      <c r="AI23">
        <v>120</v>
      </c>
      <c r="AJ23">
        <v>0.1462908783622818</v>
      </c>
      <c r="AK23">
        <v>23.548709335515881</v>
      </c>
      <c r="AL23">
        <v>0.58229323770293395</v>
      </c>
      <c r="AM23">
        <v>0.17450810485703391</v>
      </c>
      <c r="AN23">
        <v>35.479147801626837</v>
      </c>
      <c r="AO23">
        <v>0.53436240276165736</v>
      </c>
      <c r="AP23">
        <v>35.479147801626837</v>
      </c>
      <c r="AQ23">
        <v>35.479147801626837</v>
      </c>
      <c r="AR23">
        <v>0.53436240276165736</v>
      </c>
      <c r="AS23">
        <v>117.14286419172571</v>
      </c>
      <c r="AT23">
        <v>0.1585450780099123</v>
      </c>
      <c r="AU23">
        <v>0.8</v>
      </c>
      <c r="AV23" t="s">
        <v>93</v>
      </c>
      <c r="AW23">
        <v>9.2037810062852346E-2</v>
      </c>
      <c r="AX23">
        <v>0.33168649787156068</v>
      </c>
      <c r="AY23">
        <v>9.2037810062852346E-2</v>
      </c>
      <c r="AZ23">
        <v>9.2037810062852346E-2</v>
      </c>
      <c r="BA23">
        <v>0.33168649787156068</v>
      </c>
      <c r="BB23">
        <v>0.15725032065868599</v>
      </c>
      <c r="BC23">
        <v>-0.14184064612640351</v>
      </c>
      <c r="BD23">
        <v>0.10935424722579661</v>
      </c>
      <c r="BE23">
        <v>0.6211108894626296</v>
      </c>
      <c r="BF23">
        <v>0.10935424722579661</v>
      </c>
      <c r="BG23">
        <v>0.10935424722579661</v>
      </c>
      <c r="BH23">
        <v>0.6211108894626296</v>
      </c>
      <c r="BI23">
        <v>8.5381409183416024E-2</v>
      </c>
      <c r="BJ23">
        <v>0.70417165311252417</v>
      </c>
      <c r="BK23">
        <v>0.10269641673288089</v>
      </c>
      <c r="BL23">
        <v>0.58770636988971603</v>
      </c>
      <c r="BM23">
        <v>0.10269641673288089</v>
      </c>
      <c r="BN23">
        <v>0.10269641673288089</v>
      </c>
      <c r="BO23">
        <v>0.58770636988971603</v>
      </c>
      <c r="BP23">
        <v>0.14836201586404291</v>
      </c>
      <c r="BQ23">
        <v>0.40437343349409149</v>
      </c>
      <c r="BR23">
        <v>141.61250273248609</v>
      </c>
      <c r="BS23">
        <v>0.59694585382271814</v>
      </c>
      <c r="BT23">
        <v>141.61250273248609</v>
      </c>
      <c r="BU23">
        <v>141.61250273248609</v>
      </c>
      <c r="BV23">
        <v>0.59694585382271814</v>
      </c>
      <c r="BW23">
        <v>468.18046302119728</v>
      </c>
      <c r="BX23">
        <v>-0.33252412844056561</v>
      </c>
      <c r="BY23" t="str">
        <f>SUBSTITUTE(TRIM(MID(SUBSTITUTE(SUBSTITUTE(SUBSTITUTE(Tabla1[[#This Row],[map]],"[",""),"]",""),",",REPT(" ",100)),300,300))," ",", ")</f>
        <v>4, 2, 3</v>
      </c>
      <c r="BZ23" t="str">
        <f>SUBSTITUTE(TRIM(MID(SUBSTITUTE(SUBSTITUTE(SUBSTITUTE(Tabla1[[#This Row],[map]],"[",""),"]",""),",",REPT(" ",100)),901,300))," ",", ")</f>
        <v>0, 1, 4</v>
      </c>
    </row>
    <row r="24" spans="1:78" x14ac:dyDescent="0.3">
      <c r="A24" s="1">
        <v>46091.164930555547</v>
      </c>
      <c r="B24" t="s">
        <v>122</v>
      </c>
      <c r="C24">
        <v>5</v>
      </c>
      <c r="D24" t="s">
        <v>95</v>
      </c>
      <c r="E24" t="s">
        <v>78</v>
      </c>
      <c r="F24">
        <v>16590</v>
      </c>
      <c r="G24">
        <v>4.5</v>
      </c>
      <c r="H24" t="s">
        <v>79</v>
      </c>
      <c r="I24" t="s">
        <v>80</v>
      </c>
      <c r="J24">
        <v>5</v>
      </c>
      <c r="K24">
        <v>5</v>
      </c>
      <c r="L24" t="s">
        <v>81</v>
      </c>
      <c r="M24" t="s">
        <v>82</v>
      </c>
      <c r="N24" t="s">
        <v>83</v>
      </c>
      <c r="O24" t="s">
        <v>83</v>
      </c>
      <c r="P24" t="s">
        <v>84</v>
      </c>
      <c r="Q24" t="s">
        <v>96</v>
      </c>
      <c r="R24">
        <v>2</v>
      </c>
      <c r="S24" t="s">
        <v>86</v>
      </c>
      <c r="T24" t="s">
        <v>87</v>
      </c>
      <c r="U24" t="s">
        <v>88</v>
      </c>
      <c r="V24">
        <v>1</v>
      </c>
      <c r="W24" t="s">
        <v>97</v>
      </c>
      <c r="X24" t="s">
        <v>83</v>
      </c>
      <c r="Y24" t="s">
        <v>90</v>
      </c>
      <c r="Z24">
        <v>4000</v>
      </c>
      <c r="AA24">
        <v>4000</v>
      </c>
      <c r="AC24">
        <v>256</v>
      </c>
      <c r="AD24" t="s">
        <v>91</v>
      </c>
      <c r="AE24">
        <v>0.15</v>
      </c>
      <c r="AF24" t="s">
        <v>92</v>
      </c>
      <c r="AG24">
        <v>160</v>
      </c>
      <c r="AH24">
        <v>40</v>
      </c>
      <c r="AI24">
        <v>120</v>
      </c>
      <c r="AJ24">
        <v>0.12422974942978091</v>
      </c>
      <c r="AK24">
        <v>27.143865524225891</v>
      </c>
      <c r="AL24">
        <v>0.67749200633407614</v>
      </c>
      <c r="AM24">
        <v>-0.26928622474959479</v>
      </c>
      <c r="AN24">
        <v>43.064376532313482</v>
      </c>
      <c r="AO24">
        <v>0.63322371375369402</v>
      </c>
      <c r="AP24">
        <v>43.064376532313482</v>
      </c>
      <c r="AQ24">
        <v>43.064376532313482</v>
      </c>
      <c r="AR24">
        <v>0.63322371375369402</v>
      </c>
      <c r="AS24">
        <v>102.7140297695428</v>
      </c>
      <c r="AT24">
        <v>-0.15060981742802371</v>
      </c>
      <c r="AU24">
        <v>0.8</v>
      </c>
      <c r="AV24" t="s">
        <v>93</v>
      </c>
      <c r="AW24">
        <v>5.2083097503222493E-2</v>
      </c>
      <c r="AX24">
        <v>0.62180937084112031</v>
      </c>
      <c r="AY24">
        <v>5.2083097503222493E-2</v>
      </c>
      <c r="AZ24">
        <v>5.2083097503222493E-2</v>
      </c>
      <c r="BA24">
        <v>0.62180937084112031</v>
      </c>
      <c r="BB24">
        <v>0.15751633406637841</v>
      </c>
      <c r="BC24">
        <v>-0.14377224741055669</v>
      </c>
      <c r="BD24">
        <v>6.9624150756056408E-2</v>
      </c>
      <c r="BE24">
        <v>0.75876718809638521</v>
      </c>
      <c r="BF24">
        <v>6.9624150756056408E-2</v>
      </c>
      <c r="BG24">
        <v>6.9624150756056408E-2</v>
      </c>
      <c r="BH24">
        <v>0.75876718809638521</v>
      </c>
      <c r="BI24">
        <v>0.29849769665502468</v>
      </c>
      <c r="BJ24">
        <v>-3.4230765171381787E-2</v>
      </c>
      <c r="BK24">
        <v>8.9174318333141003E-2</v>
      </c>
      <c r="BL24">
        <v>0.64199331789919056</v>
      </c>
      <c r="BM24">
        <v>8.9174318333141003E-2</v>
      </c>
      <c r="BN24">
        <v>8.9174318333141003E-2</v>
      </c>
      <c r="BO24">
        <v>0.64199331789919056</v>
      </c>
      <c r="BP24">
        <v>0.31316453025616842</v>
      </c>
      <c r="BQ24">
        <v>-0.25725653444106711</v>
      </c>
      <c r="BR24">
        <v>172.04662456266109</v>
      </c>
      <c r="BS24">
        <v>0.51032497817808053</v>
      </c>
      <c r="BT24">
        <v>172.04662456266109</v>
      </c>
      <c r="BU24">
        <v>172.04662456266109</v>
      </c>
      <c r="BV24">
        <v>0.51032497817808053</v>
      </c>
      <c r="BW24">
        <v>410.08694051719488</v>
      </c>
      <c r="BX24">
        <v>-0.16717972268909501</v>
      </c>
      <c r="BY24" t="str">
        <f>SUBSTITUTE(TRIM(MID(SUBSTITUTE(SUBSTITUTE(SUBSTITUTE(Tabla1[[#This Row],[map]],"[",""),"]",""),",",REPT(" ",100)),300,300))," ",", ")</f>
        <v>2, 3, 4</v>
      </c>
      <c r="BZ24" t="str">
        <f>SUBSTITUTE(TRIM(MID(SUBSTITUTE(SUBSTITUTE(SUBSTITUTE(Tabla1[[#This Row],[map]],"[",""),"]",""),",",REPT(" ",100)),901,300))," ",", ")</f>
        <v>0, 1, 4</v>
      </c>
    </row>
    <row r="25" spans="1:78" x14ac:dyDescent="0.3">
      <c r="A25" s="1">
        <v>46091.170590277783</v>
      </c>
      <c r="B25" t="s">
        <v>123</v>
      </c>
      <c r="C25">
        <v>5</v>
      </c>
      <c r="D25" t="s">
        <v>95</v>
      </c>
      <c r="E25" t="s">
        <v>78</v>
      </c>
      <c r="F25">
        <v>16590</v>
      </c>
      <c r="G25">
        <v>4.5</v>
      </c>
      <c r="H25" t="s">
        <v>79</v>
      </c>
      <c r="I25" t="s">
        <v>80</v>
      </c>
      <c r="J25">
        <v>5</v>
      </c>
      <c r="K25">
        <v>5</v>
      </c>
      <c r="L25" t="s">
        <v>81</v>
      </c>
      <c r="M25" t="s">
        <v>82</v>
      </c>
      <c r="N25" t="s">
        <v>83</v>
      </c>
      <c r="O25" t="s">
        <v>83</v>
      </c>
      <c r="P25" t="s">
        <v>84</v>
      </c>
      <c r="Q25" t="s">
        <v>102</v>
      </c>
      <c r="R25">
        <v>2</v>
      </c>
      <c r="S25" t="s">
        <v>86</v>
      </c>
      <c r="T25" t="s">
        <v>87</v>
      </c>
      <c r="U25" t="s">
        <v>88</v>
      </c>
      <c r="V25">
        <v>1</v>
      </c>
      <c r="W25" t="s">
        <v>103</v>
      </c>
      <c r="X25" t="s">
        <v>83</v>
      </c>
      <c r="Y25" t="s">
        <v>90</v>
      </c>
      <c r="Z25">
        <v>4000</v>
      </c>
      <c r="AA25">
        <v>4000</v>
      </c>
      <c r="AC25">
        <v>256</v>
      </c>
      <c r="AD25" t="s">
        <v>91</v>
      </c>
      <c r="AE25">
        <v>0.15</v>
      </c>
      <c r="AF25" t="s">
        <v>92</v>
      </c>
      <c r="AG25">
        <v>160</v>
      </c>
      <c r="AH25">
        <v>40</v>
      </c>
      <c r="AI25">
        <v>120</v>
      </c>
      <c r="AJ25">
        <v>0.12847192303332231</v>
      </c>
      <c r="AK25">
        <v>27.66231246681641</v>
      </c>
      <c r="AL25">
        <v>0.65596355318777566</v>
      </c>
      <c r="AM25">
        <v>-3.7732895592560101E-2</v>
      </c>
      <c r="AN25">
        <v>31.652900972980909</v>
      </c>
      <c r="AO25">
        <v>0.64076216950898157</v>
      </c>
      <c r="AP25">
        <v>31.652900972980909</v>
      </c>
      <c r="AQ25">
        <v>31.652900972980909</v>
      </c>
      <c r="AR25">
        <v>0.64076216950898157</v>
      </c>
      <c r="AS25">
        <v>144.2558920200735</v>
      </c>
      <c r="AT25">
        <v>-8.4659576234222822E-2</v>
      </c>
      <c r="AU25">
        <v>0.8</v>
      </c>
      <c r="AV25" t="s">
        <v>93</v>
      </c>
      <c r="AW25">
        <v>7.1333043246173775E-2</v>
      </c>
      <c r="AX25">
        <v>0.48202987536563308</v>
      </c>
      <c r="AY25">
        <v>7.1333043246173775E-2</v>
      </c>
      <c r="AZ25">
        <v>7.1333043246173775E-2</v>
      </c>
      <c r="BA25">
        <v>0.48202987536563308</v>
      </c>
      <c r="BB25">
        <v>0.1138876097573592</v>
      </c>
      <c r="BC25">
        <v>0.17302870120442171</v>
      </c>
      <c r="BD25">
        <v>9.0089419409379229E-2</v>
      </c>
      <c r="BE25">
        <v>0.68785940322585271</v>
      </c>
      <c r="BF25">
        <v>9.0089419409379229E-2</v>
      </c>
      <c r="BG25">
        <v>9.0089419409379229E-2</v>
      </c>
      <c r="BH25">
        <v>0.68785940322585271</v>
      </c>
      <c r="BI25">
        <v>0.15248132100580561</v>
      </c>
      <c r="BJ25">
        <v>0.47168478998203778</v>
      </c>
      <c r="BK25">
        <v>6.1553114320538567E-2</v>
      </c>
      <c r="BL25">
        <v>0.75288371537034615</v>
      </c>
      <c r="BM25">
        <v>6.1553114320538567E-2</v>
      </c>
      <c r="BN25">
        <v>6.1553114320538567E-2</v>
      </c>
      <c r="BO25">
        <v>0.75288371537034615</v>
      </c>
      <c r="BP25">
        <v>0.33445998984192871</v>
      </c>
      <c r="BQ25">
        <v>-0.34275106888346341</v>
      </c>
      <c r="BR25">
        <v>126.3886283149469</v>
      </c>
      <c r="BS25">
        <v>0.64027568407409596</v>
      </c>
      <c r="BT25">
        <v>126.3886283149469</v>
      </c>
      <c r="BU25">
        <v>126.3886283149469</v>
      </c>
      <c r="BV25">
        <v>0.64027568407409596</v>
      </c>
      <c r="BW25">
        <v>576.42273915968906</v>
      </c>
      <c r="BX25">
        <v>-0.64060072723989725</v>
      </c>
      <c r="BY25" t="str">
        <f>SUBSTITUTE(TRIM(MID(SUBSTITUTE(SUBSTITUTE(SUBSTITUTE(Tabla1[[#This Row],[map]],"[",""),"]",""),",",REPT(" ",100)),300,300))," ",", ")</f>
        <v>4, 2, 3</v>
      </c>
      <c r="BZ25" t="str">
        <f>SUBSTITUTE(TRIM(MID(SUBSTITUTE(SUBSTITUTE(SUBSTITUTE(Tabla1[[#This Row],[map]],"[",""),"]",""),",",REPT(" ",100)),901,300))," ",", ")</f>
        <v>4, 0, 1</v>
      </c>
    </row>
    <row r="26" spans="1:78" x14ac:dyDescent="0.3">
      <c r="A26" s="1">
        <v>46091.238969907397</v>
      </c>
      <c r="B26" t="s">
        <v>124</v>
      </c>
      <c r="C26">
        <v>6</v>
      </c>
      <c r="D26" t="s">
        <v>77</v>
      </c>
      <c r="E26" t="s">
        <v>78</v>
      </c>
      <c r="F26">
        <v>16590</v>
      </c>
      <c r="G26">
        <v>4.5</v>
      </c>
      <c r="H26" t="s">
        <v>79</v>
      </c>
      <c r="I26" t="s">
        <v>80</v>
      </c>
      <c r="J26">
        <v>5</v>
      </c>
      <c r="K26">
        <v>5</v>
      </c>
      <c r="L26" t="s">
        <v>81</v>
      </c>
      <c r="M26" t="s">
        <v>82</v>
      </c>
      <c r="N26" t="s">
        <v>83</v>
      </c>
      <c r="O26" t="s">
        <v>83</v>
      </c>
      <c r="P26" t="s">
        <v>84</v>
      </c>
      <c r="Q26" t="s">
        <v>99</v>
      </c>
      <c r="R26">
        <v>2</v>
      </c>
      <c r="S26" t="s">
        <v>86</v>
      </c>
      <c r="T26" t="s">
        <v>87</v>
      </c>
      <c r="U26" t="s">
        <v>88</v>
      </c>
      <c r="V26">
        <v>1</v>
      </c>
      <c r="W26" t="s">
        <v>100</v>
      </c>
      <c r="X26" t="s">
        <v>83</v>
      </c>
      <c r="Y26" t="s">
        <v>90</v>
      </c>
      <c r="Z26">
        <v>4000</v>
      </c>
      <c r="AA26">
        <v>4000</v>
      </c>
      <c r="AC26">
        <v>256</v>
      </c>
      <c r="AD26" t="s">
        <v>91</v>
      </c>
      <c r="AE26">
        <v>0.15</v>
      </c>
      <c r="AF26" t="s">
        <v>92</v>
      </c>
      <c r="AG26">
        <v>160</v>
      </c>
      <c r="AH26">
        <v>40</v>
      </c>
      <c r="AI26">
        <v>120</v>
      </c>
      <c r="AJ26">
        <v>0.1475047957053337</v>
      </c>
      <c r="AK26">
        <v>29.34052381277559</v>
      </c>
      <c r="AL26">
        <v>0.53253348026605729</v>
      </c>
      <c r="AM26">
        <v>-0.1678855589309094</v>
      </c>
      <c r="AN26">
        <v>42.630217460641703</v>
      </c>
      <c r="AO26">
        <v>0.48033498700168709</v>
      </c>
      <c r="AP26">
        <v>42.630217460641703</v>
      </c>
      <c r="AQ26">
        <v>42.630217460641703</v>
      </c>
      <c r="AR26">
        <v>0.48033498700168709</v>
      </c>
      <c r="AS26">
        <v>144.7923904320831</v>
      </c>
      <c r="AT26">
        <v>-0.1162465704632543</v>
      </c>
      <c r="AU26">
        <v>0.8</v>
      </c>
      <c r="AV26" t="s">
        <v>93</v>
      </c>
      <c r="AW26">
        <v>0.10249074146379129</v>
      </c>
      <c r="AX26">
        <v>0.25578470069386572</v>
      </c>
      <c r="AY26">
        <v>0.10249074146379129</v>
      </c>
      <c r="AZ26">
        <v>0.10249074146379129</v>
      </c>
      <c r="BA26">
        <v>0.25578470069386572</v>
      </c>
      <c r="BB26">
        <v>0.17588364472731849</v>
      </c>
      <c r="BC26">
        <v>-0.27714267098007911</v>
      </c>
      <c r="BD26">
        <v>9.4840772220395567E-2</v>
      </c>
      <c r="BE26">
        <v>0.67139698053916863</v>
      </c>
      <c r="BF26">
        <v>9.4840772220395567E-2</v>
      </c>
      <c r="BG26">
        <v>9.4840772220395567E-2</v>
      </c>
      <c r="BH26">
        <v>0.67139698053916863</v>
      </c>
      <c r="BI26">
        <v>8.1959414597623931E-2</v>
      </c>
      <c r="BJ26">
        <v>0.71602813347580907</v>
      </c>
      <c r="BK26">
        <v>0.1298833553794829</v>
      </c>
      <c r="BL26">
        <v>0.4785594105040899</v>
      </c>
      <c r="BM26">
        <v>0.1298833553794829</v>
      </c>
      <c r="BN26">
        <v>0.1298833553794829</v>
      </c>
      <c r="BO26">
        <v>0.4785594105040899</v>
      </c>
      <c r="BP26">
        <v>0.31312009418079412</v>
      </c>
      <c r="BQ26">
        <v>-0.25707813765365478</v>
      </c>
      <c r="BR26">
        <v>170.1936549735031</v>
      </c>
      <c r="BS26">
        <v>0.51559885626963142</v>
      </c>
      <c r="BT26">
        <v>170.1936549735031</v>
      </c>
      <c r="BU26">
        <v>170.1936549735031</v>
      </c>
      <c r="BV26">
        <v>0.51559885626963142</v>
      </c>
      <c r="BW26">
        <v>578.59859857482547</v>
      </c>
      <c r="BX26">
        <v>-0.64679360669508412</v>
      </c>
      <c r="BY26" t="str">
        <f>SUBSTITUTE(TRIM(MID(SUBSTITUTE(SUBSTITUTE(SUBSTITUTE(Tabla1[[#This Row],[map]],"[",""),"]",""),",",REPT(" ",100)),300,300))," ",", ")</f>
        <v>4, 2, 3</v>
      </c>
      <c r="BZ26" t="str">
        <f>SUBSTITUTE(TRIM(MID(SUBSTITUTE(SUBSTITUTE(SUBSTITUTE(Tabla1[[#This Row],[map]],"[",""),"]",""),",",REPT(" ",100)),901,300))," ",", ")</f>
        <v>0, 1, 4</v>
      </c>
    </row>
    <row r="27" spans="1:78" x14ac:dyDescent="0.3">
      <c r="A27" s="1">
        <v>46091.238796296297</v>
      </c>
      <c r="B27" t="s">
        <v>125</v>
      </c>
      <c r="C27">
        <v>6</v>
      </c>
      <c r="D27" t="s">
        <v>95</v>
      </c>
      <c r="E27" t="s">
        <v>78</v>
      </c>
      <c r="F27">
        <v>16590</v>
      </c>
      <c r="G27">
        <v>4.5</v>
      </c>
      <c r="H27" t="s">
        <v>79</v>
      </c>
      <c r="I27" t="s">
        <v>80</v>
      </c>
      <c r="J27">
        <v>5</v>
      </c>
      <c r="K27">
        <v>5</v>
      </c>
      <c r="L27" t="s">
        <v>81</v>
      </c>
      <c r="M27" t="s">
        <v>82</v>
      </c>
      <c r="N27" t="s">
        <v>83</v>
      </c>
      <c r="O27" t="s">
        <v>83</v>
      </c>
      <c r="P27" t="s">
        <v>84</v>
      </c>
      <c r="Q27" t="s">
        <v>85</v>
      </c>
      <c r="R27">
        <v>2</v>
      </c>
      <c r="S27" t="s">
        <v>86</v>
      </c>
      <c r="T27" t="s">
        <v>87</v>
      </c>
      <c r="U27" t="s">
        <v>88</v>
      </c>
      <c r="V27">
        <v>1</v>
      </c>
      <c r="W27" t="s">
        <v>89</v>
      </c>
      <c r="X27" t="s">
        <v>83</v>
      </c>
      <c r="Y27" t="s">
        <v>90</v>
      </c>
      <c r="Z27">
        <v>4000</v>
      </c>
      <c r="AA27">
        <v>4000</v>
      </c>
      <c r="AC27">
        <v>256</v>
      </c>
      <c r="AD27" t="s">
        <v>91</v>
      </c>
      <c r="AE27">
        <v>0.15</v>
      </c>
      <c r="AF27" t="s">
        <v>92</v>
      </c>
      <c r="AG27">
        <v>160</v>
      </c>
      <c r="AH27">
        <v>40</v>
      </c>
      <c r="AI27">
        <v>120</v>
      </c>
      <c r="AJ27">
        <v>0.1150127327022344</v>
      </c>
      <c r="AK27">
        <v>34.670842491465848</v>
      </c>
      <c r="AL27">
        <v>0.6914609084933131</v>
      </c>
      <c r="AM27">
        <v>7.7905110565417074E-2</v>
      </c>
      <c r="AN27">
        <v>39.074799004599242</v>
      </c>
      <c r="AO27">
        <v>0.69684938719877454</v>
      </c>
      <c r="AP27">
        <v>39.074799004599242</v>
      </c>
      <c r="AQ27">
        <v>39.074799004599242</v>
      </c>
      <c r="AR27">
        <v>0.69684938719877454</v>
      </c>
      <c r="AS27">
        <v>112.45303517510921</v>
      </c>
      <c r="AT27">
        <v>0.16320565346171451</v>
      </c>
      <c r="AU27">
        <v>0.8</v>
      </c>
      <c r="AV27" t="s">
        <v>93</v>
      </c>
      <c r="AW27">
        <v>5.0185268779787663E-2</v>
      </c>
      <c r="AX27">
        <v>0.63559006118710459</v>
      </c>
      <c r="AY27">
        <v>5.0185268779787663E-2</v>
      </c>
      <c r="AZ27">
        <v>5.0185268779787663E-2</v>
      </c>
      <c r="BA27">
        <v>0.63559006118710459</v>
      </c>
      <c r="BB27">
        <v>0.1422980546645943</v>
      </c>
      <c r="BC27">
        <v>-3.3267862349351862E-2</v>
      </c>
      <c r="BD27">
        <v>6.510793438241276E-2</v>
      </c>
      <c r="BE27">
        <v>0.77441491324848599</v>
      </c>
      <c r="BF27">
        <v>6.510793438241276E-2</v>
      </c>
      <c r="BG27">
        <v>6.510793438241276E-2</v>
      </c>
      <c r="BH27">
        <v>0.77441491324848599</v>
      </c>
      <c r="BI27">
        <v>0.14690278199432821</v>
      </c>
      <c r="BJ27">
        <v>0.49101323618122727</v>
      </c>
      <c r="BK27">
        <v>4.4388763308140691E-2</v>
      </c>
      <c r="BL27">
        <v>0.82179315556820298</v>
      </c>
      <c r="BM27">
        <v>4.4388763308140691E-2</v>
      </c>
      <c r="BN27">
        <v>4.4388763308140691E-2</v>
      </c>
      <c r="BO27">
        <v>0.82179315556820298</v>
      </c>
      <c r="BP27">
        <v>0.13098766551095731</v>
      </c>
      <c r="BQ27">
        <v>0.47412595462161838</v>
      </c>
      <c r="BR27">
        <v>156.1395140519262</v>
      </c>
      <c r="BS27">
        <v>0.55559941879130426</v>
      </c>
      <c r="BT27">
        <v>156.1395140519262</v>
      </c>
      <c r="BU27">
        <v>156.1395140519262</v>
      </c>
      <c r="BV27">
        <v>0.55559941879130426</v>
      </c>
      <c r="BW27">
        <v>449.39195219827081</v>
      </c>
      <c r="BX27">
        <v>-0.27904871460664232</v>
      </c>
      <c r="BY27" t="str">
        <f>SUBSTITUTE(TRIM(MID(SUBSTITUTE(SUBSTITUTE(SUBSTITUTE(Tabla1[[#This Row],[map]],"[",""),"]",""),",",REPT(" ",100)),300,300))," ",", ")</f>
        <v>2, 3, 4</v>
      </c>
      <c r="BZ27" t="str">
        <f>SUBSTITUTE(TRIM(MID(SUBSTITUTE(SUBSTITUTE(SUBSTITUTE(Tabla1[[#This Row],[map]],"[",""),"]",""),",",REPT(" ",100)),901,300))," ",", ")</f>
        <v>4, 0, 1</v>
      </c>
    </row>
    <row r="28" spans="1:78" x14ac:dyDescent="0.3">
      <c r="A28" s="1">
        <v>46091.240995370368</v>
      </c>
      <c r="B28" t="s">
        <v>126</v>
      </c>
      <c r="C28">
        <v>6</v>
      </c>
      <c r="D28" t="s">
        <v>95</v>
      </c>
      <c r="E28" t="s">
        <v>78</v>
      </c>
      <c r="F28">
        <v>16590</v>
      </c>
      <c r="G28">
        <v>4.5</v>
      </c>
      <c r="H28" t="s">
        <v>79</v>
      </c>
      <c r="I28" t="s">
        <v>80</v>
      </c>
      <c r="J28">
        <v>5</v>
      </c>
      <c r="K28">
        <v>5</v>
      </c>
      <c r="L28" t="s">
        <v>81</v>
      </c>
      <c r="M28" t="s">
        <v>82</v>
      </c>
      <c r="N28" t="s">
        <v>83</v>
      </c>
      <c r="O28" t="s">
        <v>83</v>
      </c>
      <c r="P28" t="s">
        <v>84</v>
      </c>
      <c r="Q28" t="s">
        <v>96</v>
      </c>
      <c r="R28">
        <v>2</v>
      </c>
      <c r="S28" t="s">
        <v>86</v>
      </c>
      <c r="T28" t="s">
        <v>87</v>
      </c>
      <c r="U28" t="s">
        <v>88</v>
      </c>
      <c r="V28">
        <v>1</v>
      </c>
      <c r="W28" t="s">
        <v>97</v>
      </c>
      <c r="X28" t="s">
        <v>83</v>
      </c>
      <c r="Y28" t="s">
        <v>90</v>
      </c>
      <c r="Z28">
        <v>4000</v>
      </c>
      <c r="AA28">
        <v>4000</v>
      </c>
      <c r="AC28">
        <v>256</v>
      </c>
      <c r="AD28" t="s">
        <v>91</v>
      </c>
      <c r="AE28">
        <v>0.15</v>
      </c>
      <c r="AF28" t="s">
        <v>92</v>
      </c>
      <c r="AG28">
        <v>160</v>
      </c>
      <c r="AH28">
        <v>40</v>
      </c>
      <c r="AI28">
        <v>120</v>
      </c>
      <c r="AJ28">
        <v>0.13101920056077571</v>
      </c>
      <c r="AK28">
        <v>24.84679267453777</v>
      </c>
      <c r="AL28">
        <v>0.62058161637759879</v>
      </c>
      <c r="AM28">
        <v>0.11649892098202751</v>
      </c>
      <c r="AN28">
        <v>36.503425672555409</v>
      </c>
      <c r="AO28">
        <v>0.60080671485630144</v>
      </c>
      <c r="AP28">
        <v>36.503425672555409</v>
      </c>
      <c r="AQ28">
        <v>36.503425672555409</v>
      </c>
      <c r="AR28">
        <v>0.60080671485630144</v>
      </c>
      <c r="AS28">
        <v>124.6300560384648</v>
      </c>
      <c r="AT28">
        <v>0.1172398622306581</v>
      </c>
      <c r="AU28">
        <v>0.8</v>
      </c>
      <c r="AV28" t="s">
        <v>93</v>
      </c>
      <c r="AW28">
        <v>5.7494616755544577E-2</v>
      </c>
      <c r="AX28">
        <v>0.58251474419925331</v>
      </c>
      <c r="AY28">
        <v>5.7494616755544577E-2</v>
      </c>
      <c r="AZ28">
        <v>5.7494616755544577E-2</v>
      </c>
      <c r="BA28">
        <v>0.58251474419925331</v>
      </c>
      <c r="BB28">
        <v>0.12915781217115441</v>
      </c>
      <c r="BC28">
        <v>6.2147287941714979E-2</v>
      </c>
      <c r="BD28">
        <v>6.8740451197059682E-2</v>
      </c>
      <c r="BE28">
        <v>0.76182901832598005</v>
      </c>
      <c r="BF28">
        <v>6.8740451197059682E-2</v>
      </c>
      <c r="BG28">
        <v>6.8740451197059682E-2</v>
      </c>
      <c r="BH28">
        <v>0.76182901832598005</v>
      </c>
      <c r="BI28">
        <v>0.18045532973152581</v>
      </c>
      <c r="BJ28">
        <v>0.37476082449245179</v>
      </c>
      <c r="BK28">
        <v>0.13108593017475231</v>
      </c>
      <c r="BL28">
        <v>0.47373145307778192</v>
      </c>
      <c r="BM28">
        <v>0.13108593017475231</v>
      </c>
      <c r="BN28">
        <v>0.13108593017475231</v>
      </c>
      <c r="BO28">
        <v>0.47373145307778192</v>
      </c>
      <c r="BP28">
        <v>0.13708268024194509</v>
      </c>
      <c r="BQ28">
        <v>0.44965639834147192</v>
      </c>
      <c r="BR28">
        <v>145.75638169209421</v>
      </c>
      <c r="BS28">
        <v>0.58515164382219309</v>
      </c>
      <c r="BT28">
        <v>145.75638169209421</v>
      </c>
      <c r="BU28">
        <v>145.75638169209421</v>
      </c>
      <c r="BV28">
        <v>0.58515164382219309</v>
      </c>
      <c r="BW28">
        <v>498.07352833171672</v>
      </c>
      <c r="BX28">
        <v>-0.41760506185301582</v>
      </c>
      <c r="BY28" t="str">
        <f>SUBSTITUTE(TRIM(MID(SUBSTITUTE(SUBSTITUTE(SUBSTITUTE(Tabla1[[#This Row],[map]],"[",""),"]",""),",",REPT(" ",100)),300,300))," ",", ")</f>
        <v>2, 3, 4</v>
      </c>
      <c r="BZ28" t="str">
        <f>SUBSTITUTE(TRIM(MID(SUBSTITUTE(SUBSTITUTE(SUBSTITUTE(Tabla1[[#This Row],[map]],"[",""),"]",""),",",REPT(" ",100)),901,300))," ",", ")</f>
        <v>0, 1, 4</v>
      </c>
    </row>
    <row r="29" spans="1:78" x14ac:dyDescent="0.3">
      <c r="A29" s="1">
        <v>46091.247037037043</v>
      </c>
      <c r="B29" t="s">
        <v>127</v>
      </c>
      <c r="C29">
        <v>6</v>
      </c>
      <c r="D29" t="s">
        <v>95</v>
      </c>
      <c r="E29" t="s">
        <v>78</v>
      </c>
      <c r="F29">
        <v>16590</v>
      </c>
      <c r="G29">
        <v>4.5</v>
      </c>
      <c r="H29" t="s">
        <v>79</v>
      </c>
      <c r="I29" t="s">
        <v>80</v>
      </c>
      <c r="J29">
        <v>5</v>
      </c>
      <c r="K29">
        <v>5</v>
      </c>
      <c r="L29" t="s">
        <v>81</v>
      </c>
      <c r="M29" t="s">
        <v>82</v>
      </c>
      <c r="N29" t="s">
        <v>83</v>
      </c>
      <c r="O29" t="s">
        <v>83</v>
      </c>
      <c r="P29" t="s">
        <v>84</v>
      </c>
      <c r="Q29" t="s">
        <v>102</v>
      </c>
      <c r="R29">
        <v>2</v>
      </c>
      <c r="S29" t="s">
        <v>86</v>
      </c>
      <c r="T29" t="s">
        <v>87</v>
      </c>
      <c r="U29" t="s">
        <v>88</v>
      </c>
      <c r="V29">
        <v>1</v>
      </c>
      <c r="W29" t="s">
        <v>103</v>
      </c>
      <c r="X29" t="s">
        <v>83</v>
      </c>
      <c r="Y29" t="s">
        <v>90</v>
      </c>
      <c r="Z29">
        <v>4000</v>
      </c>
      <c r="AA29">
        <v>4000</v>
      </c>
      <c r="AC29">
        <v>256</v>
      </c>
      <c r="AD29" t="s">
        <v>91</v>
      </c>
      <c r="AE29">
        <v>0.15</v>
      </c>
      <c r="AF29" t="s">
        <v>92</v>
      </c>
      <c r="AG29">
        <v>160</v>
      </c>
      <c r="AH29">
        <v>40</v>
      </c>
      <c r="AI29">
        <v>120</v>
      </c>
      <c r="AJ29">
        <v>0.13013830804498391</v>
      </c>
      <c r="AK29">
        <v>41.691373715679433</v>
      </c>
      <c r="AL29">
        <v>0.56387289494278914</v>
      </c>
      <c r="AM29">
        <v>2.0679064522918039E-2</v>
      </c>
      <c r="AN29">
        <v>45.217757231651817</v>
      </c>
      <c r="AO29">
        <v>0.560753786982503</v>
      </c>
      <c r="AP29">
        <v>45.217757231651817</v>
      </c>
      <c r="AQ29">
        <v>45.217757231651817</v>
      </c>
      <c r="AR29">
        <v>0.560753786982503</v>
      </c>
      <c r="AS29">
        <v>103.2294120477744</v>
      </c>
      <c r="AT29">
        <v>9.7222929566083194E-2</v>
      </c>
      <c r="AU29">
        <v>0.8</v>
      </c>
      <c r="AV29" t="s">
        <v>93</v>
      </c>
      <c r="AW29">
        <v>9.9808137818989048E-2</v>
      </c>
      <c r="AX29">
        <v>0.27526387165041039</v>
      </c>
      <c r="AY29">
        <v>9.9808137818989048E-2</v>
      </c>
      <c r="AZ29">
        <v>9.9808137818989048E-2</v>
      </c>
      <c r="BA29">
        <v>0.27526387165041039</v>
      </c>
      <c r="BB29">
        <v>0.15757507638280191</v>
      </c>
      <c r="BC29">
        <v>-0.14419879257917029</v>
      </c>
      <c r="BD29">
        <v>9.1671464896580887E-2</v>
      </c>
      <c r="BE29">
        <v>0.68237795350915531</v>
      </c>
      <c r="BF29">
        <v>9.1671464896580887E-2</v>
      </c>
      <c r="BG29">
        <v>9.1671464896580887E-2</v>
      </c>
      <c r="BH29">
        <v>0.68237795350915531</v>
      </c>
      <c r="BI29">
        <v>0.23927410985231479</v>
      </c>
      <c r="BJ29">
        <v>0.1709663140072504</v>
      </c>
      <c r="BK29">
        <v>4.9947394090287672E-2</v>
      </c>
      <c r="BL29">
        <v>0.79947701118338765</v>
      </c>
      <c r="BM29">
        <v>4.9947394090287672E-2</v>
      </c>
      <c r="BN29">
        <v>4.9947394090287672E-2</v>
      </c>
      <c r="BO29">
        <v>0.79947701118338765</v>
      </c>
      <c r="BP29">
        <v>0.1156001178156357</v>
      </c>
      <c r="BQ29">
        <v>0.53590209150768775</v>
      </c>
      <c r="BR29">
        <v>180.62960192980199</v>
      </c>
      <c r="BS29">
        <v>0.4858963115870597</v>
      </c>
      <c r="BT29">
        <v>180.62960192980199</v>
      </c>
      <c r="BU29">
        <v>180.62960192980199</v>
      </c>
      <c r="BV29">
        <v>0.4858963115870597</v>
      </c>
      <c r="BW29">
        <v>412.40519888704711</v>
      </c>
      <c r="BX29">
        <v>-0.1737778946714392</v>
      </c>
      <c r="BY29" t="str">
        <f>SUBSTITUTE(TRIM(MID(SUBSTITUTE(SUBSTITUTE(SUBSTITUTE(Tabla1[[#This Row],[map]],"[",""),"]",""),",",REPT(" ",100)),300,300))," ",", ")</f>
        <v>4, 2, 3</v>
      </c>
      <c r="BZ29" t="str">
        <f>SUBSTITUTE(TRIM(MID(SUBSTITUTE(SUBSTITUTE(SUBSTITUTE(Tabla1[[#This Row],[map]],"[",""),"]",""),",",REPT(" ",100)),901,300))," ",", ")</f>
        <v>4, 0, 1</v>
      </c>
    </row>
    <row r="30" spans="1:78" x14ac:dyDescent="0.3">
      <c r="A30" s="1">
        <v>46091.312777777777</v>
      </c>
      <c r="B30" t="s">
        <v>128</v>
      </c>
      <c r="C30">
        <v>7</v>
      </c>
      <c r="D30" t="s">
        <v>95</v>
      </c>
      <c r="E30" t="s">
        <v>78</v>
      </c>
      <c r="F30">
        <v>16590</v>
      </c>
      <c r="G30">
        <v>4.5</v>
      </c>
      <c r="H30" t="s">
        <v>79</v>
      </c>
      <c r="I30" t="s">
        <v>80</v>
      </c>
      <c r="J30">
        <v>5</v>
      </c>
      <c r="K30">
        <v>5</v>
      </c>
      <c r="L30" t="s">
        <v>81</v>
      </c>
      <c r="M30" t="s">
        <v>82</v>
      </c>
      <c r="N30" t="s">
        <v>83</v>
      </c>
      <c r="O30" t="s">
        <v>83</v>
      </c>
      <c r="P30" t="s">
        <v>84</v>
      </c>
      <c r="Q30" t="s">
        <v>99</v>
      </c>
      <c r="R30">
        <v>2</v>
      </c>
      <c r="S30" t="s">
        <v>86</v>
      </c>
      <c r="T30" t="s">
        <v>87</v>
      </c>
      <c r="U30" t="s">
        <v>88</v>
      </c>
      <c r="V30">
        <v>1</v>
      </c>
      <c r="W30" t="s">
        <v>100</v>
      </c>
      <c r="X30" t="s">
        <v>83</v>
      </c>
      <c r="Y30" t="s">
        <v>90</v>
      </c>
      <c r="Z30">
        <v>4000</v>
      </c>
      <c r="AA30">
        <v>4000</v>
      </c>
      <c r="AC30">
        <v>256</v>
      </c>
      <c r="AD30" t="s">
        <v>91</v>
      </c>
      <c r="AE30">
        <v>0.15</v>
      </c>
      <c r="AF30" t="s">
        <v>92</v>
      </c>
      <c r="AG30">
        <v>160</v>
      </c>
      <c r="AH30">
        <v>40</v>
      </c>
      <c r="AI30">
        <v>120</v>
      </c>
      <c r="AJ30">
        <v>0.1201847814636683</v>
      </c>
      <c r="AK30">
        <v>28.101702514303991</v>
      </c>
      <c r="AL30">
        <v>0.63715388565753717</v>
      </c>
      <c r="AM30">
        <v>0.2104660992221323</v>
      </c>
      <c r="AN30">
        <v>38.258744377533503</v>
      </c>
      <c r="AO30">
        <v>0.61038172219901643</v>
      </c>
      <c r="AP30">
        <v>38.258744377533503</v>
      </c>
      <c r="AQ30">
        <v>38.258744377533503</v>
      </c>
      <c r="AR30">
        <v>0.61038172219901643</v>
      </c>
      <c r="AS30">
        <v>114.11701479097231</v>
      </c>
      <c r="AT30">
        <v>0.1743497033189034</v>
      </c>
      <c r="AU30">
        <v>0.8</v>
      </c>
      <c r="AV30" t="s">
        <v>93</v>
      </c>
      <c r="AW30">
        <v>6.9452427332472713E-2</v>
      </c>
      <c r="AX30">
        <v>0.49568557845750089</v>
      </c>
      <c r="AY30">
        <v>6.9452427332472713E-2</v>
      </c>
      <c r="AZ30">
        <v>6.9452427332472713E-2</v>
      </c>
      <c r="BA30">
        <v>0.49568557845750089</v>
      </c>
      <c r="BB30">
        <v>9.3967265747716161E-2</v>
      </c>
      <c r="BC30">
        <v>0.31767615489325229</v>
      </c>
      <c r="BD30">
        <v>9.0971745172874263E-2</v>
      </c>
      <c r="BE30">
        <v>0.68480233290425319</v>
      </c>
      <c r="BF30">
        <v>9.0971745172874263E-2</v>
      </c>
      <c r="BG30">
        <v>9.0971745172874263E-2</v>
      </c>
      <c r="BH30">
        <v>0.68480233290425319</v>
      </c>
      <c r="BI30">
        <v>0.1260550254366701</v>
      </c>
      <c r="BJ30">
        <v>0.56324625994774558</v>
      </c>
      <c r="BK30">
        <v>7.573913286459967E-2</v>
      </c>
      <c r="BL30">
        <v>0.69593133798062845</v>
      </c>
      <c r="BM30">
        <v>7.573913286459967E-2</v>
      </c>
      <c r="BN30">
        <v>7.573913286459967E-2</v>
      </c>
      <c r="BO30">
        <v>0.69593133798062845</v>
      </c>
      <c r="BP30">
        <v>0.22058751297253679</v>
      </c>
      <c r="BQ30">
        <v>0.11441090766580229</v>
      </c>
      <c r="BR30">
        <v>152.79881420476411</v>
      </c>
      <c r="BS30">
        <v>0.56510763945368492</v>
      </c>
      <c r="BT30">
        <v>152.79881420476411</v>
      </c>
      <c r="BU30">
        <v>152.79881420476411</v>
      </c>
      <c r="BV30">
        <v>0.56510763945368492</v>
      </c>
      <c r="BW30">
        <v>456.02744935973209</v>
      </c>
      <c r="BX30">
        <v>-0.29793450923119469</v>
      </c>
      <c r="BY30" t="str">
        <f>SUBSTITUTE(TRIM(MID(SUBSTITUTE(SUBSTITUTE(SUBSTITUTE(Tabla1[[#This Row],[map]],"[",""),"]",""),",",REPT(" ",100)),300,300))," ",", ")</f>
        <v>4, 2, 3</v>
      </c>
      <c r="BZ30" t="str">
        <f>SUBSTITUTE(TRIM(MID(SUBSTITUTE(SUBSTITUTE(SUBSTITUTE(Tabla1[[#This Row],[map]],"[",""),"]",""),",",REPT(" ",100)),901,300))," ",", ")</f>
        <v>0, 1, 4</v>
      </c>
    </row>
    <row r="31" spans="1:78" x14ac:dyDescent="0.3">
      <c r="A31" s="1">
        <v>46091.314039351862</v>
      </c>
      <c r="B31" t="s">
        <v>129</v>
      </c>
      <c r="C31">
        <v>7</v>
      </c>
      <c r="D31" t="s">
        <v>95</v>
      </c>
      <c r="E31" t="s">
        <v>78</v>
      </c>
      <c r="F31">
        <v>16590</v>
      </c>
      <c r="G31">
        <v>4.5</v>
      </c>
      <c r="H31" t="s">
        <v>79</v>
      </c>
      <c r="I31" t="s">
        <v>80</v>
      </c>
      <c r="J31">
        <v>5</v>
      </c>
      <c r="K31">
        <v>5</v>
      </c>
      <c r="L31" t="s">
        <v>81</v>
      </c>
      <c r="M31" t="s">
        <v>82</v>
      </c>
      <c r="N31" t="s">
        <v>83</v>
      </c>
      <c r="O31" t="s">
        <v>83</v>
      </c>
      <c r="P31" t="s">
        <v>84</v>
      </c>
      <c r="Q31" t="s">
        <v>85</v>
      </c>
      <c r="R31">
        <v>2</v>
      </c>
      <c r="S31" t="s">
        <v>86</v>
      </c>
      <c r="T31" t="s">
        <v>87</v>
      </c>
      <c r="U31" t="s">
        <v>88</v>
      </c>
      <c r="V31">
        <v>1</v>
      </c>
      <c r="W31" t="s">
        <v>89</v>
      </c>
      <c r="X31" t="s">
        <v>83</v>
      </c>
      <c r="Y31" t="s">
        <v>90</v>
      </c>
      <c r="Z31">
        <v>4000</v>
      </c>
      <c r="AA31">
        <v>4000</v>
      </c>
      <c r="AC31">
        <v>256</v>
      </c>
      <c r="AD31" t="s">
        <v>91</v>
      </c>
      <c r="AE31">
        <v>0.15</v>
      </c>
      <c r="AF31" t="s">
        <v>92</v>
      </c>
      <c r="AG31">
        <v>160</v>
      </c>
      <c r="AH31">
        <v>40</v>
      </c>
      <c r="AI31">
        <v>120</v>
      </c>
      <c r="AJ31">
        <v>0.1230935343112821</v>
      </c>
      <c r="AK31">
        <v>41.838748116154093</v>
      </c>
      <c r="AL31">
        <v>0.66617130308460726</v>
      </c>
      <c r="AM31">
        <v>0.1077450441815572</v>
      </c>
      <c r="AN31">
        <v>48.646366203532772</v>
      </c>
      <c r="AO31">
        <v>0.65434328508687623</v>
      </c>
      <c r="AP31">
        <v>48.646366203532772</v>
      </c>
      <c r="AQ31">
        <v>48.646366203532772</v>
      </c>
      <c r="AR31">
        <v>0.65434328508687623</v>
      </c>
      <c r="AS31">
        <v>69.177929956717804</v>
      </c>
      <c r="AT31">
        <v>0.22102118063409051</v>
      </c>
      <c r="AU31">
        <v>0.8</v>
      </c>
      <c r="AV31" t="s">
        <v>93</v>
      </c>
      <c r="AW31">
        <v>5.394851311137458E-2</v>
      </c>
      <c r="AX31">
        <v>0.60826404162090286</v>
      </c>
      <c r="AY31">
        <v>5.394851311137458E-2</v>
      </c>
      <c r="AZ31">
        <v>5.394851311137458E-2</v>
      </c>
      <c r="BA31">
        <v>0.60826404162090286</v>
      </c>
      <c r="BB31">
        <v>0.154562917291614</v>
      </c>
      <c r="BC31">
        <v>-0.1223266229803386</v>
      </c>
      <c r="BD31">
        <v>7.1723463373191229E-2</v>
      </c>
      <c r="BE31">
        <v>0.75149351825342314</v>
      </c>
      <c r="BF31">
        <v>7.1723463373191229E-2</v>
      </c>
      <c r="BG31">
        <v>7.1723463373191229E-2</v>
      </c>
      <c r="BH31">
        <v>0.75149351825342314</v>
      </c>
      <c r="BI31">
        <v>0.2010857009722532</v>
      </c>
      <c r="BJ31">
        <v>0.30328099441950512</v>
      </c>
      <c r="BK31">
        <v>4.7090035122764808E-2</v>
      </c>
      <c r="BL31">
        <v>0.81094840364990772</v>
      </c>
      <c r="BM31">
        <v>4.7090035122764808E-2</v>
      </c>
      <c r="BN31">
        <v>4.7090035122764808E-2</v>
      </c>
      <c r="BO31">
        <v>0.81094840364990772</v>
      </c>
      <c r="BP31">
        <v>0.12720145108572611</v>
      </c>
      <c r="BQ31">
        <v>0.48932640795208682</v>
      </c>
      <c r="BR31">
        <v>194.41270280252311</v>
      </c>
      <c r="BS31">
        <v>0.44666717682327223</v>
      </c>
      <c r="BT31">
        <v>194.41270280252311</v>
      </c>
      <c r="BU31">
        <v>194.41270280252311</v>
      </c>
      <c r="BV31">
        <v>0.44666717682327223</v>
      </c>
      <c r="BW31">
        <v>276.22886975752209</v>
      </c>
      <c r="BX31">
        <v>0.2138039431451042</v>
      </c>
      <c r="BY31" t="str">
        <f>SUBSTITUTE(TRIM(MID(SUBSTITUTE(SUBSTITUTE(SUBSTITUTE(Tabla1[[#This Row],[map]],"[",""),"]",""),",",REPT(" ",100)),300,300))," ",", ")</f>
        <v>2, 3, 4</v>
      </c>
      <c r="BZ31" t="str">
        <f>SUBSTITUTE(TRIM(MID(SUBSTITUTE(SUBSTITUTE(SUBSTITUTE(Tabla1[[#This Row],[map]],"[",""),"]",""),",",REPT(" ",100)),901,300))," ",", ")</f>
        <v>4, 0, 1</v>
      </c>
    </row>
    <row r="32" spans="1:78" x14ac:dyDescent="0.3">
      <c r="A32" s="1">
        <v>46091.317083333342</v>
      </c>
      <c r="B32" t="s">
        <v>130</v>
      </c>
      <c r="C32">
        <v>7</v>
      </c>
      <c r="D32" t="s">
        <v>77</v>
      </c>
      <c r="E32" t="s">
        <v>78</v>
      </c>
      <c r="F32">
        <v>16590</v>
      </c>
      <c r="G32">
        <v>4.5</v>
      </c>
      <c r="H32" t="s">
        <v>79</v>
      </c>
      <c r="I32" t="s">
        <v>80</v>
      </c>
      <c r="J32">
        <v>5</v>
      </c>
      <c r="K32">
        <v>5</v>
      </c>
      <c r="L32" t="s">
        <v>81</v>
      </c>
      <c r="M32" t="s">
        <v>82</v>
      </c>
      <c r="N32" t="s">
        <v>83</v>
      </c>
      <c r="O32" t="s">
        <v>83</v>
      </c>
      <c r="P32" t="s">
        <v>84</v>
      </c>
      <c r="Q32" t="s">
        <v>96</v>
      </c>
      <c r="R32">
        <v>2</v>
      </c>
      <c r="S32" t="s">
        <v>86</v>
      </c>
      <c r="T32" t="s">
        <v>87</v>
      </c>
      <c r="U32" t="s">
        <v>88</v>
      </c>
      <c r="V32">
        <v>1</v>
      </c>
      <c r="W32" t="s">
        <v>97</v>
      </c>
      <c r="X32" t="s">
        <v>83</v>
      </c>
      <c r="Y32" t="s">
        <v>90</v>
      </c>
      <c r="Z32">
        <v>4000</v>
      </c>
      <c r="AA32">
        <v>4000</v>
      </c>
      <c r="AC32">
        <v>256</v>
      </c>
      <c r="AD32" t="s">
        <v>91</v>
      </c>
      <c r="AE32">
        <v>0.15</v>
      </c>
      <c r="AF32" t="s">
        <v>92</v>
      </c>
      <c r="AG32">
        <v>160</v>
      </c>
      <c r="AH32">
        <v>40</v>
      </c>
      <c r="AI32">
        <v>120</v>
      </c>
      <c r="AJ32">
        <v>0.11873103006959509</v>
      </c>
      <c r="AK32">
        <v>25.729283118409519</v>
      </c>
      <c r="AL32">
        <v>0.69272459658614438</v>
      </c>
      <c r="AM32">
        <v>-5.3096425457295196E-3</v>
      </c>
      <c r="AN32">
        <v>35.601104348167809</v>
      </c>
      <c r="AO32">
        <v>0.67070983191965294</v>
      </c>
      <c r="AP32">
        <v>35.601104348167809</v>
      </c>
      <c r="AQ32">
        <v>35.601104348167809</v>
      </c>
      <c r="AR32">
        <v>0.67070983191965294</v>
      </c>
      <c r="AS32">
        <v>95.1172738725854</v>
      </c>
      <c r="AT32">
        <v>0.12517243745284501</v>
      </c>
      <c r="AU32">
        <v>0.8</v>
      </c>
      <c r="AV32" t="s">
        <v>93</v>
      </c>
      <c r="AW32">
        <v>5.1068255946372702E-2</v>
      </c>
      <c r="AX32">
        <v>0.62917843269190321</v>
      </c>
      <c r="AY32">
        <v>5.1068255946372702E-2</v>
      </c>
      <c r="AZ32">
        <v>5.1068255946372702E-2</v>
      </c>
      <c r="BA32">
        <v>0.62917843269190321</v>
      </c>
      <c r="BB32">
        <v>0.1075439845948179</v>
      </c>
      <c r="BC32">
        <v>0.2190916219287731</v>
      </c>
      <c r="BD32">
        <v>7.0609173653831306E-2</v>
      </c>
      <c r="BE32">
        <v>0.75535429413876631</v>
      </c>
      <c r="BF32">
        <v>7.0609173653831306E-2</v>
      </c>
      <c r="BG32">
        <v>7.0609173653831306E-2</v>
      </c>
      <c r="BH32">
        <v>0.75535429413876631</v>
      </c>
      <c r="BI32">
        <v>0.24028824720532291</v>
      </c>
      <c r="BJ32">
        <v>0.16745254468057261</v>
      </c>
      <c r="BK32">
        <v>7.3964022235146601E-2</v>
      </c>
      <c r="BL32">
        <v>0.70305784568700913</v>
      </c>
      <c r="BM32">
        <v>7.3964022235146601E-2</v>
      </c>
      <c r="BN32">
        <v>7.3964022235146601E-2</v>
      </c>
      <c r="BO32">
        <v>0.70305784568700913</v>
      </c>
      <c r="BP32">
        <v>0.20039752097485111</v>
      </c>
      <c r="BQ32">
        <v>0.19546733940358291</v>
      </c>
      <c r="BR32">
        <v>142.20877594083589</v>
      </c>
      <c r="BS32">
        <v>0.59524875516092945</v>
      </c>
      <c r="BT32">
        <v>142.20877594083589</v>
      </c>
      <c r="BU32">
        <v>142.20877594083589</v>
      </c>
      <c r="BV32">
        <v>0.59524875516092945</v>
      </c>
      <c r="BW32">
        <v>379.92086573756802</v>
      </c>
      <c r="BX32">
        <v>-8.1321756201554241E-2</v>
      </c>
      <c r="BY32" t="str">
        <f>SUBSTITUTE(TRIM(MID(SUBSTITUTE(SUBSTITUTE(SUBSTITUTE(Tabla1[[#This Row],[map]],"[",""),"]",""),",",REPT(" ",100)),300,300))," ",", ")</f>
        <v>2, 3, 4</v>
      </c>
      <c r="BZ32" t="str">
        <f>SUBSTITUTE(TRIM(MID(SUBSTITUTE(SUBSTITUTE(SUBSTITUTE(Tabla1[[#This Row],[map]],"[",""),"]",""),",",REPT(" ",100)),901,300))," ",", ")</f>
        <v>0, 1, 4</v>
      </c>
    </row>
    <row r="33" spans="1:78" x14ac:dyDescent="0.3">
      <c r="A33" s="1">
        <v>46091.322847222233</v>
      </c>
      <c r="B33" t="s">
        <v>131</v>
      </c>
      <c r="C33">
        <v>7</v>
      </c>
      <c r="D33" t="s">
        <v>95</v>
      </c>
      <c r="E33" t="s">
        <v>78</v>
      </c>
      <c r="F33">
        <v>16590</v>
      </c>
      <c r="G33">
        <v>4.5</v>
      </c>
      <c r="H33" t="s">
        <v>79</v>
      </c>
      <c r="I33" t="s">
        <v>80</v>
      </c>
      <c r="J33">
        <v>5</v>
      </c>
      <c r="K33">
        <v>5</v>
      </c>
      <c r="L33" t="s">
        <v>81</v>
      </c>
      <c r="M33" t="s">
        <v>82</v>
      </c>
      <c r="N33" t="s">
        <v>83</v>
      </c>
      <c r="O33" t="s">
        <v>83</v>
      </c>
      <c r="P33" t="s">
        <v>84</v>
      </c>
      <c r="Q33" t="s">
        <v>102</v>
      </c>
      <c r="R33">
        <v>2</v>
      </c>
      <c r="S33" t="s">
        <v>86</v>
      </c>
      <c r="T33" t="s">
        <v>87</v>
      </c>
      <c r="U33" t="s">
        <v>88</v>
      </c>
      <c r="V33">
        <v>1</v>
      </c>
      <c r="W33" t="s">
        <v>103</v>
      </c>
      <c r="X33" t="s">
        <v>83</v>
      </c>
      <c r="Y33" t="s">
        <v>90</v>
      </c>
      <c r="Z33">
        <v>4000</v>
      </c>
      <c r="AA33">
        <v>4000</v>
      </c>
      <c r="AC33">
        <v>256</v>
      </c>
      <c r="AD33" t="s">
        <v>91</v>
      </c>
      <c r="AE33">
        <v>0.15</v>
      </c>
      <c r="AF33" t="s">
        <v>92</v>
      </c>
      <c r="AG33">
        <v>160</v>
      </c>
      <c r="AH33">
        <v>40</v>
      </c>
      <c r="AI33">
        <v>120</v>
      </c>
      <c r="AJ33">
        <v>0.12472858981274219</v>
      </c>
      <c r="AK33">
        <v>48.397229203824573</v>
      </c>
      <c r="AL33">
        <v>0.61882570519272584</v>
      </c>
      <c r="AM33">
        <v>0.20782154253528051</v>
      </c>
      <c r="AN33">
        <v>54.830848622879707</v>
      </c>
      <c r="AO33">
        <v>0.60377300080901808</v>
      </c>
      <c r="AP33">
        <v>54.830848622879707</v>
      </c>
      <c r="AQ33">
        <v>54.830848622879707</v>
      </c>
      <c r="AR33">
        <v>0.60377300080901808</v>
      </c>
      <c r="AS33">
        <v>87.255649095095606</v>
      </c>
      <c r="AT33">
        <v>0.31371942602825981</v>
      </c>
      <c r="AU33">
        <v>0.8</v>
      </c>
      <c r="AV33" t="s">
        <v>93</v>
      </c>
      <c r="AW33">
        <v>6.2116303665878517E-2</v>
      </c>
      <c r="AX33">
        <v>0.54895532158068872</v>
      </c>
      <c r="AY33">
        <v>6.2116303665878517E-2</v>
      </c>
      <c r="AZ33">
        <v>6.2116303665878517E-2</v>
      </c>
      <c r="BA33">
        <v>0.54895532158068872</v>
      </c>
      <c r="BB33">
        <v>9.708383476912924E-2</v>
      </c>
      <c r="BC33">
        <v>0.29504583420327479</v>
      </c>
      <c r="BD33">
        <v>9.0414270041169434E-2</v>
      </c>
      <c r="BE33">
        <v>0.68673386516895074</v>
      </c>
      <c r="BF33">
        <v>9.0414270041169434E-2</v>
      </c>
      <c r="BG33">
        <v>9.0414270041169434E-2</v>
      </c>
      <c r="BH33">
        <v>0.68673386516895074</v>
      </c>
      <c r="BI33">
        <v>0.14702831078588061</v>
      </c>
      <c r="BJ33">
        <v>0.49057830572918998</v>
      </c>
      <c r="BK33">
        <v>4.905439673788331E-2</v>
      </c>
      <c r="BL33">
        <v>0.80306211309652753</v>
      </c>
      <c r="BM33">
        <v>4.905439673788331E-2</v>
      </c>
      <c r="BN33">
        <v>4.905439673788331E-2</v>
      </c>
      <c r="BO33">
        <v>0.80306211309652753</v>
      </c>
      <c r="BP33">
        <v>0.13411843929783601</v>
      </c>
      <c r="BQ33">
        <v>0.4615568881370129</v>
      </c>
      <c r="BR33">
        <v>219.121809521074</v>
      </c>
      <c r="BS33">
        <v>0.37634070338990439</v>
      </c>
      <c r="BT33">
        <v>219.121809521074</v>
      </c>
      <c r="BU33">
        <v>219.121809521074</v>
      </c>
      <c r="BV33">
        <v>0.37634070338990439</v>
      </c>
      <c r="BW33">
        <v>348.64436579552881</v>
      </c>
      <c r="BX33">
        <v>7.6966760435568382E-3</v>
      </c>
      <c r="BY33" t="str">
        <f>SUBSTITUTE(TRIM(MID(SUBSTITUTE(SUBSTITUTE(SUBSTITUTE(Tabla1[[#This Row],[map]],"[",""),"]",""),",",REPT(" ",100)),300,300))," ",", ")</f>
        <v>4, 2, 3</v>
      </c>
      <c r="BZ33" t="str">
        <f>SUBSTITUTE(TRIM(MID(SUBSTITUTE(SUBSTITUTE(SUBSTITUTE(Tabla1[[#This Row],[map]],"[",""),"]",""),",",REPT(" ",100)),901,300))," ",", ")</f>
        <v>4, 0, 1</v>
      </c>
    </row>
    <row r="34" spans="1:78" x14ac:dyDescent="0.3">
      <c r="A34" s="1">
        <v>46091.386921296304</v>
      </c>
      <c r="B34" t="s">
        <v>132</v>
      </c>
      <c r="C34">
        <v>8</v>
      </c>
      <c r="D34" t="s">
        <v>77</v>
      </c>
      <c r="E34" t="s">
        <v>78</v>
      </c>
      <c r="F34">
        <v>16590</v>
      </c>
      <c r="G34">
        <v>4.5</v>
      </c>
      <c r="H34" t="s">
        <v>79</v>
      </c>
      <c r="I34" t="s">
        <v>80</v>
      </c>
      <c r="J34">
        <v>5</v>
      </c>
      <c r="K34">
        <v>5</v>
      </c>
      <c r="L34" t="s">
        <v>81</v>
      </c>
      <c r="M34" t="s">
        <v>82</v>
      </c>
      <c r="N34" t="s">
        <v>83</v>
      </c>
      <c r="O34" t="s">
        <v>83</v>
      </c>
      <c r="P34" t="s">
        <v>84</v>
      </c>
      <c r="Q34" t="s">
        <v>99</v>
      </c>
      <c r="R34">
        <v>2</v>
      </c>
      <c r="S34" t="s">
        <v>86</v>
      </c>
      <c r="T34" t="s">
        <v>87</v>
      </c>
      <c r="U34" t="s">
        <v>88</v>
      </c>
      <c r="V34">
        <v>1</v>
      </c>
      <c r="W34" t="s">
        <v>100</v>
      </c>
      <c r="X34" t="s">
        <v>83</v>
      </c>
      <c r="Y34" t="s">
        <v>90</v>
      </c>
      <c r="Z34">
        <v>4000</v>
      </c>
      <c r="AA34">
        <v>4000</v>
      </c>
      <c r="AC34">
        <v>256</v>
      </c>
      <c r="AD34" t="s">
        <v>91</v>
      </c>
      <c r="AE34">
        <v>0.15</v>
      </c>
      <c r="AF34" t="s">
        <v>92</v>
      </c>
      <c r="AG34">
        <v>160</v>
      </c>
      <c r="AH34">
        <v>40</v>
      </c>
      <c r="AI34">
        <v>120</v>
      </c>
      <c r="AJ34">
        <v>0.12146746666050449</v>
      </c>
      <c r="AK34">
        <v>21.124423986967589</v>
      </c>
      <c r="AL34">
        <v>0.64244493743369646</v>
      </c>
      <c r="AM34">
        <v>-0.2207235711467683</v>
      </c>
      <c r="AN34">
        <v>31.64838611804149</v>
      </c>
      <c r="AO34">
        <v>0.58604870801238962</v>
      </c>
      <c r="AP34">
        <v>31.64838611804149</v>
      </c>
      <c r="AQ34">
        <v>31.64838611804149</v>
      </c>
      <c r="AR34">
        <v>0.58604870801238962</v>
      </c>
      <c r="AS34">
        <v>158.96075450784471</v>
      </c>
      <c r="AT34">
        <v>-0.18405085732773691</v>
      </c>
      <c r="AU34">
        <v>0.8</v>
      </c>
      <c r="AV34" t="s">
        <v>93</v>
      </c>
      <c r="AW34">
        <v>8.2855012827127178E-2</v>
      </c>
      <c r="AX34">
        <v>0.3983654787789932</v>
      </c>
      <c r="AY34">
        <v>8.2855012827127178E-2</v>
      </c>
      <c r="AZ34">
        <v>8.2855012827127178E-2</v>
      </c>
      <c r="BA34">
        <v>0.3983654787789932</v>
      </c>
      <c r="BB34">
        <v>0.166573415722124</v>
      </c>
      <c r="BC34">
        <v>-0.20953837066230491</v>
      </c>
      <c r="BD34">
        <v>9.1456601249518751E-2</v>
      </c>
      <c r="BE34">
        <v>0.6831224101552158</v>
      </c>
      <c r="BF34">
        <v>9.1456601249518751E-2</v>
      </c>
      <c r="BG34">
        <v>9.1456601249518751E-2</v>
      </c>
      <c r="BH34">
        <v>0.6831224101552158</v>
      </c>
      <c r="BI34">
        <v>0.19093912633065679</v>
      </c>
      <c r="BJ34">
        <v>0.33843670842682139</v>
      </c>
      <c r="BK34">
        <v>9.4091954866403163E-2</v>
      </c>
      <c r="BL34">
        <v>0.62225056267594581</v>
      </c>
      <c r="BM34">
        <v>9.4091954866403163E-2</v>
      </c>
      <c r="BN34">
        <v>9.4091954866403163E-2</v>
      </c>
      <c r="BO34">
        <v>0.62225056267594581</v>
      </c>
      <c r="BP34">
        <v>0.2633202340707762</v>
      </c>
      <c r="BQ34">
        <v>-5.7147451102546487E-2</v>
      </c>
      <c r="BR34">
        <v>126.3251409032225</v>
      </c>
      <c r="BS34">
        <v>0.64045638043940145</v>
      </c>
      <c r="BT34">
        <v>126.3251409032225</v>
      </c>
      <c r="BU34">
        <v>126.3251409032225</v>
      </c>
      <c r="BV34">
        <v>0.64045638043940145</v>
      </c>
      <c r="BW34">
        <v>635.22218525525477</v>
      </c>
      <c r="BX34">
        <v>-0.80795431597291167</v>
      </c>
      <c r="BY34" t="str">
        <f>SUBSTITUTE(TRIM(MID(SUBSTITUTE(SUBSTITUTE(SUBSTITUTE(Tabla1[[#This Row],[map]],"[",""),"]",""),",",REPT(" ",100)),300,300))," ",", ")</f>
        <v>4, 2, 3</v>
      </c>
      <c r="BZ34" t="str">
        <f>SUBSTITUTE(TRIM(MID(SUBSTITUTE(SUBSTITUTE(SUBSTITUTE(Tabla1[[#This Row],[map]],"[",""),"]",""),",",REPT(" ",100)),901,300))," ",", ")</f>
        <v>0, 1, 4</v>
      </c>
    </row>
    <row r="35" spans="1:78" x14ac:dyDescent="0.3">
      <c r="A35" s="1">
        <v>46091.407604166663</v>
      </c>
      <c r="B35" t="s">
        <v>133</v>
      </c>
      <c r="C35">
        <v>8</v>
      </c>
      <c r="D35" t="s">
        <v>77</v>
      </c>
      <c r="E35" t="s">
        <v>78</v>
      </c>
      <c r="F35">
        <v>16590</v>
      </c>
      <c r="G35">
        <v>4.5</v>
      </c>
      <c r="H35" t="s">
        <v>79</v>
      </c>
      <c r="I35" t="s">
        <v>80</v>
      </c>
      <c r="J35">
        <v>5</v>
      </c>
      <c r="K35">
        <v>5</v>
      </c>
      <c r="L35" t="s">
        <v>81</v>
      </c>
      <c r="M35" t="s">
        <v>82</v>
      </c>
      <c r="N35" t="s">
        <v>83</v>
      </c>
      <c r="O35" t="s">
        <v>83</v>
      </c>
      <c r="P35" t="s">
        <v>84</v>
      </c>
      <c r="Q35" t="s">
        <v>85</v>
      </c>
      <c r="R35">
        <v>2</v>
      </c>
      <c r="S35" t="s">
        <v>86</v>
      </c>
      <c r="T35" t="s">
        <v>87</v>
      </c>
      <c r="U35" t="s">
        <v>88</v>
      </c>
      <c r="V35">
        <v>1</v>
      </c>
      <c r="W35" t="s">
        <v>89</v>
      </c>
      <c r="X35" t="s">
        <v>83</v>
      </c>
      <c r="Y35" t="s">
        <v>90</v>
      </c>
      <c r="Z35">
        <v>4000</v>
      </c>
      <c r="AA35">
        <v>4000</v>
      </c>
      <c r="AC35">
        <v>256</v>
      </c>
      <c r="AD35" t="s">
        <v>91</v>
      </c>
      <c r="AE35">
        <v>0.15</v>
      </c>
      <c r="AF35" t="s">
        <v>92</v>
      </c>
      <c r="AG35">
        <v>160</v>
      </c>
      <c r="AH35">
        <v>40</v>
      </c>
      <c r="AI35">
        <v>120</v>
      </c>
      <c r="AJ35">
        <v>0.11466922127405731</v>
      </c>
      <c r="AK35">
        <v>29.273877705291781</v>
      </c>
      <c r="AL35">
        <v>0.64430945494355096</v>
      </c>
      <c r="AM35">
        <v>0.32135834655689771</v>
      </c>
      <c r="AN35">
        <v>33.639978306833378</v>
      </c>
      <c r="AO35">
        <v>0.56793965195976537</v>
      </c>
      <c r="AP35">
        <v>33.639978306833378</v>
      </c>
      <c r="AQ35">
        <v>33.639978306833378</v>
      </c>
      <c r="AR35">
        <v>0.56793965195976537</v>
      </c>
      <c r="AS35">
        <v>94.124338254792576</v>
      </c>
      <c r="AT35">
        <v>0.2261900041217566</v>
      </c>
      <c r="AU35">
        <v>0.8</v>
      </c>
      <c r="AV35" t="s">
        <v>93</v>
      </c>
      <c r="AW35">
        <v>0.11934830971212471</v>
      </c>
      <c r="AX35">
        <v>0.1333769590742063</v>
      </c>
      <c r="AY35">
        <v>0.11934830971212471</v>
      </c>
      <c r="AZ35">
        <v>0.11934830971212471</v>
      </c>
      <c r="BA35">
        <v>0.1333769590742063</v>
      </c>
      <c r="BB35">
        <v>0.12568587876914289</v>
      </c>
      <c r="BC35">
        <v>8.7358013506246057E-2</v>
      </c>
      <c r="BD35">
        <v>8.7622256900944301E-2</v>
      </c>
      <c r="BE35">
        <v>0.69640759437605015</v>
      </c>
      <c r="BF35">
        <v>8.7622256900944301E-2</v>
      </c>
      <c r="BG35">
        <v>8.7622256900944301E-2</v>
      </c>
      <c r="BH35">
        <v>0.69640759437605015</v>
      </c>
      <c r="BI35">
        <v>0.109702481738723</v>
      </c>
      <c r="BJ35">
        <v>0.61990433125196742</v>
      </c>
      <c r="BK35">
        <v>4.3778888391095561E-2</v>
      </c>
      <c r="BL35">
        <v>0.82424161045554123</v>
      </c>
      <c r="BM35">
        <v>4.3778888391095561E-2</v>
      </c>
      <c r="BN35">
        <v>4.3778888391095561E-2</v>
      </c>
      <c r="BO35">
        <v>0.82424161045554123</v>
      </c>
      <c r="BP35">
        <v>0.18235894289130589</v>
      </c>
      <c r="BQ35">
        <v>0.26788652477240837</v>
      </c>
      <c r="BR35">
        <v>134.30916377232981</v>
      </c>
      <c r="BS35">
        <v>0.61773244393326632</v>
      </c>
      <c r="BT35">
        <v>134.30916377232981</v>
      </c>
      <c r="BU35">
        <v>134.30916377232981</v>
      </c>
      <c r="BV35">
        <v>0.61773244393326632</v>
      </c>
      <c r="BW35">
        <v>376.07960571577161</v>
      </c>
      <c r="BX35">
        <v>-7.0388853043598099E-2</v>
      </c>
      <c r="BY35" t="str">
        <f>SUBSTITUTE(TRIM(MID(SUBSTITUTE(SUBSTITUTE(SUBSTITUTE(Tabla1[[#This Row],[map]],"[",""),"]",""),",",REPT(" ",100)),300,300))," ",", ")</f>
        <v>2, 3, 4</v>
      </c>
      <c r="BZ35" t="str">
        <f>SUBSTITUTE(TRIM(MID(SUBSTITUTE(SUBSTITUTE(SUBSTITUTE(Tabla1[[#This Row],[map]],"[",""),"]",""),",",REPT(" ",100)),901,300))," ",", ")</f>
        <v>4, 0, 1</v>
      </c>
    </row>
    <row r="36" spans="1:78" x14ac:dyDescent="0.3">
      <c r="A36" s="1">
        <v>46091.411631944437</v>
      </c>
      <c r="B36" t="s">
        <v>134</v>
      </c>
      <c r="C36">
        <v>8</v>
      </c>
      <c r="D36" t="s">
        <v>77</v>
      </c>
      <c r="E36" t="s">
        <v>78</v>
      </c>
      <c r="F36">
        <v>16590</v>
      </c>
      <c r="G36">
        <v>4.5</v>
      </c>
      <c r="H36" t="s">
        <v>79</v>
      </c>
      <c r="I36" t="s">
        <v>80</v>
      </c>
      <c r="J36">
        <v>5</v>
      </c>
      <c r="K36">
        <v>5</v>
      </c>
      <c r="L36" t="s">
        <v>81</v>
      </c>
      <c r="M36" t="s">
        <v>82</v>
      </c>
      <c r="N36" t="s">
        <v>83</v>
      </c>
      <c r="O36" t="s">
        <v>83</v>
      </c>
      <c r="P36" t="s">
        <v>84</v>
      </c>
      <c r="Q36" t="s">
        <v>96</v>
      </c>
      <c r="R36">
        <v>2</v>
      </c>
      <c r="S36" t="s">
        <v>86</v>
      </c>
      <c r="T36" t="s">
        <v>87</v>
      </c>
      <c r="U36" t="s">
        <v>88</v>
      </c>
      <c r="V36">
        <v>1</v>
      </c>
      <c r="W36" t="s">
        <v>97</v>
      </c>
      <c r="X36" t="s">
        <v>83</v>
      </c>
      <c r="Y36" t="s">
        <v>90</v>
      </c>
      <c r="Z36">
        <v>4000</v>
      </c>
      <c r="AA36">
        <v>4000</v>
      </c>
      <c r="AC36">
        <v>256</v>
      </c>
      <c r="AD36" t="s">
        <v>91</v>
      </c>
      <c r="AE36">
        <v>0.15</v>
      </c>
      <c r="AF36" t="s">
        <v>92</v>
      </c>
      <c r="AG36">
        <v>160</v>
      </c>
      <c r="AH36">
        <v>40</v>
      </c>
      <c r="AI36">
        <v>120</v>
      </c>
      <c r="AJ36">
        <v>0.1210096140575363</v>
      </c>
      <c r="AK36">
        <v>19.321378943120799</v>
      </c>
      <c r="AL36">
        <v>0.69957380809839909</v>
      </c>
      <c r="AM36">
        <v>-0.22717884011366191</v>
      </c>
      <c r="AN36">
        <v>30.098785046974712</v>
      </c>
      <c r="AO36">
        <v>0.66414795741482413</v>
      </c>
      <c r="AP36">
        <v>30.098785046974712</v>
      </c>
      <c r="AQ36">
        <v>30.098785046974712</v>
      </c>
      <c r="AR36">
        <v>0.66414795741482413</v>
      </c>
      <c r="AS36">
        <v>157.61736596965031</v>
      </c>
      <c r="AT36">
        <v>-0.16311368682988581</v>
      </c>
      <c r="AU36">
        <v>0.8</v>
      </c>
      <c r="AV36" t="s">
        <v>93</v>
      </c>
      <c r="AW36">
        <v>4.8358225967362119E-2</v>
      </c>
      <c r="AX36">
        <v>0.64885675429591338</v>
      </c>
      <c r="AY36">
        <v>4.8358225967362119E-2</v>
      </c>
      <c r="AZ36">
        <v>4.8358225967362119E-2</v>
      </c>
      <c r="BA36">
        <v>0.64885675429591338</v>
      </c>
      <c r="BB36">
        <v>0.16035088832408589</v>
      </c>
      <c r="BC36">
        <v>-0.1643547762826354</v>
      </c>
      <c r="BD36">
        <v>7.9792302327110501E-2</v>
      </c>
      <c r="BE36">
        <v>0.72353671463694169</v>
      </c>
      <c r="BF36">
        <v>7.9792302327110501E-2</v>
      </c>
      <c r="BG36">
        <v>7.9792302327110501E-2</v>
      </c>
      <c r="BH36">
        <v>0.72353671463694169</v>
      </c>
      <c r="BI36">
        <v>0.23490378349704211</v>
      </c>
      <c r="BJ36">
        <v>0.1861085614051792</v>
      </c>
      <c r="BK36">
        <v>9.3099629297044836E-2</v>
      </c>
      <c r="BL36">
        <v>0.62623443596245165</v>
      </c>
      <c r="BM36">
        <v>9.3099629297044836E-2</v>
      </c>
      <c r="BN36">
        <v>9.3099629297044836E-2</v>
      </c>
      <c r="BO36">
        <v>0.62623443596245165</v>
      </c>
      <c r="BP36">
        <v>0.21957675479036851</v>
      </c>
      <c r="BQ36">
        <v>0.1184687820624694</v>
      </c>
      <c r="BR36">
        <v>120.1738900303074</v>
      </c>
      <c r="BS36">
        <v>0.65796392476399124</v>
      </c>
      <c r="BT36">
        <v>120.1738900303074</v>
      </c>
      <c r="BU36">
        <v>120.1738900303074</v>
      </c>
      <c r="BV36">
        <v>0.65796392476399124</v>
      </c>
      <c r="BW36">
        <v>629.85463245199094</v>
      </c>
      <c r="BX36">
        <v>-0.79267731450456114</v>
      </c>
      <c r="BY36" t="str">
        <f>SUBSTITUTE(TRIM(MID(SUBSTITUTE(SUBSTITUTE(SUBSTITUTE(Tabla1[[#This Row],[map]],"[",""),"]",""),",",REPT(" ",100)),300,300))," ",", ")</f>
        <v>2, 3, 4</v>
      </c>
      <c r="BZ36" t="str">
        <f>SUBSTITUTE(TRIM(MID(SUBSTITUTE(SUBSTITUTE(SUBSTITUTE(Tabla1[[#This Row],[map]],"[",""),"]",""),",",REPT(" ",100)),901,300))," ",", ")</f>
        <v>0, 1, 4</v>
      </c>
    </row>
    <row r="37" spans="1:78" x14ac:dyDescent="0.3">
      <c r="A37" s="1">
        <v>46091.418009259258</v>
      </c>
      <c r="B37" t="s">
        <v>135</v>
      </c>
      <c r="C37">
        <v>8</v>
      </c>
      <c r="D37" t="s">
        <v>77</v>
      </c>
      <c r="E37" t="s">
        <v>78</v>
      </c>
      <c r="F37">
        <v>16590</v>
      </c>
      <c r="G37">
        <v>4.5</v>
      </c>
      <c r="H37" t="s">
        <v>79</v>
      </c>
      <c r="I37" t="s">
        <v>80</v>
      </c>
      <c r="J37">
        <v>5</v>
      </c>
      <c r="K37">
        <v>5</v>
      </c>
      <c r="L37" t="s">
        <v>81</v>
      </c>
      <c r="M37" t="s">
        <v>82</v>
      </c>
      <c r="N37" t="s">
        <v>83</v>
      </c>
      <c r="O37" t="s">
        <v>83</v>
      </c>
      <c r="P37" t="s">
        <v>84</v>
      </c>
      <c r="Q37" t="s">
        <v>102</v>
      </c>
      <c r="R37">
        <v>2</v>
      </c>
      <c r="S37" t="s">
        <v>86</v>
      </c>
      <c r="T37" t="s">
        <v>87</v>
      </c>
      <c r="U37" t="s">
        <v>88</v>
      </c>
      <c r="V37">
        <v>1</v>
      </c>
      <c r="W37" t="s">
        <v>103</v>
      </c>
      <c r="X37" t="s">
        <v>83</v>
      </c>
      <c r="Y37" t="s">
        <v>90</v>
      </c>
      <c r="Z37">
        <v>4000</v>
      </c>
      <c r="AA37">
        <v>4000</v>
      </c>
      <c r="AC37">
        <v>256</v>
      </c>
      <c r="AD37" t="s">
        <v>91</v>
      </c>
      <c r="AE37">
        <v>0.15</v>
      </c>
      <c r="AF37" t="s">
        <v>92</v>
      </c>
      <c r="AG37">
        <v>160</v>
      </c>
      <c r="AH37">
        <v>40</v>
      </c>
      <c r="AI37">
        <v>120</v>
      </c>
      <c r="AJ37">
        <v>0.1135048197980511</v>
      </c>
      <c r="AK37">
        <v>36.194042248902768</v>
      </c>
      <c r="AL37">
        <v>0.63760421223177199</v>
      </c>
      <c r="AM37">
        <v>0.24791507629414791</v>
      </c>
      <c r="AN37">
        <v>42.856341100186782</v>
      </c>
      <c r="AO37">
        <v>0.5943002691124506</v>
      </c>
      <c r="AP37">
        <v>42.856341100186782</v>
      </c>
      <c r="AQ37">
        <v>42.856341100186782</v>
      </c>
      <c r="AR37">
        <v>0.5943002691124506</v>
      </c>
      <c r="AS37">
        <v>112.2474760322478</v>
      </c>
      <c r="AT37">
        <v>0.20003235617597639</v>
      </c>
      <c r="AU37">
        <v>0.8</v>
      </c>
      <c r="AV37" t="s">
        <v>93</v>
      </c>
      <c r="AW37">
        <v>8.2395559219800532E-2</v>
      </c>
      <c r="AX37">
        <v>0.40170170602264799</v>
      </c>
      <c r="AY37">
        <v>8.2395559219800532E-2</v>
      </c>
      <c r="AZ37">
        <v>8.2395559219800532E-2</v>
      </c>
      <c r="BA37">
        <v>0.40170170602264799</v>
      </c>
      <c r="BB37">
        <v>0.13814211642971169</v>
      </c>
      <c r="BC37">
        <v>-3.0903773082897601E-3</v>
      </c>
      <c r="BD37">
        <v>0.1021016724496079</v>
      </c>
      <c r="BE37">
        <v>0.6462395120426192</v>
      </c>
      <c r="BF37">
        <v>0.1021016724496079</v>
      </c>
      <c r="BG37">
        <v>0.1021016724496079</v>
      </c>
      <c r="BH37">
        <v>0.6462395120426192</v>
      </c>
      <c r="BI37">
        <v>0.1308867444405247</v>
      </c>
      <c r="BJ37">
        <v>0.54650538556765027</v>
      </c>
      <c r="BK37">
        <v>4.5704355267939242E-2</v>
      </c>
      <c r="BL37">
        <v>0.81651146997385471</v>
      </c>
      <c r="BM37">
        <v>4.5704355267939242E-2</v>
      </c>
      <c r="BN37">
        <v>4.5704355267939242E-2</v>
      </c>
      <c r="BO37">
        <v>0.81651146997385471</v>
      </c>
      <c r="BP37">
        <v>0.1161928591709923</v>
      </c>
      <c r="BQ37">
        <v>0.53352242245115056</v>
      </c>
      <c r="BR37">
        <v>171.19516281380999</v>
      </c>
      <c r="BS37">
        <v>0.51274838841067893</v>
      </c>
      <c r="BT37">
        <v>171.19516281380999</v>
      </c>
      <c r="BU37">
        <v>171.19516281380999</v>
      </c>
      <c r="BV37">
        <v>0.51274838841067893</v>
      </c>
      <c r="BW37">
        <v>448.60468240895068</v>
      </c>
      <c r="BX37">
        <v>-0.27680800600660432</v>
      </c>
      <c r="BY37" t="str">
        <f>SUBSTITUTE(TRIM(MID(SUBSTITUTE(SUBSTITUTE(SUBSTITUTE(Tabla1[[#This Row],[map]],"[",""),"]",""),",",REPT(" ",100)),300,300))," ",", ")</f>
        <v>4, 2, 3</v>
      </c>
      <c r="BZ37" t="str">
        <f>SUBSTITUTE(TRIM(MID(SUBSTITUTE(SUBSTITUTE(SUBSTITUTE(Tabla1[[#This Row],[map]],"[",""),"]",""),",",REPT(" ",100)),901,300))," ",", ")</f>
        <v>4, 0, 1</v>
      </c>
    </row>
    <row r="38" spans="1:78" x14ac:dyDescent="0.3">
      <c r="A38" s="1">
        <v>46091.494722222233</v>
      </c>
      <c r="B38" t="s">
        <v>136</v>
      </c>
      <c r="C38">
        <v>9</v>
      </c>
      <c r="D38" t="s">
        <v>95</v>
      </c>
      <c r="E38" t="s">
        <v>78</v>
      </c>
      <c r="F38">
        <v>16590</v>
      </c>
      <c r="G38">
        <v>4.5</v>
      </c>
      <c r="H38" t="s">
        <v>79</v>
      </c>
      <c r="I38" t="s">
        <v>80</v>
      </c>
      <c r="J38">
        <v>5</v>
      </c>
      <c r="K38">
        <v>5</v>
      </c>
      <c r="L38" t="s">
        <v>81</v>
      </c>
      <c r="M38" t="s">
        <v>82</v>
      </c>
      <c r="N38" t="s">
        <v>83</v>
      </c>
      <c r="O38" t="s">
        <v>83</v>
      </c>
      <c r="P38" t="s">
        <v>84</v>
      </c>
      <c r="Q38" t="s">
        <v>99</v>
      </c>
      <c r="R38">
        <v>2</v>
      </c>
      <c r="S38" t="s">
        <v>86</v>
      </c>
      <c r="T38" t="s">
        <v>87</v>
      </c>
      <c r="U38" t="s">
        <v>88</v>
      </c>
      <c r="V38">
        <v>1</v>
      </c>
      <c r="W38" t="s">
        <v>100</v>
      </c>
      <c r="X38" t="s">
        <v>83</v>
      </c>
      <c r="Y38" t="s">
        <v>90</v>
      </c>
      <c r="Z38">
        <v>4000</v>
      </c>
      <c r="AA38">
        <v>4000</v>
      </c>
      <c r="AC38">
        <v>256</v>
      </c>
      <c r="AD38" t="s">
        <v>91</v>
      </c>
      <c r="AE38">
        <v>0.15</v>
      </c>
      <c r="AF38" t="s">
        <v>92</v>
      </c>
      <c r="AG38">
        <v>160</v>
      </c>
      <c r="AH38">
        <v>40</v>
      </c>
      <c r="AI38">
        <v>120</v>
      </c>
      <c r="AJ38">
        <v>0.1115337044370364</v>
      </c>
      <c r="AK38">
        <v>22.86741453529616</v>
      </c>
      <c r="AL38">
        <v>0.67422480896129755</v>
      </c>
      <c r="AM38">
        <v>7.908804815323861E-2</v>
      </c>
      <c r="AN38">
        <v>31.801766022272538</v>
      </c>
      <c r="AO38">
        <v>0.61687802576107975</v>
      </c>
      <c r="AP38">
        <v>31.801766022272538</v>
      </c>
      <c r="AQ38">
        <v>31.801766022272538</v>
      </c>
      <c r="AR38">
        <v>0.61687802576107975</v>
      </c>
      <c r="AS38">
        <v>95.614999099828651</v>
      </c>
      <c r="AT38">
        <v>0.1890591073598398</v>
      </c>
      <c r="AU38">
        <v>0.8</v>
      </c>
      <c r="AV38" t="s">
        <v>93</v>
      </c>
      <c r="AW38">
        <v>7.1463748310349531E-2</v>
      </c>
      <c r="AX38">
        <v>0.48108078760348871</v>
      </c>
      <c r="AY38">
        <v>7.1463748310349531E-2</v>
      </c>
      <c r="AZ38">
        <v>7.1463748310349531E-2</v>
      </c>
      <c r="BA38">
        <v>0.48108078760348871</v>
      </c>
      <c r="BB38">
        <v>0.13673863659365429</v>
      </c>
      <c r="BC38">
        <v>7.1007009427206391E-3</v>
      </c>
      <c r="BD38">
        <v>9.881699176874166E-2</v>
      </c>
      <c r="BE38">
        <v>0.65762022905311601</v>
      </c>
      <c r="BF38">
        <v>9.881699176874166E-2</v>
      </c>
      <c r="BG38">
        <v>9.881699176874166E-2</v>
      </c>
      <c r="BH38">
        <v>0.65762022905311601</v>
      </c>
      <c r="BI38">
        <v>0.16624369450709339</v>
      </c>
      <c r="BJ38">
        <v>0.4240011051954814</v>
      </c>
      <c r="BK38">
        <v>7.7176563736505222E-2</v>
      </c>
      <c r="BL38">
        <v>0.69016050769205051</v>
      </c>
      <c r="BM38">
        <v>7.7176563736505222E-2</v>
      </c>
      <c r="BN38">
        <v>7.7176563736505222E-2</v>
      </c>
      <c r="BO38">
        <v>0.69016050769205051</v>
      </c>
      <c r="BP38">
        <v>0.14636164724216841</v>
      </c>
      <c r="BQ38">
        <v>0.4124042807905125</v>
      </c>
      <c r="BR38">
        <v>126.9596067852747</v>
      </c>
      <c r="BS38">
        <v>0.63865057869566544</v>
      </c>
      <c r="BT38">
        <v>126.9596067852747</v>
      </c>
      <c r="BU38">
        <v>126.9596067852747</v>
      </c>
      <c r="BV38">
        <v>0.63865057869566544</v>
      </c>
      <c r="BW38">
        <v>382.01065242097081</v>
      </c>
      <c r="BX38">
        <v>-8.7269657489357222E-2</v>
      </c>
      <c r="BY38" t="str">
        <f>SUBSTITUTE(TRIM(MID(SUBSTITUTE(SUBSTITUTE(SUBSTITUTE(Tabla1[[#This Row],[map]],"[",""),"]",""),",",REPT(" ",100)),300,300))," ",", ")</f>
        <v>4, 2, 3</v>
      </c>
      <c r="BZ38" t="str">
        <f>SUBSTITUTE(TRIM(MID(SUBSTITUTE(SUBSTITUTE(SUBSTITUTE(Tabla1[[#This Row],[map]],"[",""),"]",""),",",REPT(" ",100)),901,300))," ",", ")</f>
        <v>0, 1, 4</v>
      </c>
    </row>
    <row r="39" spans="1:78" x14ac:dyDescent="0.3">
      <c r="A39" s="1">
        <v>46091.498645833337</v>
      </c>
      <c r="B39" t="s">
        <v>137</v>
      </c>
      <c r="C39">
        <v>9</v>
      </c>
      <c r="D39" t="s">
        <v>77</v>
      </c>
      <c r="E39" t="s">
        <v>78</v>
      </c>
      <c r="F39">
        <v>16590</v>
      </c>
      <c r="G39">
        <v>4.5</v>
      </c>
      <c r="H39" t="s">
        <v>79</v>
      </c>
      <c r="I39" t="s">
        <v>80</v>
      </c>
      <c r="J39">
        <v>5</v>
      </c>
      <c r="K39">
        <v>5</v>
      </c>
      <c r="L39" t="s">
        <v>81</v>
      </c>
      <c r="M39" t="s">
        <v>82</v>
      </c>
      <c r="N39" t="s">
        <v>83</v>
      </c>
      <c r="O39" t="s">
        <v>83</v>
      </c>
      <c r="P39" t="s">
        <v>84</v>
      </c>
      <c r="Q39" t="s">
        <v>85</v>
      </c>
      <c r="R39">
        <v>2</v>
      </c>
      <c r="S39" t="s">
        <v>86</v>
      </c>
      <c r="T39" t="s">
        <v>87</v>
      </c>
      <c r="U39" t="s">
        <v>88</v>
      </c>
      <c r="V39">
        <v>1</v>
      </c>
      <c r="W39" t="s">
        <v>89</v>
      </c>
      <c r="X39" t="s">
        <v>83</v>
      </c>
      <c r="Y39" t="s">
        <v>90</v>
      </c>
      <c r="Z39">
        <v>4000</v>
      </c>
      <c r="AA39">
        <v>4000</v>
      </c>
      <c r="AC39">
        <v>256</v>
      </c>
      <c r="AD39" t="s">
        <v>91</v>
      </c>
      <c r="AE39">
        <v>0.15</v>
      </c>
      <c r="AF39" t="s">
        <v>92</v>
      </c>
      <c r="AG39">
        <v>160</v>
      </c>
      <c r="AH39">
        <v>40</v>
      </c>
      <c r="AI39">
        <v>120</v>
      </c>
      <c r="AJ39">
        <v>0.1036374589218793</v>
      </c>
      <c r="AK39">
        <v>32.132166927444153</v>
      </c>
      <c r="AL39">
        <v>0.70196823551458731</v>
      </c>
      <c r="AM39">
        <v>-1.379030094953998E-2</v>
      </c>
      <c r="AN39">
        <v>39.69828401466021</v>
      </c>
      <c r="AO39">
        <v>0.65006205180967358</v>
      </c>
      <c r="AP39">
        <v>39.69828401466021</v>
      </c>
      <c r="AQ39">
        <v>39.69828401466021</v>
      </c>
      <c r="AR39">
        <v>0.65006205180967358</v>
      </c>
      <c r="AS39">
        <v>95.178407987414104</v>
      </c>
      <c r="AT39">
        <v>0.1143663018240625</v>
      </c>
      <c r="AU39">
        <v>0.8</v>
      </c>
      <c r="AV39" t="s">
        <v>93</v>
      </c>
      <c r="AW39">
        <v>5.9990782806474872E-2</v>
      </c>
      <c r="AX39">
        <v>0.56438935123029732</v>
      </c>
      <c r="AY39">
        <v>5.9990782806474872E-2</v>
      </c>
      <c r="AZ39">
        <v>5.9990782806474872E-2</v>
      </c>
      <c r="BA39">
        <v>0.56438935123029732</v>
      </c>
      <c r="BB39">
        <v>0.16112118410425949</v>
      </c>
      <c r="BC39">
        <v>-0.16994811960719949</v>
      </c>
      <c r="BD39">
        <v>0.10662189155028209</v>
      </c>
      <c r="BE39">
        <v>0.63057791829626808</v>
      </c>
      <c r="BF39">
        <v>0.10662189155028209</v>
      </c>
      <c r="BG39">
        <v>0.10662189155028209</v>
      </c>
      <c r="BH39">
        <v>0.63057791829626808</v>
      </c>
      <c r="BI39">
        <v>0.25660981341693079</v>
      </c>
      <c r="BJ39">
        <v>0.1109018037502825</v>
      </c>
      <c r="BK39">
        <v>3.5704340799265537E-2</v>
      </c>
      <c r="BL39">
        <v>0.85665836504195481</v>
      </c>
      <c r="BM39">
        <v>3.5704340799265537E-2</v>
      </c>
      <c r="BN39">
        <v>3.5704340799265537E-2</v>
      </c>
      <c r="BO39">
        <v>0.85665836504195481</v>
      </c>
      <c r="BP39">
        <v>9.9978950326988419E-2</v>
      </c>
      <c r="BQ39">
        <v>0.59861613796957402</v>
      </c>
      <c r="BR39">
        <v>158.59081904348361</v>
      </c>
      <c r="BS39">
        <v>0.54862257267017678</v>
      </c>
      <c r="BT39">
        <v>158.59081904348361</v>
      </c>
      <c r="BU39">
        <v>158.59081904348361</v>
      </c>
      <c r="BV39">
        <v>0.54862257267017678</v>
      </c>
      <c r="BW39">
        <v>380.19592200180853</v>
      </c>
      <c r="BX39">
        <v>-8.21046148164013E-2</v>
      </c>
      <c r="BY39" t="str">
        <f>SUBSTITUTE(TRIM(MID(SUBSTITUTE(SUBSTITUTE(SUBSTITUTE(Tabla1[[#This Row],[map]],"[",""),"]",""),",",REPT(" ",100)),300,300))," ",", ")</f>
        <v>2, 3, 4</v>
      </c>
      <c r="BZ39" t="str">
        <f>SUBSTITUTE(TRIM(MID(SUBSTITUTE(SUBSTITUTE(SUBSTITUTE(Tabla1[[#This Row],[map]],"[",""),"]",""),",",REPT(" ",100)),901,300))," ",", ")</f>
        <v>4, 0, 1</v>
      </c>
    </row>
    <row r="40" spans="1:78" x14ac:dyDescent="0.3">
      <c r="A40" s="1">
        <v>46091.503437500003</v>
      </c>
      <c r="B40" t="s">
        <v>138</v>
      </c>
      <c r="C40">
        <v>9</v>
      </c>
      <c r="D40" t="s">
        <v>95</v>
      </c>
      <c r="E40" t="s">
        <v>78</v>
      </c>
      <c r="F40">
        <v>16590</v>
      </c>
      <c r="G40">
        <v>4.5</v>
      </c>
      <c r="H40" t="s">
        <v>79</v>
      </c>
      <c r="I40" t="s">
        <v>80</v>
      </c>
      <c r="J40">
        <v>5</v>
      </c>
      <c r="K40">
        <v>5</v>
      </c>
      <c r="L40" t="s">
        <v>81</v>
      </c>
      <c r="M40" t="s">
        <v>82</v>
      </c>
      <c r="N40" t="s">
        <v>83</v>
      </c>
      <c r="O40" t="s">
        <v>83</v>
      </c>
      <c r="P40" t="s">
        <v>84</v>
      </c>
      <c r="Q40" t="s">
        <v>96</v>
      </c>
      <c r="R40">
        <v>2</v>
      </c>
      <c r="S40" t="s">
        <v>86</v>
      </c>
      <c r="T40" t="s">
        <v>87</v>
      </c>
      <c r="U40" t="s">
        <v>88</v>
      </c>
      <c r="V40">
        <v>1</v>
      </c>
      <c r="W40" t="s">
        <v>97</v>
      </c>
      <c r="X40" t="s">
        <v>83</v>
      </c>
      <c r="Y40" t="s">
        <v>90</v>
      </c>
      <c r="Z40">
        <v>4000</v>
      </c>
      <c r="AA40">
        <v>4000</v>
      </c>
      <c r="AC40">
        <v>256</v>
      </c>
      <c r="AD40" t="s">
        <v>91</v>
      </c>
      <c r="AE40">
        <v>0.15</v>
      </c>
      <c r="AF40" t="s">
        <v>92</v>
      </c>
      <c r="AG40">
        <v>160</v>
      </c>
      <c r="AH40">
        <v>40</v>
      </c>
      <c r="AI40">
        <v>120</v>
      </c>
      <c r="AJ40">
        <v>0.1068714916876294</v>
      </c>
      <c r="AK40">
        <v>22.80181238543965</v>
      </c>
      <c r="AL40">
        <v>0.70549559187932753</v>
      </c>
      <c r="AM40">
        <v>-4.4736513661533923E-2</v>
      </c>
      <c r="AN40">
        <v>31.485017064239919</v>
      </c>
      <c r="AO40">
        <v>0.63844135994721862</v>
      </c>
      <c r="AP40">
        <v>31.485017064239919</v>
      </c>
      <c r="AQ40">
        <v>31.485017064239919</v>
      </c>
      <c r="AR40">
        <v>0.63844135994721862</v>
      </c>
      <c r="AS40">
        <v>108.1280817565214</v>
      </c>
      <c r="AT40">
        <v>2.4047508136528811E-2</v>
      </c>
      <c r="AU40">
        <v>0.8</v>
      </c>
      <c r="AV40" t="s">
        <v>93</v>
      </c>
      <c r="AW40">
        <v>5.9488708749725089E-2</v>
      </c>
      <c r="AX40">
        <v>0.56803505804323795</v>
      </c>
      <c r="AY40">
        <v>5.9488708749725089E-2</v>
      </c>
      <c r="AZ40">
        <v>5.9488708749725089E-2</v>
      </c>
      <c r="BA40">
        <v>0.56803505804323795</v>
      </c>
      <c r="BB40">
        <v>0.15314657336894119</v>
      </c>
      <c r="BC40">
        <v>-0.1120421348277694</v>
      </c>
      <c r="BD40">
        <v>9.4551123004568915E-2</v>
      </c>
      <c r="BE40">
        <v>0.67240055320814607</v>
      </c>
      <c r="BF40">
        <v>9.4551123004568915E-2</v>
      </c>
      <c r="BG40">
        <v>9.4551123004568915E-2</v>
      </c>
      <c r="BH40">
        <v>0.67240055320814607</v>
      </c>
      <c r="BI40">
        <v>0.25822424201522209</v>
      </c>
      <c r="BJ40">
        <v>0.10530815347010911</v>
      </c>
      <c r="BK40">
        <v>8.1922799530567414E-2</v>
      </c>
      <c r="BL40">
        <v>0.67110587222231333</v>
      </c>
      <c r="BM40">
        <v>8.1922799530567414E-2</v>
      </c>
      <c r="BN40">
        <v>8.1922799530567414E-2</v>
      </c>
      <c r="BO40">
        <v>0.67110587222231333</v>
      </c>
      <c r="BP40">
        <v>0.16631792551228641</v>
      </c>
      <c r="BQ40">
        <v>0.33228613574481891</v>
      </c>
      <c r="BR40">
        <v>125.7041056256747</v>
      </c>
      <c r="BS40">
        <v>0.64222395631517593</v>
      </c>
      <c r="BT40">
        <v>125.7041056256747</v>
      </c>
      <c r="BU40">
        <v>125.7041056256747</v>
      </c>
      <c r="BV40">
        <v>0.64222395631517593</v>
      </c>
      <c r="BW40">
        <v>431.9346382851881</v>
      </c>
      <c r="BX40">
        <v>-0.22936212184104329</v>
      </c>
      <c r="BY40" t="str">
        <f>SUBSTITUTE(TRIM(MID(SUBSTITUTE(SUBSTITUTE(SUBSTITUTE(Tabla1[[#This Row],[map]],"[",""),"]",""),",",REPT(" ",100)),300,300))," ",", ")</f>
        <v>2, 3, 4</v>
      </c>
      <c r="BZ40" t="str">
        <f>SUBSTITUTE(TRIM(MID(SUBSTITUTE(SUBSTITUTE(SUBSTITUTE(Tabla1[[#This Row],[map]],"[",""),"]",""),",",REPT(" ",100)),901,300))," ",", ")</f>
        <v>0, 1, 4</v>
      </c>
    </row>
    <row r="41" spans="1:78" x14ac:dyDescent="0.3">
      <c r="A41" s="1">
        <v>46091.510023148148</v>
      </c>
      <c r="B41" t="s">
        <v>139</v>
      </c>
      <c r="C41">
        <v>9</v>
      </c>
      <c r="D41" t="s">
        <v>95</v>
      </c>
      <c r="E41" t="s">
        <v>78</v>
      </c>
      <c r="F41">
        <v>16590</v>
      </c>
      <c r="G41">
        <v>4.5</v>
      </c>
      <c r="H41" t="s">
        <v>79</v>
      </c>
      <c r="I41" t="s">
        <v>80</v>
      </c>
      <c r="J41">
        <v>5</v>
      </c>
      <c r="K41">
        <v>5</v>
      </c>
      <c r="L41" t="s">
        <v>81</v>
      </c>
      <c r="M41" t="s">
        <v>82</v>
      </c>
      <c r="N41" t="s">
        <v>83</v>
      </c>
      <c r="O41" t="s">
        <v>83</v>
      </c>
      <c r="P41" t="s">
        <v>84</v>
      </c>
      <c r="Q41" t="s">
        <v>102</v>
      </c>
      <c r="R41">
        <v>2</v>
      </c>
      <c r="S41" t="s">
        <v>86</v>
      </c>
      <c r="T41" t="s">
        <v>87</v>
      </c>
      <c r="U41" t="s">
        <v>88</v>
      </c>
      <c r="V41">
        <v>1</v>
      </c>
      <c r="W41" t="s">
        <v>103</v>
      </c>
      <c r="X41" t="s">
        <v>83</v>
      </c>
      <c r="Y41" t="s">
        <v>90</v>
      </c>
      <c r="Z41">
        <v>4000</v>
      </c>
      <c r="AA41">
        <v>4000</v>
      </c>
      <c r="AC41">
        <v>256</v>
      </c>
      <c r="AD41" t="s">
        <v>91</v>
      </c>
      <c r="AE41">
        <v>0.15</v>
      </c>
      <c r="AF41" t="s">
        <v>92</v>
      </c>
      <c r="AG41">
        <v>160</v>
      </c>
      <c r="AH41">
        <v>40</v>
      </c>
      <c r="AI41">
        <v>120</v>
      </c>
      <c r="AJ41">
        <v>0.10963746312409681</v>
      </c>
      <c r="AK41">
        <v>32.688398441997371</v>
      </c>
      <c r="AL41">
        <v>0.67823475532944877</v>
      </c>
      <c r="AM41">
        <v>-0.1029880481877879</v>
      </c>
      <c r="AN41">
        <v>38.990025347889947</v>
      </c>
      <c r="AO41">
        <v>0.63856283429066907</v>
      </c>
      <c r="AP41">
        <v>38.990025347889947</v>
      </c>
      <c r="AQ41">
        <v>38.990025347889947</v>
      </c>
      <c r="AR41">
        <v>0.63856283429066907</v>
      </c>
      <c r="AS41">
        <v>143.0015879443468</v>
      </c>
      <c r="AT41">
        <v>-0.1645826545454373</v>
      </c>
      <c r="AU41">
        <v>0.8</v>
      </c>
      <c r="AV41" t="s">
        <v>93</v>
      </c>
      <c r="AW41">
        <v>6.3539551963305241E-2</v>
      </c>
      <c r="AX41">
        <v>0.53862069874033602</v>
      </c>
      <c r="AY41">
        <v>6.3539551963305241E-2</v>
      </c>
      <c r="AZ41">
        <v>6.3539551963305241E-2</v>
      </c>
      <c r="BA41">
        <v>0.53862069874033602</v>
      </c>
      <c r="BB41">
        <v>0.21216343120311729</v>
      </c>
      <c r="BC41">
        <v>-0.54058082905397731</v>
      </c>
      <c r="BD41">
        <v>0.1106348768373643</v>
      </c>
      <c r="BE41">
        <v>0.61667378137799533</v>
      </c>
      <c r="BF41">
        <v>0.1106348768373643</v>
      </c>
      <c r="BG41">
        <v>0.1106348768373643</v>
      </c>
      <c r="BH41">
        <v>0.61667378137799533</v>
      </c>
      <c r="BI41">
        <v>0.25050754951804449</v>
      </c>
      <c r="BJ41">
        <v>0.1320448448261293</v>
      </c>
      <c r="BK41">
        <v>3.9295941591769731E-2</v>
      </c>
      <c r="BL41">
        <v>0.84223922389022254</v>
      </c>
      <c r="BM41">
        <v>3.9295941591769731E-2</v>
      </c>
      <c r="BN41">
        <v>3.9295941591769731E-2</v>
      </c>
      <c r="BO41">
        <v>0.84223922389022254</v>
      </c>
      <c r="BP41">
        <v>0.15531051880980509</v>
      </c>
      <c r="BQ41">
        <v>0.37647739199157387</v>
      </c>
      <c r="BR41">
        <v>155.7466310211687</v>
      </c>
      <c r="BS41">
        <v>0.55671763315411815</v>
      </c>
      <c r="BT41">
        <v>155.7466310211687</v>
      </c>
      <c r="BU41">
        <v>155.7466310211687</v>
      </c>
      <c r="BV41">
        <v>0.55671763315411815</v>
      </c>
      <c r="BW41">
        <v>571.38837027785735</v>
      </c>
      <c r="BX41">
        <v>-0.62627202594548326</v>
      </c>
      <c r="BY41" t="str">
        <f>SUBSTITUTE(TRIM(MID(SUBSTITUTE(SUBSTITUTE(SUBSTITUTE(Tabla1[[#This Row],[map]],"[",""),"]",""),",",REPT(" ",100)),300,300))," ",", ")</f>
        <v>4, 2, 3</v>
      </c>
      <c r="BZ41" t="str">
        <f>SUBSTITUTE(TRIM(MID(SUBSTITUTE(SUBSTITUTE(SUBSTITUTE(Tabla1[[#This Row],[map]],"[",""),"]",""),",",REPT(" ",100)),901,300))," ",", ")</f>
        <v>4, 0, 1</v>
      </c>
    </row>
    <row r="42" spans="1:78" x14ac:dyDescent="0.3">
      <c r="A42" s="1">
        <v>46113.575856481482</v>
      </c>
      <c r="B42" t="s">
        <v>161</v>
      </c>
      <c r="C42">
        <v>0</v>
      </c>
      <c r="D42" t="s">
        <v>77</v>
      </c>
      <c r="E42" t="s">
        <v>78</v>
      </c>
      <c r="F42">
        <v>16590</v>
      </c>
      <c r="G42">
        <v>4.5</v>
      </c>
      <c r="H42" t="s">
        <v>79</v>
      </c>
      <c r="I42" t="s">
        <v>80</v>
      </c>
      <c r="J42">
        <v>5</v>
      </c>
      <c r="K42">
        <v>5</v>
      </c>
      <c r="L42" t="s">
        <v>81</v>
      </c>
      <c r="M42" t="s">
        <v>82</v>
      </c>
      <c r="N42" t="s">
        <v>83</v>
      </c>
      <c r="O42" t="s">
        <v>83</v>
      </c>
      <c r="P42" t="s">
        <v>84</v>
      </c>
      <c r="Q42" t="s">
        <v>162</v>
      </c>
      <c r="R42">
        <v>2</v>
      </c>
      <c r="S42" t="s">
        <v>86</v>
      </c>
      <c r="T42" t="s">
        <v>87</v>
      </c>
      <c r="U42" t="s">
        <v>88</v>
      </c>
      <c r="V42">
        <v>1</v>
      </c>
      <c r="W42" t="s">
        <v>163</v>
      </c>
      <c r="X42" t="s">
        <v>83</v>
      </c>
      <c r="Y42" t="s">
        <v>90</v>
      </c>
      <c r="Z42">
        <v>4000</v>
      </c>
      <c r="AA42">
        <v>4000</v>
      </c>
      <c r="AC42">
        <v>256</v>
      </c>
      <c r="AD42" t="s">
        <v>91</v>
      </c>
      <c r="AE42">
        <v>0.15</v>
      </c>
      <c r="AF42" t="s">
        <v>92</v>
      </c>
      <c r="AG42">
        <v>160</v>
      </c>
      <c r="AH42">
        <v>40</v>
      </c>
      <c r="AI42">
        <v>120</v>
      </c>
      <c r="AJ42">
        <v>0.11978872272838741</v>
      </c>
      <c r="AK42">
        <v>38.384674880549198</v>
      </c>
      <c r="AL42">
        <v>0.67660794211865638</v>
      </c>
      <c r="AM42">
        <v>0.15280515330155789</v>
      </c>
      <c r="AN42">
        <v>56.097815918733083</v>
      </c>
      <c r="AO42">
        <v>0.58461020707724798</v>
      </c>
      <c r="AP42">
        <v>56.097815918733083</v>
      </c>
      <c r="AQ42">
        <v>56.097815918733083</v>
      </c>
      <c r="AR42">
        <v>0.58461020707724798</v>
      </c>
      <c r="AS42">
        <v>82.208438808118188</v>
      </c>
      <c r="AT42">
        <v>0.20087621558152211</v>
      </c>
      <c r="AU42">
        <v>0.8</v>
      </c>
      <c r="AV42" t="s">
        <v>93</v>
      </c>
      <c r="AW42">
        <v>6.7473499184269994E-2</v>
      </c>
      <c r="AX42">
        <v>0.51005515548549352</v>
      </c>
      <c r="AY42">
        <v>6.7473499184269994E-2</v>
      </c>
      <c r="AZ42">
        <v>6.7473499184269994E-2</v>
      </c>
      <c r="BA42">
        <v>0.51005515548549352</v>
      </c>
      <c r="BB42">
        <v>9.9165340659049236E-2</v>
      </c>
      <c r="BC42">
        <v>0.27993141014164807</v>
      </c>
      <c r="BD42">
        <v>8.297619738315358E-2</v>
      </c>
      <c r="BE42">
        <v>0.71250519829046077</v>
      </c>
      <c r="BF42">
        <v>8.297619738315358E-2</v>
      </c>
      <c r="BG42">
        <v>8.297619738315358E-2</v>
      </c>
      <c r="BH42">
        <v>0.71250519829046077</v>
      </c>
      <c r="BI42">
        <v>0.25589419450089818</v>
      </c>
      <c r="BJ42">
        <v>0.1133812704510082</v>
      </c>
      <c r="BK42">
        <v>6.1291275745358351E-2</v>
      </c>
      <c r="BL42">
        <v>0.75393491442965466</v>
      </c>
      <c r="BM42">
        <v>6.1291275745358351E-2</v>
      </c>
      <c r="BN42">
        <v>6.1291275745358351E-2</v>
      </c>
      <c r="BO42">
        <v>0.75393491442965466</v>
      </c>
      <c r="BP42">
        <v>0.16324179198321301</v>
      </c>
      <c r="BQ42">
        <v>0.34463583887715371</v>
      </c>
      <c r="BR42">
        <v>224.17952270261929</v>
      </c>
      <c r="BS42">
        <v>0.36194556010338108</v>
      </c>
      <c r="BT42">
        <v>224.17952270261929</v>
      </c>
      <c r="BU42">
        <v>224.17952270261929</v>
      </c>
      <c r="BV42">
        <v>0.36194556010338108</v>
      </c>
      <c r="BW42">
        <v>328.31545390532949</v>
      </c>
      <c r="BX42">
        <v>6.5556342856279759E-2</v>
      </c>
      <c r="BY42" s="5" t="str">
        <f>SUBSTITUTE(TRIM(MID(SUBSTITUTE(SUBSTITUTE(SUBSTITUTE(Tabla1[[#This Row],[map]],"[",""),"]",""),",",REPT(" ",100)),300,300))," ",", ")</f>
        <v>3, 4, 2</v>
      </c>
      <c r="BZ42" s="5" t="str">
        <f>SUBSTITUTE(TRIM(MID(SUBSTITUTE(SUBSTITUTE(SUBSTITUTE(Tabla1[[#This Row],[map]],"[",""),"]",""),",",REPT(" ",100)),901,300))," ",", ")</f>
        <v>0, 1, 4</v>
      </c>
    </row>
    <row r="43" spans="1:78" x14ac:dyDescent="0.3">
      <c r="A43" s="1">
        <v>46113.575902777768</v>
      </c>
      <c r="B43" t="s">
        <v>164</v>
      </c>
      <c r="C43">
        <v>0</v>
      </c>
      <c r="D43" t="s">
        <v>77</v>
      </c>
      <c r="E43" t="s">
        <v>78</v>
      </c>
      <c r="F43">
        <v>16590</v>
      </c>
      <c r="G43">
        <v>4.5</v>
      </c>
      <c r="H43" t="s">
        <v>79</v>
      </c>
      <c r="I43" t="s">
        <v>80</v>
      </c>
      <c r="J43">
        <v>5</v>
      </c>
      <c r="K43">
        <v>5</v>
      </c>
      <c r="L43" t="s">
        <v>81</v>
      </c>
      <c r="M43" t="s">
        <v>82</v>
      </c>
      <c r="N43" t="s">
        <v>83</v>
      </c>
      <c r="O43" t="s">
        <v>83</v>
      </c>
      <c r="P43" t="s">
        <v>84</v>
      </c>
      <c r="Q43" t="s">
        <v>165</v>
      </c>
      <c r="R43">
        <v>2</v>
      </c>
      <c r="S43" t="s">
        <v>86</v>
      </c>
      <c r="T43" t="s">
        <v>87</v>
      </c>
      <c r="U43" t="s">
        <v>88</v>
      </c>
      <c r="V43">
        <v>1</v>
      </c>
      <c r="W43" t="s">
        <v>166</v>
      </c>
      <c r="X43" t="s">
        <v>83</v>
      </c>
      <c r="Y43" t="s">
        <v>90</v>
      </c>
      <c r="Z43">
        <v>4000</v>
      </c>
      <c r="AA43">
        <v>4000</v>
      </c>
      <c r="AC43">
        <v>256</v>
      </c>
      <c r="AD43" t="s">
        <v>91</v>
      </c>
      <c r="AE43">
        <v>0.15</v>
      </c>
      <c r="AF43" t="s">
        <v>92</v>
      </c>
      <c r="AG43">
        <v>160</v>
      </c>
      <c r="AH43">
        <v>40</v>
      </c>
      <c r="AI43">
        <v>120</v>
      </c>
      <c r="AJ43">
        <v>9.4420824638358158E-2</v>
      </c>
      <c r="AK43">
        <v>23.288242110323321</v>
      </c>
      <c r="AL43">
        <v>0.74023107813149602</v>
      </c>
      <c r="AM43">
        <v>-1.2015192674101289</v>
      </c>
      <c r="AN43">
        <v>31.575068579944819</v>
      </c>
      <c r="AO43">
        <v>0.71550606752103785</v>
      </c>
      <c r="AP43">
        <v>31.575068579944819</v>
      </c>
      <c r="AQ43">
        <v>31.575068579944819</v>
      </c>
      <c r="AR43">
        <v>0.71550606752103785</v>
      </c>
      <c r="AS43">
        <v>176.95228435119611</v>
      </c>
      <c r="AT43">
        <v>-1.0928058353429839</v>
      </c>
      <c r="AU43">
        <v>0.8</v>
      </c>
      <c r="AV43" t="s">
        <v>93</v>
      </c>
      <c r="AW43">
        <v>5.7783849004917981E-2</v>
      </c>
      <c r="AX43">
        <v>0.5804145441034968</v>
      </c>
      <c r="AY43">
        <v>5.7783849004917981E-2</v>
      </c>
      <c r="AZ43">
        <v>5.7783849004917981E-2</v>
      </c>
      <c r="BA43">
        <v>0.5804145441034968</v>
      </c>
      <c r="BB43">
        <v>0.22506774216223371</v>
      </c>
      <c r="BC43">
        <v>-0.63428281135616471</v>
      </c>
      <c r="BD43">
        <v>4.4278076917052142E-2</v>
      </c>
      <c r="BE43">
        <v>0.84658592048311787</v>
      </c>
      <c r="BF43">
        <v>4.4278076917052142E-2</v>
      </c>
      <c r="BG43">
        <v>4.4278076917052142E-2</v>
      </c>
      <c r="BH43">
        <v>0.84658592048311787</v>
      </c>
      <c r="BI43">
        <v>0.42334304673328282</v>
      </c>
      <c r="BJ43">
        <v>-0.46679323847163401</v>
      </c>
      <c r="BK43">
        <v>5.1296652652398612E-2</v>
      </c>
      <c r="BL43">
        <v>0.79406016482956554</v>
      </c>
      <c r="BM43">
        <v>5.1296652652398612E-2</v>
      </c>
      <c r="BN43">
        <v>5.1296652652398612E-2</v>
      </c>
      <c r="BO43">
        <v>0.79406016482956554</v>
      </c>
      <c r="BP43">
        <v>0.81195790902437259</v>
      </c>
      <c r="BQ43">
        <v>-2.2597541808995798</v>
      </c>
      <c r="BR43">
        <v>126.14691574120459</v>
      </c>
      <c r="BS43">
        <v>0.64096364066797129</v>
      </c>
      <c r="BT43">
        <v>126.14691574120459</v>
      </c>
      <c r="BU43">
        <v>126.14691574120459</v>
      </c>
      <c r="BV43">
        <v>0.64096364066797129</v>
      </c>
      <c r="BW43">
        <v>706.34876870686662</v>
      </c>
      <c r="BX43">
        <v>-1.0103931106445361</v>
      </c>
      <c r="BY43" s="5" t="str">
        <f>SUBSTITUTE(TRIM(MID(SUBSTITUTE(SUBSTITUTE(SUBSTITUTE(Tabla1[[#This Row],[map]],"[",""),"]",""),",",REPT(" ",100)),300,300))," ",", ")</f>
        <v>2, 3, 4</v>
      </c>
      <c r="BZ43" s="5" t="str">
        <f>SUBSTITUTE(TRIM(MID(SUBSTITUTE(SUBSTITUTE(SUBSTITUTE(Tabla1[[#This Row],[map]],"[",""),"]",""),",",REPT(" ",100)),901,300))," ",", ")</f>
        <v>1, 4, 0</v>
      </c>
    </row>
    <row r="44" spans="1:78" x14ac:dyDescent="0.3">
      <c r="A44" s="1">
        <v>46113.575972222221</v>
      </c>
      <c r="B44" t="s">
        <v>167</v>
      </c>
      <c r="C44">
        <v>0</v>
      </c>
      <c r="D44" t="s">
        <v>77</v>
      </c>
      <c r="E44" t="s">
        <v>78</v>
      </c>
      <c r="F44">
        <v>16590</v>
      </c>
      <c r="G44">
        <v>4.5</v>
      </c>
      <c r="H44" t="s">
        <v>79</v>
      </c>
      <c r="I44" t="s">
        <v>80</v>
      </c>
      <c r="J44">
        <v>5</v>
      </c>
      <c r="K44">
        <v>5</v>
      </c>
      <c r="L44" t="s">
        <v>81</v>
      </c>
      <c r="M44" t="s">
        <v>82</v>
      </c>
      <c r="N44" t="s">
        <v>83</v>
      </c>
      <c r="O44" t="s">
        <v>83</v>
      </c>
      <c r="P44" t="s">
        <v>84</v>
      </c>
      <c r="Q44" t="s">
        <v>168</v>
      </c>
      <c r="R44">
        <v>2</v>
      </c>
      <c r="S44" t="s">
        <v>86</v>
      </c>
      <c r="T44" t="s">
        <v>87</v>
      </c>
      <c r="U44" t="s">
        <v>88</v>
      </c>
      <c r="V44">
        <v>1</v>
      </c>
      <c r="W44" t="s">
        <v>169</v>
      </c>
      <c r="X44" t="s">
        <v>83</v>
      </c>
      <c r="Y44" t="s">
        <v>90</v>
      </c>
      <c r="Z44">
        <v>4000</v>
      </c>
      <c r="AA44">
        <v>4000</v>
      </c>
      <c r="AC44">
        <v>256</v>
      </c>
      <c r="AD44" t="s">
        <v>91</v>
      </c>
      <c r="AE44">
        <v>0.15</v>
      </c>
      <c r="AF44" t="s">
        <v>92</v>
      </c>
      <c r="AG44">
        <v>160</v>
      </c>
      <c r="AH44">
        <v>40</v>
      </c>
      <c r="AI44">
        <v>120</v>
      </c>
      <c r="AJ44">
        <v>0.11202295001552159</v>
      </c>
      <c r="AK44">
        <v>25.43004187781041</v>
      </c>
      <c r="AL44">
        <v>0.68947522006065198</v>
      </c>
      <c r="AM44">
        <v>-4.7768105576408683E-2</v>
      </c>
      <c r="AN44">
        <v>31.971558410773572</v>
      </c>
      <c r="AO44">
        <v>0.65712861672850797</v>
      </c>
      <c r="AP44">
        <v>31.971558410773572</v>
      </c>
      <c r="AQ44">
        <v>31.971558410773572</v>
      </c>
      <c r="AR44">
        <v>0.65712861672850797</v>
      </c>
      <c r="AS44">
        <v>95.753205269104342</v>
      </c>
      <c r="AT44">
        <v>-7.7013894300554664E-2</v>
      </c>
      <c r="AU44">
        <v>0.8</v>
      </c>
      <c r="AV44" t="s">
        <v>93</v>
      </c>
      <c r="AW44">
        <v>6.8622886618960821E-2</v>
      </c>
      <c r="AX44">
        <v>0.50170911659934347</v>
      </c>
      <c r="AY44">
        <v>6.8622886618960821E-2</v>
      </c>
      <c r="AZ44">
        <v>6.8622886618960821E-2</v>
      </c>
      <c r="BA44">
        <v>0.50170911659934347</v>
      </c>
      <c r="BB44">
        <v>0.109392319802011</v>
      </c>
      <c r="BC44">
        <v>0.20567031850376791</v>
      </c>
      <c r="BD44">
        <v>8.3605350279908841E-2</v>
      </c>
      <c r="BE44">
        <v>0.7103253178789446</v>
      </c>
      <c r="BF44">
        <v>8.3605350279908841E-2</v>
      </c>
      <c r="BG44">
        <v>8.3605350279908841E-2</v>
      </c>
      <c r="BH44">
        <v>0.7103253178789446</v>
      </c>
      <c r="BI44">
        <v>0.23846967839686481</v>
      </c>
      <c r="BJ44">
        <v>0.17375349718829691</v>
      </c>
      <c r="BK44">
        <v>5.4829356891434679E-2</v>
      </c>
      <c r="BL44">
        <v>0.77987747471091573</v>
      </c>
      <c r="BM44">
        <v>5.4829356891434679E-2</v>
      </c>
      <c r="BN44">
        <v>5.4829356891434679E-2</v>
      </c>
      <c r="BO44">
        <v>0.77987747471091573</v>
      </c>
      <c r="BP44">
        <v>0.39840782549791492</v>
      </c>
      <c r="BQ44">
        <v>-0.59948140222001967</v>
      </c>
      <c r="BR44">
        <v>127.6791760493043</v>
      </c>
      <c r="BS44">
        <v>0.6366025577248281</v>
      </c>
      <c r="BT44">
        <v>127.6791760493043</v>
      </c>
      <c r="BU44">
        <v>127.6791760493043</v>
      </c>
      <c r="BV44">
        <v>0.6366025577248281</v>
      </c>
      <c r="BW44">
        <v>382.26655125272049</v>
      </c>
      <c r="BX44">
        <v>-8.7997990674270277E-2</v>
      </c>
      <c r="BY44" s="5" t="str">
        <f>SUBSTITUTE(TRIM(MID(SUBSTITUTE(SUBSTITUTE(SUBSTITUTE(Tabla1[[#This Row],[map]],"[",""),"]",""),",",REPT(" ",100)),300,300))," ",", ")</f>
        <v>3, 4, 2</v>
      </c>
      <c r="BZ44" s="5" t="str">
        <f>SUBSTITUTE(TRIM(MID(SUBSTITUTE(SUBSTITUTE(SUBSTITUTE(Tabla1[[#This Row],[map]],"[",""),"]",""),",",REPT(" ",100)),901,300))," ",", ")</f>
        <v>1, 4, 0</v>
      </c>
    </row>
    <row r="45" spans="1:78" x14ac:dyDescent="0.3">
      <c r="A45" s="1">
        <v>46113.679212962961</v>
      </c>
      <c r="B45" t="s">
        <v>170</v>
      </c>
      <c r="C45">
        <v>1</v>
      </c>
      <c r="D45" t="s">
        <v>95</v>
      </c>
      <c r="E45" t="s">
        <v>78</v>
      </c>
      <c r="F45">
        <v>16590</v>
      </c>
      <c r="G45">
        <v>4.5</v>
      </c>
      <c r="H45" t="s">
        <v>79</v>
      </c>
      <c r="I45" t="s">
        <v>80</v>
      </c>
      <c r="J45">
        <v>5</v>
      </c>
      <c r="K45">
        <v>5</v>
      </c>
      <c r="L45" t="s">
        <v>81</v>
      </c>
      <c r="M45" t="s">
        <v>82</v>
      </c>
      <c r="N45" t="s">
        <v>83</v>
      </c>
      <c r="O45" t="s">
        <v>83</v>
      </c>
      <c r="P45" t="s">
        <v>84</v>
      </c>
      <c r="Q45" t="s">
        <v>162</v>
      </c>
      <c r="R45">
        <v>2</v>
      </c>
      <c r="S45" t="s">
        <v>86</v>
      </c>
      <c r="T45" t="s">
        <v>87</v>
      </c>
      <c r="U45" t="s">
        <v>88</v>
      </c>
      <c r="V45">
        <v>1</v>
      </c>
      <c r="W45" t="s">
        <v>163</v>
      </c>
      <c r="X45" t="s">
        <v>83</v>
      </c>
      <c r="Y45" t="s">
        <v>90</v>
      </c>
      <c r="Z45">
        <v>4000</v>
      </c>
      <c r="AA45">
        <v>4000</v>
      </c>
      <c r="AC45">
        <v>256</v>
      </c>
      <c r="AD45" t="s">
        <v>91</v>
      </c>
      <c r="AE45">
        <v>0.15</v>
      </c>
      <c r="AF45" t="s">
        <v>92</v>
      </c>
      <c r="AG45">
        <v>160</v>
      </c>
      <c r="AH45">
        <v>40</v>
      </c>
      <c r="AI45">
        <v>120</v>
      </c>
      <c r="AJ45">
        <v>0.14085179252017599</v>
      </c>
      <c r="AK45">
        <v>40.606428113402202</v>
      </c>
      <c r="AL45">
        <v>0.54095213899250361</v>
      </c>
      <c r="AM45">
        <v>-1.6826493245364779E-2</v>
      </c>
      <c r="AN45">
        <v>54.086767640822558</v>
      </c>
      <c r="AO45">
        <v>0.4874892825716961</v>
      </c>
      <c r="AP45">
        <v>54.086767640822558</v>
      </c>
      <c r="AQ45">
        <v>54.086767640822558</v>
      </c>
      <c r="AR45">
        <v>0.4874892825716961</v>
      </c>
      <c r="AS45">
        <v>92.590578030896637</v>
      </c>
      <c r="AT45">
        <v>-2.1417553868145419E-2</v>
      </c>
      <c r="AU45">
        <v>0.8</v>
      </c>
      <c r="AV45" t="s">
        <v>93</v>
      </c>
      <c r="AW45">
        <v>0.10240221576436651</v>
      </c>
      <c r="AX45">
        <v>0.25642751173174799</v>
      </c>
      <c r="AY45">
        <v>0.10240221576436651</v>
      </c>
      <c r="AZ45">
        <v>0.10240221576436651</v>
      </c>
      <c r="BA45">
        <v>0.25642751173174799</v>
      </c>
      <c r="BB45">
        <v>0.12794209408752369</v>
      </c>
      <c r="BC45">
        <v>7.0974973101947447E-2</v>
      </c>
      <c r="BD45">
        <v>9.9074319527295923E-2</v>
      </c>
      <c r="BE45">
        <v>0.65672864333030567</v>
      </c>
      <c r="BF45">
        <v>9.9074319527295923E-2</v>
      </c>
      <c r="BG45">
        <v>9.9074319527295923E-2</v>
      </c>
      <c r="BH45">
        <v>0.65672864333030567</v>
      </c>
      <c r="BI45">
        <v>0.32958721795519919</v>
      </c>
      <c r="BJ45">
        <v>-0.1419493163140115</v>
      </c>
      <c r="BK45">
        <v>8.6745926327336131E-2</v>
      </c>
      <c r="BL45">
        <v>0.65174254369747997</v>
      </c>
      <c r="BM45">
        <v>8.6745926327336131E-2</v>
      </c>
      <c r="BN45">
        <v>8.6745926327336131E-2</v>
      </c>
      <c r="BO45">
        <v>0.65174254369747997</v>
      </c>
      <c r="BP45">
        <v>0.23976086979280681</v>
      </c>
      <c r="BQ45">
        <v>3.7435944601702631E-2</v>
      </c>
      <c r="BR45">
        <v>216.05884810167171</v>
      </c>
      <c r="BS45">
        <v>0.38505843152725172</v>
      </c>
      <c r="BT45">
        <v>216.05884810167171</v>
      </c>
      <c r="BU45">
        <v>216.05884810167171</v>
      </c>
      <c r="BV45">
        <v>0.38505843152725172</v>
      </c>
      <c r="BW45">
        <v>369.66502194175092</v>
      </c>
      <c r="BX45">
        <v>-5.213181686223356E-2</v>
      </c>
      <c r="BY45" s="5" t="str">
        <f>SUBSTITUTE(TRIM(MID(SUBSTITUTE(SUBSTITUTE(SUBSTITUTE(Tabla1[[#This Row],[map]],"[",""),"]",""),",",REPT(" ",100)),300,300))," ",", ")</f>
        <v>3, 4, 2</v>
      </c>
      <c r="BZ45" s="5" t="str">
        <f>SUBSTITUTE(TRIM(MID(SUBSTITUTE(SUBSTITUTE(SUBSTITUTE(Tabla1[[#This Row],[map]],"[",""),"]",""),",",REPT(" ",100)),901,300))," ",", ")</f>
        <v>0, 1, 4</v>
      </c>
    </row>
    <row r="46" spans="1:78" x14ac:dyDescent="0.3">
      <c r="A46" s="1">
        <v>46113.679386574076</v>
      </c>
      <c r="B46" t="s">
        <v>171</v>
      </c>
      <c r="C46">
        <v>1</v>
      </c>
      <c r="D46" t="s">
        <v>95</v>
      </c>
      <c r="E46" t="s">
        <v>78</v>
      </c>
      <c r="F46">
        <v>16590</v>
      </c>
      <c r="G46">
        <v>4.5</v>
      </c>
      <c r="H46" t="s">
        <v>79</v>
      </c>
      <c r="I46" t="s">
        <v>80</v>
      </c>
      <c r="J46">
        <v>5</v>
      </c>
      <c r="K46">
        <v>5</v>
      </c>
      <c r="L46" t="s">
        <v>81</v>
      </c>
      <c r="M46" t="s">
        <v>82</v>
      </c>
      <c r="N46" t="s">
        <v>83</v>
      </c>
      <c r="O46" t="s">
        <v>83</v>
      </c>
      <c r="P46" t="s">
        <v>84</v>
      </c>
      <c r="Q46" t="s">
        <v>165</v>
      </c>
      <c r="R46">
        <v>2</v>
      </c>
      <c r="S46" t="s">
        <v>86</v>
      </c>
      <c r="T46" t="s">
        <v>87</v>
      </c>
      <c r="U46" t="s">
        <v>88</v>
      </c>
      <c r="V46">
        <v>1</v>
      </c>
      <c r="W46" t="s">
        <v>166</v>
      </c>
      <c r="X46" t="s">
        <v>83</v>
      </c>
      <c r="Y46" t="s">
        <v>90</v>
      </c>
      <c r="Z46">
        <v>4000</v>
      </c>
      <c r="AA46">
        <v>4000</v>
      </c>
      <c r="AC46">
        <v>256</v>
      </c>
      <c r="AD46" t="s">
        <v>91</v>
      </c>
      <c r="AE46">
        <v>0.15</v>
      </c>
      <c r="AF46" t="s">
        <v>92</v>
      </c>
      <c r="AG46">
        <v>160</v>
      </c>
      <c r="AH46">
        <v>40</v>
      </c>
      <c r="AI46">
        <v>120</v>
      </c>
      <c r="AJ46">
        <v>0.11197057568337811</v>
      </c>
      <c r="AK46">
        <v>22.643150277731081</v>
      </c>
      <c r="AL46">
        <v>0.71028281413481498</v>
      </c>
      <c r="AM46">
        <v>-0.1106534282192641</v>
      </c>
      <c r="AN46">
        <v>26.29141055749977</v>
      </c>
      <c r="AO46">
        <v>0.70454056415551758</v>
      </c>
      <c r="AP46">
        <v>26.29141055749977</v>
      </c>
      <c r="AQ46">
        <v>26.29141055749977</v>
      </c>
      <c r="AR46">
        <v>0.70454056415551758</v>
      </c>
      <c r="AS46">
        <v>94.479872652132741</v>
      </c>
      <c r="AT46">
        <v>-5.9359363233310543E-2</v>
      </c>
      <c r="AU46">
        <v>0.8</v>
      </c>
      <c r="AV46" t="s">
        <v>93</v>
      </c>
      <c r="AW46">
        <v>5.4089058093724947E-2</v>
      </c>
      <c r="AX46">
        <v>0.6072435033302046</v>
      </c>
      <c r="AY46">
        <v>5.4089058093724947E-2</v>
      </c>
      <c r="AZ46">
        <v>5.4089058093724947E-2</v>
      </c>
      <c r="BA46">
        <v>0.6072435033302046</v>
      </c>
      <c r="BB46">
        <v>0.15944849042408299</v>
      </c>
      <c r="BC46">
        <v>-0.1578022007655471</v>
      </c>
      <c r="BD46">
        <v>7.9603696140728514E-2</v>
      </c>
      <c r="BE46">
        <v>0.72419019478986679</v>
      </c>
      <c r="BF46">
        <v>7.9603696140728514E-2</v>
      </c>
      <c r="BG46">
        <v>7.9603696140728514E-2</v>
      </c>
      <c r="BH46">
        <v>0.72419019478986679</v>
      </c>
      <c r="BI46">
        <v>0.2088274389298983</v>
      </c>
      <c r="BJ46">
        <v>0.27645752589222511</v>
      </c>
      <c r="BK46">
        <v>5.3424894984036082E-2</v>
      </c>
      <c r="BL46">
        <v>0.78551594503514455</v>
      </c>
      <c r="BM46">
        <v>5.3424894984036082E-2</v>
      </c>
      <c r="BN46">
        <v>5.3424894984036082E-2</v>
      </c>
      <c r="BO46">
        <v>0.78551594503514455</v>
      </c>
      <c r="BP46">
        <v>0.3194335412446716</v>
      </c>
      <c r="BQ46">
        <v>-0.28242463065979062</v>
      </c>
      <c r="BR46">
        <v>104.9785245807811</v>
      </c>
      <c r="BS46">
        <v>0.70121261346685371</v>
      </c>
      <c r="BT46">
        <v>104.9785245807811</v>
      </c>
      <c r="BU46">
        <v>104.9785245807811</v>
      </c>
      <c r="BV46">
        <v>0.70121261346685371</v>
      </c>
      <c r="BW46">
        <v>377.23178113793182</v>
      </c>
      <c r="BX46">
        <v>-7.3668147400131501E-2</v>
      </c>
      <c r="BY46" s="5" t="str">
        <f>SUBSTITUTE(TRIM(MID(SUBSTITUTE(SUBSTITUTE(SUBSTITUTE(Tabla1[[#This Row],[map]],"[",""),"]",""),",",REPT(" ",100)),300,300))," ",", ")</f>
        <v>2, 3, 4</v>
      </c>
      <c r="BZ46" s="5" t="str">
        <f>SUBSTITUTE(TRIM(MID(SUBSTITUTE(SUBSTITUTE(SUBSTITUTE(Tabla1[[#This Row],[map]],"[",""),"]",""),",",REPT(" ",100)),901,300))," ",", ")</f>
        <v>1, 4, 0</v>
      </c>
    </row>
    <row r="47" spans="1:78" x14ac:dyDescent="0.3">
      <c r="A47" s="1">
        <v>46113.679861111108</v>
      </c>
      <c r="B47" t="s">
        <v>172</v>
      </c>
      <c r="C47">
        <v>1</v>
      </c>
      <c r="D47" t="s">
        <v>95</v>
      </c>
      <c r="E47" t="s">
        <v>78</v>
      </c>
      <c r="F47">
        <v>16590</v>
      </c>
      <c r="G47">
        <v>4.5</v>
      </c>
      <c r="H47" t="s">
        <v>79</v>
      </c>
      <c r="I47" t="s">
        <v>80</v>
      </c>
      <c r="J47">
        <v>5</v>
      </c>
      <c r="K47">
        <v>5</v>
      </c>
      <c r="L47" t="s">
        <v>81</v>
      </c>
      <c r="M47" t="s">
        <v>82</v>
      </c>
      <c r="N47" t="s">
        <v>83</v>
      </c>
      <c r="O47" t="s">
        <v>83</v>
      </c>
      <c r="P47" t="s">
        <v>84</v>
      </c>
      <c r="Q47" t="s">
        <v>168</v>
      </c>
      <c r="R47">
        <v>2</v>
      </c>
      <c r="S47" t="s">
        <v>86</v>
      </c>
      <c r="T47" t="s">
        <v>87</v>
      </c>
      <c r="U47" t="s">
        <v>88</v>
      </c>
      <c r="V47">
        <v>1</v>
      </c>
      <c r="W47" t="s">
        <v>169</v>
      </c>
      <c r="X47" t="s">
        <v>83</v>
      </c>
      <c r="Y47" t="s">
        <v>90</v>
      </c>
      <c r="Z47">
        <v>4000</v>
      </c>
      <c r="AA47">
        <v>4000</v>
      </c>
      <c r="AC47">
        <v>256</v>
      </c>
      <c r="AD47" t="s">
        <v>91</v>
      </c>
      <c r="AE47">
        <v>0.15</v>
      </c>
      <c r="AF47" t="s">
        <v>92</v>
      </c>
      <c r="AG47">
        <v>160</v>
      </c>
      <c r="AH47">
        <v>40</v>
      </c>
      <c r="AI47">
        <v>120</v>
      </c>
      <c r="AJ47">
        <v>0.1182984677395628</v>
      </c>
      <c r="AK47">
        <v>20.884515468522132</v>
      </c>
      <c r="AL47">
        <v>0.65968671157678138</v>
      </c>
      <c r="AM47">
        <v>-0.50261266775745694</v>
      </c>
      <c r="AN47">
        <v>28.369377296762849</v>
      </c>
      <c r="AO47">
        <v>0.60534887741415855</v>
      </c>
      <c r="AP47">
        <v>28.369377296762849</v>
      </c>
      <c r="AQ47">
        <v>28.369377296762849</v>
      </c>
      <c r="AR47">
        <v>0.60534887741415855</v>
      </c>
      <c r="AS47">
        <v>109.6090769386212</v>
      </c>
      <c r="AT47">
        <v>-0.32619522165801879</v>
      </c>
      <c r="AU47">
        <v>0.8</v>
      </c>
      <c r="AV47" t="s">
        <v>93</v>
      </c>
      <c r="AW47">
        <v>8.6490467935893323E-2</v>
      </c>
      <c r="AX47">
        <v>0.37196737419663678</v>
      </c>
      <c r="AY47">
        <v>8.6490467935893323E-2</v>
      </c>
      <c r="AZ47">
        <v>8.6490467935893323E-2</v>
      </c>
      <c r="BA47">
        <v>0.37196737419663678</v>
      </c>
      <c r="BB47">
        <v>0.13420329833246691</v>
      </c>
      <c r="BC47">
        <v>2.5510534806187479E-2</v>
      </c>
      <c r="BD47">
        <v>0.1175504339078083</v>
      </c>
      <c r="BE47">
        <v>0.59271285316749189</v>
      </c>
      <c r="BF47">
        <v>0.1175504339078083</v>
      </c>
      <c r="BG47">
        <v>0.1175504339078083</v>
      </c>
      <c r="BH47">
        <v>0.59271285316749189</v>
      </c>
      <c r="BI47">
        <v>0.26229610334671638</v>
      </c>
      <c r="BJ47">
        <v>9.1200023632812433E-2</v>
      </c>
      <c r="BK47">
        <v>5.5059173747873669E-2</v>
      </c>
      <c r="BL47">
        <v>0.77895483272382271</v>
      </c>
      <c r="BM47">
        <v>5.5059173747873669E-2</v>
      </c>
      <c r="BN47">
        <v>5.5059173747873669E-2</v>
      </c>
      <c r="BO47">
        <v>0.77895483272382271</v>
      </c>
      <c r="BP47">
        <v>0.54208400045480065</v>
      </c>
      <c r="BQ47">
        <v>-1.176295799624097</v>
      </c>
      <c r="BR47">
        <v>113.21840911145991</v>
      </c>
      <c r="BS47">
        <v>0.67776044956868509</v>
      </c>
      <c r="BT47">
        <v>113.21840911145991</v>
      </c>
      <c r="BU47">
        <v>113.21840911145991</v>
      </c>
      <c r="BV47">
        <v>0.67776044956868509</v>
      </c>
      <c r="BW47">
        <v>437.49772435234809</v>
      </c>
      <c r="BX47">
        <v>-0.245195645446975</v>
      </c>
      <c r="BY47" s="5" t="str">
        <f>SUBSTITUTE(TRIM(MID(SUBSTITUTE(SUBSTITUTE(SUBSTITUTE(Tabla1[[#This Row],[map]],"[",""),"]",""),",",REPT(" ",100)),300,300))," ",", ")</f>
        <v>3, 4, 2</v>
      </c>
      <c r="BZ47" s="5" t="str">
        <f>SUBSTITUTE(TRIM(MID(SUBSTITUTE(SUBSTITUTE(SUBSTITUTE(Tabla1[[#This Row],[map]],"[",""),"]",""),",",REPT(" ",100)),901,300))," ",", ")</f>
        <v>1, 4, 0</v>
      </c>
    </row>
    <row r="48" spans="1:78" x14ac:dyDescent="0.3">
      <c r="A48" s="1">
        <v>46113.776701388888</v>
      </c>
      <c r="B48" t="s">
        <v>173</v>
      </c>
      <c r="C48">
        <v>2</v>
      </c>
      <c r="D48" t="s">
        <v>95</v>
      </c>
      <c r="E48" t="s">
        <v>78</v>
      </c>
      <c r="F48">
        <v>16590</v>
      </c>
      <c r="G48">
        <v>4.5</v>
      </c>
      <c r="H48" t="s">
        <v>79</v>
      </c>
      <c r="I48" t="s">
        <v>80</v>
      </c>
      <c r="J48">
        <v>5</v>
      </c>
      <c r="K48">
        <v>5</v>
      </c>
      <c r="L48" t="s">
        <v>81</v>
      </c>
      <c r="M48" t="s">
        <v>82</v>
      </c>
      <c r="N48" t="s">
        <v>83</v>
      </c>
      <c r="O48" t="s">
        <v>83</v>
      </c>
      <c r="P48" t="s">
        <v>84</v>
      </c>
      <c r="Q48" t="s">
        <v>162</v>
      </c>
      <c r="R48">
        <v>2</v>
      </c>
      <c r="S48" t="s">
        <v>86</v>
      </c>
      <c r="T48" t="s">
        <v>87</v>
      </c>
      <c r="U48" t="s">
        <v>88</v>
      </c>
      <c r="V48">
        <v>1</v>
      </c>
      <c r="W48" t="s">
        <v>163</v>
      </c>
      <c r="X48" t="s">
        <v>83</v>
      </c>
      <c r="Y48" t="s">
        <v>90</v>
      </c>
      <c r="Z48">
        <v>4000</v>
      </c>
      <c r="AA48">
        <v>4000</v>
      </c>
      <c r="AC48">
        <v>256</v>
      </c>
      <c r="AD48" t="s">
        <v>91</v>
      </c>
      <c r="AE48">
        <v>0.15</v>
      </c>
      <c r="AF48" t="s">
        <v>92</v>
      </c>
      <c r="AG48">
        <v>160</v>
      </c>
      <c r="AH48">
        <v>40</v>
      </c>
      <c r="AI48">
        <v>120</v>
      </c>
      <c r="AJ48">
        <v>0.1229038818828511</v>
      </c>
      <c r="AK48">
        <v>18.289569524960321</v>
      </c>
      <c r="AL48">
        <v>0.65049478569496555</v>
      </c>
      <c r="AM48">
        <v>-0.1203443681578483</v>
      </c>
      <c r="AN48">
        <v>27.252541518610641</v>
      </c>
      <c r="AO48">
        <v>0.59145782953025261</v>
      </c>
      <c r="AP48">
        <v>27.252541518610641</v>
      </c>
      <c r="AQ48">
        <v>27.252541518610641</v>
      </c>
      <c r="AR48">
        <v>0.59145782953025261</v>
      </c>
      <c r="AS48">
        <v>129.3758794719063</v>
      </c>
      <c r="AT48">
        <v>-0.1100074878348786</v>
      </c>
      <c r="AU48">
        <v>0.8</v>
      </c>
      <c r="AV48" t="s">
        <v>93</v>
      </c>
      <c r="AW48">
        <v>8.5422991804586942E-2</v>
      </c>
      <c r="AX48">
        <v>0.37971863111229692</v>
      </c>
      <c r="AY48">
        <v>8.5422991804586942E-2</v>
      </c>
      <c r="AZ48">
        <v>8.5422991804586942E-2</v>
      </c>
      <c r="BA48">
        <v>0.37971863111229692</v>
      </c>
      <c r="BB48">
        <v>0.12261142452529949</v>
      </c>
      <c r="BC48">
        <v>0.10968252645840661</v>
      </c>
      <c r="BD48">
        <v>9.4295851053387503E-2</v>
      </c>
      <c r="BE48">
        <v>0.67328501599749302</v>
      </c>
      <c r="BF48">
        <v>9.4295851053387503E-2</v>
      </c>
      <c r="BG48">
        <v>9.4295851053387503E-2</v>
      </c>
      <c r="BH48">
        <v>0.67328501599749302</v>
      </c>
      <c r="BI48">
        <v>0.31574300449294218</v>
      </c>
      <c r="BJ48">
        <v>-9.398207354224053E-2</v>
      </c>
      <c r="BK48">
        <v>9.4077013219895533E-2</v>
      </c>
      <c r="BL48">
        <v>0.62231054866060265</v>
      </c>
      <c r="BM48">
        <v>9.4077013219895533E-2</v>
      </c>
      <c r="BN48">
        <v>9.4077013219895533E-2</v>
      </c>
      <c r="BO48">
        <v>0.62231054866060265</v>
      </c>
      <c r="BP48">
        <v>0.2452920377861309</v>
      </c>
      <c r="BQ48">
        <v>1.523005462747873E-2</v>
      </c>
      <c r="BR48">
        <v>108.7363702183649</v>
      </c>
      <c r="BS48">
        <v>0.69051712235062424</v>
      </c>
      <c r="BT48">
        <v>108.7363702183649</v>
      </c>
      <c r="BU48">
        <v>108.7363702183649</v>
      </c>
      <c r="BV48">
        <v>0.69051712235062424</v>
      </c>
      <c r="BW48">
        <v>516.81987142081834</v>
      </c>
      <c r="BX48">
        <v>-0.47096045888316079</v>
      </c>
      <c r="BY48" s="5" t="str">
        <f>SUBSTITUTE(TRIM(MID(SUBSTITUTE(SUBSTITUTE(SUBSTITUTE(Tabla1[[#This Row],[map]],"[",""),"]",""),",",REPT(" ",100)),300,300))," ",", ")</f>
        <v>3, 4, 2</v>
      </c>
      <c r="BZ48" s="5" t="str">
        <f>SUBSTITUTE(TRIM(MID(SUBSTITUTE(SUBSTITUTE(SUBSTITUTE(Tabla1[[#This Row],[map]],"[",""),"]",""),",",REPT(" ",100)),901,300))," ",", ")</f>
        <v>0, 1, 4</v>
      </c>
    </row>
    <row r="49" spans="1:78" x14ac:dyDescent="0.3">
      <c r="A49" s="1">
        <v>46113.777060185188</v>
      </c>
      <c r="B49" t="s">
        <v>174</v>
      </c>
      <c r="C49">
        <v>2</v>
      </c>
      <c r="D49" t="s">
        <v>95</v>
      </c>
      <c r="E49" t="s">
        <v>78</v>
      </c>
      <c r="F49">
        <v>16590</v>
      </c>
      <c r="G49">
        <v>4.5</v>
      </c>
      <c r="H49" t="s">
        <v>79</v>
      </c>
      <c r="I49" t="s">
        <v>80</v>
      </c>
      <c r="J49">
        <v>5</v>
      </c>
      <c r="K49">
        <v>5</v>
      </c>
      <c r="L49" t="s">
        <v>81</v>
      </c>
      <c r="M49" t="s">
        <v>82</v>
      </c>
      <c r="N49" t="s">
        <v>83</v>
      </c>
      <c r="O49" t="s">
        <v>83</v>
      </c>
      <c r="P49" t="s">
        <v>84</v>
      </c>
      <c r="Q49" t="s">
        <v>165</v>
      </c>
      <c r="R49">
        <v>2</v>
      </c>
      <c r="S49" t="s">
        <v>86</v>
      </c>
      <c r="T49" t="s">
        <v>87</v>
      </c>
      <c r="U49" t="s">
        <v>88</v>
      </c>
      <c r="V49">
        <v>1</v>
      </c>
      <c r="W49" t="s">
        <v>166</v>
      </c>
      <c r="X49" t="s">
        <v>83</v>
      </c>
      <c r="Y49" t="s">
        <v>90</v>
      </c>
      <c r="Z49">
        <v>4000</v>
      </c>
      <c r="AA49">
        <v>4000</v>
      </c>
      <c r="AC49">
        <v>256</v>
      </c>
      <c r="AD49" t="s">
        <v>91</v>
      </c>
      <c r="AE49">
        <v>0.15</v>
      </c>
      <c r="AF49" t="s">
        <v>92</v>
      </c>
      <c r="AG49">
        <v>160</v>
      </c>
      <c r="AH49">
        <v>40</v>
      </c>
      <c r="AI49">
        <v>120</v>
      </c>
      <c r="AJ49">
        <v>0.1133370935821903</v>
      </c>
      <c r="AK49">
        <v>25.968800180296249</v>
      </c>
      <c r="AL49">
        <v>0.70297724037936571</v>
      </c>
      <c r="AM49">
        <v>-0.813420072144869</v>
      </c>
      <c r="AN49">
        <v>30.15820177382232</v>
      </c>
      <c r="AO49">
        <v>0.68811728945366535</v>
      </c>
      <c r="AP49">
        <v>30.15820177382232</v>
      </c>
      <c r="AQ49">
        <v>30.15820177382232</v>
      </c>
      <c r="AR49">
        <v>0.68811728945366535</v>
      </c>
      <c r="AS49">
        <v>132.85387483277859</v>
      </c>
      <c r="AT49">
        <v>-0.81228635386974379</v>
      </c>
      <c r="AU49">
        <v>0.8</v>
      </c>
      <c r="AV49" t="s">
        <v>93</v>
      </c>
      <c r="AW49">
        <v>5.3965928428333629E-2</v>
      </c>
      <c r="AX49">
        <v>0.60813758390249739</v>
      </c>
      <c r="AY49">
        <v>5.3965928428333629E-2</v>
      </c>
      <c r="AZ49">
        <v>5.3965928428333629E-2</v>
      </c>
      <c r="BA49">
        <v>0.60813758390249739</v>
      </c>
      <c r="BB49">
        <v>0.18973274347780869</v>
      </c>
      <c r="BC49">
        <v>-0.37770503421907953</v>
      </c>
      <c r="BD49">
        <v>6.3617190462895865E-2</v>
      </c>
      <c r="BE49">
        <v>0.77958002253352809</v>
      </c>
      <c r="BF49">
        <v>6.3617190462895865E-2</v>
      </c>
      <c r="BG49">
        <v>6.3617190462895865E-2</v>
      </c>
      <c r="BH49">
        <v>0.77958002253352809</v>
      </c>
      <c r="BI49">
        <v>0.28163104903131569</v>
      </c>
      <c r="BJ49">
        <v>2.420856643225466E-2</v>
      </c>
      <c r="BK49">
        <v>7.2844644184968554E-2</v>
      </c>
      <c r="BL49">
        <v>0.7075517944970644</v>
      </c>
      <c r="BM49">
        <v>7.2844644184968554E-2</v>
      </c>
      <c r="BN49">
        <v>7.2844644184968554E-2</v>
      </c>
      <c r="BO49">
        <v>0.7075517944970644</v>
      </c>
      <c r="BP49">
        <v>0.84362547708013369</v>
      </c>
      <c r="BQ49">
        <v>-2.3868894501313642</v>
      </c>
      <c r="BR49">
        <v>120.44237933221351</v>
      </c>
      <c r="BS49">
        <v>0.65719975688156962</v>
      </c>
      <c r="BT49">
        <v>120.44237933221351</v>
      </c>
      <c r="BU49">
        <v>120.44237933221351</v>
      </c>
      <c r="BV49">
        <v>0.65719975688156962</v>
      </c>
      <c r="BW49">
        <v>530.10051006152537</v>
      </c>
      <c r="BX49">
        <v>-0.50875949756077654</v>
      </c>
      <c r="BY49" s="5" t="str">
        <f>SUBSTITUTE(TRIM(MID(SUBSTITUTE(SUBSTITUTE(SUBSTITUTE(Tabla1[[#This Row],[map]],"[",""),"]",""),",",REPT(" ",100)),300,300))," ",", ")</f>
        <v>2, 3, 4</v>
      </c>
      <c r="BZ49" s="5" t="str">
        <f>SUBSTITUTE(TRIM(MID(SUBSTITUTE(SUBSTITUTE(SUBSTITUTE(Tabla1[[#This Row],[map]],"[",""),"]",""),",",REPT(" ",100)),901,300))," ",", ")</f>
        <v>1, 4, 0</v>
      </c>
    </row>
    <row r="50" spans="1:78" x14ac:dyDescent="0.3">
      <c r="A50" s="1">
        <v>46113.777696759258</v>
      </c>
      <c r="B50" t="s">
        <v>175</v>
      </c>
      <c r="C50">
        <v>2</v>
      </c>
      <c r="D50" t="s">
        <v>95</v>
      </c>
      <c r="E50" t="s">
        <v>78</v>
      </c>
      <c r="F50">
        <v>16590</v>
      </c>
      <c r="G50">
        <v>4.5</v>
      </c>
      <c r="H50" t="s">
        <v>79</v>
      </c>
      <c r="I50" t="s">
        <v>80</v>
      </c>
      <c r="J50">
        <v>5</v>
      </c>
      <c r="K50">
        <v>5</v>
      </c>
      <c r="L50" t="s">
        <v>81</v>
      </c>
      <c r="M50" t="s">
        <v>82</v>
      </c>
      <c r="N50" t="s">
        <v>83</v>
      </c>
      <c r="O50" t="s">
        <v>83</v>
      </c>
      <c r="P50" t="s">
        <v>84</v>
      </c>
      <c r="Q50" t="s">
        <v>168</v>
      </c>
      <c r="R50">
        <v>2</v>
      </c>
      <c r="S50" t="s">
        <v>86</v>
      </c>
      <c r="T50" t="s">
        <v>87</v>
      </c>
      <c r="U50" t="s">
        <v>88</v>
      </c>
      <c r="V50">
        <v>1</v>
      </c>
      <c r="W50" t="s">
        <v>169</v>
      </c>
      <c r="X50" t="s">
        <v>83</v>
      </c>
      <c r="Y50" t="s">
        <v>90</v>
      </c>
      <c r="Z50">
        <v>4000</v>
      </c>
      <c r="AA50">
        <v>4000</v>
      </c>
      <c r="AC50">
        <v>256</v>
      </c>
      <c r="AD50" t="s">
        <v>91</v>
      </c>
      <c r="AE50">
        <v>0.15</v>
      </c>
      <c r="AF50" t="s">
        <v>92</v>
      </c>
      <c r="AG50">
        <v>160</v>
      </c>
      <c r="AH50">
        <v>40</v>
      </c>
      <c r="AI50">
        <v>120</v>
      </c>
      <c r="AJ50">
        <v>0.11842396841280189</v>
      </c>
      <c r="AK50">
        <v>22.974957777600359</v>
      </c>
      <c r="AL50">
        <v>0.65521726074036679</v>
      </c>
      <c r="AM50">
        <v>-0.77308079793668105</v>
      </c>
      <c r="AN50">
        <v>27.280164011163698</v>
      </c>
      <c r="AO50">
        <v>0.6051648336920239</v>
      </c>
      <c r="AP50">
        <v>27.280164011163698</v>
      </c>
      <c r="AQ50">
        <v>27.280164011163698</v>
      </c>
      <c r="AR50">
        <v>0.6051648336920239</v>
      </c>
      <c r="AS50">
        <v>131.86856405869321</v>
      </c>
      <c r="AT50">
        <v>-0.73694137982904118</v>
      </c>
      <c r="AU50">
        <v>0.8</v>
      </c>
      <c r="AV50" t="s">
        <v>93</v>
      </c>
      <c r="AW50">
        <v>9.5736779610438291E-2</v>
      </c>
      <c r="AX50">
        <v>0.30482719634183658</v>
      </c>
      <c r="AY50">
        <v>9.5736779610438291E-2</v>
      </c>
      <c r="AZ50">
        <v>9.5736779610438291E-2</v>
      </c>
      <c r="BA50">
        <v>0.30482719634183658</v>
      </c>
      <c r="BB50">
        <v>0.1201571073325534</v>
      </c>
      <c r="BC50">
        <v>0.12750404260810699</v>
      </c>
      <c r="BD50">
        <v>8.1736610018897829E-2</v>
      </c>
      <c r="BE50">
        <v>0.71680010375404501</v>
      </c>
      <c r="BF50">
        <v>8.1736610018897829E-2</v>
      </c>
      <c r="BG50">
        <v>8.1736610018897829E-2</v>
      </c>
      <c r="BH50">
        <v>0.71680010375404501</v>
      </c>
      <c r="BI50">
        <v>0.43015508045119072</v>
      </c>
      <c r="BJ50">
        <v>-0.49039548037632552</v>
      </c>
      <c r="BK50">
        <v>7.2509532463619922E-2</v>
      </c>
      <c r="BL50">
        <v>0.70889716206180342</v>
      </c>
      <c r="BM50">
        <v>7.2509532463619922E-2</v>
      </c>
      <c r="BN50">
        <v>7.2509532463619922E-2</v>
      </c>
      <c r="BO50">
        <v>0.70889716206180342</v>
      </c>
      <c r="BP50">
        <v>0.76901311033959396</v>
      </c>
      <c r="BQ50">
        <v>-2.087344397701822</v>
      </c>
      <c r="BR50">
        <v>108.8706731225611</v>
      </c>
      <c r="BS50">
        <v>0.6901348726104144</v>
      </c>
      <c r="BT50">
        <v>108.8706731225611</v>
      </c>
      <c r="BU50">
        <v>108.8706731225611</v>
      </c>
      <c r="BV50">
        <v>0.6901348726104144</v>
      </c>
      <c r="BW50">
        <v>526.15493093665134</v>
      </c>
      <c r="BX50">
        <v>-0.49752968384612761</v>
      </c>
      <c r="BY50" s="5" t="str">
        <f>SUBSTITUTE(TRIM(MID(SUBSTITUTE(SUBSTITUTE(SUBSTITUTE(Tabla1[[#This Row],[map]],"[",""),"]",""),",",REPT(" ",100)),300,300))," ",", ")</f>
        <v>3, 4, 2</v>
      </c>
      <c r="BZ50" s="5" t="str">
        <f>SUBSTITUTE(TRIM(MID(SUBSTITUTE(SUBSTITUTE(SUBSTITUTE(Tabla1[[#This Row],[map]],"[",""),"]",""),",",REPT(" ",100)),901,300))," ",", ")</f>
        <v>1, 4, 0</v>
      </c>
    </row>
    <row r="51" spans="1:78" x14ac:dyDescent="0.3">
      <c r="A51" s="1">
        <v>46113.868020833332</v>
      </c>
      <c r="B51" t="s">
        <v>176</v>
      </c>
      <c r="C51">
        <v>3</v>
      </c>
      <c r="D51" t="s">
        <v>95</v>
      </c>
      <c r="E51" t="s">
        <v>78</v>
      </c>
      <c r="F51">
        <v>16590</v>
      </c>
      <c r="G51">
        <v>4.5</v>
      </c>
      <c r="H51" t="s">
        <v>79</v>
      </c>
      <c r="I51" t="s">
        <v>80</v>
      </c>
      <c r="J51">
        <v>5</v>
      </c>
      <c r="K51">
        <v>5</v>
      </c>
      <c r="L51" t="s">
        <v>81</v>
      </c>
      <c r="M51" t="s">
        <v>82</v>
      </c>
      <c r="N51" t="s">
        <v>83</v>
      </c>
      <c r="O51" t="s">
        <v>83</v>
      </c>
      <c r="P51" t="s">
        <v>84</v>
      </c>
      <c r="Q51" t="s">
        <v>162</v>
      </c>
      <c r="R51">
        <v>2</v>
      </c>
      <c r="S51" t="s">
        <v>86</v>
      </c>
      <c r="T51" t="s">
        <v>87</v>
      </c>
      <c r="U51" t="s">
        <v>88</v>
      </c>
      <c r="V51">
        <v>1</v>
      </c>
      <c r="W51" t="s">
        <v>163</v>
      </c>
      <c r="X51" t="s">
        <v>83</v>
      </c>
      <c r="Y51" t="s">
        <v>90</v>
      </c>
      <c r="Z51">
        <v>4000</v>
      </c>
      <c r="AA51">
        <v>4000</v>
      </c>
      <c r="AC51">
        <v>256</v>
      </c>
      <c r="AD51" t="s">
        <v>91</v>
      </c>
      <c r="AE51">
        <v>0.15</v>
      </c>
      <c r="AF51" t="s">
        <v>92</v>
      </c>
      <c r="AG51">
        <v>160</v>
      </c>
      <c r="AH51">
        <v>40</v>
      </c>
      <c r="AI51">
        <v>120</v>
      </c>
      <c r="AJ51">
        <v>0.1329712610734132</v>
      </c>
      <c r="AK51">
        <v>23.682266284565269</v>
      </c>
      <c r="AL51">
        <v>0.64094234087510249</v>
      </c>
      <c r="AM51">
        <v>-1.496795239830714E-2</v>
      </c>
      <c r="AN51">
        <v>34.228938789973952</v>
      </c>
      <c r="AO51">
        <v>0.60513676856031251</v>
      </c>
      <c r="AP51">
        <v>34.228938789973952</v>
      </c>
      <c r="AQ51">
        <v>34.228938789973952</v>
      </c>
      <c r="AR51">
        <v>0.60513676856031251</v>
      </c>
      <c r="AS51">
        <v>140.67174077945151</v>
      </c>
      <c r="AT51">
        <v>-8.0136938039742228E-2</v>
      </c>
      <c r="AU51">
        <v>0.8</v>
      </c>
      <c r="AV51" t="s">
        <v>93</v>
      </c>
      <c r="AW51">
        <v>8.1553297312694881E-2</v>
      </c>
      <c r="AX51">
        <v>0.40781761647795722</v>
      </c>
      <c r="AY51">
        <v>8.1553297312694881E-2</v>
      </c>
      <c r="AZ51">
        <v>8.1553297312694881E-2</v>
      </c>
      <c r="BA51">
        <v>0.40781761647795722</v>
      </c>
      <c r="BB51">
        <v>0.1631000354352575</v>
      </c>
      <c r="BC51">
        <v>-0.18431713884296469</v>
      </c>
      <c r="BD51">
        <v>8.6863438234488777E-2</v>
      </c>
      <c r="BE51">
        <v>0.69903673898530183</v>
      </c>
      <c r="BF51">
        <v>8.6863438234488777E-2</v>
      </c>
      <c r="BG51">
        <v>8.6863438234488777E-2</v>
      </c>
      <c r="BH51">
        <v>0.69903673898530183</v>
      </c>
      <c r="BI51">
        <v>0.2251635984000393</v>
      </c>
      <c r="BJ51">
        <v>0.21985622243797509</v>
      </c>
      <c r="BK51">
        <v>7.4055902981991564E-2</v>
      </c>
      <c r="BL51">
        <v>0.70268897355048177</v>
      </c>
      <c r="BM51">
        <v>7.4055902981991564E-2</v>
      </c>
      <c r="BN51">
        <v>7.4055902981991564E-2</v>
      </c>
      <c r="BO51">
        <v>0.70268897355048177</v>
      </c>
      <c r="BP51">
        <v>0.18836396317211609</v>
      </c>
      <c r="BQ51">
        <v>0.24377826774430869</v>
      </c>
      <c r="BR51">
        <v>136.67328252136639</v>
      </c>
      <c r="BS51">
        <v>0.61100374522751233</v>
      </c>
      <c r="BT51">
        <v>136.67328252136639</v>
      </c>
      <c r="BU51">
        <v>136.67328252136639</v>
      </c>
      <c r="BV51">
        <v>0.61100374522751233</v>
      </c>
      <c r="BW51">
        <v>562.11033552080028</v>
      </c>
      <c r="BX51">
        <v>-0.59986510349829669</v>
      </c>
      <c r="BY51" s="5" t="str">
        <f>SUBSTITUTE(TRIM(MID(SUBSTITUTE(SUBSTITUTE(SUBSTITUTE(Tabla1[[#This Row],[map]],"[",""),"]",""),",",REPT(" ",100)),300,300))," ",", ")</f>
        <v>3, 4, 2</v>
      </c>
      <c r="BZ51" s="5" t="str">
        <f>SUBSTITUTE(TRIM(MID(SUBSTITUTE(SUBSTITUTE(SUBSTITUTE(Tabla1[[#This Row],[map]],"[",""),"]",""),",",REPT(" ",100)),901,300))," ",", ")</f>
        <v>0, 1, 4</v>
      </c>
    </row>
    <row r="52" spans="1:78" x14ac:dyDescent="0.3">
      <c r="A52" s="1">
        <v>46113.868819444448</v>
      </c>
      <c r="B52" t="s">
        <v>177</v>
      </c>
      <c r="C52">
        <v>3</v>
      </c>
      <c r="D52" t="s">
        <v>95</v>
      </c>
      <c r="E52" t="s">
        <v>78</v>
      </c>
      <c r="F52">
        <v>16590</v>
      </c>
      <c r="G52">
        <v>4.5</v>
      </c>
      <c r="H52" t="s">
        <v>79</v>
      </c>
      <c r="I52" t="s">
        <v>80</v>
      </c>
      <c r="J52">
        <v>5</v>
      </c>
      <c r="K52">
        <v>5</v>
      </c>
      <c r="L52" t="s">
        <v>81</v>
      </c>
      <c r="M52" t="s">
        <v>82</v>
      </c>
      <c r="N52" t="s">
        <v>83</v>
      </c>
      <c r="O52" t="s">
        <v>83</v>
      </c>
      <c r="P52" t="s">
        <v>84</v>
      </c>
      <c r="Q52" t="s">
        <v>168</v>
      </c>
      <c r="R52">
        <v>2</v>
      </c>
      <c r="S52" t="s">
        <v>86</v>
      </c>
      <c r="T52" t="s">
        <v>87</v>
      </c>
      <c r="U52" t="s">
        <v>88</v>
      </c>
      <c r="V52">
        <v>1</v>
      </c>
      <c r="W52" t="s">
        <v>169</v>
      </c>
      <c r="X52" t="s">
        <v>83</v>
      </c>
      <c r="Y52" t="s">
        <v>90</v>
      </c>
      <c r="Z52">
        <v>4000</v>
      </c>
      <c r="AA52">
        <v>4000</v>
      </c>
      <c r="AC52">
        <v>256</v>
      </c>
      <c r="AD52" t="s">
        <v>91</v>
      </c>
      <c r="AE52">
        <v>0.15</v>
      </c>
      <c r="AF52" t="s">
        <v>92</v>
      </c>
      <c r="AG52">
        <v>160</v>
      </c>
      <c r="AH52">
        <v>40</v>
      </c>
      <c r="AI52">
        <v>120</v>
      </c>
      <c r="AJ52">
        <v>0.12930208604100141</v>
      </c>
      <c r="AK52">
        <v>21.88126389326084</v>
      </c>
      <c r="AL52">
        <v>0.63669671025303143</v>
      </c>
      <c r="AM52">
        <v>-0.60204243828164294</v>
      </c>
      <c r="AN52">
        <v>25.750396558682841</v>
      </c>
      <c r="AO52">
        <v>0.63900413810435985</v>
      </c>
      <c r="AP52">
        <v>25.750396558682841</v>
      </c>
      <c r="AQ52">
        <v>25.750396558682841</v>
      </c>
      <c r="AR52">
        <v>0.63900413810435985</v>
      </c>
      <c r="AS52">
        <v>111.2920270288209</v>
      </c>
      <c r="AT52">
        <v>-0.30163803486040469</v>
      </c>
      <c r="AU52">
        <v>0.8</v>
      </c>
      <c r="AV52" t="s">
        <v>93</v>
      </c>
      <c r="AW52">
        <v>8.9684382913759048E-2</v>
      </c>
      <c r="AX52">
        <v>0.34877542185769861</v>
      </c>
      <c r="AY52">
        <v>8.9684382913759048E-2</v>
      </c>
      <c r="AZ52">
        <v>8.9684382913759048E-2</v>
      </c>
      <c r="BA52">
        <v>0.34877542185769861</v>
      </c>
      <c r="BB52">
        <v>0.1182106161101403</v>
      </c>
      <c r="BC52">
        <v>0.14163808561526731</v>
      </c>
      <c r="BD52">
        <v>8.1336701262963093E-2</v>
      </c>
      <c r="BE52">
        <v>0.71818570218004263</v>
      </c>
      <c r="BF52">
        <v>8.1336701262963093E-2</v>
      </c>
      <c r="BG52">
        <v>8.1336701262963093E-2</v>
      </c>
      <c r="BH52">
        <v>0.71818570218004263</v>
      </c>
      <c r="BI52">
        <v>0.39987133745311798</v>
      </c>
      <c r="BJ52">
        <v>-0.38546877895072851</v>
      </c>
      <c r="BK52">
        <v>5.4406654078132118E-2</v>
      </c>
      <c r="BL52">
        <v>0.78157449280462044</v>
      </c>
      <c r="BM52">
        <v>5.4406654078132118E-2</v>
      </c>
      <c r="BN52">
        <v>5.4406654078132118E-2</v>
      </c>
      <c r="BO52">
        <v>0.78157449280462044</v>
      </c>
      <c r="BP52">
        <v>0.42304033492774817</v>
      </c>
      <c r="BQ52">
        <v>-0.69837313627114672</v>
      </c>
      <c r="BR52">
        <v>102.7761584964764</v>
      </c>
      <c r="BS52">
        <v>0.70748093557507974</v>
      </c>
      <c r="BT52">
        <v>102.7761584964764</v>
      </c>
      <c r="BU52">
        <v>102.7761584964764</v>
      </c>
      <c r="BV52">
        <v>0.70748093557507974</v>
      </c>
      <c r="BW52">
        <v>444.2269858267922</v>
      </c>
      <c r="BX52">
        <v>-0.26434830983501539</v>
      </c>
      <c r="BY52" s="5" t="str">
        <f>SUBSTITUTE(TRIM(MID(SUBSTITUTE(SUBSTITUTE(SUBSTITUTE(Tabla1[[#This Row],[map]],"[",""),"]",""),",",REPT(" ",100)),300,300))," ",", ")</f>
        <v>3, 4, 2</v>
      </c>
      <c r="BZ52" s="5" t="str">
        <f>SUBSTITUTE(TRIM(MID(SUBSTITUTE(SUBSTITUTE(SUBSTITUTE(Tabla1[[#This Row],[map]],"[",""),"]",""),",",REPT(" ",100)),901,300))," ",", ")</f>
        <v>1, 4, 0</v>
      </c>
    </row>
    <row r="53" spans="1:78" x14ac:dyDescent="0.3">
      <c r="A53" s="1">
        <v>46113.868460648147</v>
      </c>
      <c r="B53" t="s">
        <v>178</v>
      </c>
      <c r="C53">
        <v>3</v>
      </c>
      <c r="D53" t="s">
        <v>77</v>
      </c>
      <c r="E53" t="s">
        <v>78</v>
      </c>
      <c r="F53">
        <v>16590</v>
      </c>
      <c r="G53">
        <v>4.5</v>
      </c>
      <c r="H53" t="s">
        <v>79</v>
      </c>
      <c r="I53" t="s">
        <v>80</v>
      </c>
      <c r="J53">
        <v>5</v>
      </c>
      <c r="K53">
        <v>5</v>
      </c>
      <c r="L53" t="s">
        <v>81</v>
      </c>
      <c r="M53" t="s">
        <v>82</v>
      </c>
      <c r="N53" t="s">
        <v>83</v>
      </c>
      <c r="O53" t="s">
        <v>83</v>
      </c>
      <c r="P53" t="s">
        <v>84</v>
      </c>
      <c r="Q53" t="s">
        <v>165</v>
      </c>
      <c r="R53">
        <v>2</v>
      </c>
      <c r="S53" t="s">
        <v>86</v>
      </c>
      <c r="T53" t="s">
        <v>87</v>
      </c>
      <c r="U53" t="s">
        <v>88</v>
      </c>
      <c r="V53">
        <v>1</v>
      </c>
      <c r="W53" t="s">
        <v>166</v>
      </c>
      <c r="X53" t="s">
        <v>83</v>
      </c>
      <c r="Y53" t="s">
        <v>90</v>
      </c>
      <c r="Z53">
        <v>4000</v>
      </c>
      <c r="AA53">
        <v>4000</v>
      </c>
      <c r="AC53">
        <v>256</v>
      </c>
      <c r="AD53" t="s">
        <v>91</v>
      </c>
      <c r="AE53">
        <v>0.15</v>
      </c>
      <c r="AF53" t="s">
        <v>92</v>
      </c>
      <c r="AG53">
        <v>160</v>
      </c>
      <c r="AH53">
        <v>40</v>
      </c>
      <c r="AI53">
        <v>120</v>
      </c>
      <c r="AJ53">
        <v>0.1148048358151737</v>
      </c>
      <c r="AK53">
        <v>18.062810944349309</v>
      </c>
      <c r="AL53">
        <v>0.72303421114476307</v>
      </c>
      <c r="AM53">
        <v>-0.23420516346457079</v>
      </c>
      <c r="AN53">
        <v>22.615831542437181</v>
      </c>
      <c r="AO53">
        <v>0.71306898945457142</v>
      </c>
      <c r="AP53">
        <v>22.615831542437181</v>
      </c>
      <c r="AQ53">
        <v>22.615831542437181</v>
      </c>
      <c r="AR53">
        <v>0.71306898945457142</v>
      </c>
      <c r="AS53">
        <v>103.5044793686754</v>
      </c>
      <c r="AT53">
        <v>-7.4675840168736435E-2</v>
      </c>
      <c r="AU53">
        <v>0.8</v>
      </c>
      <c r="AV53" t="s">
        <v>93</v>
      </c>
      <c r="AW53">
        <v>6.0161692467336297E-2</v>
      </c>
      <c r="AX53">
        <v>0.56314832611333843</v>
      </c>
      <c r="AY53">
        <v>6.0161692467336297E-2</v>
      </c>
      <c r="AZ53">
        <v>6.0161692467336297E-2</v>
      </c>
      <c r="BA53">
        <v>0.56314832611333843</v>
      </c>
      <c r="BB53">
        <v>0.1711316966264626</v>
      </c>
      <c r="BC53">
        <v>-0.24263738369600671</v>
      </c>
      <c r="BD53">
        <v>6.4192019355956864E-2</v>
      </c>
      <c r="BE53">
        <v>0.77758836319218261</v>
      </c>
      <c r="BF53">
        <v>6.4192019355956864E-2</v>
      </c>
      <c r="BG53">
        <v>6.4192019355956864E-2</v>
      </c>
      <c r="BH53">
        <v>0.77758836319218261</v>
      </c>
      <c r="BI53">
        <v>0.16726578407691131</v>
      </c>
      <c r="BJ53">
        <v>0.42045978313600801</v>
      </c>
      <c r="BK53">
        <v>5.7664371922515723E-2</v>
      </c>
      <c r="BL53">
        <v>0.76849578608177993</v>
      </c>
      <c r="BM53">
        <v>5.7664371922515723E-2</v>
      </c>
      <c r="BN53">
        <v>5.7664371922515723E-2</v>
      </c>
      <c r="BO53">
        <v>0.76849578608177993</v>
      </c>
      <c r="BP53">
        <v>0.32382191847798392</v>
      </c>
      <c r="BQ53">
        <v>-0.30004257719946131</v>
      </c>
      <c r="BR53">
        <v>90.281308086003037</v>
      </c>
      <c r="BS53">
        <v>0.74304348243098595</v>
      </c>
      <c r="BT53">
        <v>90.281308086003037</v>
      </c>
      <c r="BU53">
        <v>90.281308086003037</v>
      </c>
      <c r="BV53">
        <v>0.74304348243098595</v>
      </c>
      <c r="BW53">
        <v>413.35569807552008</v>
      </c>
      <c r="BX53">
        <v>-0.17648318291548559</v>
      </c>
      <c r="BY53" s="5" t="str">
        <f>SUBSTITUTE(TRIM(MID(SUBSTITUTE(SUBSTITUTE(SUBSTITUTE(Tabla1[[#This Row],[map]],"[",""),"]",""),",",REPT(" ",100)),300,300))," ",", ")</f>
        <v>2, 3, 4</v>
      </c>
      <c r="BZ53" s="5" t="str">
        <f>SUBSTITUTE(TRIM(MID(SUBSTITUTE(SUBSTITUTE(SUBSTITUTE(Tabla1[[#This Row],[map]],"[",""),"]",""),",",REPT(" ",100)),901,300))," ",", ")</f>
        <v>1, 4, 0</v>
      </c>
    </row>
    <row r="54" spans="1:78" x14ac:dyDescent="0.3">
      <c r="A54" s="1">
        <v>46113.959409722222</v>
      </c>
      <c r="B54" t="s">
        <v>179</v>
      </c>
      <c r="C54">
        <v>4</v>
      </c>
      <c r="D54" t="s">
        <v>77</v>
      </c>
      <c r="E54" t="s">
        <v>78</v>
      </c>
      <c r="F54">
        <v>16590</v>
      </c>
      <c r="G54">
        <v>4.5</v>
      </c>
      <c r="H54" t="s">
        <v>79</v>
      </c>
      <c r="I54" t="s">
        <v>80</v>
      </c>
      <c r="J54">
        <v>5</v>
      </c>
      <c r="K54">
        <v>5</v>
      </c>
      <c r="L54" t="s">
        <v>81</v>
      </c>
      <c r="M54" t="s">
        <v>82</v>
      </c>
      <c r="N54" t="s">
        <v>83</v>
      </c>
      <c r="O54" t="s">
        <v>83</v>
      </c>
      <c r="P54" t="s">
        <v>84</v>
      </c>
      <c r="Q54" t="s">
        <v>168</v>
      </c>
      <c r="R54">
        <v>2</v>
      </c>
      <c r="S54" t="s">
        <v>86</v>
      </c>
      <c r="T54" t="s">
        <v>87</v>
      </c>
      <c r="U54" t="s">
        <v>88</v>
      </c>
      <c r="V54">
        <v>1</v>
      </c>
      <c r="W54" t="s">
        <v>169</v>
      </c>
      <c r="X54" t="s">
        <v>83</v>
      </c>
      <c r="Y54" t="s">
        <v>90</v>
      </c>
      <c r="Z54">
        <v>4000</v>
      </c>
      <c r="AA54">
        <v>4000</v>
      </c>
      <c r="AC54">
        <v>256</v>
      </c>
      <c r="AD54" t="s">
        <v>91</v>
      </c>
      <c r="AE54">
        <v>0.15</v>
      </c>
      <c r="AF54" t="s">
        <v>92</v>
      </c>
      <c r="AG54">
        <v>160</v>
      </c>
      <c r="AH54">
        <v>40</v>
      </c>
      <c r="AI54">
        <v>120</v>
      </c>
      <c r="AJ54">
        <v>0.1249751377746393</v>
      </c>
      <c r="AK54">
        <v>23.806642493178298</v>
      </c>
      <c r="AL54">
        <v>0.6206287957052663</v>
      </c>
      <c r="AM54">
        <v>-0.20568393192390211</v>
      </c>
      <c r="AN54">
        <v>29.893629532989081</v>
      </c>
      <c r="AO54">
        <v>0.59535528577559482</v>
      </c>
      <c r="AP54">
        <v>29.893629532989081</v>
      </c>
      <c r="AQ54">
        <v>29.893629532989081</v>
      </c>
      <c r="AR54">
        <v>0.59535528577559482</v>
      </c>
      <c r="AS54">
        <v>96.302766919461263</v>
      </c>
      <c r="AT54">
        <v>-0.12932759771736699</v>
      </c>
      <c r="AU54">
        <v>0.8</v>
      </c>
      <c r="AV54" t="s">
        <v>93</v>
      </c>
      <c r="AW54">
        <v>8.0598141426545533E-2</v>
      </c>
      <c r="AX54">
        <v>0.41475328318835741</v>
      </c>
      <c r="AY54">
        <v>8.0598141426545533E-2</v>
      </c>
      <c r="AZ54">
        <v>8.0598141426545533E-2</v>
      </c>
      <c r="BA54">
        <v>0.41475328318835741</v>
      </c>
      <c r="BB54">
        <v>0.1267098768376537</v>
      </c>
      <c r="BC54">
        <v>7.992246354181487E-2</v>
      </c>
      <c r="BD54">
        <v>8.4249502562107614E-2</v>
      </c>
      <c r="BE54">
        <v>0.70809346780046556</v>
      </c>
      <c r="BF54">
        <v>8.4249502562107614E-2</v>
      </c>
      <c r="BG54">
        <v>8.4249502562107614E-2</v>
      </c>
      <c r="BH54">
        <v>0.70809346780046556</v>
      </c>
      <c r="BI54">
        <v>0.30082011472673531</v>
      </c>
      <c r="BJ54">
        <v>-4.2277447763137348E-2</v>
      </c>
      <c r="BK54">
        <v>0.10009494003699219</v>
      </c>
      <c r="BL54">
        <v>0.59815047597167514</v>
      </c>
      <c r="BM54">
        <v>0.10009494003699219</v>
      </c>
      <c r="BN54">
        <v>0.10009494003699219</v>
      </c>
      <c r="BO54">
        <v>0.59815047597167514</v>
      </c>
      <c r="BP54">
        <v>0.36387157280235122</v>
      </c>
      <c r="BQ54">
        <v>-0.46082927152984482</v>
      </c>
      <c r="BR54">
        <v>119.309575547931</v>
      </c>
      <c r="BS54">
        <v>0.6604239161418779</v>
      </c>
      <c r="BT54">
        <v>119.309575547931</v>
      </c>
      <c r="BU54">
        <v>119.309575547931</v>
      </c>
      <c r="BV54">
        <v>0.6604239161418779</v>
      </c>
      <c r="BW54">
        <v>384.4196661134792</v>
      </c>
      <c r="BX54">
        <v>-9.4126135118296483E-2</v>
      </c>
      <c r="BY54" s="5" t="str">
        <f>SUBSTITUTE(TRIM(MID(SUBSTITUTE(SUBSTITUTE(SUBSTITUTE(Tabla1[[#This Row],[map]],"[",""),"]",""),",",REPT(" ",100)),300,300))," ",", ")</f>
        <v>3, 4, 2</v>
      </c>
      <c r="BZ54" s="5" t="str">
        <f>SUBSTITUTE(TRIM(MID(SUBSTITUTE(SUBSTITUTE(SUBSTITUTE(Tabla1[[#This Row],[map]],"[",""),"]",""),",",REPT(" ",100)),901,300))," ",", ")</f>
        <v>1, 4, 0</v>
      </c>
    </row>
    <row r="55" spans="1:78" x14ac:dyDescent="0.3">
      <c r="A55" s="1">
        <v>46113.958819444437</v>
      </c>
      <c r="B55" t="s">
        <v>180</v>
      </c>
      <c r="C55">
        <v>4</v>
      </c>
      <c r="D55" t="s">
        <v>77</v>
      </c>
      <c r="E55" t="s">
        <v>78</v>
      </c>
      <c r="F55">
        <v>16590</v>
      </c>
      <c r="G55">
        <v>4.5</v>
      </c>
      <c r="H55" t="s">
        <v>79</v>
      </c>
      <c r="I55" t="s">
        <v>80</v>
      </c>
      <c r="J55">
        <v>5</v>
      </c>
      <c r="K55">
        <v>5</v>
      </c>
      <c r="L55" t="s">
        <v>81</v>
      </c>
      <c r="M55" t="s">
        <v>82</v>
      </c>
      <c r="N55" t="s">
        <v>83</v>
      </c>
      <c r="O55" t="s">
        <v>83</v>
      </c>
      <c r="P55" t="s">
        <v>84</v>
      </c>
      <c r="Q55" t="s">
        <v>162</v>
      </c>
      <c r="R55">
        <v>2</v>
      </c>
      <c r="S55" t="s">
        <v>86</v>
      </c>
      <c r="T55" t="s">
        <v>87</v>
      </c>
      <c r="U55" t="s">
        <v>88</v>
      </c>
      <c r="V55">
        <v>1</v>
      </c>
      <c r="W55" t="s">
        <v>163</v>
      </c>
      <c r="X55" t="s">
        <v>83</v>
      </c>
      <c r="Y55" t="s">
        <v>90</v>
      </c>
      <c r="Z55">
        <v>4000</v>
      </c>
      <c r="AA55">
        <v>4000</v>
      </c>
      <c r="AC55">
        <v>256</v>
      </c>
      <c r="AD55" t="s">
        <v>91</v>
      </c>
      <c r="AE55">
        <v>0.15</v>
      </c>
      <c r="AF55" t="s">
        <v>92</v>
      </c>
      <c r="AG55">
        <v>160</v>
      </c>
      <c r="AH55">
        <v>40</v>
      </c>
      <c r="AI55">
        <v>120</v>
      </c>
      <c r="AJ55">
        <v>0.1028597418670212</v>
      </c>
      <c r="AK55">
        <v>23.078271117688701</v>
      </c>
      <c r="AL55">
        <v>0.69223020754370301</v>
      </c>
      <c r="AM55">
        <v>0.30735486218700642</v>
      </c>
      <c r="AN55">
        <v>37.80580530112924</v>
      </c>
      <c r="AO55">
        <v>0.63773843163947741</v>
      </c>
      <c r="AP55">
        <v>37.80580530112924</v>
      </c>
      <c r="AQ55">
        <v>37.80580530112924</v>
      </c>
      <c r="AR55">
        <v>0.63773843163947741</v>
      </c>
      <c r="AS55">
        <v>78.233228861978432</v>
      </c>
      <c r="AT55">
        <v>0.26317731451649451</v>
      </c>
      <c r="AU55">
        <v>0.8</v>
      </c>
      <c r="AV55" t="s">
        <v>93</v>
      </c>
      <c r="AW55">
        <v>8.520656890494048E-2</v>
      </c>
      <c r="AX55">
        <v>0.3812901411895655</v>
      </c>
      <c r="AY55">
        <v>8.520656890494048E-2</v>
      </c>
      <c r="AZ55">
        <v>8.520656890494048E-2</v>
      </c>
      <c r="BA55">
        <v>0.3812901411895655</v>
      </c>
      <c r="BB55">
        <v>0.1102971308515967</v>
      </c>
      <c r="BC55">
        <v>0.19910022040060629</v>
      </c>
      <c r="BD55">
        <v>6.766165435410898E-2</v>
      </c>
      <c r="BE55">
        <v>0.76556681897520518</v>
      </c>
      <c r="BF55">
        <v>6.766165435410898E-2</v>
      </c>
      <c r="BG55">
        <v>6.766165435410898E-2</v>
      </c>
      <c r="BH55">
        <v>0.76556681897520518</v>
      </c>
      <c r="BI55">
        <v>0.1974836661472236</v>
      </c>
      <c r="BJ55">
        <v>0.31576127575839158</v>
      </c>
      <c r="BK55">
        <v>4.1360194048952963E-2</v>
      </c>
      <c r="BL55">
        <v>0.83395190320161616</v>
      </c>
      <c r="BM55">
        <v>4.1360194048952963E-2</v>
      </c>
      <c r="BN55">
        <v>4.1360194048952963E-2</v>
      </c>
      <c r="BO55">
        <v>0.83395190320161616</v>
      </c>
      <c r="BP55">
        <v>0.14266928616095401</v>
      </c>
      <c r="BQ55">
        <v>0.42722794263074487</v>
      </c>
      <c r="BR55">
        <v>151.02899278720969</v>
      </c>
      <c r="BS55">
        <v>0.57014486319152269</v>
      </c>
      <c r="BT55">
        <v>151.02899278720969</v>
      </c>
      <c r="BU55">
        <v>151.02899278720969</v>
      </c>
      <c r="BV55">
        <v>0.57014486319152269</v>
      </c>
      <c r="BW55">
        <v>312.48246536475659</v>
      </c>
      <c r="BX55">
        <v>0.1106198192762283</v>
      </c>
      <c r="BY55" s="5" t="str">
        <f>SUBSTITUTE(TRIM(MID(SUBSTITUTE(SUBSTITUTE(SUBSTITUTE(Tabla1[[#This Row],[map]],"[",""),"]",""),",",REPT(" ",100)),300,300))," ",", ")</f>
        <v>3, 4, 2</v>
      </c>
      <c r="BZ55" s="5" t="str">
        <f>SUBSTITUTE(TRIM(MID(SUBSTITUTE(SUBSTITUTE(SUBSTITUTE(Tabla1[[#This Row],[map]],"[",""),"]",""),",",REPT(" ",100)),901,300))," ",", ")</f>
        <v>0, 1, 4</v>
      </c>
    </row>
    <row r="56" spans="1:78" x14ac:dyDescent="0.3">
      <c r="A56" s="1">
        <v>46113.960185185177</v>
      </c>
      <c r="B56" t="s">
        <v>181</v>
      </c>
      <c r="C56">
        <v>4</v>
      </c>
      <c r="D56" t="s">
        <v>95</v>
      </c>
      <c r="E56" t="s">
        <v>78</v>
      </c>
      <c r="F56">
        <v>16590</v>
      </c>
      <c r="G56">
        <v>4.5</v>
      </c>
      <c r="H56" t="s">
        <v>79</v>
      </c>
      <c r="I56" t="s">
        <v>80</v>
      </c>
      <c r="J56">
        <v>5</v>
      </c>
      <c r="K56">
        <v>5</v>
      </c>
      <c r="L56" t="s">
        <v>81</v>
      </c>
      <c r="M56" t="s">
        <v>82</v>
      </c>
      <c r="N56" t="s">
        <v>83</v>
      </c>
      <c r="O56" t="s">
        <v>83</v>
      </c>
      <c r="P56" t="s">
        <v>84</v>
      </c>
      <c r="Q56" t="s">
        <v>165</v>
      </c>
      <c r="R56">
        <v>2</v>
      </c>
      <c r="S56" t="s">
        <v>86</v>
      </c>
      <c r="T56" t="s">
        <v>87</v>
      </c>
      <c r="U56" t="s">
        <v>88</v>
      </c>
      <c r="V56">
        <v>1</v>
      </c>
      <c r="W56" t="s">
        <v>166</v>
      </c>
      <c r="X56" t="s">
        <v>83</v>
      </c>
      <c r="Y56" t="s">
        <v>90</v>
      </c>
      <c r="Z56">
        <v>4000</v>
      </c>
      <c r="AA56">
        <v>4000</v>
      </c>
      <c r="AC56">
        <v>256</v>
      </c>
      <c r="AD56" t="s">
        <v>91</v>
      </c>
      <c r="AE56">
        <v>0.15</v>
      </c>
      <c r="AF56" t="s">
        <v>92</v>
      </c>
      <c r="AG56">
        <v>160</v>
      </c>
      <c r="AH56">
        <v>40</v>
      </c>
      <c r="AI56">
        <v>120</v>
      </c>
      <c r="AJ56">
        <v>0.1149541668149533</v>
      </c>
      <c r="AK56">
        <v>22.958876350085379</v>
      </c>
      <c r="AL56">
        <v>0.67145953468962871</v>
      </c>
      <c r="AM56">
        <v>4.278008857793697E-3</v>
      </c>
      <c r="AN56">
        <v>28.917580075691149</v>
      </c>
      <c r="AO56">
        <v>0.63978352238290104</v>
      </c>
      <c r="AP56">
        <v>28.917580075691149</v>
      </c>
      <c r="AQ56">
        <v>28.917580075691149</v>
      </c>
      <c r="AR56">
        <v>0.63978352238290104</v>
      </c>
      <c r="AS56">
        <v>99.875997273586435</v>
      </c>
      <c r="AT56">
        <v>1.7167932973211539E-2</v>
      </c>
      <c r="AU56">
        <v>0.8</v>
      </c>
      <c r="AV56" t="s">
        <v>93</v>
      </c>
      <c r="AW56">
        <v>7.3333793174557668E-2</v>
      </c>
      <c r="AX56">
        <v>0.46750184399886829</v>
      </c>
      <c r="AY56">
        <v>7.3333793174557668E-2</v>
      </c>
      <c r="AZ56">
        <v>7.3333793174557668E-2</v>
      </c>
      <c r="BA56">
        <v>0.46750184399886829</v>
      </c>
      <c r="BB56">
        <v>0.1594517089927974</v>
      </c>
      <c r="BC56">
        <v>-0.1578255717358894</v>
      </c>
      <c r="BD56">
        <v>5.6516003481491099E-2</v>
      </c>
      <c r="BE56">
        <v>0.80418411873830087</v>
      </c>
      <c r="BF56">
        <v>5.6516003481491099E-2</v>
      </c>
      <c r="BG56">
        <v>5.6516003481491099E-2</v>
      </c>
      <c r="BH56">
        <v>0.80418411873830087</v>
      </c>
      <c r="BI56">
        <v>0.2196236657658856</v>
      </c>
      <c r="BJ56">
        <v>0.239050905785366</v>
      </c>
      <c r="BK56">
        <v>9.5642788280044619E-2</v>
      </c>
      <c r="BL56">
        <v>0.61602445705173814</v>
      </c>
      <c r="BM56">
        <v>9.5642788280044619E-2</v>
      </c>
      <c r="BN56">
        <v>9.5642788280044619E-2</v>
      </c>
      <c r="BO56">
        <v>0.61602445705173814</v>
      </c>
      <c r="BP56">
        <v>0.21849681981112631</v>
      </c>
      <c r="BQ56">
        <v>0.1228043794186358</v>
      </c>
      <c r="BR56">
        <v>115.4448277178286</v>
      </c>
      <c r="BS56">
        <v>0.67142366974269529</v>
      </c>
      <c r="BT56">
        <v>115.4448277178286</v>
      </c>
      <c r="BU56">
        <v>115.4448277178286</v>
      </c>
      <c r="BV56">
        <v>0.67142366974269529</v>
      </c>
      <c r="BW56">
        <v>398.90641689977718</v>
      </c>
      <c r="BX56">
        <v>-0.13535798157527551</v>
      </c>
      <c r="BY56" s="5" t="str">
        <f>SUBSTITUTE(TRIM(MID(SUBSTITUTE(SUBSTITUTE(SUBSTITUTE(Tabla1[[#This Row],[map]],"[",""),"]",""),",",REPT(" ",100)),300,300))," ",", ")</f>
        <v>2, 3, 4</v>
      </c>
      <c r="BZ56" s="5" t="str">
        <f>SUBSTITUTE(TRIM(MID(SUBSTITUTE(SUBSTITUTE(SUBSTITUTE(Tabla1[[#This Row],[map]],"[",""),"]",""),",",REPT(" ",100)),901,300))," ",", ")</f>
        <v>1, 4, 0</v>
      </c>
    </row>
    <row r="57" spans="1:78" x14ac:dyDescent="0.3">
      <c r="A57" s="1">
        <v>46114.049687500003</v>
      </c>
      <c r="B57" t="s">
        <v>182</v>
      </c>
      <c r="C57">
        <v>5</v>
      </c>
      <c r="D57" t="s">
        <v>95</v>
      </c>
      <c r="E57" t="s">
        <v>78</v>
      </c>
      <c r="F57">
        <v>16590</v>
      </c>
      <c r="G57">
        <v>4.5</v>
      </c>
      <c r="H57" t="s">
        <v>79</v>
      </c>
      <c r="I57" t="s">
        <v>80</v>
      </c>
      <c r="J57">
        <v>5</v>
      </c>
      <c r="K57">
        <v>5</v>
      </c>
      <c r="L57" t="s">
        <v>81</v>
      </c>
      <c r="M57" t="s">
        <v>82</v>
      </c>
      <c r="N57" t="s">
        <v>83</v>
      </c>
      <c r="O57" t="s">
        <v>83</v>
      </c>
      <c r="P57" t="s">
        <v>84</v>
      </c>
      <c r="Q57" t="s">
        <v>168</v>
      </c>
      <c r="R57">
        <v>2</v>
      </c>
      <c r="S57" t="s">
        <v>86</v>
      </c>
      <c r="T57" t="s">
        <v>87</v>
      </c>
      <c r="U57" t="s">
        <v>88</v>
      </c>
      <c r="V57">
        <v>1</v>
      </c>
      <c r="W57" t="s">
        <v>169</v>
      </c>
      <c r="X57" t="s">
        <v>83</v>
      </c>
      <c r="Y57" t="s">
        <v>90</v>
      </c>
      <c r="Z57">
        <v>4000</v>
      </c>
      <c r="AA57">
        <v>4000</v>
      </c>
      <c r="AC57">
        <v>256</v>
      </c>
      <c r="AD57" t="s">
        <v>91</v>
      </c>
      <c r="AE57">
        <v>0.15</v>
      </c>
      <c r="AF57" t="s">
        <v>92</v>
      </c>
      <c r="AG57">
        <v>160</v>
      </c>
      <c r="AH57">
        <v>40</v>
      </c>
      <c r="AI57">
        <v>120</v>
      </c>
      <c r="AJ57">
        <v>0.11387041448660259</v>
      </c>
      <c r="AK57">
        <v>19.177443439258841</v>
      </c>
      <c r="AL57">
        <v>0.71314181372348351</v>
      </c>
      <c r="AM57">
        <v>-0.18606126885491159</v>
      </c>
      <c r="AN57">
        <v>24.576673605058531</v>
      </c>
      <c r="AO57">
        <v>0.64835714618807594</v>
      </c>
      <c r="AP57">
        <v>24.576673605058531</v>
      </c>
      <c r="AQ57">
        <v>24.576673605058531</v>
      </c>
      <c r="AR57">
        <v>0.64835714618807594</v>
      </c>
      <c r="AS57">
        <v>114.33088059568431</v>
      </c>
      <c r="AT57">
        <v>-0.11486773732722159</v>
      </c>
      <c r="AU57">
        <v>0.8</v>
      </c>
      <c r="AV57" t="s">
        <v>93</v>
      </c>
      <c r="AW57">
        <v>7.038063228398328E-2</v>
      </c>
      <c r="AX57">
        <v>0.48894561037901918</v>
      </c>
      <c r="AY57">
        <v>7.038063228398328E-2</v>
      </c>
      <c r="AZ57">
        <v>7.038063228398328E-2</v>
      </c>
      <c r="BA57">
        <v>0.48894561037901918</v>
      </c>
      <c r="BB57">
        <v>0.1162649661593177</v>
      </c>
      <c r="BC57">
        <v>0.15576601990295089</v>
      </c>
      <c r="BD57">
        <v>0.1103958385221942</v>
      </c>
      <c r="BE57">
        <v>0.61750199808577577</v>
      </c>
      <c r="BF57">
        <v>0.1103958385221942</v>
      </c>
      <c r="BG57">
        <v>0.1103958385221942</v>
      </c>
      <c r="BH57">
        <v>0.61750199808577577</v>
      </c>
      <c r="BI57">
        <v>0.34514067647831809</v>
      </c>
      <c r="BJ57">
        <v>-0.19583872815767189</v>
      </c>
      <c r="BK57">
        <v>5.8261423189793257E-2</v>
      </c>
      <c r="BL57">
        <v>0.76609881409211378</v>
      </c>
      <c r="BM57">
        <v>5.8261423189793257E-2</v>
      </c>
      <c r="BN57">
        <v>5.8261423189793257E-2</v>
      </c>
      <c r="BO57">
        <v>0.76609881409211378</v>
      </c>
      <c r="BP57">
        <v>0.27894652144764798</v>
      </c>
      <c r="BQ57">
        <v>-0.1198820522962238</v>
      </c>
      <c r="BR57">
        <v>98.067656526238025</v>
      </c>
      <c r="BS57">
        <v>0.72088216219539791</v>
      </c>
      <c r="BT57">
        <v>98.067656526238025</v>
      </c>
      <c r="BU57">
        <v>98.067656526238025</v>
      </c>
      <c r="BV57">
        <v>0.72088216219539791</v>
      </c>
      <c r="BW57">
        <v>456.58317021865417</v>
      </c>
      <c r="BX57">
        <v>-0.29951618875795832</v>
      </c>
      <c r="BY57" s="5" t="str">
        <f>SUBSTITUTE(TRIM(MID(SUBSTITUTE(SUBSTITUTE(SUBSTITUTE(Tabla1[[#This Row],[map]],"[",""),"]",""),",",REPT(" ",100)),300,300))," ",", ")</f>
        <v>3, 4, 2</v>
      </c>
      <c r="BZ57" s="5" t="str">
        <f>SUBSTITUTE(TRIM(MID(SUBSTITUTE(SUBSTITUTE(SUBSTITUTE(Tabla1[[#This Row],[map]],"[",""),"]",""),",",REPT(" ",100)),901,300))," ",", ")</f>
        <v>1, 4, 0</v>
      </c>
    </row>
    <row r="58" spans="1:78" x14ac:dyDescent="0.3">
      <c r="A58" s="1">
        <v>46114.049710648149</v>
      </c>
      <c r="B58" t="s">
        <v>183</v>
      </c>
      <c r="C58">
        <v>5</v>
      </c>
      <c r="D58" t="s">
        <v>77</v>
      </c>
      <c r="E58" t="s">
        <v>78</v>
      </c>
      <c r="F58">
        <v>16590</v>
      </c>
      <c r="G58">
        <v>4.5</v>
      </c>
      <c r="H58" t="s">
        <v>79</v>
      </c>
      <c r="I58" t="s">
        <v>80</v>
      </c>
      <c r="J58">
        <v>5</v>
      </c>
      <c r="K58">
        <v>5</v>
      </c>
      <c r="L58" t="s">
        <v>81</v>
      </c>
      <c r="M58" t="s">
        <v>82</v>
      </c>
      <c r="N58" t="s">
        <v>83</v>
      </c>
      <c r="O58" t="s">
        <v>83</v>
      </c>
      <c r="P58" t="s">
        <v>84</v>
      </c>
      <c r="Q58" t="s">
        <v>162</v>
      </c>
      <c r="R58">
        <v>2</v>
      </c>
      <c r="S58" t="s">
        <v>86</v>
      </c>
      <c r="T58" t="s">
        <v>87</v>
      </c>
      <c r="U58" t="s">
        <v>88</v>
      </c>
      <c r="V58">
        <v>1</v>
      </c>
      <c r="W58" t="s">
        <v>163</v>
      </c>
      <c r="X58" t="s">
        <v>83</v>
      </c>
      <c r="Y58" t="s">
        <v>90</v>
      </c>
      <c r="Z58">
        <v>4000</v>
      </c>
      <c r="AA58">
        <v>4000</v>
      </c>
      <c r="AC58">
        <v>256</v>
      </c>
      <c r="AD58" t="s">
        <v>91</v>
      </c>
      <c r="AE58">
        <v>0.15</v>
      </c>
      <c r="AF58" t="s">
        <v>92</v>
      </c>
      <c r="AG58">
        <v>160</v>
      </c>
      <c r="AH58">
        <v>40</v>
      </c>
      <c r="AI58">
        <v>120</v>
      </c>
      <c r="AJ58">
        <v>0.12785743875796859</v>
      </c>
      <c r="AK58">
        <v>28.119758896507651</v>
      </c>
      <c r="AL58">
        <v>0.66136097595380694</v>
      </c>
      <c r="AM58">
        <v>-1.88501569413487E-2</v>
      </c>
      <c r="AN58">
        <v>44.998600829907723</v>
      </c>
      <c r="AO58">
        <v>0.58283631375832523</v>
      </c>
      <c r="AP58">
        <v>44.998600829907723</v>
      </c>
      <c r="AQ58">
        <v>44.998600829907723</v>
      </c>
      <c r="AR58">
        <v>0.58283631375832523</v>
      </c>
      <c r="AS58">
        <v>82.821479627670612</v>
      </c>
      <c r="AT58">
        <v>5.702811730827681E-2</v>
      </c>
      <c r="AU58">
        <v>0.8</v>
      </c>
      <c r="AV58" t="s">
        <v>93</v>
      </c>
      <c r="AW58">
        <v>6.2037000457737183E-2</v>
      </c>
      <c r="AX58">
        <v>0.54953116540755476</v>
      </c>
      <c r="AY58">
        <v>6.2037000457737183E-2</v>
      </c>
      <c r="AZ58">
        <v>6.2037000457737183E-2</v>
      </c>
      <c r="BA58">
        <v>0.54953116540755476</v>
      </c>
      <c r="BB58">
        <v>0.1277562031894853</v>
      </c>
      <c r="BC58">
        <v>7.2324781370929236E-2</v>
      </c>
      <c r="BD58">
        <v>0.1014934449345169</v>
      </c>
      <c r="BE58">
        <v>0.64834689047595373</v>
      </c>
      <c r="BF58">
        <v>0.1014934449345169</v>
      </c>
      <c r="BG58">
        <v>0.1014934449345169</v>
      </c>
      <c r="BH58">
        <v>0.64834689047595373</v>
      </c>
      <c r="BI58">
        <v>0.33160488389164922</v>
      </c>
      <c r="BJ58">
        <v>-0.14894009784666259</v>
      </c>
      <c r="BK58">
        <v>8.8413958491657132E-2</v>
      </c>
      <c r="BL58">
        <v>0.64504592215948209</v>
      </c>
      <c r="BM58">
        <v>8.8413958491657132E-2</v>
      </c>
      <c r="BN58">
        <v>8.8413958491657132E-2</v>
      </c>
      <c r="BO58">
        <v>0.64504592215948209</v>
      </c>
      <c r="BP58">
        <v>0.18786441618825939</v>
      </c>
      <c r="BQ58">
        <v>0.24578379087683061</v>
      </c>
      <c r="BR58">
        <v>179.74245891574631</v>
      </c>
      <c r="BS58">
        <v>0.48842127699031102</v>
      </c>
      <c r="BT58">
        <v>179.74245891574631</v>
      </c>
      <c r="BU58">
        <v>179.74245891574631</v>
      </c>
      <c r="BV58">
        <v>0.48842127699031102</v>
      </c>
      <c r="BW58">
        <v>330.63869300741112</v>
      </c>
      <c r="BX58">
        <v>5.8943994832009072E-2</v>
      </c>
      <c r="BY58" s="5" t="str">
        <f>SUBSTITUTE(TRIM(MID(SUBSTITUTE(SUBSTITUTE(SUBSTITUTE(Tabla1[[#This Row],[map]],"[",""),"]",""),",",REPT(" ",100)),300,300))," ",", ")</f>
        <v>3, 4, 2</v>
      </c>
      <c r="BZ58" s="5" t="str">
        <f>SUBSTITUTE(TRIM(MID(SUBSTITUTE(SUBSTITUTE(SUBSTITUTE(Tabla1[[#This Row],[map]],"[",""),"]",""),",",REPT(" ",100)),901,300))," ",", ")</f>
        <v>0, 1, 4</v>
      </c>
    </row>
    <row r="59" spans="1:78" x14ac:dyDescent="0.3">
      <c r="A59" s="1">
        <v>46114.051215277781</v>
      </c>
      <c r="B59" t="s">
        <v>184</v>
      </c>
      <c r="C59">
        <v>5</v>
      </c>
      <c r="D59" t="s">
        <v>95</v>
      </c>
      <c r="E59" t="s">
        <v>78</v>
      </c>
      <c r="F59">
        <v>16590</v>
      </c>
      <c r="G59">
        <v>4.5</v>
      </c>
      <c r="H59" t="s">
        <v>79</v>
      </c>
      <c r="I59" t="s">
        <v>80</v>
      </c>
      <c r="J59">
        <v>5</v>
      </c>
      <c r="K59">
        <v>5</v>
      </c>
      <c r="L59" t="s">
        <v>81</v>
      </c>
      <c r="M59" t="s">
        <v>82</v>
      </c>
      <c r="N59" t="s">
        <v>83</v>
      </c>
      <c r="O59" t="s">
        <v>83</v>
      </c>
      <c r="P59" t="s">
        <v>84</v>
      </c>
      <c r="Q59" t="s">
        <v>165</v>
      </c>
      <c r="R59">
        <v>2</v>
      </c>
      <c r="S59" t="s">
        <v>86</v>
      </c>
      <c r="T59" t="s">
        <v>87</v>
      </c>
      <c r="U59" t="s">
        <v>88</v>
      </c>
      <c r="V59">
        <v>1</v>
      </c>
      <c r="W59" t="s">
        <v>166</v>
      </c>
      <c r="X59" t="s">
        <v>83</v>
      </c>
      <c r="Y59" t="s">
        <v>90</v>
      </c>
      <c r="Z59">
        <v>4000</v>
      </c>
      <c r="AA59">
        <v>4000</v>
      </c>
      <c r="AC59">
        <v>256</v>
      </c>
      <c r="AD59" t="s">
        <v>91</v>
      </c>
      <c r="AE59">
        <v>0.15</v>
      </c>
      <c r="AF59" t="s">
        <v>92</v>
      </c>
      <c r="AG59">
        <v>160</v>
      </c>
      <c r="AH59">
        <v>40</v>
      </c>
      <c r="AI59">
        <v>120</v>
      </c>
      <c r="AJ59">
        <v>0.126985970891343</v>
      </c>
      <c r="AK59">
        <v>21.195291889550901</v>
      </c>
      <c r="AL59">
        <v>0.63086319764687504</v>
      </c>
      <c r="AM59">
        <v>-8.8012298889971891E-2</v>
      </c>
      <c r="AN59">
        <v>26.19291256227222</v>
      </c>
      <c r="AO59">
        <v>0.56695236572847851</v>
      </c>
      <c r="AP59">
        <v>26.19291256227222</v>
      </c>
      <c r="AQ59">
        <v>26.19291256227222</v>
      </c>
      <c r="AR59">
        <v>0.56695236572847851</v>
      </c>
      <c r="AS59">
        <v>111.1834772070895</v>
      </c>
      <c r="AT59">
        <v>-5.4972623726953267E-2</v>
      </c>
      <c r="AU59">
        <v>0.8</v>
      </c>
      <c r="AV59" t="s">
        <v>93</v>
      </c>
      <c r="AW59">
        <v>0.109052924752121</v>
      </c>
      <c r="AX59">
        <v>0.20813476538969611</v>
      </c>
      <c r="AY59">
        <v>0.109052924752121</v>
      </c>
      <c r="AZ59">
        <v>0.109052924752121</v>
      </c>
      <c r="BA59">
        <v>0.20813476538969611</v>
      </c>
      <c r="BB59">
        <v>0.1639534656788329</v>
      </c>
      <c r="BC59">
        <v>-0.19051414586123999</v>
      </c>
      <c r="BD59">
        <v>0.1117621309807259</v>
      </c>
      <c r="BE59">
        <v>0.61276808653245396</v>
      </c>
      <c r="BF59">
        <v>0.1117621309807259</v>
      </c>
      <c r="BG59">
        <v>0.1117621309807259</v>
      </c>
      <c r="BH59">
        <v>0.61276808653245396</v>
      </c>
      <c r="BI59">
        <v>0.16919473932210399</v>
      </c>
      <c r="BJ59">
        <v>0.41377636520155542</v>
      </c>
      <c r="BK59">
        <v>6.3692330627834859E-2</v>
      </c>
      <c r="BL59">
        <v>0.74429543853474445</v>
      </c>
      <c r="BM59">
        <v>6.3692330627834859E-2</v>
      </c>
      <c r="BN59">
        <v>6.3692330627834859E-2</v>
      </c>
      <c r="BO59">
        <v>0.74429543853474445</v>
      </c>
      <c r="BP59">
        <v>0.2937082581988249</v>
      </c>
      <c r="BQ59">
        <v>-0.179145756186746</v>
      </c>
      <c r="BR59">
        <v>104.48714286272811</v>
      </c>
      <c r="BS59">
        <v>0.70261117245702365</v>
      </c>
      <c r="BT59">
        <v>104.48714286272811</v>
      </c>
      <c r="BU59">
        <v>104.48714286272811</v>
      </c>
      <c r="BV59">
        <v>0.70261117245702365</v>
      </c>
      <c r="BW59">
        <v>444.10705236515793</v>
      </c>
      <c r="BX59">
        <v>-0.26400695806137692</v>
      </c>
      <c r="BY59" s="5" t="str">
        <f>SUBSTITUTE(TRIM(MID(SUBSTITUTE(SUBSTITUTE(SUBSTITUTE(Tabla1[[#This Row],[map]],"[",""),"]",""),",",REPT(" ",100)),300,300))," ",", ")</f>
        <v>2, 3, 4</v>
      </c>
      <c r="BZ59" s="5" t="str">
        <f>SUBSTITUTE(TRIM(MID(SUBSTITUTE(SUBSTITUTE(SUBSTITUTE(Tabla1[[#This Row],[map]],"[",""),"]",""),",",REPT(" ",100)),901,300))," ",", ")</f>
        <v>1, 4, 0</v>
      </c>
    </row>
    <row r="60" spans="1:78" x14ac:dyDescent="0.3">
      <c r="A60" s="1">
        <v>46114.126099537039</v>
      </c>
      <c r="B60" t="s">
        <v>185</v>
      </c>
      <c r="C60">
        <v>6</v>
      </c>
      <c r="D60" t="s">
        <v>77</v>
      </c>
      <c r="E60" t="s">
        <v>78</v>
      </c>
      <c r="F60">
        <v>16590</v>
      </c>
      <c r="G60">
        <v>4.5</v>
      </c>
      <c r="H60" t="s">
        <v>79</v>
      </c>
      <c r="I60" t="s">
        <v>80</v>
      </c>
      <c r="J60">
        <v>5</v>
      </c>
      <c r="K60">
        <v>5</v>
      </c>
      <c r="L60" t="s">
        <v>81</v>
      </c>
      <c r="M60" t="s">
        <v>82</v>
      </c>
      <c r="N60" t="s">
        <v>83</v>
      </c>
      <c r="O60" t="s">
        <v>83</v>
      </c>
      <c r="P60" t="s">
        <v>84</v>
      </c>
      <c r="Q60" t="s">
        <v>168</v>
      </c>
      <c r="R60">
        <v>2</v>
      </c>
      <c r="S60" t="s">
        <v>86</v>
      </c>
      <c r="T60" t="s">
        <v>87</v>
      </c>
      <c r="U60" t="s">
        <v>88</v>
      </c>
      <c r="V60">
        <v>1</v>
      </c>
      <c r="W60" t="s">
        <v>169</v>
      </c>
      <c r="X60" t="s">
        <v>83</v>
      </c>
      <c r="Y60" t="s">
        <v>90</v>
      </c>
      <c r="Z60">
        <v>4000</v>
      </c>
      <c r="AA60">
        <v>4000</v>
      </c>
      <c r="AC60">
        <v>256</v>
      </c>
      <c r="AD60" t="s">
        <v>91</v>
      </c>
      <c r="AE60">
        <v>0.15</v>
      </c>
      <c r="AF60" t="s">
        <v>92</v>
      </c>
      <c r="AG60">
        <v>160</v>
      </c>
      <c r="AH60">
        <v>40</v>
      </c>
      <c r="AI60">
        <v>120</v>
      </c>
      <c r="AJ60">
        <v>0.12035220293172171</v>
      </c>
      <c r="AK60">
        <v>20.5889465372865</v>
      </c>
      <c r="AL60">
        <v>0.70978916852812313</v>
      </c>
      <c r="AM60">
        <v>-0.16272741905358909</v>
      </c>
      <c r="AN60">
        <v>26.64983611165222</v>
      </c>
      <c r="AO60">
        <v>0.66216378532488696</v>
      </c>
      <c r="AP60">
        <v>26.64983611165222</v>
      </c>
      <c r="AQ60">
        <v>26.64983611165222</v>
      </c>
      <c r="AR60">
        <v>0.66216378532488696</v>
      </c>
      <c r="AS60">
        <v>100.58180505322041</v>
      </c>
      <c r="AT60">
        <v>-0.13432365063759469</v>
      </c>
      <c r="AU60">
        <v>0.8</v>
      </c>
      <c r="AV60" t="s">
        <v>93</v>
      </c>
      <c r="AW60">
        <v>5.3092461323671347E-2</v>
      </c>
      <c r="AX60">
        <v>0.6144800844390943</v>
      </c>
      <c r="AY60">
        <v>5.3092461323671347E-2</v>
      </c>
      <c r="AZ60">
        <v>5.3092461323671347E-2</v>
      </c>
      <c r="BA60">
        <v>0.6144800844390943</v>
      </c>
      <c r="BB60">
        <v>0.2030776798197047</v>
      </c>
      <c r="BC60">
        <v>-0.47460652651059682</v>
      </c>
      <c r="BD60">
        <v>9.6620671624307181E-2</v>
      </c>
      <c r="BE60">
        <v>0.66523000925910858</v>
      </c>
      <c r="BF60">
        <v>9.6620671624307181E-2</v>
      </c>
      <c r="BG60">
        <v>9.6620671624307181E-2</v>
      </c>
      <c r="BH60">
        <v>0.66523000925910858</v>
      </c>
      <c r="BI60">
        <v>0.2871711976233135</v>
      </c>
      <c r="BJ60">
        <v>5.0131348370588968E-3</v>
      </c>
      <c r="BK60">
        <v>8.1778121619716218E-2</v>
      </c>
      <c r="BL60">
        <v>0.671686708272482</v>
      </c>
      <c r="BM60">
        <v>8.1778121619716218E-2</v>
      </c>
      <c r="BN60">
        <v>8.1778121619716218E-2</v>
      </c>
      <c r="BO60">
        <v>0.671686708272482</v>
      </c>
      <c r="BP60">
        <v>0.23031898718631261</v>
      </c>
      <c r="BQ60">
        <v>7.5342116781323187E-2</v>
      </c>
      <c r="BR60">
        <v>106.3678531920407</v>
      </c>
      <c r="BS60">
        <v>0.69725833932886538</v>
      </c>
      <c r="BT60">
        <v>106.3678531920407</v>
      </c>
      <c r="BU60">
        <v>106.3678531920407</v>
      </c>
      <c r="BV60">
        <v>0.69725833932886538</v>
      </c>
      <c r="BW60">
        <v>401.60665234825029</v>
      </c>
      <c r="BX60">
        <v>-0.1430433276581555</v>
      </c>
      <c r="BY60" s="5" t="str">
        <f>SUBSTITUTE(TRIM(MID(SUBSTITUTE(SUBSTITUTE(SUBSTITUTE(Tabla1[[#This Row],[map]],"[",""),"]",""),",",REPT(" ",100)),300,300))," ",", ")</f>
        <v>3, 4, 2</v>
      </c>
      <c r="BZ60" s="5" t="str">
        <f>SUBSTITUTE(TRIM(MID(SUBSTITUTE(SUBSTITUTE(SUBSTITUTE(Tabla1[[#This Row],[map]],"[",""),"]",""),",",REPT(" ",100)),901,300))," ",", ")</f>
        <v>1, 4, 0</v>
      </c>
    </row>
    <row r="61" spans="1:78" x14ac:dyDescent="0.3">
      <c r="A61" s="1">
        <v>46114.126631944448</v>
      </c>
      <c r="B61" t="s">
        <v>186</v>
      </c>
      <c r="C61">
        <v>6</v>
      </c>
      <c r="D61" t="s">
        <v>95</v>
      </c>
      <c r="E61" t="s">
        <v>78</v>
      </c>
      <c r="F61">
        <v>16590</v>
      </c>
      <c r="G61">
        <v>4.5</v>
      </c>
      <c r="H61" t="s">
        <v>79</v>
      </c>
      <c r="I61" t="s">
        <v>80</v>
      </c>
      <c r="J61">
        <v>5</v>
      </c>
      <c r="K61">
        <v>5</v>
      </c>
      <c r="L61" t="s">
        <v>81</v>
      </c>
      <c r="M61" t="s">
        <v>82</v>
      </c>
      <c r="N61" t="s">
        <v>83</v>
      </c>
      <c r="O61" t="s">
        <v>83</v>
      </c>
      <c r="P61" t="s">
        <v>84</v>
      </c>
      <c r="Q61" t="s">
        <v>162</v>
      </c>
      <c r="R61">
        <v>2</v>
      </c>
      <c r="S61" t="s">
        <v>86</v>
      </c>
      <c r="T61" t="s">
        <v>87</v>
      </c>
      <c r="U61" t="s">
        <v>88</v>
      </c>
      <c r="V61">
        <v>1</v>
      </c>
      <c r="W61" t="s">
        <v>163</v>
      </c>
      <c r="X61" t="s">
        <v>83</v>
      </c>
      <c r="Y61" t="s">
        <v>90</v>
      </c>
      <c r="Z61">
        <v>4000</v>
      </c>
      <c r="AA61">
        <v>4000</v>
      </c>
      <c r="AC61">
        <v>256</v>
      </c>
      <c r="AD61" t="s">
        <v>91</v>
      </c>
      <c r="AE61">
        <v>0.15</v>
      </c>
      <c r="AF61" t="s">
        <v>92</v>
      </c>
      <c r="AG61">
        <v>160</v>
      </c>
      <c r="AH61">
        <v>40</v>
      </c>
      <c r="AI61">
        <v>120</v>
      </c>
      <c r="AJ61">
        <v>0.14659105412741019</v>
      </c>
      <c r="AK61">
        <v>31.74112735187402</v>
      </c>
      <c r="AL61">
        <v>0.62241160099656812</v>
      </c>
      <c r="AM61">
        <v>-0.1997932088607158</v>
      </c>
      <c r="AN61">
        <v>44.947034627958679</v>
      </c>
      <c r="AO61">
        <v>0.55006132999184221</v>
      </c>
      <c r="AP61">
        <v>44.947034627958679</v>
      </c>
      <c r="AQ61">
        <v>44.947034627958679</v>
      </c>
      <c r="AR61">
        <v>0.55006132999184221</v>
      </c>
      <c r="AS61">
        <v>129.80834315030251</v>
      </c>
      <c r="AT61">
        <v>-0.24793358102052121</v>
      </c>
      <c r="AU61">
        <v>0.8</v>
      </c>
      <c r="AV61" t="s">
        <v>93</v>
      </c>
      <c r="AW61">
        <v>6.3632900926069075E-2</v>
      </c>
      <c r="AX61">
        <v>0.53794286457433249</v>
      </c>
      <c r="AY61">
        <v>6.3632900926069075E-2</v>
      </c>
      <c r="AZ61">
        <v>6.3632900926069075E-2</v>
      </c>
      <c r="BA61">
        <v>0.53794286457433249</v>
      </c>
      <c r="BB61">
        <v>0.1700714292776197</v>
      </c>
      <c r="BC61">
        <v>-0.23493847186168831</v>
      </c>
      <c r="BD61">
        <v>8.8135015567196148E-2</v>
      </c>
      <c r="BE61">
        <v>0.69463099511351456</v>
      </c>
      <c r="BF61">
        <v>8.8135015567196148E-2</v>
      </c>
      <c r="BG61">
        <v>8.8135015567196148E-2</v>
      </c>
      <c r="BH61">
        <v>0.69463099511351456</v>
      </c>
      <c r="BI61">
        <v>0.31359558948065491</v>
      </c>
      <c r="BJ61">
        <v>-8.6541739173881416E-2</v>
      </c>
      <c r="BK61">
        <v>0.1298785805602802</v>
      </c>
      <c r="BL61">
        <v>0.4785785798929042</v>
      </c>
      <c r="BM61">
        <v>0.1298785805602802</v>
      </c>
      <c r="BN61">
        <v>0.1298785805602802</v>
      </c>
      <c r="BO61">
        <v>0.4785785798929042</v>
      </c>
      <c r="BP61">
        <v>0.29756962974129619</v>
      </c>
      <c r="BQ61">
        <v>-0.19464794157059401</v>
      </c>
      <c r="BR61">
        <v>179.5064920147814</v>
      </c>
      <c r="BS61">
        <v>0.48909288038661702</v>
      </c>
      <c r="BT61">
        <v>179.5064920147814</v>
      </c>
      <c r="BU61">
        <v>179.5064920147814</v>
      </c>
      <c r="BV61">
        <v>0.48909288038661702</v>
      </c>
      <c r="BW61">
        <v>518.4521359527115</v>
      </c>
      <c r="BX61">
        <v>-0.47560617147592832</v>
      </c>
      <c r="BY61" s="5" t="str">
        <f>SUBSTITUTE(TRIM(MID(SUBSTITUTE(SUBSTITUTE(SUBSTITUTE(Tabla1[[#This Row],[map]],"[",""),"]",""),",",REPT(" ",100)),300,300))," ",", ")</f>
        <v>3, 4, 2</v>
      </c>
      <c r="BZ61" s="5" t="str">
        <f>SUBSTITUTE(TRIM(MID(SUBSTITUTE(SUBSTITUTE(SUBSTITUTE(Tabla1[[#This Row],[map]],"[",""),"]",""),",",REPT(" ",100)),901,300))," ",", ")</f>
        <v>0, 1, 4</v>
      </c>
    </row>
    <row r="62" spans="1:78" x14ac:dyDescent="0.3">
      <c r="A62" s="1">
        <v>46114.127025462964</v>
      </c>
      <c r="B62" t="s">
        <v>187</v>
      </c>
      <c r="C62">
        <v>6</v>
      </c>
      <c r="D62" t="s">
        <v>77</v>
      </c>
      <c r="E62" t="s">
        <v>78</v>
      </c>
      <c r="F62">
        <v>16590</v>
      </c>
      <c r="G62">
        <v>4.5</v>
      </c>
      <c r="H62" t="s">
        <v>79</v>
      </c>
      <c r="I62" t="s">
        <v>80</v>
      </c>
      <c r="J62">
        <v>5</v>
      </c>
      <c r="K62">
        <v>5</v>
      </c>
      <c r="L62" t="s">
        <v>81</v>
      </c>
      <c r="M62" t="s">
        <v>82</v>
      </c>
      <c r="N62" t="s">
        <v>83</v>
      </c>
      <c r="O62" t="s">
        <v>83</v>
      </c>
      <c r="P62" t="s">
        <v>84</v>
      </c>
      <c r="Q62" t="s">
        <v>165</v>
      </c>
      <c r="R62">
        <v>2</v>
      </c>
      <c r="S62" t="s">
        <v>86</v>
      </c>
      <c r="T62" t="s">
        <v>87</v>
      </c>
      <c r="U62" t="s">
        <v>88</v>
      </c>
      <c r="V62">
        <v>1</v>
      </c>
      <c r="W62" t="s">
        <v>166</v>
      </c>
      <c r="X62" t="s">
        <v>83</v>
      </c>
      <c r="Y62" t="s">
        <v>90</v>
      </c>
      <c r="Z62">
        <v>4000</v>
      </c>
      <c r="AA62">
        <v>4000</v>
      </c>
      <c r="AC62">
        <v>256</v>
      </c>
      <c r="AD62" t="s">
        <v>91</v>
      </c>
      <c r="AE62">
        <v>0.15</v>
      </c>
      <c r="AF62" t="s">
        <v>92</v>
      </c>
      <c r="AG62">
        <v>160</v>
      </c>
      <c r="AH62">
        <v>40</v>
      </c>
      <c r="AI62">
        <v>120</v>
      </c>
      <c r="AJ62">
        <v>0.1144319900869139</v>
      </c>
      <c r="AK62">
        <v>16.918610329643339</v>
      </c>
      <c r="AL62">
        <v>0.7007586301593326</v>
      </c>
      <c r="AM62">
        <v>-1.166883308940283</v>
      </c>
      <c r="AN62">
        <v>24.605370947344909</v>
      </c>
      <c r="AO62">
        <v>0.67317417571815175</v>
      </c>
      <c r="AP62">
        <v>24.605370947344909</v>
      </c>
      <c r="AQ62">
        <v>24.605370947344909</v>
      </c>
      <c r="AR62">
        <v>0.67317417571815175</v>
      </c>
      <c r="AS62">
        <v>123.4715719552394</v>
      </c>
      <c r="AT62">
        <v>-0.93949067916040618</v>
      </c>
      <c r="AU62">
        <v>0.8</v>
      </c>
      <c r="AV62" t="s">
        <v>93</v>
      </c>
      <c r="AW62">
        <v>5.0644625189646367E-2</v>
      </c>
      <c r="AX62">
        <v>0.63225453972273926</v>
      </c>
      <c r="AY62">
        <v>5.0644625189646367E-2</v>
      </c>
      <c r="AZ62">
        <v>5.0644625189646367E-2</v>
      </c>
      <c r="BA62">
        <v>0.63225453972273926</v>
      </c>
      <c r="BB62">
        <v>0.24958587220711451</v>
      </c>
      <c r="BC62">
        <v>-0.81231613640752065</v>
      </c>
      <c r="BD62">
        <v>7.6605882877000528E-2</v>
      </c>
      <c r="BE62">
        <v>0.7345769774696993</v>
      </c>
      <c r="BF62">
        <v>7.6605882877000528E-2</v>
      </c>
      <c r="BG62">
        <v>7.6605882877000528E-2</v>
      </c>
      <c r="BH62">
        <v>0.7345769774696993</v>
      </c>
      <c r="BI62">
        <v>0.2611452041847121</v>
      </c>
      <c r="BJ62">
        <v>9.5187643417800283E-2</v>
      </c>
      <c r="BK62">
        <v>9.8302111435198278E-2</v>
      </c>
      <c r="BL62">
        <v>0.6053481157327758</v>
      </c>
      <c r="BM62">
        <v>9.8302111435198278E-2</v>
      </c>
      <c r="BN62">
        <v>9.8302111435198278E-2</v>
      </c>
      <c r="BO62">
        <v>0.6053481157327758</v>
      </c>
      <c r="BP62">
        <v>0.90646752200645364</v>
      </c>
      <c r="BQ62">
        <v>-2.639180383452024</v>
      </c>
      <c r="BR62">
        <v>98.19593116987825</v>
      </c>
      <c r="BS62">
        <v>0.72051706994739018</v>
      </c>
      <c r="BT62">
        <v>98.19593116987825</v>
      </c>
      <c r="BU62">
        <v>98.19593116987825</v>
      </c>
      <c r="BV62">
        <v>0.72051706994739018</v>
      </c>
      <c r="BW62">
        <v>492.46908922256</v>
      </c>
      <c r="BX62">
        <v>-0.40165384019986239</v>
      </c>
      <c r="BY62" s="5" t="str">
        <f>SUBSTITUTE(TRIM(MID(SUBSTITUTE(SUBSTITUTE(SUBSTITUTE(Tabla1[[#This Row],[map]],"[",""),"]",""),",",REPT(" ",100)),300,300))," ",", ")</f>
        <v>2, 3, 4</v>
      </c>
      <c r="BZ62" s="5" t="str">
        <f>SUBSTITUTE(TRIM(MID(SUBSTITUTE(SUBSTITUTE(SUBSTITUTE(Tabla1[[#This Row],[map]],"[",""),"]",""),",",REPT(" ",100)),901,300))," ",", ")</f>
        <v>1, 4, 0</v>
      </c>
    </row>
    <row r="63" spans="1:78" x14ac:dyDescent="0.3">
      <c r="A63" s="1">
        <v>46114.202106481483</v>
      </c>
      <c r="B63" t="s">
        <v>188</v>
      </c>
      <c r="C63">
        <v>7</v>
      </c>
      <c r="D63" t="s">
        <v>95</v>
      </c>
      <c r="E63" t="s">
        <v>78</v>
      </c>
      <c r="F63">
        <v>16590</v>
      </c>
      <c r="G63">
        <v>4.5</v>
      </c>
      <c r="H63" t="s">
        <v>79</v>
      </c>
      <c r="I63" t="s">
        <v>80</v>
      </c>
      <c r="J63">
        <v>5</v>
      </c>
      <c r="K63">
        <v>5</v>
      </c>
      <c r="L63" t="s">
        <v>81</v>
      </c>
      <c r="M63" t="s">
        <v>82</v>
      </c>
      <c r="N63" t="s">
        <v>83</v>
      </c>
      <c r="O63" t="s">
        <v>83</v>
      </c>
      <c r="P63" t="s">
        <v>84</v>
      </c>
      <c r="Q63" t="s">
        <v>168</v>
      </c>
      <c r="R63">
        <v>2</v>
      </c>
      <c r="S63" t="s">
        <v>86</v>
      </c>
      <c r="T63" t="s">
        <v>87</v>
      </c>
      <c r="U63" t="s">
        <v>88</v>
      </c>
      <c r="V63">
        <v>1</v>
      </c>
      <c r="W63" t="s">
        <v>169</v>
      </c>
      <c r="X63" t="s">
        <v>83</v>
      </c>
      <c r="Y63" t="s">
        <v>90</v>
      </c>
      <c r="Z63">
        <v>4000</v>
      </c>
      <c r="AA63">
        <v>4000</v>
      </c>
      <c r="AC63">
        <v>256</v>
      </c>
      <c r="AD63" t="s">
        <v>91</v>
      </c>
      <c r="AE63">
        <v>0.15</v>
      </c>
      <c r="AF63" t="s">
        <v>92</v>
      </c>
      <c r="AG63">
        <v>160</v>
      </c>
      <c r="AH63">
        <v>40</v>
      </c>
      <c r="AI63">
        <v>120</v>
      </c>
      <c r="AJ63">
        <v>0.10644015264577281</v>
      </c>
      <c r="AK63">
        <v>18.110709158114059</v>
      </c>
      <c r="AL63">
        <v>0.69339560322367577</v>
      </c>
      <c r="AM63">
        <v>-0.2816631906697396</v>
      </c>
      <c r="AN63">
        <v>24.83693723385942</v>
      </c>
      <c r="AO63">
        <v>0.62948858470596769</v>
      </c>
      <c r="AP63">
        <v>24.83693723385942</v>
      </c>
      <c r="AQ63">
        <v>24.83693723385942</v>
      </c>
      <c r="AR63">
        <v>0.62948858470596769</v>
      </c>
      <c r="AS63">
        <v>111.6569100225443</v>
      </c>
      <c r="AT63">
        <v>-0.246506975737872</v>
      </c>
      <c r="AU63">
        <v>0.8</v>
      </c>
      <c r="AV63" t="s">
        <v>93</v>
      </c>
      <c r="AW63">
        <v>7.8651634861723982E-2</v>
      </c>
      <c r="AX63">
        <v>0.42888743760123971</v>
      </c>
      <c r="AY63">
        <v>7.8651634861723982E-2</v>
      </c>
      <c r="AZ63">
        <v>7.8651634861723982E-2</v>
      </c>
      <c r="BA63">
        <v>0.42888743760123971</v>
      </c>
      <c r="BB63">
        <v>0.14319693959197941</v>
      </c>
      <c r="BC63">
        <v>-3.9794929143107671E-2</v>
      </c>
      <c r="BD63">
        <v>0.10991572395318421</v>
      </c>
      <c r="BE63">
        <v>0.61916549252356035</v>
      </c>
      <c r="BF63">
        <v>0.10991572395318421</v>
      </c>
      <c r="BG63">
        <v>0.10991572395318421</v>
      </c>
      <c r="BH63">
        <v>0.61916549252356035</v>
      </c>
      <c r="BI63">
        <v>0.38901161788718658</v>
      </c>
      <c r="BJ63">
        <v>-0.34784217009551788</v>
      </c>
      <c r="BK63">
        <v>6.1785672884658929E-2</v>
      </c>
      <c r="BL63">
        <v>0.75195006629411976</v>
      </c>
      <c r="BM63">
        <v>6.1785672884658929E-2</v>
      </c>
      <c r="BN63">
        <v>6.1785672884658929E-2</v>
      </c>
      <c r="BO63">
        <v>0.75195006629411976</v>
      </c>
      <c r="BP63">
        <v>0.33120099226466232</v>
      </c>
      <c r="BQ63">
        <v>-0.32966722443788038</v>
      </c>
      <c r="BR63">
        <v>99.097395903737834</v>
      </c>
      <c r="BS63">
        <v>0.7179513424049494</v>
      </c>
      <c r="BT63">
        <v>99.097395903737834</v>
      </c>
      <c r="BU63">
        <v>99.097395903737834</v>
      </c>
      <c r="BV63">
        <v>0.7179513424049494</v>
      </c>
      <c r="BW63">
        <v>445.76423054043352</v>
      </c>
      <c r="BX63">
        <v>-0.26872357927497892</v>
      </c>
      <c r="BY63" s="5" t="str">
        <f>SUBSTITUTE(TRIM(MID(SUBSTITUTE(SUBSTITUTE(SUBSTITUTE(Tabla1[[#This Row],[map]],"[",""),"]",""),",",REPT(" ",100)),300,300))," ",", ")</f>
        <v>3, 4, 2</v>
      </c>
      <c r="BZ63" s="5" t="str">
        <f>SUBSTITUTE(TRIM(MID(SUBSTITUTE(SUBSTITUTE(SUBSTITUTE(Tabla1[[#This Row],[map]],"[",""),"]",""),",",REPT(" ",100)),901,300))," ",", ")</f>
        <v>1, 4, 0</v>
      </c>
    </row>
    <row r="64" spans="1:78" x14ac:dyDescent="0.3">
      <c r="A64" s="1">
        <v>46114.203425925924</v>
      </c>
      <c r="B64" t="s">
        <v>189</v>
      </c>
      <c r="C64">
        <v>7</v>
      </c>
      <c r="D64" t="s">
        <v>95</v>
      </c>
      <c r="E64" t="s">
        <v>78</v>
      </c>
      <c r="F64">
        <v>16590</v>
      </c>
      <c r="G64">
        <v>4.5</v>
      </c>
      <c r="H64" t="s">
        <v>79</v>
      </c>
      <c r="I64" t="s">
        <v>80</v>
      </c>
      <c r="J64">
        <v>5</v>
      </c>
      <c r="K64">
        <v>5</v>
      </c>
      <c r="L64" t="s">
        <v>81</v>
      </c>
      <c r="M64" t="s">
        <v>82</v>
      </c>
      <c r="N64" t="s">
        <v>83</v>
      </c>
      <c r="O64" t="s">
        <v>83</v>
      </c>
      <c r="P64" t="s">
        <v>84</v>
      </c>
      <c r="Q64" t="s">
        <v>165</v>
      </c>
      <c r="R64">
        <v>2</v>
      </c>
      <c r="S64" t="s">
        <v>86</v>
      </c>
      <c r="T64" t="s">
        <v>87</v>
      </c>
      <c r="U64" t="s">
        <v>88</v>
      </c>
      <c r="V64">
        <v>1</v>
      </c>
      <c r="W64" t="s">
        <v>166</v>
      </c>
      <c r="X64" t="s">
        <v>83</v>
      </c>
      <c r="Y64" t="s">
        <v>90</v>
      </c>
      <c r="Z64">
        <v>4000</v>
      </c>
      <c r="AA64">
        <v>4000</v>
      </c>
      <c r="AC64">
        <v>256</v>
      </c>
      <c r="AD64" t="s">
        <v>91</v>
      </c>
      <c r="AE64">
        <v>0.15</v>
      </c>
      <c r="AF64" t="s">
        <v>92</v>
      </c>
      <c r="AG64">
        <v>160</v>
      </c>
      <c r="AH64">
        <v>40</v>
      </c>
      <c r="AI64">
        <v>120</v>
      </c>
      <c r="AJ64">
        <v>0.1199830065351413</v>
      </c>
      <c r="AK64">
        <v>15.87849827279395</v>
      </c>
      <c r="AL64">
        <v>0.73846307937984423</v>
      </c>
      <c r="AM64">
        <v>-0.28101906940422422</v>
      </c>
      <c r="AN64">
        <v>21.708754749413991</v>
      </c>
      <c r="AO64">
        <v>0.72479092668660594</v>
      </c>
      <c r="AP64">
        <v>21.708754749413991</v>
      </c>
      <c r="AQ64">
        <v>21.708754749413991</v>
      </c>
      <c r="AR64">
        <v>0.72479092668660594</v>
      </c>
      <c r="AS64">
        <v>102.3337237662135</v>
      </c>
      <c r="AT64">
        <v>-0.15955805367654169</v>
      </c>
      <c r="AU64">
        <v>0.8</v>
      </c>
      <c r="AV64" t="s">
        <v>93</v>
      </c>
      <c r="AW64">
        <v>5.1276154113411791E-2</v>
      </c>
      <c r="AX64">
        <v>0.62766882319548967</v>
      </c>
      <c r="AY64">
        <v>5.1276154113411791E-2</v>
      </c>
      <c r="AZ64">
        <v>5.1276154113411791E-2</v>
      </c>
      <c r="BA64">
        <v>0.62766882319548967</v>
      </c>
      <c r="BB64">
        <v>0.1717236782710285</v>
      </c>
      <c r="BC64">
        <v>-0.24693593584327569</v>
      </c>
      <c r="BD64">
        <v>7.1470369519375604E-2</v>
      </c>
      <c r="BE64">
        <v>0.75237043440060003</v>
      </c>
      <c r="BF64">
        <v>7.1470369519375604E-2</v>
      </c>
      <c r="BG64">
        <v>7.1470369519375604E-2</v>
      </c>
      <c r="BH64">
        <v>0.75237043440060003</v>
      </c>
      <c r="BI64">
        <v>0.22674844388994189</v>
      </c>
      <c r="BJ64">
        <v>0.21436507130994939</v>
      </c>
      <c r="BK64">
        <v>5.8346614614322501E-2</v>
      </c>
      <c r="BL64">
        <v>0.76575679746883873</v>
      </c>
      <c r="BM64">
        <v>5.8346614614322501E-2</v>
      </c>
      <c r="BN64">
        <v>5.8346614614322501E-2</v>
      </c>
      <c r="BO64">
        <v>0.76575679746883873</v>
      </c>
      <c r="BP64">
        <v>0.35937552193318778</v>
      </c>
      <c r="BQ64">
        <v>-0.44277904939960799</v>
      </c>
      <c r="BR64">
        <v>86.653925859408844</v>
      </c>
      <c r="BS64">
        <v>0.75336765168149655</v>
      </c>
      <c r="BT64">
        <v>86.653925859408844</v>
      </c>
      <c r="BU64">
        <v>86.653925859408844</v>
      </c>
      <c r="BV64">
        <v>0.75336765168149655</v>
      </c>
      <c r="BW64">
        <v>408.57704742076072</v>
      </c>
      <c r="BX64">
        <v>-0.16288230077323559</v>
      </c>
      <c r="BY64" s="5" t="str">
        <f>SUBSTITUTE(TRIM(MID(SUBSTITUTE(SUBSTITUTE(SUBSTITUTE(Tabla1[[#This Row],[map]],"[",""),"]",""),",",REPT(" ",100)),300,300))," ",", ")</f>
        <v>2, 3, 4</v>
      </c>
      <c r="BZ64" s="5" t="str">
        <f>SUBSTITUTE(TRIM(MID(SUBSTITUTE(SUBSTITUTE(SUBSTITUTE(Tabla1[[#This Row],[map]],"[",""),"]",""),",",REPT(" ",100)),901,300))," ",", ")</f>
        <v>1, 4, 0</v>
      </c>
    </row>
    <row r="65" spans="1:78" x14ac:dyDescent="0.3">
      <c r="A65" s="1">
        <v>46114.203425925924</v>
      </c>
      <c r="B65" t="s">
        <v>189</v>
      </c>
      <c r="C65">
        <v>7</v>
      </c>
      <c r="D65" t="s">
        <v>77</v>
      </c>
      <c r="E65" t="s">
        <v>78</v>
      </c>
      <c r="F65">
        <v>16590</v>
      </c>
      <c r="G65">
        <v>4.5</v>
      </c>
      <c r="H65" t="s">
        <v>79</v>
      </c>
      <c r="I65" t="s">
        <v>80</v>
      </c>
      <c r="J65">
        <v>5</v>
      </c>
      <c r="K65">
        <v>5</v>
      </c>
      <c r="L65" t="s">
        <v>81</v>
      </c>
      <c r="M65" t="s">
        <v>82</v>
      </c>
      <c r="N65" t="s">
        <v>83</v>
      </c>
      <c r="O65" t="s">
        <v>83</v>
      </c>
      <c r="P65" t="s">
        <v>84</v>
      </c>
      <c r="Q65" t="s">
        <v>162</v>
      </c>
      <c r="R65">
        <v>2</v>
      </c>
      <c r="S65" t="s">
        <v>86</v>
      </c>
      <c r="T65" t="s">
        <v>87</v>
      </c>
      <c r="U65" t="s">
        <v>88</v>
      </c>
      <c r="V65">
        <v>1</v>
      </c>
      <c r="W65" t="s">
        <v>163</v>
      </c>
      <c r="X65" t="s">
        <v>83</v>
      </c>
      <c r="Y65" t="s">
        <v>90</v>
      </c>
      <c r="Z65">
        <v>4000</v>
      </c>
      <c r="AA65">
        <v>4000</v>
      </c>
      <c r="AC65">
        <v>256</v>
      </c>
      <c r="AD65" t="s">
        <v>91</v>
      </c>
      <c r="AE65">
        <v>0.15</v>
      </c>
      <c r="AF65" t="s">
        <v>92</v>
      </c>
      <c r="AG65">
        <v>160</v>
      </c>
      <c r="AH65">
        <v>40</v>
      </c>
      <c r="AI65">
        <v>120</v>
      </c>
      <c r="AJ65">
        <v>0.1117127183857102</v>
      </c>
      <c r="AK65">
        <v>25.973834515328651</v>
      </c>
      <c r="AL65">
        <v>0.67686716766098809</v>
      </c>
      <c r="AM65">
        <v>0.19571427940423741</v>
      </c>
      <c r="AN65">
        <v>35.55409866974604</v>
      </c>
      <c r="AO65">
        <v>0.6076328344637747</v>
      </c>
      <c r="AP65">
        <v>35.55409866974604</v>
      </c>
      <c r="AQ65">
        <v>35.55409866974604</v>
      </c>
      <c r="AR65">
        <v>0.6076328344637747</v>
      </c>
      <c r="AS65">
        <v>91.634726802899721</v>
      </c>
      <c r="AT65">
        <v>0.14221453389680311</v>
      </c>
      <c r="AU65">
        <v>0.8</v>
      </c>
      <c r="AV65" t="s">
        <v>93</v>
      </c>
      <c r="AW65">
        <v>5.2254101783289063E-2</v>
      </c>
      <c r="AX65">
        <v>0.62056765866639352</v>
      </c>
      <c r="AY65">
        <v>5.2254101783289063E-2</v>
      </c>
      <c r="AZ65">
        <v>5.2254101783289063E-2</v>
      </c>
      <c r="BA65">
        <v>0.62056765866639352</v>
      </c>
      <c r="BB65">
        <v>0.10337501790659059</v>
      </c>
      <c r="BC65">
        <v>0.24936371038636801</v>
      </c>
      <c r="BD65">
        <v>0.1403522614419922</v>
      </c>
      <c r="BE65">
        <v>0.51370939082171985</v>
      </c>
      <c r="BF65">
        <v>0.1403522614419922</v>
      </c>
      <c r="BG65">
        <v>0.1403522614419922</v>
      </c>
      <c r="BH65">
        <v>0.51370939082171985</v>
      </c>
      <c r="BI65">
        <v>0.3029844260017136</v>
      </c>
      <c r="BJ65">
        <v>-4.9776324072982707E-2</v>
      </c>
      <c r="BK65">
        <v>7.4659298278092062E-2</v>
      </c>
      <c r="BL65">
        <v>0.70026653229171987</v>
      </c>
      <c r="BM65">
        <v>7.4659298278092062E-2</v>
      </c>
      <c r="BN65">
        <v>7.4659298278092062E-2</v>
      </c>
      <c r="BO65">
        <v>0.70026653229171987</v>
      </c>
      <c r="BP65">
        <v>0.14672864363664129</v>
      </c>
      <c r="BQ65">
        <v>0.41093090634836232</v>
      </c>
      <c r="BR65">
        <v>141.94912901748069</v>
      </c>
      <c r="BS65">
        <v>0.59598775607526377</v>
      </c>
      <c r="BT65">
        <v>141.94912901748069</v>
      </c>
      <c r="BU65">
        <v>141.94912901748069</v>
      </c>
      <c r="BV65">
        <v>0.59598775607526377</v>
      </c>
      <c r="BW65">
        <v>365.98581912405308</v>
      </c>
      <c r="BX65">
        <v>-4.1660157074527193E-2</v>
      </c>
      <c r="BY65" s="5" t="str">
        <f>SUBSTITUTE(TRIM(MID(SUBSTITUTE(SUBSTITUTE(SUBSTITUTE(Tabla1[[#This Row],[map]],"[",""),"]",""),",",REPT(" ",100)),300,300))," ",", ")</f>
        <v>3, 4, 2</v>
      </c>
      <c r="BZ65" s="5" t="str">
        <f>SUBSTITUTE(TRIM(MID(SUBSTITUTE(SUBSTITUTE(SUBSTITUTE(Tabla1[[#This Row],[map]],"[",""),"]",""),",",REPT(" ",100)),901,300))," ",", ")</f>
        <v>0, 1, 4</v>
      </c>
    </row>
    <row r="66" spans="1:78" x14ac:dyDescent="0.3">
      <c r="A66" s="1">
        <v>46114.279027777768</v>
      </c>
      <c r="B66" t="s">
        <v>190</v>
      </c>
      <c r="C66">
        <v>8</v>
      </c>
      <c r="D66" t="s">
        <v>95</v>
      </c>
      <c r="E66" t="s">
        <v>78</v>
      </c>
      <c r="F66">
        <v>16590</v>
      </c>
      <c r="G66">
        <v>4.5</v>
      </c>
      <c r="H66" t="s">
        <v>79</v>
      </c>
      <c r="I66" t="s">
        <v>80</v>
      </c>
      <c r="J66">
        <v>5</v>
      </c>
      <c r="K66">
        <v>5</v>
      </c>
      <c r="L66" t="s">
        <v>81</v>
      </c>
      <c r="M66" t="s">
        <v>82</v>
      </c>
      <c r="N66" t="s">
        <v>83</v>
      </c>
      <c r="O66" t="s">
        <v>83</v>
      </c>
      <c r="P66" t="s">
        <v>84</v>
      </c>
      <c r="Q66" t="s">
        <v>165</v>
      </c>
      <c r="R66">
        <v>2</v>
      </c>
      <c r="S66" t="s">
        <v>86</v>
      </c>
      <c r="T66" t="s">
        <v>87</v>
      </c>
      <c r="U66" t="s">
        <v>88</v>
      </c>
      <c r="V66">
        <v>1</v>
      </c>
      <c r="W66" t="s">
        <v>166</v>
      </c>
      <c r="X66" t="s">
        <v>83</v>
      </c>
      <c r="Y66" t="s">
        <v>90</v>
      </c>
      <c r="Z66">
        <v>4000</v>
      </c>
      <c r="AA66">
        <v>4000</v>
      </c>
      <c r="AC66">
        <v>256</v>
      </c>
      <c r="AD66" t="s">
        <v>91</v>
      </c>
      <c r="AE66">
        <v>0.15</v>
      </c>
      <c r="AF66" t="s">
        <v>92</v>
      </c>
      <c r="AG66">
        <v>160</v>
      </c>
      <c r="AH66">
        <v>40</v>
      </c>
      <c r="AI66">
        <v>120</v>
      </c>
      <c r="AJ66">
        <v>0.1209511666432032</v>
      </c>
      <c r="AK66">
        <v>28.835416475973918</v>
      </c>
      <c r="AL66">
        <v>0.66993797317920833</v>
      </c>
      <c r="AM66">
        <v>-0.1382601584946884</v>
      </c>
      <c r="AN66">
        <v>33.898599118934719</v>
      </c>
      <c r="AO66">
        <v>0.65482525827977911</v>
      </c>
      <c r="AP66">
        <v>33.898599118934719</v>
      </c>
      <c r="AQ66">
        <v>33.898599118934719</v>
      </c>
      <c r="AR66">
        <v>0.65482525827977911</v>
      </c>
      <c r="AS66">
        <v>97.041935445284139</v>
      </c>
      <c r="AT66">
        <v>-0.2331440500019949</v>
      </c>
      <c r="AU66">
        <v>0.8</v>
      </c>
      <c r="AV66" t="s">
        <v>93</v>
      </c>
      <c r="AW66">
        <v>5.5119936577370569E-2</v>
      </c>
      <c r="AX66">
        <v>0.59975799265580265</v>
      </c>
      <c r="AY66">
        <v>5.5119936577370569E-2</v>
      </c>
      <c r="AZ66">
        <v>5.5119936577370569E-2</v>
      </c>
      <c r="BA66">
        <v>0.59975799265580265</v>
      </c>
      <c r="BB66">
        <v>0.16857687736227289</v>
      </c>
      <c r="BC66">
        <v>-0.22408609256261469</v>
      </c>
      <c r="BD66">
        <v>8.1945238667084933E-2</v>
      </c>
      <c r="BE66">
        <v>0.71607725004740297</v>
      </c>
      <c r="BF66">
        <v>8.1945238667084933E-2</v>
      </c>
      <c r="BG66">
        <v>8.1945238667084933E-2</v>
      </c>
      <c r="BH66">
        <v>0.71607725004740297</v>
      </c>
      <c r="BI66">
        <v>0.32551165450407832</v>
      </c>
      <c r="BJ66">
        <v>-0.12782835942291459</v>
      </c>
      <c r="BK66">
        <v>7.7520279583232515E-2</v>
      </c>
      <c r="BL66">
        <v>0.68878059728541752</v>
      </c>
      <c r="BM66">
        <v>7.7520279583232515E-2</v>
      </c>
      <c r="BN66">
        <v>7.7520279583232515E-2</v>
      </c>
      <c r="BO66">
        <v>0.68878059728541752</v>
      </c>
      <c r="BP66">
        <v>0.36822881880707492</v>
      </c>
      <c r="BQ66">
        <v>-0.47832223603359969</v>
      </c>
      <c r="BR66">
        <v>135.37981102091101</v>
      </c>
      <c r="BS66">
        <v>0.6146851931304953</v>
      </c>
      <c r="BT66">
        <v>135.37981102091101</v>
      </c>
      <c r="BU66">
        <v>135.37981102091101</v>
      </c>
      <c r="BV66">
        <v>0.6146851931304953</v>
      </c>
      <c r="BW66">
        <v>387.30542443046443</v>
      </c>
      <c r="BX66">
        <v>-0.1023395119888659</v>
      </c>
      <c r="BY66" s="5" t="str">
        <f>SUBSTITUTE(TRIM(MID(SUBSTITUTE(SUBSTITUTE(SUBSTITUTE(Tabla1[[#This Row],[map]],"[",""),"]",""),",",REPT(" ",100)),300,300))," ",", ")</f>
        <v>2, 3, 4</v>
      </c>
      <c r="BZ66" s="5" t="str">
        <f>SUBSTITUTE(TRIM(MID(SUBSTITUTE(SUBSTITUTE(SUBSTITUTE(Tabla1[[#This Row],[map]],"[",""),"]",""),",",REPT(" ",100)),901,300))," ",", ")</f>
        <v>1, 4, 0</v>
      </c>
    </row>
    <row r="67" spans="1:78" x14ac:dyDescent="0.3">
      <c r="A67" s="1">
        <v>46114.278865740736</v>
      </c>
      <c r="B67" t="s">
        <v>191</v>
      </c>
      <c r="C67">
        <v>8</v>
      </c>
      <c r="D67" t="s">
        <v>95</v>
      </c>
      <c r="E67" t="s">
        <v>78</v>
      </c>
      <c r="F67">
        <v>16590</v>
      </c>
      <c r="G67">
        <v>4.5</v>
      </c>
      <c r="H67" t="s">
        <v>79</v>
      </c>
      <c r="I67" t="s">
        <v>80</v>
      </c>
      <c r="J67">
        <v>5</v>
      </c>
      <c r="K67">
        <v>5</v>
      </c>
      <c r="L67" t="s">
        <v>81</v>
      </c>
      <c r="M67" t="s">
        <v>82</v>
      </c>
      <c r="N67" t="s">
        <v>83</v>
      </c>
      <c r="O67" t="s">
        <v>83</v>
      </c>
      <c r="P67" t="s">
        <v>84</v>
      </c>
      <c r="Q67" t="s">
        <v>168</v>
      </c>
      <c r="R67">
        <v>2</v>
      </c>
      <c r="S67" t="s">
        <v>86</v>
      </c>
      <c r="T67" t="s">
        <v>87</v>
      </c>
      <c r="U67" t="s">
        <v>88</v>
      </c>
      <c r="V67">
        <v>1</v>
      </c>
      <c r="W67" t="s">
        <v>169</v>
      </c>
      <c r="X67" t="s">
        <v>83</v>
      </c>
      <c r="Y67" t="s">
        <v>90</v>
      </c>
      <c r="Z67">
        <v>4000</v>
      </c>
      <c r="AA67">
        <v>4000</v>
      </c>
      <c r="AC67">
        <v>256</v>
      </c>
      <c r="AD67" t="s">
        <v>91</v>
      </c>
      <c r="AE67">
        <v>0.15</v>
      </c>
      <c r="AF67" t="s">
        <v>92</v>
      </c>
      <c r="AG67">
        <v>160</v>
      </c>
      <c r="AH67">
        <v>40</v>
      </c>
      <c r="AI67">
        <v>120</v>
      </c>
      <c r="AJ67">
        <v>0.1260650549547048</v>
      </c>
      <c r="AK67">
        <v>23.527182827646641</v>
      </c>
      <c r="AL67">
        <v>0.67778017241463018</v>
      </c>
      <c r="AM67">
        <v>-0.41290848723076462</v>
      </c>
      <c r="AN67">
        <v>30.753626567555081</v>
      </c>
      <c r="AO67">
        <v>0.59670688871369126</v>
      </c>
      <c r="AP67">
        <v>30.753626567555081</v>
      </c>
      <c r="AQ67">
        <v>30.753626567555081</v>
      </c>
      <c r="AR67">
        <v>0.59670688871369126</v>
      </c>
      <c r="AS67">
        <v>119.1929510051108</v>
      </c>
      <c r="AT67">
        <v>-0.47513535895909642</v>
      </c>
      <c r="AU67">
        <v>0.8</v>
      </c>
      <c r="AV67" t="s">
        <v>93</v>
      </c>
      <c r="AW67">
        <v>8.3046652659006612E-2</v>
      </c>
      <c r="AX67">
        <v>0.39697392581719221</v>
      </c>
      <c r="AY67">
        <v>8.3046652659006612E-2</v>
      </c>
      <c r="AZ67">
        <v>8.3046652659006612E-2</v>
      </c>
      <c r="BA67">
        <v>0.39697392581719221</v>
      </c>
      <c r="BB67">
        <v>0.1182764014811435</v>
      </c>
      <c r="BC67">
        <v>0.141160398764027</v>
      </c>
      <c r="BD67">
        <v>9.3860109928482649E-2</v>
      </c>
      <c r="BE67">
        <v>0.6747947659288227</v>
      </c>
      <c r="BF67">
        <v>9.3860109928482649E-2</v>
      </c>
      <c r="BG67">
        <v>9.3860109928482649E-2</v>
      </c>
      <c r="BH67">
        <v>0.6747947659288227</v>
      </c>
      <c r="BI67">
        <v>0.43673431012168712</v>
      </c>
      <c r="BJ67">
        <v>-0.51319110597949269</v>
      </c>
      <c r="BK67">
        <v>8.3583563168152131E-2</v>
      </c>
      <c r="BL67">
        <v>0.66443843152011273</v>
      </c>
      <c r="BM67">
        <v>8.3583563168152131E-2</v>
      </c>
      <c r="BN67">
        <v>8.3583563168152131E-2</v>
      </c>
      <c r="BO67">
        <v>0.66443843152011273</v>
      </c>
      <c r="BP67">
        <v>0.54167542322524531</v>
      </c>
      <c r="BQ67">
        <v>-1.174655491281188</v>
      </c>
      <c r="BR67">
        <v>122.7540159444642</v>
      </c>
      <c r="BS67">
        <v>0.65062043158864036</v>
      </c>
      <c r="BT67">
        <v>122.7540159444642</v>
      </c>
      <c r="BU67">
        <v>122.7540159444642</v>
      </c>
      <c r="BV67">
        <v>0.65062043158864036</v>
      </c>
      <c r="BW67">
        <v>475.67511788561711</v>
      </c>
      <c r="BX67">
        <v>-0.35385523733974572</v>
      </c>
      <c r="BY67" s="5" t="str">
        <f>SUBSTITUTE(TRIM(MID(SUBSTITUTE(SUBSTITUTE(SUBSTITUTE(Tabla1[[#This Row],[map]],"[",""),"]",""),",",REPT(" ",100)),300,300))," ",", ")</f>
        <v>3, 4, 2</v>
      </c>
      <c r="BZ67" s="5" t="str">
        <f>SUBSTITUTE(TRIM(MID(SUBSTITUTE(SUBSTITUTE(SUBSTITUTE(Tabla1[[#This Row],[map]],"[",""),"]",""),",",REPT(" ",100)),901,300))," ",", ")</f>
        <v>1, 4, 0</v>
      </c>
    </row>
    <row r="68" spans="1:78" x14ac:dyDescent="0.3">
      <c r="A68" s="1">
        <v>46114.279849537037</v>
      </c>
      <c r="B68" t="s">
        <v>192</v>
      </c>
      <c r="C68">
        <v>8</v>
      </c>
      <c r="D68" t="s">
        <v>95</v>
      </c>
      <c r="E68" t="s">
        <v>78</v>
      </c>
      <c r="F68">
        <v>16590</v>
      </c>
      <c r="G68">
        <v>4.5</v>
      </c>
      <c r="H68" t="s">
        <v>79</v>
      </c>
      <c r="I68" t="s">
        <v>80</v>
      </c>
      <c r="J68">
        <v>5</v>
      </c>
      <c r="K68">
        <v>5</v>
      </c>
      <c r="L68" t="s">
        <v>81</v>
      </c>
      <c r="M68" t="s">
        <v>82</v>
      </c>
      <c r="N68" t="s">
        <v>83</v>
      </c>
      <c r="O68" t="s">
        <v>83</v>
      </c>
      <c r="P68" t="s">
        <v>84</v>
      </c>
      <c r="Q68" t="s">
        <v>162</v>
      </c>
      <c r="R68">
        <v>2</v>
      </c>
      <c r="S68" t="s">
        <v>86</v>
      </c>
      <c r="T68" t="s">
        <v>87</v>
      </c>
      <c r="U68" t="s">
        <v>88</v>
      </c>
      <c r="V68">
        <v>1</v>
      </c>
      <c r="W68" t="s">
        <v>163</v>
      </c>
      <c r="X68" t="s">
        <v>83</v>
      </c>
      <c r="Y68" t="s">
        <v>90</v>
      </c>
      <c r="Z68">
        <v>4000</v>
      </c>
      <c r="AA68">
        <v>4000</v>
      </c>
      <c r="AC68">
        <v>256</v>
      </c>
      <c r="AD68" t="s">
        <v>91</v>
      </c>
      <c r="AE68">
        <v>0.15</v>
      </c>
      <c r="AF68" t="s">
        <v>92</v>
      </c>
      <c r="AG68">
        <v>160</v>
      </c>
      <c r="AH68">
        <v>40</v>
      </c>
      <c r="AI68">
        <v>120</v>
      </c>
      <c r="AJ68">
        <v>0.12138787343515001</v>
      </c>
      <c r="AK68">
        <v>22.718569446437119</v>
      </c>
      <c r="AL68">
        <v>0.67997566059281733</v>
      </c>
      <c r="AM68">
        <v>-0.2524057609584891</v>
      </c>
      <c r="AN68">
        <v>35.152480584045414</v>
      </c>
      <c r="AO68">
        <v>0.58281896090933205</v>
      </c>
      <c r="AP68">
        <v>35.152480584045414</v>
      </c>
      <c r="AQ68">
        <v>35.152480584045414</v>
      </c>
      <c r="AR68">
        <v>0.58281896090933205</v>
      </c>
      <c r="AS68">
        <v>165.33797618756711</v>
      </c>
      <c r="AT68">
        <v>-0.29943453996731589</v>
      </c>
      <c r="AU68">
        <v>0.8</v>
      </c>
      <c r="AV68" t="s">
        <v>93</v>
      </c>
      <c r="AW68">
        <v>7.7861691045911063E-2</v>
      </c>
      <c r="AX68">
        <v>0.43462345106864098</v>
      </c>
      <c r="AY68">
        <v>7.7861691045911063E-2</v>
      </c>
      <c r="AZ68">
        <v>7.7861691045911063E-2</v>
      </c>
      <c r="BA68">
        <v>0.43462345106864098</v>
      </c>
      <c r="BB68">
        <v>0.151620995997093</v>
      </c>
      <c r="BC68">
        <v>-0.1009644705998665</v>
      </c>
      <c r="BD68">
        <v>9.6806889644940414E-2</v>
      </c>
      <c r="BE68">
        <v>0.66458480359043381</v>
      </c>
      <c r="BF68">
        <v>9.6806889644940414E-2</v>
      </c>
      <c r="BG68">
        <v>9.6806889644940414E-2</v>
      </c>
      <c r="BH68">
        <v>0.66458480359043381</v>
      </c>
      <c r="BI68">
        <v>0.35248194984599229</v>
      </c>
      <c r="BJ68">
        <v>-0.22127467241273499</v>
      </c>
      <c r="BK68">
        <v>9.1785602222339363E-2</v>
      </c>
      <c r="BL68">
        <v>0.63150983903812741</v>
      </c>
      <c r="BM68">
        <v>9.1785602222339363E-2</v>
      </c>
      <c r="BN68">
        <v>9.1785602222339363E-2</v>
      </c>
      <c r="BO68">
        <v>0.63150983903812741</v>
      </c>
      <c r="BP68">
        <v>0.2479187338724344</v>
      </c>
      <c r="BQ68">
        <v>4.6847006699455296E-3</v>
      </c>
      <c r="BR68">
        <v>140.34346815326899</v>
      </c>
      <c r="BS68">
        <v>0.60055774994012512</v>
      </c>
      <c r="BT68">
        <v>140.34346815326899</v>
      </c>
      <c r="BU68">
        <v>140.34346815326899</v>
      </c>
      <c r="BV68">
        <v>0.60055774994012512</v>
      </c>
      <c r="BW68">
        <v>660.59988307054755</v>
      </c>
      <c r="BX68">
        <v>-0.88018371752660274</v>
      </c>
      <c r="BY68" s="5" t="str">
        <f>SUBSTITUTE(TRIM(MID(SUBSTITUTE(SUBSTITUTE(SUBSTITUTE(Tabla1[[#This Row],[map]],"[",""),"]",""),",",REPT(" ",100)),300,300))," ",", ")</f>
        <v>3, 4, 2</v>
      </c>
      <c r="BZ68" s="5" t="str">
        <f>SUBSTITUTE(TRIM(MID(SUBSTITUTE(SUBSTITUTE(SUBSTITUTE(Tabla1[[#This Row],[map]],"[",""),"]",""),",",REPT(" ",100)),901,300))," ",", ")</f>
        <v>0, 1, 4</v>
      </c>
    </row>
    <row r="69" spans="1:78" x14ac:dyDescent="0.3">
      <c r="A69" s="1">
        <v>46114.351446759261</v>
      </c>
      <c r="B69" t="s">
        <v>193</v>
      </c>
      <c r="C69">
        <v>9</v>
      </c>
      <c r="D69" t="s">
        <v>95</v>
      </c>
      <c r="E69" t="s">
        <v>78</v>
      </c>
      <c r="F69">
        <v>16590</v>
      </c>
      <c r="G69">
        <v>4.5</v>
      </c>
      <c r="H69" t="s">
        <v>79</v>
      </c>
      <c r="I69" t="s">
        <v>80</v>
      </c>
      <c r="J69">
        <v>5</v>
      </c>
      <c r="K69">
        <v>5</v>
      </c>
      <c r="L69" t="s">
        <v>81</v>
      </c>
      <c r="M69" t="s">
        <v>82</v>
      </c>
      <c r="N69" t="s">
        <v>83</v>
      </c>
      <c r="O69" t="s">
        <v>83</v>
      </c>
      <c r="P69" t="s">
        <v>84</v>
      </c>
      <c r="Q69" t="s">
        <v>165</v>
      </c>
      <c r="R69">
        <v>2</v>
      </c>
      <c r="S69" t="s">
        <v>86</v>
      </c>
      <c r="T69" t="s">
        <v>87</v>
      </c>
      <c r="U69" t="s">
        <v>88</v>
      </c>
      <c r="V69">
        <v>1</v>
      </c>
      <c r="W69" t="s">
        <v>166</v>
      </c>
      <c r="X69" t="s">
        <v>83</v>
      </c>
      <c r="Y69" t="s">
        <v>90</v>
      </c>
      <c r="Z69">
        <v>4000</v>
      </c>
      <c r="AA69">
        <v>4000</v>
      </c>
      <c r="AC69">
        <v>256</v>
      </c>
      <c r="AD69" t="s">
        <v>91</v>
      </c>
      <c r="AE69">
        <v>0.15</v>
      </c>
      <c r="AF69" t="s">
        <v>92</v>
      </c>
      <c r="AG69">
        <v>160</v>
      </c>
      <c r="AH69">
        <v>40</v>
      </c>
      <c r="AI69">
        <v>120</v>
      </c>
      <c r="AJ69">
        <v>0.1075072190860067</v>
      </c>
      <c r="AK69">
        <v>23.063490193674561</v>
      </c>
      <c r="AL69">
        <v>0.72727662178156649</v>
      </c>
      <c r="AM69">
        <v>-0.69806619386223534</v>
      </c>
      <c r="AN69">
        <v>38.557792811270737</v>
      </c>
      <c r="AO69">
        <v>0.67134294347936563</v>
      </c>
      <c r="AP69">
        <v>38.557792811270737</v>
      </c>
      <c r="AQ69">
        <v>38.557792811270737</v>
      </c>
      <c r="AR69">
        <v>0.67134294347936563</v>
      </c>
      <c r="AS69">
        <v>119.4852404963394</v>
      </c>
      <c r="AT69">
        <v>-0.62430831600162717</v>
      </c>
      <c r="AU69">
        <v>0.8</v>
      </c>
      <c r="AV69" t="s">
        <v>93</v>
      </c>
      <c r="AW69">
        <v>5.6578383415073888E-2</v>
      </c>
      <c r="AX69">
        <v>0.58916778290278882</v>
      </c>
      <c r="AY69">
        <v>5.6578383415073888E-2</v>
      </c>
      <c r="AZ69">
        <v>5.6578383415073888E-2</v>
      </c>
      <c r="BA69">
        <v>0.58916778290278882</v>
      </c>
      <c r="BB69">
        <v>0.16362116167679991</v>
      </c>
      <c r="BC69">
        <v>-0.18810118915118479</v>
      </c>
      <c r="BD69">
        <v>7.3828487702938025E-2</v>
      </c>
      <c r="BE69">
        <v>0.74420005854617965</v>
      </c>
      <c r="BF69">
        <v>7.3828487702938025E-2</v>
      </c>
      <c r="BG69">
        <v>7.3828487702938025E-2</v>
      </c>
      <c r="BH69">
        <v>0.74420005854617965</v>
      </c>
      <c r="BI69">
        <v>0.28098158737714762</v>
      </c>
      <c r="BJ69">
        <v>2.6458812350621089E-2</v>
      </c>
      <c r="BK69">
        <v>5.219506676371688E-2</v>
      </c>
      <c r="BL69">
        <v>0.79045331634271743</v>
      </c>
      <c r="BM69">
        <v>5.219506676371688E-2</v>
      </c>
      <c r="BN69">
        <v>5.219506676371688E-2</v>
      </c>
      <c r="BO69">
        <v>0.79045331634271743</v>
      </c>
      <c r="BP69">
        <v>0.74194232935619842</v>
      </c>
      <c r="BQ69">
        <v>-1.9786637745930791</v>
      </c>
      <c r="BR69">
        <v>154.04856930720081</v>
      </c>
      <c r="BS69">
        <v>0.56155061612577417</v>
      </c>
      <c r="BT69">
        <v>154.04856930720081</v>
      </c>
      <c r="BU69">
        <v>154.04856930720081</v>
      </c>
      <c r="BV69">
        <v>0.56155061612577417</v>
      </c>
      <c r="BW69">
        <v>476.75441690694629</v>
      </c>
      <c r="BX69">
        <v>-0.35692711261288901</v>
      </c>
      <c r="BY69" s="5" t="str">
        <f>SUBSTITUTE(TRIM(MID(SUBSTITUTE(SUBSTITUTE(SUBSTITUTE(Tabla1[[#This Row],[map]],"[",""),"]",""),",",REPT(" ",100)),300,300))," ",", ")</f>
        <v>2, 3, 4</v>
      </c>
      <c r="BZ69" s="5" t="str">
        <f>SUBSTITUTE(TRIM(MID(SUBSTITUTE(SUBSTITUTE(SUBSTITUTE(Tabla1[[#This Row],[map]],"[",""),"]",""),",",REPT(" ",100)),901,300))," ",", ")</f>
        <v>1, 4, 0</v>
      </c>
    </row>
    <row r="70" spans="1:78" x14ac:dyDescent="0.3">
      <c r="A70" s="1">
        <v>46114.351574074077</v>
      </c>
      <c r="B70" t="s">
        <v>194</v>
      </c>
      <c r="C70">
        <v>9</v>
      </c>
      <c r="D70" t="s">
        <v>95</v>
      </c>
      <c r="E70" t="s">
        <v>78</v>
      </c>
      <c r="F70">
        <v>16590</v>
      </c>
      <c r="G70">
        <v>4.5</v>
      </c>
      <c r="H70" t="s">
        <v>79</v>
      </c>
      <c r="I70" t="s">
        <v>80</v>
      </c>
      <c r="J70">
        <v>5</v>
      </c>
      <c r="K70">
        <v>5</v>
      </c>
      <c r="L70" t="s">
        <v>81</v>
      </c>
      <c r="M70" t="s">
        <v>82</v>
      </c>
      <c r="N70" t="s">
        <v>83</v>
      </c>
      <c r="O70" t="s">
        <v>83</v>
      </c>
      <c r="P70" t="s">
        <v>84</v>
      </c>
      <c r="Q70" t="s">
        <v>168</v>
      </c>
      <c r="R70">
        <v>2</v>
      </c>
      <c r="S70" t="s">
        <v>86</v>
      </c>
      <c r="T70" t="s">
        <v>87</v>
      </c>
      <c r="U70" t="s">
        <v>88</v>
      </c>
      <c r="V70">
        <v>1</v>
      </c>
      <c r="W70" t="s">
        <v>169</v>
      </c>
      <c r="X70" t="s">
        <v>83</v>
      </c>
      <c r="Y70" t="s">
        <v>90</v>
      </c>
      <c r="Z70">
        <v>4000</v>
      </c>
      <c r="AA70">
        <v>4000</v>
      </c>
      <c r="AC70">
        <v>256</v>
      </c>
      <c r="AD70" t="s">
        <v>91</v>
      </c>
      <c r="AE70">
        <v>0.15</v>
      </c>
      <c r="AF70" t="s">
        <v>92</v>
      </c>
      <c r="AG70">
        <v>160</v>
      </c>
      <c r="AH70">
        <v>40</v>
      </c>
      <c r="AI70">
        <v>120</v>
      </c>
      <c r="AJ70">
        <v>0.12104005376127169</v>
      </c>
      <c r="AK70">
        <v>22.154927479977641</v>
      </c>
      <c r="AL70">
        <v>0.65294339513779454</v>
      </c>
      <c r="AM70">
        <v>-0.5154593879153937</v>
      </c>
      <c r="AN70">
        <v>28.806720680351962</v>
      </c>
      <c r="AO70">
        <v>0.59989647185558925</v>
      </c>
      <c r="AP70">
        <v>28.806720680351962</v>
      </c>
      <c r="AQ70">
        <v>28.806720680351962</v>
      </c>
      <c r="AR70">
        <v>0.59989647185558925</v>
      </c>
      <c r="AS70">
        <v>106.7620728814595</v>
      </c>
      <c r="AT70">
        <v>-0.52987632883173119</v>
      </c>
      <c r="AU70">
        <v>0.8</v>
      </c>
      <c r="AV70" t="s">
        <v>93</v>
      </c>
      <c r="AW70">
        <v>8.5866730618469139E-2</v>
      </c>
      <c r="AX70">
        <v>0.37649651358762498</v>
      </c>
      <c r="AY70">
        <v>8.5866730618469139E-2</v>
      </c>
      <c r="AZ70">
        <v>8.5866730618469139E-2</v>
      </c>
      <c r="BA70">
        <v>0.37649651358762498</v>
      </c>
      <c r="BB70">
        <v>0.15502146441387901</v>
      </c>
      <c r="BC70">
        <v>-0.12565626797039789</v>
      </c>
      <c r="BD70">
        <v>9.2507679865457992E-2</v>
      </c>
      <c r="BE70">
        <v>0.67948064724247059</v>
      </c>
      <c r="BF70">
        <v>9.2507679865457992E-2</v>
      </c>
      <c r="BG70">
        <v>9.2507679865457992E-2</v>
      </c>
      <c r="BH70">
        <v>0.67948064724247059</v>
      </c>
      <c r="BI70">
        <v>0.39431592312324609</v>
      </c>
      <c r="BJ70">
        <v>-0.366220454834286</v>
      </c>
      <c r="BK70">
        <v>8.1993085775982369E-2</v>
      </c>
      <c r="BL70">
        <v>0.67082369517864548</v>
      </c>
      <c r="BM70">
        <v>8.1993085775982369E-2</v>
      </c>
      <c r="BN70">
        <v>8.1993085775982369E-2</v>
      </c>
      <c r="BO70">
        <v>0.67082369517864548</v>
      </c>
      <c r="BP70">
        <v>0.60165382392439115</v>
      </c>
      <c r="BQ70">
        <v>-1.4154497988058681</v>
      </c>
      <c r="BR70">
        <v>114.9665152251481</v>
      </c>
      <c r="BS70">
        <v>0.67278503141361656</v>
      </c>
      <c r="BT70">
        <v>114.9665152251481</v>
      </c>
      <c r="BU70">
        <v>114.9665152251481</v>
      </c>
      <c r="BV70">
        <v>0.67278503141361656</v>
      </c>
      <c r="BW70">
        <v>425.89730031437631</v>
      </c>
      <c r="BX70">
        <v>-0.21217879371636481</v>
      </c>
      <c r="BY70" s="5" t="str">
        <f>SUBSTITUTE(TRIM(MID(SUBSTITUTE(SUBSTITUTE(SUBSTITUTE(Tabla1[[#This Row],[map]],"[",""),"]",""),",",REPT(" ",100)),300,300))," ",", ")</f>
        <v>3, 4, 2</v>
      </c>
      <c r="BZ70" s="5" t="str">
        <f>SUBSTITUTE(TRIM(MID(SUBSTITUTE(SUBSTITUTE(SUBSTITUTE(Tabla1[[#This Row],[map]],"[",""),"]",""),",",REPT(" ",100)),901,300))," ",", ")</f>
        <v>1, 4, 0</v>
      </c>
    </row>
    <row r="71" spans="1:78" x14ac:dyDescent="0.3">
      <c r="A71" s="1">
        <v>46114.353229166663</v>
      </c>
      <c r="B71" t="s">
        <v>195</v>
      </c>
      <c r="C71">
        <v>9</v>
      </c>
      <c r="D71" t="s">
        <v>77</v>
      </c>
      <c r="E71" t="s">
        <v>78</v>
      </c>
      <c r="F71">
        <v>16590</v>
      </c>
      <c r="G71">
        <v>4.5</v>
      </c>
      <c r="H71" t="s">
        <v>79</v>
      </c>
      <c r="I71" t="s">
        <v>80</v>
      </c>
      <c r="J71">
        <v>5</v>
      </c>
      <c r="K71">
        <v>5</v>
      </c>
      <c r="L71" t="s">
        <v>81</v>
      </c>
      <c r="M71" t="s">
        <v>82</v>
      </c>
      <c r="N71" t="s">
        <v>83</v>
      </c>
      <c r="O71" t="s">
        <v>83</v>
      </c>
      <c r="P71" t="s">
        <v>84</v>
      </c>
      <c r="Q71" t="s">
        <v>162</v>
      </c>
      <c r="R71">
        <v>2</v>
      </c>
      <c r="S71" t="s">
        <v>86</v>
      </c>
      <c r="T71" t="s">
        <v>87</v>
      </c>
      <c r="U71" t="s">
        <v>88</v>
      </c>
      <c r="V71">
        <v>1</v>
      </c>
      <c r="W71" t="s">
        <v>163</v>
      </c>
      <c r="X71" t="s">
        <v>83</v>
      </c>
      <c r="Y71" t="s">
        <v>90</v>
      </c>
      <c r="Z71">
        <v>4000</v>
      </c>
      <c r="AA71">
        <v>4000</v>
      </c>
      <c r="AC71">
        <v>256</v>
      </c>
      <c r="AD71" t="s">
        <v>91</v>
      </c>
      <c r="AE71">
        <v>0.15</v>
      </c>
      <c r="AF71" t="s">
        <v>92</v>
      </c>
      <c r="AG71">
        <v>160</v>
      </c>
      <c r="AH71">
        <v>40</v>
      </c>
      <c r="AI71">
        <v>120</v>
      </c>
      <c r="AJ71">
        <v>0.1250460056216251</v>
      </c>
      <c r="AK71">
        <v>19.139613600271751</v>
      </c>
      <c r="AL71">
        <v>0.66685694325392197</v>
      </c>
      <c r="AM71">
        <v>-3.3616428639136803E-2</v>
      </c>
      <c r="AN71">
        <v>29.13478789413486</v>
      </c>
      <c r="AO71">
        <v>0.60205865364742661</v>
      </c>
      <c r="AP71">
        <v>29.13478789413486</v>
      </c>
      <c r="AQ71">
        <v>29.13478789413486</v>
      </c>
      <c r="AR71">
        <v>0.60205865364742661</v>
      </c>
      <c r="AS71">
        <v>128.73105350595111</v>
      </c>
      <c r="AT71">
        <v>-7.7551677221922244E-2</v>
      </c>
      <c r="AU71">
        <v>0.8</v>
      </c>
      <c r="AV71" t="s">
        <v>93</v>
      </c>
      <c r="AW71">
        <v>8.1702003155025058E-2</v>
      </c>
      <c r="AX71">
        <v>0.40673781979215201</v>
      </c>
      <c r="AY71">
        <v>8.1702003155025058E-2</v>
      </c>
      <c r="AZ71">
        <v>8.1702003155025058E-2</v>
      </c>
      <c r="BA71">
        <v>0.40673781979215201</v>
      </c>
      <c r="BB71">
        <v>0.1268576756636676</v>
      </c>
      <c r="BC71">
        <v>7.8849252967200245E-2</v>
      </c>
      <c r="BD71">
        <v>8.7877713150712591E-2</v>
      </c>
      <c r="BE71">
        <v>0.69552249303146252</v>
      </c>
      <c r="BF71">
        <v>8.7877713150712591E-2</v>
      </c>
      <c r="BG71">
        <v>8.7877713150712591E-2</v>
      </c>
      <c r="BH71">
        <v>0.69552249303146252</v>
      </c>
      <c r="BI71">
        <v>0.28721695483026821</v>
      </c>
      <c r="BJ71">
        <v>4.8545958878772888E-3</v>
      </c>
      <c r="BK71">
        <v>9.0436709154054995E-2</v>
      </c>
      <c r="BL71">
        <v>0.63692521804984215</v>
      </c>
      <c r="BM71">
        <v>9.0436709154054995E-2</v>
      </c>
      <c r="BN71">
        <v>9.0436709154054995E-2</v>
      </c>
      <c r="BO71">
        <v>0.63692521804984215</v>
      </c>
      <c r="BP71">
        <v>0.23169532622247541</v>
      </c>
      <c r="BQ71">
        <v>6.9816550889788331E-2</v>
      </c>
      <c r="BR71">
        <v>116.2791351510802</v>
      </c>
      <c r="BS71">
        <v>0.66904908371624927</v>
      </c>
      <c r="BT71">
        <v>116.2791351510802</v>
      </c>
      <c r="BU71">
        <v>116.2791351510802</v>
      </c>
      <c r="BV71">
        <v>0.66904908371624927</v>
      </c>
      <c r="BW71">
        <v>514.27844406708834</v>
      </c>
      <c r="BX71">
        <v>-0.46372710863255318</v>
      </c>
      <c r="BY71" s="5" t="str">
        <f>SUBSTITUTE(TRIM(MID(SUBSTITUTE(SUBSTITUTE(SUBSTITUTE(Tabla1[[#This Row],[map]],"[",""),"]",""),",",REPT(" ",100)),300,300))," ",", ")</f>
        <v>3, 4, 2</v>
      </c>
      <c r="BZ71" s="5" t="str">
        <f>SUBSTITUTE(TRIM(MID(SUBSTITUTE(SUBSTITUTE(SUBSTITUTE(Tabla1[[#This Row],[map]],"[",""),"]",""),",",REPT(" ",100)),901,300))," ",", ")</f>
        <v>0, 1, 4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D46A-55C4-4C35-9B85-9C627D15DCF9}">
  <dimension ref="A3:N11"/>
  <sheetViews>
    <sheetView workbookViewId="0">
      <selection activeCell="C14" sqref="C14"/>
    </sheetView>
  </sheetViews>
  <sheetFormatPr baseColWidth="10" defaultRowHeight="14.4" x14ac:dyDescent="0.3"/>
  <cols>
    <col min="1" max="1" width="31.6640625" bestFit="1" customWidth="1"/>
    <col min="2" max="2" width="28.5546875" bestFit="1" customWidth="1"/>
    <col min="3" max="3" width="29.5546875" bestFit="1" customWidth="1"/>
    <col min="4" max="4" width="24.88671875" bestFit="1" customWidth="1"/>
    <col min="5" max="5" width="25.88671875" bestFit="1" customWidth="1"/>
    <col min="6" max="6" width="37.88671875" bestFit="1" customWidth="1"/>
    <col min="7" max="7" width="37.5546875" bestFit="1" customWidth="1"/>
    <col min="8" max="8" width="33.44140625" bestFit="1" customWidth="1"/>
    <col min="9" max="9" width="34.44140625" bestFit="1" customWidth="1"/>
    <col min="10" max="10" width="38.88671875" bestFit="1" customWidth="1"/>
    <col min="11" max="11" width="38.5546875" bestFit="1" customWidth="1"/>
    <col min="12" max="12" width="34.44140625" bestFit="1" customWidth="1"/>
    <col min="13" max="13" width="35.44140625" bestFit="1" customWidth="1"/>
    <col min="14" max="14" width="18" bestFit="1" customWidth="1"/>
  </cols>
  <sheetData>
    <row r="3" spans="1:14" x14ac:dyDescent="0.3">
      <c r="A3" s="3" t="s">
        <v>140</v>
      </c>
      <c r="B3" t="s">
        <v>143</v>
      </c>
      <c r="C3" t="s">
        <v>144</v>
      </c>
      <c r="D3" t="s">
        <v>145</v>
      </c>
      <c r="E3" t="s">
        <v>154</v>
      </c>
      <c r="F3" t="s">
        <v>152</v>
      </c>
      <c r="G3" t="s">
        <v>151</v>
      </c>
      <c r="H3" t="s">
        <v>150</v>
      </c>
      <c r="I3" t="s">
        <v>153</v>
      </c>
      <c r="J3" t="s">
        <v>149</v>
      </c>
      <c r="K3" t="s">
        <v>148</v>
      </c>
      <c r="L3" t="s">
        <v>147</v>
      </c>
      <c r="M3" t="s">
        <v>146</v>
      </c>
      <c r="N3" t="s">
        <v>142</v>
      </c>
    </row>
    <row r="4" spans="1:14" x14ac:dyDescent="0.3">
      <c r="A4" s="4" t="s">
        <v>166</v>
      </c>
      <c r="B4" s="5">
        <v>0.7015284380626895</v>
      </c>
      <c r="C4" s="5">
        <v>-0.47277609519724423</v>
      </c>
      <c r="D4" s="5">
        <v>0.67521021028600736</v>
      </c>
      <c r="E4" s="5">
        <v>-0.40334331822090858</v>
      </c>
      <c r="F4" s="5">
        <v>0.54834297053149206</v>
      </c>
      <c r="G4" s="5">
        <v>0.74921214267333314</v>
      </c>
      <c r="H4" s="5">
        <v>0.72662824128597869</v>
      </c>
      <c r="I4" s="5">
        <v>0.67665748665322556</v>
      </c>
      <c r="J4" s="5">
        <v>-0.32322065015985235</v>
      </c>
      <c r="K4" s="5">
        <v>0.11153430756312314</v>
      </c>
      <c r="L4" s="5">
        <v>-1.0824397659136618</v>
      </c>
      <c r="M4" s="5">
        <v>-0.31924716437324346</v>
      </c>
      <c r="N4" s="5">
        <v>10</v>
      </c>
    </row>
    <row r="5" spans="1:14" x14ac:dyDescent="0.3">
      <c r="A5" s="4" t="s">
        <v>89</v>
      </c>
      <c r="B5" s="5">
        <v>0.67872765761868203</v>
      </c>
      <c r="C5" s="5">
        <v>-8.0650245790221994E-2</v>
      </c>
      <c r="D5" s="5">
        <v>0.65778328172909029</v>
      </c>
      <c r="E5" s="5">
        <v>1.2059263724309509E-2</v>
      </c>
      <c r="F5" s="5">
        <v>0.52235163574375287</v>
      </c>
      <c r="G5" s="5">
        <v>0.7504777876076526</v>
      </c>
      <c r="H5" s="5">
        <v>0.79371240569866452</v>
      </c>
      <c r="I5" s="5">
        <v>0.5645912978662917</v>
      </c>
      <c r="J5" s="5">
        <v>-0.16751543149037357</v>
      </c>
      <c r="K5" s="5">
        <v>0.26239543194621556</v>
      </c>
      <c r="L5" s="5">
        <v>0.1846322785520505</v>
      </c>
      <c r="M5" s="5">
        <v>-0.2312752241106531</v>
      </c>
      <c r="N5" s="5">
        <v>10</v>
      </c>
    </row>
    <row r="6" spans="1:14" x14ac:dyDescent="0.3">
      <c r="A6" s="4" t="s">
        <v>97</v>
      </c>
      <c r="B6" s="5">
        <v>0.67407491365092598</v>
      </c>
      <c r="C6" s="5">
        <v>-0.11559068628256428</v>
      </c>
      <c r="D6" s="5">
        <v>0.63908617441779259</v>
      </c>
      <c r="E6" s="5">
        <v>-6.0069740151355841E-2</v>
      </c>
      <c r="F6" s="5">
        <v>0.57928978164931011</v>
      </c>
      <c r="G6" s="5">
        <v>0.75869931623206954</v>
      </c>
      <c r="H6" s="5">
        <v>0.64427013286803381</v>
      </c>
      <c r="I6" s="5">
        <v>0.5740854669217571</v>
      </c>
      <c r="J6" s="5">
        <v>-7.8270268361069761E-2</v>
      </c>
      <c r="K6" s="5">
        <v>0.11478341455432703</v>
      </c>
      <c r="L6" s="5">
        <v>0.11808625513944933</v>
      </c>
      <c r="M6" s="5">
        <v>-0.39487836193813008</v>
      </c>
      <c r="N6" s="5">
        <v>10</v>
      </c>
    </row>
    <row r="7" spans="1:14" x14ac:dyDescent="0.3">
      <c r="A7" s="4" t="s">
        <v>169</v>
      </c>
      <c r="B7" s="5">
        <v>0.67087548513638051</v>
      </c>
      <c r="C7" s="5">
        <v>-0.36900076952004895</v>
      </c>
      <c r="D7" s="5">
        <v>0.62386146285028554</v>
      </c>
      <c r="E7" s="5">
        <v>-0.30718261798589025</v>
      </c>
      <c r="F7" s="5">
        <v>0.42478159640080432</v>
      </c>
      <c r="G7" s="5">
        <v>0.67022903578207271</v>
      </c>
      <c r="H7" s="5">
        <v>0.7172452153630311</v>
      </c>
      <c r="I7" s="5">
        <v>0.68319000385523543</v>
      </c>
      <c r="J7" s="5">
        <v>2.3711414011802011E-2</v>
      </c>
      <c r="K7" s="5">
        <v>-0.20712675104989917</v>
      </c>
      <c r="L7" s="5">
        <v>-0.79866364573867676</v>
      </c>
      <c r="M7" s="5">
        <v>-0.24665148916678881</v>
      </c>
      <c r="N7" s="5">
        <v>10</v>
      </c>
    </row>
    <row r="8" spans="1:14" x14ac:dyDescent="0.3">
      <c r="A8" s="4" t="s">
        <v>103</v>
      </c>
      <c r="B8" s="5">
        <v>0.62638086040636953</v>
      </c>
      <c r="C8" s="5">
        <v>-8.1158847672368431E-2</v>
      </c>
      <c r="D8" s="5">
        <v>0.5884475977025625</v>
      </c>
      <c r="E8" s="5">
        <v>-4.7731618767752559E-2</v>
      </c>
      <c r="F8" s="5">
        <v>0.39770235797012932</v>
      </c>
      <c r="G8" s="5">
        <v>0.62705966135911673</v>
      </c>
      <c r="H8" s="5">
        <v>0.7934057697433976</v>
      </c>
      <c r="I8" s="5">
        <v>0.53562260173760723</v>
      </c>
      <c r="J8" s="5">
        <v>-0.28728551372144562</v>
      </c>
      <c r="K8" s="5">
        <v>0.22350027730463062</v>
      </c>
      <c r="L8" s="5">
        <v>0.1645818527316453</v>
      </c>
      <c r="M8" s="5">
        <v>-0.2917230913858409</v>
      </c>
      <c r="N8" s="5">
        <v>10</v>
      </c>
    </row>
    <row r="9" spans="1:14" x14ac:dyDescent="0.3">
      <c r="A9" s="4" t="s">
        <v>163</v>
      </c>
      <c r="B9" s="5">
        <v>0.65086997636830335</v>
      </c>
      <c r="C9" s="5">
        <v>-9.3007430840882921E-5</v>
      </c>
      <c r="D9" s="5">
        <v>0.5831840612149688</v>
      </c>
      <c r="E9" s="5">
        <v>-1.73185596649429E-2</v>
      </c>
      <c r="F9" s="5">
        <v>0.44847120155061349</v>
      </c>
      <c r="G9" s="5">
        <v>0.67239169886118511</v>
      </c>
      <c r="H9" s="5">
        <v>0.66569549749719104</v>
      </c>
      <c r="I9" s="5">
        <v>0.54617784695088578</v>
      </c>
      <c r="J9" s="5">
        <v>5.4000679352258628E-2</v>
      </c>
      <c r="K9" s="5">
        <v>-8.8610858827261572E-3</v>
      </c>
      <c r="L9" s="5">
        <v>0.16048760556957214</v>
      </c>
      <c r="M9" s="5">
        <v>-0.27490143769887854</v>
      </c>
      <c r="N9" s="5">
        <v>10</v>
      </c>
    </row>
    <row r="10" spans="1:14" x14ac:dyDescent="0.3">
      <c r="A10" s="4" t="s">
        <v>100</v>
      </c>
      <c r="B10" s="5">
        <v>0.60746206263392355</v>
      </c>
      <c r="C10" s="5">
        <v>-5.7914672058916983E-2</v>
      </c>
      <c r="D10" s="5">
        <v>0.55314170359473636</v>
      </c>
      <c r="E10" s="5">
        <v>1.7383656688629647E-2</v>
      </c>
      <c r="F10" s="5">
        <v>0.36029909404099325</v>
      </c>
      <c r="G10" s="5">
        <v>0.63920812676846861</v>
      </c>
      <c r="H10" s="5">
        <v>0.64956995017863073</v>
      </c>
      <c r="I10" s="5">
        <v>0.56348964339085295</v>
      </c>
      <c r="J10" s="5">
        <v>-0.20629809249006908</v>
      </c>
      <c r="K10" s="5">
        <v>0.42180256629672092</v>
      </c>
      <c r="L10" s="5">
        <v>0.18608753287178917</v>
      </c>
      <c r="M10" s="5">
        <v>-0.33205737992392442</v>
      </c>
      <c r="N10" s="5">
        <v>10</v>
      </c>
    </row>
    <row r="11" spans="1:14" x14ac:dyDescent="0.3">
      <c r="A11" s="4" t="s">
        <v>141</v>
      </c>
      <c r="B11" s="5">
        <v>0.65855991341103914</v>
      </c>
      <c r="C11" s="5">
        <v>-0.16816918913602941</v>
      </c>
      <c r="D11" s="5">
        <v>0.61724492739934889</v>
      </c>
      <c r="E11" s="5">
        <v>-0.11517184776827298</v>
      </c>
      <c r="F11" s="5">
        <v>0.46874837684101361</v>
      </c>
      <c r="G11" s="5">
        <v>0.69532539561198581</v>
      </c>
      <c r="H11" s="5">
        <v>0.71293245894784663</v>
      </c>
      <c r="I11" s="5">
        <v>0.59197347819655077</v>
      </c>
      <c r="J11" s="5">
        <v>-0.14069683755124995</v>
      </c>
      <c r="K11" s="5">
        <v>0.13114688010462741</v>
      </c>
      <c r="L11" s="5">
        <v>-0.15246112668397599</v>
      </c>
      <c r="M11" s="5">
        <v>-0.29867630694249436</v>
      </c>
      <c r="N11" s="5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D6A9A-05AA-448B-A603-AC425B4E891B}">
  <dimension ref="A1:G5"/>
  <sheetViews>
    <sheetView workbookViewId="0">
      <selection activeCell="C9" sqref="C9"/>
    </sheetView>
  </sheetViews>
  <sheetFormatPr baseColWidth="10" defaultRowHeight="14.4" x14ac:dyDescent="0.3"/>
  <cols>
    <col min="1" max="1" width="16.5546875" bestFit="1" customWidth="1"/>
    <col min="2" max="2" width="37.88671875" bestFit="1" customWidth="1"/>
    <col min="3" max="3" width="37.5546875" bestFit="1" customWidth="1"/>
    <col min="4" max="4" width="38.88671875" bestFit="1" customWidth="1"/>
    <col min="5" max="5" width="38.5546875" bestFit="1" customWidth="1"/>
    <col min="6" max="6" width="24.88671875" bestFit="1" customWidth="1"/>
    <col min="7" max="7" width="25.88671875" bestFit="1" customWidth="1"/>
  </cols>
  <sheetData>
    <row r="1" spans="1:7" x14ac:dyDescent="0.3">
      <c r="A1" s="3" t="s">
        <v>140</v>
      </c>
      <c r="B1" t="s">
        <v>152</v>
      </c>
      <c r="C1" t="s">
        <v>151</v>
      </c>
      <c r="D1" t="s">
        <v>149</v>
      </c>
      <c r="E1" t="s">
        <v>148</v>
      </c>
      <c r="F1" t="s">
        <v>145</v>
      </c>
      <c r="G1" t="s">
        <v>154</v>
      </c>
    </row>
    <row r="2" spans="1:7" x14ac:dyDescent="0.3">
      <c r="A2" s="4" t="s">
        <v>157</v>
      </c>
      <c r="B2" s="5">
        <v>0.54999479597485179</v>
      </c>
      <c r="C2" s="5">
        <v>0.75279641550435195</v>
      </c>
      <c r="D2" s="5">
        <v>-0.18966878333709858</v>
      </c>
      <c r="E2" s="5">
        <v>0.16290438468788854</v>
      </c>
      <c r="F2" s="5">
        <v>0.65735988881096341</v>
      </c>
      <c r="G2" s="5">
        <v>-0.15045126488265165</v>
      </c>
    </row>
    <row r="3" spans="1:7" x14ac:dyDescent="0.3">
      <c r="A3" s="4" t="s">
        <v>158</v>
      </c>
      <c r="B3" s="5">
        <v>0.37900072600556123</v>
      </c>
      <c r="C3" s="5">
        <v>0.6331338940637925</v>
      </c>
      <c r="D3" s="5">
        <v>-0.24679180310575735</v>
      </c>
      <c r="E3" s="5">
        <v>0.32265142180067574</v>
      </c>
      <c r="F3" s="5">
        <v>0.57079465064864954</v>
      </c>
      <c r="G3" s="5">
        <v>-1.5173981039561451E-2</v>
      </c>
    </row>
    <row r="4" spans="1:7" x14ac:dyDescent="0.3">
      <c r="A4" s="4" t="s">
        <v>196</v>
      </c>
      <c r="B4" s="5">
        <v>0.43662639897570898</v>
      </c>
      <c r="C4" s="5">
        <v>0.67131036732162908</v>
      </c>
      <c r="D4" s="5">
        <v>3.885604668203034E-2</v>
      </c>
      <c r="E4" s="5">
        <v>-0.10799391846631268</v>
      </c>
      <c r="F4" s="5">
        <v>0.60352276203262711</v>
      </c>
      <c r="G4" s="5">
        <v>-0.1622505888254166</v>
      </c>
    </row>
    <row r="5" spans="1:7" x14ac:dyDescent="0.3">
      <c r="A5" s="4" t="s">
        <v>141</v>
      </c>
      <c r="B5" s="5">
        <v>0.4687483768410135</v>
      </c>
      <c r="C5" s="5">
        <v>0.6953253956119857</v>
      </c>
      <c r="D5" s="5">
        <v>-0.14069683755124998</v>
      </c>
      <c r="E5" s="5">
        <v>0.13114688010462744</v>
      </c>
      <c r="F5" s="5">
        <v>0.61724492739934889</v>
      </c>
      <c r="G5" s="5">
        <v>-0.11517184776827301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AEC94-66A5-41CF-981B-D72A4F0F16F4}">
  <dimension ref="A2:G6"/>
  <sheetViews>
    <sheetView tabSelected="1" workbookViewId="0">
      <selection activeCell="A5" sqref="A5"/>
    </sheetView>
  </sheetViews>
  <sheetFormatPr baseColWidth="10" defaultRowHeight="14.4" x14ac:dyDescent="0.3"/>
  <cols>
    <col min="1" max="1" width="16.5546875" bestFit="1" customWidth="1"/>
    <col min="2" max="2" width="33.44140625" bestFit="1" customWidth="1"/>
    <col min="3" max="4" width="34.44140625" bestFit="1" customWidth="1"/>
    <col min="5" max="5" width="35.44140625" bestFit="1" customWidth="1"/>
    <col min="6" max="6" width="24.88671875" bestFit="1" customWidth="1"/>
    <col min="7" max="7" width="25.88671875" bestFit="1" customWidth="1"/>
  </cols>
  <sheetData>
    <row r="2" spans="1:7" x14ac:dyDescent="0.3">
      <c r="A2" s="3" t="s">
        <v>140</v>
      </c>
      <c r="B2" t="s">
        <v>150</v>
      </c>
      <c r="C2" t="s">
        <v>153</v>
      </c>
      <c r="D2" t="s">
        <v>147</v>
      </c>
      <c r="E2" t="s">
        <v>146</v>
      </c>
      <c r="F2" t="s">
        <v>145</v>
      </c>
      <c r="G2" t="s">
        <v>154</v>
      </c>
    </row>
    <row r="3" spans="1:7" x14ac:dyDescent="0.3">
      <c r="A3" s="4" t="s">
        <v>159</v>
      </c>
      <c r="B3" s="5">
        <v>0.65317852684795197</v>
      </c>
      <c r="C3" s="5">
        <v>0.5612509857544985</v>
      </c>
      <c r="D3" s="5">
        <v>0.15488713119360356</v>
      </c>
      <c r="E3" s="5">
        <v>-0.33394572652031101</v>
      </c>
      <c r="F3" s="5">
        <v>0.59180397974249921</v>
      </c>
      <c r="G3" s="5">
        <v>-2.0001547709223026E-2</v>
      </c>
    </row>
    <row r="4" spans="1:7" x14ac:dyDescent="0.3">
      <c r="A4" s="4" t="s">
        <v>160</v>
      </c>
      <c r="B4" s="5">
        <v>0.79355908772103123</v>
      </c>
      <c r="C4" s="5">
        <v>0.5501069498019493</v>
      </c>
      <c r="D4" s="5">
        <v>0.17460706564184791</v>
      </c>
      <c r="E4" s="5">
        <v>-0.261499157748247</v>
      </c>
      <c r="F4" s="5">
        <v>0.62311543971582617</v>
      </c>
      <c r="G4" s="5">
        <v>-1.7836177521721525E-2</v>
      </c>
    </row>
    <row r="5" spans="1:7" x14ac:dyDescent="0.3">
      <c r="A5" s="4" t="s">
        <v>197</v>
      </c>
      <c r="B5" s="5">
        <v>0.72193672832450473</v>
      </c>
      <c r="C5" s="5">
        <v>0.6799237452542306</v>
      </c>
      <c r="D5" s="5">
        <v>-0.94055170582616898</v>
      </c>
      <c r="E5" s="5">
        <v>-0.28294932677001616</v>
      </c>
      <c r="F5" s="5">
        <v>0.64953583656814629</v>
      </c>
      <c r="G5" s="5">
        <v>-0.35526296810339941</v>
      </c>
    </row>
    <row r="6" spans="1:7" x14ac:dyDescent="0.3">
      <c r="A6" s="4" t="s">
        <v>141</v>
      </c>
      <c r="B6" s="5">
        <v>0.71293245894784663</v>
      </c>
      <c r="C6" s="5">
        <v>0.59197347819655088</v>
      </c>
      <c r="D6" s="5">
        <v>-0.15246112668397596</v>
      </c>
      <c r="E6" s="5">
        <v>-0.29867630694249431</v>
      </c>
      <c r="F6" s="5">
        <v>0.617244927399349</v>
      </c>
      <c r="G6" s="5">
        <v>-0.11517184776827301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general analysis</vt:lpstr>
      <vt:lpstr>surge and sway</vt:lpstr>
      <vt:lpstr>yaw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2026-03-10T13:29:46Z</dcterms:created>
  <dcterms:modified xsi:type="dcterms:W3CDTF">2026-04-02T12:29:51Z</dcterms:modified>
</cp:coreProperties>
</file>