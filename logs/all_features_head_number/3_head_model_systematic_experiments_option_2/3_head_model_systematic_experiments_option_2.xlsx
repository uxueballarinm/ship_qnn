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all_features_head_number/3_head_model_systematic_experiments_option_2/"/>
    </mc:Choice>
  </mc:AlternateContent>
  <xr:revisionPtr revIDLastSave="573" documentId="11_6BED50BED350D5E7ECCB0DD04B5ED87656CBFFED" xr6:coauthVersionLast="47" xr6:coauthVersionMax="47" xr10:uidLastSave="{4F8A2E53-D49A-4806-BD07-9DFA3862A1E8}"/>
  <bookViews>
    <workbookView xWindow="28680" yWindow="-5580" windowWidth="51840" windowHeight="21120" activeTab="1" xr2:uid="{00000000-000D-0000-FFFF-FFFF00000000}"/>
  </bookViews>
  <sheets>
    <sheet name="Sheet1" sheetId="1" r:id="rId1"/>
    <sheet name="general analysis" sheetId="2" r:id="rId2"/>
    <sheet name="surge and sway" sheetId="3" r:id="rId3"/>
    <sheet name="yaw rate" sheetId="4" r:id="rId4"/>
    <sheet name="yaw angle" sheetId="5" r:id="rId5"/>
  </sheets>
  <calcPr calcId="191029"/>
  <pivotCaches>
    <pivotCache cacheId="1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548" i="1" l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Z548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CA548" i="1"/>
  <c r="CA549" i="1"/>
  <c r="CA550" i="1"/>
  <c r="CA551" i="1"/>
  <c r="CA552" i="1"/>
  <c r="CA553" i="1"/>
  <c r="CA554" i="1"/>
  <c r="CA555" i="1"/>
  <c r="CA556" i="1"/>
  <c r="CA557" i="1"/>
  <c r="CA558" i="1"/>
  <c r="CA559" i="1"/>
  <c r="CA560" i="1"/>
  <c r="CA561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C548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D548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E548" i="1"/>
  <c r="CE549" i="1"/>
  <c r="CE550" i="1"/>
  <c r="CE551" i="1"/>
  <c r="CE552" i="1"/>
  <c r="CE553" i="1"/>
  <c r="CE554" i="1"/>
  <c r="CE555" i="1"/>
  <c r="CE556" i="1"/>
  <c r="CE557" i="1"/>
  <c r="CE558" i="1"/>
  <c r="CE559" i="1"/>
  <c r="CE560" i="1"/>
  <c r="CE561" i="1"/>
  <c r="CF548" i="1"/>
  <c r="CF549" i="1"/>
  <c r="CF550" i="1"/>
  <c r="CF551" i="1"/>
  <c r="CF552" i="1"/>
  <c r="CF553" i="1"/>
  <c r="CF554" i="1"/>
  <c r="CF555" i="1"/>
  <c r="CF556" i="1"/>
  <c r="CF557" i="1"/>
  <c r="CF558" i="1"/>
  <c r="CF559" i="1"/>
  <c r="CF560" i="1"/>
  <c r="CF561" i="1"/>
  <c r="CG548" i="1"/>
  <c r="CG549" i="1"/>
  <c r="CG550" i="1"/>
  <c r="CG551" i="1"/>
  <c r="CG552" i="1"/>
  <c r="CG553" i="1"/>
  <c r="CG554" i="1"/>
  <c r="CG555" i="1"/>
  <c r="CG556" i="1"/>
  <c r="CG557" i="1"/>
  <c r="CG558" i="1"/>
  <c r="CG559" i="1"/>
  <c r="CG560" i="1"/>
  <c r="CG561" i="1"/>
  <c r="BY497" i="1"/>
  <c r="BY498" i="1"/>
  <c r="BY499" i="1"/>
  <c r="BY500" i="1"/>
  <c r="BY501" i="1"/>
  <c r="BY502" i="1"/>
  <c r="BY503" i="1"/>
  <c r="BY504" i="1"/>
  <c r="BY505" i="1"/>
  <c r="BY506" i="1"/>
  <c r="BY507" i="1"/>
  <c r="BY508" i="1"/>
  <c r="BY509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Z497" i="1"/>
  <c r="BZ498" i="1"/>
  <c r="BZ499" i="1"/>
  <c r="BZ500" i="1"/>
  <c r="BZ501" i="1"/>
  <c r="BZ502" i="1"/>
  <c r="BZ503" i="1"/>
  <c r="BZ504" i="1"/>
  <c r="BZ505" i="1"/>
  <c r="BZ506" i="1"/>
  <c r="BZ507" i="1"/>
  <c r="BZ508" i="1"/>
  <c r="BZ509" i="1"/>
  <c r="BZ510" i="1"/>
  <c r="BZ511" i="1"/>
  <c r="BZ512" i="1"/>
  <c r="BZ513" i="1"/>
  <c r="BZ514" i="1"/>
  <c r="BZ515" i="1"/>
  <c r="BZ516" i="1"/>
  <c r="BZ517" i="1"/>
  <c r="BZ518" i="1"/>
  <c r="BZ519" i="1"/>
  <c r="BZ520" i="1"/>
  <c r="BZ521" i="1"/>
  <c r="BZ522" i="1"/>
  <c r="BZ523" i="1"/>
  <c r="BZ524" i="1"/>
  <c r="BZ525" i="1"/>
  <c r="BZ526" i="1"/>
  <c r="BZ527" i="1"/>
  <c r="BZ528" i="1"/>
  <c r="BZ529" i="1"/>
  <c r="BZ530" i="1"/>
  <c r="BZ531" i="1"/>
  <c r="BZ532" i="1"/>
  <c r="BZ533" i="1"/>
  <c r="BZ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CA497" i="1"/>
  <c r="CA498" i="1"/>
  <c r="CA499" i="1"/>
  <c r="CA500" i="1"/>
  <c r="CA501" i="1"/>
  <c r="CA502" i="1"/>
  <c r="CA503" i="1"/>
  <c r="CA504" i="1"/>
  <c r="CA505" i="1"/>
  <c r="CA506" i="1"/>
  <c r="CA507" i="1"/>
  <c r="CA508" i="1"/>
  <c r="CA509" i="1"/>
  <c r="CA510" i="1"/>
  <c r="CA511" i="1"/>
  <c r="CA512" i="1"/>
  <c r="CA513" i="1"/>
  <c r="CA514" i="1"/>
  <c r="CA515" i="1"/>
  <c r="CA516" i="1"/>
  <c r="CA517" i="1"/>
  <c r="CA518" i="1"/>
  <c r="CA519" i="1"/>
  <c r="CA520" i="1"/>
  <c r="CA521" i="1"/>
  <c r="CA522" i="1"/>
  <c r="CA523" i="1"/>
  <c r="CA524" i="1"/>
  <c r="CA525" i="1"/>
  <c r="CA526" i="1"/>
  <c r="CA527" i="1"/>
  <c r="CA528" i="1"/>
  <c r="CA529" i="1"/>
  <c r="CA530" i="1"/>
  <c r="CA531" i="1"/>
  <c r="CA532" i="1"/>
  <c r="CA533" i="1"/>
  <c r="CA534" i="1"/>
  <c r="CA535" i="1"/>
  <c r="CA536" i="1"/>
  <c r="CA537" i="1"/>
  <c r="CA538" i="1"/>
  <c r="CA539" i="1"/>
  <c r="CA540" i="1"/>
  <c r="CA541" i="1"/>
  <c r="CA542" i="1"/>
  <c r="CA543" i="1"/>
  <c r="CA544" i="1"/>
  <c r="CA545" i="1"/>
  <c r="CA546" i="1"/>
  <c r="CA547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C497" i="1"/>
  <c r="CC498" i="1"/>
  <c r="CC499" i="1"/>
  <c r="CC500" i="1"/>
  <c r="CC501" i="1"/>
  <c r="CC502" i="1"/>
  <c r="CC503" i="1"/>
  <c r="CC504" i="1"/>
  <c r="CC505" i="1"/>
  <c r="CC506" i="1"/>
  <c r="CC507" i="1"/>
  <c r="CC508" i="1"/>
  <c r="CC509" i="1"/>
  <c r="CC510" i="1"/>
  <c r="CC511" i="1"/>
  <c r="CC512" i="1"/>
  <c r="CC513" i="1"/>
  <c r="CC514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7" i="1"/>
  <c r="CD538" i="1"/>
  <c r="CD539" i="1"/>
  <c r="CD540" i="1"/>
  <c r="CD541" i="1"/>
  <c r="CD542" i="1"/>
  <c r="CD543" i="1"/>
  <c r="CD544" i="1"/>
  <c r="CD545" i="1"/>
  <c r="CD546" i="1"/>
  <c r="CD547" i="1"/>
  <c r="CE497" i="1"/>
  <c r="CE498" i="1"/>
  <c r="CE499" i="1"/>
  <c r="CE500" i="1"/>
  <c r="CE501" i="1"/>
  <c r="CE502" i="1"/>
  <c r="CE503" i="1"/>
  <c r="CE504" i="1"/>
  <c r="CE505" i="1"/>
  <c r="CE506" i="1"/>
  <c r="CE507" i="1"/>
  <c r="CE508" i="1"/>
  <c r="CE509" i="1"/>
  <c r="CE510" i="1"/>
  <c r="CE511" i="1"/>
  <c r="CE512" i="1"/>
  <c r="CE513" i="1"/>
  <c r="CE514" i="1"/>
  <c r="CE515" i="1"/>
  <c r="CE516" i="1"/>
  <c r="CE517" i="1"/>
  <c r="CE518" i="1"/>
  <c r="CE519" i="1"/>
  <c r="CE520" i="1"/>
  <c r="CE521" i="1"/>
  <c r="CE522" i="1"/>
  <c r="CE523" i="1"/>
  <c r="CE524" i="1"/>
  <c r="CE525" i="1"/>
  <c r="CE526" i="1"/>
  <c r="CE527" i="1"/>
  <c r="CE528" i="1"/>
  <c r="CE529" i="1"/>
  <c r="CE530" i="1"/>
  <c r="CE531" i="1"/>
  <c r="CE532" i="1"/>
  <c r="CE533" i="1"/>
  <c r="CE534" i="1"/>
  <c r="CE535" i="1"/>
  <c r="CE536" i="1"/>
  <c r="CE537" i="1"/>
  <c r="CE538" i="1"/>
  <c r="CE539" i="1"/>
  <c r="CE540" i="1"/>
  <c r="CE541" i="1"/>
  <c r="CE542" i="1"/>
  <c r="CE543" i="1"/>
  <c r="CE544" i="1"/>
  <c r="CE545" i="1"/>
  <c r="CE546" i="1"/>
  <c r="CE547" i="1"/>
  <c r="CF497" i="1"/>
  <c r="CF498" i="1"/>
  <c r="CF499" i="1"/>
  <c r="CF500" i="1"/>
  <c r="CF501" i="1"/>
  <c r="CF502" i="1"/>
  <c r="CF503" i="1"/>
  <c r="CF504" i="1"/>
  <c r="CF505" i="1"/>
  <c r="CF506" i="1"/>
  <c r="CF507" i="1"/>
  <c r="CF508" i="1"/>
  <c r="CF509" i="1"/>
  <c r="CF510" i="1"/>
  <c r="CF511" i="1"/>
  <c r="CF512" i="1"/>
  <c r="CF513" i="1"/>
  <c r="CF514" i="1"/>
  <c r="CF515" i="1"/>
  <c r="CF516" i="1"/>
  <c r="CF517" i="1"/>
  <c r="CF518" i="1"/>
  <c r="CF519" i="1"/>
  <c r="CF520" i="1"/>
  <c r="CF521" i="1"/>
  <c r="CF522" i="1"/>
  <c r="CF523" i="1"/>
  <c r="CF524" i="1"/>
  <c r="CF525" i="1"/>
  <c r="CF526" i="1"/>
  <c r="CF527" i="1"/>
  <c r="CF528" i="1"/>
  <c r="CF529" i="1"/>
  <c r="CF530" i="1"/>
  <c r="CF531" i="1"/>
  <c r="CF532" i="1"/>
  <c r="CF533" i="1"/>
  <c r="CF534" i="1"/>
  <c r="CF535" i="1"/>
  <c r="CF536" i="1"/>
  <c r="CF537" i="1"/>
  <c r="CF538" i="1"/>
  <c r="CF539" i="1"/>
  <c r="CF540" i="1"/>
  <c r="CF541" i="1"/>
  <c r="CF542" i="1"/>
  <c r="CF543" i="1"/>
  <c r="CF544" i="1"/>
  <c r="CF545" i="1"/>
  <c r="CF546" i="1"/>
  <c r="CF547" i="1"/>
  <c r="CG497" i="1"/>
  <c r="CG498" i="1"/>
  <c r="CG499" i="1"/>
  <c r="CG500" i="1"/>
  <c r="CG501" i="1"/>
  <c r="CG502" i="1"/>
  <c r="CG503" i="1"/>
  <c r="CG504" i="1"/>
  <c r="CG505" i="1"/>
  <c r="CG506" i="1"/>
  <c r="CG507" i="1"/>
  <c r="CG508" i="1"/>
  <c r="CG509" i="1"/>
  <c r="CG510" i="1"/>
  <c r="CG511" i="1"/>
  <c r="CG512" i="1"/>
  <c r="CG513" i="1"/>
  <c r="CG514" i="1"/>
  <c r="CG515" i="1"/>
  <c r="CG516" i="1"/>
  <c r="CG517" i="1"/>
  <c r="CG518" i="1"/>
  <c r="CG519" i="1"/>
  <c r="CG520" i="1"/>
  <c r="CG521" i="1"/>
  <c r="CG522" i="1"/>
  <c r="CG523" i="1"/>
  <c r="CG524" i="1"/>
  <c r="CG525" i="1"/>
  <c r="CG526" i="1"/>
  <c r="CG527" i="1"/>
  <c r="CG528" i="1"/>
  <c r="CG529" i="1"/>
  <c r="CG530" i="1"/>
  <c r="CG531" i="1"/>
  <c r="CG532" i="1"/>
  <c r="CG533" i="1"/>
  <c r="CG534" i="1"/>
  <c r="CG535" i="1"/>
  <c r="CG536" i="1"/>
  <c r="CG537" i="1"/>
  <c r="CG538" i="1"/>
  <c r="CG539" i="1"/>
  <c r="CG540" i="1"/>
  <c r="CG541" i="1"/>
  <c r="CG542" i="1"/>
  <c r="CG543" i="1"/>
  <c r="CG544" i="1"/>
  <c r="CG545" i="1"/>
  <c r="CG546" i="1"/>
  <c r="CG547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Z446" i="1"/>
  <c r="BZ447" i="1"/>
  <c r="BZ448" i="1"/>
  <c r="BZ449" i="1"/>
  <c r="BZ450" i="1"/>
  <c r="BZ451" i="1"/>
  <c r="BZ452" i="1"/>
  <c r="BZ453" i="1"/>
  <c r="BZ454" i="1"/>
  <c r="BZ455" i="1"/>
  <c r="BZ456" i="1"/>
  <c r="BZ457" i="1"/>
  <c r="BZ458" i="1"/>
  <c r="BZ459" i="1"/>
  <c r="BZ460" i="1"/>
  <c r="BZ461" i="1"/>
  <c r="BZ462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CA446" i="1"/>
  <c r="CA447" i="1"/>
  <c r="CA448" i="1"/>
  <c r="CA449" i="1"/>
  <c r="CA450" i="1"/>
  <c r="CA451" i="1"/>
  <c r="CA452" i="1"/>
  <c r="CA453" i="1"/>
  <c r="CA454" i="1"/>
  <c r="CA455" i="1"/>
  <c r="CA456" i="1"/>
  <c r="CA457" i="1"/>
  <c r="CA458" i="1"/>
  <c r="CA459" i="1"/>
  <c r="CA460" i="1"/>
  <c r="CA461" i="1"/>
  <c r="CA462" i="1"/>
  <c r="CA463" i="1"/>
  <c r="CA464" i="1"/>
  <c r="CA465" i="1"/>
  <c r="CA466" i="1"/>
  <c r="CA467" i="1"/>
  <c r="CA468" i="1"/>
  <c r="CA469" i="1"/>
  <c r="CA470" i="1"/>
  <c r="CA471" i="1"/>
  <c r="CA472" i="1"/>
  <c r="CA473" i="1"/>
  <c r="CA474" i="1"/>
  <c r="CA475" i="1"/>
  <c r="CA476" i="1"/>
  <c r="CA477" i="1"/>
  <c r="CA478" i="1"/>
  <c r="CA479" i="1"/>
  <c r="CA480" i="1"/>
  <c r="CA481" i="1"/>
  <c r="CA482" i="1"/>
  <c r="CA483" i="1"/>
  <c r="CA484" i="1"/>
  <c r="CA485" i="1"/>
  <c r="CA486" i="1"/>
  <c r="CA487" i="1"/>
  <c r="CA488" i="1"/>
  <c r="CA489" i="1"/>
  <c r="CA490" i="1"/>
  <c r="CA491" i="1"/>
  <c r="CA492" i="1"/>
  <c r="CA493" i="1"/>
  <c r="CA494" i="1"/>
  <c r="CA495" i="1"/>
  <c r="CA496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C446" i="1"/>
  <c r="CC447" i="1"/>
  <c r="CC448" i="1"/>
  <c r="CC449" i="1"/>
  <c r="CC450" i="1"/>
  <c r="CC451" i="1"/>
  <c r="CC452" i="1"/>
  <c r="CC453" i="1"/>
  <c r="CC454" i="1"/>
  <c r="CC455" i="1"/>
  <c r="CC456" i="1"/>
  <c r="CC457" i="1"/>
  <c r="CC458" i="1"/>
  <c r="CC459" i="1"/>
  <c r="CC460" i="1"/>
  <c r="CC461" i="1"/>
  <c r="CC462" i="1"/>
  <c r="CC463" i="1"/>
  <c r="CC464" i="1"/>
  <c r="CC465" i="1"/>
  <c r="CC466" i="1"/>
  <c r="CC467" i="1"/>
  <c r="CC468" i="1"/>
  <c r="CC469" i="1"/>
  <c r="CC470" i="1"/>
  <c r="CC471" i="1"/>
  <c r="CC472" i="1"/>
  <c r="CC473" i="1"/>
  <c r="CC474" i="1"/>
  <c r="CC475" i="1"/>
  <c r="CC476" i="1"/>
  <c r="CC477" i="1"/>
  <c r="CC478" i="1"/>
  <c r="CC479" i="1"/>
  <c r="CC480" i="1"/>
  <c r="CC481" i="1"/>
  <c r="CC482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6" i="1"/>
  <c r="CE446" i="1"/>
  <c r="CE447" i="1"/>
  <c r="CE448" i="1"/>
  <c r="CE449" i="1"/>
  <c r="CE450" i="1"/>
  <c r="CE451" i="1"/>
  <c r="CE452" i="1"/>
  <c r="CE453" i="1"/>
  <c r="CE454" i="1"/>
  <c r="CE455" i="1"/>
  <c r="CE456" i="1"/>
  <c r="CE457" i="1"/>
  <c r="CE458" i="1"/>
  <c r="CE459" i="1"/>
  <c r="CE460" i="1"/>
  <c r="CE461" i="1"/>
  <c r="CE462" i="1"/>
  <c r="CE463" i="1"/>
  <c r="CE464" i="1"/>
  <c r="CE465" i="1"/>
  <c r="CE466" i="1"/>
  <c r="CE467" i="1"/>
  <c r="CE468" i="1"/>
  <c r="CE469" i="1"/>
  <c r="CE470" i="1"/>
  <c r="CE471" i="1"/>
  <c r="CE472" i="1"/>
  <c r="CE473" i="1"/>
  <c r="CE474" i="1"/>
  <c r="CE475" i="1"/>
  <c r="CE476" i="1"/>
  <c r="CE477" i="1"/>
  <c r="CE478" i="1"/>
  <c r="CE479" i="1"/>
  <c r="CE480" i="1"/>
  <c r="CE481" i="1"/>
  <c r="CE482" i="1"/>
  <c r="CE483" i="1"/>
  <c r="CE484" i="1"/>
  <c r="CE485" i="1"/>
  <c r="CE486" i="1"/>
  <c r="CE487" i="1"/>
  <c r="CE488" i="1"/>
  <c r="CE489" i="1"/>
  <c r="CE490" i="1"/>
  <c r="CE491" i="1"/>
  <c r="CE492" i="1"/>
  <c r="CE493" i="1"/>
  <c r="CE494" i="1"/>
  <c r="CE495" i="1"/>
  <c r="CE496" i="1"/>
  <c r="CF446" i="1"/>
  <c r="CF447" i="1"/>
  <c r="CF448" i="1"/>
  <c r="CF449" i="1"/>
  <c r="CF450" i="1"/>
  <c r="CF451" i="1"/>
  <c r="CF452" i="1"/>
  <c r="CF453" i="1"/>
  <c r="CF454" i="1"/>
  <c r="CF455" i="1"/>
  <c r="CF456" i="1"/>
  <c r="CF457" i="1"/>
  <c r="CF458" i="1"/>
  <c r="CF459" i="1"/>
  <c r="CF460" i="1"/>
  <c r="CF461" i="1"/>
  <c r="CF462" i="1"/>
  <c r="CF463" i="1"/>
  <c r="CF464" i="1"/>
  <c r="CF465" i="1"/>
  <c r="CF466" i="1"/>
  <c r="CF467" i="1"/>
  <c r="CF468" i="1"/>
  <c r="CF469" i="1"/>
  <c r="CF470" i="1"/>
  <c r="CF471" i="1"/>
  <c r="CF472" i="1"/>
  <c r="CF473" i="1"/>
  <c r="CF474" i="1"/>
  <c r="CF475" i="1"/>
  <c r="CF476" i="1"/>
  <c r="CF477" i="1"/>
  <c r="CF478" i="1"/>
  <c r="CF479" i="1"/>
  <c r="CF480" i="1"/>
  <c r="CF481" i="1"/>
  <c r="CF482" i="1"/>
  <c r="CF483" i="1"/>
  <c r="CF484" i="1"/>
  <c r="CF485" i="1"/>
  <c r="CF486" i="1"/>
  <c r="CF487" i="1"/>
  <c r="CF488" i="1"/>
  <c r="CF489" i="1"/>
  <c r="CF490" i="1"/>
  <c r="CF491" i="1"/>
  <c r="CF492" i="1"/>
  <c r="CF493" i="1"/>
  <c r="CF494" i="1"/>
  <c r="CF495" i="1"/>
  <c r="CF496" i="1"/>
  <c r="CG446" i="1"/>
  <c r="CG447" i="1"/>
  <c r="CG448" i="1"/>
  <c r="CG449" i="1"/>
  <c r="CG450" i="1"/>
  <c r="CG451" i="1"/>
  <c r="CG452" i="1"/>
  <c r="CG453" i="1"/>
  <c r="CG454" i="1"/>
  <c r="CG455" i="1"/>
  <c r="CG456" i="1"/>
  <c r="CG457" i="1"/>
  <c r="CG458" i="1"/>
  <c r="CG459" i="1"/>
  <c r="CG460" i="1"/>
  <c r="CG461" i="1"/>
  <c r="CG462" i="1"/>
  <c r="CG463" i="1"/>
  <c r="CG464" i="1"/>
  <c r="CG465" i="1"/>
  <c r="CG466" i="1"/>
  <c r="CG467" i="1"/>
  <c r="CG468" i="1"/>
  <c r="CG469" i="1"/>
  <c r="CG470" i="1"/>
  <c r="CG471" i="1"/>
  <c r="CG472" i="1"/>
  <c r="CG473" i="1"/>
  <c r="CG474" i="1"/>
  <c r="CG475" i="1"/>
  <c r="CG476" i="1"/>
  <c r="CG477" i="1"/>
  <c r="CG478" i="1"/>
  <c r="CG479" i="1"/>
  <c r="CG480" i="1"/>
  <c r="CG481" i="1"/>
  <c r="CG482" i="1"/>
  <c r="CG483" i="1"/>
  <c r="CG484" i="1"/>
  <c r="CG485" i="1"/>
  <c r="CG486" i="1"/>
  <c r="CG487" i="1"/>
  <c r="CG488" i="1"/>
  <c r="CG489" i="1"/>
  <c r="CG490" i="1"/>
  <c r="CG491" i="1"/>
  <c r="CG492" i="1"/>
  <c r="CG493" i="1"/>
  <c r="CG494" i="1"/>
  <c r="CG495" i="1"/>
  <c r="CG496" i="1"/>
  <c r="CG2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2" i="1"/>
  <c r="CG253" i="1"/>
  <c r="CG254" i="1"/>
  <c r="CG255" i="1"/>
  <c r="CG256" i="1"/>
  <c r="CG257" i="1"/>
  <c r="CG258" i="1"/>
  <c r="CG259" i="1"/>
  <c r="CG260" i="1"/>
  <c r="CG261" i="1"/>
  <c r="CG262" i="1"/>
  <c r="CG263" i="1"/>
  <c r="CG264" i="1"/>
  <c r="CG265" i="1"/>
  <c r="CG266" i="1"/>
  <c r="CG267" i="1"/>
  <c r="CG268" i="1"/>
  <c r="CG269" i="1"/>
  <c r="CG270" i="1"/>
  <c r="CG271" i="1"/>
  <c r="CG272" i="1"/>
  <c r="CG273" i="1"/>
  <c r="CG274" i="1"/>
  <c r="CG275" i="1"/>
  <c r="CG276" i="1"/>
  <c r="CG277" i="1"/>
  <c r="CG278" i="1"/>
  <c r="CG279" i="1"/>
  <c r="CG280" i="1"/>
  <c r="CG281" i="1"/>
  <c r="CG282" i="1"/>
  <c r="CG283" i="1"/>
  <c r="CG284" i="1"/>
  <c r="CG285" i="1"/>
  <c r="CG286" i="1"/>
  <c r="CG287" i="1"/>
  <c r="CG288" i="1"/>
  <c r="CG289" i="1"/>
  <c r="CG290" i="1"/>
  <c r="CG291" i="1"/>
  <c r="CG292" i="1"/>
  <c r="CG293" i="1"/>
  <c r="CG294" i="1"/>
  <c r="CG295" i="1"/>
  <c r="CG296" i="1"/>
  <c r="CG297" i="1"/>
  <c r="CG298" i="1"/>
  <c r="CG299" i="1"/>
  <c r="CG300" i="1"/>
  <c r="CG301" i="1"/>
  <c r="CG302" i="1"/>
  <c r="CG303" i="1"/>
  <c r="CG304" i="1"/>
  <c r="CG305" i="1"/>
  <c r="CG306" i="1"/>
  <c r="CG307" i="1"/>
  <c r="CG308" i="1"/>
  <c r="CG309" i="1"/>
  <c r="CG310" i="1"/>
  <c r="CG311" i="1"/>
  <c r="CG312" i="1"/>
  <c r="CG313" i="1"/>
  <c r="CG314" i="1"/>
  <c r="CG315" i="1"/>
  <c r="CG316" i="1"/>
  <c r="CG317" i="1"/>
  <c r="CG318" i="1"/>
  <c r="CG319" i="1"/>
  <c r="CG320" i="1"/>
  <c r="CG321" i="1"/>
  <c r="CG322" i="1"/>
  <c r="CG323" i="1"/>
  <c r="CG324" i="1"/>
  <c r="CG325" i="1"/>
  <c r="CG326" i="1"/>
  <c r="CG327" i="1"/>
  <c r="CG328" i="1"/>
  <c r="CG329" i="1"/>
  <c r="CG330" i="1"/>
  <c r="CG331" i="1"/>
  <c r="CG332" i="1"/>
  <c r="CG333" i="1"/>
  <c r="CG334" i="1"/>
  <c r="CG335" i="1"/>
  <c r="CG336" i="1"/>
  <c r="CG337" i="1"/>
  <c r="CG338" i="1"/>
  <c r="CG339" i="1"/>
  <c r="CG340" i="1"/>
  <c r="CG341" i="1"/>
  <c r="CG342" i="1"/>
  <c r="CG343" i="1"/>
  <c r="CG344" i="1"/>
  <c r="CG345" i="1"/>
  <c r="CG346" i="1"/>
  <c r="CG347" i="1"/>
  <c r="CG348" i="1"/>
  <c r="CG349" i="1"/>
  <c r="CG350" i="1"/>
  <c r="CG351" i="1"/>
  <c r="CG352" i="1"/>
  <c r="CG353" i="1"/>
  <c r="CG354" i="1"/>
  <c r="CG355" i="1"/>
  <c r="CG356" i="1"/>
  <c r="CG357" i="1"/>
  <c r="CG358" i="1"/>
  <c r="CG359" i="1"/>
  <c r="CG360" i="1"/>
  <c r="CG361" i="1"/>
  <c r="CG362" i="1"/>
  <c r="CG363" i="1"/>
  <c r="CG364" i="1"/>
  <c r="CG365" i="1"/>
  <c r="CG366" i="1"/>
  <c r="CG367" i="1"/>
  <c r="CG368" i="1"/>
  <c r="CG369" i="1"/>
  <c r="CG370" i="1"/>
  <c r="CG371" i="1"/>
  <c r="CG372" i="1"/>
  <c r="CG373" i="1"/>
  <c r="CG374" i="1"/>
  <c r="CG375" i="1"/>
  <c r="CG376" i="1"/>
  <c r="CG377" i="1"/>
  <c r="CG378" i="1"/>
  <c r="CG379" i="1"/>
  <c r="CG380" i="1"/>
  <c r="CG381" i="1"/>
  <c r="CG382" i="1"/>
  <c r="CG383" i="1"/>
  <c r="CG384" i="1"/>
  <c r="CG385" i="1"/>
  <c r="CG386" i="1"/>
  <c r="CG387" i="1"/>
  <c r="CG388" i="1"/>
  <c r="CG389" i="1"/>
  <c r="CG390" i="1"/>
  <c r="CG391" i="1"/>
  <c r="CG392" i="1"/>
  <c r="CG393" i="1"/>
  <c r="CG394" i="1"/>
  <c r="CG395" i="1"/>
  <c r="CG396" i="1"/>
  <c r="CG397" i="1"/>
  <c r="CG398" i="1"/>
  <c r="CG399" i="1"/>
  <c r="CG400" i="1"/>
  <c r="CG401" i="1"/>
  <c r="CG402" i="1"/>
  <c r="CG403" i="1"/>
  <c r="CG404" i="1"/>
  <c r="CG405" i="1"/>
  <c r="CG406" i="1"/>
  <c r="CG407" i="1"/>
  <c r="CG408" i="1"/>
  <c r="CG409" i="1"/>
  <c r="CG410" i="1"/>
  <c r="CG411" i="1"/>
  <c r="CG412" i="1"/>
  <c r="CG413" i="1"/>
  <c r="CG414" i="1"/>
  <c r="CG415" i="1"/>
  <c r="CG416" i="1"/>
  <c r="CG417" i="1"/>
  <c r="CG418" i="1"/>
  <c r="CG419" i="1"/>
  <c r="CG420" i="1"/>
  <c r="CG421" i="1"/>
  <c r="CG422" i="1"/>
  <c r="CG423" i="1"/>
  <c r="CG424" i="1"/>
  <c r="CG425" i="1"/>
  <c r="CG426" i="1"/>
  <c r="CG427" i="1"/>
  <c r="CG428" i="1"/>
  <c r="CG429" i="1"/>
  <c r="CG430" i="1"/>
  <c r="CG431" i="1"/>
  <c r="CG432" i="1"/>
  <c r="CG433" i="1"/>
  <c r="CG434" i="1"/>
  <c r="CG435" i="1"/>
  <c r="CG436" i="1"/>
  <c r="CG437" i="1"/>
  <c r="CG438" i="1"/>
  <c r="CG439" i="1"/>
  <c r="CG440" i="1"/>
  <c r="CG441" i="1"/>
  <c r="CG442" i="1"/>
  <c r="CG443" i="1"/>
  <c r="CG444" i="1"/>
  <c r="CG445" i="1"/>
  <c r="CE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271" i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5" i="1"/>
  <c r="CE286" i="1"/>
  <c r="CE287" i="1"/>
  <c r="CE288" i="1"/>
  <c r="CE289" i="1"/>
  <c r="CE290" i="1"/>
  <c r="CE291" i="1"/>
  <c r="CE292" i="1"/>
  <c r="CE293" i="1"/>
  <c r="CE294" i="1"/>
  <c r="CE295" i="1"/>
  <c r="CE296" i="1"/>
  <c r="CE297" i="1"/>
  <c r="CE298" i="1"/>
  <c r="CE299" i="1"/>
  <c r="CE300" i="1"/>
  <c r="CE301" i="1"/>
  <c r="CE302" i="1"/>
  <c r="CE303" i="1"/>
  <c r="CE304" i="1"/>
  <c r="CE305" i="1"/>
  <c r="CE306" i="1"/>
  <c r="CE307" i="1"/>
  <c r="CE308" i="1"/>
  <c r="CE309" i="1"/>
  <c r="CE310" i="1"/>
  <c r="CE311" i="1"/>
  <c r="CE312" i="1"/>
  <c r="CE313" i="1"/>
  <c r="CE314" i="1"/>
  <c r="CE315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CE328" i="1"/>
  <c r="CE329" i="1"/>
  <c r="CE330" i="1"/>
  <c r="CE331" i="1"/>
  <c r="CE332" i="1"/>
  <c r="CE333" i="1"/>
  <c r="CE334" i="1"/>
  <c r="CE335" i="1"/>
  <c r="CE336" i="1"/>
  <c r="CE337" i="1"/>
  <c r="CE338" i="1"/>
  <c r="CE339" i="1"/>
  <c r="CE340" i="1"/>
  <c r="CE341" i="1"/>
  <c r="CE342" i="1"/>
  <c r="CE343" i="1"/>
  <c r="CE344" i="1"/>
  <c r="CE345" i="1"/>
  <c r="CE346" i="1"/>
  <c r="CE347" i="1"/>
  <c r="CE348" i="1"/>
  <c r="CE349" i="1"/>
  <c r="CE350" i="1"/>
  <c r="CE351" i="1"/>
  <c r="CE352" i="1"/>
  <c r="CE353" i="1"/>
  <c r="CE354" i="1"/>
  <c r="CE355" i="1"/>
  <c r="CE356" i="1"/>
  <c r="CE357" i="1"/>
  <c r="CE358" i="1"/>
  <c r="CE359" i="1"/>
  <c r="CE360" i="1"/>
  <c r="CE361" i="1"/>
  <c r="CE362" i="1"/>
  <c r="CE363" i="1"/>
  <c r="CE364" i="1"/>
  <c r="CE365" i="1"/>
  <c r="CE366" i="1"/>
  <c r="CE367" i="1"/>
  <c r="CE368" i="1"/>
  <c r="CE369" i="1"/>
  <c r="CE370" i="1"/>
  <c r="CE371" i="1"/>
  <c r="CE372" i="1"/>
  <c r="CE373" i="1"/>
  <c r="CE374" i="1"/>
  <c r="CE375" i="1"/>
  <c r="CE376" i="1"/>
  <c r="CE377" i="1"/>
  <c r="CE378" i="1"/>
  <c r="CE379" i="1"/>
  <c r="CE380" i="1"/>
  <c r="CE381" i="1"/>
  <c r="CE382" i="1"/>
  <c r="CE383" i="1"/>
  <c r="CE384" i="1"/>
  <c r="CE385" i="1"/>
  <c r="CE386" i="1"/>
  <c r="CE387" i="1"/>
  <c r="CE388" i="1"/>
  <c r="CE389" i="1"/>
  <c r="CE390" i="1"/>
  <c r="CE391" i="1"/>
  <c r="CE392" i="1"/>
  <c r="CE393" i="1"/>
  <c r="CE394" i="1"/>
  <c r="CE395" i="1"/>
  <c r="CE396" i="1"/>
  <c r="CE397" i="1"/>
  <c r="CE398" i="1"/>
  <c r="CE399" i="1"/>
  <c r="CE400" i="1"/>
  <c r="CE401" i="1"/>
  <c r="CE402" i="1"/>
  <c r="CE403" i="1"/>
  <c r="CE404" i="1"/>
  <c r="CE405" i="1"/>
  <c r="CE406" i="1"/>
  <c r="CE407" i="1"/>
  <c r="CE408" i="1"/>
  <c r="CE409" i="1"/>
  <c r="CE410" i="1"/>
  <c r="CE411" i="1"/>
  <c r="CE412" i="1"/>
  <c r="CE413" i="1"/>
  <c r="CE414" i="1"/>
  <c r="CE415" i="1"/>
  <c r="CE416" i="1"/>
  <c r="CE417" i="1"/>
  <c r="CE418" i="1"/>
  <c r="CE419" i="1"/>
  <c r="CE420" i="1"/>
  <c r="CE421" i="1"/>
  <c r="CE422" i="1"/>
  <c r="CE423" i="1"/>
  <c r="CE424" i="1"/>
  <c r="CE425" i="1"/>
  <c r="CE426" i="1"/>
  <c r="CE427" i="1"/>
  <c r="CE428" i="1"/>
  <c r="CE429" i="1"/>
  <c r="CE430" i="1"/>
  <c r="CE431" i="1"/>
  <c r="CE432" i="1"/>
  <c r="CE433" i="1"/>
  <c r="CE434" i="1"/>
  <c r="CE435" i="1"/>
  <c r="CE436" i="1"/>
  <c r="CE437" i="1"/>
  <c r="CE438" i="1"/>
  <c r="CE439" i="1"/>
  <c r="CE440" i="1"/>
  <c r="CE441" i="1"/>
  <c r="CE442" i="1"/>
  <c r="CE443" i="1"/>
  <c r="CE444" i="1"/>
  <c r="CE445" i="1"/>
  <c r="CF2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176" i="1"/>
  <c r="CF177" i="1"/>
  <c r="CF178" i="1"/>
  <c r="CF179" i="1"/>
  <c r="CF180" i="1"/>
  <c r="CF181" i="1"/>
  <c r="CF182" i="1"/>
  <c r="CF183" i="1"/>
  <c r="CF184" i="1"/>
  <c r="CF185" i="1"/>
  <c r="CF186" i="1"/>
  <c r="CF187" i="1"/>
  <c r="CF188" i="1"/>
  <c r="CF189" i="1"/>
  <c r="CF190" i="1"/>
  <c r="CF191" i="1"/>
  <c r="CF192" i="1"/>
  <c r="CF193" i="1"/>
  <c r="CF194" i="1"/>
  <c r="CF195" i="1"/>
  <c r="CF196" i="1"/>
  <c r="CF197" i="1"/>
  <c r="CF198" i="1"/>
  <c r="CF199" i="1"/>
  <c r="CF200" i="1"/>
  <c r="CF201" i="1"/>
  <c r="CF202" i="1"/>
  <c r="CF203" i="1"/>
  <c r="CF204" i="1"/>
  <c r="CF205" i="1"/>
  <c r="CF206" i="1"/>
  <c r="CF207" i="1"/>
  <c r="CF208" i="1"/>
  <c r="CF209" i="1"/>
  <c r="CF210" i="1"/>
  <c r="CF211" i="1"/>
  <c r="CF212" i="1"/>
  <c r="CF213" i="1"/>
  <c r="CF214" i="1"/>
  <c r="CF215" i="1"/>
  <c r="CF216" i="1"/>
  <c r="CF217" i="1"/>
  <c r="CF218" i="1"/>
  <c r="CF219" i="1"/>
  <c r="CF220" i="1"/>
  <c r="CF221" i="1"/>
  <c r="CF222" i="1"/>
  <c r="CF223" i="1"/>
  <c r="CF224" i="1"/>
  <c r="CF225" i="1"/>
  <c r="CF226" i="1"/>
  <c r="CF227" i="1"/>
  <c r="CF228" i="1"/>
  <c r="CF229" i="1"/>
  <c r="CF230" i="1"/>
  <c r="CF231" i="1"/>
  <c r="CF232" i="1"/>
  <c r="CF233" i="1"/>
  <c r="CF234" i="1"/>
  <c r="CF235" i="1"/>
  <c r="CF236" i="1"/>
  <c r="CF237" i="1"/>
  <c r="CF238" i="1"/>
  <c r="CF239" i="1"/>
  <c r="CF240" i="1"/>
  <c r="CF241" i="1"/>
  <c r="CF242" i="1"/>
  <c r="CF243" i="1"/>
  <c r="CF244" i="1"/>
  <c r="CF245" i="1"/>
  <c r="CF246" i="1"/>
  <c r="CF247" i="1"/>
  <c r="CF248" i="1"/>
  <c r="CF249" i="1"/>
  <c r="CF250" i="1"/>
  <c r="CF251" i="1"/>
  <c r="CF252" i="1"/>
  <c r="CF253" i="1"/>
  <c r="CF254" i="1"/>
  <c r="CF255" i="1"/>
  <c r="CF256" i="1"/>
  <c r="CF257" i="1"/>
  <c r="CF258" i="1"/>
  <c r="CF259" i="1"/>
  <c r="CF260" i="1"/>
  <c r="CF261" i="1"/>
  <c r="CF262" i="1"/>
  <c r="CF263" i="1"/>
  <c r="CF264" i="1"/>
  <c r="CF265" i="1"/>
  <c r="CF266" i="1"/>
  <c r="CF267" i="1"/>
  <c r="CF268" i="1"/>
  <c r="CF269" i="1"/>
  <c r="CF270" i="1"/>
  <c r="CF271" i="1"/>
  <c r="CF272" i="1"/>
  <c r="CF273" i="1"/>
  <c r="CF274" i="1"/>
  <c r="CF275" i="1"/>
  <c r="CF276" i="1"/>
  <c r="CF277" i="1"/>
  <c r="CF278" i="1"/>
  <c r="CF279" i="1"/>
  <c r="CF280" i="1"/>
  <c r="CF281" i="1"/>
  <c r="CF282" i="1"/>
  <c r="CF283" i="1"/>
  <c r="CF284" i="1"/>
  <c r="CF285" i="1"/>
  <c r="CF286" i="1"/>
  <c r="CF287" i="1"/>
  <c r="CF288" i="1"/>
  <c r="CF289" i="1"/>
  <c r="CF290" i="1"/>
  <c r="CF291" i="1"/>
  <c r="CF292" i="1"/>
  <c r="CF293" i="1"/>
  <c r="CF294" i="1"/>
  <c r="CF295" i="1"/>
  <c r="CF296" i="1"/>
  <c r="CF297" i="1"/>
  <c r="CF298" i="1"/>
  <c r="CF299" i="1"/>
  <c r="CF300" i="1"/>
  <c r="CF301" i="1"/>
  <c r="CF302" i="1"/>
  <c r="CF303" i="1"/>
  <c r="CF304" i="1"/>
  <c r="CF305" i="1"/>
  <c r="CF306" i="1"/>
  <c r="CF307" i="1"/>
  <c r="CF308" i="1"/>
  <c r="CF309" i="1"/>
  <c r="CF310" i="1"/>
  <c r="CF311" i="1"/>
  <c r="CF312" i="1"/>
  <c r="CF313" i="1"/>
  <c r="CF314" i="1"/>
  <c r="CF315" i="1"/>
  <c r="CF316" i="1"/>
  <c r="CF317" i="1"/>
  <c r="CF318" i="1"/>
  <c r="CF319" i="1"/>
  <c r="CF320" i="1"/>
  <c r="CF321" i="1"/>
  <c r="CF322" i="1"/>
  <c r="CF323" i="1"/>
  <c r="CF324" i="1"/>
  <c r="CF325" i="1"/>
  <c r="CF326" i="1"/>
  <c r="CF327" i="1"/>
  <c r="CF328" i="1"/>
  <c r="CF329" i="1"/>
  <c r="CF330" i="1"/>
  <c r="CF331" i="1"/>
  <c r="CF332" i="1"/>
  <c r="CF333" i="1"/>
  <c r="CF334" i="1"/>
  <c r="CF335" i="1"/>
  <c r="CF336" i="1"/>
  <c r="CF337" i="1"/>
  <c r="CF338" i="1"/>
  <c r="CF339" i="1"/>
  <c r="CF340" i="1"/>
  <c r="CF341" i="1"/>
  <c r="CF342" i="1"/>
  <c r="CF343" i="1"/>
  <c r="CF344" i="1"/>
  <c r="CF345" i="1"/>
  <c r="CF346" i="1"/>
  <c r="CF347" i="1"/>
  <c r="CF348" i="1"/>
  <c r="CF349" i="1"/>
  <c r="CF350" i="1"/>
  <c r="CF351" i="1"/>
  <c r="CF352" i="1"/>
  <c r="CF353" i="1"/>
  <c r="CF354" i="1"/>
  <c r="CF355" i="1"/>
  <c r="CF356" i="1"/>
  <c r="CF357" i="1"/>
  <c r="CF358" i="1"/>
  <c r="CF359" i="1"/>
  <c r="CF360" i="1"/>
  <c r="CF361" i="1"/>
  <c r="CF362" i="1"/>
  <c r="CF363" i="1"/>
  <c r="CF364" i="1"/>
  <c r="CF365" i="1"/>
  <c r="CF366" i="1"/>
  <c r="CF367" i="1"/>
  <c r="CF368" i="1"/>
  <c r="CF369" i="1"/>
  <c r="CF370" i="1"/>
  <c r="CF371" i="1"/>
  <c r="CF372" i="1"/>
  <c r="CF373" i="1"/>
  <c r="CF374" i="1"/>
  <c r="CF375" i="1"/>
  <c r="CF376" i="1"/>
  <c r="CF377" i="1"/>
  <c r="CF378" i="1"/>
  <c r="CF379" i="1"/>
  <c r="CF380" i="1"/>
  <c r="CF381" i="1"/>
  <c r="CF382" i="1"/>
  <c r="CF383" i="1"/>
  <c r="CF384" i="1"/>
  <c r="CF385" i="1"/>
  <c r="CF386" i="1"/>
  <c r="CF387" i="1"/>
  <c r="CF388" i="1"/>
  <c r="CF389" i="1"/>
  <c r="CF390" i="1"/>
  <c r="CF391" i="1"/>
  <c r="CF392" i="1"/>
  <c r="CF393" i="1"/>
  <c r="CF394" i="1"/>
  <c r="CF395" i="1"/>
  <c r="CF396" i="1"/>
  <c r="CF397" i="1"/>
  <c r="CF398" i="1"/>
  <c r="CF399" i="1"/>
  <c r="CF400" i="1"/>
  <c r="CF401" i="1"/>
  <c r="CF402" i="1"/>
  <c r="CF403" i="1"/>
  <c r="CF404" i="1"/>
  <c r="CF405" i="1"/>
  <c r="CF406" i="1"/>
  <c r="CF407" i="1"/>
  <c r="CF408" i="1"/>
  <c r="CF409" i="1"/>
  <c r="CF410" i="1"/>
  <c r="CF411" i="1"/>
  <c r="CF412" i="1"/>
  <c r="CF413" i="1"/>
  <c r="CF414" i="1"/>
  <c r="CF415" i="1"/>
  <c r="CF416" i="1"/>
  <c r="CF417" i="1"/>
  <c r="CF418" i="1"/>
  <c r="CF419" i="1"/>
  <c r="CF420" i="1"/>
  <c r="CF421" i="1"/>
  <c r="CF422" i="1"/>
  <c r="CF423" i="1"/>
  <c r="CF424" i="1"/>
  <c r="CF425" i="1"/>
  <c r="CF426" i="1"/>
  <c r="CF427" i="1"/>
  <c r="CF428" i="1"/>
  <c r="CF429" i="1"/>
  <c r="CF430" i="1"/>
  <c r="CF431" i="1"/>
  <c r="CF432" i="1"/>
  <c r="CF433" i="1"/>
  <c r="CF434" i="1"/>
  <c r="CF435" i="1"/>
  <c r="CF436" i="1"/>
  <c r="CF437" i="1"/>
  <c r="CF438" i="1"/>
  <c r="CF439" i="1"/>
  <c r="CF440" i="1"/>
  <c r="CF441" i="1"/>
  <c r="CF442" i="1"/>
  <c r="CF443" i="1"/>
  <c r="CF444" i="1"/>
  <c r="CF445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Z299" i="1"/>
  <c r="BZ300" i="1"/>
  <c r="BZ301" i="1"/>
  <c r="BZ302" i="1"/>
  <c r="BZ303" i="1"/>
  <c r="BZ304" i="1"/>
  <c r="BZ305" i="1"/>
  <c r="BZ306" i="1"/>
  <c r="BZ307" i="1"/>
  <c r="BZ308" i="1"/>
  <c r="BZ309" i="1"/>
  <c r="BZ310" i="1"/>
  <c r="BZ311" i="1"/>
  <c r="BZ312" i="1"/>
  <c r="BZ313" i="1"/>
  <c r="BZ314" i="1"/>
  <c r="BZ315" i="1"/>
  <c r="BZ316" i="1"/>
  <c r="BZ317" i="1"/>
  <c r="BZ318" i="1"/>
  <c r="BZ319" i="1"/>
  <c r="BZ320" i="1"/>
  <c r="BZ321" i="1"/>
  <c r="BZ322" i="1"/>
  <c r="BZ323" i="1"/>
  <c r="BZ324" i="1"/>
  <c r="BZ325" i="1"/>
  <c r="BZ326" i="1"/>
  <c r="BZ327" i="1"/>
  <c r="BZ328" i="1"/>
  <c r="BZ329" i="1"/>
  <c r="BZ330" i="1"/>
  <c r="BZ331" i="1"/>
  <c r="BZ332" i="1"/>
  <c r="BZ333" i="1"/>
  <c r="BZ334" i="1"/>
  <c r="BZ335" i="1"/>
  <c r="BZ336" i="1"/>
  <c r="BZ337" i="1"/>
  <c r="BZ338" i="1"/>
  <c r="BZ339" i="1"/>
  <c r="BZ340" i="1"/>
  <c r="BZ341" i="1"/>
  <c r="BZ342" i="1"/>
  <c r="BZ343" i="1"/>
  <c r="BZ344" i="1"/>
  <c r="BZ345" i="1"/>
  <c r="BZ346" i="1"/>
  <c r="BZ347" i="1"/>
  <c r="BZ348" i="1"/>
  <c r="BZ349" i="1"/>
  <c r="BZ350" i="1"/>
  <c r="BZ351" i="1"/>
  <c r="BZ352" i="1"/>
  <c r="BZ353" i="1"/>
  <c r="BZ354" i="1"/>
  <c r="BZ355" i="1"/>
  <c r="BZ356" i="1"/>
  <c r="BZ357" i="1"/>
  <c r="BZ358" i="1"/>
  <c r="BZ359" i="1"/>
  <c r="BZ360" i="1"/>
  <c r="BZ361" i="1"/>
  <c r="BZ362" i="1"/>
  <c r="BZ363" i="1"/>
  <c r="BZ364" i="1"/>
  <c r="BZ365" i="1"/>
  <c r="BZ366" i="1"/>
  <c r="BZ367" i="1"/>
  <c r="BZ368" i="1"/>
  <c r="BZ369" i="1"/>
  <c r="BZ370" i="1"/>
  <c r="BZ371" i="1"/>
  <c r="BZ372" i="1"/>
  <c r="BZ373" i="1"/>
  <c r="BZ374" i="1"/>
  <c r="BZ375" i="1"/>
  <c r="BZ376" i="1"/>
  <c r="BZ377" i="1"/>
  <c r="BZ378" i="1"/>
  <c r="BZ379" i="1"/>
  <c r="BZ380" i="1"/>
  <c r="BZ381" i="1"/>
  <c r="BZ382" i="1"/>
  <c r="BZ383" i="1"/>
  <c r="BZ384" i="1"/>
  <c r="BZ385" i="1"/>
  <c r="BZ386" i="1"/>
  <c r="BZ387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BZ431" i="1"/>
  <c r="BZ432" i="1"/>
  <c r="BZ433" i="1"/>
  <c r="BZ434" i="1"/>
  <c r="BZ435" i="1"/>
  <c r="BZ436" i="1"/>
  <c r="BZ437" i="1"/>
  <c r="BZ438" i="1"/>
  <c r="BZ439" i="1"/>
  <c r="BZ440" i="1"/>
  <c r="BZ441" i="1"/>
  <c r="BZ442" i="1"/>
  <c r="BZ443" i="1"/>
  <c r="BZ444" i="1"/>
  <c r="BZ445" i="1"/>
  <c r="CA299" i="1"/>
  <c r="CA300" i="1"/>
  <c r="CA301" i="1"/>
  <c r="CA302" i="1"/>
  <c r="CA303" i="1"/>
  <c r="CA304" i="1"/>
  <c r="CA305" i="1"/>
  <c r="CA306" i="1"/>
  <c r="CA307" i="1"/>
  <c r="CA308" i="1"/>
  <c r="CA309" i="1"/>
  <c r="CA310" i="1"/>
  <c r="CA311" i="1"/>
  <c r="CA312" i="1"/>
  <c r="CA313" i="1"/>
  <c r="CA314" i="1"/>
  <c r="CA315" i="1"/>
  <c r="CA316" i="1"/>
  <c r="CA317" i="1"/>
  <c r="CA318" i="1"/>
  <c r="CA319" i="1"/>
  <c r="CA320" i="1"/>
  <c r="CA321" i="1"/>
  <c r="CA322" i="1"/>
  <c r="CA323" i="1"/>
  <c r="CA324" i="1"/>
  <c r="CA325" i="1"/>
  <c r="CA326" i="1"/>
  <c r="CA327" i="1"/>
  <c r="CA328" i="1"/>
  <c r="CA329" i="1"/>
  <c r="CA330" i="1"/>
  <c r="CA331" i="1"/>
  <c r="CA332" i="1"/>
  <c r="CA333" i="1"/>
  <c r="CA334" i="1"/>
  <c r="CA335" i="1"/>
  <c r="CA336" i="1"/>
  <c r="CA337" i="1"/>
  <c r="CA338" i="1"/>
  <c r="CA339" i="1"/>
  <c r="CA340" i="1"/>
  <c r="CA341" i="1"/>
  <c r="CA342" i="1"/>
  <c r="CA343" i="1"/>
  <c r="CA344" i="1"/>
  <c r="CA345" i="1"/>
  <c r="CA346" i="1"/>
  <c r="CA347" i="1"/>
  <c r="CA348" i="1"/>
  <c r="CA349" i="1"/>
  <c r="CA350" i="1"/>
  <c r="CA351" i="1"/>
  <c r="CA352" i="1"/>
  <c r="CA353" i="1"/>
  <c r="CA354" i="1"/>
  <c r="CA355" i="1"/>
  <c r="CA356" i="1"/>
  <c r="CA357" i="1"/>
  <c r="CA358" i="1"/>
  <c r="CA359" i="1"/>
  <c r="CA360" i="1"/>
  <c r="CA361" i="1"/>
  <c r="CA362" i="1"/>
  <c r="CA363" i="1"/>
  <c r="CA364" i="1"/>
  <c r="CA365" i="1"/>
  <c r="CA366" i="1"/>
  <c r="CA367" i="1"/>
  <c r="CA368" i="1"/>
  <c r="CA369" i="1"/>
  <c r="CA370" i="1"/>
  <c r="CA371" i="1"/>
  <c r="CA372" i="1"/>
  <c r="CA373" i="1"/>
  <c r="CA374" i="1"/>
  <c r="CA375" i="1"/>
  <c r="CA376" i="1"/>
  <c r="CA377" i="1"/>
  <c r="CA378" i="1"/>
  <c r="CA379" i="1"/>
  <c r="CA380" i="1"/>
  <c r="CA381" i="1"/>
  <c r="CA382" i="1"/>
  <c r="CA383" i="1"/>
  <c r="CA384" i="1"/>
  <c r="CA385" i="1"/>
  <c r="CA386" i="1"/>
  <c r="CA387" i="1"/>
  <c r="CA388" i="1"/>
  <c r="CA389" i="1"/>
  <c r="CA390" i="1"/>
  <c r="CA391" i="1"/>
  <c r="CA392" i="1"/>
  <c r="CA393" i="1"/>
  <c r="CA394" i="1"/>
  <c r="CA395" i="1"/>
  <c r="CA396" i="1"/>
  <c r="CA397" i="1"/>
  <c r="CA398" i="1"/>
  <c r="CA399" i="1"/>
  <c r="CA400" i="1"/>
  <c r="CA401" i="1"/>
  <c r="CA402" i="1"/>
  <c r="CA403" i="1"/>
  <c r="CA404" i="1"/>
  <c r="CA405" i="1"/>
  <c r="CA406" i="1"/>
  <c r="CA407" i="1"/>
  <c r="CA408" i="1"/>
  <c r="CA409" i="1"/>
  <c r="CA410" i="1"/>
  <c r="CA411" i="1"/>
  <c r="CA412" i="1"/>
  <c r="CA413" i="1"/>
  <c r="CA414" i="1"/>
  <c r="CA415" i="1"/>
  <c r="CA416" i="1"/>
  <c r="CA417" i="1"/>
  <c r="CA418" i="1"/>
  <c r="CA419" i="1"/>
  <c r="CA420" i="1"/>
  <c r="CA421" i="1"/>
  <c r="CA422" i="1"/>
  <c r="CA423" i="1"/>
  <c r="CA424" i="1"/>
  <c r="CA425" i="1"/>
  <c r="CA426" i="1"/>
  <c r="CA427" i="1"/>
  <c r="CA428" i="1"/>
  <c r="CA429" i="1"/>
  <c r="CA430" i="1"/>
  <c r="CA431" i="1"/>
  <c r="CA432" i="1"/>
  <c r="CA433" i="1"/>
  <c r="CA434" i="1"/>
  <c r="CA435" i="1"/>
  <c r="CA436" i="1"/>
  <c r="CA437" i="1"/>
  <c r="CA438" i="1"/>
  <c r="CA439" i="1"/>
  <c r="CA440" i="1"/>
  <c r="CA441" i="1"/>
  <c r="CA442" i="1"/>
  <c r="CA443" i="1"/>
  <c r="CA444" i="1"/>
  <c r="CA445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C353" i="1"/>
  <c r="CC354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84" i="1"/>
  <c r="CC385" i="1"/>
  <c r="CC386" i="1"/>
  <c r="CC387" i="1"/>
  <c r="CC388" i="1"/>
  <c r="CC389" i="1"/>
  <c r="CC390" i="1"/>
  <c r="CC391" i="1"/>
  <c r="CC392" i="1"/>
  <c r="CC393" i="1"/>
  <c r="CC394" i="1"/>
  <c r="CC395" i="1"/>
  <c r="CC396" i="1"/>
  <c r="CC397" i="1"/>
  <c r="CC398" i="1"/>
  <c r="CC399" i="1"/>
  <c r="CC400" i="1"/>
  <c r="CC401" i="1"/>
  <c r="CC402" i="1"/>
  <c r="CC403" i="1"/>
  <c r="CC404" i="1"/>
  <c r="CC405" i="1"/>
  <c r="CC406" i="1"/>
  <c r="CC407" i="1"/>
  <c r="CC408" i="1"/>
  <c r="CC409" i="1"/>
  <c r="CC410" i="1"/>
  <c r="CC411" i="1"/>
  <c r="CC412" i="1"/>
  <c r="CC413" i="1"/>
  <c r="CC414" i="1"/>
  <c r="CC415" i="1"/>
  <c r="CC416" i="1"/>
  <c r="CC417" i="1"/>
  <c r="CC418" i="1"/>
  <c r="CC419" i="1"/>
  <c r="CC420" i="1"/>
  <c r="CC421" i="1"/>
  <c r="CC422" i="1"/>
  <c r="CC423" i="1"/>
  <c r="CC424" i="1"/>
  <c r="CC425" i="1"/>
  <c r="CC426" i="1"/>
  <c r="CC427" i="1"/>
  <c r="CC428" i="1"/>
  <c r="CC429" i="1"/>
  <c r="CC430" i="1"/>
  <c r="CC431" i="1"/>
  <c r="CC432" i="1"/>
  <c r="CC433" i="1"/>
  <c r="CC434" i="1"/>
  <c r="CC435" i="1"/>
  <c r="CC436" i="1"/>
  <c r="CC437" i="1"/>
  <c r="CC438" i="1"/>
  <c r="CC439" i="1"/>
  <c r="CC440" i="1"/>
  <c r="CC441" i="1"/>
  <c r="CC442" i="1"/>
  <c r="CC443" i="1"/>
  <c r="CC444" i="1"/>
  <c r="CC445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CD353" i="1"/>
  <c r="CD354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84" i="1"/>
  <c r="CD385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1" i="1"/>
  <c r="BZ292" i="1"/>
  <c r="BZ293" i="1"/>
  <c r="BZ294" i="1"/>
  <c r="BZ295" i="1"/>
  <c r="BZ296" i="1"/>
  <c r="BZ297" i="1"/>
  <c r="BZ298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BY225" i="1"/>
  <c r="BY226" i="1"/>
  <c r="BY227" i="1"/>
  <c r="BY228" i="1"/>
  <c r="BY229" i="1"/>
  <c r="BY230" i="1"/>
  <c r="BZ225" i="1"/>
  <c r="BZ226" i="1"/>
  <c r="BZ227" i="1"/>
  <c r="BZ228" i="1"/>
  <c r="BZ229" i="1"/>
  <c r="BZ230" i="1"/>
  <c r="CA225" i="1"/>
  <c r="CA226" i="1"/>
  <c r="CA227" i="1"/>
  <c r="CA228" i="1"/>
  <c r="CA229" i="1"/>
  <c r="CA230" i="1"/>
  <c r="CB225" i="1"/>
  <c r="CB226" i="1"/>
  <c r="CB227" i="1"/>
  <c r="CB228" i="1"/>
  <c r="CB229" i="1"/>
  <c r="CB230" i="1"/>
  <c r="CC225" i="1"/>
  <c r="CC226" i="1"/>
  <c r="CC227" i="1"/>
  <c r="CC228" i="1"/>
  <c r="CC229" i="1"/>
  <c r="CC230" i="1"/>
  <c r="CD225" i="1"/>
  <c r="CD226" i="1"/>
  <c r="CD227" i="1"/>
  <c r="CD228" i="1"/>
  <c r="CD229" i="1"/>
  <c r="CD230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C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B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BZ2" i="1"/>
  <c r="CA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06" i="1"/>
  <c r="BY107" i="1"/>
  <c r="BY108" i="1"/>
  <c r="BY109" i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</calcChain>
</file>

<file path=xl/sharedStrings.xml><?xml version="1.0" encoding="utf-8"?>
<sst xmlns="http://schemas.openxmlformats.org/spreadsheetml/2006/main" count="11434" uniqueCount="817">
  <si>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</si>
  <si>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</si>
  <si>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</si>
  <si>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</si>
  <si>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</si>
  <si>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</si>
  <si>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</si>
  <si>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</si>
  <si>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</si>
  <si>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</si>
  <si>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</si>
  <si>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</si>
  <si>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</si>
  <si>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</si>
  <si>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</si>
  <si>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</si>
  <si>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</si>
  <si>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</si>
  <si>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</si>
  <si>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</si>
  <si>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</si>
  <si>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</si>
  <si>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</si>
  <si>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</si>
  <si>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</si>
  <si>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</si>
  <si>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</si>
  <si>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</si>
  <si>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</si>
  <si>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</si>
  <si>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</si>
  <si>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</si>
  <si>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</si>
  <si>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</si>
  <si>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</si>
  <si>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</si>
  <si>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</si>
  <si>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</si>
  <si>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</si>
  <si>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</si>
  <si>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</si>
  <si>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</si>
  <si>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</si>
  <si>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</si>
  <si>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</si>
  <si>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</si>
  <si>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</si>
  <si>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</si>
  <si>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</si>
  <si>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</si>
  <si>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</si>
  <si>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</si>
  <si>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</si>
  <si>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</si>
  <si>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</si>
  <si>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</si>
  <si>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</si>
  <si>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</si>
  <si>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</si>
  <si>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</si>
  <si>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</si>
  <si>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</si>
  <si>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</si>
  <si>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</si>
  <si>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</si>
  <si>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</si>
  <si>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</si>
  <si>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</si>
  <si>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</si>
  <si>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</si>
  <si>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</si>
  <si>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</si>
  <si>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</si>
  <si>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</si>
  <si>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</si>
  <si>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</si>
  <si>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03-12_09-57-28_multihead_spsa_serial_f5_w5_h5_effsu2_lin_r1.pkl</t>
  </si>
  <si>
    <t>Final (Last Iteration)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</si>
  <si>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</si>
  <si>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</si>
  <si>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</si>
  <si>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</si>
  <si>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</si>
  <si>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</si>
  <si>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</si>
  <si>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</si>
  <si>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serial</t>
  </si>
  <si>
    <t>effsu2</t>
  </si>
  <si>
    <t>lin</t>
  </si>
  <si>
    <t>[[2, 3, 4, 0, 1, -1], [0, 1, 4, 2, 3, -1], [0, 1, 4, 3, 2, -1]]</t>
  </si>
  <si>
    <t>spsa</t>
  </si>
  <si>
    <t>[0.1, 0.001]</t>
  </si>
  <si>
    <t>[1.0, 1.0, 1.0, 1.0]</t>
  </si>
  <si>
    <t>identity</t>
  </si>
  <si>
    <t>03-12_09-59-10_multihead_spsa_serial_f5_w5_h5_effsu2_lin_r1.pkl</t>
  </si>
  <si>
    <t>03-12_09-57-47_multihead_spsa_serial_f5_w5_h5_effsu2_lin_r1.pkl</t>
  </si>
  <si>
    <t>Best (Lowest Val Loss)</t>
  </si>
  <si>
    <t>03-12_09-59-14_multihead_spsa_serial_f5_w5_h5_effsu2_lin_r1.pkl</t>
  </si>
  <si>
    <t>03-12_14-00-55_multihead_spsa_serial_f5_w5_h5_effsu2_lin_r1.pkl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</si>
  <si>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</si>
  <si>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[[2, 3, 4, 0, 1, -1], [4, 0, 1, 2, 3, -1], [0, 1, 4, 3, 2, -1]]</t>
  </si>
  <si>
    <t>03-12_13-58-52_multihead_spsa_serial_f5_w5_h5_effsu2_lin_r1.pkl</t>
  </si>
  <si>
    <t>03-12_14-01-51_multihead_spsa_serial_f5_w5_h5_effsu2_lin_r1.pkl</t>
  </si>
  <si>
    <t>03-12_14-01-36_multihead_spsa_serial_f5_w5_h5_effsu2_lin_r1.pkl</t>
  </si>
  <si>
    <t>03-12_17-49-21_multihead_spsa_serial_f5_w5_h5_effsu2_lin_r1.pkl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</si>
  <si>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</si>
  <si>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[[2, 3, 4, 0, 1, -1], [0, 1, 3, 2, 4, -1], [0, 1, 4, 3, 2, -1]]</t>
  </si>
  <si>
    <t>03-12_17-49-25_multihead_spsa_serial_f5_w5_h5_effsu2_lin_r1.pkl</t>
  </si>
  <si>
    <t>03-12_17-54-17_multihead_spsa_serial_f5_w5_h5_effsu2_lin_r1.pkl</t>
  </si>
  <si>
    <t>03-12_17-52-48_multihead_spsa_serial_f5_w5_h5_effsu2_lin_r1.pkl</t>
  </si>
  <si>
    <t>03-12_21-15-56_multihead_spsa_serial_f5_w5_h5_effsu2_lin_r1.pkl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</si>
  <si>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</si>
  <si>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[[2, 3, 4, 0, 1, -1], [3, 0, 1, 2, 4, -1], [0, 1, 4, 3, 2, -1]]</t>
  </si>
  <si>
    <t>03-12_21-19-10_multihead_spsa_serial_f5_w5_h5_effsu2_lin_r1.pkl</t>
  </si>
  <si>
    <t>03-12_21-17-31_multihead_spsa_serial_f5_w5_h5_effsu2_lin_r1.pkl</t>
  </si>
  <si>
    <t>03-12_21-20-54_multihead_spsa_serial_f5_w5_h5_effsu2_lin_r1.pkl</t>
  </si>
  <si>
    <t>03-13_00-46-35_multihead_spsa_serial_f5_w5_h5_effsu2_lin_r1.pkl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</si>
  <si>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</si>
  <si>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[[2, 3, 4, 0, 1, -1], [0, 1, 4, 2, 3, -1], [4, 0, 1, 3, 2, -1]]</t>
  </si>
  <si>
    <t>03-13_00-43-38_multihead_spsa_serial_f5_w5_h5_effsu2_lin_r1.pkl</t>
  </si>
  <si>
    <t>03-13_00-46-21_multihead_spsa_serial_f5_w5_h5_effsu2_lin_r1.pkl</t>
  </si>
  <si>
    <t>03-13_00-49-04_multihead_spsa_serial_f5_w5_h5_effsu2_lin_r1.pkl</t>
  </si>
  <si>
    <t>03-13_04-12-36_multihead_spsa_serial_f5_w5_h5_effsu2_lin_r1.pkl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</si>
  <si>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</si>
  <si>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[[2, 3, 4, 0, 1, -1], [0, 1, 4, 2, 3, -1], [0, 1, 2, 3, 4, -1]]</t>
  </si>
  <si>
    <t>03-13_04-12-38_multihead_spsa_serial_f5_w5_h5_effsu2_lin_r1.pkl</t>
  </si>
  <si>
    <t>03-13_04-13-45_multihead_spsa_serial_f5_w5_h5_effsu2_lin_r1.pkl</t>
  </si>
  <si>
    <t>03-13_04-16-56_multihead_spsa_serial_f5_w5_h5_effsu2_lin_r1.pkl</t>
  </si>
  <si>
    <t>03-13_07-39-11_multihead_spsa_serial_f5_w5_h5_effsu2_lin_r1.pkl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</si>
  <si>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</si>
  <si>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[[2, 3, 4, 0, 1, -1], [0, 1, 4, 2, 3, -1], [2, 0, 1, 3, 4, -1]]</t>
  </si>
  <si>
    <t>03-13_07-40-10_multihead_spsa_serial_f5_w5_h5_effsu2_lin_r1.pkl</t>
  </si>
  <si>
    <t>03-13_07-40-20_multihead_spsa_serial_f5_w5_h5_effsu2_lin_r1.pkl</t>
  </si>
  <si>
    <t>03-13_07-44-38_multihead_spsa_serial_f5_w5_h5_effsu2_lin_r1.pkl</t>
  </si>
  <si>
    <t>03-13_11-27-09_multihead_spsa_serial_f5_w5_h5_effsu2_lin_r1.pkl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</si>
  <si>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</si>
  <si>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[[2, 3, 4, 0, 1, -1], [4, 0, 1, 2, 3, -1], [4, 0, 1, 3, 2, -1]]</t>
  </si>
  <si>
    <t>03-13_11-31-02_multihead_spsa_serial_f5_w5_h5_effsu2_lin_r1.pkl</t>
  </si>
  <si>
    <t>03-13_11-35-14_multihead_spsa_serial_f5_w5_h5_effsu2_lin_r1.pkl</t>
  </si>
  <si>
    <t>03-13_11-33-32_multihead_spsa_serial_f5_w5_h5_effsu2_lin_r1.pkl</t>
  </si>
  <si>
    <t>03-13_15-42-31_multihead_spsa_serial_f5_w5_h5_effsu2_lin_r1.pkl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</si>
  <si>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</si>
  <si>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[[2, 3, 4, 0, 1, -1], [4, 0, 1, 2, 3, -1], [0, 1, 2, 3, 4, -1]]</t>
  </si>
  <si>
    <t>03-13_15-46-47_multihead_spsa_serial_f5_w5_h5_effsu2_lin_r1.pkl</t>
  </si>
  <si>
    <t>03-13_15-51-53_multihead_spsa_serial_f5_w5_h5_effsu2_lin_r1.pkl</t>
  </si>
  <si>
    <t>03-13_15-54-49_multihead_spsa_serial_f5_w5_h5_effsu2_lin_r1.pkl</t>
  </si>
  <si>
    <t>03-13_19-33-55_multihead_spsa_serial_f5_w5_h5_effsu2_lin_r1.pkl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</si>
  <si>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</si>
  <si>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[[2, 3, 4, 0, 1, -1], [4, 0, 1, 2, 3, -1], [2, 0, 1, 3, 4, -1]]</t>
  </si>
  <si>
    <t>03-13_19-39-48_multihead_spsa_serial_f5_w5_h5_effsu2_lin_r1.pkl</t>
  </si>
  <si>
    <t>03-13_19-44-32_multihead_spsa_serial_f5_w5_h5_effsu2_lin_r1.pkl</t>
  </si>
  <si>
    <t>03-13_19-52-39_multihead_spsa_serial_f5_w5_h5_effsu2_lin_r1.pkl</t>
  </si>
  <si>
    <t>03-13_23-31-50_multihead_spsa_serial_f5_w5_h5_effsu2_lin_r1.pkl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</si>
  <si>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</si>
  <si>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[[2, 3, 4, 0, 1, -1], [0, 1, 3, 2, 4, -1], [4, 0, 1, 3, 2, -1]]</t>
  </si>
  <si>
    <t>03-13_23-38-53_multihead_spsa_serial_f5_w5_h5_effsu2_lin_r1.pkl</t>
  </si>
  <si>
    <t>03-13_23-42-39_multihead_spsa_serial_f5_w5_h5_effsu2_lin_r1.pkl</t>
  </si>
  <si>
    <t>03-13_23-51-08_multihead_spsa_serial_f5_w5_h5_effsu2_lin_r1.pkl</t>
  </si>
  <si>
    <t>03-14_02-59-43_multihead_spsa_serial_f5_w5_h5_effsu2_lin_r1.pkl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</si>
  <si>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</si>
  <si>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[[2, 3, 4, 0, 1, -1], [0, 1, 3, 2, 4, -1], [0, 1, 2, 3, 4, -1]]</t>
  </si>
  <si>
    <t>03-14_03-06-32_multihead_spsa_serial_f5_w5_h5_effsu2_lin_r1.pkl</t>
  </si>
  <si>
    <t>03-14_03-11-21_multihead_spsa_serial_f5_w5_h5_effsu2_lin_r1.pkl</t>
  </si>
  <si>
    <t>03-14_03-19-10_multihead_spsa_serial_f5_w5_h5_effsu2_lin_r1.pkl</t>
  </si>
  <si>
    <t>03-14_06-26-56_multihead_spsa_serial_f5_w5_h5_effsu2_lin_r1.pkl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</si>
  <si>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</si>
  <si>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[[2, 3, 4, 0, 1, -1], [0, 1, 3, 2, 4, -1], [2, 0, 1, 3, 4, -1]]</t>
  </si>
  <si>
    <t>03-14_06-35-21_multihead_spsa_serial_f5_w5_h5_effsu2_lin_r1.pkl</t>
  </si>
  <si>
    <t>03-14_06-40-30_multihead_spsa_serial_f5_w5_h5_effsu2_lin_r1.pkl</t>
  </si>
  <si>
    <t>03-14_06-48-12_multihead_spsa_serial_f5_w5_h5_effsu2_lin_r1.pkl</t>
  </si>
  <si>
    <t>03-14_09-53-46_multihead_spsa_serial_f5_w5_h5_effsu2_lin_r1.pkl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</si>
  <si>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</si>
  <si>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[[2, 3, 4, 0, 1, -1], [3, 0, 1, 2, 4, -1], [4, 0, 1, 3, 2, -1]]</t>
  </si>
  <si>
    <t>03-14_10-03-47_multihead_spsa_serial_f5_w5_h5_effsu2_lin_r1.pkl</t>
  </si>
  <si>
    <t>03-14_10-09-53_multihead_spsa_serial_f5_w5_h5_effsu2_lin_r1.pkl</t>
  </si>
  <si>
    <t>03-14_10-16-53_multihead_spsa_serial_f5_w5_h5_effsu2_lin_r1.pkl</t>
  </si>
  <si>
    <t>03-14_13-22-32_multihead_spsa_serial_f5_w5_h5_effsu2_lin_r1.pkl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</si>
  <si>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</si>
  <si>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[[2, 3, 4, 0, 1, -1], [3, 0, 1, 2, 4, -1], [0, 1, 2, 3, 4, -1]]</t>
  </si>
  <si>
    <t>03-14_13-32-24_multihead_spsa_serial_f5_w5_h5_effsu2_lin_r1.pkl</t>
  </si>
  <si>
    <t>03-14_13-40-04_multihead_spsa_serial_f5_w5_h5_effsu2_lin_r1.pkl</t>
  </si>
  <si>
    <t>03-14_13-46-36_multihead_spsa_serial_f5_w5_h5_effsu2_lin_r1.pkl</t>
  </si>
  <si>
    <t>03-14_16-50-12_multihead_spsa_serial_f5_w5_h5_effsu2_lin_r1.pkl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</si>
  <si>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</si>
  <si>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[[2, 3, 4, 0, 1, -1], [3, 0, 1, 2, 4, -1], [2, 0, 1, 3, 4, -1]]</t>
  </si>
  <si>
    <t>03-14_16-59-46_multihead_spsa_serial_f5_w5_h5_effsu2_lin_r1.pkl</t>
  </si>
  <si>
    <t>03-14_17-08-37_multihead_spsa_serial_f5_w5_h5_effsu2_lin_r1.pkl</t>
  </si>
  <si>
    <t>03-14_17-14-14_multihead_spsa_serial_f5_w5_h5_effsu2_lin_r1.pkl</t>
  </si>
  <si>
    <t>03-14_20-19-17_multihead_spsa_serial_f5_w5_h5_effsu2_lin_r1.pkl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</si>
  <si>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</si>
  <si>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[[4, 2, 3, 0, 1, -1], [0, 1, 4, 2, 3, -1], [0, 1, 4, 3, 2, -1]]</t>
  </si>
  <si>
    <t>03-14_20-29-40_multihead_spsa_serial_f5_w5_h5_effsu2_lin_r1.pkl</t>
  </si>
  <si>
    <t>03-14_20-37-08_multihead_spsa_serial_f5_w5_h5_effsu2_lin_r1.pkl</t>
  </si>
  <si>
    <t>03-14_20-43-10_multihead_spsa_serial_f5_w5_h5_effsu2_lin_r1.pkl</t>
  </si>
  <si>
    <t>03-14_23-44-28_multihead_spsa_serial_f5_w5_h5_effsu2_lin_r1.pkl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</si>
  <si>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</si>
  <si>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[[4, 2, 3, 0, 1, -1], [4, 0, 1, 2, 3, -1], [0, 1, 4, 3, 2, -1]]</t>
  </si>
  <si>
    <t>03-14_23-55-43_multihead_spsa_serial_f5_w5_h5_effsu2_lin_r1.pkl</t>
  </si>
  <si>
    <t>03-15_00-01-53_multihead_spsa_serial_f5_w5_h5_effsu2_lin_r1.pkl</t>
  </si>
  <si>
    <t>03-15_00-08-10_multihead_spsa_serial_f5_w5_h5_effsu2_lin_r1.pkl</t>
  </si>
  <si>
    <t>03-15_03-12-53_multihead_spsa_serial_f5_w5_h5_effsu2_lin_r1.pkl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</si>
  <si>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</si>
  <si>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[[4, 2, 3, 0, 1, -1], [0, 1, 3, 2, 4, -1], [0, 1, 4, 3, 2, -1]]</t>
  </si>
  <si>
    <t>03-15_03-23-59_multihead_spsa_serial_f5_w5_h5_effsu2_lin_r1.pkl</t>
  </si>
  <si>
    <t>03-15_03-30-11_multihead_spsa_serial_f5_w5_h5_effsu2_lin_r1.pkl</t>
  </si>
  <si>
    <t>03-15_03-37-51_multihead_spsa_serial_f5_w5_h5_effsu2_lin_r1.pkl</t>
  </si>
  <si>
    <t>03-15_06-45-27_multihead_spsa_serial_f5_w5_h5_effsu2_lin_r1.pkl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</si>
  <si>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</si>
  <si>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[[4, 2, 3, 0, 1, -1], [3, 0, 1, 2, 4, -1], [0, 1, 4, 3, 2, -1]]</t>
  </si>
  <si>
    <t>03-15_06-54-09_multihead_spsa_serial_f5_w5_h5_effsu2_lin_r1.pkl</t>
  </si>
  <si>
    <t>03-15_07-00-28_multihead_spsa_serial_f5_w5_h5_effsu2_lin_r1.pkl</t>
  </si>
  <si>
    <t>03-15_07-10-15_multihead_spsa_serial_f5_w5_h5_effsu2_lin_r1.pkl</t>
  </si>
  <si>
    <t>03-15_10-13-10_multihead_spsa_serial_f5_w5_h5_effsu2_lin_r1.pkl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</si>
  <si>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</si>
  <si>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[[4, 2, 3, 0, 1, -1], [0, 1, 4, 2, 3, -1], [4, 0, 1, 3, 2, -1]]</t>
  </si>
  <si>
    <t>03-15_10-21-54_multihead_spsa_serial_f5_w5_h5_effsu2_lin_r1.pkl</t>
  </si>
  <si>
    <t>03-15_10-29-19_multihead_spsa_serial_f5_w5_h5_effsu2_lin_r1.pkl</t>
  </si>
  <si>
    <t>03-15_10-39-10_multihead_spsa_serial_f5_w5_h5_effsu2_lin_r1.pkl</t>
  </si>
  <si>
    <t>03-15_13-41-55_multihead_spsa_serial_f5_w5_h5_effsu2_lin_r1.pkl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</si>
  <si>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</si>
  <si>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[[4, 2, 3, 0, 1, -1], [0, 1, 4, 2, 3, -1], [0, 1, 2, 3, 4, -1]]</t>
  </si>
  <si>
    <t>03-15_13-49-22_multihead_spsa_serial_f5_w5_h5_effsu2_lin_r1.pkl</t>
  </si>
  <si>
    <t>03-15_13-57-58_multihead_spsa_serial_f5_w5_h5_effsu2_lin_r1.pkl</t>
  </si>
  <si>
    <t>03-15_14-07-24_multihead_spsa_serial_f5_w5_h5_effsu2_lin_r1.pkl</t>
  </si>
  <si>
    <t>03-15_17-09-56_multihead_spsa_serial_f5_w5_h5_effsu2_lin_r1.pkl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</si>
  <si>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</si>
  <si>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[[4, 2, 3, 0, 1, -1], [0, 1, 4, 2, 3, -1], [2, 0, 1, 3, 4, -1]]</t>
  </si>
  <si>
    <t>03-15_17-16-15_multihead_spsa_serial_f5_w5_h5_effsu2_lin_r1.pkl</t>
  </si>
  <si>
    <t>03-15_17-26-04_multihead_spsa_serial_f5_w5_h5_effsu2_lin_r1.pkl</t>
  </si>
  <si>
    <t>03-15_17-35-57_multihead_spsa_serial_f5_w5_h5_effsu2_lin_r1.pkl</t>
  </si>
  <si>
    <t>03-15_20-53-18_multihead_spsa_serial_f5_w5_h5_effsu2_lin_r1.pkl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</si>
  <si>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</si>
  <si>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[[4, 2, 3, 0, 1, -1], [4, 0, 1, 2, 3, -1], [4, 0, 1, 3, 2, -1]]</t>
  </si>
  <si>
    <t>03-15_20-58-41_multihead_spsa_serial_f5_w5_h5_effsu2_lin_r1.pkl</t>
  </si>
  <si>
    <t>03-15_21-08-37_multihead_spsa_serial_f5_w5_h5_effsu2_lin_r1.pkl</t>
  </si>
  <si>
    <t>03-15_21-19-43_multihead_spsa_serial_f5_w5_h5_effsu2_lin_r1.pkl</t>
  </si>
  <si>
    <t>03-16_00-22-49_multihead_spsa_serial_f5_w5_h5_effsu2_lin_r1.pkl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</si>
  <si>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</si>
  <si>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[[4, 2, 3, 0, 1, -1], [4, 0, 1, 2, 3, -1], [0, 1, 2, 3, 4, -1]]</t>
  </si>
  <si>
    <t>03-16_00-28-09_multihead_spsa_serial_f5_w5_h5_effsu2_lin_r1.pkl</t>
  </si>
  <si>
    <t>03-16_00-35-17_multihead_spsa_serial_f5_w5_h5_effsu2_lin_r1.pkl</t>
  </si>
  <si>
    <t>03-16_00-49-25_multihead_spsa_serial_f5_w5_h5_effsu2_lin_r1.pkl</t>
  </si>
  <si>
    <t>03-16_03-52-55_multihead_spsa_serial_f5_w5_h5_effsu2_lin_r1.pkl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</si>
  <si>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</si>
  <si>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[[4, 2, 3, 0, 1, -1], [4, 0, 1, 2, 3, -1], [2, 0, 1, 3, 4, -1]]</t>
  </si>
  <si>
    <t>03-16_03-57-56_multihead_spsa_serial_f5_w5_h5_effsu2_lin_r1.pkl</t>
  </si>
  <si>
    <t>03-16_04-02-52_multihead_spsa_serial_f5_w5_h5_effsu2_lin_r1.pkl</t>
  </si>
  <si>
    <t>03-16_04-20-13_multihead_spsa_serial_f5_w5_h5_effsu2_lin_r1.pkl</t>
  </si>
  <si>
    <t>Etiquetas de fila</t>
  </si>
  <si>
    <t>Total general</t>
  </si>
  <si>
    <t>Promedio de Val Global Open R2</t>
  </si>
  <si>
    <t>Promedio de global open R2</t>
  </si>
  <si>
    <t>Promedio de Val Global Closed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</si>
  <si>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</si>
  <si>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</si>
  <si>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</si>
  <si>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</si>
  <si>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</si>
  <si>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</si>
  <si>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</si>
  <si>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</si>
  <si>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</si>
  <si>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Cuenta de model_id</t>
  </si>
  <si>
    <t>Output_feat</t>
  </si>
  <si>
    <t>03-16_07-20-46_multihead_spsa_serial_f5_w5_h5_effsu2_lin_r1.pkl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</si>
  <si>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</si>
  <si>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[[4, 2, 3, 0, 1, -1], [0, 1, 3, 2, 4, -1], [4, 0, 1, 3, 2, -1]]</t>
  </si>
  <si>
    <t>03-16_07-28-00_multihead_spsa_serial_f5_w5_h5_effsu2_lin_r1.pkl</t>
  </si>
  <si>
    <t>03-16_07-26-10_multihead_spsa_serial_f5_w5_h5_effsu2_lin_r1.pkl</t>
  </si>
  <si>
    <t>03-16_07-49-13_multihead_spsa_serial_f5_w5_h5_effsu2_lin_r1.pkl</t>
  </si>
  <si>
    <t>03-16_11-25-22_multihead_spsa_serial_f5_w5_h5_effsu2_lin_r1.pkl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</si>
  <si>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</si>
  <si>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[[4, 2, 3, 0, 1, -1], [0, 1, 3, 2, 4, -1], [0, 1, 2, 3, 4, -1]]</t>
  </si>
  <si>
    <t>03-16_11-30-48_multihead_spsa_serial_f5_w5_h5_effsu2_lin_r1.pkl</t>
  </si>
  <si>
    <t>03-16_11-31-01_multihead_spsa_serial_f5_w5_h5_effsu2_lin_r1.pkl</t>
  </si>
  <si>
    <t>03-16_11-59-28_multihead_spsa_serial_f5_w5_h5_effsu2_lin_r1.pkl</t>
  </si>
  <si>
    <t>03-16_13-19-45_multihead_spsa_serial_f5_w5_h5_effsu2_lin_r1.pkl</t>
  </si>
  <si>
    <t>03-16_13-20-03_multihead_spsa_serial_f5_w5_h5_effsu2_lin_r1.pkl</t>
  </si>
  <si>
    <t>03-16_15-10-14_multihead_spsa_serial_f5_w5_h5_effsu2_lin_r1.pkl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</si>
  <si>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</si>
  <si>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[[4, 2, 3, 0, 1, -1], [0, 1, 3, 2, 4, -1], [2, 0, 1, 3, 4, -1]]</t>
  </si>
  <si>
    <t>03-16_15-15-20_multihead_spsa_serial_f5_w5_h5_effsu2_lin_r1.pkl</t>
  </si>
  <si>
    <t>03-16_15-15-41_multihead_spsa_serial_f5_w5_h5_effsu2_lin_r1.pkl</t>
  </si>
  <si>
    <t>03-16_15-45-50_multihead_spsa_serial_f5_w5_h5_effsu2_lin_r1.pkl</t>
  </si>
  <si>
    <t>03-16_17-43-23_multihead_spsa_serial_f5_w5_h5_effsu2_lin_r1.pkl</t>
  </si>
  <si>
    <t>03-16_17-44-20_multihead_spsa_serial_f5_w5_h5_effsu2_lin_r1.pkl</t>
  </si>
  <si>
    <t>03-16_19-22-08_multihead_spsa_serial_f5_w5_h5_effsu2_lin_r1.pkl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</si>
  <si>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</si>
  <si>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[[4, 2, 3, 0, 1, -1], [3, 0, 1, 2, 4, -1], [4, 0, 1, 3, 2, -1]]</t>
  </si>
  <si>
    <t>03-16_19-28-56_multihead_spsa_serial_f5_w5_h5_effsu2_lin_r1.pkl</t>
  </si>
  <si>
    <t>03-16_19-29-11_multihead_spsa_serial_f5_w5_h5_effsu2_lin_r1.pkl</t>
  </si>
  <si>
    <t>03-16_20-03-56_multihead_spsa_serial_f5_w5_h5_effsu2_lin_r1.pkl</t>
  </si>
  <si>
    <t>03-16_21-25-31_multihead_spsa_serial_f5_w5_h5_effsu2_lin_r1.pkl</t>
  </si>
  <si>
    <t>03-16_21-30-02_multihead_spsa_serial_f5_w5_h5_effsu2_lin_r1.pkl</t>
  </si>
  <si>
    <t>03-16_23-06-51_multihead_spsa_serial_f5_w5_h5_effsu2_lin_r1.pkl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</si>
  <si>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</si>
  <si>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[[4, 2, 3, 0, 1, -1], [3, 0, 1, 2, 4, -1], [0, 1, 2, 3, 4, -1]]</t>
  </si>
  <si>
    <t>03-16_23-13-01_multihead_spsa_serial_f5_w5_h5_effsu2_lin_r1.pkl</t>
  </si>
  <si>
    <t>03-16_23-14-05_multihead_spsa_serial_f5_w5_h5_effsu2_lin_r1.pkl</t>
  </si>
  <si>
    <t>03-16_23-47-21_multihead_spsa_serial_f5_w5_h5_effsu2_lin_r1.pkl</t>
  </si>
  <si>
    <t>03-17_00-58-37_multihead_spsa_serial_f5_w5_h5_effsu2_lin_r1.pkl</t>
  </si>
  <si>
    <t>03-17_01-04-55_multihead_spsa_serial_f5_w5_h5_effsu2_lin_r1.pkl</t>
  </si>
  <si>
    <t>03-17_02-41-13_multihead_spsa_serial_f5_w5_h5_effsu2_lin_r1.pkl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</si>
  <si>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</si>
  <si>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[[4, 2, 3, 0, 1, -1], [3, 0, 1, 2, 4, -1], [2, 0, 1, 3, 4, -1]]</t>
  </si>
  <si>
    <t>03-17_02-48-46_multihead_spsa_serial_f5_w5_h5_effsu2_lin_r1.pkl</t>
  </si>
  <si>
    <t>03-17_02-48-33_multihead_spsa_serial_f5_w5_h5_effsu2_lin_r1.pkl</t>
  </si>
  <si>
    <t>03-17_03-21-32_multihead_spsa_serial_f5_w5_h5_effsu2_lin_r1.pkl</t>
  </si>
  <si>
    <t>03-17_04-27-40_multihead_spsa_serial_f5_w5_h5_effsu2_lin_r1.pkl</t>
  </si>
  <si>
    <t>03-17_04-33-46_multihead_spsa_serial_f5_w5_h5_effsu2_lin_r1.pkl</t>
  </si>
  <si>
    <t>03-17_07-28-17_multihead_spsa_serial_f5_w5_h5_effsu2_lin_r1.pkl</t>
  </si>
  <si>
    <t>03-17_07-33-40_multihead_spsa_serial_f5_w5_h5_effsu2_lin_r1.pkl</t>
  </si>
  <si>
    <t>03-17_10-00-25_multihead_spsa_serial_f5_w5_h5_effsu2_lin_r1.pkl</t>
  </si>
  <si>
    <t>03-17_09-59-23_multihead_spsa_serial_f5_w5_h5_effsu2_lin_r1.pkl</t>
  </si>
  <si>
    <t>03-17_10-00-36_multihead_spsa_serial_f5_w5_h5_effsu2_lin_r1.pkl</t>
  </si>
  <si>
    <t>03-17_10-00-49_multihead_spsa_serial_f5_w5_h5_effsu2_lin_r1.pkl</t>
  </si>
  <si>
    <t>03-17_10-24-34_multihead_spsa_serial_f5_w5_h5_effsu2_lin_r1.pkl</t>
  </si>
  <si>
    <t>03-17_10-37-14_multihead_spsa_serial_f5_w5_h5_effsu2_lin_r1.pkl</t>
  </si>
  <si>
    <t>03-17_13-56-00_multihead_spsa_serial_f5_w5_h5_effsu2_lin_r1.pkl</t>
  </si>
  <si>
    <t>03-17_13-58-41_multihead_spsa_serial_f5_w5_h5_effsu2_lin_r1.pkl</t>
  </si>
  <si>
    <t>03-17_13-57-55_multihead_spsa_serial_f5_w5_h5_effsu2_lin_r1.pkl</t>
  </si>
  <si>
    <t>03-17_14-00-55_multihead_spsa_serial_f5_w5_h5_effsu2_lin_r1.pkl</t>
  </si>
  <si>
    <t>03-17_14-27-02_multihead_spsa_serial_f5_w5_h5_effsu2_lin_r1.pkl</t>
  </si>
  <si>
    <t>03-17_14-42-10_multihead_spsa_serial_f5_w5_h5_effsu2_lin_r1.pkl</t>
  </si>
  <si>
    <t>03-17_18-05-48_multihead_spsa_serial_f5_w5_h5_effsu2_lin_r1.pkl</t>
  </si>
  <si>
    <t>03-17_18-10-30_multihead_spsa_serial_f5_w5_h5_effsu2_lin_r1.pkl</t>
  </si>
  <si>
    <t>03-17_18-12-00_multihead_spsa_serial_f5_w5_h5_effsu2_lin_r1.pkl</t>
  </si>
  <si>
    <t>03-17_18-15-33_multihead_spsa_serial_f5_w5_h5_effsu2_lin_r1.pkl</t>
  </si>
  <si>
    <t>03-17_18-30-10_multihead_spsa_serial_f5_w5_h5_effsu2_lin_r1.pkl</t>
  </si>
  <si>
    <t>03-17_18-46-53_multihead_spsa_serial_f5_w5_h5_effsu2_lin_r1.pkl</t>
  </si>
  <si>
    <t>03-17_21-25-05_multihead_spsa_serial_f5_w5_h5_effsu2_lin_r1.pkl</t>
  </si>
  <si>
    <t>03-17_21-33-16_multihead_spsa_serial_f5_w5_h5_effsu2_lin_r1.pkl</t>
  </si>
  <si>
    <t>03-17_21-37-04_multihead_spsa_serial_f5_w5_h5_effsu2_lin_r1.pkl</t>
  </si>
  <si>
    <t>03-17_21-39-48_multihead_spsa_serial_f5_w5_h5_effsu2_lin_r1.pkl</t>
  </si>
  <si>
    <t>03-17_21-53-31_multihead_spsa_serial_f5_w5_h5_effsu2_lin_r1.pkl</t>
  </si>
  <si>
    <t>03-17_22-10-49_multihead_spsa_serial_f5_w5_h5_effsu2_lin_r1.pkl</t>
  </si>
  <si>
    <t>03-18_00-44-17_multihead_spsa_serial_f5_w5_h5_effsu2_lin_r1.pkl</t>
  </si>
  <si>
    <t>03-18_00-56-21_multihead_spsa_serial_f5_w5_h5_effsu2_lin_r1.pkl</t>
  </si>
  <si>
    <t>03-18_01-02-34_multihead_spsa_serial_f5_w5_h5_effsu2_lin_r1.pkl</t>
  </si>
  <si>
    <t>03-18_01-04-48_multihead_spsa_serial_f5_w5_h5_effsu2_lin_r1.pkl</t>
  </si>
  <si>
    <t>03-18_01-17-13_multihead_spsa_serial_f5_w5_h5_effsu2_lin_r1.pkl</t>
  </si>
  <si>
    <t>03-18_01-37-04_multihead_spsa_serial_f5_w5_h5_effsu2_lin_r1.pkl</t>
  </si>
  <si>
    <t>03-18_04-06-08_multihead_spsa_serial_f5_w5_h5_effsu2_lin_r1.pkl</t>
  </si>
  <si>
    <t>03-18_04-23-29_multihead_spsa_serial_f5_w5_h5_effsu2_lin_r1.pkl</t>
  </si>
  <si>
    <t>03-18_04-30-55_multihead_spsa_serial_f5_w5_h5_effsu2_lin_r1.pkl</t>
  </si>
  <si>
    <t>03-18_04-32-50_multihead_spsa_serial_f5_w5_h5_effsu2_lin_r1.pkl</t>
  </si>
  <si>
    <t>03-18_04-43-08_multihead_spsa_serial_f5_w5_h5_effsu2_lin_r1.pkl</t>
  </si>
  <si>
    <t>03-18_05-04-59_multihead_spsa_serial_f5_w5_h5_effsu2_lin_r1.pkl</t>
  </si>
  <si>
    <t>with yaw rate</t>
  </si>
  <si>
    <t>with yaw angle</t>
  </si>
  <si>
    <t>without yaw rate</t>
  </si>
  <si>
    <t>without yaw angle</t>
  </si>
  <si>
    <t>without surge and sway</t>
  </si>
  <si>
    <t>2, 3, 4</t>
  </si>
  <si>
    <t>4, 2, 3</t>
  </si>
  <si>
    <t>2, 3</t>
  </si>
  <si>
    <t>2, 4</t>
  </si>
  <si>
    <t>0, 1, 3</t>
  </si>
  <si>
    <t>0, 1, 4</t>
  </si>
  <si>
    <t>3, 0, 1</t>
  </si>
  <si>
    <t>4, 0, 1</t>
  </si>
  <si>
    <t>3, 2</t>
  </si>
  <si>
    <t>3, 4</t>
  </si>
  <si>
    <t>0, 1, 2</t>
  </si>
  <si>
    <t>2, 0, 1</t>
  </si>
  <si>
    <t>03-18_07-10-23_multihead_spsa_serial_f5_w5_h5_effsu2_lin_r1.pkl</t>
  </si>
  <si>
    <t>03-18_07-26-44_multihead_spsa_serial_f5_w5_h5_effsu2_lin_r1.pkl</t>
  </si>
  <si>
    <t>03-18_07-35-33_multihead_spsa_serial_f5_w5_h5_effsu2_lin_r1.pkl</t>
  </si>
  <si>
    <t>03-18_07-36-09_multihead_spsa_serial_f5_w5_h5_effsu2_lin_r1.pkl</t>
  </si>
  <si>
    <t>03-18_07-43-52_multihead_spsa_serial_f5_w5_h5_effsu2_lin_r1.pkl</t>
  </si>
  <si>
    <t>03-18_08-04-57_multihead_spsa_serial_f5_w5_h5_effsu2_lin_r1.pkl</t>
  </si>
  <si>
    <t>03-18_10-50-03_multihead_spsa_serial_f5_w5_h5_effsu2_lin_r1.pkl</t>
  </si>
  <si>
    <t>03-18_11-15-26_multihead_spsa_serial_f5_w5_h5_effsu2_lin_r1.pkl</t>
  </si>
  <si>
    <t>03-18_11-29-40_multihead_spsa_serial_f5_w5_h5_effsu2_lin_r1.pkl</t>
  </si>
  <si>
    <t>03-18_11-35-44_multihead_spsa_serial_f5_w5_h5_effsu2_lin_r1.pkl</t>
  </si>
  <si>
    <t>03-18_11-30-47_multihead_spsa_serial_f5_w5_h5_effsu2_lin_r1.pkl</t>
  </si>
  <si>
    <t>03-18_12-09-59_multihead_spsa_serial_f5_w5_h5_effsu2_lin_r1.pkl</t>
  </si>
  <si>
    <t>03-18_14-36-36_multihead_spsa_serial_f5_w5_h5_effsu2_lin_r1.pkl</t>
  </si>
  <si>
    <t>03-18_15-04-53_multihead_spsa_serial_f5_w5_h5_effsu2_lin_r1.pkl</t>
  </si>
  <si>
    <t>03-18_15-21-35_multihead_spsa_serial_f5_w5_h5_effsu2_lin_r1.pkl</t>
  </si>
  <si>
    <t>03-18_15-20-11_multihead_spsa_serial_f5_w5_h5_effsu2_lin_r1.pkl</t>
  </si>
  <si>
    <t>03-18_15-21-54_multihead_spsa_serial_f5_w5_h5_effsu2_lin_r1.pkl</t>
  </si>
  <si>
    <t>03-18_15-59-45_multihead_spsa_serial_f5_w5_h5_effsu2_lin_r1.pkl</t>
  </si>
  <si>
    <t>03-23_12-54-40_multihead_spsa_serial_f5_w5_h5_effsu2_lin_r1.pkl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</si>
  <si>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</si>
  <si>
    <t>[[2, 3, 4, 0, 1, -1], [1, 4, 0, 2, 3, -1], [0, 1, 4, 3, 2, -1]]</t>
  </si>
  <si>
    <t>03-23_16-55-30_multihead_spsa_serial_f5_w5_h5_effsu2_lin_r1.pkl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</si>
  <si>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</si>
  <si>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[[2, 3, 4, 0, 1, -1], [1, 3, 0, 2, 4, -1], [0, 1, 4, 3, 2, -1]]</t>
  </si>
  <si>
    <t>03-23_21-21-34_multihead_spsa_serial_f5_w5_h5_effsu2_lin_r1.pkl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</si>
  <si>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</si>
  <si>
    <t>[[2, 3, 4, 0, 1, -1], [0, 1, 4, 2, 3, -1], [1, 4, 0, 3, 2, -1]]</t>
  </si>
  <si>
    <t>03-24_00-36-56_multihead_spsa_serial_f5_w5_h5_effsu2_lin_r1.pkl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</si>
  <si>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</si>
  <si>
    <t>[[2, 3, 4, 0, 1, -1], [0, 1, 4, 2, 3, -1], [1, 2, 0, 3, 4, -1]]</t>
  </si>
  <si>
    <t>03-24_00-49-54_multihead_spsa_serial_f5_w5_h5_effsu2_lin_r1.pkl</t>
  </si>
  <si>
    <t>03-24_04-04-54_multihead_spsa_serial_f5_w5_h5_effsu2_lin_r1.pkl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</si>
  <si>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</si>
  <si>
    <t>[[2, 3, 4, 0, 1, -1], [1, 4, 0, 2, 3, -1], [1, 4, 0, 3, 2, -1]]</t>
  </si>
  <si>
    <t>03-24_04-14-49_multihead_spsa_serial_f5_w5_h5_effsu2_lin_r1.pkl</t>
  </si>
  <si>
    <t>03-24_07-36-54_multihead_spsa_serial_f5_w5_h5_effsu2_lin_r1.pkl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</si>
  <si>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</si>
  <si>
    <t>[[2, 3, 4, 0, 1, -1], [1, 4, 0, 2, 3, -1], [0, 1, 2, 3, 4, -1]]</t>
  </si>
  <si>
    <t>03-24_07-44-19_multihead_spsa_serial_f5_w5_h5_effsu2_lin_r1.pkl</t>
  </si>
  <si>
    <t>1, 4, 0</t>
  </si>
  <si>
    <t>1, 3, 0</t>
  </si>
  <si>
    <t>1, 2, 0</t>
  </si>
  <si>
    <t>03-24_11-06-46_multihead_spsa_serial_f5_w5_h5_effsu2_lin_r1.pkl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</si>
  <si>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</si>
  <si>
    <t>[[2, 3, 4, 0, 1, -1], [1, 4, 0, 2, 3, -1], [1, 2, 0, 3, 4, -1]]</t>
  </si>
  <si>
    <t>03-24_11-13-31_multihead_spsa_serial_f5_w5_h5_effsu2_lin_r1.pkl</t>
  </si>
  <si>
    <t>03-24_15-11-11_multihead_spsa_serial_f5_w5_h5_effsu2_lin_r1.pkl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</si>
  <si>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</si>
  <si>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[[2, 3, 4, 0, 1, -1], [0, 1, 3, 2, 4, -1], [1, 4, 0, 3, 2, -1]]</t>
  </si>
  <si>
    <t>03-24_15-16-01_multihead_spsa_serial_f5_w5_h5_effsu2_lin_r1.pkl</t>
  </si>
  <si>
    <t>03-24_18-49-25_multihead_spsa_serial_f5_w5_h5_effsu2_lin_r1.pkl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</si>
  <si>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</si>
  <si>
    <t>[[2, 3, 4, 0, 1, -1], [0, 1, 3, 2, 4, -1], [1, 2, 0, 3, 4, -1]]</t>
  </si>
  <si>
    <t>03-24_18-52-31_multihead_spsa_serial_f5_w5_h5_effsu2_lin_r1.pkl</t>
  </si>
  <si>
    <t>03-24_19-40-11_multihead_spsa_serial_f5_w5_h5_effsu2_lin_r1.pkl</t>
  </si>
  <si>
    <t>03-24_19-47-28_multihead_spsa_serial_f5_w5_h5_effsu2_lin_r1.pkl</t>
  </si>
  <si>
    <t>03-24_22-44-05_multihead_spsa_serial_f5_w5_h5_effsu2_lin_r1.pkl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</si>
  <si>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</si>
  <si>
    <t>[[2, 3, 4, 0, 1, -1], [1, 3, 0, 2, 4, -1], [1, 4, 0, 3, 2, -1]]</t>
  </si>
  <si>
    <t>03-24_22-45-41_multihead_spsa_serial_f5_w5_h5_effsu2_lin_r1.pkl</t>
  </si>
  <si>
    <t>03-24_23-33-57_multihead_spsa_serial_f5_w5_h5_effsu2_lin_r1.pkl</t>
  </si>
  <si>
    <t>03-24_23-39-39_multihead_spsa_serial_f5_w5_h5_effsu2_lin_r1.pkl</t>
  </si>
  <si>
    <t>03-25_02-08-35_multihead_spsa_serial_f5_w5_h5_effsu2_lin_r1.pkl</t>
  </si>
  <si>
    <t>03-25_02-08-15_multihead_spsa_serial_f5_w5_h5_effsu2_lin_r1.pkl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</si>
  <si>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</si>
  <si>
    <t>[[2, 3, 4, 0, 1, -1], [1, 3, 0, 2, 4, -1], [0, 1, 2, 3, 4, -1]]</t>
  </si>
  <si>
    <t>03-25_02-53-12_multihead_spsa_serial_f5_w5_h5_effsu2_lin_r1.pkl</t>
  </si>
  <si>
    <t>03-25_02-57-32_multihead_spsa_serial_f5_w5_h5_effsu2_lin_r1.pkl</t>
  </si>
  <si>
    <t>03-25_05-19-43_multihead_spsa_serial_f5_w5_h5_effsu2_lin_r1.pkl</t>
  </si>
  <si>
    <t>03-25_05-20-14_multihead_spsa_serial_f5_w5_h5_effsu2_lin_r1.pkl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</si>
  <si>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</si>
  <si>
    <t>[[2, 3, 4, 0, 1, -1], [1, 3, 0, 2, 4, -1], [1, 2, 0, 3, 4, -1]]</t>
  </si>
  <si>
    <t>03-25_06-09-04_multihead_spsa_serial_f5_w5_h5_effsu2_lin_r1.pkl</t>
  </si>
  <si>
    <t>03-25_06-06-25_multihead_spsa_serial_f5_w5_h5_effsu2_lin_r1.pkl</t>
  </si>
  <si>
    <t>03-25_08-30-01_multihead_spsa_serial_f5_w5_h5_effsu2_lin_r1.pkl</t>
  </si>
  <si>
    <t>03-25_08-31-27_multihead_spsa_serial_f5_w5_h5_effsu2_lin_r1.pkl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</si>
  <si>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</si>
  <si>
    <t>[[4, 2, 3, 0, 1, -1], [1, 4, 0, 2, 3, -1], [0, 1, 4, 3, 2, -1]]</t>
  </si>
  <si>
    <t>03-25_09-20-55_multihead_spsa_serial_f5_w5_h5_effsu2_lin_r1.pkl</t>
  </si>
  <si>
    <t>03-25_09-21-04_multihead_spsa_serial_f5_w5_h5_effsu2_lin_r1.pkl</t>
  </si>
  <si>
    <t>03-25_10-01-55_multihead_spsa_serial_f5_w5_h5_effsu2_lin_r1.pkl</t>
  </si>
  <si>
    <t>03-25_10-00-26_multihead_spsa_serial_f5_w5_h5_effsu2_lin_r1.pkl</t>
  </si>
  <si>
    <t>03-25_12-32-52_multihead_spsa_serial_f5_w5_h5_effsu2_lin_r1.pkl</t>
  </si>
  <si>
    <t>03-25_12-37-27_multihead_spsa_serial_f5_w5_h5_effsu2_lin_r1.pkl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</si>
  <si>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</si>
  <si>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[[4, 2, 3, 0, 1, -1], [1, 3, 0, 2, 4, -1], [0, 1, 4, 3, 2, -1]]</t>
  </si>
  <si>
    <t>03-25_13-39-05_multihead_spsa_serial_f5_w5_h5_effsu2_lin_r1.pkl</t>
  </si>
  <si>
    <t>03-25_13-42-34_multihead_spsa_serial_f5_w5_h5_effsu2_lin_r1.pkl</t>
  </si>
  <si>
    <t>03-25_14-03-08_multihead_spsa_serial_f5_w5_h5_effsu2_lin_r1.pkl</t>
  </si>
  <si>
    <t>03-25_14-03-53_multihead_spsa_serial_f5_w5_h5_effsu2_lin_r1.pkl</t>
  </si>
  <si>
    <t>03-25_16-33-12_multihead_spsa_serial_f5_w5_h5_effsu2_lin_r1.pkl</t>
  </si>
  <si>
    <t>03-25_17-43-23_multihead_spsa_serial_f5_w5_h5_effsu2_lin_r1.pkl</t>
  </si>
  <si>
    <t>03-25_17-47-09_multihead_spsa_serial_f5_w5_h5_effsu2_lin_r1.pkl</t>
  </si>
  <si>
    <t>03-25_18-07-12_multihead_spsa_serial_f5_w5_h5_effsu2_lin_r1.pkl</t>
  </si>
  <si>
    <t>03-25_18-34-04_multihead_spsa_serial_f5_w5_h5_effsu2_lin_r1.pkl</t>
  </si>
  <si>
    <t>03-25_19-22-17_multihead_spsa_serial_f5_w5_h5_effsu2_lin_r1.pkl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</si>
  <si>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</si>
  <si>
    <t>[[4, 2, 3, 0, 1, -1], [0, 1, 4, 2, 3, -1], [1, 4, 0, 3, 2, -1]]</t>
  </si>
  <si>
    <t>03-25_20-49-11_multihead_spsa_serial_f5_w5_h5_effsu2_lin_r1.pkl</t>
  </si>
  <si>
    <t>03-25_21-46-04_multihead_spsa_serial_f5_w5_h5_effsu2_lin_r1.pkl</t>
  </si>
  <si>
    <t>03-25_21-49-15_multihead_spsa_serial_f5_w5_h5_effsu2_lin_r1.pkl</t>
  </si>
  <si>
    <t>03-25_22-04-22_multihead_spsa_serial_f5_w5_h5_effsu2_lin_r1.pkl</t>
  </si>
  <si>
    <t>03-25_22-08-00_multihead_spsa_serial_f5_w5_h5_effsu2_lin_r1.pkl</t>
  </si>
  <si>
    <t>03-25_22-47-17_multihead_spsa_serial_f5_w5_h5_effsu2_lin_r1.pkl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</si>
  <si>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</si>
  <si>
    <t>[[4, 2, 3, 0, 1, -1], [0, 1, 4, 2, 3, -1], [1, 2, 0, 3, 4, -1]]</t>
  </si>
  <si>
    <t>03-26_00-19-20_multihead_spsa_serial_f5_w5_h5_effsu2_lin_r1.pkl</t>
  </si>
  <si>
    <t>03-26_01-17-21_multihead_spsa_serial_f5_w5_h5_effsu2_lin_r1.pkl</t>
  </si>
  <si>
    <t>03-26_01-21-23_multihead_spsa_serial_f5_w5_h5_effsu2_lin_r1.pkl</t>
  </si>
  <si>
    <t>03-26_01-35-41_multihead_spsa_serial_f5_w5_h5_effsu2_lin_r1.pkl</t>
  </si>
  <si>
    <t>03-26_01-42-16_multihead_spsa_serial_f5_w5_h5_effsu2_lin_r1.pkl</t>
  </si>
  <si>
    <t>03-26_02-15-22_multihead_spsa_serial_f5_w5_h5_effsu2_lin_r1.pkl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</si>
  <si>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</si>
  <si>
    <t>[[4, 2, 3, 0, 1, -1], [1, 4, 0, 2, 3, -1], [1, 4, 0, 3, 2, -1]]</t>
  </si>
  <si>
    <t>03-26_03-49-34_multihead_spsa_serial_f5_w5_h5_effsu2_lin_r1.pkl</t>
  </si>
  <si>
    <t>03-26_04-46-44_multihead_spsa_serial_f5_w5_h5_effsu2_lin_r1.pkl</t>
  </si>
  <si>
    <t>03-26_04-52-04_multihead_spsa_serial_f5_w5_h5_effsu2_lin_r1.pkl</t>
  </si>
  <si>
    <t>03-26_05-05-43_multihead_spsa_serial_f5_w5_h5_effsu2_lin_r1.pkl</t>
  </si>
  <si>
    <t>03-26_05-13-45_multihead_spsa_serial_f5_w5_h5_effsu2_lin_r1.pkl</t>
  </si>
  <si>
    <t>03-26_05-44-13_multihead_spsa_serial_f5_w5_h5_effsu2_lin_r1.pkl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</si>
  <si>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</si>
  <si>
    <t>[[4, 2, 3, 0, 1, -1], [1, 4, 0, 2, 3, -1], [0, 1, 2, 3, 4, -1]]</t>
  </si>
  <si>
    <t>03-26_07-20-59_multihead_spsa_serial_f5_w5_h5_effsu2_lin_r1.pkl</t>
  </si>
  <si>
    <t>03-26_08-17-15_multihead_spsa_serial_f5_w5_h5_effsu2_lin_r1.pkl</t>
  </si>
  <si>
    <t>03-26_08-23-10_multihead_spsa_serial_f5_w5_h5_effsu2_lin_r1.pkl</t>
  </si>
  <si>
    <t>03-26_08-35-17_multihead_spsa_serial_f5_w5_h5_effsu2_lin_r1.pkl</t>
  </si>
  <si>
    <t>03-26_08-45-41_multihead_spsa_serial_f5_w5_h5_effsu2_lin_r1.pkl</t>
  </si>
  <si>
    <t>03-26_09-31-46_multihead_spsa_serial_f5_w5_h5_effsu2_lin_r1.pkl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</si>
  <si>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</si>
  <si>
    <t>[[4, 2, 3, 0, 1, -1], [1, 4, 0, 2, 3, -1], [1, 2, 0, 3, 4, -1]]</t>
  </si>
  <si>
    <t>03-26_11-30-17_multihead_spsa_serial_f5_w5_h5_effsu2_lin_r1.pkl</t>
  </si>
  <si>
    <t>03-26_12-28-22_multihead_spsa_serial_f5_w5_h5_effsu2_lin_r1.pkl</t>
  </si>
  <si>
    <t>03-26_12-37-51_multihead_spsa_serial_f5_w5_h5_effsu2_lin_r1.pkl</t>
  </si>
  <si>
    <t>03-26_12-48-54_multihead_spsa_serial_f5_w5_h5_effsu2_lin_r1.pkl</t>
  </si>
  <si>
    <t>03-26_13-02-27_multihead_spsa_serial_f5_w5_h5_effsu2_lin_r1.pkl</t>
  </si>
  <si>
    <t>03-26_13-28-31_multihead_spsa_serial_f5_w5_h5_effsu2_lin_r1.pkl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</si>
  <si>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</si>
  <si>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[[4, 2, 3, 0, 1, -1], [0, 1, 3, 2, 4, -1], [1, 4, 0, 3, 2, -1]]</t>
  </si>
  <si>
    <t>03-26_15-19-46_multihead_spsa_serial_f5_w5_h5_effsu2_lin_r1.pkl</t>
  </si>
  <si>
    <t>03-26_16-26-05_multihead_spsa_serial_f5_w5_h5_effsu2_lin_r1.pkl</t>
  </si>
  <si>
    <t>03-26_16-42-33_multihead_spsa_serial_f5_w5_h5_effsu2_lin_r1.pkl</t>
  </si>
  <si>
    <t>03-26_16-52-47_multihead_spsa_serial_f5_w5_h5_effsu2_lin_r1.pkl</t>
  </si>
  <si>
    <t>03-26_17-13-15_multihead_spsa_serial_f5_w5_h5_effsu2_lin_r1.pkl</t>
  </si>
  <si>
    <t>03-26_17-36-41_multihead_spsa_serial_f5_w5_h5_effsu2_lin_r1.pkl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</si>
  <si>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</si>
  <si>
    <t>[[4, 2, 3, 0, 1, -1], [0, 1, 3, 2, 4, -1], [1, 2, 0, 3, 4, -1]]</t>
  </si>
  <si>
    <t>03-26_19-14-00_multihead_spsa_serial_f5_w5_h5_effsu2_lin_r1.pkl</t>
  </si>
  <si>
    <t>03-26_20-05-41_multihead_spsa_serial_f5_w5_h5_effsu2_lin_r1.pkl</t>
  </si>
  <si>
    <t>03-26_20-20-09_multihead_spsa_serial_f5_w5_h5_effsu2_lin_r1.pkl</t>
  </si>
  <si>
    <t>03-26_20-25-22_multihead_spsa_serial_f5_w5_h5_effsu2_lin_r1.pkl</t>
  </si>
  <si>
    <t>03-26_20-44-09_multihead_spsa_serial_f5_w5_h5_effsu2_lin_r1.pkl</t>
  </si>
  <si>
    <t>03-26_21-06-58_multihead_spsa_serial_f5_w5_h5_effsu2_lin_r1.pkl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</si>
  <si>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</si>
  <si>
    <t>[[4, 2, 3, 0, 1, -1], [1, 3, 0, 2, 4, -1], [1, 4, 0, 3, 2, -1]]</t>
  </si>
  <si>
    <t>03-26_22-46-40_multihead_spsa_serial_f5_w5_h5_effsu2_lin_r1.pkl</t>
  </si>
  <si>
    <t>03-26_23-36-21_multihead_spsa_serial_f5_w5_h5_effsu2_lin_r1.pkl</t>
  </si>
  <si>
    <t>03-26_23-52-03_multihead_spsa_serial_f5_w5_h5_effsu2_lin_r1.pkl</t>
  </si>
  <si>
    <t>03-26_23-56-42_multihead_spsa_serial_f5_w5_h5_effsu2_lin_r1.pkl</t>
  </si>
  <si>
    <t>03-27_00-16-50_multihead_spsa_serial_f5_w5_h5_effsu2_lin_r1.pkl</t>
  </si>
  <si>
    <t>03-27_00-39-03_multihead_spsa_serial_f5_w5_h5_effsu2_lin_r1.pkl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</si>
  <si>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</si>
  <si>
    <t>[[4, 2, 3, 0, 1, -1], [1, 3, 0, 2, 4, -1], [0, 1, 2, 3, 4, -1]]</t>
  </si>
  <si>
    <t>03-27_02-17-05_multihead_spsa_serial_f5_w5_h5_effsu2_lin_r1.pkl</t>
  </si>
  <si>
    <t>03-27_03-04-37_multihead_spsa_serial_f5_w5_h5_effsu2_lin_r1.pkl</t>
  </si>
  <si>
    <t>03-27_03-25-10_multihead_spsa_serial_f5_w5_h5_effsu2_lin_r1.pkl</t>
  </si>
  <si>
    <t>03-27_03-24-40_multihead_spsa_serial_f5_w5_h5_effsu2_lin_r1.pkl</t>
  </si>
  <si>
    <t>03-27_03-50-18_multihead_spsa_serial_f5_w5_h5_effsu2_lin_r1.pkl</t>
  </si>
  <si>
    <t>03-27_04-09-56_multihead_spsa_serial_f5_w5_h5_effsu2_lin_r1.pkl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</si>
  <si>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</si>
  <si>
    <t>[[4, 2, 3, 0, 1, -1], [1, 3, 0, 2, 4, -1], [1, 2, 0, 3, 4, -1]]</t>
  </si>
  <si>
    <t>03-27_05-48-16_multihead_spsa_serial_f5_w5_h5_effsu2_lin_r1.pkl</t>
  </si>
  <si>
    <t>03-27_06-32-22_multihead_spsa_serial_f5_w5_h5_effsu2_lin_r1.pkl</t>
  </si>
  <si>
    <t>03-27_06-53-21_multihead_spsa_serial_f5_w5_h5_effsu2_lin_r1.pkl</t>
  </si>
  <si>
    <t>03-27_06-54-09_multihead_spsa_serial_f5_w5_h5_effsu2_lin_r1.pkl</t>
  </si>
  <si>
    <t>03-27_07-21-27_multihead_spsa_serial_f5_w5_h5_effsu2_lin_r1.pkl</t>
  </si>
  <si>
    <t>03-27_09-11-16_multihead_spsa_serial_f5_w5_h5_effsu2_lin_r1.pkl</t>
  </si>
  <si>
    <t>03-27_09-48-45_multihead_spsa_serial_f5_w5_h5_effsu2_lin_r1.pkl</t>
  </si>
  <si>
    <t>03-27_09-57-48_multihead_spsa_serial_f5_w5_h5_effsu2_lin_r1.pkl</t>
  </si>
  <si>
    <t>03-27_10-13-06_multihead_spsa_serial_f5_w5_h5_effsu2_lin_r1.pkl</t>
  </si>
  <si>
    <t>03-27_10-18-05_multihead_spsa_serial_f5_w5_h5_effsu2_lin_r1.pkl</t>
  </si>
  <si>
    <t>03-27_10-52-39_multihead_spsa_serial_f5_w5_h5_effsu2_lin_r1.pkl</t>
  </si>
  <si>
    <t>03-27_13-03-00_multihead_spsa_serial_f5_w5_h5_effsu2_lin_r1.pkl</t>
  </si>
  <si>
    <t>03-27_13-40-14_multihead_spsa_serial_f5_w5_h5_effsu2_lin_r1.pkl</t>
  </si>
  <si>
    <t>03-27_13-48-10_multihead_spsa_serial_f5_w5_h5_effsu2_lin_r1.pkl</t>
  </si>
  <si>
    <t>03-27_14-00-26_multihead_spsa_serial_f5_w5_h5_effsu2_lin_r1.pkl</t>
  </si>
  <si>
    <t>03-27_14-09-27_multihead_spsa_serial_f5_w5_h5_effsu2_lin_r1.pkl</t>
  </si>
  <si>
    <t>03-27_14-36-23_multihead_spsa_serial_f5_w5_h5_effsu2_lin_r1.pkl</t>
  </si>
  <si>
    <t>03-27_17-24-30_multihead_spsa_serial_f5_w5_h5_effsu2_lin_r1.pkl</t>
  </si>
  <si>
    <t>03-27_17-31-55_multihead_spsa_serial_f5_w5_h5_effsu2_lin_r1.pkl</t>
  </si>
  <si>
    <t>03-27_17-44-10_multihead_spsa_serial_f5_w5_h5_effsu2_lin_r1.pkl</t>
  </si>
  <si>
    <t>03-27_17-54-15_multihead_spsa_serial_f5_w5_h5_effsu2_lin_r1.pkl</t>
  </si>
  <si>
    <t>03-27_18-19-14_multihead_spsa_serial_f5_w5_h5_effsu2_lin_r1.pkl</t>
  </si>
  <si>
    <t>03-27_19-46-50_multihead_spsa_serial_f5_w5_h5_effsu2_lin_r1.pkl</t>
  </si>
  <si>
    <t>03-27_21-07-38_multihead_spsa_serial_f5_w5_h5_effsu2_lin_r1.pkl</t>
  </si>
  <si>
    <t>03-27_21-18-01_multihead_spsa_serial_f5_w5_h5_effsu2_lin_r1.pkl</t>
  </si>
  <si>
    <t>03-27_21-28-24_multihead_spsa_serial_f5_w5_h5_effsu2_lin_r1.pkl</t>
  </si>
  <si>
    <t>03-27_21-39-52_multihead_spsa_serial_f5_w5_h5_effsu2_lin_r1.pkl</t>
  </si>
  <si>
    <t>03-27_22-02-43_multihead_spsa_serial_f5_w5_h5_effsu2_lin_r1.pkl</t>
  </si>
  <si>
    <t>03-27_23-17-00_multihead_spsa_serial_f5_w5_h5_effsu2_lin_r1.pkl</t>
  </si>
  <si>
    <t>03-28_00-06-03_multihead_spsa_serial_f5_w5_h5_effsu2_lin_r1.pkl</t>
  </si>
  <si>
    <t>03-28_00-14-30_multihead_spsa_serial_f5_w5_h5_effsu2_lin_r1.pkl</t>
  </si>
  <si>
    <t>03-28_00-15-24_multihead_spsa_serial_f5_w5_h5_effsu2_lin_r1.pkl</t>
  </si>
  <si>
    <t>03-28_00-18-49_multihead_spsa_serial_f5_w5_h5_effsu2_lin_r1.pkl</t>
  </si>
  <si>
    <t>03-28_00-30-40_multihead_spsa_serial_f5_w5_h5_effsu2_lin_r1.pkl</t>
  </si>
  <si>
    <t>03-28_00-45-10_multihead_spsa_serial_f5_w5_h5_effsu2_lin_r1.pkl</t>
  </si>
  <si>
    <t>03-28_01-11-31_multihead_spsa_serial_f5_w5_h5_effsu2_lin_r1.pkl</t>
  </si>
  <si>
    <t>03-28_02-41-37_multihead_spsa_serial_f5_w5_h5_effsu2_lin_r1.pkl</t>
  </si>
  <si>
    <t>03-28_03-35-40_multihead_spsa_serial_f5_w5_h5_effsu2_lin_r1.pkl</t>
  </si>
  <si>
    <t>03-28_03-42-37_multihead_spsa_serial_f5_w5_h5_effsu2_lin_r1.pkl</t>
  </si>
  <si>
    <t>03-28_03-44-36_multihead_spsa_serial_f5_w5_h5_effsu2_lin_r1.pkl</t>
  </si>
  <si>
    <t>03-28_03-50-43_multihead_spsa_serial_f5_w5_h5_effsu2_lin_r1.pkl</t>
  </si>
  <si>
    <t>03-28_03-58-05_multihead_spsa_serial_f5_w5_h5_effsu2_lin_r1.pkl</t>
  </si>
  <si>
    <t>03-28_04-17-06_multihead_spsa_serial_f5_w5_h5_effsu2_lin_r1.pkl</t>
  </si>
  <si>
    <t>03-28_04-44-10_multihead_spsa_serial_f5_w5_h5_effsu2_lin_r1.pkl</t>
  </si>
  <si>
    <t>03-28_06-12-54_multihead_spsa_serial_f5_w5_h5_effsu2_lin_r1.pkl</t>
  </si>
  <si>
    <t>03-28_07-04-24_multihead_spsa_serial_f5_w5_h5_effsu2_lin_r1.pkl</t>
  </si>
  <si>
    <t>03-28_07-12-53_multihead_spsa_serial_f5_w5_h5_effsu2_lin_r1.pkl</t>
  </si>
  <si>
    <t>03-28_07-18-10_multihead_spsa_serial_f5_w5_h5_effsu2_lin_r1.pkl</t>
  </si>
  <si>
    <t>03-28_07-20-07_multihead_spsa_serial_f5_w5_h5_effsu2_lin_r1.pkl</t>
  </si>
  <si>
    <t>03-28_07-25-35_multihead_spsa_serial_f5_w5_h5_effsu2_lin_r1.pkl</t>
  </si>
  <si>
    <t>03-28_07-49-06_multihead_spsa_serial_f5_w5_h5_effsu2_lin_r1.pkl</t>
  </si>
  <si>
    <t>03-28_08-15-58_multihead_spsa_serial_f5_w5_h5_effsu2_lin_r1.pkl</t>
  </si>
  <si>
    <t>03-28_09-47-48_multihead_spsa_serial_f5_w5_h5_effsu2_lin_r1.pkl</t>
  </si>
  <si>
    <t>03-28_10-43-34_multihead_spsa_serial_f5_w5_h5_effsu2_lin_r1.pkl</t>
  </si>
  <si>
    <t>03-28_10-49-50_multihead_spsa_serial_f5_w5_h5_effsu2_lin_r1.pkl</t>
  </si>
  <si>
    <t>03-28_10-49-49_multihead_spsa_serial_f5_w5_h5_effsu2_lin_r1.pkl</t>
  </si>
  <si>
    <t>03-28_10-52-55_multihead_spsa_serial_f5_w5_h5_effsu2_lin_r1.pkl</t>
  </si>
  <si>
    <t>03-28_11-39-25_multihead_spsa_serial_f5_w5_h5_effsu2_lin_r1.pkl</t>
  </si>
  <si>
    <t>03-28_11-50-48_multihead_spsa_serial_f5_w5_h5_effsu2_lin_r1.pkl</t>
  </si>
  <si>
    <t>03-28_13-04-18_multihead_spsa_serial_f5_w5_h5_effsu2_lin_r1.pkl</t>
  </si>
  <si>
    <t>03-28_13-54-50_multihead_spsa_serial_f5_w5_h5_effsu2_lin_r1.pkl</t>
  </si>
  <si>
    <t>03-28_14-01-58_multihead_spsa_serial_f5_w5_h5_effsu2_lin_r1.pkl</t>
  </si>
  <si>
    <t>03-28_14-04-01_multihead_spsa_serial_f5_w5_h5_effsu2_lin_r1.pkl</t>
  </si>
  <si>
    <t>03-28_14-03-44_multihead_spsa_serial_f5_w5_h5_effsu2_lin_r1.pkl</t>
  </si>
  <si>
    <t>03-28_14-55-42_multihead_spsa_serial_f5_w5_h5_effsu2_lin_r1.pkl</t>
  </si>
  <si>
    <t>03-28_15-03-06_multihead_spsa_serial_f5_w5_h5_effsu2_lin_r1.pkl</t>
  </si>
  <si>
    <t>03-28_16-21-15_multihead_spsa_serial_f5_w5_h5_effsu2_lin_r1.pkl</t>
  </si>
  <si>
    <t>03-28_17-07-58_multihead_spsa_serial_f5_w5_h5_effsu2_lin_r1.pkl</t>
  </si>
  <si>
    <t>03-28_17-18-51_multihead_spsa_serial_f5_w5_h5_effsu2_lin_r1.pkl</t>
  </si>
  <si>
    <t>03-28_17-16-53_multihead_spsa_serial_f5_w5_h5_effsu2_lin_r1.pkl</t>
  </si>
  <si>
    <t>03-28_17-21-11_multihead_spsa_serial_f5_w5_h5_effsu2_lin_r1.pkl</t>
  </si>
  <si>
    <t>03-28_18-09-16_multihead_spsa_serial_f5_w5_h5_effsu2_lin_r1.pkl</t>
  </si>
  <si>
    <t>03-28_18-15-31_multihead_spsa_serial_f5_w5_h5_effsu2_lin_r1.pkl</t>
  </si>
  <si>
    <t>03-28_19-34-41_multihead_spsa_serial_f5_w5_h5_effsu2_lin_r1.pkl</t>
  </si>
  <si>
    <t>03-28_20-19-19_multihead_spsa_serial_f5_w5_h5_effsu2_lin_r1.pkl</t>
  </si>
  <si>
    <t>03-28_20-29-23_multihead_spsa_serial_f5_w5_h5_effsu2_lin_r1.pkl</t>
  </si>
  <si>
    <t>03-28_20-29-44_multihead_spsa_serial_f5_w5_h5_effsu2_lin_r1.pkl</t>
  </si>
  <si>
    <t>03-28_20-35-32_multihead_spsa_serial_f5_w5_h5_effsu2_lin_r1.pkl</t>
  </si>
  <si>
    <t>03-28_21-22-16_multihead_spsa_serial_f5_w5_h5_effsu2_lin_r1.pkl</t>
  </si>
  <si>
    <t>03-28_21-28-22_multihead_spsa_serial_f5_w5_h5_effsu2_lin_r1.pkl</t>
  </si>
  <si>
    <t>03-28_21-42-29_multihead_spsa_serial_f5_w5_h5_effsu2_lin_r1.pkl</t>
  </si>
  <si>
    <t>03-28_22-56-05_multihead_spsa_serial_f5_w5_h5_effsu2_lin_r1.pkl</t>
  </si>
  <si>
    <t>03-28_23-40-23_multihead_spsa_serial_f5_w5_h5_effsu2_lin_r1.pkl</t>
  </si>
  <si>
    <t>03-28_23-52-02_multihead_spsa_serial_f5_w5_h5_effsu2_lin_r1.pkl</t>
  </si>
  <si>
    <t>03-28_23-53-28_multihead_spsa_serial_f5_w5_h5_effsu2_lin_r1.pkl</t>
  </si>
  <si>
    <t>03-29_00-01-22_multihead_spsa_serial_f5_w5_h5_effsu2_lin_r1.pkl</t>
  </si>
  <si>
    <t>03-29_00-52-38_multihead_spsa_serial_f5_w5_h5_effsu2_lin_r1.pkl</t>
  </si>
  <si>
    <t>03-29_00-58-00_multihead_spsa_serial_f5_w5_h5_effsu2_lin_r1.pkl</t>
  </si>
  <si>
    <t>03-29_01-11-31_multihead_spsa_serial_f5_w5_h5_effsu2_lin_r1.pkl</t>
  </si>
  <si>
    <t>03-29_03-29-10_multihead_spsa_serial_f5_w5_h5_effsu2_lin_r1.pkl</t>
  </si>
  <si>
    <t>03-29_04-09-43_multihead_spsa_serial_f5_w5_h5_effsu2_lin_r1.pkl</t>
  </si>
  <si>
    <t>03-29_04-21-59_multihead_spsa_serial_f5_w5_h5_effsu2_lin_r1.pkl</t>
  </si>
  <si>
    <t>03-29_04-24-19_multihead_spsa_serial_f5_w5_h5_effsu2_lin_r1.pkl</t>
  </si>
  <si>
    <t>03-29_04-35-43_multihead_spsa_serial_f5_w5_h5_effsu2_lin_r1.pkl</t>
  </si>
  <si>
    <t>03-29_05-24-33_multihead_spsa_serial_f5_w5_h5_effsu2_lin_r1.pkl</t>
  </si>
  <si>
    <t>03-29_05-28-58_multihead_spsa_serial_f5_w5_h5_effsu2_lin_r1.pkl</t>
  </si>
  <si>
    <t>03-29_05-41-58_multihead_spsa_serial_f5_w5_h5_effsu2_lin_r1.pkl</t>
  </si>
  <si>
    <t>03-29_07-01-28_multihead_spsa_serial_f5_w5_h5_effsu2_lin_r1.pkl</t>
  </si>
  <si>
    <t>03-29_07-38-56_multihead_spsa_serial_f5_w5_h5_effsu2_lin_r1.pkl</t>
  </si>
  <si>
    <t>03-29_07-53-58_multihead_spsa_serial_f5_w5_h5_effsu2_lin_r1.pkl</t>
  </si>
  <si>
    <t>03-29_07-54-39_multihead_spsa_serial_f5_w5_h5_effsu2_lin_r1.pkl</t>
  </si>
  <si>
    <t>03-29_08-08-13_multihead_spsa_serial_f5_w5_h5_effsu2_lin_r1.pkl</t>
  </si>
  <si>
    <t>03-29_08-56-59_multihead_spsa_serial_f5_w5_h5_effsu2_lin_r1.pkl</t>
  </si>
  <si>
    <t>03-29_09-01-15_multihead_spsa_serial_f5_w5_h5_effsu2_lin_r1.pkl</t>
  </si>
  <si>
    <t>03-29_09-13-54_multihead_spsa_serial_f5_w5_h5_effsu2_lin_r1.pkl</t>
  </si>
  <si>
    <t>03-29_10-30-50_multihead_spsa_serial_f5_w5_h5_effsu2_lin_r1.pkl</t>
  </si>
  <si>
    <t>03-29_11-06-40_multihead_spsa_serial_f5_w5_h5_effsu2_lin_r1.pkl</t>
  </si>
  <si>
    <t>03-29_11-22-26_multihead_spsa_serial_f5_w5_h5_effsu2_lin_r1.pkl</t>
  </si>
  <si>
    <t>03-29_11-24-03_multihead_spsa_serial_f5_w5_h5_effsu2_lin_r1.pkl</t>
  </si>
  <si>
    <t>03-29_11-39-38_multihead_spsa_serial_f5_w5_h5_effsu2_lin_r1.pkl</t>
  </si>
  <si>
    <t>03-29_12-27-06_multihead_spsa_serial_f5_w5_h5_effsu2_lin_r1.pkl</t>
  </si>
  <si>
    <t>03-29_12-29-53_multihead_spsa_serial_f5_w5_h5_effsu2_lin_r1.pkl</t>
  </si>
  <si>
    <t>03-29_12-44-04_multihead_spsa_serial_f5_w5_h5_effsu2_lin_r1.pkl</t>
  </si>
  <si>
    <t>03-29_14-01-17_multihead_spsa_serial_f5_w5_h5_effsu2_lin_r1.pkl</t>
  </si>
  <si>
    <t>03-29_14-34-37_multihead_spsa_serial_f5_w5_h5_effsu2_lin_r1.pkl</t>
  </si>
  <si>
    <t>03-29_14-53-17_multihead_spsa_serial_f5_w5_h5_effsu2_lin_r1.pkl</t>
  </si>
  <si>
    <t>03-29_15-09-16_multihead_spsa_serial_f5_w5_h5_effsu2_lin_r1.pkl</t>
  </si>
  <si>
    <t>03-29_15-54-27_multihead_spsa_serial_f5_w5_h5_effsu2_lin_r1.pkl</t>
  </si>
  <si>
    <t>03-29_16-06-02_multihead_spsa_serial_f5_w5_h5_effsu2_lin_r1.pkl</t>
  </si>
  <si>
    <t>03-29_17-10-42_multihead_spsa_serial_f5_w5_h5_effsu2_lin_r1.pkl</t>
  </si>
  <si>
    <t>03-29_17-40-22_multihead_spsa_serial_f5_w5_h5_effsu2_lin_r1.pkl</t>
  </si>
  <si>
    <t>03-29_17-56-13_multihead_spsa_serial_f5_w5_h5_effsu2_lin_r1.pkl</t>
  </si>
  <si>
    <t>03-29_18-12-42_multihead_spsa_serial_f5_w5_h5_effsu2_lin_r1.pkl</t>
  </si>
  <si>
    <t>03-29_18-53-31_multihead_spsa_serial_f5_w5_h5_effsu2_lin_r1.pkl</t>
  </si>
  <si>
    <t>03-29_19-05-30_multihead_spsa_serial_f5_w5_h5_effsu2_lin_r1.pkl</t>
  </si>
  <si>
    <t>03-29_20-10-05_multihead_spsa_serial_f5_w5_h5_effsu2_lin_r1.pkl</t>
  </si>
  <si>
    <t>03-29_20-32-44_multihead_spsa_serial_f5_w5_h5_effsu2_lin_r1.pkl</t>
  </si>
  <si>
    <t>03-29_20-39-24_multihead_spsa_serial_f5_w5_h5_effsu2_lin_r1.pkl</t>
  </si>
  <si>
    <t>03-29_20-58-53_multihead_spsa_serial_f5_w5_h5_effsu2_lin_r1.pkl</t>
  </si>
  <si>
    <t>03-29_21-18-16_multihead_spsa_serial_f5_w5_h5_effsu2_lin_r1.pkl</t>
  </si>
  <si>
    <t>03-29_22-00-27_multihead_spsa_serial_f5_w5_h5_effsu2_lin_r1.pkl</t>
  </si>
  <si>
    <t>03-29_22-12-54_multihead_spsa_serial_f5_w5_h5_effsu2_lin_r1.pkl</t>
  </si>
  <si>
    <t>03-29_23-22-16_multihead_spsa_serial_f5_w5_h5_effsu2_lin_r1.pkl</t>
  </si>
  <si>
    <t>03-29_23-42-46_multihead_spsa_serial_f5_w5_h5_effsu2_lin_r1.pkl</t>
  </si>
  <si>
    <t>03-29_23-51-32_multihead_spsa_serial_f5_w5_h5_effsu2_lin_r1.pkl</t>
  </si>
  <si>
    <t>03-30_00-10-15_multihead_spsa_serial_f5_w5_h5_effsu2_lin_r1.pkl</t>
  </si>
  <si>
    <t>03-30_00-33-49_multihead_spsa_serial_f5_w5_h5_effsu2_lin_r1.pkl</t>
  </si>
  <si>
    <t>03-30_01-15-36_multihead_spsa_serial_f5_w5_h5_effsu2_lin_r1.pkl</t>
  </si>
  <si>
    <t>03-30_01-29-31_multihead_spsa_serial_f5_w5_h5_effsu2_lin_r1.pkl</t>
  </si>
  <si>
    <t>03-30_02-37-25_multihead_spsa_serial_f5_w5_h5_effsu2_lin_r1.pkl</t>
  </si>
  <si>
    <t>03-30_02-56-57_multihead_spsa_serial_f5_w5_h5_effsu2_lin_r1.pkl</t>
  </si>
  <si>
    <t>03-30_03-03-46_multihead_spsa_serial_f5_w5_h5_effsu2_lin_r1.pkl</t>
  </si>
  <si>
    <t>03-30_03-23-42_multihead_spsa_serial_f5_w5_h5_effsu2_lin_r1.pkl</t>
  </si>
  <si>
    <t>03-30_03-49-23_multihead_spsa_serial_f5_w5_h5_effsu2_lin_r1.pkl</t>
  </si>
  <si>
    <t>03-30_04-28-00_multihead_spsa_serial_f5_w5_h5_effsu2_lin_r1.pkl</t>
  </si>
  <si>
    <t>03-30_04-42-56_multihead_spsa_serial_f5_w5_h5_effsu2_lin_r1.pkl</t>
  </si>
  <si>
    <t>03-30_05-50-14_multihead_spsa_serial_f5_w5_h5_effsu2_lin_r1.pkl</t>
  </si>
  <si>
    <t>03-30_06-10-12_multihead_spsa_serial_f5_w5_h5_effsu2_lin_r1.pkl</t>
  </si>
  <si>
    <t>03-30_06-15-22_multihead_spsa_serial_f5_w5_h5_effsu2_lin_r1.pkl</t>
  </si>
  <si>
    <t>Surge and Sway map</t>
  </si>
  <si>
    <t>Yaw rate map</t>
  </si>
  <si>
    <t>Yaw  angle map</t>
  </si>
  <si>
    <t>2, 3, 4, 0, 1, -1</t>
  </si>
  <si>
    <t>4, 2, 3, 0, 1, -1</t>
  </si>
  <si>
    <t>0, 1, 3, 2, 4, -1</t>
  </si>
  <si>
    <t>0, 1, 4, 2, 3, -1</t>
  </si>
  <si>
    <t>1, 3, 0, 2, 4, -1</t>
  </si>
  <si>
    <t>1, 4, 0, 2, 3, -1</t>
  </si>
  <si>
    <t>3, 0, 1, 2, 4, -1</t>
  </si>
  <si>
    <t>4, 0, 1, 2, 3, -1</t>
  </si>
  <si>
    <t>0, 1, 2, 3, 4, -1</t>
  </si>
  <si>
    <t>0, 1, 4, 3, 2, -1</t>
  </si>
  <si>
    <t>1, 2, 0, 3, 4, -1</t>
  </si>
  <si>
    <t>1, 4, 0, 3, 2, -1</t>
  </si>
  <si>
    <t>2, 0, 1, 3, 4, -1</t>
  </si>
  <si>
    <t>4, 0, 1, 3, 2, -1</t>
  </si>
  <si>
    <t>03-30_06-36-25_multihead_spsa_serial_f5_w5_h5_effsu2_lin_r1.pkl</t>
  </si>
  <si>
    <t>03-30_07-04-17_multihead_spsa_serial_f5_w5_h5_effsu2_lin_r1.pkl</t>
  </si>
  <si>
    <t>03-30_07-58-59_multihead_spsa_serial_f5_w5_h5_effsu2_lin_r1.pkl</t>
  </si>
  <si>
    <t>03-30_08-57-44_multihead_spsa_serial_f5_w5_h5_effsu2_lin_r1.pkl</t>
  </si>
  <si>
    <t>03-30_09-33-02_multihead_spsa_serial_f5_w5_h5_effsu2_lin_r1.pkl</t>
  </si>
  <si>
    <t>03-30_09-38-09_multihead_spsa_serial_f5_w5_h5_effsu2_lin_r1.pkl</t>
  </si>
  <si>
    <t>03-30_09-38-38_multihead_spsa_serial_f5_w5_h5_effsu2_lin_r1.pkl</t>
  </si>
  <si>
    <t>03-30_09-43-56_multihead_spsa_serial_f5_w5_h5_effsu2_lin_r1.pkl</t>
  </si>
  <si>
    <t>03-30_10-12-39_multihead_spsa_serial_f5_w5_h5_effsu2_lin_r1.pkl</t>
  </si>
  <si>
    <t>03-30_10-48-20_multihead_spsa_serial_f5_w5_h5_effsu2_lin_r1.pkl</t>
  </si>
  <si>
    <t>03-30_11-52-19_multihead_spsa_serial_f5_w5_h5_effsu2_lin_r1.pkl</t>
  </si>
  <si>
    <t>03-30_12-56-59_multihead_spsa_serial_f5_w5_h5_effsu2_lin_r1.pkl</t>
  </si>
  <si>
    <t>03-30_13-09-41_multihead_spsa_serial_f5_w5_h5_effsu2_lin_r1.pkl</t>
  </si>
  <si>
    <t>03-30_13-17-37_multihead_spsa_serial_f5_w5_h5_effsu2_lin_r1.pkl</t>
  </si>
  <si>
    <t>03-30_13-20-54_multihead_spsa_serial_f5_w5_h5_effsu2_lin_r1.pkl</t>
  </si>
  <si>
    <t>03-30_13-23-41_multihead_spsa_serial_f5_w5_h5_effsu2_lin_r1.pkl</t>
  </si>
  <si>
    <t>03-30_13-54-41_multihead_spsa_serial_f5_w5_h5_effsu2_lin_r1.pkl</t>
  </si>
  <si>
    <t>03-30_14-32-21_multihead_spsa_serial_f5_w5_h5_effsu2_lin_r1.pkl</t>
  </si>
  <si>
    <t>03-30_15-38-55_multihead_spsa_serial_f5_w5_h5_effsu2_lin_r1.pkl</t>
  </si>
  <si>
    <t>03-30_16-59-25_multihead_spsa_serial_f5_w5_h5_effsu2_lin_r1.pkl</t>
  </si>
  <si>
    <t>03-30_17-12-25_multihead_spsa_serial_f5_w5_h5_effsu2_lin_r1.pkl</t>
  </si>
  <si>
    <t>03-30_17-30-31_multihead_spsa_serial_f5_w5_h5_effsu2_lin_r1.pkl</t>
  </si>
  <si>
    <t>03-30_17-28-32_multihead_spsa_serial_f5_w5_h5_effsu2_lin_r1.pkl</t>
  </si>
  <si>
    <t>03-30_17-23-25_multihead_spsa_serial_f5_w5_h5_effsu2_lin_r1.pkl</t>
  </si>
  <si>
    <t>03-30_17-29-34_multihead_spsa_serial_f5_w5_h5_effsu2_lin_r1.pkl</t>
  </si>
  <si>
    <t>03-30_18-05-41_multihead_spsa_serial_f5_w5_h5_effsu2_lin_r1.pkl</t>
  </si>
  <si>
    <t>03-30_18-47-52_multihead_spsa_serial_f5_w5_h5_effsu2_lin_r1.pkl</t>
  </si>
  <si>
    <t>03-30_20-52-21_multihead_spsa_serial_f5_w5_h5_effsu2_lin_r1.pkl</t>
  </si>
  <si>
    <t>03-30_21-01-17_multihead_spsa_serial_f5_w5_h5_effsu2_lin_r1.pkl</t>
  </si>
  <si>
    <t>03-30_21-15-46_multihead_spsa_serial_f5_w5_h5_effsu2_lin_r1.pkl</t>
  </si>
  <si>
    <t>03-30_21-15-57_multihead_spsa_serial_f5_w5_h5_effsu2_lin_r1.pkl</t>
  </si>
  <si>
    <t>03-30_21-18-01_multihead_spsa_serial_f5_w5_h5_effsu2_lin_r1.pkl</t>
  </si>
  <si>
    <t>03-30_21-21-10_multihead_spsa_serial_f5_w5_h5_effsu2_lin_r1.pkl</t>
  </si>
  <si>
    <t>03-30_21-48-29_multihead_spsa_serial_f5_w5_h5_effsu2_lin_r1.pkl</t>
  </si>
  <si>
    <t>03-30_22-34-00_multihead_spsa_serial_f5_w5_h5_effsu2_lin_r1.pkl</t>
  </si>
  <si>
    <t>03-31_00-25-11_multihead_spsa_serial_f5_w5_h5_effsu2_lin_r1.pkl</t>
  </si>
  <si>
    <t>03-31_00-36-25_multihead_spsa_serial_f5_w5_h5_effsu2_lin_r1.pkl</t>
  </si>
  <si>
    <t>03-31_00-46-46_multihead_spsa_serial_f5_w5_h5_effsu2_lin_r1.pkl</t>
  </si>
  <si>
    <t>03-31_00-48-31_multihead_spsa_serial_f5_w5_h5_effsu2_lin_r1.pkl</t>
  </si>
  <si>
    <t>03-31_00-54-35_multihead_spsa_serial_f5_w5_h5_effsu2_lin_r1.pkl</t>
  </si>
  <si>
    <t>03-31_00-55-37_multihead_spsa_serial_f5_w5_h5_effsu2_lin_r1.pkl</t>
  </si>
  <si>
    <t>03-31_01-21-05_multihead_spsa_serial_f5_w5_h5_effsu2_lin_r1.pkl</t>
  </si>
  <si>
    <t>03-31_02-12-27_multihead_spsa_serial_f5_w5_h5_effsu2_lin_r1.pkl</t>
  </si>
  <si>
    <t>03-31_03-59-59_multihead_spsa_serial_f5_w5_h5_effsu2_lin_r1.pkl</t>
  </si>
  <si>
    <t>03-31_04-12-56_multihead_spsa_serial_f5_w5_h5_effsu2_lin_r1.pkl</t>
  </si>
  <si>
    <t>03-31_04-19-22_multihead_spsa_serial_f5_w5_h5_effsu2_lin_r1.pkl</t>
  </si>
  <si>
    <t>03-31_04-24-23_multihead_spsa_serial_f5_w5_h5_effsu2_lin_r1.pkl</t>
  </si>
  <si>
    <t>03-31_04-32-26_multihead_spsa_serial_f5_w5_h5_effsu2_lin_r1.pkl</t>
  </si>
  <si>
    <t>03-31_04-33-31_multihead_spsa_serial_f5_w5_h5_effsu2_lin_r1.pkl</t>
  </si>
  <si>
    <t>03-31_04-57-08_multihead_spsa_serial_f5_w5_h5_effsu2_lin_r1.pkl</t>
  </si>
  <si>
    <t>03-31_05-49-45_multihead_spsa_serial_f5_w5_h5_effsu2_lin_r1.pkl</t>
  </si>
  <si>
    <t>03-31_07-31-40_multihead_spsa_serial_f5_w5_h5_effsu2_lin_r1.pkl</t>
  </si>
  <si>
    <t>03-31_07-49-18_multihead_spsa_serial_f5_w5_h5_effsu2_lin_r1.pkl</t>
  </si>
  <si>
    <t>03-31_07-44-59_multihead_spsa_serial_f5_w5_h5_effsu2_lin_r1.pkl</t>
  </si>
  <si>
    <t>03-31_07-55-42_multihead_spsa_serial_f5_w5_h5_effsu2_lin_r1.pkl</t>
  </si>
  <si>
    <t>03-31_08-07-14_multihead_spsa_serial_f5_w5_h5_effsu2_lin_r1.pkl</t>
  </si>
  <si>
    <t>03-31_08-09-25_multihead_spsa_serial_f5_w5_h5_effsu2_lin_r1.pkl</t>
  </si>
  <si>
    <t>03-31_08-29-54_multihead_spsa_serial_f5_w5_h5_effsu2_lin_r1.pkl</t>
  </si>
  <si>
    <t>03-31_09-26-55_multihead_spsa_serial_f5_w5_h5_effsu2_lin_r1.pkl</t>
  </si>
  <si>
    <t>03-31_11-17-23_multihead_spsa_serial_f5_w5_h5_effsu2_lin_r1.pkl</t>
  </si>
  <si>
    <t>03-31_11-32-47_multihead_spsa_serial_f5_w5_h5_effsu2_lin_r1.pkl</t>
  </si>
  <si>
    <t>03-31_11-34-41_multihead_spsa_serial_f5_w5_h5_effsu2_lin_r1.pkl</t>
  </si>
  <si>
    <t>03-31_11-44-35_multihead_spsa_serial_f5_w5_h5_effsu2_lin_r1.pkl</t>
  </si>
  <si>
    <t>03-31_11-59-23_multihead_spsa_serial_f5_w5_h5_effsu2_lin_r1.pkl</t>
  </si>
  <si>
    <t>03-31_12-02-50_multihead_spsa_serial_f5_w5_h5_effsu2_lin_r1.pkl</t>
  </si>
  <si>
    <t>03-31_12-20-14_multihead_spsa_serial_f5_w5_h5_effsu2_lin_r1.pkl</t>
  </si>
  <si>
    <t>03-31_13-29-10_multihead_spsa_serial_f5_w5_h5_effsu2_lin_r1.pkl</t>
  </si>
  <si>
    <t>03-31_15-25-35_multihead_spsa_serial_f5_w5_h5_effsu2_lin_r1.pkl</t>
  </si>
  <si>
    <t>03-31_15-36-01_multihead_spsa_serial_f5_w5_h5_effsu2_lin_r1.pkl</t>
  </si>
  <si>
    <t>03-31_15-42-17_multihead_spsa_serial_f5_w5_h5_effsu2_lin_r1.pkl</t>
  </si>
  <si>
    <t>03-31_15-52-49_multihead_spsa_serial_f5_w5_h5_effsu2_lin_r1.pkl</t>
  </si>
  <si>
    <t>03-31_16-15-34_multihead_spsa_serial_f5_w5_h5_effsu2_lin_r1.pkl</t>
  </si>
  <si>
    <t>03-31_16-13-08_multihead_spsa_serial_f5_w5_h5_effsu2_lin_r1.pkl</t>
  </si>
  <si>
    <t>03-31_17-42-03_multihead_spsa_serial_f5_w5_h5_effsu2_lin_r1.pkl</t>
  </si>
  <si>
    <t>03-31_19-14-32_multihead_spsa_serial_f5_w5_h5_effsu2_lin_r1.pkl</t>
  </si>
  <si>
    <t>03-31_19-24-28_multihead_spsa_serial_f5_w5_h5_effsu2_lin_r1.pkl</t>
  </si>
  <si>
    <t>03-31_19-27-26_multihead_spsa_serial_f5_w5_h5_effsu2_lin_r1.pkl</t>
  </si>
  <si>
    <t>03-31_19-39-29_multihead_spsa_serial_f5_w5_h5_effsu2_lin_r1.pkl</t>
  </si>
  <si>
    <t>03-31_19-57-16_multihead_spsa_serial_f5_w5_h5_effsu2_lin_r1.pkl</t>
  </si>
  <si>
    <t>03-31_19-57-51_multihead_spsa_serial_f5_w5_h5_effsu2_lin_r1.pkl</t>
  </si>
  <si>
    <t>03-31_21-20-25_multihead_spsa_serial_f5_w5_h5_effsu2_lin_r1.pkl</t>
  </si>
  <si>
    <t>03-31_22-51-41_multihead_spsa_serial_f5_w5_h5_effsu2_lin_r1.pkl</t>
  </si>
  <si>
    <t>03-31_23-00-37_multihead_spsa_serial_f5_w5_h5_effsu2_lin_r1.pkl</t>
  </si>
  <si>
    <t>03-31_23-00-08_multihead_spsa_serial_f5_w5_h5_effsu2_lin_r1.pkl</t>
  </si>
  <si>
    <t>03-31_23-16-56_multihead_spsa_serial_f5_w5_h5_effsu2_lin_r1.pkl</t>
  </si>
  <si>
    <t>03-31_23-30-28_multihead_spsa_serial_f5_w5_h5_effsu2_lin_r1.pkl</t>
  </si>
  <si>
    <t>03-31_23-34-13_multihead_spsa_serial_f5_w5_h5_effsu2_lin_r1.pkl</t>
  </si>
  <si>
    <t>04-01_01-00-23_multihead_spsa_serial_f5_w5_h5_effsu2_lin_r1.pkl</t>
  </si>
  <si>
    <t>04-01_02-37-14_multihead_spsa_serial_f5_w5_h5_effsu2_lin_r1.pkl</t>
  </si>
  <si>
    <t>04-01_02-36-32_multihead_spsa_serial_f5_w5_h5_effsu2_lin_r1.pkl</t>
  </si>
  <si>
    <t>04-01_02-53-23_multihead_spsa_serial_f5_w5_h5_effsu2_lin_r1.pkl</t>
  </si>
  <si>
    <t>04-01_03-04-49_multihead_spsa_serial_f5_w5_h5_effsu2_lin_r1.pkl</t>
  </si>
  <si>
    <t>04-01_03-09-33_multihead_spsa_serial_f5_w5_h5_effsu2_lin_r1.pkl</t>
  </si>
  <si>
    <t>04-01_04-29-32_multihead_spsa_serial_f5_w5_h5_effsu2_lin_r1.pkl</t>
  </si>
  <si>
    <t>04-01_05-48-17_multihead_spsa_serial_f5_w5_h5_effsu2_lin_r1.pkl</t>
  </si>
  <si>
    <t>04-01_06-02-08_multihead_spsa_serial_f5_w5_h5_effsu2_lin_r1.pkl</t>
  </si>
  <si>
    <t>04-01_06-12-16_multihead_spsa_serial_f5_w5_h5_effsu2_lin_r1.pkl</t>
  </si>
  <si>
    <t>04-01_06-15-03_multihead_spsa_serial_f5_w5_h5_effsu2_lin_r1.pkl</t>
  </si>
  <si>
    <t>04-01_08-39-21_multihead_spsa_serial_f5_w5_h5_effsu2_lin_r1.pkl</t>
  </si>
  <si>
    <t>04-01_08-51-18_multihead_spsa_serial_f5_w5_h5_effsu2_lin_r1.pkl</t>
  </si>
  <si>
    <t>04-01_09-00-40_multihead_spsa_serial_f5_w5_h5_effsu2_lin_r1.pkl</t>
  </si>
  <si>
    <t>04-01_09-02-14_multihead_spsa_serial_f5_w5_h5_effsu2_lin_r1.pkl</t>
  </si>
  <si>
    <t>04-01_11-33-03_multihead_spsa_serial_f5_w5_h5_effsu2_lin_r1.pkl</t>
  </si>
  <si>
    <t>04-01_11-53-22_multihead_spsa_serial_f5_w5_h5_effsu2_lin_r1.pkl</t>
  </si>
  <si>
    <t>04-01_11-52-45_multihead_spsa_serial_f5_w5_h5_effsu2_lin_r1.pkl</t>
  </si>
  <si>
    <t>04-01_14-33-48_multihead_spsa_serial_f5_w5_h5_effsu2_lin_r1.pkl</t>
  </si>
  <si>
    <t>04-01_14-58-24_multihead_spsa_serial_f5_w5_h5_effsu2_lin_r1.pkl</t>
  </si>
  <si>
    <t>04-01_15-00-34_multihead_spsa_serial_f5_w5_h5_effsu2_lin_r1.pkl</t>
  </si>
  <si>
    <t>04-01_18-15-28_multihead_spsa_serial_f5_w5_h5_effsu2_lin_r1.pkl</t>
  </si>
  <si>
    <t>04-01_18-35-24_multihead_spsa_serial_f5_w5_h5_effsu2_lin_r1.pkl</t>
  </si>
  <si>
    <t>04-01_18-38-05_multihead_spsa_serial_f5_w5_h5_effsu2_lin_r1.pkl</t>
  </si>
  <si>
    <t>04-01_21-35-30_multihead_spsa_serial_f5_w5_h5_effsu2_lin_r1.pkl</t>
  </si>
  <si>
    <t>04-01_21-53-52_multihead_spsa_serial_f5_w5_h5_effsu2_lin_r1.pkl</t>
  </si>
  <si>
    <t>04-01_21-53-34_multihead_spsa_serial_f5_w5_h5_effsu2_lin_r1.pkl</t>
  </si>
  <si>
    <t>04-02_01-07-14_multihead_spsa_serial_f5_w5_h5_effsu2_lin_r1.pkl</t>
  </si>
  <si>
    <t>04-02_03-52-03_multihead_spsa_serial_f5_w5_h5_effsu2_lin_r1.pkl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</si>
</sst>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25.558350115738" createdVersion="8" refreshedVersion="8" minRefreshableVersion="3" recordCount="560" xr:uid="{DAC4E213-36B5-4FF6-951F-E0771533C2DE}">
  <cacheSource type="worksheet">
    <worksheetSource name="Tabla1"/>
  </cacheSource>
  <cacheFields count="85">
    <cacheField name="date" numFmtId="164">
      <sharedItems containsSemiMixedTypes="0" containsNonDate="0" containsDate="1" containsString="0" minDate="2026-03-12T09:57:28" maxDate="2026-04-02T03:52:03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3"/>
        <n v="2"/>
        <n v="4"/>
        <n v="5"/>
        <n v="7"/>
        <n v="6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3" maxValue="3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56">
        <s v="[[2, 3, 4, 0, 1, -1], [0, 1, 4, 2, 3, -1], [0, 1, 4, 3, 2, -1]]"/>
        <s v="[[2, 3, 4, 0, 1, -1], [4, 0, 1, 2, 3, -1], [0, 1, 4, 3, 2, -1]]"/>
        <s v="[[2, 3, 4, 0, 1, -1], [0, 1, 3, 2, 4, -1], [0, 1, 4, 3, 2, -1]]"/>
        <s v="[[2, 3, 4, 0, 1, -1], [3, 0, 1, 2, 4, -1], [0, 1, 4, 3, 2, -1]]"/>
        <s v="[[2, 3, 4, 0, 1, -1], [0, 1, 4, 2, 3, -1], [4, 0, 1, 3, 2, -1]]"/>
        <s v="[[2, 3, 4, 0, 1, -1], [0, 1, 4, 2, 3, -1], [0, 1, 2, 3, 4, -1]]"/>
        <s v="[[2, 3, 4, 0, 1, -1], [0, 1, 4, 2, 3, -1], [2, 0, 1, 3, 4, -1]]"/>
        <s v="[[2, 3, 4, 0, 1, -1], [4, 0, 1, 2, 3, -1], [4, 0, 1, 3, 2, -1]]"/>
        <s v="[[2, 3, 4, 0, 1, -1], [4, 0, 1, 2, 3, -1], [0, 1, 2, 3, 4, -1]]"/>
        <s v="[[2, 3, 4, 0, 1, -1], [4, 0, 1, 2, 3, -1], [2, 0, 1, 3, 4, -1]]"/>
        <s v="[[2, 3, 4, 0, 1, -1], [0, 1, 3, 2, 4, -1], [4, 0, 1, 3, 2, -1]]"/>
        <s v="[[2, 3, 4, 0, 1, -1], [0, 1, 3, 2, 4, -1], [0, 1, 2, 3, 4, -1]]"/>
        <s v="[[2, 3, 4, 0, 1, -1], [0, 1, 3, 2, 4, -1], [2, 0, 1, 3, 4, -1]]"/>
        <s v="[[2, 3, 4, 0, 1, -1], [3, 0, 1, 2, 4, -1], [4, 0, 1, 3, 2, -1]]"/>
        <s v="[[2, 3, 4, 0, 1, -1], [3, 0, 1, 2, 4, -1], [0, 1, 2, 3, 4, -1]]"/>
        <s v="[[2, 3, 4, 0, 1, -1], [3, 0, 1, 2, 4, -1], [2, 0, 1, 3, 4, -1]]"/>
        <s v="[[4, 2, 3, 0, 1, -1], [0, 1, 4, 2, 3, -1], [0, 1, 4, 3, 2, -1]]"/>
        <s v="[[4, 2, 3, 0, 1, -1], [4, 0, 1, 2, 3, -1], [0, 1, 4, 3, 2, -1]]"/>
        <s v="[[4, 2, 3, 0, 1, -1], [0, 1, 3, 2, 4, -1], [0, 1, 4, 3, 2, -1]]"/>
        <s v="[[4, 2, 3, 0, 1, -1], [3, 0, 1, 2, 4, -1], [0, 1, 4, 3, 2, -1]]"/>
        <s v="[[4, 2, 3, 0, 1, -1], [0, 1, 4, 2, 3, -1], [4, 0, 1, 3, 2, -1]]"/>
        <s v="[[4, 2, 3, 0, 1, -1], [0, 1, 4, 2, 3, -1], [0, 1, 2, 3, 4, -1]]"/>
        <s v="[[4, 2, 3, 0, 1, -1], [0, 1, 4, 2, 3, -1], [2, 0, 1, 3, 4, -1]]"/>
        <s v="[[4, 2, 3, 0, 1, -1], [4, 0, 1, 2, 3, -1], [4, 0, 1, 3, 2, -1]]"/>
        <s v="[[4, 2, 3, 0, 1, -1], [4, 0, 1, 2, 3, -1], [0, 1, 2, 3, 4, -1]]"/>
        <s v="[[4, 2, 3, 0, 1, -1], [4, 0, 1, 2, 3, -1], [2, 0, 1, 3, 4, -1]]"/>
        <s v="[[4, 2, 3, 0, 1, -1], [0, 1, 3, 2, 4, -1], [4, 0, 1, 3, 2, -1]]"/>
        <s v="[[4, 2, 3, 0, 1, -1], [0, 1, 3, 2, 4, -1], [0, 1, 2, 3, 4, -1]]"/>
        <s v="[[4, 2, 3, 0, 1, -1], [0, 1, 3, 2, 4, -1], [2, 0, 1, 3, 4, -1]]"/>
        <s v="[[4, 2, 3, 0, 1, -1], [3, 0, 1, 2, 4, -1], [4, 0, 1, 3, 2, -1]]"/>
        <s v="[[4, 2, 3, 0, 1, -1], [3, 0, 1, 2, 4, -1], [0, 1, 2, 3, 4, -1]]"/>
        <s v="[[4, 2, 3, 0, 1, -1], [3, 0, 1, 2, 4, -1], [2, 0, 1, 3, 4, -1]]"/>
        <s v="[[2, 3, 4, 0, 1, -1], [1, 4, 0, 2, 3, -1], [0, 1, 4, 3, 2, -1]]"/>
        <s v="[[2, 3, 4, 0, 1, -1], [1, 3, 0, 2, 4, -1], [0, 1, 4, 3, 2, -1]]"/>
        <s v="[[2, 3, 4, 0, 1, -1], [0, 1, 4, 2, 3, -1], [1, 4, 0, 3, 2, -1]]"/>
        <s v="[[2, 3, 4, 0, 1, -1], [0, 1, 4, 2, 3, -1], [1, 2, 0, 3, 4, -1]]"/>
        <s v="[[2, 3, 4, 0, 1, -1], [1, 4, 0, 2, 3, -1], [1, 4, 0, 3, 2, -1]]"/>
        <s v="[[2, 3, 4, 0, 1, -1], [1, 4, 0, 2, 3, -1], [0, 1, 2, 3, 4, -1]]"/>
        <s v="[[2, 3, 4, 0, 1, -1], [1, 4, 0, 2, 3, -1], [1, 2, 0, 3, 4, -1]]"/>
        <s v="[[2, 3, 4, 0, 1, -1], [0, 1, 3, 2, 4, -1], [1, 4, 0, 3, 2, -1]]"/>
        <s v="[[2, 3, 4, 0, 1, -1], [0, 1, 3, 2, 4, -1], [1, 2, 0, 3, 4, -1]]"/>
        <s v="[[2, 3, 4, 0, 1, -1], [1, 3, 0, 2, 4, -1], [1, 4, 0, 3, 2, -1]]"/>
        <s v="[[2, 3, 4, 0, 1, -1], [1, 3, 0, 2, 4, -1], [0, 1, 2, 3, 4, -1]]"/>
        <s v="[[2, 3, 4, 0, 1, -1], [1, 3, 0, 2, 4, -1], [1, 2, 0, 3, 4, -1]]"/>
        <s v="[[4, 2, 3, 0, 1, -1], [1, 4, 0, 2, 3, -1], [0, 1, 4, 3, 2, -1]]"/>
        <s v="[[4, 2, 3, 0, 1, -1], [1, 3, 0, 2, 4, -1], [0, 1, 4, 3, 2, -1]]"/>
        <s v="[[4, 2, 3, 0, 1, -1], [0, 1, 4, 2, 3, -1], [1, 4, 0, 3, 2, -1]]"/>
        <s v="[[4, 2, 3, 0, 1, -1], [0, 1, 4, 2, 3, -1], [1, 2, 0, 3, 4, -1]]"/>
        <s v="[[4, 2, 3, 0, 1, -1], [1, 4, 0, 2, 3, -1], [1, 4, 0, 3, 2, -1]]"/>
        <s v="[[4, 2, 3, 0, 1, -1], [1, 4, 0, 2, 3, -1], [0, 1, 2, 3, 4, -1]]"/>
        <s v="[[4, 2, 3, 0, 1, -1], [1, 4, 0, 2, 3, -1], [1, 2, 0, 3, 4, -1]]"/>
        <s v="[[4, 2, 3, 0, 1, -1], [0, 1, 3, 2, 4, -1], [1, 4, 0, 3, 2, -1]]"/>
        <s v="[[4, 2, 3, 0, 1, -1], [0, 1, 3, 2, 4, -1], [1, 2, 0, 3, 4, -1]]"/>
        <s v="[[4, 2, 3, 0, 1, -1], [1, 3, 0, 2, 4, -1], [1, 4, 0, 3, 2, -1]]"/>
        <s v="[[4, 2, 3, 0, 1, -1], [1, 3, 0, 2, 4, -1], [0, 1, 2, 3, 4, -1]]"/>
        <s v="[[4, 2, 3, 0, 1, -1], [1, 3, 0, 2, 4, -1], [1, 2, 0, 3, 4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80" maxValue="180"/>
    </cacheField>
    <cacheField name="q params" numFmtId="0">
      <sharedItems containsSemiMixedTypes="0" containsString="0" containsNumber="1" containsInteger="1" minValue="60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7.9355697126021058E-2" maxValue="0.1585818506269886"/>
    </cacheField>
    <cacheField name="Val Global Open MSE" numFmtId="0">
      <sharedItems containsSemiMixedTypes="0" containsString="0" containsNumber="1" minValue="6.6998495781812997" maxValue="54.789367766230768"/>
    </cacheField>
    <cacheField name="Val Global Open R2" numFmtId="0">
      <sharedItems containsSemiMixedTypes="0" containsString="0" containsNumber="1" minValue="0.4992975150767362" maxValue="0.83801698952222992"/>
    </cacheField>
    <cacheField name="Val Global Closed R2" numFmtId="0">
      <sharedItems containsSemiMixedTypes="0" containsString="0" containsNumber="1" minValue="-1.4153529891887779" maxValue="0.52032518597779387"/>
    </cacheField>
    <cacheField name="step MSE" numFmtId="0">
      <sharedItems containsSemiMixedTypes="0" containsString="0" containsNumber="1" minValue="9.4525027131870623" maxValue="60.110371528024928"/>
    </cacheField>
    <cacheField name="step R2" numFmtId="0">
      <sharedItems containsSemiMixedTypes="0" containsString="0" containsNumber="1" minValue="0.46622004246825022" maxValue="0.77993740782258092"/>
    </cacheField>
    <cacheField name="local MSE" numFmtId="0">
      <sharedItems containsSemiMixedTypes="0" containsString="0" containsNumber="1" minValue="9.4525027131870623" maxValue="60.110371528024928"/>
    </cacheField>
    <cacheField name="global open MSE" numFmtId="0">
      <sharedItems containsSemiMixedTypes="0" containsString="0" containsNumber="1" minValue="9.4525027131870623" maxValue="60.110371528024928"/>
    </cacheField>
    <cacheField name="global open R2" numFmtId="0">
      <sharedItems containsSemiMixedTypes="0" containsString="0" containsNumber="1" minValue="0.46622004246825022" maxValue="0.77993740782258092"/>
    </cacheField>
    <cacheField name="global closed MSE" numFmtId="0">
      <sharedItems containsSemiMixedTypes="0" containsString="0" containsNumber="1" minValue="41.809682562778988" maxValue="218.32486954680061"/>
    </cacheField>
    <cacheField name="global closed R2" numFmtId="0">
      <sharedItems containsSemiMixedTypes="0" containsString="0" containsNumber="1" minValue="-1.313152300994243" maxValue="0.4929652931769613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4.568606625570408E-2" maxValue="0.12509963304913199"/>
    </cacheField>
    <cacheField name="Surge Velocity Step R2" numFmtId="0">
      <sharedItems containsSemiMixedTypes="0" containsString="0" containsNumber="1" minValue="9.1614915424932941E-2" maxValue="0.6682600887942588"/>
    </cacheField>
    <cacheField name="Surge Velocity Local MSE" numFmtId="0">
      <sharedItems containsSemiMixedTypes="0" containsString="0" containsNumber="1" minValue="4.568606625570408E-2" maxValue="0.12509963304913199"/>
    </cacheField>
    <cacheField name="Surge Velocity Global open MSE" numFmtId="0">
      <sharedItems containsSemiMixedTypes="0" containsString="0" containsNumber="1" minValue="4.568606625570408E-2" maxValue="0.12509963304913199"/>
    </cacheField>
    <cacheField name="Surge Velocity Global open R2" numFmtId="0">
      <sharedItems containsSemiMixedTypes="0" containsString="0" containsNumber="1" minValue="9.1614915424932941E-2" maxValue="0.6682600887942588"/>
    </cacheField>
    <cacheField name="Surge Velocity Global closed MSE" numFmtId="0">
      <sharedItems containsSemiMixedTypes="0" containsString="0" containsNumber="1" minValue="5.7459130004570383E-2" maxValue="0.35030635224187923"/>
    </cacheField>
    <cacheField name="Surge Velocity Global closed R2" numFmtId="0">
      <sharedItems containsSemiMixedTypes="0" containsString="0" containsNumber="1" minValue="-1.543677048864297" maxValue="0.58277242389422357"/>
    </cacheField>
    <cacheField name="Sway Velocity Step MSE" numFmtId="0">
      <sharedItems containsSemiMixedTypes="0" containsString="0" containsNumber="1" minValue="2.990386879536373E-2" maxValue="0.13472216677236329"/>
    </cacheField>
    <cacheField name="Sway Velocity Step R2" numFmtId="0">
      <sharedItems containsSemiMixedTypes="0" containsString="0" containsNumber="1" minValue="0.5332164663650435" maxValue="0.89638948155249354"/>
    </cacheField>
    <cacheField name="Sway Velocity Local MSE" numFmtId="0">
      <sharedItems containsSemiMixedTypes="0" containsString="0" containsNumber="1" minValue="2.990386879536373E-2" maxValue="0.13472216677236329"/>
    </cacheField>
    <cacheField name="Sway Velocity Global open MSE" numFmtId="0">
      <sharedItems containsSemiMixedTypes="0" containsString="0" containsNumber="1" minValue="2.990386879536373E-2" maxValue="0.13472216677236329"/>
    </cacheField>
    <cacheField name="Sway Velocity Global open R2" numFmtId="0">
      <sharedItems containsSemiMixedTypes="0" containsString="0" containsNumber="1" minValue="0.5332164663650435" maxValue="0.89638948155249354"/>
    </cacheField>
    <cacheField name="Sway Velocity Global closed MSE" numFmtId="0">
      <sharedItems containsSemiMixedTypes="0" containsString="0" containsNumber="1" minValue="6.5000405696689453E-2" maxValue="1.0790667273382839"/>
    </cacheField>
    <cacheField name="Sway Velocity Global closed R2" numFmtId="0">
      <sharedItems containsSemiMixedTypes="0" containsString="0" containsNumber="1" minValue="-2.7387357409857129" maxValue="0.7747874771783243"/>
    </cacheField>
    <cacheField name="Yaw Rate Step MSE" numFmtId="0">
      <sharedItems containsSemiMixedTypes="0" containsString="0" containsNumber="1" minValue="2.3549393518692532E-2" maxValue="0.14069203645327119"/>
    </cacheField>
    <cacheField name="Yaw Rate Step R2" numFmtId="0">
      <sharedItems containsSemiMixedTypes="0" containsString="0" containsNumber="1" minValue="0.43516597479924207" maxValue="0.90545663374047725"/>
    </cacheField>
    <cacheField name="Yaw Rate Local MSE" numFmtId="0">
      <sharedItems containsSemiMixedTypes="0" containsString="0" containsNumber="1" minValue="2.3549393518692532E-2" maxValue="0.14069203645327119"/>
    </cacheField>
    <cacheField name="Yaw Rate Global open MSE" numFmtId="0">
      <sharedItems containsSemiMixedTypes="0" containsString="0" containsNumber="1" minValue="2.3549393518692532E-2" maxValue="0.14069203645327119"/>
    </cacheField>
    <cacheField name="Yaw Rate Global open R2" numFmtId="0">
      <sharedItems containsSemiMixedTypes="0" containsString="0" containsNumber="1" minValue="0.43516597479924207" maxValue="0.90545663374047725"/>
    </cacheField>
    <cacheField name="Yaw Rate Global closed MSE" numFmtId="0">
      <sharedItems containsSemiMixedTypes="0" containsString="0" containsNumber="1" minValue="5.2809819172980887E-2" maxValue="0.82411255290031482"/>
    </cacheField>
    <cacheField name="Yaw Rate Global closed R2" numFmtId="0">
      <sharedItems containsSemiMixedTypes="0" containsString="0" containsNumber="1" minValue="-2.3085512315244778" maxValue="0.78798527986688049"/>
    </cacheField>
    <cacheField name="Yaw Angle Step MSE" numFmtId="0">
      <sharedItems containsSemiMixedTypes="0" containsString="0" containsNumber="1" minValue="37.591302073004663" maxValue="240.20643745022869"/>
    </cacheField>
    <cacheField name="Yaw Angle Step R2" numFmtId="0">
      <sharedItems containsSemiMixedTypes="0" containsString="0" containsNumber="1" minValue="0.31633013551296513" maxValue="0.89300852771913164"/>
    </cacheField>
    <cacheField name="Yaw Angle Local MSE" numFmtId="0">
      <sharedItems containsSemiMixedTypes="0" containsString="0" containsNumber="1" minValue="37.591302073004663" maxValue="240.20643745022869"/>
    </cacheField>
    <cacheField name="Yaw Angle Global open MSE" numFmtId="0">
      <sharedItems containsSemiMixedTypes="0" containsString="0" containsNumber="1" minValue="37.591302073004663" maxValue="240.20643745022869"/>
    </cacheField>
    <cacheField name="Yaw Angle Global open R2" numFmtId="0">
      <sharedItems containsSemiMixedTypes="0" containsString="0" containsNumber="1" minValue="0.31633013551296513" maxValue="0.89300852771913164"/>
    </cacheField>
    <cacheField name="Yaw Angle Global closed MSE" numFmtId="0">
      <sharedItems containsSemiMixedTypes="0" containsString="0" containsNumber="1" minValue="166.95754090253391" maxValue="872.34977649100222"/>
    </cacheField>
    <cacheField name="Yaw Angle Global closed R2" numFmtId="0">
      <sharedItems containsSemiMixedTypes="0" containsString="0" containsNumber="1" minValue="-1.482861241395639" maxValue="0.52480940737662463"/>
    </cacheField>
    <cacheField name="Output_feat" numFmtId="0">
      <sharedItems/>
    </cacheField>
    <cacheField name="with yaw rate" numFmtId="0">
      <sharedItems count="2">
        <s v="2, 3"/>
        <s v="2, 4"/>
      </sharedItems>
    </cacheField>
    <cacheField name="with yaw angle" numFmtId="0">
      <sharedItems count="2">
        <s v="3, 2"/>
        <s v="3, 4"/>
      </sharedItems>
    </cacheField>
    <cacheField name="without yaw rate" numFmtId="0">
      <sharedItems count="6">
        <s v="0, 1, 4"/>
        <s v="4, 0, 1"/>
        <s v="0, 1, 3"/>
        <s v="3, 0, 1"/>
        <s v="1, 4, 0"/>
        <s v="1, 3, 0"/>
      </sharedItems>
    </cacheField>
    <cacheField name="without yaw angle" numFmtId="0">
      <sharedItems count="6">
        <s v="0, 1, 4"/>
        <s v="4, 0, 1"/>
        <s v="0, 1, 2"/>
        <s v="2, 0, 1"/>
        <s v="1, 4, 0"/>
        <s v="1, 2, 0"/>
      </sharedItems>
    </cacheField>
    <cacheField name="without surge and sway" numFmtId="0">
      <sharedItems count="2">
        <s v="2, 3, 4"/>
        <s v="4, 2, 3"/>
      </sharedItems>
    </cacheField>
    <cacheField name="Surge and Sway map" numFmtId="0">
      <sharedItems count="2">
        <s v="2, 3, 4, 0, 1, -1"/>
        <s v="4, 2, 3, 0, 1, -1"/>
      </sharedItems>
    </cacheField>
    <cacheField name="Yaw rate map" numFmtId="0">
      <sharedItems count="6">
        <s v="0, 1, 4, 2, 3, -1"/>
        <s v="4, 0, 1, 2, 3, -1"/>
        <s v="0, 1, 3, 2, 4, -1"/>
        <s v="3, 0, 1, 2, 4, -1"/>
        <s v="1, 4, 0, 2, 3, -1"/>
        <s v="1, 3, 0, 2, 4, -1"/>
      </sharedItems>
    </cacheField>
    <cacheField name="Yaw  angle map" numFmtId="0">
      <sharedItems count="6">
        <s v="0, 1, 4, 3, 2, -1"/>
        <s v="4, 0, 1, 3, 2, -1"/>
        <s v="0, 1, 2, 3, 4, -1"/>
        <s v="2, 0, 1, 3, 4, -1"/>
        <s v="1, 4, 0, 3, 2, -1"/>
        <s v="1, 2, 0, 3, 4, -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d v="2026-03-12T09:57:28"/>
    <s v="03-12_09-57-28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122846648632876"/>
    <n v="14.108643898676879"/>
    <n v="0.71914845847460085"/>
    <n v="-0.30205126608996091"/>
    <n v="18.264316421121151"/>
    <n v="0.68442453504488221"/>
    <n v="18.264316421121151"/>
    <n v="18.264316421121151"/>
    <n v="0.68442453504488221"/>
    <n v="136.49966678195011"/>
    <n v="-0.36367210471057843"/>
    <n v="0.8"/>
    <s v="identity"/>
    <n v="5.6806413803650667E-2"/>
    <n v="0.58751198744788402"/>
    <n v="5.6806413803650667E-2"/>
    <n v="5.6806413803650667E-2"/>
    <n v="0.58751198744788402"/>
    <n v="0.13565141253708529"/>
    <n v="1.4995353329035789E-2"/>
    <n v="6.1248636113679512E-2"/>
    <n v="0.78778655747296211"/>
    <n v="6.1248636113679512E-2"/>
    <n v="6.1248636113679512E-2"/>
    <n v="0.78778655747296211"/>
    <n v="0.39989447618794061"/>
    <n v="-0.38554894972487119"/>
    <n v="0.1071834418117573"/>
    <n v="0.56969238345260687"/>
    <n v="0.1071834418117573"/>
    <n v="0.1071834418117573"/>
    <n v="0.56969238345260687"/>
    <n v="0.38178281573719741"/>
    <n v="-0.53273724655299404"/>
    <n v="72.83202719275576"/>
    <n v="0.79270721180607573"/>
    <n v="72.83202719275576"/>
    <n v="72.83202719275576"/>
    <n v="0.79270721180607573"/>
    <n v="545.08133842334109"/>
    <n v="-0.55139757589349481"/>
    <s v="[[sv,wv],[yr],[ya]]"/>
    <x v="0"/>
    <x v="0"/>
    <x v="0"/>
    <x v="0"/>
    <x v="0"/>
    <x v="0"/>
    <x v="0"/>
    <x v="0"/>
  </r>
  <r>
    <d v="2026-03-12T09:59:10"/>
    <s v="03-12_09-59-1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278825276067872"/>
    <n v="31.51575700940435"/>
    <n v="0.67740658063145553"/>
    <n v="-0.80860628180419558"/>
    <n v="35.655601814241273"/>
    <n v="0.62269758205162173"/>
    <n v="35.655601814241273"/>
    <n v="35.655601814241273"/>
    <n v="0.62269758205162173"/>
    <n v="209.5810285573624"/>
    <n v="-0.63678883167661682"/>
    <n v="0.8"/>
    <s v="identity"/>
    <n v="5.9172477616381829E-2"/>
    <n v="0.57033130494505313"/>
    <n v="5.9172477616381829E-2"/>
    <n v="5.9172477616381829E-2"/>
    <n v="0.57033130494505313"/>
    <n v="0.2156101184017486"/>
    <n v="-0.56560823453967379"/>
    <n v="7.2137766304017567E-2"/>
    <n v="0.75005804708576296"/>
    <n v="7.2137766304017567E-2"/>
    <n v="7.2137766304017567E-2"/>
    <n v="0.75005804708576296"/>
    <n v="0.3237668640308175"/>
    <n v="-0.1217830330889236"/>
    <n v="0.10569825949840481"/>
    <n v="0.57565492067472235"/>
    <n v="0.10569825949840481"/>
    <n v="0.10569825949840481"/>
    <n v="0.57565492067472235"/>
    <n v="0.36773199424476161"/>
    <n v="-0.47632764256246701"/>
    <n v="142.38539875354559"/>
    <n v="0.59474605550095228"/>
    <n v="142.38539875354559"/>
    <n v="142.38539875354559"/>
    <n v="0.59474605550095228"/>
    <n v="837.41700525277236"/>
    <n v="-1.383436416515391"/>
    <s v="[[sv,wv],[yr],[ya]]"/>
    <x v="0"/>
    <x v="0"/>
    <x v="0"/>
    <x v="0"/>
    <x v="0"/>
    <x v="0"/>
    <x v="0"/>
    <x v="0"/>
  </r>
  <r>
    <d v="2026-03-12T09:57:47"/>
    <s v="03-12_09-57-47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035220405720817"/>
    <n v="16.1252017927076"/>
    <n v="0.7467008042529607"/>
    <n v="-0.43116138143810567"/>
    <n v="23.668616044752689"/>
    <n v="0.68783730448900349"/>
    <n v="23.668616044752689"/>
    <n v="23.668616044752689"/>
    <n v="0.68783730448900349"/>
    <n v="137.76235009650179"/>
    <n v="-0.30203457423478403"/>
    <n v="0.8"/>
    <s v="identity"/>
    <n v="6.545930711777169E-2"/>
    <n v="0.52468079415509616"/>
    <n v="6.545930711777169E-2"/>
    <n v="6.545930711777169E-2"/>
    <n v="0.52468079415509616"/>
    <n v="0.15541682053718761"/>
    <n v="-0.12852706460469279"/>
    <n v="5.5478358114399898E-2"/>
    <n v="0.80777933831288784"/>
    <n v="5.5478358114399898E-2"/>
    <n v="5.5478358114399898E-2"/>
    <n v="0.80777933831288784"/>
    <n v="0.37379338219500041"/>
    <n v="-0.29511423376347312"/>
    <n v="7.7768580730357806E-2"/>
    <n v="0.68778374671783515"/>
    <n v="7.7768580730357806E-2"/>
    <n v="7.7768580730357806E-2"/>
    <n v="0.68778374671783515"/>
    <n v="0.30350668121247071"/>
    <n v="-0.21848332532667031"/>
    <n v="94.475757933048513"/>
    <n v="0.73110533877019668"/>
    <n v="94.475757933048513"/>
    <n v="94.475757933048513"/>
    <n v="0.73110533877019668"/>
    <n v="550.21668350206471"/>
    <n v="-0.56601367324431062"/>
    <s v="[[sv,wv],[yr],[ya]]"/>
    <x v="0"/>
    <x v="0"/>
    <x v="0"/>
    <x v="0"/>
    <x v="0"/>
    <x v="0"/>
    <x v="0"/>
    <x v="0"/>
  </r>
  <r>
    <d v="2026-03-12T09:59:14"/>
    <s v="03-12_09-59-14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135427643375105"/>
    <n v="19.008850877511719"/>
    <n v="0.68637973604914304"/>
    <n v="-0.52543965282693894"/>
    <n v="26.267620561511471"/>
    <n v="0.62754039270927975"/>
    <n v="26.267620561511471"/>
    <n v="26.267620561511471"/>
    <n v="0.62754039270927975"/>
    <n v="161.99122467260679"/>
    <n v="-0.49706282644871053"/>
    <n v="0.8"/>
    <s v="identity"/>
    <n v="5.4161391534806633E-2"/>
    <n v="0.60671826902381154"/>
    <n v="5.4161391534806633E-2"/>
    <n v="5.4161391534806633E-2"/>
    <n v="0.60671826902381154"/>
    <n v="0.1919391849830899"/>
    <n v="-0.39372665238479893"/>
    <n v="8.1421887864314993E-2"/>
    <n v="0.71789054880068393"/>
    <n v="8.1421887864314993E-2"/>
    <n v="8.1421887864314993E-2"/>
    <n v="0.71789054880068393"/>
    <n v="0.39462681581410142"/>
    <n v="-0.36729763160701362"/>
    <n v="0.12856553233715001"/>
    <n v="0.48385005318911789"/>
    <n v="0.12856553233715001"/>
    <n v="0.12856553233715001"/>
    <n v="0.48385005318911789"/>
    <n v="0.3451471201964349"/>
    <n v="-0.38565651689711761"/>
    <n v="104.8063334343103"/>
    <n v="0.70170269982350264"/>
    <n v="104.8063334343103"/>
    <n v="104.8063334343103"/>
    <n v="0.70170269982350264"/>
    <n v="647.03318556943861"/>
    <n v="-0.84157050490593099"/>
    <s v="[[sv,wv],[yr],[ya]]"/>
    <x v="0"/>
    <x v="0"/>
    <x v="0"/>
    <x v="0"/>
    <x v="0"/>
    <x v="0"/>
    <x v="0"/>
    <x v="0"/>
  </r>
  <r>
    <d v="2026-03-12T14:00:55"/>
    <s v="03-12_14-00-5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0.1104064474367619"/>
    <n v="25.719898502601222"/>
    <n v="0.72868956705442545"/>
    <n v="-0.4669051087969433"/>
    <n v="30.297734981834381"/>
    <n v="0.67877023040992146"/>
    <n v="30.297734981834381"/>
    <n v="30.297734981834381"/>
    <n v="0.67877023040992146"/>
    <n v="124.9776206600645"/>
    <n v="-0.39043369175753939"/>
    <n v="0.8"/>
    <s v="identity"/>
    <n v="6.2977287862493611E-2"/>
    <n v="0.54270346309639694"/>
    <n v="6.2977287862493611E-2"/>
    <n v="6.2977287862493611E-2"/>
    <n v="0.54270346309639694"/>
    <n v="0.1994029556250877"/>
    <n v="-0.44792327759166312"/>
    <n v="8.2888784322169312E-2"/>
    <n v="0.71280806587691392"/>
    <n v="8.2888784322169312E-2"/>
    <n v="8.2888784322169312E-2"/>
    <n v="0.71280806587691392"/>
    <n v="0.44598554213335628"/>
    <n v="-0.54524464900319103"/>
    <n v="4.8834228279384502E-2"/>
    <n v="0.80394601981769742"/>
    <n v="4.8834228279384502E-2"/>
    <n v="4.8834228279384502E-2"/>
    <n v="0.80394601981769742"/>
    <n v="0.28604607389899539"/>
    <n v="-0.14838450978642001"/>
    <n v="120.9962396268738"/>
    <n v="0.65562337284867445"/>
    <n v="120.9962396268738"/>
    <n v="120.9962396268738"/>
    <n v="0.65562337284867445"/>
    <n v="498.97904806860208"/>
    <n v="-0.420182330648883"/>
    <s v="[[sv,wv],[yr],[ya]]"/>
    <x v="0"/>
    <x v="0"/>
    <x v="1"/>
    <x v="0"/>
    <x v="0"/>
    <x v="0"/>
    <x v="1"/>
    <x v="0"/>
  </r>
  <r>
    <d v="2026-03-12T13:58:52"/>
    <s v="03-12_13-58-52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9.3996117409163901E-2"/>
    <n v="14.73292406300734"/>
    <n v="0.77792916952207691"/>
    <n v="0.45272785192873422"/>
    <n v="18.69132451032246"/>
    <n v="0.75425237225827757"/>
    <n v="18.69132451032246"/>
    <n v="18.69132451032246"/>
    <n v="0.75425237225827757"/>
    <n v="50.212871681866631"/>
    <n v="0.43913829504871887"/>
    <n v="0.8"/>
    <s v="identity"/>
    <n v="5.0245514103920703E-2"/>
    <n v="0.63515260223919245"/>
    <n v="5.0245514103920703E-2"/>
    <n v="5.0245514103920703E-2"/>
    <n v="0.63515260223919245"/>
    <n v="0.1449669401908962"/>
    <n v="-5.2647422028626163E-2"/>
    <n v="5.9210116368903831E-2"/>
    <n v="0.79484959299746361"/>
    <n v="5.9210116368903831E-2"/>
    <n v="5.9210116368903831E-2"/>
    <n v="0.79484959299746361"/>
    <n v="9.0253358124141869E-2"/>
    <n v="0.68729139059356048"/>
    <n v="4.9979346697668611E-2"/>
    <n v="0.79934873157142372"/>
    <n v="4.9979346697668611E-2"/>
    <n v="4.9979346697668611E-2"/>
    <n v="0.79934873157142372"/>
    <n v="7.6548845231155516E-2"/>
    <n v="0.69268059894247058"/>
    <n v="74.605863064119646"/>
    <n v="0.78765856222503006"/>
    <n v="74.605863064119646"/>
    <n v="74.605863064119646"/>
    <n v="0.78765856222503006"/>
    <n v="200.53971758392021"/>
    <n v="0.42922861268747209"/>
    <s v="[[sv,wv],[yr],[ya]]"/>
    <x v="0"/>
    <x v="0"/>
    <x v="1"/>
    <x v="0"/>
    <x v="0"/>
    <x v="0"/>
    <x v="1"/>
    <x v="0"/>
  </r>
  <r>
    <d v="2026-03-12T14:01:51"/>
    <s v="03-12_14-01-5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9.704650341871851E-2"/>
    <n v="19.025659524055659"/>
    <n v="0.74706559222634628"/>
    <n v="-0.43664581147167109"/>
    <n v="25.53286464696054"/>
    <n v="0.6833123725761997"/>
    <n v="25.53286464696054"/>
    <n v="25.53286464696054"/>
    <n v="0.6833123725761997"/>
    <n v="111.96782158145071"/>
    <n v="-0.35594515198064952"/>
    <n v="0.8"/>
    <s v="identity"/>
    <n v="6.0454001493355732E-2"/>
    <n v="0.56102578464098707"/>
    <n v="6.0454001493355732E-2"/>
    <n v="6.0454001493355732E-2"/>
    <n v="0.56102578464098707"/>
    <n v="0.22018252002688901"/>
    <n v="-0.59880978226390269"/>
    <n v="7.9545610202796352E-2"/>
    <n v="0.72439145015869033"/>
    <n v="7.9545610202796352E-2"/>
    <n v="7.9545610202796352E-2"/>
    <n v="0.72439145015869033"/>
    <n v="0.36992648240405479"/>
    <n v="-0.28171625188807958"/>
    <n v="6.5277337830184731E-2"/>
    <n v="0.73793213595810692"/>
    <n v="6.5277337830184731E-2"/>
    <n v="6.5277337830184731E-2"/>
    <n v="0.73793213595810692"/>
    <n v="0.31661638579265022"/>
    <n v="-0.27111464259155998"/>
    <n v="101.9261816383153"/>
    <n v="0.70990011954701859"/>
    <n v="101.9261816383153"/>
    <n v="101.9261816383153"/>
    <n v="0.70990011954701859"/>
    <n v="446.96456093757962"/>
    <n v="-0.27213993117906399"/>
    <s v="[[sv,wv],[yr],[ya]]"/>
    <x v="0"/>
    <x v="0"/>
    <x v="1"/>
    <x v="0"/>
    <x v="0"/>
    <x v="0"/>
    <x v="1"/>
    <x v="0"/>
  </r>
  <r>
    <d v="2026-03-12T14:01:36"/>
    <s v="03-12_14-01-36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0.1029410532274844"/>
    <n v="27.85933205069292"/>
    <n v="0.75111927173311832"/>
    <n v="0.41337634386370309"/>
    <n v="33.955130847368054"/>
    <n v="0.7090583999046004"/>
    <n v="33.955130847368054"/>
    <n v="33.955130847368054"/>
    <n v="0.7090583999046004"/>
    <n v="74.835538455150441"/>
    <n v="0.41806588305152909"/>
    <n v="0.8"/>
    <s v="identity"/>
    <n v="6.2183031689843869E-2"/>
    <n v="0.54847078985013209"/>
    <n v="6.2183031689843869E-2"/>
    <n v="6.2183031689843869E-2"/>
    <n v="0.54847078985013209"/>
    <n v="0.13523487950704929"/>
    <n v="1.8019921687034261E-2"/>
    <n v="4.171215388951837E-2"/>
    <n v="0.85547629573852246"/>
    <n v="4.171215388951837E-2"/>
    <n v="4.171215388951837E-2"/>
    <n v="0.85547629573852246"/>
    <n v="7.5377545423312653E-2"/>
    <n v="0.7388329043959444"/>
    <n v="4.5226168068207111E-2"/>
    <n v="0.81843124032925707"/>
    <n v="4.5226168068207111E-2"/>
    <n v="4.5226168068207111E-2"/>
    <n v="0.81843124032925707"/>
    <n v="5.8130020220660598E-2"/>
    <n v="0.76662635545017199"/>
    <n v="135.6714020358242"/>
    <n v="0.61385527370049409"/>
    <n v="135.6714020358242"/>
    <n v="135.6714020358242"/>
    <n v="0.61385527370049409"/>
    <n v="299.07341137545109"/>
    <n v="0.14878435067296639"/>
    <s v="[[sv,wv],[yr],[ya]]"/>
    <x v="0"/>
    <x v="0"/>
    <x v="1"/>
    <x v="0"/>
    <x v="0"/>
    <x v="0"/>
    <x v="1"/>
    <x v="0"/>
  </r>
  <r>
    <d v="2026-03-12T17:49:21"/>
    <s v="03-12_17-49-2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0.1202546011562"/>
    <n v="34.055857237739701"/>
    <n v="0.70057777915733277"/>
    <n v="-0.12346053153400351"/>
    <n v="37.923621537247882"/>
    <n v="0.64464653885675283"/>
    <n v="37.923621537247882"/>
    <n v="37.923621537247882"/>
    <n v="0.64464653885675283"/>
    <n v="95.9726220670358"/>
    <n v="-5.7923630106210287E-2"/>
    <n v="0.8"/>
    <s v="identity"/>
    <n v="6.1948332927113728E-2"/>
    <n v="0.5501750063233215"/>
    <n v="6.1948332927113728E-2"/>
    <n v="6.1948332927113728E-2"/>
    <n v="0.5501750063233215"/>
    <n v="0.25293274168325408"/>
    <n v="-0.83661873616775195"/>
    <n v="8.8068819068574514E-2"/>
    <n v="0.6948603518428571"/>
    <n v="8.8068819068574514E-2"/>
    <n v="8.8068819068574514E-2"/>
    <n v="0.6948603518428571"/>
    <n v="0.1797622231428346"/>
    <n v="0.37716229078716768"/>
    <n v="5.8608288219827068E-2"/>
    <n v="0.76470626071059777"/>
    <n v="5.8608288219827068E-2"/>
    <n v="5.8608288219827068E-2"/>
    <n v="0.76470626071059777"/>
    <n v="0.16971016293655"/>
    <n v="0.31866737545755941"/>
    <n v="151.4858607087769"/>
    <n v="0.56884453655023093"/>
    <n v="151.4858607087769"/>
    <n v="151.4858607087769"/>
    <n v="0.56884453655023093"/>
    <n v="383.28808314038019"/>
    <n v="-9.0905450501820528E-2"/>
    <s v="[[sv,wv],[yr],[ya]]"/>
    <x v="1"/>
    <x v="0"/>
    <x v="2"/>
    <x v="0"/>
    <x v="0"/>
    <x v="0"/>
    <x v="2"/>
    <x v="0"/>
  </r>
  <r>
    <d v="2026-03-12T17:49:25"/>
    <s v="03-12_17-49-25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9.9234597691781043E-2"/>
    <n v="13.91751538487404"/>
    <n v="0.76675807356279846"/>
    <n v="0.34708642872169049"/>
    <n v="18.02215489987238"/>
    <n v="0.73051298756676153"/>
    <n v="18.02215489987238"/>
    <n v="18.02215489987238"/>
    <n v="0.73051298756676153"/>
    <n v="72.877201372304725"/>
    <n v="0.1861110598138522"/>
    <n v="0.8"/>
    <s v="identity"/>
    <n v="5.3490335211332597E-2"/>
    <n v="0.61159100558023438"/>
    <n v="5.3490335211332597E-2"/>
    <n v="5.3490335211332597E-2"/>
    <n v="0.61159100558023438"/>
    <n v="0.15086437946663139"/>
    <n v="-9.5470456314913799E-2"/>
    <n v="6.1428761789976291E-2"/>
    <n v="0.78716246047619787"/>
    <n v="6.1428761789976291E-2"/>
    <n v="6.1428761789976291E-2"/>
    <n v="0.78716246047619787"/>
    <n v="0.22586731122031531"/>
    <n v="0.2174180078161182"/>
    <n v="6.7762384489203145E-2"/>
    <n v="0.72795545964713981"/>
    <n v="6.7762384489203145E-2"/>
    <n v="6.7762384489203145E-2"/>
    <n v="0.72795545964713981"/>
    <n v="0.13681763196391661"/>
    <n v="0.45072048334248088"/>
    <n v="71.905938117999327"/>
    <n v="0.79534302456347883"/>
    <n v="71.905938117999327"/>
    <n v="71.905938117999327"/>
    <n v="0.79534302456347883"/>
    <n v="290.99525616656842"/>
    <n v="0.17177620441171729"/>
    <s v="[[sv,wv],[yr],[ya]]"/>
    <x v="1"/>
    <x v="0"/>
    <x v="2"/>
    <x v="0"/>
    <x v="0"/>
    <x v="0"/>
    <x v="2"/>
    <x v="0"/>
  </r>
  <r>
    <d v="2026-03-12T17:54:17"/>
    <s v="03-12_17-54-17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9.4211078974809681E-2"/>
    <n v="16.823278654985419"/>
    <n v="0.77395250132810789"/>
    <n v="0.27906436019868319"/>
    <n v="24.51959078665481"/>
    <n v="0.71686583986786645"/>
    <n v="24.51959078665481"/>
    <n v="24.51959078665481"/>
    <n v="0.71686583986786645"/>
    <n v="76.679664793619779"/>
    <n v="0.19438821587332111"/>
    <n v="0.8"/>
    <s v="identity"/>
    <n v="6.1264424973635531E-2"/>
    <n v="0.55514106233019933"/>
    <n v="6.1264424973635531E-2"/>
    <n v="6.1264424973635531E-2"/>
    <n v="0.55514106233019933"/>
    <n v="0.1591487600880005"/>
    <n v="-0.15562577098669131"/>
    <n v="5.081932786346624E-2"/>
    <n v="0.82392188304732339"/>
    <n v="5.081932786346624E-2"/>
    <n v="5.081932786346624E-2"/>
    <n v="0.82392188304732339"/>
    <n v="0.1849983898607018"/>
    <n v="0.35902009146077452"/>
    <n v="5.8020865507486863E-2"/>
    <n v="0.7670645770977208"/>
    <n v="5.8020865507486863E-2"/>
    <n v="5.8020865507486863E-2"/>
    <n v="0.7670645770977208"/>
    <n v="0.13805284614828239"/>
    <n v="0.44576148909285179"/>
    <n v="97.908258528274516"/>
    <n v="0.72133583699622328"/>
    <n v="97.908258528274516"/>
    <n v="97.908258528274516"/>
    <n v="0.72133583699622328"/>
    <n v="306.23645917838257"/>
    <n v="0.12839705392635431"/>
    <s v="[[sv,wv],[yr],[ya]]"/>
    <x v="1"/>
    <x v="0"/>
    <x v="2"/>
    <x v="0"/>
    <x v="0"/>
    <x v="0"/>
    <x v="2"/>
    <x v="0"/>
  </r>
  <r>
    <d v="2026-03-12T17:52:48"/>
    <s v="03-12_17-52-4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9.821270329244737E-2"/>
    <n v="18.853964933729941"/>
    <n v="0.73910509024728699"/>
    <n v="-0.11914764587911"/>
    <n v="25.708416398778141"/>
    <n v="0.68372360606576921"/>
    <n v="25.708416398778141"/>
    <n v="25.708416398778141"/>
    <n v="0.68372360606576921"/>
    <n v="131.9577132891485"/>
    <n v="-0.10685237207688141"/>
    <n v="0.8"/>
    <s v="identity"/>
    <n v="5.3442874176015273E-2"/>
    <n v="0.61193563406178897"/>
    <n v="5.3442874176015273E-2"/>
    <n v="5.3442874176015273E-2"/>
    <n v="0.61193563406178897"/>
    <n v="0.13681735927699279"/>
    <n v="6.5290724765183494E-3"/>
    <n v="8.0370758414086099E-2"/>
    <n v="0.72153248784338553"/>
    <n v="8.0370758414086099E-2"/>
    <n v="8.0370758414086099E-2"/>
    <n v="0.72153248784338553"/>
    <n v="0.30824292824656302"/>
    <n v="-6.7995911229902672E-2"/>
    <n v="7.6342028658603373E-2"/>
    <n v="0.6935109020647916"/>
    <n v="7.6342028658603373E-2"/>
    <n v="7.6342028658603373E-2"/>
    <n v="0.6935109020647916"/>
    <n v="0.21558941780898591"/>
    <n v="0.1344766788404381"/>
    <n v="102.623509933864"/>
    <n v="0.70791540029310784"/>
    <n v="102.623509933864"/>
    <n v="102.623509933864"/>
    <n v="0.70791540029310784"/>
    <n v="527.17020345126082"/>
    <n v="-0.50041932839457703"/>
    <s v="[[sv,wv],[yr],[ya]]"/>
    <x v="1"/>
    <x v="0"/>
    <x v="2"/>
    <x v="0"/>
    <x v="0"/>
    <x v="0"/>
    <x v="2"/>
    <x v="0"/>
  </r>
  <r>
    <d v="2026-03-12T21:15:56"/>
    <s v="03-12_21-15-5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098711914476046"/>
    <n v="21.41505663570738"/>
    <n v="0.75155401673030342"/>
    <n v="-0.22465139732041761"/>
    <n v="25.72758153684082"/>
    <n v="0.67513756097676114"/>
    <n v="25.72758153684082"/>
    <n v="25.72758153684082"/>
    <n v="0.67513756097676114"/>
    <n v="99.546094421068133"/>
    <n v="-0.3777744056670026"/>
    <n v="0.8"/>
    <s v="identity"/>
    <n v="6.3142427771246873E-2"/>
    <n v="0.54150433383979379"/>
    <n v="6.3142427771246873E-2"/>
    <n v="6.3142427771246873E-2"/>
    <n v="0.54150433383979379"/>
    <n v="0.26473953275712381"/>
    <n v="-0.92235130505534424"/>
    <n v="7.7776959144385052E-2"/>
    <n v="0.73051944832403592"/>
    <n v="7.7776959144385052E-2"/>
    <n v="7.7776959144385052E-2"/>
    <n v="0.73051944832403592"/>
    <n v="0.30397506629683219"/>
    <n v="-5.3208681112622447E-2"/>
    <n v="6.953763429994303E-2"/>
    <n v="0.72082839317191594"/>
    <n v="6.953763429994303E-2"/>
    <n v="6.953763429994303E-2"/>
    <n v="0.72082839317191594"/>
    <n v="0.3499277725433208"/>
    <n v="-0.40484932394042072"/>
    <n v="102.6998691261475"/>
    <n v="0.70769806857129813"/>
    <n v="102.6998691261475"/>
    <n v="102.6998691261475"/>
    <n v="0.70769806857129813"/>
    <n v="397.26573531267672"/>
    <n v="-0.13068831255963251"/>
    <s v="[[sv,wv],[yr],[ya]]"/>
    <x v="1"/>
    <x v="0"/>
    <x v="3"/>
    <x v="0"/>
    <x v="0"/>
    <x v="0"/>
    <x v="3"/>
    <x v="0"/>
  </r>
  <r>
    <d v="2026-03-12T21:19:10"/>
    <s v="03-12_21-19-1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0197402461202761"/>
    <n v="21.461745238896189"/>
    <n v="0.75128448277710036"/>
    <n v="-0.28970478126193461"/>
    <n v="28.42680313028195"/>
    <n v="0.69305341764251072"/>
    <n v="28.42680313028195"/>
    <n v="28.42680313028195"/>
    <n v="0.69305341764251072"/>
    <n v="107.97230592890109"/>
    <n v="-0.2467334793661296"/>
    <n v="0.8"/>
    <s v="identity"/>
    <n v="6.1865077477480782E-2"/>
    <n v="0.55077954853350097"/>
    <n v="6.1865077477480782E-2"/>
    <n v="6.1865077477480782E-2"/>
    <n v="0.55077954853350097"/>
    <n v="0.16013772765080581"/>
    <n v="-0.16280695418670971"/>
    <n v="5.6122502761707299E-2"/>
    <n v="0.80554751468767671"/>
    <n v="5.6122502761707299E-2"/>
    <n v="5.6122502761707299E-2"/>
    <n v="0.80554751468767671"/>
    <n v="0.35810496982675522"/>
    <n v="-0.24075723567016391"/>
    <n v="6.5012212878440195E-2"/>
    <n v="0.73899652877983402"/>
    <n v="6.5012212878440195E-2"/>
    <n v="6.5012212878440195E-2"/>
    <n v="0.73899652877983402"/>
    <n v="0.33790298493855497"/>
    <n v="-0.35657360517051079"/>
    <n v="113.5242127280101"/>
    <n v="0.67689007856903238"/>
    <n v="113.5242127280101"/>
    <n v="113.5242127280101"/>
    <n v="0.67689007856903238"/>
    <n v="431.033078033187"/>
    <n v="-0.22679612243713379"/>
    <s v="[[sv,wv],[yr],[ya]]"/>
    <x v="1"/>
    <x v="0"/>
    <x v="3"/>
    <x v="0"/>
    <x v="0"/>
    <x v="0"/>
    <x v="3"/>
    <x v="0"/>
  </r>
  <r>
    <d v="2026-03-12T21:17:31"/>
    <s v="03-12_21-17-3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128872621022769"/>
    <n v="19.30118091093782"/>
    <n v="0.70507793498226812"/>
    <n v="-0.17684999909332949"/>
    <n v="24.067712003484552"/>
    <n v="0.64194214553961992"/>
    <n v="24.067712003484552"/>
    <n v="24.067712003484552"/>
    <n v="0.64194214553961992"/>
    <n v="104.4598326566225"/>
    <n v="-0.1850506948650549"/>
    <n v="0.8"/>
    <s v="identity"/>
    <n v="6.0872280132182183E-2"/>
    <n v="0.55798854090617067"/>
    <n v="6.0872280132182183E-2"/>
    <n v="6.0872280132182183E-2"/>
    <n v="0.55798854090617067"/>
    <n v="0.1589462380317245"/>
    <n v="-0.15415519900550631"/>
    <n v="6.1437280017025309E-2"/>
    <n v="0.78713294663881306"/>
    <n v="6.1437280017025309E-2"/>
    <n v="6.1437280017025309E-2"/>
    <n v="0.78713294663881306"/>
    <n v="0.31955470548122827"/>
    <n v="-0.10718880335589009"/>
    <n v="0.12555274563801011"/>
    <n v="0.49594543883599262"/>
    <n v="0.12555274563801011"/>
    <n v="0.12555274563801011"/>
    <n v="0.49594543883599262"/>
    <n v="0.32179176663693898"/>
    <n v="-0.29189215969856058"/>
    <n v="96.02298570815023"/>
    <n v="0.72670165577750612"/>
    <n v="96.02298570815023"/>
    <n v="96.02298570815023"/>
    <n v="0.72670165577750612"/>
    <n v="417.03903791633951"/>
    <n v="-0.1869666174002691"/>
    <s v="[[sv,wv],[yr],[ya]]"/>
    <x v="1"/>
    <x v="0"/>
    <x v="3"/>
    <x v="0"/>
    <x v="0"/>
    <x v="0"/>
    <x v="3"/>
    <x v="0"/>
  </r>
  <r>
    <d v="2026-03-12T21:20:54"/>
    <s v="03-12_21-20-5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003715412608423"/>
    <n v="20.18177743199902"/>
    <n v="0.7355726652014134"/>
    <n v="-0.41705872643624248"/>
    <n v="27.44964695998301"/>
    <n v="0.67597587743146637"/>
    <n v="27.44964695998301"/>
    <n v="27.44964695998301"/>
    <n v="0.67597587743146637"/>
    <n v="133.3115486015277"/>
    <n v="-0.35457782703623902"/>
    <n v="0.8"/>
    <s v="identity"/>
    <n v="5.5188031207889933E-2"/>
    <n v="0.5992635375946983"/>
    <n v="5.5188031207889933E-2"/>
    <n v="5.5188031207889933E-2"/>
    <n v="0.5992635375946983"/>
    <n v="0.1763949249268873"/>
    <n v="-0.28085522629304699"/>
    <n v="8.3618919125410363E-2"/>
    <n v="0.7102783047273431"/>
    <n v="8.3618919125410363E-2"/>
    <n v="8.3618919125410363E-2"/>
    <n v="0.7102783047273431"/>
    <n v="0.36220428993753029"/>
    <n v="-0.25496050431296752"/>
    <n v="7.3165292413222532E-2"/>
    <n v="0.70626449328227014"/>
    <n v="7.3165292413222532E-2"/>
    <n v="7.3165292413222532E-2"/>
    <n v="0.70626449328227014"/>
    <n v="0.34057108461975638"/>
    <n v="-0.36728518146552308"/>
    <n v="109.5866155971851"/>
    <n v="0.68809717412155491"/>
    <n v="109.5866155971851"/>
    <n v="109.5866155971851"/>
    <n v="0.68809717412155491"/>
    <n v="532.3670241066261"/>
    <n v="-0.51521039607340691"/>
    <s v="[[sv,wv],[yr],[ya]]"/>
    <x v="1"/>
    <x v="0"/>
    <x v="3"/>
    <x v="0"/>
    <x v="0"/>
    <x v="0"/>
    <x v="3"/>
    <x v="0"/>
  </r>
  <r>
    <d v="2026-03-13T00:46:35"/>
    <s v="03-13_00-46-3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30908920817978"/>
    <n v="53.491141814485779"/>
    <n v="0.62000049105703614"/>
    <n v="-0.45471537592996292"/>
    <n v="56.698975505613767"/>
    <n v="0.5708313684800872"/>
    <n v="56.698975505613767"/>
    <n v="56.698975505613767"/>
    <n v="0.5708313684800872"/>
    <n v="122.3627221372458"/>
    <n v="-0.48050644040467572"/>
    <n v="0.8"/>
    <s v="identity"/>
    <n v="6.736000203657283E-2"/>
    <n v="0.51087929152488076"/>
    <n v="6.736000203657283E-2"/>
    <n v="6.736000203657283E-2"/>
    <n v="0.51087929152488076"/>
    <n v="0.13797043540194759"/>
    <n v="-1.843751070272015E-3"/>
    <n v="4.7261129596429773E-2"/>
    <n v="0.83625028007546398"/>
    <n v="4.7261129596429773E-2"/>
    <n v="4.7261129596429773E-2"/>
    <n v="0.83625028007546398"/>
    <n v="0.52975699799058806"/>
    <n v="-0.83549485147250691"/>
    <n v="0.1043484963422146"/>
    <n v="0.58107379281416893"/>
    <n v="0.1043484963422146"/>
    <n v="0.1043484963422146"/>
    <n v="0.58107379281416893"/>
    <n v="0.42213178146262231"/>
    <n v="-0.69472558148585772"/>
    <n v="226.5769323944794"/>
    <n v="0.35512210950583623"/>
    <n v="226.5769323944794"/>
    <n v="226.5769323944794"/>
    <n v="0.35512210950583623"/>
    <n v="488.36102933412758"/>
    <n v="-0.38996157759007638"/>
    <s v="[[sv,wv],[yr],[ya]]"/>
    <x v="0"/>
    <x v="0"/>
    <x v="0"/>
    <x v="1"/>
    <x v="0"/>
    <x v="0"/>
    <x v="0"/>
    <x v="1"/>
  </r>
  <r>
    <d v="2026-03-13T00:43:38"/>
    <s v="03-13_00-43-38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3374928835505431"/>
    <n v="41.937279574135033"/>
    <n v="0.63063919480934949"/>
    <n v="-0.44308286093091592"/>
    <n v="45.635917583487533"/>
    <n v="0.58120244029507728"/>
    <n v="45.635917583487533"/>
    <n v="45.635917583487533"/>
    <n v="0.58120244029507728"/>
    <n v="127.55049825700389"/>
    <n v="-0.48318481565171922"/>
    <n v="0.8"/>
    <s v="identity"/>
    <n v="6.1171842094467938E-2"/>
    <n v="0.55581333373877984"/>
    <n v="6.1171842094467938E-2"/>
    <n v="6.1171842094467938E-2"/>
    <n v="0.55581333373877984"/>
    <n v="0.17917108924770739"/>
    <n v="-0.30101376872755597"/>
    <n v="8.3284397330513557E-2"/>
    <n v="0.71143735129882291"/>
    <n v="8.3284397330513557E-2"/>
    <n v="8.3284397330513557E-2"/>
    <n v="0.71143735129882291"/>
    <n v="0.44974603210737291"/>
    <n v="-0.55827394359014804"/>
    <n v="0.1055128990082829"/>
    <n v="0.57639908441268561"/>
    <n v="0.1055128990082829"/>
    <n v="0.1055128990082829"/>
    <n v="0.57639908441268561"/>
    <n v="0.40458187553100883"/>
    <n v="-0.62426826023910564"/>
    <n v="182.29370119551649"/>
    <n v="0.48115999173002122"/>
    <n v="182.29370119551649"/>
    <n v="182.29370119551649"/>
    <n v="0.48115999173002122"/>
    <n v="509.16849403113088"/>
    <n v="-0.44918329005007868"/>
    <s v="[[sv,wv],[yr],[ya]]"/>
    <x v="0"/>
    <x v="0"/>
    <x v="0"/>
    <x v="1"/>
    <x v="0"/>
    <x v="0"/>
    <x v="0"/>
    <x v="1"/>
  </r>
  <r>
    <d v="2026-03-13T00:46:21"/>
    <s v="03-13_00-46-2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2723088926806869"/>
    <n v="52.410908379041892"/>
    <n v="0.63183036754484856"/>
    <n v="-1.1519068981676721"/>
    <n v="58.034154754673807"/>
    <n v="0.578362666800457"/>
    <n v="58.034154754673807"/>
    <n v="58.034154754673807"/>
    <n v="0.578362666800457"/>
    <n v="127.96922754850191"/>
    <n v="-1.1467382140724669"/>
    <n v="0.8"/>
    <s v="identity"/>
    <n v="7.0812232178269444E-2"/>
    <n v="0.48581163710573438"/>
    <n v="7.0812232178269444E-2"/>
    <n v="7.0812232178269444E-2"/>
    <n v="0.48581163710573438"/>
    <n v="0.1588623847000058"/>
    <n v="-0.1535463153983474"/>
    <n v="6.2746981045838188E-2"/>
    <n v="0.78259511230255585"/>
    <n v="6.2746981045838188E-2"/>
    <n v="6.2746981045838188E-2"/>
    <n v="0.78259511230255585"/>
    <n v="0.8509487826713662"/>
    <n v="-1.9483557846041699"/>
    <n v="7.3441278462220705E-2"/>
    <n v="0.70515649659045554"/>
    <n v="7.3441278462220705E-2"/>
    <n v="7.3441278462220705E-2"/>
    <n v="0.70515649659045554"/>
    <n v="0.75552235615438468"/>
    <n v="-2.0331832867994528"/>
    <n v="231.9296185270089"/>
    <n v="0.33988742120308701"/>
    <n v="231.9296185270089"/>
    <n v="231.9296185270089"/>
    <n v="0.33988742120308701"/>
    <n v="510.11157667048082"/>
    <n v="-0.4518674694879341"/>
    <s v="[[sv,wv],[yr],[ya]]"/>
    <x v="0"/>
    <x v="0"/>
    <x v="0"/>
    <x v="1"/>
    <x v="0"/>
    <x v="0"/>
    <x v="0"/>
    <x v="1"/>
  </r>
  <r>
    <d v="2026-03-13T00:49:04"/>
    <s v="03-13_00-49-0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3057091190828429"/>
    <n v="44.420535861118097"/>
    <n v="0.6095347071524595"/>
    <n v="-0.56680668708076665"/>
    <n v="53.260738265140731"/>
    <n v="0.54571625480790698"/>
    <n v="53.260738265140731"/>
    <n v="53.260738265140731"/>
    <n v="0.54571625480790698"/>
    <n v="120.780491047737"/>
    <n v="-0.54429048476377839"/>
    <n v="0.8"/>
    <s v="identity"/>
    <n v="5.6829116101866577E-2"/>
    <n v="0.58734713940970629"/>
    <n v="5.6829116101866577E-2"/>
    <n v="5.6829116101866577E-2"/>
    <n v="0.58734713940970629"/>
    <n v="0.17186148310383831"/>
    <n v="-0.24793657710540981"/>
    <n v="7.7825747460193939E-2"/>
    <n v="0.73035040723006461"/>
    <n v="7.7825747460193939E-2"/>
    <n v="7.7825747460193939E-2"/>
    <n v="0.73035040723006461"/>
    <n v="0.48325301454253899"/>
    <n v="-0.67436848123931359"/>
    <n v="0.13182437635274791"/>
    <n v="0.47076682524506219"/>
    <n v="0.13182437635274791"/>
    <n v="0.13182437635274791"/>
    <n v="0.47076682524506219"/>
    <n v="0.46902975685576048"/>
    <n v="-0.88300611877035773"/>
    <n v="212.77647382064859"/>
    <n v="0.39440064734679142"/>
    <n v="212.77647382064859"/>
    <n v="212.77647382064859"/>
    <n v="0.39440064734679142"/>
    <n v="481.99781993644592"/>
    <n v="-0.37185076194002931"/>
    <s v="[[sv,wv],[yr],[ya]]"/>
    <x v="0"/>
    <x v="0"/>
    <x v="0"/>
    <x v="1"/>
    <x v="0"/>
    <x v="0"/>
    <x v="0"/>
    <x v="1"/>
  </r>
  <r>
    <d v="2026-03-13T04:12:36"/>
    <s v="03-13_04-12-3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1015472571900869"/>
    <n v="14.68514173513555"/>
    <n v="0.72445507508084761"/>
    <n v="-0.34360729945109542"/>
    <n v="16.29250651742981"/>
    <n v="0.69757276734275475"/>
    <n v="16.29250651742981"/>
    <n v="16.29250651742981"/>
    <n v="0.69757276734275475"/>
    <n v="127.5170543071917"/>
    <n v="-0.37704851201262057"/>
    <n v="0.8"/>
    <s v="identity"/>
    <n v="5.4915053691454788E-2"/>
    <n v="0.60124570731262739"/>
    <n v="5.4915053691454788E-2"/>
    <n v="5.4915053691454788E-2"/>
    <n v="0.60124570731262739"/>
    <n v="0.1513432001726232"/>
    <n v="-9.8947313735733511E-2"/>
    <n v="6.2050098976466572E-2"/>
    <n v="0.78500965983145476"/>
    <n v="6.2050098976466572E-2"/>
    <n v="6.2050098976466572E-2"/>
    <n v="0.78500965983145476"/>
    <n v="0.42452071796896701"/>
    <n v="-0.47087361777388881"/>
    <n v="0.1023999144130931"/>
    <n v="0.58889673291941569"/>
    <n v="0.1023999144130931"/>
    <n v="0.1023999144130931"/>
    <n v="0.58889673291941569"/>
    <n v="0.37096917753988268"/>
    <n v="-0.48932390956513577"/>
    <n v="64.950661002638327"/>
    <n v="0.81513896930752383"/>
    <n v="64.950661002638327"/>
    <n v="64.950661002638327"/>
    <n v="0.81513896930752383"/>
    <n v="509.12138413308429"/>
    <n v="-0.44904920697572259"/>
    <s v="[[sv,wv],[yr],[ya]]"/>
    <x v="0"/>
    <x v="1"/>
    <x v="0"/>
    <x v="2"/>
    <x v="0"/>
    <x v="0"/>
    <x v="0"/>
    <x v="2"/>
  </r>
  <r>
    <d v="2026-03-13T04:12:38"/>
    <s v="03-13_04-12-38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2724837363434319"/>
    <n v="34.589987728223157"/>
    <n v="0.67327818513969873"/>
    <n v="-0.63246535715412455"/>
    <n v="38.015342679936687"/>
    <n v="0.62201302375345047"/>
    <n v="38.015342679936687"/>
    <n v="38.015342679936687"/>
    <n v="0.62201302375345047"/>
    <n v="110.60647454497141"/>
    <n v="-0.57395608476279758"/>
    <n v="0.8"/>
    <s v="identity"/>
    <n v="5.9210419643722041E-2"/>
    <n v="0.57005579676909501"/>
    <n v="5.9210419643722041E-2"/>
    <n v="5.9210419643722041E-2"/>
    <n v="0.57005579676909501"/>
    <n v="0.20843332964501271"/>
    <n v="-0.51349546887548847"/>
    <n v="6.6313754471286956E-2"/>
    <n v="0.77023700418201613"/>
    <n v="6.6313754471286956E-2"/>
    <n v="6.6313754471286956E-2"/>
    <n v="0.77023700418201613"/>
    <n v="0.67374398451381246"/>
    <n v="-1.3343790067453649"/>
    <n v="0.10464145200041169"/>
    <n v="0.57989766850894009"/>
    <n v="0.10464145200041169"/>
    <n v="0.10464145200041169"/>
    <n v="0.57989766850894009"/>
    <n v="0.29693091811465577"/>
    <n v="-0.19208371641533711"/>
    <n v="151.8312050936315"/>
    <n v="0.56786162555375164"/>
    <n v="151.8312050936315"/>
    <n v="151.8312050936315"/>
    <n v="0.56786162555375164"/>
    <n v="441.24678994761149"/>
    <n v="-0.25586614701501847"/>
    <s v="[[sv,wv],[yr],[ya]]"/>
    <x v="0"/>
    <x v="1"/>
    <x v="0"/>
    <x v="2"/>
    <x v="0"/>
    <x v="0"/>
    <x v="0"/>
    <x v="2"/>
  </r>
  <r>
    <d v="2026-03-13T04:13:45"/>
    <s v="03-13_04-13-4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080887882921457"/>
    <n v="23.423659961236151"/>
    <n v="0.72643841285440902"/>
    <n v="-0.48231438896221229"/>
    <n v="24.78689789474873"/>
    <n v="0.68237231282100252"/>
    <n v="24.78689789474873"/>
    <n v="24.78689789474873"/>
    <n v="0.68237231282100252"/>
    <n v="141.65340486339781"/>
    <n v="-0.43896266775083448"/>
    <n v="0.8"/>
    <s v="identity"/>
    <n v="6.7310008402059168E-2"/>
    <n v="0.51124230995114639"/>
    <n v="6.7310008402059168E-2"/>
    <n v="6.7310008402059168E-2"/>
    <n v="0.51124230995114639"/>
    <n v="0.15681586872182321"/>
    <n v="-0.13868596333643901"/>
    <n v="5.8779467310275967E-2"/>
    <n v="0.79634170000671722"/>
    <n v="5.8779467310275967E-2"/>
    <n v="5.8779467310275967E-2"/>
    <n v="0.79634170000671722"/>
    <n v="0.43851214621610668"/>
    <n v="-0.51935092833284879"/>
    <n v="7.3846985727218484E-2"/>
    <n v="0.70352771024747018"/>
    <n v="7.3846985727218484E-2"/>
    <n v="7.3846985727218484E-2"/>
    <n v="0.70352771024747018"/>
    <n v="0.37060971096547612"/>
    <n v="-0.48788076496885568"/>
    <n v="98.947655117555357"/>
    <n v="0.71837753107867619"/>
    <n v="98.947655117555357"/>
    <n v="98.947655117555357"/>
    <n v="0.71837753107867619"/>
    <n v="565.64768172768572"/>
    <n v="-0.60993301436519909"/>
    <s v="[[sv,wv],[yr],[ya]]"/>
    <x v="0"/>
    <x v="1"/>
    <x v="0"/>
    <x v="2"/>
    <x v="0"/>
    <x v="0"/>
    <x v="0"/>
    <x v="2"/>
  </r>
  <r>
    <d v="2026-03-13T04:16:56"/>
    <s v="03-13_04-16-56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118409992777513"/>
    <n v="19.38186904759776"/>
    <n v="0.68772719010243044"/>
    <n v="-0.34287045968296642"/>
    <n v="25.644849586422819"/>
    <n v="0.63266956190370471"/>
    <n v="25.644849586422819"/>
    <n v="25.644849586422819"/>
    <n v="0.63266956190370471"/>
    <n v="119.93404018216999"/>
    <n v="-0.60706979782032633"/>
    <n v="0.8"/>
    <s v="identity"/>
    <n v="5.2716243873553531E-2"/>
    <n v="0.61721190956051308"/>
    <n v="5.2716243873553531E-2"/>
    <n v="5.2716243873553531E-2"/>
    <n v="0.61721190956051308"/>
    <n v="0.23915078353456751"/>
    <n v="-0.73654390050785956"/>
    <n v="8.1868531788084259E-2"/>
    <n v="0.7163430229999308"/>
    <n v="8.1868531788084259E-2"/>
    <n v="8.1868531788084259E-2"/>
    <n v="0.7163430229999308"/>
    <n v="0.4506793856966741"/>
    <n v="-0.56150781442954023"/>
    <n v="0.12744800451423721"/>
    <n v="0.48833657392193391"/>
    <n v="0.12744800451423721"/>
    <n v="0.12744800451423721"/>
    <n v="0.48833657392193391"/>
    <n v="0.44039100882100352"/>
    <n v="-0.76803060390136402"/>
    <n v="102.3173655655156"/>
    <n v="0.70878674113244555"/>
    <n v="102.3173655655156"/>
    <n v="102.3173655655156"/>
    <n v="0.70878674113244555"/>
    <n v="478.60593955062768"/>
    <n v="-0.36219687244254639"/>
    <s v="[[sv,wv],[yr],[ya]]"/>
    <x v="0"/>
    <x v="1"/>
    <x v="0"/>
    <x v="2"/>
    <x v="0"/>
    <x v="0"/>
    <x v="0"/>
    <x v="2"/>
  </r>
  <r>
    <d v="2026-03-13T07:39:11"/>
    <s v="03-13_07-39-1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02056713105243"/>
    <n v="12.57406528467263"/>
    <n v="0.75408562703914872"/>
    <n v="-0.64686306651112213"/>
    <n v="15.11613562738375"/>
    <n v="0.70961502226013518"/>
    <n v="15.11613562738375"/>
    <n v="15.11613562738375"/>
    <n v="0.70961502226013518"/>
    <n v="129.81012366844689"/>
    <n v="-0.64262483090662958"/>
    <n v="0.8"/>
    <s v="identity"/>
    <n v="6.3820967297522888E-2"/>
    <n v="0.53657725955555757"/>
    <n v="6.3820967297522888E-2"/>
    <n v="6.3820967297522888E-2"/>
    <n v="0.53657725955555757"/>
    <n v="0.1684667399529976"/>
    <n v="-0.223286352568173"/>
    <n v="5.8440451557891127E-2"/>
    <n v="0.79751631718106464"/>
    <n v="5.8440451557891127E-2"/>
    <n v="5.8440451557891127E-2"/>
    <n v="0.79751631718106464"/>
    <n v="0.63597881967638825"/>
    <n v="-1.203530776543535"/>
    <n v="8.0733259219832196E-2"/>
    <n v="0.67588150031604899"/>
    <n v="8.0733259219832196E-2"/>
    <n v="8.0733259219832196E-2"/>
    <n v="0.67588150031604899"/>
    <n v="0.41579994203312398"/>
    <n v="-0.66930524894929477"/>
    <n v="60.261547831460163"/>
    <n v="0.82848501198786617"/>
    <n v="60.261547831460163"/>
    <n v="60.261547831460163"/>
    <n v="0.82848501198786617"/>
    <n v="518.02024917212452"/>
    <n v="-0.47437694556553311"/>
    <s v="[[sv,wv],[yr],[ya]]"/>
    <x v="0"/>
    <x v="1"/>
    <x v="0"/>
    <x v="3"/>
    <x v="0"/>
    <x v="0"/>
    <x v="0"/>
    <x v="3"/>
  </r>
  <r>
    <d v="2026-03-13T07:40:10"/>
    <s v="03-13_07-40-1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24824139955026"/>
    <n v="27.578352832234611"/>
    <n v="0.67411213800950609"/>
    <n v="-0.91789094117254955"/>
    <n v="35.432708103530373"/>
    <n v="0.61011746638555264"/>
    <n v="35.432708103530373"/>
    <n v="35.432708103530373"/>
    <n v="0.61011746638555264"/>
    <n v="218.32486954680061"/>
    <n v="-0.72186270791129514"/>
    <n v="0.8"/>
    <s v="identity"/>
    <n v="5.8839851688249893E-2"/>
    <n v="0.57274659925482396"/>
    <n v="5.8839851688249893E-2"/>
    <n v="5.8839851688249893E-2"/>
    <n v="0.57274659925482396"/>
    <n v="0.23818285064807279"/>
    <n v="-0.7295154562548205"/>
    <n v="8.0555633036388574E-2"/>
    <n v="0.7208919367630009"/>
    <n v="8.0555633036388574E-2"/>
    <n v="8.0555633036388574E-2"/>
    <n v="0.7208919367630009"/>
    <n v="0.32996885547424909"/>
    <n v="-0.14327160880661061"/>
    <n v="0.1122115436728047"/>
    <n v="0.54950614487869776"/>
    <n v="0.1122115436728047"/>
    <n v="0.1122115436728047"/>
    <n v="0.54950614487869776"/>
    <n v="0.38154999008139068"/>
    <n v="-0.53180252518812865"/>
    <n v="141.47922538572411"/>
    <n v="0.59732518464568507"/>
    <n v="141.47922538572411"/>
    <n v="141.47922538572411"/>
    <n v="0.59732518464568507"/>
    <n v="872.34977649100222"/>
    <n v="-1.482861241395639"/>
    <s v="[[sv,wv],[yr],[ya]]"/>
    <x v="0"/>
    <x v="1"/>
    <x v="0"/>
    <x v="3"/>
    <x v="0"/>
    <x v="0"/>
    <x v="0"/>
    <x v="3"/>
  </r>
  <r>
    <d v="2026-03-13T07:40:20"/>
    <s v="03-13_07-40-2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178468952772333"/>
    <n v="19.184019052432468"/>
    <n v="0.69592058780354915"/>
    <n v="-0.39805017854384761"/>
    <n v="22.543995045812871"/>
    <n v="0.6638156520201608"/>
    <n v="22.543995045812871"/>
    <n v="22.543995045812871"/>
    <n v="0.6638156520201608"/>
    <n v="146.23021866503939"/>
    <n v="-0.38247794262890422"/>
    <n v="0.8"/>
    <s v="identity"/>
    <n v="8.2109059917206878E-2"/>
    <n v="0.40378206139119682"/>
    <n v="8.2109059917206878E-2"/>
    <n v="8.2109059917206878E-2"/>
    <n v="0.40378206139119682"/>
    <n v="0.14063883822083489"/>
    <n v="-2.1219805669595582E-2"/>
    <n v="5.6900725259366847E-2"/>
    <n v="0.80285113994761226"/>
    <n v="5.6900725259366847E-2"/>
    <n v="5.6900725259366847E-2"/>
    <n v="0.80285113994761226"/>
    <n v="0.44060366266846668"/>
    <n v="-0.52659758612998675"/>
    <n v="7.3559684861614127E-2"/>
    <n v="0.70468113234906049"/>
    <n v="7.3559684861614127E-2"/>
    <n v="7.3559684861614127E-2"/>
    <n v="0.70468113234906049"/>
    <n v="0.32876724723772532"/>
    <n v="-0.31989650795291608"/>
    <n v="89.963410713213108"/>
    <n v="0.74394827439277977"/>
    <n v="89.963410713213108"/>
    <n v="89.963410713213108"/>
    <n v="0.74394827439277977"/>
    <n v="584.01086491203091"/>
    <n v="-0.66219787076311798"/>
    <s v="[[sv,wv],[yr],[ya]]"/>
    <x v="0"/>
    <x v="1"/>
    <x v="0"/>
    <x v="3"/>
    <x v="0"/>
    <x v="0"/>
    <x v="0"/>
    <x v="3"/>
  </r>
  <r>
    <d v="2026-03-13T07:44:38"/>
    <s v="03-13_07-44-3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2219120583993"/>
    <n v="25.681658374910711"/>
    <n v="0.66643190196812818"/>
    <n v="-0.55139346537210332"/>
    <n v="30.060206662335709"/>
    <n v="0.59864489023046852"/>
    <n v="30.060206662335709"/>
    <n v="30.060206662335709"/>
    <n v="0.59864489023046852"/>
    <n v="125.0588051183946"/>
    <n v="-0.45115975164592181"/>
    <n v="0.8"/>
    <s v="identity"/>
    <n v="6.0512356464049108E-2"/>
    <n v="0.56060205210319558"/>
    <n v="6.0512356464049108E-2"/>
    <n v="6.0512356464049108E-2"/>
    <n v="0.56060205210319558"/>
    <n v="0.19325125786586539"/>
    <n v="-0.40325399796958239"/>
    <n v="7.8953274998107323E-2"/>
    <n v="0.72644376513079356"/>
    <n v="7.8953274998107323E-2"/>
    <n v="7.8953274998107323E-2"/>
    <n v="0.72644376513079356"/>
    <n v="0.52044561550974866"/>
    <n v="-0.80323289992019209"/>
    <n v="0.1372529691037129"/>
    <n v="0.44897274242416541"/>
    <n v="0.1372529691037129"/>
    <n v="0.1372529691037129"/>
    <n v="0.44897274242416541"/>
    <n v="0.29323864455067128"/>
    <n v="-0.17726040592910081"/>
    <n v="119.96410804877721"/>
    <n v="0.65856100126371775"/>
    <n v="119.96410804877721"/>
    <n v="119.96410804877721"/>
    <n v="0.65856100126371775"/>
    <n v="499.22828495565022"/>
    <n v="-0.42089170276480958"/>
    <s v="[[sv,wv],[yr],[ya]]"/>
    <x v="0"/>
    <x v="1"/>
    <x v="0"/>
    <x v="3"/>
    <x v="0"/>
    <x v="0"/>
    <x v="0"/>
    <x v="3"/>
  </r>
  <r>
    <d v="2026-03-13T11:27:09"/>
    <s v="03-13_11-27-09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1251971950149731"/>
    <n v="48.974712099923323"/>
    <n v="0.68746766271290416"/>
    <n v="-0.1531378235902868"/>
    <n v="51.46971452467443"/>
    <n v="0.63059576635023373"/>
    <n v="51.46971452467443"/>
    <n v="51.46971452467443"/>
    <n v="0.63059576635023373"/>
    <n v="90.41693778353698"/>
    <n v="-0.1448133331733073"/>
    <n v="0.8"/>
    <s v="identity"/>
    <n v="6.9853750145910401E-2"/>
    <n v="0.49277145593818611"/>
    <n v="6.9853750145910401E-2"/>
    <n v="6.9853750145910401E-2"/>
    <n v="0.49277145593818611"/>
    <n v="0.14510203453315901"/>
    <n v="-5.362838162483663E-2"/>
    <n v="4.7512318006087517E-2"/>
    <n v="0.83537996588532559"/>
    <n v="4.7512318006087517E-2"/>
    <n v="4.7512318006087517E-2"/>
    <n v="0.83537996588532559"/>
    <n v="0.35740960167958757"/>
    <n v="-0.2383479335583554"/>
    <n v="5.4871334480869997E-2"/>
    <n v="0.77970894796692447"/>
    <n v="5.4871334480869997E-2"/>
    <n v="5.4871334480869997E-2"/>
    <n v="0.77970894796692447"/>
    <n v="0.31390530473217448"/>
    <n v="-0.26023050965385403"/>
    <n v="205.70662069606419"/>
    <n v="0.41452269561050359"/>
    <n v="205.70662069606419"/>
    <n v="205.70662069606419"/>
    <n v="0.41452269561050359"/>
    <n v="360.85133419320448"/>
    <n v="-2.704650785619056E-2"/>
    <s v="[[sv,wv],[yr],[ya]]"/>
    <x v="0"/>
    <x v="0"/>
    <x v="1"/>
    <x v="1"/>
    <x v="0"/>
    <x v="0"/>
    <x v="1"/>
    <x v="1"/>
  </r>
  <r>
    <d v="2026-03-13T11:31:02"/>
    <s v="03-13_11-31-02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2739533938183409"/>
    <n v="44.695098844356998"/>
    <n v="0.66238861923126369"/>
    <n v="-0.1003341027525835"/>
    <n v="48.192402820417961"/>
    <n v="0.62241719340081003"/>
    <n v="48.192402820417961"/>
    <n v="48.192402820417961"/>
    <n v="0.62241719340081003"/>
    <n v="124.25700729616941"/>
    <n v="-0.23824515459571821"/>
    <n v="0.8"/>
    <s v="identity"/>
    <n v="6.2018004163103838E-2"/>
    <n v="0.54966910306801409"/>
    <n v="6.2018004163103838E-2"/>
    <n v="6.2018004163103838E-2"/>
    <n v="0.54966910306801409"/>
    <n v="0.30604672235637032"/>
    <n v="-1.2222949100292539"/>
    <n v="8.4302446114197654E-2"/>
    <n v="0.70791002970026384"/>
    <n v="8.4302446114197654E-2"/>
    <n v="8.4302446114197654E-2"/>
    <n v="0.70791002970026384"/>
    <n v="0.1838082837014714"/>
    <n v="0.36314355511724139"/>
    <n v="5.4755586860264292E-2"/>
    <n v="0.78017363805246343"/>
    <n v="5.4755586860264292E-2"/>
    <n v="5.4755586860264292E-2"/>
    <n v="0.78017363805246343"/>
    <n v="0.16964647408781841"/>
    <n v="0.31892306604031251"/>
    <n v="192.56853524453379"/>
    <n v="0.45191600278249811"/>
    <n v="192.56853524453379"/>
    <n v="192.56853524453379"/>
    <n v="0.45191600278249811"/>
    <n v="496.36852770453402"/>
    <n v="-0.4127523295111617"/>
    <s v="[[sv,wv],[yr],[ya]]"/>
    <x v="0"/>
    <x v="0"/>
    <x v="1"/>
    <x v="1"/>
    <x v="0"/>
    <x v="0"/>
    <x v="1"/>
    <x v="1"/>
  </r>
  <r>
    <d v="2026-03-13T11:35:14"/>
    <s v="03-13_11-35-14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169712419616897"/>
    <n v="50.200681260203282"/>
    <n v="0.65639445120181183"/>
    <n v="-0.4486282435453986"/>
    <n v="59.917248236691343"/>
    <n v="0.5919876571737096"/>
    <n v="59.917248236691343"/>
    <n v="59.917248236691343"/>
    <n v="0.5919876571737096"/>
    <n v="100.89542809072"/>
    <n v="-0.37844974863341352"/>
    <n v="0.8"/>
    <s v="identity"/>
    <n v="5.7025181670957908E-2"/>
    <n v="0.58592344987345213"/>
    <n v="5.7025181670957908E-2"/>
    <n v="5.7025181670957908E-2"/>
    <n v="0.58592344987345213"/>
    <n v="0.17699797326612779"/>
    <n v="-0.28523413695243027"/>
    <n v="7.3021498861996659E-2"/>
    <n v="0.7469961025217422"/>
    <n v="7.3021498861996659E-2"/>
    <n v="7.3021498861996659E-2"/>
    <n v="0.7469961025217422"/>
    <n v="0.50521864712680054"/>
    <n v="-0.75047470667980298"/>
    <n v="7.0590809136238011E-2"/>
    <n v="0.71660022932539846"/>
    <n v="7.0590809136238011E-2"/>
    <n v="7.0590809136238011E-2"/>
    <n v="0.71660022932539846"/>
    <n v="0.33185969167534762"/>
    <n v="-0.33231169422390372"/>
    <n v="239.46835545709641"/>
    <n v="0.31843084697424562"/>
    <n v="239.46835545709641"/>
    <n v="239.46835545709641"/>
    <n v="0.31843084697424562"/>
    <n v="402.56763605081233"/>
    <n v="-0.1457784566775058"/>
    <s v="[[sv,wv],[yr],[ya]]"/>
    <x v="0"/>
    <x v="0"/>
    <x v="1"/>
    <x v="1"/>
    <x v="0"/>
    <x v="0"/>
    <x v="1"/>
    <x v="1"/>
  </r>
  <r>
    <d v="2026-03-13T11:33:32"/>
    <s v="03-13_11-33-3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1804576770283449"/>
    <n v="43.456761640968892"/>
    <n v="0.68233555013795233"/>
    <n v="-0.45431571932766801"/>
    <n v="48.95536794557529"/>
    <n v="0.64262199265817632"/>
    <n v="48.95536794557529"/>
    <n v="48.95536794557529"/>
    <n v="0.64262199265817632"/>
    <n v="97.584034295271721"/>
    <n v="-0.40808330299969042"/>
    <n v="0.8"/>
    <s v="identity"/>
    <n v="6.3960618701621869E-2"/>
    <n v="0.53556320979832384"/>
    <n v="6.3960618701621869E-2"/>
    <n v="6.3960618701621869E-2"/>
    <n v="0.53556320979832384"/>
    <n v="0.2422916765193224"/>
    <n v="-0.75935084462157443"/>
    <n v="5.7024233076760029E-2"/>
    <n v="0.80242321173939291"/>
    <n v="5.7024233076760029E-2"/>
    <n v="5.7024233076760029E-2"/>
    <n v="0.80242321173939291"/>
    <n v="0.41955843461813819"/>
    <n v="-0.45368036581772347"/>
    <n v="5.2469813631589167E-2"/>
    <n v="0.78935029457116779"/>
    <n v="5.2469813631589167E-2"/>
    <n v="5.2469813631589167E-2"/>
    <n v="0.78935029457116779"/>
    <n v="0.32658857239149641"/>
    <n v="-0.31114981756431132"/>
    <n v="195.64801711689171"/>
    <n v="0.44315125452381959"/>
    <n v="195.64801711689171"/>
    <n v="195.64801711689171"/>
    <n v="0.44315125452381959"/>
    <n v="389.34769849755719"/>
    <n v="-0.1081521839951438"/>
    <s v="[[sv,wv],[yr],[ya]]"/>
    <x v="0"/>
    <x v="0"/>
    <x v="1"/>
    <x v="1"/>
    <x v="0"/>
    <x v="0"/>
    <x v="1"/>
    <x v="1"/>
  </r>
  <r>
    <d v="2026-03-13T15:42:31"/>
    <s v="03-13_15-42-3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9.2411158444254821E-2"/>
    <n v="15.38344667774221"/>
    <n v="0.78064377644589866"/>
    <n v="0.49243618812403239"/>
    <n v="17.155341251981891"/>
    <n v="0.76481186202913687"/>
    <n v="17.155341251981891"/>
    <n v="17.155341251981891"/>
    <n v="0.76481186202913687"/>
    <n v="41.809682562778988"/>
    <n v="0.49296529317696131"/>
    <n v="0.8"/>
    <s v="identity"/>
    <n v="4.8559036677522122E-2"/>
    <n v="0.64739860890022993"/>
    <n v="4.8559036677522122E-2"/>
    <n v="4.8559036677522122E-2"/>
    <n v="0.64739860890022993"/>
    <n v="0.14162637085353211"/>
    <n v="-2.839056942172347E-2"/>
    <n v="5.843224212413918E-2"/>
    <n v="0.79754476111562778"/>
    <n v="5.843224212413918E-2"/>
    <n v="5.843224212413918E-2"/>
    <n v="0.79754476111562778"/>
    <n v="6.5000405696689453E-2"/>
    <n v="0.7747874771783243"/>
    <n v="4.753231793170145E-2"/>
    <n v="0.809172778066922"/>
    <n v="4.753231793170145E-2"/>
    <n v="4.753231793170145E-2"/>
    <n v="0.809172778066922"/>
    <n v="7.4562572032115179E-2"/>
    <n v="0.7006548575746212"/>
    <n v="68.466841411194082"/>
    <n v="0.80513130003376687"/>
    <n v="68.466841411194082"/>
    <n v="68.466841411194082"/>
    <n v="0.80513130003376687"/>
    <n v="166.95754090253391"/>
    <n v="0.52480940737662463"/>
    <s v="[[sv,wv],[yr],[ya]]"/>
    <x v="0"/>
    <x v="1"/>
    <x v="1"/>
    <x v="2"/>
    <x v="0"/>
    <x v="0"/>
    <x v="1"/>
    <x v="2"/>
  </r>
  <r>
    <d v="2026-03-13T15:46:47"/>
    <s v="03-13_15-46-47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1747690501245051"/>
    <n v="35.238312974873573"/>
    <n v="0.7031030688206088"/>
    <n v="-0.48099438683892493"/>
    <n v="38.826509631991478"/>
    <n v="0.65725220187839883"/>
    <n v="38.826509631991478"/>
    <n v="38.826509631991478"/>
    <n v="0.65725220187839883"/>
    <n v="121.0910590181703"/>
    <n v="-0.44469984849849942"/>
    <n v="0.8"/>
    <s v="identity"/>
    <n v="6.2402811952347051E-2"/>
    <n v="0.54687490097759262"/>
    <n v="6.2402811952347051E-2"/>
    <n v="6.2402811952347051E-2"/>
    <n v="0.54687490097759262"/>
    <n v="0.21307557155692811"/>
    <n v="-0.5472041473822995"/>
    <n v="7.8634834597980832E-2"/>
    <n v="0.72754709310409094"/>
    <n v="7.8634834597980832E-2"/>
    <n v="7.8634834597980832E-2"/>
    <n v="0.72754709310409094"/>
    <n v="0.48029711660278263"/>
    <n v="-0.66412692620468317"/>
    <n v="5.0796235022317907E-2"/>
    <n v="0.79606918333128984"/>
    <n v="5.0796235022317907E-2"/>
    <n v="5.0796235022317907E-2"/>
    <n v="0.79606918333128984"/>
    <n v="0.29683549630678002"/>
    <n v="-0.1917006280388156"/>
    <n v="155.11420464639301"/>
    <n v="0.55851763010062183"/>
    <n v="155.11420464639301"/>
    <n v="155.11420464639301"/>
    <n v="0.55851763010062183"/>
    <n v="483.37402788821299"/>
    <n v="-0.37576769236819718"/>
    <s v="[[sv,wv],[yr],[ya]]"/>
    <x v="0"/>
    <x v="1"/>
    <x v="1"/>
    <x v="2"/>
    <x v="0"/>
    <x v="0"/>
    <x v="1"/>
    <x v="2"/>
  </r>
  <r>
    <d v="2026-03-13T15:51:53"/>
    <s v="03-13_15-51-53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9.6631657699351656E-2"/>
    <n v="19.712041874945989"/>
    <n v="0.7422797146130462"/>
    <n v="-0.35436542962629192"/>
    <n v="24.561843563620229"/>
    <n v="0.6871153384501385"/>
    <n v="24.561843563620229"/>
    <n v="24.561843563620229"/>
    <n v="0.6871153384501385"/>
    <n v="115.8457552857728"/>
    <n v="-0.26045093871762948"/>
    <n v="0.8"/>
    <s v="identity"/>
    <n v="5.9697525561216581E-2"/>
    <n v="0.5665187780003309"/>
    <n v="5.9697525561216581E-2"/>
    <n v="5.9697525561216581E-2"/>
    <n v="0.5665187780003309"/>
    <n v="0.19370560353919369"/>
    <n v="-0.40655313500806239"/>
    <n v="7.9907131702464176E-2"/>
    <n v="0.72313885537683009"/>
    <n v="7.9907131702464176E-2"/>
    <n v="7.9907131702464176E-2"/>
    <n v="0.72313885537683009"/>
    <n v="0.32021955742153552"/>
    <n v="-0.10949237332864011"/>
    <n v="6.529782711198362E-2"/>
    <n v="0.73784987797248336"/>
    <n v="6.529782711198362E-2"/>
    <n v="6.529782711198362E-2"/>
    <n v="0.73784987797248336"/>
    <n v="0.30119644636691539"/>
    <n v="-0.2092084631534481"/>
    <n v="98.042471770105408"/>
    <n v="0.72095384245091099"/>
    <n v="98.042471770105408"/>
    <n v="98.042471770105408"/>
    <n v="0.72095384245091099"/>
    <n v="462.56789953576441"/>
    <n v="-0.31654978338036738"/>
    <s v="[[sv,wv],[yr],[ya]]"/>
    <x v="0"/>
    <x v="1"/>
    <x v="1"/>
    <x v="2"/>
    <x v="0"/>
    <x v="0"/>
    <x v="1"/>
    <x v="2"/>
  </r>
  <r>
    <d v="2026-03-13T15:54:49"/>
    <s v="03-13_15-54-49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169536188344111"/>
    <n v="47.383048275366399"/>
    <n v="0.68939647099084422"/>
    <n v="0.1572321557234603"/>
    <n v="49.728399199179627"/>
    <n v="0.65843702470160081"/>
    <n v="49.728399199179627"/>
    <n v="49.728399199179627"/>
    <n v="0.65843702470160081"/>
    <n v="106.77533652118019"/>
    <n v="-3.30051358290121E-2"/>
    <n v="0.8"/>
    <s v="identity"/>
    <n v="6.4758035388768259E-2"/>
    <n v="0.52977293362292899"/>
    <n v="6.4758035388768259E-2"/>
    <n v="6.4758035388768259E-2"/>
    <n v="0.52977293362292899"/>
    <n v="0.2000491906006403"/>
    <n v="-0.45261577906920308"/>
    <n v="4.434701143636037E-2"/>
    <n v="0.84634707709688806"/>
    <n v="4.434701143636037E-2"/>
    <n v="4.434701143636037E-2"/>
    <n v="0.84634707709688806"/>
    <n v="0.2272247068754692"/>
    <n v="0.21271492178630341"/>
    <n v="4.4004594465634241E-2"/>
    <n v="0.82333547195752976"/>
    <n v="4.4004594465634241E-2"/>
    <n v="4.4004594465634241E-2"/>
    <n v="0.82333547195752976"/>
    <n v="0.1689325798844499"/>
    <n v="0.32178912546074079"/>
    <n v="198.76048715542751"/>
    <n v="0.43429261612905712"/>
    <n v="198.76048715542751"/>
    <n v="198.76048715542751"/>
    <n v="0.43429261612905712"/>
    <n v="426.50513960736038"/>
    <n v="-0.2139088114938876"/>
    <s v="[[sv,wv],[yr],[ya]]"/>
    <x v="0"/>
    <x v="1"/>
    <x v="1"/>
    <x v="2"/>
    <x v="0"/>
    <x v="0"/>
    <x v="1"/>
    <x v="2"/>
  </r>
  <r>
    <d v="2026-03-13T19:33:55"/>
    <s v="03-13_19-33-5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9.2443937285295125E-2"/>
    <n v="13.20858644045536"/>
    <n v="0.78415903088423056"/>
    <n v="0.2220434732201931"/>
    <n v="15.49787569092388"/>
    <n v="0.7541757944342119"/>
    <n v="15.49787569092388"/>
    <n v="15.49787569092388"/>
    <n v="0.7541757944342119"/>
    <n v="90.204960974046344"/>
    <n v="0.23632745133451011"/>
    <n v="0.8"/>
    <s v="identity"/>
    <n v="5.6561583834698087E-2"/>
    <n v="0.58928976957747792"/>
    <n v="5.6561583834698087E-2"/>
    <n v="5.6561583834698087E-2"/>
    <n v="0.58928976957747792"/>
    <n v="0.1710237322763197"/>
    <n v="-0.24185342292054129"/>
    <n v="6.2584358833120413E-2"/>
    <n v="0.78315856353644375"/>
    <n v="6.2584358833120413E-2"/>
    <n v="6.2584358833120413E-2"/>
    <n v="0.78315856353644375"/>
    <n v="0.12281606471891331"/>
    <n v="0.57446856705102989"/>
    <n v="4.4778862566325031E-2"/>
    <n v="0.82022703043573131"/>
    <n v="4.4778862566325031E-2"/>
    <n v="4.4778862566325031E-2"/>
    <n v="0.82022703043573131"/>
    <n v="9.0029762114952686E-2"/>
    <n v="0.63855898169371428"/>
    <n v="61.827577958461212"/>
    <n v="0.82402781418719839"/>
    <n v="61.827577958461212"/>
    <n v="61.827577958461212"/>
    <n v="0.82402781418719839"/>
    <n v="360.43597433707657"/>
    <n v="-2.5864320486165941E-2"/>
    <s v="[[sv,wv],[yr],[ya]]"/>
    <x v="0"/>
    <x v="1"/>
    <x v="1"/>
    <x v="3"/>
    <x v="0"/>
    <x v="0"/>
    <x v="1"/>
    <x v="3"/>
  </r>
  <r>
    <d v="2026-03-13T19:39:48"/>
    <s v="03-13_19-39-48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0978109778786729"/>
    <n v="29.088991747998541"/>
    <n v="0.72432792341928609"/>
    <n v="-0.10438193023368809"/>
    <n v="37.867981972281328"/>
    <n v="0.66252248269160385"/>
    <n v="37.867981972281328"/>
    <n v="37.867981972281328"/>
    <n v="0.66252248269160385"/>
    <n v="110.1674869261284"/>
    <n v="-0.1516637000973079"/>
    <n v="0.8"/>
    <s v="identity"/>
    <n v="5.9864633780663638E-2"/>
    <n v="0.56530535626314649"/>
    <n v="5.9864633780663638E-2"/>
    <n v="5.9864633780663638E-2"/>
    <n v="0.56530535626314649"/>
    <n v="0.1717857366856228"/>
    <n v="-0.24738656017218741"/>
    <n v="8.4675589512237304E-2"/>
    <n v="0.7066171675227737"/>
    <n v="8.4675589512237304E-2"/>
    <n v="8.4675589512237304E-2"/>
    <n v="0.7066171675227737"/>
    <n v="0.32110321027411293"/>
    <n v="-0.1125540417304676"/>
    <n v="4.7641054939590748E-2"/>
    <n v="0.80873623337396916"/>
    <n v="4.7641054939590748E-2"/>
    <n v="4.7641054939590748E-2"/>
    <n v="0.80873623337396916"/>
    <n v="0.2477400167892391"/>
    <n v="5.4021932304207931E-3"/>
    <n v="151.2797466108926"/>
    <n v="0.56943117360652806"/>
    <n v="151.2797466108926"/>
    <n v="151.2797466108926"/>
    <n v="0.56943117360652806"/>
    <n v="439.92931874076328"/>
    <n v="-0.25211639171698202"/>
    <s v="[[sv,wv],[yr],[ya]]"/>
    <x v="0"/>
    <x v="1"/>
    <x v="1"/>
    <x v="3"/>
    <x v="0"/>
    <x v="0"/>
    <x v="1"/>
    <x v="3"/>
  </r>
  <r>
    <d v="2026-03-13T19:44:32"/>
    <s v="03-13_19-44-32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0724607725430189"/>
    <n v="23.517881698015501"/>
    <n v="0.73787293537478771"/>
    <n v="-0.52329347053401998"/>
    <n v="28.35273246671504"/>
    <n v="0.66648014408312861"/>
    <n v="28.35273246671504"/>
    <n v="28.35273246671504"/>
    <n v="0.66648014408312861"/>
    <n v="136.10970534765909"/>
    <n v="-0.4164671457332445"/>
    <n v="0.8"/>
    <s v="identity"/>
    <n v="5.871584216117659E-2"/>
    <n v="0.5736470687605526"/>
    <n v="5.871584216117659E-2"/>
    <n v="5.871584216117659E-2"/>
    <n v="0.5736470687605526"/>
    <n v="0.1344251551898499"/>
    <n v="2.389956716986907E-2"/>
    <n v="7.7858342150342402E-2"/>
    <n v="0.73023747359033964"/>
    <n v="7.7858342150342402E-2"/>
    <n v="7.7858342150342402E-2"/>
    <n v="0.73023747359033964"/>
    <n v="0.63597359699358846"/>
    <n v="-1.2035126810631049"/>
    <n v="7.8658514974129706E-2"/>
    <n v="0.68421094221698753"/>
    <n v="7.8658514974129706E-2"/>
    <n v="7.8658514974129706E-2"/>
    <n v="0.68421094221698753"/>
    <n v="0.23402724946683351"/>
    <n v="6.0454616655454707E-2"/>
    <n v="113.1956971675742"/>
    <n v="0.67782509176463701"/>
    <n v="113.1956971675742"/>
    <n v="113.1956971675742"/>
    <n v="0.67782509176463701"/>
    <n v="543.43439538898724"/>
    <n v="-0.54671008569520296"/>
    <s v="[[sv,wv],[yr],[ya]]"/>
    <x v="0"/>
    <x v="1"/>
    <x v="1"/>
    <x v="3"/>
    <x v="0"/>
    <x v="0"/>
    <x v="1"/>
    <x v="3"/>
  </r>
  <r>
    <d v="2026-03-13T19:52:39"/>
    <s v="03-13_19-52-39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029245878197282"/>
    <n v="17.108309992377631"/>
    <n v="0.68000249175201588"/>
    <n v="0.37406191020182261"/>
    <n v="20.781499486335299"/>
    <n v="0.65382646213693985"/>
    <n v="20.781499486335299"/>
    <n v="20.781499486335299"/>
    <n v="0.65382646213693985"/>
    <n v="76.675907282677159"/>
    <n v="0.37204774199968649"/>
    <n v="0.8"/>
    <s v="identity"/>
    <n v="0.11242104193492219"/>
    <n v="0.1836778798066985"/>
    <n v="0.11242104193492219"/>
    <n v="0.11242104193492219"/>
    <n v="0.1836778798066985"/>
    <n v="0.1499541448252513"/>
    <n v="-8.8860975922845364E-2"/>
    <n v="4.4950131390534387E-2"/>
    <n v="0.84425739527124777"/>
    <n v="4.4950131390534387E-2"/>
    <n v="4.4950131390534387E-2"/>
    <n v="0.84425739527124777"/>
    <n v="7.8917937025323778E-2"/>
    <n v="0.72656620365893332"/>
    <n v="4.3991335166964671E-2"/>
    <n v="0.82338870384774665"/>
    <n v="4.3991335166964671E-2"/>
    <n v="4.3991335166964671E-2"/>
    <n v="0.82338870384774665"/>
    <n v="6.9103764648922594E-2"/>
    <n v="0.72257024258696601"/>
    <n v="82.924635436848703"/>
    <n v="0.76398186962206605"/>
    <n v="82.924635436848703"/>
    <n v="82.924635436848703"/>
    <n v="0.76398186962206605"/>
    <n v="306.40565328420888"/>
    <n v="0.12791549767569699"/>
    <s v="[[sv,wv],[yr],[ya]]"/>
    <x v="0"/>
    <x v="1"/>
    <x v="1"/>
    <x v="3"/>
    <x v="0"/>
    <x v="0"/>
    <x v="1"/>
    <x v="3"/>
  </r>
  <r>
    <d v="2026-03-13T23:31:50"/>
    <s v="03-13_23-31-50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257634622523377"/>
    <n v="52.739258083898058"/>
    <n v="0.64300221610969444"/>
    <n v="5.3727809374766733E-2"/>
    <n v="56.021967664712093"/>
    <n v="0.57839763284648726"/>
    <n v="56.021967664712093"/>
    <n v="56.021967664712093"/>
    <n v="0.57839763284648726"/>
    <n v="97.410334241382927"/>
    <n v="3.0207207626299439E-2"/>
    <n v="0.8"/>
    <s v="identity"/>
    <n v="6.7577609982302736E-2"/>
    <n v="0.50929917648083078"/>
    <n v="6.7577609982302736E-2"/>
    <n v="6.7577609982302736E-2"/>
    <n v="0.50929917648083078"/>
    <n v="0.13548131668829461"/>
    <n v="1.6230469118136082E-2"/>
    <n v="4.6861631443641923E-2"/>
    <n v="0.83763445584925511"/>
    <n v="4.6861631443641923E-2"/>
    <n v="4.6861631443641923E-2"/>
    <n v="0.83763445584925511"/>
    <n v="0.29079272165344972"/>
    <n v="-7.5346724349782956E-3"/>
    <n v="9.8676786141561973E-2"/>
    <n v="0.60384391529704895"/>
    <n v="9.8676786141561973E-2"/>
    <n v="9.8676786141561973E-2"/>
    <n v="0.60384391529704895"/>
    <n v="0.1944476270923374"/>
    <n v="0.21935428137910659"/>
    <n v="223.8747546312816"/>
    <n v="0.36281298375881321"/>
    <n v="223.8747546312816"/>
    <n v="223.8747546312816"/>
    <n v="0.36281298375881321"/>
    <n v="389.02061530009502"/>
    <n v="-0.1072212475570589"/>
    <s v="[[sv,wv],[yr],[ya]]"/>
    <x v="1"/>
    <x v="0"/>
    <x v="2"/>
    <x v="1"/>
    <x v="0"/>
    <x v="0"/>
    <x v="2"/>
    <x v="1"/>
  </r>
  <r>
    <d v="2026-03-13T23:38:53"/>
    <s v="03-13_23-38-53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155692009096094"/>
    <n v="40.768731264924163"/>
    <n v="0.68059013155289738"/>
    <n v="-2.647693843225624E-2"/>
    <n v="45.37193919692713"/>
    <n v="0.62177494814057277"/>
    <n v="45.37193919692713"/>
    <n v="45.37193919692713"/>
    <n v="0.62177494814057277"/>
    <n v="97.673459090003959"/>
    <n v="-3.8974762948176922E-2"/>
    <n v="0.8"/>
    <s v="identity"/>
    <n v="6.1466734366326083E-2"/>
    <n v="0.55367203456160985"/>
    <n v="6.1466734366326083E-2"/>
    <n v="6.1466734366326083E-2"/>
    <n v="0.55367203456160985"/>
    <n v="0.21710492588504651"/>
    <n v="-0.57646246959251135"/>
    <n v="8.9831216313295492E-2"/>
    <n v="0.68875402180624645"/>
    <n v="8.9831216313295492E-2"/>
    <n v="8.9831216313295492E-2"/>
    <n v="0.68875402180624645"/>
    <n v="0.20571199453155881"/>
    <n v="0.28725187532959212"/>
    <n v="5.962622731588732E-2"/>
    <n v="0.76061955721599095"/>
    <n v="5.962622731588732E-2"/>
    <n v="5.962622731588732E-2"/>
    <n v="0.76061955721599095"/>
    <n v="0.1884194799167303"/>
    <n v="0.24355538557473461"/>
    <n v="181.27683260971341"/>
    <n v="0.48405417897844227"/>
    <n v="181.27683260971341"/>
    <n v="181.27683260971341"/>
    <n v="0.48405417897844227"/>
    <n v="390.08259995968132"/>
    <n v="-0.1102438431045123"/>
    <s v="[[sv,wv],[yr],[ya]]"/>
    <x v="1"/>
    <x v="0"/>
    <x v="2"/>
    <x v="1"/>
    <x v="0"/>
    <x v="0"/>
    <x v="2"/>
    <x v="1"/>
  </r>
  <r>
    <d v="2026-03-13T23:42:39"/>
    <s v="03-13_23-42-39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1564047253165009"/>
    <n v="42.287425034427713"/>
    <n v="0.66942168822000481"/>
    <n v="0.23873217560885021"/>
    <n v="51.798692555141137"/>
    <n v="0.6142505525041041"/>
    <n v="51.798692555141137"/>
    <n v="51.798692555141137"/>
    <n v="0.6142505525041041"/>
    <n v="101.1378306568012"/>
    <n v="6.9726151499043154E-2"/>
    <n v="0.8"/>
    <s v="identity"/>
    <n v="5.348732432222833E-2"/>
    <n v="0.61161286852808616"/>
    <n v="5.348732432222833E-2"/>
    <n v="5.348732432222833E-2"/>
    <n v="0.61161286852808616"/>
    <n v="0.13876375529522619"/>
    <n v="-7.6042792252024594E-3"/>
    <n v="7.6211090568851336E-2"/>
    <n v="0.73594484849690112"/>
    <n v="7.6211090568851336E-2"/>
    <n v="7.6211090568851336E-2"/>
    <n v="0.73594484849690112"/>
    <n v="0.24869755064010041"/>
    <n v="0.13831610435500591"/>
    <n v="7.5080760289002707E-2"/>
    <n v="0.69857449562715046"/>
    <n v="7.5080760289002707E-2"/>
    <n v="7.5080760289002707E-2"/>
    <n v="0.69857449562715046"/>
    <n v="0.17485394663663709"/>
    <n v="0.29801671089029202"/>
    <n v="206.98999104538461"/>
    <n v="0.41086999736427798"/>
    <n v="206.98999104538461"/>
    <n v="206.98999104538461"/>
    <n v="0.41086999736427798"/>
    <n v="403.98900737463202"/>
    <n v="-0.14982393002391811"/>
    <s v="[[sv,wv],[yr],[ya]]"/>
    <x v="1"/>
    <x v="0"/>
    <x v="2"/>
    <x v="1"/>
    <x v="0"/>
    <x v="0"/>
    <x v="2"/>
    <x v="1"/>
  </r>
  <r>
    <d v="2026-03-13T23:51:08"/>
    <s v="03-13_23-51-0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2026560668609711"/>
    <n v="47.08574140077468"/>
    <n v="0.66274925362171389"/>
    <n v="0.25350334334757868"/>
    <n v="53.698174527969243"/>
    <n v="0.61229996627402217"/>
    <n v="53.698174527969243"/>
    <n v="53.698174527969243"/>
    <n v="0.61229996627402217"/>
    <n v="95.471896248770406"/>
    <n v="0.1629578806027295"/>
    <n v="0.8"/>
    <s v="identity"/>
    <n v="6.7166854065504572E-2"/>
    <n v="0.51228179552715414"/>
    <n v="6.7166854065504572E-2"/>
    <n v="6.7166854065504572E-2"/>
    <n v="0.51228179552715414"/>
    <n v="0.17587765434707289"/>
    <n v="-0.27709917307418319"/>
    <n v="6.2625244366665514E-2"/>
    <n v="0.78301690389512446"/>
    <n v="6.2625244366665514E-2"/>
    <n v="6.2625244366665514E-2"/>
    <n v="0.78301690389512446"/>
    <n v="0.14398964376025081"/>
    <n v="0.50110663796838373"/>
    <n v="5.860914402293544E-2"/>
    <n v="0.76470282493180974"/>
    <n v="5.860914402293544E-2"/>
    <n v="5.860914402293544E-2"/>
    <n v="0.76470282493180974"/>
    <n v="0.1211831118920236"/>
    <n v="0.51348813620265121"/>
    <n v="214.60429686942169"/>
    <n v="0.38919834074199899"/>
    <n v="214.60429686942169"/>
    <n v="214.60429686942169"/>
    <n v="0.38919834074199899"/>
    <n v="381.44653458508259"/>
    <n v="-8.5664078685931955E-2"/>
    <s v="[[sv,wv],[yr],[ya]]"/>
    <x v="1"/>
    <x v="0"/>
    <x v="2"/>
    <x v="1"/>
    <x v="0"/>
    <x v="0"/>
    <x v="2"/>
    <x v="1"/>
  </r>
  <r>
    <d v="2026-03-14T02:59:43"/>
    <s v="03-14_02-59-43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000672019706329"/>
    <n v="14.38698594740476"/>
    <n v="0.76377023218081841"/>
    <n v="0.22507076937077389"/>
    <n v="15.993612601905269"/>
    <n v="0.73641261981029338"/>
    <n v="15.993612601905269"/>
    <n v="15.993612601905269"/>
    <n v="0.73641261981029338"/>
    <n v="67.537658873718613"/>
    <n v="0.2385114685943287"/>
    <n v="0.8"/>
    <s v="identity"/>
    <n v="5.2001254669714538E-2"/>
    <n v="0.62240365563177824"/>
    <n v="5.2001254669714538E-2"/>
    <n v="5.2001254669714538E-2"/>
    <n v="0.62240365563177824"/>
    <n v="0.14196428536201719"/>
    <n v="-3.084426566277387E-2"/>
    <n v="6.2145448066103642E-2"/>
    <n v="0.78467929560071259"/>
    <n v="6.2145448066103642E-2"/>
    <n v="6.2145448066103642E-2"/>
    <n v="0.78467929560071259"/>
    <n v="0.18670365943489439"/>
    <n v="0.35311169660110198"/>
    <n v="6.9712392103423365E-2"/>
    <n v="0.72012679586716855"/>
    <n v="6.9712392103423365E-2"/>
    <n v="6.9712392103423365E-2"/>
    <n v="0.72012679586716855"/>
    <n v="0.14962237865586661"/>
    <n v="0.39931347554007152"/>
    <n v="63.790591312781793"/>
    <n v="0.8184407321415198"/>
    <n v="63.790591312781793"/>
    <n v="63.790591312781793"/>
    <n v="0.8184407321415198"/>
    <n v="269.67234517142208"/>
    <n v="0.23246496789892129"/>
    <s v="[[sv,wv],[yr],[ya]]"/>
    <x v="1"/>
    <x v="1"/>
    <x v="2"/>
    <x v="2"/>
    <x v="0"/>
    <x v="0"/>
    <x v="2"/>
    <x v="2"/>
  </r>
  <r>
    <d v="2026-03-14T03:06:32"/>
    <s v="03-14_03-06-3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169275177688915"/>
    <n v="33.834015520257928"/>
    <n v="0.70608035951464299"/>
    <n v="-0.20722920170868819"/>
    <n v="36.875682238747608"/>
    <n v="0.65274330300896577"/>
    <n v="36.875682238747608"/>
    <n v="36.875682238747608"/>
    <n v="0.65274330300896577"/>
    <n v="84.70652568303926"/>
    <n v="-0.1029327531643128"/>
    <n v="0.8"/>
    <s v="identity"/>
    <n v="6.1807962340585977E-2"/>
    <n v="0.551194278274861"/>
    <n v="6.1807962340585977E-2"/>
    <n v="6.1807962340585977E-2"/>
    <n v="0.551194278274861"/>
    <n v="0.22959030039997669"/>
    <n v="-0.66712243164245577"/>
    <n v="8.3031911713036255E-2"/>
    <n v="0.71231216003699593"/>
    <n v="8.3031911713036255E-2"/>
    <n v="8.3031911713036255E-2"/>
    <n v="0.71231216003699593"/>
    <n v="0.29585680754431509"/>
    <n v="-2.508064844917968E-2"/>
    <n v="5.8109705711835158E-2"/>
    <n v="0.76670791177758824"/>
    <n v="5.8109705711835158E-2"/>
    <n v="5.8109705711835158E-2"/>
    <n v="0.76670791177758824"/>
    <n v="0.18860799497178979"/>
    <n v="0.24279855725634181"/>
    <n v="147.2997793752246"/>
    <n v="0.58075886194642001"/>
    <n v="147.2997793752246"/>
    <n v="147.2997793752246"/>
    <n v="0.58075886194642001"/>
    <n v="338.11204762924058"/>
    <n v="3.7673510178039771E-2"/>
    <s v="[[sv,wv],[yr],[ya]]"/>
    <x v="1"/>
    <x v="1"/>
    <x v="2"/>
    <x v="2"/>
    <x v="0"/>
    <x v="0"/>
    <x v="2"/>
    <x v="2"/>
  </r>
  <r>
    <d v="2026-03-14T03:11:21"/>
    <s v="03-14_03-11-2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9.8551158099050962E-2"/>
    <n v="20.29875807033163"/>
    <n v="0.73583512502234327"/>
    <n v="0.1291034399763682"/>
    <n v="25.940339290107691"/>
    <n v="0.68474607268496723"/>
    <n v="25.940339290107691"/>
    <n v="25.940339290107691"/>
    <n v="0.68474607268496723"/>
    <n v="116.7336347448643"/>
    <n v="-3.7643873723845339E-2"/>
    <n v="0.8"/>
    <s v="identity"/>
    <n v="5.2279757997083953E-2"/>
    <n v="0.62038136138182187"/>
    <n v="5.2279757997083953E-2"/>
    <n v="5.2279757997083953E-2"/>
    <n v="0.62038136138182187"/>
    <n v="0.1372430840534738"/>
    <n v="3.437760154782477E-3"/>
    <n v="8.027364546924709E-2"/>
    <n v="0.72186896345567453"/>
    <n v="8.027364546924709E-2"/>
    <n v="8.027364546924709E-2"/>
    <n v="0.72186896345567453"/>
    <n v="0.27613066217600429"/>
    <n v="4.3266232102223801E-2"/>
    <n v="7.6852611622674344E-2"/>
    <n v="0.69146107296241077"/>
    <n v="7.6852611622674344E-2"/>
    <n v="7.6852611622674344E-2"/>
    <n v="0.69146107296241077"/>
    <n v="0.2167281222105237"/>
    <n v="0.12990514084263541"/>
    <n v="103.5519511453418"/>
    <n v="0.70527289293996187"/>
    <n v="103.5519511453418"/>
    <n v="103.5519511453418"/>
    <n v="0.70527289293996187"/>
    <n v="466.30443711101708"/>
    <n v="-0.32718462799502551"/>
    <s v="[[sv,wv],[yr],[ya]]"/>
    <x v="1"/>
    <x v="1"/>
    <x v="2"/>
    <x v="2"/>
    <x v="0"/>
    <x v="0"/>
    <x v="2"/>
    <x v="2"/>
  </r>
  <r>
    <d v="2026-03-14T03:19:10"/>
    <s v="03-14_03-19-1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0283931156312"/>
    <n v="27.719783597859308"/>
    <n v="0.73831010946547226"/>
    <n v="0.3115828636801069"/>
    <n v="29.139921752182008"/>
    <n v="0.69784969482004877"/>
    <n v="29.139921752182008"/>
    <n v="29.139921752182008"/>
    <n v="0.69784969482004877"/>
    <n v="66.567248903338196"/>
    <n v="0.25670786661812028"/>
    <n v="0.8"/>
    <s v="identity"/>
    <n v="6.3428439047259491E-2"/>
    <n v="0.53942752217522139"/>
    <n v="6.3428439047259491E-2"/>
    <n v="6.3428439047259491E-2"/>
    <n v="0.53942752217522139"/>
    <n v="0.15712345096295219"/>
    <n v="-0.14091940809811981"/>
    <n v="5.4119209200541307E-2"/>
    <n v="0.81248849900964981"/>
    <n v="5.4119209200541307E-2"/>
    <n v="5.4119209200541307E-2"/>
    <n v="0.81248849900964981"/>
    <n v="0.1690299874058534"/>
    <n v="0.4143471954033181"/>
    <n v="5.7106596580952081E-2"/>
    <n v="0.77073507765275495"/>
    <n v="5.7106596580952081E-2"/>
    <n v="5.7106596580952081E-2"/>
    <n v="0.77073507765275495"/>
    <n v="0.1220578124194157"/>
    <n v="0.50997649025461489"/>
    <n v="116.38503276389859"/>
    <n v="0.6687476804425756"/>
    <n v="116.38503276389859"/>
    <n v="116.38503276389859"/>
    <n v="0.6687476804425756"/>
    <n v="265.82078436256359"/>
    <n v="0.24342718891267509"/>
    <s v="[[sv,wv],[yr],[ya]]"/>
    <x v="1"/>
    <x v="1"/>
    <x v="2"/>
    <x v="2"/>
    <x v="0"/>
    <x v="0"/>
    <x v="2"/>
    <x v="2"/>
  </r>
  <r>
    <d v="2026-03-14T06:26:56"/>
    <s v="03-14_06-26-5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005656820582473"/>
    <n v="13.36558330839828"/>
    <n v="0.75854455704923074"/>
    <n v="-0.30334151115836061"/>
    <n v="15.97681984326252"/>
    <n v="0.71744413507533988"/>
    <n v="15.97681984326252"/>
    <n v="15.97681984326252"/>
    <n v="0.71744413507533988"/>
    <n v="209.50862124532199"/>
    <n v="-0.49131853885267368"/>
    <n v="0.8"/>
    <s v="identity"/>
    <n v="6.3873704371490481E-2"/>
    <n v="0.53619432021170277"/>
    <n v="6.3873704371490481E-2"/>
    <n v="6.3873704371490481E-2"/>
    <n v="0.53619432021170277"/>
    <n v="0.15214248254805901"/>
    <n v="-0.1047511372203669"/>
    <n v="5.7001259335734203E-2"/>
    <n v="0.80250281084526964"/>
    <n v="5.7001259335734203E-2"/>
    <n v="5.7001259335734203E-2"/>
    <n v="0.80250281084526964"/>
    <n v="0.33604344781717571"/>
    <n v="-0.1643187738512035"/>
    <n v="7.1631325545890467E-2"/>
    <n v="0.71242288505796625"/>
    <n v="7.1631325545890467E-2"/>
    <n v="7.1631325545890467E-2"/>
    <n v="0.71242288505796625"/>
    <n v="0.32713185111455811"/>
    <n v="-0.31333090979730871"/>
    <n v="63.714773083796807"/>
    <n v="0.81865652418642099"/>
    <n v="63.714773083796807"/>
    <n v="63.714773083796807"/>
    <n v="0.81865652418642099"/>
    <n v="837.21916719980811"/>
    <n v="-1.382873334541834"/>
    <s v="[[sv,wv],[yr],[ya]]"/>
    <x v="1"/>
    <x v="1"/>
    <x v="2"/>
    <x v="3"/>
    <x v="0"/>
    <x v="0"/>
    <x v="2"/>
    <x v="3"/>
  </r>
  <r>
    <d v="2026-03-14T06:35:21"/>
    <s v="03-14_06-35-2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090391991381806"/>
    <n v="25.369767700211899"/>
    <n v="0.72996368508740828"/>
    <n v="-0.10391441979416099"/>
    <n v="34.36282026634602"/>
    <n v="0.65914429112581008"/>
    <n v="34.36282026634602"/>
    <n v="34.36282026634602"/>
    <n v="0.65914429112581008"/>
    <n v="130.97979098983049"/>
    <n v="-0.14847928489195281"/>
    <n v="0.8"/>
    <s v="identity"/>
    <n v="5.9013567222721629E-2"/>
    <n v="0.57148519986757607"/>
    <n v="5.9013567222721629E-2"/>
    <n v="5.9013567222721629E-2"/>
    <n v="0.57148519986757607"/>
    <n v="0.27416366815471033"/>
    <n v="-0.99078271305812615"/>
    <n v="9.006451088259225E-2"/>
    <n v="0.68794570595115634"/>
    <n v="9.006451088259225E-2"/>
    <n v="9.006451088259225E-2"/>
    <n v="0.68794570595115634"/>
    <n v="0.15379816230974391"/>
    <n v="0.46712221611750487"/>
    <n v="5.7845679634135887E-2"/>
    <n v="0.76776789296759951"/>
    <n v="5.7845679634135887E-2"/>
    <n v="5.7845679634135887E-2"/>
    <n v="0.76776789296759951"/>
    <n v="0.14464902862431561"/>
    <n v="0.41927990283666022"/>
    <n v="137.24435730764489"/>
    <n v="0.60937836571690751"/>
    <n v="137.24435730764489"/>
    <n v="137.24435730764489"/>
    <n v="0.60937836571690751"/>
    <n v="523.34655310023425"/>
    <n v="-0.48953654546385811"/>
    <s v="[[sv,wv],[yr],[ya]]"/>
    <x v="1"/>
    <x v="1"/>
    <x v="2"/>
    <x v="3"/>
    <x v="0"/>
    <x v="0"/>
    <x v="2"/>
    <x v="3"/>
  </r>
  <r>
    <d v="2026-03-14T06:40:30"/>
    <s v="03-14_06-40-3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073790452354389"/>
    <n v="25.65580214526652"/>
    <n v="0.72399190049120143"/>
    <n v="0.15192780580098081"/>
    <n v="28.76840950227421"/>
    <n v="0.66460588315660174"/>
    <n v="28.76840950227421"/>
    <n v="28.76840950227421"/>
    <n v="0.66460588315660174"/>
    <n v="111.0693196500217"/>
    <n v="2.8496976873328639E-2"/>
    <n v="0.8"/>
    <s v="identity"/>
    <n v="5.9498581490870027E-2"/>
    <n v="0.56796336917748069"/>
    <n v="5.9498581490870027E-2"/>
    <n v="5.9498581490870027E-2"/>
    <n v="0.56796336917748069"/>
    <n v="0.1413781198891588"/>
    <n v="-2.6587946442169889E-2"/>
    <n v="8.0587729002372127E-2"/>
    <n v="0.72078073109598895"/>
    <n v="8.0587729002372127E-2"/>
    <n v="8.0587729002372127E-2"/>
    <n v="0.72078073109598895"/>
    <n v="0.24120584065770259"/>
    <n v="0.1642732793495314"/>
    <n v="7.5576196049638167E-2"/>
    <n v="0.69658547775547386"/>
    <n v="7.5576196049638167E-2"/>
    <n v="7.5576196049638167E-2"/>
    <n v="0.69658547775547386"/>
    <n v="0.1895128780115857"/>
    <n v="0.23916573806779051"/>
    <n v="114.8579755025536"/>
    <n v="0.67309395459746368"/>
    <n v="114.8579755025536"/>
    <n v="114.8579755025536"/>
    <n v="0.67309395459746368"/>
    <n v="443.70518176152979"/>
    <n v="-0.26286316348184718"/>
    <s v="[[sv,wv],[yr],[ya]]"/>
    <x v="1"/>
    <x v="1"/>
    <x v="2"/>
    <x v="3"/>
    <x v="0"/>
    <x v="0"/>
    <x v="2"/>
    <x v="3"/>
  </r>
  <r>
    <d v="2026-03-14T06:48:12"/>
    <s v="03-14_06-48-12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106950069226962"/>
    <n v="20.166334674770631"/>
    <n v="0.70997112262024897"/>
    <n v="0.14437297173899619"/>
    <n v="22.808899019230729"/>
    <n v="0.68563778813586329"/>
    <n v="22.808899019230729"/>
    <n v="22.808899019230729"/>
    <n v="0.68563778813586329"/>
    <n v="107.994316111413"/>
    <n v="0.1405164205247075"/>
    <n v="0.8"/>
    <s v="identity"/>
    <n v="8.082627683078418E-2"/>
    <n v="0.41309672518396662"/>
    <n v="8.082627683078418E-2"/>
    <n v="8.082627683078418E-2"/>
    <n v="0.41309672518396662"/>
    <n v="0.1279710254447945"/>
    <n v="7.0764894041116189E-2"/>
    <n v="5.1059086797656673E-2"/>
    <n v="0.82309116954854888"/>
    <n v="5.1059086797656673E-2"/>
    <n v="5.1059086797656673E-2"/>
    <n v="0.82309116954854888"/>
    <n v="0.222840890599834"/>
    <n v="0.22790390887708409"/>
    <n v="5.8412017060922153E-2"/>
    <n v="0.76549422733265959"/>
    <n v="5.8412017060922153E-2"/>
    <n v="5.8412017060922153E-2"/>
    <n v="0.76549422733265959"/>
    <n v="0.1266547179945712"/>
    <n v="0.49152136838035532"/>
    <n v="91.045298696233502"/>
    <n v="0.74086903047828245"/>
    <n v="91.045298696233502"/>
    <n v="91.045298696233502"/>
    <n v="0.74086903047828245"/>
    <n v="431.49979781161193"/>
    <n v="-0.2281244891997245"/>
    <s v="[[sv,wv],[yr],[ya]]"/>
    <x v="1"/>
    <x v="1"/>
    <x v="2"/>
    <x v="3"/>
    <x v="0"/>
    <x v="0"/>
    <x v="2"/>
    <x v="3"/>
  </r>
  <r>
    <d v="2026-03-14T09:53:46"/>
    <s v="03-14_09-53-4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284109724517877"/>
    <n v="51.560873355705212"/>
    <n v="0.62991258083696133"/>
    <n v="-1.4153529891887779"/>
    <n v="54.979471785281611"/>
    <n v="0.5640495578457918"/>
    <n v="54.979471785281611"/>
    <n v="54.979471785281611"/>
    <n v="0.5640495578457918"/>
    <n v="118.8440658521863"/>
    <n v="-1.3009412908546969"/>
    <n v="0.8"/>
    <s v="identity"/>
    <n v="6.5765274573221302E-2"/>
    <n v="0.52245907482529885"/>
    <n v="6.5765274573221302E-2"/>
    <n v="6.5765274573221302E-2"/>
    <n v="0.52245907482529885"/>
    <n v="0.25435141787954019"/>
    <n v="-0.84692015964228617"/>
    <n v="4.8467415406795597E-2"/>
    <n v="0.83207075738349545"/>
    <n v="4.8467415406795597E-2"/>
    <n v="4.8467415406795597E-2"/>
    <n v="0.83207075738349545"/>
    <n v="0.79578839594821504"/>
    <n v="-1.757236825874765"/>
    <n v="0.1178341971175436"/>
    <n v="0.52693296975406612"/>
    <n v="0.1178341971175436"/>
    <n v="0.1178341971175436"/>
    <n v="0.52693296975406612"/>
    <n v="0.81000100289280352"/>
    <n v="-2.2518978217544681"/>
    <n v="219.6858202540285"/>
    <n v="0.37473542942030857"/>
    <n v="219.6858202540285"/>
    <n v="219.6858202540285"/>
    <n v="0.37473542942030857"/>
    <n v="473.51612259202437"/>
    <n v="-0.34771035614727358"/>
    <s v="[[sv,wv],[yr],[ya]]"/>
    <x v="1"/>
    <x v="0"/>
    <x v="3"/>
    <x v="1"/>
    <x v="0"/>
    <x v="0"/>
    <x v="3"/>
    <x v="1"/>
  </r>
  <r>
    <d v="2026-03-14T10:03:47"/>
    <s v="03-14_10-03-4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184219717810302"/>
    <n v="38.779202697688703"/>
    <n v="0.68664400354093447"/>
    <n v="-0.86163097915173859"/>
    <n v="43.467370173414047"/>
    <n v="0.6152789399634685"/>
    <n v="43.467370173414047"/>
    <n v="43.467370173414047"/>
    <n v="0.6152789399634685"/>
    <n v="114.2221567623552"/>
    <n v="-0.78434753996835949"/>
    <n v="0.8"/>
    <s v="identity"/>
    <n v="6.3669531550662198E-2"/>
    <n v="0.5376768788779076"/>
    <n v="6.3669531550662198E-2"/>
    <n v="6.3669531550662198E-2"/>
    <n v="0.5376768788779076"/>
    <n v="0.19406948134706381"/>
    <n v="-0.40919535837211679"/>
    <n v="8.4683233510342112E-2"/>
    <n v="0.70659068270196101"/>
    <n v="8.4683233510342112E-2"/>
    <n v="8.4683233510342112E-2"/>
    <n v="0.70659068270196101"/>
    <n v="0.66248213507313369"/>
    <n v="-1.2953591037618619"/>
    <n v="7.1964740988097034E-2"/>
    <n v="0.71108432751744632"/>
    <n v="7.1964740988097034E-2"/>
    <n v="7.1964740988097034E-2"/>
    <n v="0.71108432751744632"/>
    <n v="0.53214717951043145"/>
    <n v="-1.136402606567847"/>
    <n v="173.64916318760751"/>
    <n v="0.50576387075655549"/>
    <n v="173.64916318760751"/>
    <n v="173.64916318760751"/>
    <n v="0.50576387075655549"/>
    <n v="455.49992825348988"/>
    <n v="-0.29643309117159999"/>
    <s v="[[sv,wv],[yr],[ya]]"/>
    <x v="1"/>
    <x v="0"/>
    <x v="3"/>
    <x v="1"/>
    <x v="0"/>
    <x v="0"/>
    <x v="3"/>
    <x v="1"/>
  </r>
  <r>
    <d v="2026-03-14T10:09:53"/>
    <s v="03-14_10-09-53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125724794496941"/>
    <n v="40.201964530737087"/>
    <n v="0.68308464872112873"/>
    <n v="4.1618429319300182E-2"/>
    <n v="48.913583930994712"/>
    <n v="0.62625203460148127"/>
    <n v="48.913583930994712"/>
    <n v="48.913583930994712"/>
    <n v="0.62625203460148127"/>
    <n v="93.058833209436358"/>
    <n v="-1.814188511189049E-2"/>
    <n v="0.8"/>
    <s v="identity"/>
    <n v="5.386218017044473E-2"/>
    <n v="0.60889093039696651"/>
    <n v="5.386218017044473E-2"/>
    <n v="5.386218017044473E-2"/>
    <n v="0.60889093039696651"/>
    <n v="0.121751382913656"/>
    <n v="0.1159275405570812"/>
    <n v="7.6600499964598945E-2"/>
    <n v="0.73459562811147749"/>
    <n v="7.6600499964598945E-2"/>
    <n v="7.6600499964598945E-2"/>
    <n v="0.73459562811147749"/>
    <n v="0.29552556521834189"/>
    <n v="-2.393296453708427E-2"/>
    <n v="7.0287744458478851E-2"/>
    <n v="0.71781693814666658"/>
    <n v="7.0287744458478851E-2"/>
    <n v="7.0287744458478851E-2"/>
    <n v="0.71781693814666658"/>
    <n v="0.27575951903281842"/>
    <n v="-0.10708724565561779"/>
    <n v="195.45358529938491"/>
    <n v="0.44370464175081448"/>
    <n v="195.45358529938491"/>
    <n v="195.45358529938491"/>
    <n v="0.44370464175081448"/>
    <n v="371.54229637057921"/>
    <n v="-5.7474870811934357E-2"/>
    <s v="[[sv,wv],[yr],[ya]]"/>
    <x v="1"/>
    <x v="0"/>
    <x v="3"/>
    <x v="1"/>
    <x v="0"/>
    <x v="0"/>
    <x v="3"/>
    <x v="1"/>
  </r>
  <r>
    <d v="2026-03-14T10:16:53"/>
    <s v="03-14_10-16-5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3579535344292029"/>
    <n v="54.789367766230768"/>
    <n v="0.59438291354255146"/>
    <n v="4.4578541921015263E-2"/>
    <n v="60.110371528024928"/>
    <n v="0.54003240924289275"/>
    <n v="60.110371528024928"/>
    <n v="60.110371528024928"/>
    <n v="0.54003240924289275"/>
    <n v="90.747415175746752"/>
    <n v="4.4858364907230143E-2"/>
    <n v="0.8"/>
    <s v="identity"/>
    <n v="7.6316085721489804E-2"/>
    <n v="0.44584654412753633"/>
    <n v="7.6316085721489804E-2"/>
    <n v="7.6316085721489804E-2"/>
    <n v="0.44584654412753633"/>
    <n v="0.13922083823290721"/>
    <n v="-1.092329234205169E-2"/>
    <n v="6.4037492881704225E-2"/>
    <n v="0.77812376442139286"/>
    <n v="6.4037492881704225E-2"/>
    <n v="6.4037492881704225E-2"/>
    <n v="0.77812376442139286"/>
    <n v="0.26083432079704061"/>
    <n v="9.6264787956982789E-2"/>
    <n v="9.4695083269126012E-2"/>
    <n v="0.6198291929096762"/>
    <n v="9.4695083269126012E-2"/>
    <n v="9.4695083269126012E-2"/>
    <n v="0.6198291929096762"/>
    <n v="0.2178338720577741"/>
    <n v="0.12546590495670801"/>
    <n v="240.20643745022869"/>
    <n v="0.31633013551296513"/>
    <n v="240.20643745022869"/>
    <n v="240.20643745022869"/>
    <n v="0.31633013551296513"/>
    <n v="362.37177167189901"/>
    <n v="-3.13739409427225E-2"/>
    <s v="[[sv,wv],[yr],[ya]]"/>
    <x v="1"/>
    <x v="0"/>
    <x v="3"/>
    <x v="1"/>
    <x v="0"/>
    <x v="0"/>
    <x v="3"/>
    <x v="1"/>
  </r>
  <r>
    <d v="2026-03-14T13:22:32"/>
    <s v="03-14_13-22-32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374170177377101"/>
    <n v="19.770409738525519"/>
    <n v="0.70313414026650978"/>
    <n v="-0.28083623645757883"/>
    <n v="21.955466922655539"/>
    <n v="0.64999339860313732"/>
    <n v="21.955466922655539"/>
    <n v="21.955466922655539"/>
    <n v="0.64999339860313732"/>
    <n v="122.00943541395451"/>
    <n v="-0.2601225081706845"/>
    <n v="0.8"/>
    <s v="identity"/>
    <n v="5.9266513668335262E-2"/>
    <n v="0.56964848162315518"/>
    <n v="5.9266513668335262E-2"/>
    <n v="5.9266513668335262E-2"/>
    <n v="0.56964848162315518"/>
    <n v="0.15291187339766851"/>
    <n v="-0.11033790957899831"/>
    <n v="6.2295600158305597E-2"/>
    <n v="0.78415905067101854"/>
    <n v="6.2295600158305597E-2"/>
    <n v="6.2295600158305597E-2"/>
    <n v="0.78415905067101854"/>
    <n v="0.35875023124539568"/>
    <n v="-0.2429929286695218"/>
    <n v="0.12568390561435749"/>
    <n v="0.49541887301710852"/>
    <n v="0.12568390561435749"/>
    <n v="0.12568390561435749"/>
    <n v="0.49541887301710852"/>
    <n v="0.32393486128096349"/>
    <n v="-0.3004960068294007"/>
    <n v="87.574621671181191"/>
    <n v="0.7507471891012687"/>
    <n v="87.574621671181191"/>
    <n v="87.574621671181191"/>
    <n v="0.7507471891012687"/>
    <n v="487.20214468989508"/>
    <n v="-0.38666318760482588"/>
    <s v="[[sv,wv],[yr],[ya]]"/>
    <x v="1"/>
    <x v="1"/>
    <x v="3"/>
    <x v="2"/>
    <x v="0"/>
    <x v="0"/>
    <x v="3"/>
    <x v="2"/>
  </r>
  <r>
    <d v="2026-03-14T13:32:24"/>
    <s v="03-14_13-32-24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40911456638742"/>
    <n v="27.559139954291659"/>
    <n v="0.73608146042678024"/>
    <n v="-0.77896245213445625"/>
    <n v="33.222008152172258"/>
    <n v="0.6564272606790742"/>
    <n v="33.222008152172258"/>
    <n v="33.222008152172258"/>
    <n v="0.6564272606790742"/>
    <n v="121.9540810074766"/>
    <n v="-0.60608643446192567"/>
    <n v="0.8"/>
    <s v="identity"/>
    <n v="6.2400776776267382E-2"/>
    <n v="0.54688967898732921"/>
    <n v="6.2400776776267382E-2"/>
    <n v="6.2400776776267382E-2"/>
    <n v="0.54688967898732921"/>
    <n v="0.23508198208901751"/>
    <n v="-0.70699914122160679"/>
    <n v="7.4755760623460552E-2"/>
    <n v="0.74098725592538406"/>
    <n v="7.4755760623460552E-2"/>
    <n v="7.4755760623460552E-2"/>
    <n v="0.74098725592538406"/>
    <n v="0.54185970278050266"/>
    <n v="-0.87742813864953551"/>
    <n v="7.0874130887673997E-2"/>
    <n v="0.7154627821085926"/>
    <n v="7.0874130887673997E-2"/>
    <n v="7.0874130887673997E-2"/>
    <n v="0.7154627821085926"/>
    <n v="0.36235727713095811"/>
    <n v="-0.45474985338380702"/>
    <n v="132.68000194040181"/>
    <n v="0.62236932569499015"/>
    <n v="132.68000194040181"/>
    <n v="132.68000194040181"/>
    <n v="0.62236932569499015"/>
    <n v="486.6770250679055"/>
    <n v="-0.38516860459274688"/>
    <s v="[[sv,wv],[yr],[ya]]"/>
    <x v="1"/>
    <x v="1"/>
    <x v="3"/>
    <x v="2"/>
    <x v="0"/>
    <x v="0"/>
    <x v="3"/>
    <x v="2"/>
  </r>
  <r>
    <d v="2026-03-14T13:40:04"/>
    <s v="03-14_13-40-0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9.9590445534814456E-2"/>
    <n v="20.646029372454919"/>
    <n v="0.73505729922090879"/>
    <n v="-0.33845529525220291"/>
    <n v="27.269079489686579"/>
    <n v="0.67867633407468198"/>
    <n v="27.269079489686579"/>
    <n v="27.269079489686579"/>
    <n v="0.67867633407468198"/>
    <n v="120.4282733638278"/>
    <n v="-0.27495058032390601"/>
    <n v="0.8"/>
    <s v="identity"/>
    <n v="5.4020866742041998E-2"/>
    <n v="0.60773866071201299"/>
    <n v="5.4020866742041998E-2"/>
    <n v="5.4020866742041998E-2"/>
    <n v="0.60773866071201299"/>
    <n v="0.1729018462167258"/>
    <n v="-0.25549095845133979"/>
    <n v="8.3666862807391218E-2"/>
    <n v="0.71011219010918736"/>
    <n v="8.3666862807391218E-2"/>
    <n v="8.3666862807391218E-2"/>
    <n v="0.71011219010918736"/>
    <n v="0.33812015350597791"/>
    <n v="-0.1715141155159263"/>
    <n v="7.3055543160509509E-2"/>
    <n v="0.70670510181801527"/>
    <n v="7.3055543160509509E-2"/>
    <n v="7.3055543160509509E-2"/>
    <n v="0.70670510181801527"/>
    <n v="0.32484150186853672"/>
    <n v="-0.30413588201636221"/>
    <n v="108.86557468603679"/>
    <n v="0.69014938365951317"/>
    <n v="108.86557468603679"/>
    <n v="108.86557468603679"/>
    <n v="0.69014938365951317"/>
    <n v="480.87722995372047"/>
    <n v="-0.368661365311997"/>
    <s v="[[sv,wv],[yr],[ya]]"/>
    <x v="1"/>
    <x v="1"/>
    <x v="3"/>
    <x v="2"/>
    <x v="0"/>
    <x v="0"/>
    <x v="3"/>
    <x v="2"/>
  </r>
  <r>
    <d v="2026-03-14T13:46:36"/>
    <s v="03-14_13-46-36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06679868096981"/>
    <n v="21.74062835066492"/>
    <n v="0.73633787976172593"/>
    <n v="-0.2476485840944781"/>
    <n v="26.144304869027241"/>
    <n v="0.68107573036468039"/>
    <n v="26.144304869027241"/>
    <n v="26.144304869027241"/>
    <n v="0.68107573036468039"/>
    <n v="104.3978467364787"/>
    <n v="-0.20755434198192249"/>
    <n v="0.8"/>
    <s v="identity"/>
    <n v="6.640092913267738E-2"/>
    <n v="0.51784340084865921"/>
    <n v="6.640092913267738E-2"/>
    <n v="6.640092913267738E-2"/>
    <n v="0.51784340084865921"/>
    <n v="0.16390079748226091"/>
    <n v="-0.19013170665633311"/>
    <n v="6.0491193529928849E-2"/>
    <n v="0.790410934249548"/>
    <n v="6.0491193529928849E-2"/>
    <n v="6.0491193529928849E-2"/>
    <n v="0.790410934249548"/>
    <n v="0.35440857113016022"/>
    <n v="-0.22795000367072871"/>
    <n v="7.1455378730298585E-2"/>
    <n v="0.71312925587025466"/>
    <n v="7.1455378730298585E-2"/>
    <n v="7.1455378730298585E-2"/>
    <n v="0.71312925587025466"/>
    <n v="0.30536435004236329"/>
    <n v="-0.2259412780944996"/>
    <n v="104.3788719747164"/>
    <n v="0.7029193304902579"/>
    <n v="104.3788719747164"/>
    <n v="104.3788719747164"/>
    <n v="0.7029193304902579"/>
    <n v="416.76771322725938"/>
    <n v="-0.18619437950612891"/>
    <s v="[[sv,wv],[yr],[ya]]"/>
    <x v="1"/>
    <x v="1"/>
    <x v="3"/>
    <x v="2"/>
    <x v="0"/>
    <x v="0"/>
    <x v="3"/>
    <x v="2"/>
  </r>
  <r>
    <d v="2026-03-14T16:50:12"/>
    <s v="03-14_16-50-1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18948728069611"/>
    <n v="12.766641885953261"/>
    <n v="0.7285006446319422"/>
    <n v="-0.13724236416819091"/>
    <n v="15.60522991926717"/>
    <n v="0.66234501434293591"/>
    <n v="15.60522991926717"/>
    <n v="15.60522991926717"/>
    <n v="0.66234501434293591"/>
    <n v="117.9305395491092"/>
    <n v="-0.13744705944477939"/>
    <n v="0.8"/>
    <s v="identity"/>
    <n v="6.533977458968114E-2"/>
    <n v="0.52554875485963604"/>
    <n v="6.533977458968114E-2"/>
    <n v="6.533977458968114E-2"/>
    <n v="0.52554875485963604"/>
    <n v="0.1486145210733342"/>
    <n v="-7.9133575405962553E-2"/>
    <n v="5.69991174799983E-2"/>
    <n v="0.80251023191793269"/>
    <n v="5.69991174799983E-2"/>
    <n v="5.69991174799983E-2"/>
    <n v="0.80251023191793269"/>
    <n v="0.28753547370978472"/>
    <n v="3.7509960002549692E-3"/>
    <n v="0.1249717078007687"/>
    <n v="0.49827812196914212"/>
    <n v="0.1249717078007687"/>
    <n v="0.1249717078007687"/>
    <n v="0.49827812196914212"/>
    <n v="0.28242484765238718"/>
    <n v="-0.13384643180704761"/>
    <n v="62.173609077197668"/>
    <n v="0.82304294862503424"/>
    <n v="62.173609077197668"/>
    <n v="62.173609077197668"/>
    <n v="0.82304294862503424"/>
    <n v="471.00358335400119"/>
    <n v="-0.34055922656635368"/>
    <s v="[[sv,wv],[yr],[ya]]"/>
    <x v="1"/>
    <x v="1"/>
    <x v="3"/>
    <x v="3"/>
    <x v="0"/>
    <x v="0"/>
    <x v="3"/>
    <x v="3"/>
  </r>
  <r>
    <d v="2026-03-14T16:59:46"/>
    <s v="03-14_16-59-4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36850081179865"/>
    <n v="30.61464957232991"/>
    <n v="0.71583658726647248"/>
    <n v="-0.40871917035716931"/>
    <n v="38.668268541114948"/>
    <n v="0.63594932632045309"/>
    <n v="38.668268541114948"/>
    <n v="38.668268541114948"/>
    <n v="0.63594932632045309"/>
    <n v="98.375236551644164"/>
    <n v="-0.32360791962761021"/>
    <n v="0.8"/>
    <s v="identity"/>
    <n v="6.2215887050770927E-2"/>
    <n v="0.54823221744918227"/>
    <n v="6.2215887050770927E-2"/>
    <n v="6.2215887050770927E-2"/>
    <n v="0.54823221744918227"/>
    <n v="0.2290087978004598"/>
    <n v="-0.66289997091121333"/>
    <n v="8.4455212014894684E-2"/>
    <n v="0.70738072848239697"/>
    <n v="8.4455212014894684E-2"/>
    <n v="8.4455212014894684E-2"/>
    <n v="0.70738072848239697"/>
    <n v="0.40658257851731527"/>
    <n v="-0.40872179583781071"/>
    <n v="6.78009157121265E-2"/>
    <n v="0.72780076897460177"/>
    <n v="6.78009157121265E-2"/>
    <n v="6.78009157121265E-2"/>
    <n v="0.72780076897460177"/>
    <n v="0.27534660906514269"/>
    <n v="-0.10542954273960919"/>
    <n v="154.4586021496832"/>
    <n v="0.56038359037562824"/>
    <n v="154.4586021496832"/>
    <n v="154.4586021496832"/>
    <n v="0.56038359037562824"/>
    <n v="392.59000822119441"/>
    <n v="-0.1173803690217976"/>
    <s v="[[sv,wv],[yr],[ya]]"/>
    <x v="1"/>
    <x v="1"/>
    <x v="3"/>
    <x v="3"/>
    <x v="0"/>
    <x v="0"/>
    <x v="3"/>
    <x v="3"/>
  </r>
  <r>
    <d v="2026-03-14T17:08:37"/>
    <s v="03-14_17-08-3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0740456201534079"/>
    <n v="29.180680509796069"/>
    <n v="0.71371955207441118"/>
    <n v="-0.52079929277443915"/>
    <n v="34.101250123790933"/>
    <n v="0.65236551040996671"/>
    <n v="34.101250123790933"/>
    <n v="34.101250123790933"/>
    <n v="0.65236551040996671"/>
    <n v="115.8205303653325"/>
    <n v="-0.43492310604041751"/>
    <n v="0.8"/>
    <s v="identity"/>
    <n v="5.8255732035626499E-2"/>
    <n v="0.57698806317536055"/>
    <n v="5.8255732035626499E-2"/>
    <n v="5.8255732035626499E-2"/>
    <n v="0.57698806317536055"/>
    <n v="0.18692212264756319"/>
    <n v="-0.3572962929753043"/>
    <n v="8.3448883921353703E-2"/>
    <n v="0.7108674403929387"/>
    <n v="8.3448883921353703E-2"/>
    <n v="8.3448883921353703E-2"/>
    <n v="0.7108674403929387"/>
    <n v="0.47440447218352472"/>
    <n v="-0.64371017185479884"/>
    <n v="7.2426687230427417E-2"/>
    <n v="0.70922975946896627"/>
    <n v="7.2426687230427417E-2"/>
    <n v="7.2426687230427417E-2"/>
    <n v="0.70922975946896627"/>
    <n v="0.35444746173869429"/>
    <n v="-0.42299444647354328"/>
    <n v="136.19086919197591"/>
    <n v="0.61237677860260442"/>
    <n v="136.19086919197591"/>
    <n v="136.19086919197591"/>
    <n v="0.61237677860260442"/>
    <n v="462.26634740475941"/>
    <n v="-0.3156915128580271"/>
    <s v="[[sv,wv],[yr],[ya]]"/>
    <x v="1"/>
    <x v="1"/>
    <x v="3"/>
    <x v="3"/>
    <x v="0"/>
    <x v="0"/>
    <x v="3"/>
    <x v="3"/>
  </r>
  <r>
    <d v="2026-03-14T17:14:14"/>
    <s v="03-14_17-14-1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327892866364514"/>
    <n v="19.05853146089505"/>
    <n v="0.59247338257339455"/>
    <n v="-0.35534701230065979"/>
    <n v="22.10604991625706"/>
    <n v="0.5555029646683125"/>
    <n v="22.10604991625706"/>
    <n v="22.10604991625706"/>
    <n v="0.5555029646683125"/>
    <n v="165.92739196174759"/>
    <n v="-0.34736631484230629"/>
    <n v="0.8"/>
    <s v="identity"/>
    <n v="0.1198980734232301"/>
    <n v="0.12938496370989849"/>
    <n v="0.1198980734232301"/>
    <n v="0.1198980734232301"/>
    <n v="0.12938496370989849"/>
    <n v="0.15087097122851739"/>
    <n v="-9.5518321029081532E-2"/>
    <n v="7.0535969178479804E-2"/>
    <n v="0.75560793201070031"/>
    <n v="7.0535969178479804E-2"/>
    <n v="7.0535969178479804E-2"/>
    <n v="0.75560793201070031"/>
    <n v="0.32305078313702412"/>
    <n v="-0.11930196573392669"/>
    <n v="0.1026592388226457"/>
    <n v="0.58785562743986675"/>
    <n v="0.1026592388226457"/>
    <n v="0.1026592388226457"/>
    <n v="0.58785562743986675"/>
    <n v="0.32079051105365491"/>
    <n v="-0.28787243523072292"/>
    <n v="88.131106383604148"/>
    <n v="0.74916333551278957"/>
    <n v="88.131106383604148"/>
    <n v="88.131106383604148"/>
    <n v="0.74916333551278957"/>
    <n v="662.91485558157069"/>
    <n v="-0.88677253737548911"/>
    <s v="[[sv,wv],[yr],[ya]]"/>
    <x v="1"/>
    <x v="1"/>
    <x v="3"/>
    <x v="3"/>
    <x v="0"/>
    <x v="0"/>
    <x v="3"/>
    <x v="3"/>
  </r>
  <r>
    <d v="2026-03-14T20:19:17"/>
    <s v="03-14_20-19-1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1777771769031831"/>
    <n v="13.45361262283644"/>
    <n v="0.68917566284073317"/>
    <n v="0.1883260662149697"/>
    <n v="17.895009861709148"/>
    <n v="0.63166696400826916"/>
    <n v="17.895009861709148"/>
    <n v="17.895009861709148"/>
    <n v="0.63166696400826916"/>
    <n v="112.0734252899838"/>
    <n v="0.1060574678313931"/>
    <n v="0.8"/>
    <s v="identity"/>
    <n v="7.3605465966264758E-2"/>
    <n v="0.46552914826941982"/>
    <n v="7.3605465966264758E-2"/>
    <n v="7.3605465966264758E-2"/>
    <n v="0.46552914826941982"/>
    <n v="7.533956182799946E-2"/>
    <n v="0.45293737019917968"/>
    <n v="8.848297224606741E-2"/>
    <n v="0.69342539953851268"/>
    <n v="8.848297224606741E-2"/>
    <n v="8.848297224606741E-2"/>
    <n v="0.69342539953851268"/>
    <n v="0.24905999441317619"/>
    <n v="0.13706031409276789"/>
    <n v="0.10693818265094079"/>
    <n v="0.57067702140734566"/>
    <n v="0.10693818265094079"/>
    <n v="0.10693818265094079"/>
    <n v="0.57067702140734566"/>
    <n v="0.22203496724192379"/>
    <n v="0.10859983660675609"/>
    <n v="71.311012825973592"/>
    <n v="0.79703628681779881"/>
    <n v="71.311012825973592"/>
    <n v="71.311012825973592"/>
    <n v="0.79703628681779881"/>
    <n v="447.74726663644992"/>
    <n v="-0.27436764957312582"/>
    <s v="[[sv,wv],[yr],[ya]]"/>
    <x v="0"/>
    <x v="0"/>
    <x v="0"/>
    <x v="0"/>
    <x v="1"/>
    <x v="1"/>
    <x v="0"/>
    <x v="0"/>
  </r>
  <r>
    <d v="2026-03-14T20:29:40"/>
    <s v="03-14_20-29-4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323292749394929"/>
    <n v="24.191089095631131"/>
    <n v="0.64097711077072694"/>
    <n v="-0.28303304251538469"/>
    <n v="29.277747954068261"/>
    <n v="0.57925509364909367"/>
    <n v="29.277747954068261"/>
    <n v="29.277747954068261"/>
    <n v="0.57925509364909367"/>
    <n v="165.75723846591001"/>
    <n v="-0.29335970181362769"/>
    <n v="0.8"/>
    <s v="identity"/>
    <n v="7.5432345509596654E-2"/>
    <n v="0.45226364070533098"/>
    <n v="7.5432345509596654E-2"/>
    <n v="7.5432345509596654E-2"/>
    <n v="0.45226364070533098"/>
    <n v="0.15300639532155599"/>
    <n v="-0.1110242609593499"/>
    <n v="0.1044304239657266"/>
    <n v="0.63817088541869949"/>
    <n v="0.1044304239657266"/>
    <n v="0.1044304239657266"/>
    <n v="0.63817088541869949"/>
    <n v="0.21930982852942241"/>
    <n v="0.2401382847797229"/>
    <n v="0.1098268669375366"/>
    <n v="0.55907986769300566"/>
    <n v="0.1098268669375366"/>
    <n v="0.1098268669375366"/>
    <n v="0.55907986769300566"/>
    <n v="0.3530838972858576"/>
    <n v="-0.41752016649343798"/>
    <n v="116.8213021798598"/>
    <n v="0.66750598077933532"/>
    <n v="116.8213021798598"/>
    <n v="116.8213021798598"/>
    <n v="0.66750598077933532"/>
    <n v="662.30355374250314"/>
    <n v="-0.88503266458143637"/>
    <s v="[[sv,wv],[yr],[ya]]"/>
    <x v="0"/>
    <x v="0"/>
    <x v="0"/>
    <x v="0"/>
    <x v="1"/>
    <x v="1"/>
    <x v="0"/>
    <x v="0"/>
  </r>
  <r>
    <d v="2026-03-14T20:37:08"/>
    <s v="03-14_20-37-0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302733583379585"/>
    <n v="22.05002548576385"/>
    <n v="0.63819102807735706"/>
    <n v="-0.34731831601495311"/>
    <n v="30.014037914688711"/>
    <n v="0.57352667593278717"/>
    <n v="30.014037914688711"/>
    <n v="30.014037914688711"/>
    <n v="0.57352667593278717"/>
    <n v="158.90497970307251"/>
    <n v="-0.28307049360657721"/>
    <n v="0.8"/>
    <s v="identity"/>
    <n v="7.0572751413084819E-2"/>
    <n v="0.4875505770996742"/>
    <n v="7.0572751413084819E-2"/>
    <n v="7.0572751413084819E-2"/>
    <n v="0.4875505770996742"/>
    <n v="0.1084915647841161"/>
    <n v="0.21221096457257391"/>
    <n v="0.1001157189286071"/>
    <n v="0.65312041682894062"/>
    <n v="0.1001157189286071"/>
    <n v="0.1001157189286071"/>
    <n v="0.65312041682894062"/>
    <n v="0.35243001189934631"/>
    <n v="-0.2210947185206176"/>
    <n v="0.12596450525458369"/>
    <n v="0.49429235421580092"/>
    <n v="0.12596450525458369"/>
    <n v="0.12596450525458369"/>
    <n v="0.49429235421580092"/>
    <n v="0.32793545142193908"/>
    <n v="-0.3165571108511358"/>
    <n v="119.7594986831588"/>
    <n v="0.65914335558673232"/>
    <n v="119.7594986831588"/>
    <n v="119.7594986831588"/>
    <n v="0.65914335558673232"/>
    <n v="634.83106178418416"/>
    <n v="-0.80684110962714106"/>
    <s v="[[sv,wv],[yr],[ya]]"/>
    <x v="0"/>
    <x v="0"/>
    <x v="0"/>
    <x v="0"/>
    <x v="1"/>
    <x v="1"/>
    <x v="0"/>
    <x v="0"/>
  </r>
  <r>
    <d v="2026-03-14T20:43:10"/>
    <s v="03-14_20-43-10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2473288062135569"/>
    <n v="16.354063830287419"/>
    <n v="0.61687444222504628"/>
    <n v="0.20665403312906541"/>
    <n v="23.305355913413251"/>
    <n v="0.59478382904772431"/>
    <n v="23.305355913413251"/>
    <n v="23.305355913413251"/>
    <n v="0.59478382904772431"/>
    <n v="77.817849972072963"/>
    <n v="0.20455869341403241"/>
    <n v="0.8"/>
    <s v="identity"/>
    <n v="9.0673750653227136E-2"/>
    <n v="0.34159133285769661"/>
    <n v="9.0673750653227136E-2"/>
    <n v="9.0673750653227136E-2"/>
    <n v="0.34159133285769661"/>
    <n v="0.13462088730195779"/>
    <n v="2.2478298962460341E-2"/>
    <n v="8.3912813169577258E-2"/>
    <n v="0.70926002463478577"/>
    <n v="8.3912813169577258E-2"/>
    <n v="8.3912813169577258E-2"/>
    <n v="0.70926002463478577"/>
    <n v="0.1216331400061007"/>
    <n v="0.57856714852948676"/>
    <n v="0.1014219390662382"/>
    <n v="0.59282299460157306"/>
    <n v="0.1014219390662382"/>
    <n v="0.1014219390662382"/>
    <n v="0.59282299460157306"/>
    <n v="0.22373955530285961"/>
    <n v="0.1017564547065493"/>
    <n v="92.945415150764092"/>
    <n v="0.7354609640968488"/>
    <n v="92.945415150764092"/>
    <n v="92.945415150764092"/>
    <n v="0.7354609640968488"/>
    <n v="310.7914063056806"/>
    <n v="0.1154328714576365"/>
    <s v="[[sv,wv],[yr],[ya]]"/>
    <x v="0"/>
    <x v="0"/>
    <x v="0"/>
    <x v="0"/>
    <x v="1"/>
    <x v="1"/>
    <x v="0"/>
    <x v="0"/>
  </r>
  <r>
    <d v="2026-03-14T23:44:28"/>
    <s v="03-14_23-44-28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033346285260528"/>
    <n v="14.795379492222679"/>
    <n v="0.7313496396468786"/>
    <n v="0.35057291815497738"/>
    <n v="19.554515354509149"/>
    <n v="0.6811236536683215"/>
    <n v="19.554515354509149"/>
    <n v="19.554515354509149"/>
    <n v="0.6811236536683215"/>
    <n v="74.575027932190764"/>
    <n v="0.35782150346730862"/>
    <n v="0.8"/>
    <s v="identity"/>
    <n v="7.5717885720255479E-2"/>
    <n v="0.45019024958429521"/>
    <n v="7.5717885720255479E-2"/>
    <n v="7.5717885720255479E-2"/>
    <n v="0.45019024958429521"/>
    <n v="0.1196097646518431"/>
    <n v="0.1314784581614549"/>
    <n v="8.642315861195192E-2"/>
    <n v="0.70056221384158501"/>
    <n v="8.642315861195192E-2"/>
    <n v="8.642315861195192E-2"/>
    <n v="0.70056221384158501"/>
    <n v="0.15404289992487949"/>
    <n v="0.46627425255261212"/>
    <n v="5.0873680349678943E-2"/>
    <n v="0.79575826483803991"/>
    <n v="5.0873680349678943E-2"/>
    <n v="5.0873680349678943E-2"/>
    <n v="0.79575826483803991"/>
    <n v="7.932296774771147E-2"/>
    <n v="0.6815433744987347"/>
    <n v="78.005046693354501"/>
    <n v="0.77798388640937022"/>
    <n v="78.005046693354501"/>
    <n v="78.005046693354501"/>
    <n v="0.77798388640937022"/>
    <n v="297.94713609643878"/>
    <n v="0.1519899286564331"/>
    <s v="[[sv,wv],[yr],[ya]]"/>
    <x v="0"/>
    <x v="0"/>
    <x v="1"/>
    <x v="0"/>
    <x v="1"/>
    <x v="1"/>
    <x v="1"/>
    <x v="0"/>
  </r>
  <r>
    <d v="2026-03-14T23:55:43"/>
    <s v="03-14_23-55-4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176940052227459"/>
    <n v="19.024442973571531"/>
    <n v="0.68905739312609571"/>
    <n v="0.26020266450987078"/>
    <n v="24.502470256279029"/>
    <n v="0.63616794965789125"/>
    <n v="24.502470256279029"/>
    <n v="24.502470256279029"/>
    <n v="0.63616794965789125"/>
    <n v="98.316367169597868"/>
    <n v="0.24894956539693269"/>
    <n v="0.8"/>
    <s v="identity"/>
    <n v="7.9984012558964979E-2"/>
    <n v="0.41921265281015357"/>
    <n v="7.9984012558964979E-2"/>
    <n v="7.9984012558964979E-2"/>
    <n v="0.41921265281015357"/>
    <n v="0.1172602381750605"/>
    <n v="0.14853905822320981"/>
    <n v="0.1022472648084051"/>
    <n v="0.64573506561529559"/>
    <n v="0.1022472648084051"/>
    <n v="0.1022472648084051"/>
    <n v="0.64573506561529559"/>
    <n v="0.19900564400110299"/>
    <n v="0.31048794756178971"/>
    <n v="6.0281898824190161E-2"/>
    <n v="0.75798724350030211"/>
    <n v="6.0281898824190161E-2"/>
    <n v="6.0281898824190161E-2"/>
    <n v="0.75798724350030211"/>
    <n v="8.5952145923453169E-2"/>
    <n v="0.65492932094481637"/>
    <n v="97.767367848924863"/>
    <n v="0.72173683670581035"/>
    <n v="97.767367848924863"/>
    <n v="97.767367848924863"/>
    <n v="0.72173683670581035"/>
    <n v="392.8632506502924"/>
    <n v="-0.11815806514208679"/>
    <s v="[[sv,wv],[yr],[ya]]"/>
    <x v="0"/>
    <x v="0"/>
    <x v="1"/>
    <x v="0"/>
    <x v="1"/>
    <x v="1"/>
    <x v="1"/>
    <x v="0"/>
  </r>
  <r>
    <d v="2026-03-15T00:01:53"/>
    <s v="03-15_00-01-53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213460600692093"/>
    <n v="20.0582943824474"/>
    <n v="0.67755583669337005"/>
    <n v="0.18502919732465181"/>
    <n v="27.37878320304095"/>
    <n v="0.61930877075876412"/>
    <n v="27.37878320304095"/>
    <n v="27.37878320304095"/>
    <n v="0.61930877075876412"/>
    <n v="99.587472206311332"/>
    <n v="0.15204145352975981"/>
    <n v="0.8"/>
    <s v="identity"/>
    <n v="7.4385780794697307E-2"/>
    <n v="0.45986305370028152"/>
    <n v="7.4385780794697307E-2"/>
    <n v="7.4385780794697307E-2"/>
    <n v="0.45986305370028152"/>
    <n v="8.883733178202935E-2"/>
    <n v="0.3549261082760472"/>
    <n v="9.9030556710468787E-2"/>
    <n v="0.65688027214366129"/>
    <n v="9.9030556710468787E-2"/>
    <n v="9.9030556710468787E-2"/>
    <n v="0.65688027214366129"/>
    <n v="0.27006214537346729"/>
    <n v="6.4292346696992908E-2"/>
    <n v="8.1833434484482312E-2"/>
    <n v="0.67146464461601063"/>
    <n v="8.1833434484482312E-2"/>
    <n v="8.1833434484482312E-2"/>
    <n v="0.67146464461601063"/>
    <n v="0.16907467557537101"/>
    <n v="0.32121865620683021"/>
    <n v="109.2598830401741"/>
    <n v="0.68902711257510463"/>
    <n v="109.2598830401741"/>
    <n v="109.2598830401741"/>
    <n v="0.68902711257510463"/>
    <n v="397.82191467251442"/>
    <n v="-0.13227129706082619"/>
    <s v="[[sv,wv],[yr],[ya]]"/>
    <x v="0"/>
    <x v="0"/>
    <x v="1"/>
    <x v="0"/>
    <x v="1"/>
    <x v="1"/>
    <x v="1"/>
    <x v="0"/>
  </r>
  <r>
    <d v="2026-03-15T00:08:10"/>
    <s v="03-15_00-08-1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1292906756394371"/>
    <n v="22.565968745669661"/>
    <n v="0.67853104242649354"/>
    <n v="0.32611064937035028"/>
    <n v="30.17947788099675"/>
    <n v="0.6498149042540865"/>
    <n v="30.17947788099675"/>
    <n v="30.17947788099675"/>
    <n v="0.6498149042540865"/>
    <n v="91.471028780339054"/>
    <n v="0.33120534286205661"/>
    <n v="0.8"/>
    <s v="identity"/>
    <n v="7.8535697427696505E-2"/>
    <n v="0.4297292932745741"/>
    <n v="7.8535697427696505E-2"/>
    <n v="7.8535697427696505E-2"/>
    <n v="0.4297292932745741"/>
    <n v="0.12671137671016061"/>
    <n v="7.991157252814185E-2"/>
    <n v="8.9676102889959808E-2"/>
    <n v="0.68929145668866765"/>
    <n v="8.9676102889959808E-2"/>
    <n v="8.9676102889959808E-2"/>
    <n v="0.68929145668866765"/>
    <n v="0.13227835303986571"/>
    <n v="0.54168375899349663"/>
    <n v="4.40335472499482E-2"/>
    <n v="0.82321923568633004"/>
    <n v="4.40335472499482E-2"/>
    <n v="4.40335472499482E-2"/>
    <n v="0.82321923568633004"/>
    <n v="6.3846155172424313E-2"/>
    <n v="0.74367788164321424"/>
    <n v="120.50566617641989"/>
    <n v="0.65701963136677621"/>
    <n v="120.50566617641989"/>
    <n v="120.50566617641989"/>
    <n v="0.65701963136677621"/>
    <n v="365.56127923643379"/>
    <n v="-4.0451841716625303E-2"/>
    <s v="[[sv,wv],[yr],[ya]]"/>
    <x v="0"/>
    <x v="0"/>
    <x v="1"/>
    <x v="0"/>
    <x v="1"/>
    <x v="1"/>
    <x v="1"/>
    <x v="0"/>
  </r>
  <r>
    <d v="2026-03-15T03:12:53"/>
    <s v="03-15_03-12-53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078023645447745"/>
    <n v="13.461914282337769"/>
    <n v="0.71868836536348646"/>
    <n v="0.111190391432997"/>
    <n v="18.00262144106971"/>
    <n v="0.65752565504376115"/>
    <n v="18.00262144106971"/>
    <n v="18.00262144106971"/>
    <n v="0.65752565504376115"/>
    <n v="113.71573377055191"/>
    <n v="0.15060237122937811"/>
    <n v="0.8"/>
    <s v="identity"/>
    <n v="7.8079777336856865E-2"/>
    <n v="0.43303986261984301"/>
    <n v="7.8079777336856865E-2"/>
    <n v="7.8079777336856865E-2"/>
    <n v="0.43303986261984301"/>
    <n v="0.1152091550865703"/>
    <n v="0.16343257341103551"/>
    <n v="9.7422902740755962E-2"/>
    <n v="0.66245044978274858"/>
    <n v="9.7422902740755962E-2"/>
    <n v="9.7422902740755962E-2"/>
    <n v="0.66245044978274858"/>
    <n v="0.13505699108268229"/>
    <n v="0.53205637164223729"/>
    <n v="6.5040686694375516E-2"/>
    <n v="0.73888221541517596"/>
    <n v="6.5040686694375516E-2"/>
    <n v="6.5040686694375516E-2"/>
    <n v="0.73888221541517596"/>
    <n v="0.19920339770532711"/>
    <n v="0.2002613666272566"/>
    <n v="71.769942397506895"/>
    <n v="0.79573009235727654"/>
    <n v="71.769942397506895"/>
    <n v="71.769942397506895"/>
    <n v="0.79573009235727654"/>
    <n v="454.41346553833142"/>
    <n v="-0.29334082676300549"/>
    <s v="[[sv,wv],[yr],[ya]]"/>
    <x v="1"/>
    <x v="0"/>
    <x v="2"/>
    <x v="0"/>
    <x v="1"/>
    <x v="1"/>
    <x v="2"/>
    <x v="0"/>
  </r>
  <r>
    <d v="2026-03-15T03:23:59"/>
    <s v="03-15_03-23-5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243697149004709"/>
    <n v="28.438371583631209"/>
    <n v="0.66826849659761745"/>
    <n v="7.9226370119696965E-2"/>
    <n v="33.312753204399868"/>
    <n v="0.6127840314576507"/>
    <n v="33.312753204399868"/>
    <n v="33.312753204399868"/>
    <n v="0.6127840314576507"/>
    <n v="133.09888073091659"/>
    <n v="-3.7669756995262478E-3"/>
    <n v="0.8"/>
    <s v="identity"/>
    <n v="7.8695449612945029E-2"/>
    <n v="0.42856928585671838"/>
    <n v="7.8695449612945029E-2"/>
    <n v="7.8695449612945029E-2"/>
    <n v="0.42856928585671838"/>
    <n v="0.1520023350227831"/>
    <n v="-0.1037334849819251"/>
    <n v="0.10614818146047469"/>
    <n v="0.6322192225814971"/>
    <n v="0.10614818146047469"/>
    <n v="0.10614818146047469"/>
    <n v="0.6322192225814971"/>
    <n v="0.1855426911164601"/>
    <n v="0.35713420386252881"/>
    <n v="5.7560309207688683E-2"/>
    <n v="0.76891356496657559"/>
    <n v="5.7560309207688683E-2"/>
    <n v="5.7560309207688683E-2"/>
    <n v="0.76891356496657559"/>
    <n v="0.1879781575136352"/>
    <n v="0.245327155432045"/>
    <n v="133.00860887731861"/>
    <n v="0.62143405242581329"/>
    <n v="133.00860887731861"/>
    <n v="133.00860887731861"/>
    <n v="0.62143405242581329"/>
    <n v="531.86999974001321"/>
    <n v="-0.51379577711075153"/>
    <s v="[[sv,wv],[yr],[ya]]"/>
    <x v="1"/>
    <x v="0"/>
    <x v="2"/>
    <x v="0"/>
    <x v="1"/>
    <x v="1"/>
    <x v="2"/>
    <x v="0"/>
  </r>
  <r>
    <d v="2026-03-15T03:30:11"/>
    <s v="03-15_03-30-1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1628822598627769"/>
    <n v="24.7010833557963"/>
    <n v="0.67232829395889193"/>
    <n v="-0.12119680294012521"/>
    <n v="33.445685171067318"/>
    <n v="0.60485820803251267"/>
    <n v="33.445685171067318"/>
    <n v="33.445685171067318"/>
    <n v="0.60485820803251267"/>
    <n v="133.93217030374279"/>
    <n v="-9.9059604581366756E-2"/>
    <n v="0.8"/>
    <s v="identity"/>
    <n v="7.3215711804672415E-2"/>
    <n v="0.46835926741855038"/>
    <n v="7.3215711804672415E-2"/>
    <n v="7.3215711804672415E-2"/>
    <n v="0.46835926741855038"/>
    <n v="0.1113397457551928"/>
    <n v="0.19152948814265899"/>
    <n v="9.99162345558334E-2"/>
    <n v="0.653811587574328"/>
    <n v="9.99162345558334E-2"/>
    <n v="9.99162345558334E-2"/>
    <n v="0.653811587574328"/>
    <n v="0.32134117294691522"/>
    <n v="-0.1133785315671816"/>
    <n v="8.0377513293569181E-2"/>
    <n v="0.67730970768688081"/>
    <n v="8.0377513293569181E-2"/>
    <n v="8.0377513293569181E-2"/>
    <n v="0.67730970768688081"/>
    <n v="0.23700924853074859"/>
    <n v="4.8482833625819621E-2"/>
    <n v="133.52923122461539"/>
    <n v="0.61995226945028792"/>
    <n v="133.52923122461539"/>
    <n v="133.52923122461539"/>
    <n v="0.61995226945028792"/>
    <n v="535.05899104773812"/>
    <n v="-0.52287220852676786"/>
    <s v="[[sv,wv],[yr],[ya]]"/>
    <x v="1"/>
    <x v="0"/>
    <x v="2"/>
    <x v="0"/>
    <x v="1"/>
    <x v="1"/>
    <x v="2"/>
    <x v="0"/>
  </r>
  <r>
    <d v="2026-03-15T03:37:51"/>
    <s v="03-15_03-37-5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0838142148100539"/>
    <n v="17.383175680943349"/>
    <n v="0.67325034582194998"/>
    <n v="0.28418357295751351"/>
    <n v="24.00900816542666"/>
    <n v="0.64674217332899775"/>
    <n v="24.00900816542666"/>
    <n v="24.00900816542666"/>
    <n v="0.64674217332899775"/>
    <n v="78.102300748163131"/>
    <n v="0.27102219470423489"/>
    <n v="0.8"/>
    <s v="identity"/>
    <n v="8.5081634671316062E-2"/>
    <n v="0.38219732526046268"/>
    <n v="8.5081634671316062E-2"/>
    <n v="8.5081634671316062E-2"/>
    <n v="0.38219732526046268"/>
    <n v="0.13409277899805511"/>
    <n v="2.631304807093415E-2"/>
    <n v="8.5598825288446118E-2"/>
    <n v="0.70341835274476372"/>
    <n v="8.5598825288446118E-2"/>
    <n v="8.5598825288446118E-2"/>
    <n v="0.70341835274476372"/>
    <n v="0.1283966834929805"/>
    <n v="0.55513291491866656"/>
    <n v="5.6282761200000073E-2"/>
    <n v="0.77404251612657704"/>
    <n v="5.6282761200000073E-2"/>
    <n v="5.6282761200000073E-2"/>
    <n v="0.77404251612657704"/>
    <n v="0.1517839665851658"/>
    <n v="0.39063538371831441"/>
    <n v="95.809069440547177"/>
    <n v="0.72731049918418644"/>
    <n v="95.809069440547177"/>
    <n v="95.809069440547177"/>
    <n v="0.72731049918418644"/>
    <n v="311.9949295635775"/>
    <n v="0.1120074321090184"/>
    <s v="[[sv,wv],[yr],[ya]]"/>
    <x v="1"/>
    <x v="0"/>
    <x v="2"/>
    <x v="0"/>
    <x v="1"/>
    <x v="1"/>
    <x v="2"/>
    <x v="0"/>
  </r>
  <r>
    <d v="2026-03-15T06:45:27"/>
    <s v="03-15_06-45-2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213973576511192"/>
    <n v="19.845291570626902"/>
    <n v="0.67554474059379588"/>
    <n v="-3.8237537594424359E-2"/>
    <n v="24.970983862220521"/>
    <n v="0.60448403955614394"/>
    <n v="24.970983862220521"/>
    <n v="24.970983862220521"/>
    <n v="0.60448403955614394"/>
    <n v="107.0710535948773"/>
    <n v="-4.803493123624461E-2"/>
    <n v="0.8"/>
    <s v="identity"/>
    <n v="6.8227443352730871E-2"/>
    <n v="0.50458054600391944"/>
    <n v="6.8227443352730871E-2"/>
    <n v="6.8227443352730871E-2"/>
    <n v="0.50458054600391944"/>
    <n v="8.5882670127615121E-2"/>
    <n v="0.37638077214210081"/>
    <n v="8.4538979162391767E-2"/>
    <n v="0.7070904932074753"/>
    <n v="8.4538979162391767E-2"/>
    <n v="8.4538979162391767E-2"/>
    <n v="0.7070904932074753"/>
    <n v="0.18074867895281371"/>
    <n v="0.37374443209480551"/>
    <n v="0.12709447742856891"/>
    <n v="0.48975587334960152"/>
    <n v="0.12709447742856891"/>
    <n v="0.12709447742856891"/>
    <n v="0.48975587334960152"/>
    <n v="0.42974109188568771"/>
    <n v="-0.72527455599508417"/>
    <n v="99.604074548938272"/>
    <n v="0.7165092456635811"/>
    <n v="99.604074548938272"/>
    <n v="99.604074548938272"/>
    <n v="0.7165092456635811"/>
    <n v="427.58784193854171"/>
    <n v="-0.21699037318680389"/>
    <s v="[[sv,wv],[yr],[ya]]"/>
    <x v="1"/>
    <x v="0"/>
    <x v="3"/>
    <x v="0"/>
    <x v="1"/>
    <x v="1"/>
    <x v="3"/>
    <x v="0"/>
  </r>
  <r>
    <d v="2026-03-15T06:54:09"/>
    <s v="03-15_06-54-09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1771800891476721"/>
    <n v="19.166601730930399"/>
    <n v="0.70745730520781858"/>
    <n v="-0.1167532287571387"/>
    <n v="23.246911231361729"/>
    <n v="0.64266514139701103"/>
    <n v="23.246911231361729"/>
    <n v="23.246911231361729"/>
    <n v="0.64266514139701103"/>
    <n v="95.918875401297043"/>
    <n v="-0.1211106341564183"/>
    <n v="0.8"/>
    <s v="identity"/>
    <n v="7.5408545137099936E-2"/>
    <n v="0.45243646218255201"/>
    <n v="7.5408545137099936E-2"/>
    <n v="7.5408545137099936E-2"/>
    <n v="0.45243646218255201"/>
    <n v="0.1051645648467414"/>
    <n v="0.2363692857908819"/>
    <n v="0.1023190528622181"/>
    <n v="0.6454863353414706"/>
    <n v="0.1023190528622181"/>
    <n v="0.1023190528622181"/>
    <n v="0.6454863353414706"/>
    <n v="0.37270061971509311"/>
    <n v="-0.29132804516500221"/>
    <n v="6.5583126258918933E-2"/>
    <n v="0.73670449213820166"/>
    <n v="6.5583126258918933E-2"/>
    <n v="6.5583126258918933E-2"/>
    <n v="0.73670449213820166"/>
    <n v="0.33372133013308142"/>
    <n v="-0.33978558379191443"/>
    <n v="92.744334201188479"/>
    <n v="0.73603327592581791"/>
    <n v="92.744334201188479"/>
    <n v="92.744334201188479"/>
    <n v="0.73603327592581791"/>
    <n v="382.86391509049162"/>
    <n v="-8.9698193459647246E-2"/>
    <s v="[[sv,wv],[yr],[ya]]"/>
    <x v="1"/>
    <x v="0"/>
    <x v="3"/>
    <x v="0"/>
    <x v="1"/>
    <x v="1"/>
    <x v="3"/>
    <x v="0"/>
  </r>
  <r>
    <d v="2026-03-15T07:00:28"/>
    <s v="03-15_07-00-2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152427529738726"/>
    <n v="20.015740316080219"/>
    <n v="0.69493577968119413"/>
    <n v="-0.2733919061353598"/>
    <n v="27.55093896565106"/>
    <n v="0.62252899301606091"/>
    <n v="27.55093896565106"/>
    <n v="27.55093896565106"/>
    <n v="0.62252899301606091"/>
    <n v="133.48770292807481"/>
    <n v="-0.32168802032366678"/>
    <n v="0.8"/>
    <s v="identity"/>
    <n v="7.8186822627981795E-2"/>
    <n v="0.4322625754011532"/>
    <n v="7.8186822627981795E-2"/>
    <n v="7.8186822627981795E-2"/>
    <n v="0.4322625754011532"/>
    <n v="0.12292422295747781"/>
    <n v="0.10741120540538961"/>
    <n v="9.8633859580708125E-2"/>
    <n v="0.65825474297091124"/>
    <n v="9.8633859580708125E-2"/>
    <n v="9.8633859580708125E-2"/>
    <n v="0.65825474297091124"/>
    <n v="0.28053090568281108"/>
    <n v="2.8020328163994249E-2"/>
    <n v="7.15994333554648E-2"/>
    <n v="0.71255092211496474"/>
    <n v="7.15994333554648E-2"/>
    <n v="7.15994333554648E-2"/>
    <n v="0.71255092211496474"/>
    <n v="0.47449922239895642"/>
    <n v="-0.90496429292391944"/>
    <n v="109.95533574704039"/>
    <n v="0.68704773157721233"/>
    <n v="109.95533574704039"/>
    <n v="109.95533574704039"/>
    <n v="0.68704773157721233"/>
    <n v="533.07285736126107"/>
    <n v="-0.51721932194012843"/>
    <s v="[[sv,wv],[yr],[ya]]"/>
    <x v="1"/>
    <x v="0"/>
    <x v="3"/>
    <x v="0"/>
    <x v="1"/>
    <x v="1"/>
    <x v="3"/>
    <x v="0"/>
  </r>
  <r>
    <d v="2026-03-15T07:10:15"/>
    <s v="03-15_07-10-1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1337385650098659"/>
    <n v="26.929133037001328"/>
    <n v="0.65971813972933402"/>
    <n v="-2.0350742005672499E-2"/>
    <n v="33.978079072663071"/>
    <n v="0.59594380428126559"/>
    <n v="33.978079072663071"/>
    <n v="33.978079072663071"/>
    <n v="0.59594380428126559"/>
    <n v="89.793637294901217"/>
    <n v="-2.148865658329405E-2"/>
    <n v="0.8"/>
    <s v="identity"/>
    <n v="8.0559077932775919E-2"/>
    <n v="0.41503693466060249"/>
    <n v="8.0559077932775919E-2"/>
    <n v="8.0559077932775919E-2"/>
    <n v="0.41503693466060249"/>
    <n v="9.1720514065174771E-2"/>
    <n v="0.3339904770652683"/>
    <n v="7.6465912395667607E-2"/>
    <n v="0.73506194529234103"/>
    <n v="7.6465912395667607E-2"/>
    <n v="7.6465912395667607E-2"/>
    <n v="0.73506194529234103"/>
    <n v="0.19207084203005331"/>
    <n v="0.3345155552425273"/>
    <n v="9.4704775761134341E-2"/>
    <n v="0.6197902806200164"/>
    <n v="9.4704775761134341E-2"/>
    <n v="9.4704775761134341E-2"/>
    <n v="0.6197902806200164"/>
    <n v="0.43197020998955449"/>
    <n v="-0.73422376010780699"/>
    <n v="135.66058652456289"/>
    <n v="0.61388605655209805"/>
    <n v="135.66058652456289"/>
    <n v="135.66058652456289"/>
    <n v="0.61388605655209805"/>
    <n v="358.4587876135198"/>
    <n v="-2.023689853316446E-2"/>
    <s v="[[sv,wv],[yr],[ya]]"/>
    <x v="1"/>
    <x v="0"/>
    <x v="3"/>
    <x v="0"/>
    <x v="1"/>
    <x v="1"/>
    <x v="3"/>
    <x v="0"/>
  </r>
  <r>
    <d v="2026-03-15T10:13:10"/>
    <s v="03-15_10-13-10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4473533720191631"/>
    <n v="53.656973674424258"/>
    <n v="0.565015765314135"/>
    <n v="-0.25244525990818462"/>
    <n v="56.234154062279742"/>
    <n v="0.52371949736760137"/>
    <n v="56.234154062279742"/>
    <n v="56.234154062279742"/>
    <n v="0.52371949736760137"/>
    <n v="114.3438183682525"/>
    <n v="-0.25221387908890502"/>
    <n v="0.8"/>
    <s v="identity"/>
    <n v="7.5705706397953695E-2"/>
    <n v="0.45027868721156478"/>
    <n v="7.5705706397953695E-2"/>
    <n v="7.5705706397953695E-2"/>
    <n v="0.45027868721156478"/>
    <n v="0.16517832307593569"/>
    <n v="-0.19940819425403311"/>
    <n v="8.7904945151075123E-2"/>
    <n v="0.69542813996647168"/>
    <n v="8.7904945151075123E-2"/>
    <n v="8.7904945151075123E-2"/>
    <n v="0.69542813996647168"/>
    <n v="0.16129257705338909"/>
    <n v="0.44115566970294517"/>
    <n v="0.10246806822002071"/>
    <n v="0.58862311694178016"/>
    <n v="0.10246806822002071"/>
    <n v="0.10246806822002071"/>
    <n v="0.58862311694178016"/>
    <n v="0.48600211765370699"/>
    <n v="-0.9511447789840628"/>
    <n v="224.67053752934879"/>
    <n v="0.36054804535059348"/>
    <n v="224.67053752934879"/>
    <n v="224.67053752934879"/>
    <n v="0.36054804535059348"/>
    <n v="456.56280045522749"/>
    <n v="-0.29945821282047153"/>
    <s v="[[sv,wv],[yr],[ya]]"/>
    <x v="0"/>
    <x v="0"/>
    <x v="0"/>
    <x v="1"/>
    <x v="1"/>
    <x v="1"/>
    <x v="0"/>
    <x v="1"/>
  </r>
  <r>
    <d v="2026-03-15T10:21:54"/>
    <s v="03-15_10-21-54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5712534527793481"/>
    <n v="44.204793976120499"/>
    <n v="0.54242525306909561"/>
    <n v="-2.5556385730745149E-2"/>
    <n v="48.099126343518087"/>
    <n v="0.5070214878885001"/>
    <n v="48.099126343518087"/>
    <n v="48.099126343518087"/>
    <n v="0.5070214878885001"/>
    <n v="101.1821966857559"/>
    <n v="-7.4267827177146029E-3"/>
    <n v="0.8"/>
    <s v="identity"/>
    <n v="7.0188593478346342E-2"/>
    <n v="0.4903400604061563"/>
    <n v="7.0188593478346342E-2"/>
    <n v="7.0188593478346342E-2"/>
    <n v="0.4903400604061563"/>
    <n v="0.2152521389796748"/>
    <n v="-0.56300884108286864"/>
    <n v="0.13472216677236329"/>
    <n v="0.5332164663650435"/>
    <n v="0.13472216677236329"/>
    <n v="0.13472216677236329"/>
    <n v="0.5332164663650435"/>
    <n v="0.1056122638345051"/>
    <n v="0.63407606269311745"/>
    <n v="0.111784042858923"/>
    <n v="0.55122242542711142"/>
    <n v="0.111784042858923"/>
    <n v="0.111784042858923"/>
    <n v="0.55122242542711142"/>
    <n v="0.23673892859678311"/>
    <n v="4.9568082657980961E-2"/>
    <n v="192.07981057096271"/>
    <n v="0.45330699935568958"/>
    <n v="192.07981057096271"/>
    <n v="192.07981057096271"/>
    <n v="0.45330699935568958"/>
    <n v="404.17118341161199"/>
    <n v="-0.15034243513908899"/>
    <s v="[[sv,wv],[yr],[ya]]"/>
    <x v="0"/>
    <x v="0"/>
    <x v="0"/>
    <x v="1"/>
    <x v="1"/>
    <x v="1"/>
    <x v="0"/>
    <x v="1"/>
  </r>
  <r>
    <d v="2026-03-15T10:29:19"/>
    <s v="03-15_10-29-19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4836136962833929"/>
    <n v="45.582233336703823"/>
    <n v="0.57696019641588137"/>
    <n v="-4.2026982929339707E-2"/>
    <n v="54.055015907019254"/>
    <n v="0.50301303457760171"/>
    <n v="54.055015907019254"/>
    <n v="54.055015907019254"/>
    <n v="0.50301303457760171"/>
    <n v="105.25399089849959"/>
    <n v="-0.13433070680976711"/>
    <n v="0.8"/>
    <s v="identity"/>
    <n v="6.8546719890583419E-2"/>
    <n v="0.50226218552778512"/>
    <n v="6.8546719890583419E-2"/>
    <n v="6.8546719890583419E-2"/>
    <n v="0.50226218552778512"/>
    <n v="0.10554395586969099"/>
    <n v="0.23361441642740621"/>
    <n v="0.1005237113512352"/>
    <n v="0.65170681022437638"/>
    <n v="0.1005237113512352"/>
    <n v="0.1005237113512352"/>
    <n v="0.65170681022437638"/>
    <n v="0.3998248351180736"/>
    <n v="-0.38530765829186181"/>
    <n v="0.13136066516829939"/>
    <n v="0.47262847897789162"/>
    <n v="0.13136066516829939"/>
    <n v="0.13136066516829939"/>
    <n v="0.47262847897789162"/>
    <n v="0.2963186566369494"/>
    <n v="-0.1896256802418177"/>
    <n v="215.9196325316675"/>
    <n v="0.38545466358035391"/>
    <n v="215.9196325316675"/>
    <n v="215.9196325316675"/>
    <n v="0.38545466358035391"/>
    <n v="420.21427614637457"/>
    <n v="-0.19600390513279259"/>
    <s v="[[sv,wv],[yr],[ya]]"/>
    <x v="0"/>
    <x v="0"/>
    <x v="0"/>
    <x v="1"/>
    <x v="1"/>
    <x v="1"/>
    <x v="0"/>
    <x v="1"/>
  </r>
  <r>
    <d v="2026-03-15T10:39:10"/>
    <s v="03-15_10-39-10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4206837856525689"/>
    <n v="50.315395137882497"/>
    <n v="0.53711981329473679"/>
    <n v="0.23294580621740221"/>
    <n v="55.302464754332931"/>
    <n v="0.51583477364653607"/>
    <n v="55.302464754332931"/>
    <n v="55.302464754332931"/>
    <n v="0.51583477364653607"/>
    <n v="101.77072708617909"/>
    <n v="0.134955429232127"/>
    <n v="0.8"/>
    <s v="identity"/>
    <n v="9.5879634311734643E-2"/>
    <n v="0.30378988650521982"/>
    <n v="9.5879634311734643E-2"/>
    <n v="9.5879634311734643E-2"/>
    <n v="0.30378988650521982"/>
    <n v="0.13539601225738171"/>
    <n v="1.6849889581655671E-2"/>
    <n v="8.4609291133018169E-2"/>
    <n v="0.70684687724662698"/>
    <n v="8.4609291133018169E-2"/>
    <n v="8.4609291133018169E-2"/>
    <n v="0.70684687724662698"/>
    <n v="0.1476648162341119"/>
    <n v="0.48837295029718197"/>
    <n v="7.931754892281534E-2"/>
    <n v="0.68156512936670799"/>
    <n v="7.931754892281534E-2"/>
    <n v="7.931754892281534E-2"/>
    <n v="0.68156512936670799"/>
    <n v="0.20129854262494989"/>
    <n v="0.1918500224733001"/>
    <n v="220.95005254296501"/>
    <n v="0.371137201467586"/>
    <n v="220.95005254296501"/>
    <n v="220.95005254296501"/>
    <n v="0.371137201467586"/>
    <n v="406.59854897360009"/>
    <n v="-0.15725114542362811"/>
    <s v="[[sv,wv],[yr],[ya]]"/>
    <x v="0"/>
    <x v="0"/>
    <x v="0"/>
    <x v="1"/>
    <x v="1"/>
    <x v="1"/>
    <x v="0"/>
    <x v="1"/>
  </r>
  <r>
    <d v="2026-03-15T13:41:55"/>
    <s v="03-15_13-41-55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1662687896187179"/>
    <n v="14.26571678376969"/>
    <n v="0.6895562312776562"/>
    <n v="0.18081221606734491"/>
    <n v="16.32309536059423"/>
    <n v="0.63847877503868355"/>
    <n v="16.32309536059423"/>
    <n v="16.32309536059423"/>
    <n v="0.63847877503868355"/>
    <n v="109.3135076882805"/>
    <n v="9.8463174076733939E-2"/>
    <n v="0.8"/>
    <s v="identity"/>
    <n v="7.3674407626701091E-2"/>
    <n v="0.46502854267594368"/>
    <n v="7.3674407626701091E-2"/>
    <n v="7.3674407626701091E-2"/>
    <n v="0.46502854267594368"/>
    <n v="7.6990129674792837E-2"/>
    <n v="0.44095211351567348"/>
    <n v="8.9651751553224482E-2"/>
    <n v="0.68937582886944804"/>
    <n v="8.9651751553224482E-2"/>
    <n v="8.9651751553224482E-2"/>
    <n v="0.68937582886944804"/>
    <n v="0.2487161973203881"/>
    <n v="0.1382514975904042"/>
    <n v="0.1034739061268302"/>
    <n v="0.58458499589438606"/>
    <n v="0.1034739061268302"/>
    <n v="0.1034739061268302"/>
    <n v="0.58458499589438606"/>
    <n v="0.23474925811292899"/>
    <n v="5.755598031409126E-2"/>
    <n v="65.02558137707021"/>
    <n v="0.81492573271495417"/>
    <n v="65.02558137707021"/>
    <n v="65.02558137707021"/>
    <n v="0.81492573271495417"/>
    <n v="436.69357516801222"/>
    <n v="-0.24290689511322849"/>
    <s v="[[sv,wv],[yr],[ya]]"/>
    <x v="0"/>
    <x v="1"/>
    <x v="0"/>
    <x v="2"/>
    <x v="1"/>
    <x v="1"/>
    <x v="0"/>
    <x v="2"/>
  </r>
  <r>
    <d v="2026-03-15T13:49:22"/>
    <s v="03-15_13-49-22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3611789157764709"/>
    <n v="30.376051852904649"/>
    <n v="0.62992497967485883"/>
    <n v="-0.3834148627278075"/>
    <n v="37.694553533489881"/>
    <n v="0.55907389471132407"/>
    <n v="37.694553533489881"/>
    <n v="37.694553533489881"/>
    <n v="0.55907389471132407"/>
    <n v="178.7561634587552"/>
    <n v="-0.34307344233442011"/>
    <n v="0.8"/>
    <s v="identity"/>
    <n v="7.3753150590492214E-2"/>
    <n v="0.46445676694743299"/>
    <n v="7.3753150590492214E-2"/>
    <n v="7.3753150590492214E-2"/>
    <n v="0.46445676694743299"/>
    <n v="0.15265674311663299"/>
    <n v="-0.1084853338658065"/>
    <n v="0.1047477835071921"/>
    <n v="0.63707130238981047"/>
    <n v="0.1047477835071921"/>
    <n v="0.1047477835071921"/>
    <n v="0.63707130238981047"/>
    <n v="0.2339448380772286"/>
    <n v="0.18943110247134209"/>
    <n v="0.10882772711710691"/>
    <n v="0.56309109804220236"/>
    <n v="0.10882772711710691"/>
    <n v="0.10882772711710691"/>
    <n v="0.56309109804220236"/>
    <n v="0.3537664866472105"/>
    <n v="-0.42026054687495468"/>
    <n v="150.49088547274491"/>
    <n v="0.57167641146585157"/>
    <n v="150.49088547274491"/>
    <n v="150.49088547274491"/>
    <n v="0.57167641146585157"/>
    <n v="714.28428576717499"/>
    <n v="-1.032978991068243"/>
    <s v="[[sv,wv],[yr],[ya]]"/>
    <x v="0"/>
    <x v="1"/>
    <x v="0"/>
    <x v="2"/>
    <x v="1"/>
    <x v="1"/>
    <x v="0"/>
    <x v="2"/>
  </r>
  <r>
    <d v="2026-03-15T13:57:58"/>
    <s v="03-15_13-57-58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311346186523486"/>
    <n v="24.128623093364371"/>
    <n v="0.62993518882014232"/>
    <n v="-0.36097918389062722"/>
    <n v="31.510961325605962"/>
    <n v="0.56687829400554479"/>
    <n v="31.510961325605962"/>
    <n v="31.510961325605962"/>
    <n v="0.56687829400554479"/>
    <n v="153.3716975740586"/>
    <n v="-0.31794314583591232"/>
    <n v="0.8"/>
    <s v="identity"/>
    <n v="7.112126695588275E-2"/>
    <n v="0.48356764505110822"/>
    <n v="7.112126695588275E-2"/>
    <n v="7.112126695588275E-2"/>
    <n v="0.48356764505110822"/>
    <n v="0.11076213085736521"/>
    <n v="0.19572371913299999"/>
    <n v="0.1001497670607476"/>
    <n v="0.65300244732314239"/>
    <n v="0.1001497670607476"/>
    <n v="0.1001497670607476"/>
    <n v="0.65300244732314239"/>
    <n v="0.36731455770865518"/>
    <n v="-0.27266649067864868"/>
    <n v="0.12732354648831429"/>
    <n v="0.4888362335297034"/>
    <n v="0.12732354648831429"/>
    <n v="0.12732354648831429"/>
    <n v="0.4888362335297034"/>
    <n v="0.3614550549546221"/>
    <n v="-0.45112771672041108"/>
    <n v="125.74525072191889"/>
    <n v="0.64210685011822244"/>
    <n v="125.74525072191889"/>
    <n v="125.74525072191889"/>
    <n v="0.64210685011822244"/>
    <n v="612.64725855271035"/>
    <n v="-0.7437020950775779"/>
    <s v="[[sv,wv],[yr],[ya]]"/>
    <x v="0"/>
    <x v="1"/>
    <x v="0"/>
    <x v="2"/>
    <x v="1"/>
    <x v="1"/>
    <x v="0"/>
    <x v="2"/>
  </r>
  <r>
    <d v="2026-03-15T14:07:24"/>
    <s v="03-15_14-07-2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329968412922832"/>
    <n v="19.658623053513939"/>
    <n v="0.58484423611895486"/>
    <n v="0.1428649486030974"/>
    <n v="20.36918567201776"/>
    <n v="0.58317625426668984"/>
    <n v="20.36918567201776"/>
    <n v="20.36918567201776"/>
    <n v="0.58317625426668984"/>
    <n v="81.711531010449548"/>
    <n v="7.334939390032702E-2"/>
    <n v="0.8"/>
    <s v="identity"/>
    <n v="9.1513569929680863E-2"/>
    <n v="0.33549315905914051"/>
    <n v="9.1513569929680863E-2"/>
    <n v="9.1513569929680863E-2"/>
    <n v="0.33549315905914051"/>
    <n v="0.13835370946066991"/>
    <n v="-4.6268162940616966E-3"/>
    <n v="8.7139233019782103E-2"/>
    <n v="0.69808116895906536"/>
    <n v="8.7139233019782103E-2"/>
    <n v="8.7139233019782103E-2"/>
    <n v="0.69808116895906536"/>
    <n v="0.15081801344556581"/>
    <n v="0.47744779542569538"/>
    <n v="0.11702383593244919"/>
    <n v="0.53018631359343349"/>
    <n v="0.11702383593244919"/>
    <n v="0.11702383593244919"/>
    <n v="0.53018631359343349"/>
    <n v="0.31157412160698961"/>
    <n v="-0.25087154676389961"/>
    <n v="81.181066049189369"/>
    <n v="0.76894437545512384"/>
    <n v="81.181066049189369"/>
    <n v="81.181066049189369"/>
    <n v="0.76894437545512384"/>
    <n v="326.24537819728442"/>
    <n v="7.1448143233571182E-2"/>
    <s v="[[sv,wv],[yr],[ya]]"/>
    <x v="0"/>
    <x v="1"/>
    <x v="0"/>
    <x v="2"/>
    <x v="1"/>
    <x v="1"/>
    <x v="0"/>
    <x v="2"/>
  </r>
  <r>
    <d v="2026-03-15T17:09:56"/>
    <s v="03-15_17-09-5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86567357837096"/>
    <n v="11.873355142929871"/>
    <n v="0.72825126177464972"/>
    <n v="0.34479024209088172"/>
    <n v="14.56680772111646"/>
    <n v="0.6723798437465609"/>
    <n v="14.56680772111646"/>
    <n v="14.56680772111646"/>
    <n v="0.6723798437465609"/>
    <n v="76.554744006048352"/>
    <n v="0.29651312107377509"/>
    <n v="0.8"/>
    <s v="identity"/>
    <n v="7.0467467339186032E-2"/>
    <n v="0.48831507560412141"/>
    <n v="7.0467467339186032E-2"/>
    <n v="7.0467467339186032E-2"/>
    <n v="0.48831507560412141"/>
    <n v="6.9761163813377339E-2"/>
    <n v="0.49344375242266503"/>
    <n v="8.4513093145748619E-2"/>
    <n v="0.70718018272635641"/>
    <n v="8.4513093145748619E-2"/>
    <n v="8.4513093145748619E-2"/>
    <n v="0.70718018272635641"/>
    <n v="0.17243419867125079"/>
    <n v="0.40255233044700339"/>
    <n v="8.4893312120388156E-2"/>
    <n v="0.65918020375297348"/>
    <n v="8.4893312120388156E-2"/>
    <n v="8.4893312120388156E-2"/>
    <n v="0.65918020375297348"/>
    <n v="0.2091509785161228"/>
    <n v="0.16032497611067101"/>
    <n v="58.027357011860488"/>
    <n v="0.83484391290279436"/>
    <n v="58.027357011860488"/>
    <n v="58.027357011860488"/>
    <n v="0.83484391290279436"/>
    <n v="305.76762968319338"/>
    <n v="0.1297314253147562"/>
    <s v="[[sv,wv],[yr],[ya]]"/>
    <x v="0"/>
    <x v="1"/>
    <x v="0"/>
    <x v="3"/>
    <x v="1"/>
    <x v="1"/>
    <x v="0"/>
    <x v="3"/>
  </r>
  <r>
    <d v="2026-03-15T17:16:15"/>
    <s v="03-15_17-16-15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3909461397292569"/>
    <n v="18.887541213426299"/>
    <n v="0.62054711505848748"/>
    <n v="3.552389885158666E-2"/>
    <n v="20.88729799075271"/>
    <n v="0.58838895329567598"/>
    <n v="20.88729799075271"/>
    <n v="20.88729799075271"/>
    <n v="0.58838895329567598"/>
    <n v="96.291306313441524"/>
    <n v="6.7310154917340992E-2"/>
    <n v="0.8"/>
    <s v="identity"/>
    <n v="6.7872515511782749E-2"/>
    <n v="0.50715778103618436"/>
    <n v="6.7872515511782749E-2"/>
    <n v="6.7872515511782749E-2"/>
    <n v="0.50715778103618436"/>
    <n v="0.15596624021536171"/>
    <n v="-0.132516561845099"/>
    <n v="0.12972723449822771"/>
    <n v="0.55052283986724404"/>
    <n v="0.12972723449822771"/>
    <n v="0.12972723449822771"/>
    <n v="0.55052283986724404"/>
    <n v="0.1200096636258092"/>
    <n v="0.584192147441847"/>
    <n v="0.1163784626259711"/>
    <n v="0.53277728328613705"/>
    <n v="0.1163784626259711"/>
    <n v="0.1163784626259711"/>
    <n v="0.53277728328613705"/>
    <n v="0.27094126026527038"/>
    <n v="-8.7743460728338718E-2"/>
    <n v="83.235213750374768"/>
    <n v="0.76309790899313834"/>
    <n v="83.235213750374768"/>
    <n v="83.235213750374768"/>
    <n v="0.76309790899313834"/>
    <n v="384.61830808965777"/>
    <n v="-9.4691505199036019E-2"/>
    <s v="[[sv,wv],[yr],[ya]]"/>
    <x v="0"/>
    <x v="1"/>
    <x v="0"/>
    <x v="3"/>
    <x v="1"/>
    <x v="1"/>
    <x v="0"/>
    <x v="3"/>
  </r>
  <r>
    <d v="2026-03-15T17:26:04"/>
    <s v="03-15_17-26-0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313525619987177"/>
    <n v="20.23087125251617"/>
    <n v="0.6481738347902819"/>
    <n v="-0.22991458394978739"/>
    <n v="25.734320912043199"/>
    <n v="0.57985191138442949"/>
    <n v="25.734320912043199"/>
    <n v="25.734320912043199"/>
    <n v="0.57985191138442949"/>
    <n v="142.8105192444537"/>
    <n v="-0.15155305548990591"/>
    <n v="0.8"/>
    <s v="identity"/>
    <n v="7.1176118193871055E-2"/>
    <n v="0.48316935414293671"/>
    <n v="7.1176118193871055E-2"/>
    <n v="7.1176118193871055E-2"/>
    <n v="0.48316935414293671"/>
    <n v="0.1033516885448225"/>
    <n v="0.24953311171670201"/>
    <n v="0.1027578141277168"/>
    <n v="0.64396612126803099"/>
    <n v="0.1027578141277168"/>
    <n v="0.1027578141277168"/>
    <n v="0.64396612126803099"/>
    <n v="0.31218441767160549"/>
    <n v="-8.1652330256437811E-2"/>
    <n v="0.12843122850666891"/>
    <n v="0.48438924058794203"/>
    <n v="0.12843122850666891"/>
    <n v="0.12843122850666891"/>
    <n v="0.48438924058794203"/>
    <n v="0.28650712715891408"/>
    <n v="-0.15023549279296899"/>
    <n v="102.6349184873449"/>
    <n v="0.70788292953880549"/>
    <n v="102.6349184873449"/>
    <n v="102.6349184873449"/>
    <n v="0.70788292953880549"/>
    <n v="570.54003374443948"/>
    <n v="-0.62385751062691952"/>
    <s v="[[sv,wv],[yr],[ya]]"/>
    <x v="0"/>
    <x v="1"/>
    <x v="0"/>
    <x v="3"/>
    <x v="1"/>
    <x v="1"/>
    <x v="0"/>
    <x v="3"/>
  </r>
  <r>
    <d v="2026-03-15T17:35:57"/>
    <s v="03-15_17-35-57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3522392660358601"/>
    <n v="34.354971924958093"/>
    <n v="0.4992975150767362"/>
    <n v="-9.5488825188063009E-2"/>
    <n v="43.593604790454968"/>
    <n v="0.47334577169326852"/>
    <n v="43.593604790454968"/>
    <n v="43.593604790454968"/>
    <n v="0.47334577169326852"/>
    <n v="79.169458175061735"/>
    <n v="-4.5738303071136521E-2"/>
    <n v="0.8"/>
    <s v="identity"/>
    <n v="0.12028769635362301"/>
    <n v="0.12655579746895271"/>
    <n v="0.12028769635362301"/>
    <n v="0.12028769635362301"/>
    <n v="0.12655579746895271"/>
    <n v="0.16558419296241211"/>
    <n v="-0.20235533440278569"/>
    <n v="8.8191271580683919E-2"/>
    <n v="0.69443608004205182"/>
    <n v="8.8191271580683919E-2"/>
    <n v="8.8191271580683919E-2"/>
    <n v="0.69443608004205182"/>
    <n v="0.17275644587047731"/>
    <n v="0.40143581272788881"/>
    <n v="0.1076568581575815"/>
    <n v="0.56779176656661479"/>
    <n v="0.1076568581575815"/>
    <n v="0.1076568581575815"/>
    <n v="0.56779176656661479"/>
    <n v="0.36932595697978521"/>
    <n v="-0.48272689877013758"/>
    <n v="174.05828333572771"/>
    <n v="0.50459944269545387"/>
    <n v="174.05828333572771"/>
    <n v="174.05828333572771"/>
    <n v="0.50459944269545387"/>
    <n v="315.97016610443399"/>
    <n v="0.1006932081604849"/>
    <s v="[[sv,wv],[yr],[ya]]"/>
    <x v="0"/>
    <x v="1"/>
    <x v="0"/>
    <x v="3"/>
    <x v="1"/>
    <x v="1"/>
    <x v="0"/>
    <x v="3"/>
  </r>
  <r>
    <d v="2026-03-15T20:53:18"/>
    <s v="03-15_20-53-1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21987041843302"/>
    <n v="43.790081030491962"/>
    <n v="0.65538924077826"/>
    <n v="0.1068742277987392"/>
    <n v="45.180427146060659"/>
    <n v="0.61309783381176797"/>
    <n v="45.180427146060659"/>
    <n v="45.180427146060659"/>
    <n v="0.61309783381176797"/>
    <n v="86.377061289345647"/>
    <n v="0.11169468304958741"/>
    <n v="0.8"/>
    <s v="identity"/>
    <n v="7.5132967441671403E-2"/>
    <n v="0.45443751256189657"/>
    <n v="7.5132967441671403E-2"/>
    <n v="7.5132967441671403E-2"/>
    <n v="0.45443751256189657"/>
    <n v="0.1230772334291152"/>
    <n v="0.1063001515451069"/>
    <n v="7.646681809301642E-2"/>
    <n v="0.73505880724446793"/>
    <n v="7.646681809301642E-2"/>
    <n v="7.646681809301642E-2"/>
    <n v="0.73505880724446793"/>
    <n v="0.13336732417995709"/>
    <n v="0.53791070657772566"/>
    <n v="5.5628031512074592E-2"/>
    <n v="0.7766710487313504"/>
    <n v="5.5628031512074592E-2"/>
    <n v="5.5628031512074592E-2"/>
    <n v="0.7766710487313504"/>
    <n v="0.30280005956113221"/>
    <n v="-0.21564646290232051"/>
    <n v="180.51448076719521"/>
    <n v="0.48622396670935542"/>
    <n v="180.51448076719521"/>
    <n v="180.51448076719521"/>
    <n v="0.48622396670935542"/>
    <n v="344.94900054021161"/>
    <n v="1.8214336977836591E-2"/>
    <s v="[[sv,wv],[yr],[ya]]"/>
    <x v="0"/>
    <x v="0"/>
    <x v="1"/>
    <x v="1"/>
    <x v="1"/>
    <x v="1"/>
    <x v="1"/>
    <x v="1"/>
  </r>
  <r>
    <d v="2026-03-15T20:58:41"/>
    <s v="03-15_20-58-4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85292904122832"/>
    <n v="45.266198100337597"/>
    <n v="0.62532673179090459"/>
    <n v="0.21228872679913491"/>
    <n v="48.810542268317768"/>
    <n v="0.58803489725226021"/>
    <n v="48.810542268317768"/>
    <n v="48.810542268317768"/>
    <n v="0.58803489725226021"/>
    <n v="117.6358822101738"/>
    <n v="0.22798905957272761"/>
    <n v="0.8"/>
    <s v="identity"/>
    <n v="7.8531570976465528E-2"/>
    <n v="0.42975925664584141"/>
    <n v="7.8531570976465528E-2"/>
    <n v="7.8531570976465528E-2"/>
    <n v="0.42975925664584141"/>
    <n v="0.1546762512274204"/>
    <n v="-0.1231495738903723"/>
    <n v="0.10573371373314989"/>
    <n v="0.63365526473382716"/>
    <n v="0.10573371373314989"/>
    <n v="0.10573371373314989"/>
    <n v="0.63365526473382716"/>
    <n v="9.314262808755791E-2"/>
    <n v="0.67728068726641255"/>
    <n v="3.8911285066498262E-2"/>
    <n v="0.84378349817159592"/>
    <n v="3.8911285066498262E-2"/>
    <n v="3.8911285066498262E-2"/>
    <n v="0.84378349817159592"/>
    <n v="7.5683618622828699E-2"/>
    <n v="0.69615421010207845"/>
    <n v="195.01899250349501"/>
    <n v="0.44494156945777752"/>
    <n v="195.01899250349501"/>
    <n v="195.01899250349501"/>
    <n v="0.44494156945777752"/>
    <n v="470.22002634275913"/>
    <n v="-0.33832908518721289"/>
    <s v="[[sv,wv],[yr],[ya]]"/>
    <x v="0"/>
    <x v="0"/>
    <x v="1"/>
    <x v="1"/>
    <x v="1"/>
    <x v="1"/>
    <x v="1"/>
    <x v="1"/>
  </r>
  <r>
    <d v="2026-03-15T21:08:37"/>
    <s v="03-15_21-08-37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3340934673905031"/>
    <n v="42.073159145454241"/>
    <n v="0.6140740170618082"/>
    <n v="7.5726596281261133E-2"/>
    <n v="50.833025404808048"/>
    <n v="0.55733775092524118"/>
    <n v="50.833025404808048"/>
    <n v="50.833025404808048"/>
    <n v="0.55733775092524118"/>
    <n v="108.4607875433127"/>
    <n v="8.7423778906166039E-2"/>
    <n v="0.8"/>
    <s v="identity"/>
    <n v="7.0960300463114356E-2"/>
    <n v="0.48473646991160751"/>
    <n v="7.0960300463114356E-2"/>
    <n v="7.0960300463114356E-2"/>
    <n v="0.48473646991160751"/>
    <n v="7.9580873548173753E-2"/>
    <n v="0.42213996327052311"/>
    <n v="9.9503933304522965E-2"/>
    <n v="0.65524012334998827"/>
    <n v="9.9503933304522965E-2"/>
    <n v="9.9503933304522965E-2"/>
    <n v="0.65524012334998827"/>
    <n v="0.36425475028967602"/>
    <n v="-0.26206491149170691"/>
    <n v="8.2852746277574663E-2"/>
    <n v="0.66737243017700665"/>
    <n v="8.2852746277574663E-2"/>
    <n v="8.2852746277574663E-2"/>
    <n v="0.66737243017700665"/>
    <n v="0.1437867521642483"/>
    <n v="0.42274167008414348"/>
    <n v="203.07878463918661"/>
    <n v="0.42200198026236452"/>
    <n v="203.07878463918661"/>
    <n v="203.07878463918661"/>
    <n v="0.42200198026236452"/>
    <n v="433.2555277972487"/>
    <n v="-0.2331216062382919"/>
    <s v="[[sv,wv],[yr],[ya]]"/>
    <x v="0"/>
    <x v="0"/>
    <x v="1"/>
    <x v="1"/>
    <x v="1"/>
    <x v="1"/>
    <x v="1"/>
    <x v="1"/>
  </r>
  <r>
    <d v="2026-03-15T21:19:43"/>
    <s v="03-15_21-19-4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67381099153711"/>
    <n v="43.28809079893739"/>
    <n v="0.60053045680911443"/>
    <n v="4.6650466051500167E-2"/>
    <n v="48.422070694326678"/>
    <n v="0.57471630423241249"/>
    <n v="48.422070694326678"/>
    <n v="48.422070694326678"/>
    <n v="0.57471630423241249"/>
    <n v="101.55181017400341"/>
    <n v="6.4039115121414081E-2"/>
    <n v="0.8"/>
    <s v="identity"/>
    <n v="9.0999106714994629E-2"/>
    <n v="0.33922882717736741"/>
    <n v="9.0999106714994629E-2"/>
    <n v="9.0999106714994629E-2"/>
    <n v="0.33922882717736741"/>
    <n v="0.13274154089300591"/>
    <n v="3.612478380843287E-2"/>
    <n v="8.7893332644936803E-2"/>
    <n v="0.69546837482001855"/>
    <n v="8.7893332644936803E-2"/>
    <n v="8.7893332644936803E-2"/>
    <n v="0.69546837482001855"/>
    <n v="0.14030418868394201"/>
    <n v="0.51387595266088737"/>
    <n v="4.6131017867600987E-2"/>
    <n v="0.81479855459040584"/>
    <n v="4.6131017867600987E-2"/>
    <n v="4.6131017867600987E-2"/>
    <n v="0.81479855459040584"/>
    <n v="0.28378118330706897"/>
    <n v="-0.13929169044904399"/>
    <n v="193.46325932007809"/>
    <n v="0.4493694603418632"/>
    <n v="193.46325932007809"/>
    <n v="193.46325932007809"/>
    <n v="0.4493694603418632"/>
    <n v="405.65041378313128"/>
    <n v="-0.15455258553462639"/>
    <s v="[[sv,wv],[yr],[ya]]"/>
    <x v="0"/>
    <x v="0"/>
    <x v="1"/>
    <x v="1"/>
    <x v="1"/>
    <x v="1"/>
    <x v="1"/>
    <x v="1"/>
  </r>
  <r>
    <d v="2026-03-16T00:22:49"/>
    <s v="03-16_00-22-49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321631884984001"/>
    <n v="16.202915821381431"/>
    <n v="0.72463929032348906"/>
    <n v="0.30801730304157998"/>
    <n v="18.545194467950338"/>
    <n v="0.68427322501597632"/>
    <n v="18.545194467950338"/>
    <n v="18.545194467950338"/>
    <n v="0.68427322501597632"/>
    <n v="84.362039090720032"/>
    <n v="0.33237417059843288"/>
    <n v="0.8"/>
    <s v="identity"/>
    <n v="7.592987311871785E-2"/>
    <n v="0.44865094698054209"/>
    <n v="7.592987311871785E-2"/>
    <n v="7.592987311871785E-2"/>
    <n v="0.44865094698054209"/>
    <n v="0.1200108461778952"/>
    <n v="0.12856608770053429"/>
    <n v="8.744325992025509E-2"/>
    <n v="0.69702778068360316"/>
    <n v="8.744325992025509E-2"/>
    <n v="8.744325992025509E-2"/>
    <n v="0.69702778068360316"/>
    <n v="0.1507707246137257"/>
    <n v="0.47761164112797722"/>
    <n v="4.9333813963356003E-2"/>
    <n v="0.80194034131645531"/>
    <n v="4.9333813963356003E-2"/>
    <n v="4.9333813963356003E-2"/>
    <n v="0.80194034131645531"/>
    <n v="7.9019850267436964E-2"/>
    <n v="0.68276029530540039"/>
    <n v="73.968070924798795"/>
    <n v="0.78947383108330416"/>
    <n v="73.968070924798795"/>
    <n v="73.968070924798795"/>
    <n v="0.78947383108330416"/>
    <n v="337.0983549418205"/>
    <n v="4.055865825981686E-2"/>
    <s v="[[sv,wv],[yr],[ya]]"/>
    <x v="0"/>
    <x v="1"/>
    <x v="1"/>
    <x v="2"/>
    <x v="1"/>
    <x v="1"/>
    <x v="1"/>
    <x v="2"/>
  </r>
  <r>
    <d v="2026-03-16T00:28:09"/>
    <s v="03-16_00-28-0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9486161001557"/>
    <n v="31.558550419790841"/>
    <n v="0.67381998371644103"/>
    <n v="0.19204351014270349"/>
    <n v="36.606752753371573"/>
    <n v="0.62458634314847161"/>
    <n v="36.606752753371573"/>
    <n v="36.606752753371573"/>
    <n v="0.62458634314847161"/>
    <n v="107.76950406894041"/>
    <n v="0.22261489129117179"/>
    <n v="0.8"/>
    <s v="identity"/>
    <n v="7.9779198517986483E-2"/>
    <n v="0.42069986756372002"/>
    <n v="7.9779198517986483E-2"/>
    <n v="7.9779198517986483E-2"/>
    <n v="0.42069986756372002"/>
    <n v="0.1219061491249291"/>
    <n v="0.1148037377569445"/>
    <n v="0.1014910200557279"/>
    <n v="0.64835529216304733"/>
    <n v="0.1014910200557279"/>
    <n v="0.1014910200557279"/>
    <n v="0.64835529216304733"/>
    <n v="0.20591142574664989"/>
    <n v="0.28656088876422131"/>
    <n v="3.8503211519519832E-2"/>
    <n v="0.84542178438827398"/>
    <n v="3.8503211519519832E-2"/>
    <n v="3.8503211519519832E-2"/>
    <n v="0.84542178438827398"/>
    <n v="7.1018345537581948E-2"/>
    <n v="0.71488380590458067"/>
    <n v="146.20723758339301"/>
    <n v="0.58386842847884357"/>
    <n v="146.20723758339301"/>
    <n v="146.20723758339301"/>
    <n v="0.58386842847884357"/>
    <n v="430.67918035535132"/>
    <n v="-0.2257888672610591"/>
    <s v="[[sv,wv],[yr],[ya]]"/>
    <x v="0"/>
    <x v="1"/>
    <x v="1"/>
    <x v="2"/>
    <x v="1"/>
    <x v="1"/>
    <x v="1"/>
    <x v="2"/>
  </r>
  <r>
    <d v="2026-03-16T00:35:17"/>
    <s v="03-16_00-35-17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20473926512479"/>
    <n v="21.475015253732622"/>
    <n v="0.67161925695247704"/>
    <n v="7.0450042714452016E-2"/>
    <n v="27.458183890195201"/>
    <n v="0.61878155910084476"/>
    <n v="27.458183890195201"/>
    <n v="27.458183890195201"/>
    <n v="0.61878155910084476"/>
    <n v="117.7025171807153"/>
    <n v="5.9652267196603603E-2"/>
    <n v="0.8"/>
    <s v="identity"/>
    <n v="7.4941278826801336E-2"/>
    <n v="0.4558294197512841"/>
    <n v="7.4941278826801336E-2"/>
    <n v="7.4941278826801336E-2"/>
    <n v="0.4558294197512841"/>
    <n v="8.9616372316448548E-2"/>
    <n v="0.34926926672905523"/>
    <n v="9.8940780398501876E-2"/>
    <n v="0.65719132789002133"/>
    <n v="9.8940780398501876E-2"/>
    <n v="9.8940780398501876E-2"/>
    <n v="0.65719132789002133"/>
    <n v="0.29003426152235873"/>
    <n v="-4.9067700741882714E-3"/>
    <n v="8.1206200843881998E-2"/>
    <n v="0.67398278928782562"/>
    <n v="8.1206200843881998E-2"/>
    <n v="8.1206200843881998E-2"/>
    <n v="0.67398278928782562"/>
    <n v="0.19114072454673409"/>
    <n v="0.2326304491201294"/>
    <n v="109.5776473007119"/>
    <n v="0.68812269947424576"/>
    <n v="109.5776473007119"/>
    <n v="109.5776473007119"/>
    <n v="0.68812269947424576"/>
    <n v="470.2392773644757"/>
    <n v="-0.33838387698858158"/>
    <s v="[[sv,wv],[yr],[ya]]"/>
    <x v="0"/>
    <x v="1"/>
    <x v="1"/>
    <x v="2"/>
    <x v="1"/>
    <x v="1"/>
    <x v="1"/>
    <x v="2"/>
  </r>
  <r>
    <d v="2026-03-16T00:49:25"/>
    <s v="03-16_00-49-2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205653165342488"/>
    <n v="33.920595181115971"/>
    <n v="0.63529435641931431"/>
    <n v="0.3437087603440695"/>
    <n v="35.469212560742108"/>
    <n v="0.63124750569027765"/>
    <n v="35.469212560742108"/>
    <n v="35.469212560742108"/>
    <n v="0.63124750569027765"/>
    <n v="83.174323441083459"/>
    <n v="0.34577724780404828"/>
    <n v="0.8"/>
    <s v="identity"/>
    <n v="8.1289547621640562E-2"/>
    <n v="0.40973278025242588"/>
    <n v="8.1289547621640562E-2"/>
    <n v="8.1289547621640562E-2"/>
    <n v="0.40973278025242588"/>
    <n v="0.13200744629459021"/>
    <n v="4.1455259746807971E-2"/>
    <n v="8.9177421641559881E-2"/>
    <n v="0.6910192807050296"/>
    <n v="8.9177421641559881E-2"/>
    <n v="8.9177421641559881E-2"/>
    <n v="0.6910192807050296"/>
    <n v="0.1306652296504329"/>
    <n v="0.54727288700374399"/>
    <n v="4.2982969901405182E-2"/>
    <n v="0.82743697144111372"/>
    <n v="4.2982969901405182E-2"/>
    <n v="4.2982969901405182E-2"/>
    <n v="0.82743697144111372"/>
    <n v="6.4671517989330768E-2"/>
    <n v="0.74036431099716604"/>
    <n v="141.6634003038042"/>
    <n v="0.59680099036254131"/>
    <n v="141.6634003038042"/>
    <n v="141.6634003038042"/>
    <n v="0.59680099036254131"/>
    <n v="332.36994957040059"/>
    <n v="5.4016533468461907E-2"/>
    <s v="[[sv,wv],[yr],[ya]]"/>
    <x v="0"/>
    <x v="1"/>
    <x v="1"/>
    <x v="2"/>
    <x v="1"/>
    <x v="1"/>
    <x v="1"/>
    <x v="2"/>
  </r>
  <r>
    <d v="2026-03-16T03:52:55"/>
    <s v="03-16_03-52-5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9.8252176857425239E-2"/>
    <n v="11.685349134255389"/>
    <n v="0.75446285467245089"/>
    <n v="0.27538097186544042"/>
    <n v="14.073680961057621"/>
    <n v="0.7094366844020733"/>
    <n v="14.073680961057621"/>
    <n v="14.073680961057621"/>
    <n v="0.7094366844020733"/>
    <n v="88.421485820417985"/>
    <n v="0.30935296618759411"/>
    <n v="0.8"/>
    <s v="identity"/>
    <n v="7.2575814212658588E-2"/>
    <n v="0.47300575129762429"/>
    <n v="7.2575814212658588E-2"/>
    <n v="7.2575814212658588E-2"/>
    <n v="0.47300575129762429"/>
    <n v="0.1169464249409152"/>
    <n v="0.15081774805060469"/>
    <n v="8.2695185568345778E-2"/>
    <n v="0.71347884420970131"/>
    <n v="8.2695185568345778E-2"/>
    <n v="8.2695185568345778E-2"/>
    <n v="0.71347884420970131"/>
    <n v="0.16109388383991741"/>
    <n v="0.44184409925032903"/>
    <n v="4.709938471681397E-2"/>
    <n v="0.81091086798709466"/>
    <n v="4.709938471681397E-2"/>
    <n v="4.709938471681397E-2"/>
    <n v="0.81091086798709466"/>
    <n v="8.7089467151358887E-2"/>
    <n v="0.65036333595164564"/>
    <n v="56.092353459732557"/>
    <n v="0.84035127411387489"/>
    <n v="56.092353459732557"/>
    <n v="56.092353459732557"/>
    <n v="0.84035127411387489"/>
    <n v="353.32081350574009"/>
    <n v="-5.6133185022111398E-3"/>
    <s v="[[sv,wv],[yr],[ya]]"/>
    <x v="0"/>
    <x v="1"/>
    <x v="1"/>
    <x v="3"/>
    <x v="1"/>
    <x v="1"/>
    <x v="1"/>
    <x v="3"/>
  </r>
  <r>
    <d v="2026-03-16T03:57:56"/>
    <s v="03-16_03-57-5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762475992048391"/>
    <n v="19.47062373013382"/>
    <n v="0.70420813047975983"/>
    <n v="0.1913932869562143"/>
    <n v="22.262527340171172"/>
    <n v="0.65959873068288133"/>
    <n v="22.262527340171172"/>
    <n v="22.262527340171172"/>
    <n v="0.65959873068288133"/>
    <n v="112.9487959484309"/>
    <n v="0.14615159972824371"/>
    <n v="0.8"/>
    <s v="identity"/>
    <n v="7.4906213967978197E-2"/>
    <n v="0.45608403596374869"/>
    <n v="7.4906213967978197E-2"/>
    <n v="7.4906213967978197E-2"/>
    <n v="0.45608403596374869"/>
    <n v="9.4372575290574259E-2"/>
    <n v="0.31473308356366941"/>
    <n v="0.10503410412860301"/>
    <n v="0.63607926258955572"/>
    <n v="0.10503410412860301"/>
    <n v="0.10503410412860301"/>
    <n v="0.63607926258955572"/>
    <n v="0.1259284190936685"/>
    <n v="0.56368492388540892"/>
    <n v="5.0058908825032222E-2"/>
    <n v="0.79902931479571127"/>
    <n v="5.0058908825032222E-2"/>
    <n v="5.0058908825032222E-2"/>
    <n v="0.79902931479571127"/>
    <n v="0.2513935031387316"/>
    <n v="-9.2653988580997382E-3"/>
    <n v="88.82011013376318"/>
    <n v="0.74720230938250576"/>
    <n v="88.82011013376318"/>
    <n v="88.82011013376318"/>
    <n v="0.74720230938250576"/>
    <n v="451.32348929620002"/>
    <n v="-0.28454620967800798"/>
    <s v="[[sv,wv],[yr],[ya]]"/>
    <x v="0"/>
    <x v="1"/>
    <x v="1"/>
    <x v="3"/>
    <x v="1"/>
    <x v="1"/>
    <x v="1"/>
    <x v="3"/>
  </r>
  <r>
    <d v="2026-03-16T04:02:52"/>
    <s v="03-16_04-02-52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211808436182043"/>
    <n v="21.146991028256821"/>
    <n v="0.68782791838249568"/>
    <n v="-2.0511825437585118E-2"/>
    <n v="26.67958155819823"/>
    <n v="0.62050881962099402"/>
    <n v="26.67958155819823"/>
    <n v="26.67958155819823"/>
    <n v="0.62050881962099402"/>
    <n v="97.33260980930946"/>
    <n v="-8.0712886395734318E-3"/>
    <n v="0.8"/>
    <s v="identity"/>
    <n v="7.4181980900876396E-2"/>
    <n v="0.46134290443423381"/>
    <n v="7.4181980900876396E-2"/>
    <n v="7.4181980900876396E-2"/>
    <n v="0.46134290443423381"/>
    <n v="8.7466466434313814E-2"/>
    <n v="0.36488036317251471"/>
    <n v="0.10184197692835439"/>
    <n v="0.6471393015574709"/>
    <n v="0.10184197692835439"/>
    <n v="0.10184197692835439"/>
    <n v="0.6471393015574709"/>
    <n v="0.3712042759828833"/>
    <n v="-0.28614353372499868"/>
    <n v="8.0563769653490089E-2"/>
    <n v="0.67656194731503994"/>
    <n v="8.0563769653490089E-2"/>
    <n v="8.0563769653490089E-2"/>
    <n v="0.67656194731503994"/>
    <n v="0.2503153169176151"/>
    <n v="-4.9368222126726646E-3"/>
    <n v="106.46173850531039"/>
    <n v="0.69699112517723072"/>
    <n v="106.46173850531039"/>
    <n v="106.46173850531039"/>
    <n v="0.69699112517723072"/>
    <n v="388.62145317790231"/>
    <n v="-0.10608516179314439"/>
    <s v="[[sv,wv],[yr],[ya]]"/>
    <x v="0"/>
    <x v="1"/>
    <x v="1"/>
    <x v="3"/>
    <x v="1"/>
    <x v="1"/>
    <x v="1"/>
    <x v="3"/>
  </r>
  <r>
    <d v="2026-03-16T04:20:13"/>
    <s v="03-16_04-20-1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746366576922281"/>
    <n v="20.429411413215501"/>
    <n v="0.61026027858662224"/>
    <n v="0.3048703797889698"/>
    <n v="23.80035543339423"/>
    <n v="0.59772927376702722"/>
    <n v="23.80035543339423"/>
    <n v="23.80035543339423"/>
    <n v="0.59772927376702722"/>
    <n v="75.710561513998371"/>
    <n v="0.3237792606726575"/>
    <n v="0.8"/>
    <s v="identity"/>
    <n v="0.1199618360577225"/>
    <n v="0.1289219645410413"/>
    <n v="0.1199618360577225"/>
    <n v="0.1199618360577225"/>
    <n v="0.1289219645410413"/>
    <n v="0.15181764691538191"/>
    <n v="-0.10239241052812691"/>
    <n v="8.5467557386797025E-2"/>
    <n v="0.70387316798751542"/>
    <n v="8.5467557386797025E-2"/>
    <n v="8.5467557386797025E-2"/>
    <n v="0.70387316798751542"/>
    <n v="0.1249415810386581"/>
    <n v="0.56710410697516389"/>
    <n v="4.2749163312011368E-2"/>
    <n v="0.8283756309440603"/>
    <n v="4.2749163312011368E-2"/>
    <n v="4.2749163312011368E-2"/>
    <n v="0.8283756309440603"/>
    <n v="7.688246107482774E-2"/>
    <n v="0.6913412368534535"/>
    <n v="94.953243176820266"/>
    <n v="0.72974633159549662"/>
    <n v="94.953243176820266"/>
    <n v="94.953243176820266"/>
    <n v="0.72974633159549662"/>
    <n v="302.48860436696401"/>
    <n v="0.13906410939013869"/>
    <s v="[[sv,wv],[yr],[ya]]"/>
    <x v="0"/>
    <x v="1"/>
    <x v="1"/>
    <x v="3"/>
    <x v="1"/>
    <x v="1"/>
    <x v="1"/>
    <x v="3"/>
  </r>
  <r>
    <d v="2026-03-16T07:20:46"/>
    <s v="03-16_07-20-4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3987032557649101"/>
    <n v="53.090414790523013"/>
    <n v="0.59221445000484629"/>
    <n v="7.2856731206230041E-3"/>
    <n v="55.728666801034663"/>
    <n v="0.53913028256453643"/>
    <n v="55.728666801034663"/>
    <n v="55.728666801034663"/>
    <n v="0.53913028256453643"/>
    <n v="100.03487429395879"/>
    <n v="-2.8320428400536168E-3"/>
    <n v="0.8"/>
    <s v="identity"/>
    <n v="7.6769386981872786E-2"/>
    <n v="0.44255499087742212"/>
    <n v="7.6769386981872786E-2"/>
    <n v="7.6769386981872786E-2"/>
    <n v="0.44255499087742212"/>
    <n v="0.14383908074968749"/>
    <n v="-4.4457704209958981E-2"/>
    <n v="9.0013256234169517E-2"/>
    <n v="0.68812329236087022"/>
    <n v="9.0013256234169517E-2"/>
    <n v="9.0013256234169517E-2"/>
    <n v="0.68812329236087022"/>
    <n v="0.1177351853283856"/>
    <n v="0.59207272895477137"/>
    <n v="8.4793415923161322E-2"/>
    <n v="0.6595812553874818"/>
    <n v="8.4793415923161322E-2"/>
    <n v="8.4793415923161322E-2"/>
    <n v="0.6595812553874818"/>
    <n v="0.35415694913926588"/>
    <n v="-0.42182813027652721"/>
    <n v="222.66309114499941"/>
    <n v="0.36626159163237237"/>
    <n v="222.66309114499941"/>
    <n v="222.66309114499941"/>
    <n v="0.36626159163237237"/>
    <n v="399.52376596061822"/>
    <n v="-0.13711506582849761"/>
    <s v="[[sv,wv],[yr],[ya]]"/>
    <x v="1"/>
    <x v="0"/>
    <x v="2"/>
    <x v="1"/>
    <x v="1"/>
    <x v="1"/>
    <x v="2"/>
    <x v="1"/>
  </r>
  <r>
    <d v="2026-03-16T07:28:00"/>
    <s v="03-16_07-28-0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3214846410605491"/>
    <n v="46.057692220309796"/>
    <n v="0.6166466239585936"/>
    <n v="-2.5763806917410759E-2"/>
    <n v="54.609552694814731"/>
    <n v="0.55509946068543892"/>
    <n v="54.609552694814731"/>
    <n v="54.609552694814731"/>
    <n v="0.55509946068543892"/>
    <n v="98.531711030847333"/>
    <n v="-3.2173403878423878E-2"/>
    <n v="0.8"/>
    <s v="identity"/>
    <n v="6.8404497967180136E-2"/>
    <n v="0.50329490057874271"/>
    <n v="6.8404497967180136E-2"/>
    <n v="6.8404497967180136E-2"/>
    <n v="0.50329490057874271"/>
    <n v="0.1115486059443159"/>
    <n v="0.19001289312206121"/>
    <n v="0.1015322131203366"/>
    <n v="0.64821256699227581"/>
    <n v="0.1015322131203366"/>
    <n v="0.1015322131203366"/>
    <n v="0.64821256699227581"/>
    <n v="0.34161994232125259"/>
    <n v="-0.18364013626892081"/>
    <n v="7.724132368122795E-2"/>
    <n v="0.68990051699768262"/>
    <n v="7.724132368122795E-2"/>
    <n v="7.724132368122795E-2"/>
    <n v="0.68990051699768262"/>
    <n v="0.25290199054923868"/>
    <n v="-1.532149867384458E-2"/>
    <n v="218.19103274449"/>
    <n v="0.37898985817305508"/>
    <n v="218.19103274449"/>
    <n v="218.19103274449"/>
    <n v="0.37898985817305508"/>
    <n v="393.42077358457487"/>
    <n v="-0.11974487369299559"/>
    <s v="[[sv,wv],[yr],[ya]]"/>
    <x v="1"/>
    <x v="0"/>
    <x v="2"/>
    <x v="1"/>
    <x v="1"/>
    <x v="1"/>
    <x v="2"/>
    <x v="1"/>
  </r>
  <r>
    <d v="2026-03-16T07:26:10"/>
    <s v="03-16_07-26-1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368704099884831"/>
    <n v="43.235349037038077"/>
    <n v="0.595255897725815"/>
    <n v="-6.3582854739555911E-2"/>
    <n v="47.428643987337971"/>
    <n v="0.56276142704732135"/>
    <n v="47.428643987337971"/>
    <n v="47.428643987337971"/>
    <n v="0.56276142704732135"/>
    <n v="100.0562081364255"/>
    <n v="-4.844545652391602E-2"/>
    <n v="0.8"/>
    <s v="identity"/>
    <n v="7.0170664161783552E-2"/>
    <n v="0.49047025042626502"/>
    <n v="7.0170664161783552E-2"/>
    <n v="7.0170664161783552E-2"/>
    <n v="0.49047025042626502"/>
    <n v="0.20142239727218819"/>
    <n v="-0.46258703500392778"/>
    <n v="0.1338750651704346"/>
    <n v="0.536151492490063"/>
    <n v="0.1338750651704346"/>
    <n v="0.1338750651704346"/>
    <n v="0.536151492490063"/>
    <n v="0.1279684827714774"/>
    <n v="0.5566165389627038"/>
    <n v="5.8874682134793313E-2"/>
    <n v="0.76363677340291103"/>
    <n v="5.8874682134793313E-2"/>
    <n v="5.8874682134793313E-2"/>
    <n v="0.76363677340291103"/>
    <n v="0.28656155773982478"/>
    <n v="-0.1504540143588293"/>
    <n v="189.4516555378853"/>
    <n v="0.46078719187004402"/>
    <n v="189.4516555378853"/>
    <n v="189.4516555378853"/>
    <n v="0.46078719187004402"/>
    <n v="399.60888010791899"/>
    <n v="-0.1373573156956065"/>
    <s v="[[sv,wv],[yr],[ya]]"/>
    <x v="1"/>
    <x v="0"/>
    <x v="2"/>
    <x v="1"/>
    <x v="1"/>
    <x v="1"/>
    <x v="2"/>
    <x v="1"/>
  </r>
  <r>
    <d v="2026-03-16T07:49:13"/>
    <s v="03-16_07-49-1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3017737614471711"/>
    <n v="46.228617065360382"/>
    <n v="0.58728291935281607"/>
    <n v="0.13213937683337951"/>
    <n v="52.360101488838517"/>
    <n v="0.55762594468873172"/>
    <n v="52.360101488838517"/>
    <n v="52.360101488838517"/>
    <n v="0.55762594468873172"/>
    <n v="100.7180923727865"/>
    <n v="0.1204511003149282"/>
    <n v="0.8"/>
    <s v="identity"/>
    <n v="9.0026368966711331E-2"/>
    <n v="0.34629216093947879"/>
    <n v="9.0026368966711331E-2"/>
    <n v="9.0026368966711331E-2"/>
    <n v="0.34629216093947879"/>
    <n v="0.1214314823041511"/>
    <n v="0.1182504326003103"/>
    <n v="8.5341842687027922E-2"/>
    <n v="0.70430874257181708"/>
    <n v="8.5341842687027922E-2"/>
    <n v="8.5341842687027922E-2"/>
    <n v="0.70430874257181708"/>
    <n v="0.1427322850125379"/>
    <n v="0.50546311747999906"/>
    <n v="5.5957385350750129E-2"/>
    <n v="0.7753487972443146"/>
    <n v="5.5957385350750129E-2"/>
    <n v="5.5957385350750129E-2"/>
    <n v="0.7753487972443146"/>
    <n v="0.24826908325323771"/>
    <n v="3.2781587221969439E-3"/>
    <n v="209.20908035835009"/>
    <n v="0.40455407799931847"/>
    <n v="209.20908035835009"/>
    <n v="209.20908035835009"/>
    <n v="0.40455407799931847"/>
    <n v="402.35993664057833"/>
    <n v="-0.14518730754280301"/>
    <s v="[[sv,wv],[yr],[ya]]"/>
    <x v="1"/>
    <x v="0"/>
    <x v="2"/>
    <x v="1"/>
    <x v="1"/>
    <x v="1"/>
    <x v="2"/>
    <x v="1"/>
  </r>
  <r>
    <d v="2026-03-16T11:25:22"/>
    <s v="03-16_11-25-2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0875562290517859"/>
    <n v="14.21200539593999"/>
    <n v="0.71189156863698688"/>
    <n v="0.27637960973197628"/>
    <n v="16.134717016537351"/>
    <n v="0.6613210814355075"/>
    <n v="16.134717016537351"/>
    <n v="16.134717016537351"/>
    <n v="0.6613210814355075"/>
    <n v="62.7019018635986"/>
    <n v="0.29659880830631308"/>
    <n v="0.8"/>
    <s v="identity"/>
    <n v="7.830493365107187E-2"/>
    <n v="0.43140493666086382"/>
    <n v="7.830493365107187E-2"/>
    <n v="7.830493365107187E-2"/>
    <n v="0.43140493666086382"/>
    <n v="0.11975832347289141"/>
    <n v="0.13039972904024841"/>
    <n v="9.8588340094150517E-2"/>
    <n v="0.65841245826968986"/>
    <n v="9.8588340094150517E-2"/>
    <n v="9.8588340094150517E-2"/>
    <n v="0.65841245826968986"/>
    <n v="0.12973076071141129"/>
    <n v="0.55051062229169867"/>
    <n v="6.5144099630808985E-2"/>
    <n v="0.73846704518510431"/>
    <n v="6.5144099630808985E-2"/>
    <n v="6.5144099630808985E-2"/>
    <n v="0.73846704518510431"/>
    <n v="0.19476923995098139"/>
    <n v="0.21806310747841079"/>
    <n v="64.296830692773469"/>
    <n v="0.81699988562636916"/>
    <n v="64.296830692773469"/>
    <n v="64.296830692773469"/>
    <n v="0.81699988562636916"/>
    <n v="250.36334913025939"/>
    <n v="0.28742177441489009"/>
    <s v="[[sv,wv],[yr],[ya]]"/>
    <x v="1"/>
    <x v="1"/>
    <x v="2"/>
    <x v="2"/>
    <x v="1"/>
    <x v="1"/>
    <x v="2"/>
    <x v="2"/>
  </r>
  <r>
    <d v="2026-03-16T11:30:48"/>
    <s v="03-16_11-30-48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742426694837869"/>
    <n v="25.224776645009712"/>
    <n v="0.6690019008200998"/>
    <n v="-0.1075127009253541"/>
    <n v="31.971959221781159"/>
    <n v="0.60881605824193741"/>
    <n v="31.971959221781159"/>
    <n v="31.971959221781159"/>
    <n v="0.60881605824193741"/>
    <n v="131.34474086164491"/>
    <n v="-0.1055230717705236"/>
    <n v="0.8"/>
    <s v="identity"/>
    <n v="7.3410532877328738E-2"/>
    <n v="0.46694461453549663"/>
    <n v="7.3410532877328738E-2"/>
    <n v="7.3410532877328738E-2"/>
    <n v="0.46694461453549663"/>
    <n v="0.1098695445128966"/>
    <n v="0.2022050500709752"/>
    <n v="9.9769082134405329E-2"/>
    <n v="0.65432143928546616"/>
    <n v="9.9769082134405329E-2"/>
    <n v="9.9769082134405329E-2"/>
    <n v="0.65432143928546616"/>
    <n v="0.32348781973799923"/>
    <n v="-0.12081620421314949"/>
    <n v="8.0387949663865491E-2"/>
    <n v="0.67726780896118499"/>
    <n v="8.0387949663865491E-2"/>
    <n v="8.0387949663865491E-2"/>
    <n v="0.67726780896118499"/>
    <n v="0.25160375895576048"/>
    <n v="-1.0109509459155451E-2"/>
    <n v="127.6342693224497"/>
    <n v="0.63673037018559808"/>
    <n v="127.6342693224497"/>
    <n v="127.6342693224497"/>
    <n v="0.63673037018559808"/>
    <n v="524.69400232337341"/>
    <n v="-0.49337162348077263"/>
    <s v="[[sv,wv],[yr],[ya]]"/>
    <x v="1"/>
    <x v="1"/>
    <x v="2"/>
    <x v="2"/>
    <x v="1"/>
    <x v="1"/>
    <x v="2"/>
    <x v="2"/>
  </r>
  <r>
    <d v="2026-03-16T11:31:01"/>
    <s v="03-16_11-31-0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246523636411197"/>
    <n v="29.61986423356355"/>
    <n v="0.66796239969056082"/>
    <n v="2.913684978251882E-2"/>
    <n v="36.753328470866037"/>
    <n v="0.60389878424934662"/>
    <n v="36.753328470866037"/>
    <n v="36.753328470866037"/>
    <n v="0.60389878424934662"/>
    <n v="150.63722134044801"/>
    <n v="-8.0457451274783015E-2"/>
    <n v="0.8"/>
    <s v="identity"/>
    <n v="7.8622912417641411E-2"/>
    <n v="0.42909599968220852"/>
    <n v="7.8622912417641411E-2"/>
    <n v="7.8622912417641411E-2"/>
    <n v="0.42909599968220852"/>
    <n v="0.1380883950548536"/>
    <n v="-2.700290667309702E-3"/>
    <n v="0.1053846156567544"/>
    <n v="0.63486481500746827"/>
    <n v="0.1053846156567544"/>
    <n v="0.1053846156567544"/>
    <n v="0.63486481500746827"/>
    <n v="0.21243619079281789"/>
    <n v="0.26395397145168781"/>
    <n v="5.7445892944258788E-2"/>
    <n v="0.76937291007416453"/>
    <n v="5.7445892944258788E-2"/>
    <n v="5.7445892944258788E-2"/>
    <n v="0.76937291007416453"/>
    <n v="0.2166390814883285"/>
    <n v="0.1302626111784988"/>
    <n v="146.7718604624454"/>
    <n v="0.58226141223354411"/>
    <n v="146.7718604624454"/>
    <n v="146.7718604624454"/>
    <n v="0.58226141223354411"/>
    <n v="601.98172169445695"/>
    <n v="-0.71334609706201912"/>
    <s v="[[sv,wv],[yr],[ya]]"/>
    <x v="1"/>
    <x v="1"/>
    <x v="2"/>
    <x v="2"/>
    <x v="1"/>
    <x v="1"/>
    <x v="2"/>
    <x v="2"/>
  </r>
  <r>
    <d v="2026-03-16T11:59:28"/>
    <s v="03-16_11-59-28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495778938917781"/>
    <n v="20.915026184523111"/>
    <n v="0.65272317249220735"/>
    <n v="0.26740010426151889"/>
    <n v="21.62914338565496"/>
    <n v="0.65122064372563737"/>
    <n v="21.62914338565496"/>
    <n v="21.62914338565496"/>
    <n v="0.65122064372563737"/>
    <n v="75.917884416762774"/>
    <n v="0.25823694092483018"/>
    <n v="0.8"/>
    <s v="identity"/>
    <n v="8.6318180064909322E-2"/>
    <n v="0.37321840690105412"/>
    <n v="8.6318180064909322E-2"/>
    <n v="8.6318180064909322E-2"/>
    <n v="0.37321840690105412"/>
    <n v="0.14183665007828139"/>
    <n v="-2.9917468475722409E-2"/>
    <n v="8.6529851592410265E-2"/>
    <n v="0.70019254545199816"/>
    <n v="8.6529851592410265E-2"/>
    <n v="8.6529851592410265E-2"/>
    <n v="0.70019254545199816"/>
    <n v="0.12782718267726889"/>
    <n v="0.55710611360997786"/>
    <n v="5.553039294195139E-2"/>
    <n v="0.77706303670712928"/>
    <n v="5.553039294195139E-2"/>
    <n v="5.553039294195139E-2"/>
    <n v="0.77706303670712928"/>
    <n v="0.15721116857315029"/>
    <n v="0.36884688437088331"/>
    <n v="86.288195118020781"/>
    <n v="0.75440858584236947"/>
    <n v="86.288195118020781"/>
    <n v="86.288195118020781"/>
    <n v="0.75440858584236947"/>
    <n v="303.24466266572227"/>
    <n v="0.13691223419418991"/>
    <s v="[[sv,wv],[yr],[ya]]"/>
    <x v="1"/>
    <x v="1"/>
    <x v="2"/>
    <x v="2"/>
    <x v="1"/>
    <x v="1"/>
    <x v="2"/>
    <x v="2"/>
  </r>
  <r>
    <d v="2026-03-16T13:19:45"/>
    <s v="03-16_13-19-4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9.2156546442322365E-2"/>
    <n v="15.87641843405112"/>
    <n v="0.80488211438422963"/>
    <n v="-1.0998053721506551"/>
    <n v="22.21873264699915"/>
    <n v="0.71974427463920743"/>
    <n v="22.21873264699915"/>
    <n v="22.21873264699915"/>
    <n v="0.71974427463920743"/>
    <n v="149.74716667278841"/>
    <n v="-1.061920958343497"/>
    <n v="0.8"/>
    <s v="identity"/>
    <n v="6.4063940827721225E-2"/>
    <n v="0.53481295757161784"/>
    <n v="6.4063940827721225E-2"/>
    <n v="6.4063940827721225E-2"/>
    <n v="0.53481295757161784"/>
    <n v="0.19007426908306099"/>
    <n v="-0.38018495169165822"/>
    <n v="4.455112410962328E-2"/>
    <n v="0.84563987027882725"/>
    <n v="4.455112410962328E-2"/>
    <n v="4.455112410962328E-2"/>
    <n v="0.84563987027882725"/>
    <n v="0.69156196923132385"/>
    <n v="-1.396114518190537"/>
    <n v="6.2024233600684681E-2"/>
    <n v="0.75099232047648523"/>
    <n v="6.2024233600684681E-2"/>
    <n v="6.2024233600684681E-2"/>
    <n v="0.75099232047648523"/>
    <n v="0.6902239449317269"/>
    <n v="-1.771030819752335"/>
    <n v="88.704291289458382"/>
    <n v="0.74753195022990115"/>
    <n v="88.704291289458382"/>
    <n v="88.704291289458382"/>
    <n v="0.74753195022990115"/>
    <n v="597.41680650790454"/>
    <n v="-0.70035354373949743"/>
    <s v="[[sv,wv],[yr],[ya]]"/>
    <x v="0"/>
    <x v="0"/>
    <x v="0"/>
    <x v="0"/>
    <x v="0"/>
    <x v="0"/>
    <x v="0"/>
    <x v="0"/>
  </r>
  <r>
    <d v="2026-03-16T13:20:03"/>
    <s v="03-16_13-20-03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133061003865892"/>
    <n v="21.306150894951418"/>
    <n v="0.72601118884319216"/>
    <n v="-0.68249887574690882"/>
    <n v="25.736472320314231"/>
    <n v="0.64803855998657944"/>
    <n v="25.736472320314231"/>
    <n v="25.736472320314231"/>
    <n v="0.64803855998657944"/>
    <n v="120.5026936446683"/>
    <n v="-0.62681941217605297"/>
    <n v="0.8"/>
    <s v="identity"/>
    <n v="6.2728049353605431E-2"/>
    <n v="0.54451325692598274"/>
    <n v="6.2728049353605431E-2"/>
    <n v="6.2728049353605431E-2"/>
    <n v="0.54451325692598274"/>
    <n v="0.22882185567541141"/>
    <n v="-0.66154252937494595"/>
    <n v="6.7204874043918728E-2"/>
    <n v="0.7671494651899573"/>
    <n v="6.7204874043918728E-2"/>
    <n v="6.7204874043918728E-2"/>
    <n v="0.7671494651899573"/>
    <n v="0.52966938073723491"/>
    <n v="-0.83519127640310731"/>
    <n v="0.1064041461535747"/>
    <n v="0.57282100902750888"/>
    <n v="0.1064041461535747"/>
    <n v="0.1064041461535747"/>
    <n v="0.57282100902750888"/>
    <n v="0.40899338535862861"/>
    <n v="-0.64197907682803734"/>
    <n v="102.7095522117057"/>
    <n v="0.70767050880286897"/>
    <n v="102.7095522117057"/>
    <n v="102.7095522117057"/>
    <n v="0.70767050880286897"/>
    <n v="480.84328995690038"/>
    <n v="-0.36856476609811678"/>
    <s v="[[sv,wv],[yr],[ya]]"/>
    <x v="0"/>
    <x v="0"/>
    <x v="0"/>
    <x v="0"/>
    <x v="0"/>
    <x v="0"/>
    <x v="0"/>
    <x v="0"/>
  </r>
  <r>
    <d v="2026-03-16T15:10:14"/>
    <s v="03-16_15-10-14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34977935849337"/>
    <n v="12.929114913093221"/>
    <n v="0.7402326749887751"/>
    <n v="0.31461949808122791"/>
    <n v="15.76401577567796"/>
    <n v="0.68380777759416289"/>
    <n v="15.76401577567796"/>
    <n v="15.76401577567796"/>
    <n v="0.68380777759416289"/>
    <n v="91.782710797778535"/>
    <n v="0.23516757419054829"/>
    <n v="0.8"/>
    <s v="identity"/>
    <n v="7.1733277676984009E-2"/>
    <n v="0.47912365591142708"/>
    <n v="7.1733277676984009E-2"/>
    <n v="7.1733277676984009E-2"/>
    <n v="0.47912365591142708"/>
    <n v="8.0703264703434627E-2"/>
    <n v="0.41398995227810442"/>
    <n v="8.7979624895964878E-2"/>
    <n v="0.69516939060067884"/>
    <n v="8.7979624895964878E-2"/>
    <n v="8.7979624895964878E-2"/>
    <n v="0.69516939060067884"/>
    <n v="0.19310327663177121"/>
    <n v="0.33093838985703339"/>
    <n v="6.4820131599540545E-2"/>
    <n v="0.73976767435894164"/>
    <n v="6.4820131599540545E-2"/>
    <n v="6.4820131599540545E-2"/>
    <n v="0.73976767435894164"/>
    <n v="0.1894688519933658"/>
    <n v="0.23934248860542989"/>
    <n v="62.831530068539287"/>
    <n v="0.82117038950560228"/>
    <n v="62.831530068539287"/>
    <n v="62.831530068539287"/>
    <n v="0.82117038950560228"/>
    <n v="366.66756779778592"/>
    <n v="-4.3600533978379603E-2"/>
    <s v="[[sv,wv],[yr],[ya]]"/>
    <x v="1"/>
    <x v="1"/>
    <x v="2"/>
    <x v="3"/>
    <x v="1"/>
    <x v="1"/>
    <x v="2"/>
    <x v="3"/>
  </r>
  <r>
    <d v="2026-03-16T15:15:20"/>
    <s v="03-16_15-15-20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700364141314309"/>
    <n v="23.5769800967824"/>
    <n v="0.68481013950022374"/>
    <n v="-0.1671368339132564"/>
    <n v="27.795588753904841"/>
    <n v="0.62357749931691731"/>
    <n v="27.795588753904841"/>
    <n v="27.795588753904841"/>
    <n v="0.62357749931691731"/>
    <n v="147.9386587634171"/>
    <n v="-0.11678243166457319"/>
    <n v="0.8"/>
    <s v="identity"/>
    <n v="7.0604330334254117E-2"/>
    <n v="0.48732127330174951"/>
    <n v="7.0604330334254117E-2"/>
    <n v="7.0604330334254117E-2"/>
    <n v="0.48732127330174951"/>
    <n v="0.1241183458441788"/>
    <n v="9.8740329296561291E-2"/>
    <n v="0.1037182792685829"/>
    <n v="0.64063831469300592"/>
    <n v="0.1037182792685829"/>
    <n v="0.1037182792685829"/>
    <n v="0.64063831469300592"/>
    <n v="0.29179251242681792"/>
    <n v="-1.09987339273756E-2"/>
    <n v="7.9190934407557104E-2"/>
    <n v="0.68207344659705749"/>
    <n v="7.9190934407557104E-2"/>
    <n v="7.9190934407557104E-2"/>
    <n v="0.68207344659705749"/>
    <n v="0.2173111615938513"/>
    <n v="0.12756442213504229"/>
    <n v="110.92884147160871"/>
    <n v="0.68427696267585481"/>
    <n v="110.92884147160871"/>
    <n v="110.92884147160871"/>
    <n v="0.68427696267585481"/>
    <n v="591.12141303380315"/>
    <n v="-0.68243574416252595"/>
    <s v="[[sv,wv],[yr],[ya]]"/>
    <x v="1"/>
    <x v="1"/>
    <x v="2"/>
    <x v="3"/>
    <x v="1"/>
    <x v="1"/>
    <x v="2"/>
    <x v="3"/>
  </r>
  <r>
    <d v="2026-03-16T15:15:41"/>
    <s v="03-16_15-15-4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139996731800071"/>
    <n v="15.955967431420021"/>
    <n v="0.68234287652770231"/>
    <n v="3.0372329604665571E-2"/>
    <n v="18.42929665070519"/>
    <n v="0.64825646648799107"/>
    <n v="18.42929665070519"/>
    <n v="18.42929665070519"/>
    <n v="0.64825646648799107"/>
    <n v="104.97992961840001"/>
    <n v="5.2212668544678147E-2"/>
    <n v="0.8"/>
    <s v="identity"/>
    <n v="7.0765837334568968E-2"/>
    <n v="0.48614852365760902"/>
    <n v="7.0765837334568968E-2"/>
    <n v="7.0765837334568968E-2"/>
    <n v="0.48614852365760902"/>
    <n v="0.15120746633628501"/>
    <n v="-9.7961710585695583E-2"/>
    <n v="0.12816354134046731"/>
    <n v="0.5559407026821549"/>
    <n v="0.12816354134046731"/>
    <n v="0.12816354134046731"/>
    <n v="0.5559407026821549"/>
    <n v="0.13199314839058321"/>
    <n v="0.54267193218867804"/>
    <n v="5.9777455904454269E-2"/>
    <n v="0.76001242226678523"/>
    <n v="5.9777455904454269E-2"/>
    <n v="5.9777455904454269E-2"/>
    <n v="0.76001242226678523"/>
    <n v="0.25960673595609618"/>
    <n v="-4.2238930758633497E-2"/>
    <n v="73.458479768241375"/>
    <n v="0.79092421734541085"/>
    <n v="73.458479768241375"/>
    <n v="73.458479768241375"/>
    <n v="0.79092421734541085"/>
    <n v="419.37691112291742"/>
    <n v="-0.19362061666563071"/>
    <s v="[[sv,wv],[yr],[ya]]"/>
    <x v="1"/>
    <x v="1"/>
    <x v="2"/>
    <x v="3"/>
    <x v="1"/>
    <x v="1"/>
    <x v="2"/>
    <x v="3"/>
  </r>
  <r>
    <d v="2026-03-16T15:45:50"/>
    <s v="03-16_15-45-5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972528868627661"/>
    <n v="43.110519288239679"/>
    <n v="0.52785487627881678"/>
    <n v="1.149067741906709E-2"/>
    <n v="51.295878742334239"/>
    <n v="0.51284899418100904"/>
    <n v="51.295878742334239"/>
    <n v="51.295878742334239"/>
    <n v="0.51284899418100904"/>
    <n v="133.69516890703301"/>
    <n v="1.0186011290413971E-2"/>
    <n v="0.8"/>
    <s v="identity"/>
    <n v="0.1171029620450753"/>
    <n v="0.1496810862784167"/>
    <n v="0.1171029620450753"/>
    <n v="0.1171029620450753"/>
    <n v="0.1496810862784167"/>
    <n v="0.14087675591777221"/>
    <n v="-2.2947395767077161E-2"/>
    <n v="8.594588363048733E-2"/>
    <n v="0.7022158697150096"/>
    <n v="8.594588363048733E-2"/>
    <n v="8.594588363048733E-2"/>
    <n v="0.7022158697150096"/>
    <n v="0.13060809036184301"/>
    <n v="0.54747086243478371"/>
    <n v="5.411247031284936E-2"/>
    <n v="0.78275554757134547"/>
    <n v="5.411247031284936E-2"/>
    <n v="5.411247031284936E-2"/>
    <n v="0.78275554757134547"/>
    <n v="0.23990803122530979"/>
    <n v="3.684513799764455E-2"/>
    <n v="204.9263536533488"/>
    <n v="0.41674347315926302"/>
    <n v="204.9263536533488"/>
    <n v="204.9263536533488"/>
    <n v="0.41674347315926302"/>
    <n v="534.26928275062676"/>
    <n v="-0.5206245595036969"/>
    <s v="[[sv,wv],[yr],[ya]]"/>
    <x v="1"/>
    <x v="1"/>
    <x v="2"/>
    <x v="3"/>
    <x v="1"/>
    <x v="1"/>
    <x v="2"/>
    <x v="3"/>
  </r>
  <r>
    <d v="2026-03-16T17:43:23"/>
    <s v="03-16_17-43-2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9.7121170147715291E-2"/>
    <n v="15.93157882131584"/>
    <n v="0.78962246628869703"/>
    <n v="-0.45717029142654048"/>
    <n v="21.664952719872669"/>
    <n v="0.71283450894411993"/>
    <n v="21.664952719872669"/>
    <n v="21.664952719872669"/>
    <n v="0.71283450894411993"/>
    <n v="106.75535197726521"/>
    <n v="-0.34096691049445438"/>
    <n v="0.8"/>
    <s v="identity"/>
    <n v="6.6401971521510755E-2"/>
    <n v="0.51783583175796344"/>
    <n v="6.6401971521510755E-2"/>
    <n v="6.6401971521510755E-2"/>
    <n v="0.51783583175796344"/>
    <n v="0.23451752563676079"/>
    <n v="-0.70290045755943553"/>
    <n v="4.6174724849547488E-2"/>
    <n v="0.84001444048690077"/>
    <n v="4.6174724849547488E-2"/>
    <n v="4.6174724849547488E-2"/>
    <n v="0.84001444048690077"/>
    <n v="0.33527898109192489"/>
    <n v="-0.16167005992455019"/>
    <n v="6.4853960324501983E-2"/>
    <n v="0.73963186272831172"/>
    <n v="6.4853960324501983E-2"/>
    <n v="6.4853960324501983E-2"/>
    <n v="0.73963186272831172"/>
    <n v="0.32043687131318238"/>
    <n v="-0.2864526835296497"/>
    <n v="86.482380222795243"/>
    <n v="0.75385590080330145"/>
    <n v="86.482380222795243"/>
    <n v="86.482380222795243"/>
    <n v="0.75385590080330145"/>
    <n v="426.13117453102029"/>
    <n v="-0.21284444096419591"/>
    <s v="[[sv,wv],[yr],[ya]]"/>
    <x v="0"/>
    <x v="0"/>
    <x v="1"/>
    <x v="0"/>
    <x v="0"/>
    <x v="0"/>
    <x v="1"/>
    <x v="0"/>
  </r>
  <r>
    <d v="2026-03-16T17:44:20"/>
    <s v="03-16_17-44-2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0.10388194665469801"/>
    <n v="21.88422102652348"/>
    <n v="0.76825421887944478"/>
    <n v="0.36388036678558461"/>
    <n v="25.834848520538731"/>
    <n v="0.70800959737339664"/>
    <n v="25.834848520538731"/>
    <n v="25.834848520538731"/>
    <n v="0.70800959737339664"/>
    <n v="48.466383778668558"/>
    <n v="0.370721304751506"/>
    <n v="0.8"/>
    <s v="identity"/>
    <n v="6.5819241243498805E-2"/>
    <n v="0.52206720702241716"/>
    <n v="6.5819241243498805E-2"/>
    <n v="6.5819241243498805E-2"/>
    <n v="0.52206720702241716"/>
    <n v="0.18311021352307941"/>
    <n v="-0.32961690409111138"/>
    <n v="6.3732597571422051E-2"/>
    <n v="0.77918016155136716"/>
    <n v="6.3732597571422051E-2"/>
    <n v="6.3732597571422051E-2"/>
    <n v="0.77918016155136716"/>
    <n v="0.104360528570656"/>
    <n v="0.63841305803421999"/>
    <n v="4.3734466639787382E-2"/>
    <n v="0.82441994973635913"/>
    <n v="4.3734466639787382E-2"/>
    <n v="4.3734466639787382E-2"/>
    <n v="0.82441994973635913"/>
    <n v="6.8535587088606395E-2"/>
    <n v="0.72485129577599094"/>
    <n v="103.1661077767"/>
    <n v="0.70637107118344555"/>
    <n v="103.1661077767"/>
    <n v="103.1661077767"/>
    <n v="0.70637107118344555"/>
    <n v="193.50952878549251"/>
    <n v="0.44923776928692938"/>
    <s v="[[sv,wv],[yr],[ya]]"/>
    <x v="0"/>
    <x v="0"/>
    <x v="1"/>
    <x v="0"/>
    <x v="0"/>
    <x v="0"/>
    <x v="1"/>
    <x v="0"/>
  </r>
  <r>
    <d v="2026-03-16T19:22:08"/>
    <s v="03-16_19-22-0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452414278583492"/>
    <n v="51.131261623976499"/>
    <n v="0.56462543211149185"/>
    <n v="9.8080698505234931E-2"/>
    <n v="54.103500641589157"/>
    <n v="0.50369508554320663"/>
    <n v="54.103500641589157"/>
    <n v="54.103500641589157"/>
    <n v="0.50369508554320663"/>
    <n v="103.86057785333399"/>
    <n v="0.12646778911920911"/>
    <n v="0.8"/>
    <s v="identity"/>
    <n v="8.3115793007511971E-2"/>
    <n v="0.39647187749143942"/>
    <n v="8.3115793007511971E-2"/>
    <n v="8.3115793007511971E-2"/>
    <n v="0.39647187749143942"/>
    <n v="0.1052917592319943"/>
    <n v="0.23544569009687949"/>
    <n v="8.6819693998535355E-2"/>
    <n v="0.69918830341989868"/>
    <n v="8.6819693998535355E-2"/>
    <n v="8.6819693998535355E-2"/>
    <n v="0.69918830341989868"/>
    <n v="0.1273802906001141"/>
    <n v="0.55865449920921062"/>
    <n v="0.11600945997293061"/>
    <n v="0.53425871222185295"/>
    <n v="0.11600945997293061"/>
    <n v="0.11600945997293061"/>
    <n v="0.53425871222185295"/>
    <n v="0.27580110116108308"/>
    <n v="-0.10725418474809389"/>
    <n v="216.12805761937699"/>
    <n v="0.38486144903963382"/>
    <n v="216.12805761937699"/>
    <n v="216.12805761937699"/>
    <n v="0.38486144903963382"/>
    <n v="414.93383826233998"/>
    <n v="-0.1809748480811548"/>
    <s v="[[sv,wv],[yr],[ya]]"/>
    <x v="1"/>
    <x v="0"/>
    <x v="3"/>
    <x v="1"/>
    <x v="1"/>
    <x v="1"/>
    <x v="3"/>
    <x v="1"/>
  </r>
  <r>
    <d v="2026-03-16T19:28:56"/>
    <s v="03-16_19-28-56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255133461506456"/>
    <n v="40.54520245233892"/>
    <n v="0.64618255080672282"/>
    <n v="-5.4812464942691791E-2"/>
    <n v="46.756853530654382"/>
    <n v="0.57698083939964573"/>
    <n v="46.756853530654382"/>
    <n v="46.756853530654382"/>
    <n v="0.57698083939964573"/>
    <n v="88.575133143693321"/>
    <n v="-8.0781409745536326E-2"/>
    <n v="0.8"/>
    <s v="identity"/>
    <n v="7.3850106042519195E-2"/>
    <n v="0.4637527450063379"/>
    <n v="7.3850106042519195E-2"/>
    <n v="7.3850106042519195E-2"/>
    <n v="0.4637527450063379"/>
    <n v="0.1219473414319643"/>
    <n v="0.1145046283479241"/>
    <n v="0.1010695862388572"/>
    <n v="0.64981547032782205"/>
    <n v="0.1010695862388572"/>
    <n v="0.1010695862388572"/>
    <n v="0.64981547032782205"/>
    <n v="0.26363359816266962"/>
    <n v="8.6565889760366943E-2"/>
    <n v="6.8255436270251865E-2"/>
    <n v="0.72597601269944678"/>
    <n v="6.8255436270251865E-2"/>
    <n v="6.8255436270251865E-2"/>
    <n v="0.72597601269944678"/>
    <n v="0.37810400059545102"/>
    <n v="-0.51796796737511919"/>
    <n v="186.78423899406559"/>
    <n v="0.46837912956497579"/>
    <n v="186.78423899406559"/>
    <n v="186.78423899406559"/>
    <n v="0.46837912956497579"/>
    <n v="353.53684763458318"/>
    <n v="-6.2281897153164678E-3"/>
    <s v="[[sv,wv],[yr],[ya]]"/>
    <x v="1"/>
    <x v="0"/>
    <x v="3"/>
    <x v="1"/>
    <x v="1"/>
    <x v="1"/>
    <x v="3"/>
    <x v="1"/>
  </r>
  <r>
    <d v="2026-03-16T19:29:11"/>
    <s v="03-16_19-29-1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3327361225733561"/>
    <n v="41.822827074885723"/>
    <n v="0.62556528615393503"/>
    <n v="-0.34088768869524899"/>
    <n v="46.56553293578655"/>
    <n v="0.56397766895666201"/>
    <n v="46.56553293578655"/>
    <n v="46.56553293578655"/>
    <n v="0.56397766895666201"/>
    <n v="121.7396482164813"/>
    <n v="-0.34971546360110228"/>
    <n v="0.8"/>
    <s v="identity"/>
    <n v="7.5669901631100669E-2"/>
    <n v="0.45053867611299681"/>
    <n v="7.5669901631100669E-2"/>
    <n v="7.5669901631100669E-2"/>
    <n v="0.45053867611299681"/>
    <n v="0.17199806323511349"/>
    <n v="-0.24892832545091451"/>
    <n v="0.1155801942489703"/>
    <n v="0.59953931277761763"/>
    <n v="0.1155801942489703"/>
    <n v="0.1155801942489703"/>
    <n v="0.59953931277761763"/>
    <n v="0.1080100634792933"/>
    <n v="0.62576819905079639"/>
    <n v="6.5949027583893219E-2"/>
    <n v="0.7352355140537159"/>
    <n v="6.5949027583893219E-2"/>
    <n v="6.5949027583893219E-2"/>
    <n v="0.7352355140537159"/>
    <n v="0.59586876869087535"/>
    <n v="-1.392224631867292"/>
    <n v="186.00493261968299"/>
    <n v="0.47059717288231367"/>
    <n v="186.00493261968299"/>
    <n v="186.00493261968299"/>
    <n v="0.47059717288231367"/>
    <n v="486.08271597051788"/>
    <n v="-0.38347709613698949"/>
    <s v="[[sv,wv],[yr],[ya]]"/>
    <x v="1"/>
    <x v="0"/>
    <x v="3"/>
    <x v="1"/>
    <x v="1"/>
    <x v="1"/>
    <x v="3"/>
    <x v="1"/>
  </r>
  <r>
    <d v="2026-03-16T20:03:56"/>
    <s v="03-16_20-03-56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3941728210615739"/>
    <n v="52.956270471826443"/>
    <n v="0.56299513111286226"/>
    <n v="0.117179538845047"/>
    <n v="57.144655682252903"/>
    <n v="0.50689140046717851"/>
    <n v="57.144655682252903"/>
    <n v="57.144655682252903"/>
    <n v="0.50689140046717851"/>
    <n v="101.3457314402136"/>
    <n v="0.12742786462363659"/>
    <n v="0.8"/>
    <s v="identity"/>
    <n v="8.2616304274254287E-2"/>
    <n v="0.40009881151311127"/>
    <n v="8.2616304274254287E-2"/>
    <n v="8.2616304274254287E-2"/>
    <n v="0.40009881151311127"/>
    <n v="9.1171414355738375E-2"/>
    <n v="0.33797765091893289"/>
    <n v="7.8592293468777857E-2"/>
    <n v="0.72769448903075928"/>
    <n v="7.8592293468777857E-2"/>
    <n v="7.8592293468777857E-2"/>
    <n v="0.72769448903075928"/>
    <n v="0.17374799850946221"/>
    <n v="0.39800029461161218"/>
    <n v="0.11219583800964671"/>
    <n v="0.54956919814854599"/>
    <n v="0.11219583800964671"/>
    <n v="0.11219583800964671"/>
    <n v="0.54956919814854599"/>
    <n v="0.26751562621327329"/>
    <n v="-7.3990623544146095E-2"/>
    <n v="228.3052182932594"/>
    <n v="0.35020310317629688"/>
    <n v="228.3052182932594"/>
    <n v="228.3052182932594"/>
    <n v="0.35020310317629688"/>
    <n v="404.85049072177509"/>
    <n v="-0.15227586349185951"/>
    <s v="[[sv,wv],[yr],[ya]]"/>
    <x v="1"/>
    <x v="0"/>
    <x v="3"/>
    <x v="1"/>
    <x v="1"/>
    <x v="1"/>
    <x v="3"/>
    <x v="1"/>
  </r>
  <r>
    <d v="2026-03-16T21:25:31"/>
    <s v="03-16_21-25-3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9.585863276550502E-2"/>
    <n v="15.975151821848019"/>
    <n v="0.80224394408572663"/>
    <n v="8.6561251215667323E-2"/>
    <n v="21.773024872957951"/>
    <n v="0.72104142213786049"/>
    <n v="21.773024872957951"/>
    <n v="21.773024872957951"/>
    <n v="0.72104142213786049"/>
    <n v="70.939705479941367"/>
    <n v="4.7379970762289447E-2"/>
    <n v="0.8"/>
    <s v="identity"/>
    <n v="6.3507298758156319E-2"/>
    <n v="0.53885489871177406"/>
    <n v="6.3507298758156319E-2"/>
    <n v="6.3507298758156319E-2"/>
    <n v="0.53885489871177406"/>
    <n v="0.20510697693260191"/>
    <n v="-0.48934184734725422"/>
    <n v="4.2705307978814479E-2"/>
    <n v="0.852035228938959"/>
    <n v="4.2705307978814479E-2"/>
    <n v="4.2705307978814479E-2"/>
    <n v="0.852035228938959"/>
    <n v="0.21631221789598279"/>
    <n v="0.25052436538888428"/>
    <n v="6.4595654678069048E-2"/>
    <n v="0.74066887819617189"/>
    <n v="6.4595654678069048E-2"/>
    <n v="6.4595654678069048E-2"/>
    <n v="0.74066887819617189"/>
    <n v="0.190744125618628"/>
    <n v="0.23422266837147901"/>
    <n v="86.921291230416514"/>
    <n v="0.75260668270453812"/>
    <n v="86.921291230416514"/>
    <n v="86.921291230416514"/>
    <n v="0.75260668270453812"/>
    <n v="283.14665859931819"/>
    <n v="0.1941146966360443"/>
    <s v="[[sv,wv],[yr],[ya]]"/>
    <x v="1"/>
    <x v="0"/>
    <x v="2"/>
    <x v="0"/>
    <x v="0"/>
    <x v="0"/>
    <x v="2"/>
    <x v="0"/>
  </r>
  <r>
    <d v="2026-03-16T21:30:02"/>
    <s v="03-16_21-30-0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9.3527901466244776E-2"/>
    <n v="19.188888248366531"/>
    <n v="0.78523965461039069"/>
    <n v="9.0612175561953473E-2"/>
    <n v="24.760347902441751"/>
    <n v="0.71509326107594329"/>
    <n v="24.760347902441751"/>
    <n v="24.760347902441751"/>
    <n v="0.71509326107594329"/>
    <n v="99.542397381901694"/>
    <n v="4.0331253701503138E-2"/>
    <n v="0.8"/>
    <s v="identity"/>
    <n v="6.0650499923749747E-2"/>
    <n v="0.55959895197200371"/>
    <n v="6.0650499923749747E-2"/>
    <n v="6.0650499923749747E-2"/>
    <n v="0.55959895197200371"/>
    <n v="0.18463624362965481"/>
    <n v="-0.34069785575850159"/>
    <n v="5.6556976123214191E-2"/>
    <n v="0.80404215728574957"/>
    <n v="5.6556976123214191E-2"/>
    <n v="5.6556976123214191E-2"/>
    <n v="0.80404215728574957"/>
    <n v="0.20106506020804921"/>
    <n v="0.30335251025897603"/>
    <n v="5.5264550816049203E-2"/>
    <n v="0.77813030875625577"/>
    <n v="5.5264550816049203E-2"/>
    <n v="5.5264550816049203E-2"/>
    <n v="0.77813030875625577"/>
    <n v="0.16679802433953911"/>
    <n v="0.33035869080957292"/>
    <n v="98.868919582903715"/>
    <n v="0.71860162628976632"/>
    <n v="98.868919582903715"/>
    <n v="98.868919582903715"/>
    <n v="0.71860162628976632"/>
    <n v="397.61709019942941"/>
    <n v="-0.13168833050404261"/>
    <s v="[[sv,wv],[yr],[ya]]"/>
    <x v="1"/>
    <x v="0"/>
    <x v="2"/>
    <x v="0"/>
    <x v="0"/>
    <x v="0"/>
    <x v="2"/>
    <x v="0"/>
  </r>
  <r>
    <d v="2026-03-16T23:06:51"/>
    <s v="03-16_23-06-5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155240301410961"/>
    <n v="19.703350866512711"/>
    <n v="0.67536987367701351"/>
    <n v="0.17372521396587101"/>
    <n v="22.61834596674797"/>
    <n v="0.61046539120122012"/>
    <n v="22.61834596674797"/>
    <n v="22.61834596674797"/>
    <n v="0.61046539120122012"/>
    <n v="85.31099733204897"/>
    <n v="9.9546390607898882E-2"/>
    <n v="0.8"/>
    <s v="identity"/>
    <n v="6.8198135950108263E-2"/>
    <n v="0.50479335564021599"/>
    <n v="6.8198135950108263E-2"/>
    <n v="6.8198135950108263E-2"/>
    <n v="0.50479335564021599"/>
    <n v="7.8233146198050454E-2"/>
    <n v="0.43192620638799939"/>
    <n v="8.4932123094134379E-2"/>
    <n v="0.70572833345245867"/>
    <n v="8.4932123094134379E-2"/>
    <n v="8.4932123094134379E-2"/>
    <n v="0.70572833345245867"/>
    <n v="0.19051408589631069"/>
    <n v="0.33990938275083998"/>
    <n v="0.12752080763891571"/>
    <n v="0.48804429240411651"/>
    <n v="0.12752080763891571"/>
    <n v="0.12752080763891571"/>
    <n v="0.48804429240411651"/>
    <n v="0.34975852663014251"/>
    <n v="-0.40416985513181453"/>
    <n v="90.192732800308832"/>
    <n v="0.74329558330809098"/>
    <n v="90.192732800308832"/>
    <n v="90.192732800308832"/>
    <n v="0.74329558330809098"/>
    <n v="340.62548356947173"/>
    <n v="3.0519828424566131E-2"/>
    <s v="[[sv,wv],[yr],[ya]]"/>
    <x v="1"/>
    <x v="1"/>
    <x v="3"/>
    <x v="2"/>
    <x v="1"/>
    <x v="1"/>
    <x v="3"/>
    <x v="2"/>
  </r>
  <r>
    <d v="2026-03-16T23:13:01"/>
    <s v="03-16_23-13-01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35987886297276"/>
    <n v="19.890480062254831"/>
    <n v="0.6934809525046014"/>
    <n v="-6.9804322086195331E-2"/>
    <n v="26.693843441567839"/>
    <n v="0.62530497586892797"/>
    <n v="26.693843441567839"/>
    <n v="26.693843441567839"/>
    <n v="0.62530497586892797"/>
    <n v="110.3882449350024"/>
    <n v="-0.1246081571292206"/>
    <n v="0.8"/>
    <s v="identity"/>
    <n v="7.8704679939171102E-2"/>
    <n v="0.42850226175388811"/>
    <n v="7.8704679939171102E-2"/>
    <n v="7.8704679939171102E-2"/>
    <n v="0.42850226175388811"/>
    <n v="0.1218326641266072"/>
    <n v="0.1153373338578179"/>
    <n v="9.7789888219790053E-2"/>
    <n v="0.66117892347939211"/>
    <n v="9.7789888219790053E-2"/>
    <n v="9.7789888219790053E-2"/>
    <n v="0.66117892347939211"/>
    <n v="0.21795967116333989"/>
    <n v="0.2448162916838735"/>
    <n v="7.105524059682497E-2"/>
    <n v="0.71473568391169739"/>
    <n v="7.105524059682497E-2"/>
    <n v="7.105524059682497E-2"/>
    <n v="0.71473568391169739"/>
    <n v="0.39952160003696902"/>
    <n v="-0.60395285470531368"/>
    <n v="106.5278239575153"/>
    <n v="0.69680303433073598"/>
    <n v="106.5278239575153"/>
    <n v="106.5278239575153"/>
    <n v="0.69680303433073598"/>
    <n v="440.81366580468142"/>
    <n v="-0.25463339935327228"/>
    <s v="[[sv,wv],[yr],[ya]]"/>
    <x v="1"/>
    <x v="1"/>
    <x v="3"/>
    <x v="2"/>
    <x v="1"/>
    <x v="1"/>
    <x v="3"/>
    <x v="2"/>
  </r>
  <r>
    <d v="2026-03-16T23:14:05"/>
    <s v="03-16_23-14-0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090601708040059"/>
    <n v="25.501873286815481"/>
    <n v="0.69361328457412164"/>
    <n v="-0.38856343794112252"/>
    <n v="32.591117038578211"/>
    <n v="0.61813823871929519"/>
    <n v="32.591117038578211"/>
    <n v="32.591117038578211"/>
    <n v="0.61813823871929519"/>
    <n v="163.8198709648687"/>
    <n v="-0.46318926546598582"/>
    <n v="0.8"/>
    <s v="identity"/>
    <n v="7.4540683880841938E-2"/>
    <n v="0.45873825701160409"/>
    <n v="7.4540683880841938E-2"/>
    <n v="7.4540683880841938E-2"/>
    <n v="0.45873825701160409"/>
    <n v="0.17204924790944651"/>
    <n v="-0.2492999923662336"/>
    <n v="0.1013774608818321"/>
    <n v="0.64874875044639957"/>
    <n v="0.1013774608818321"/>
    <n v="0.1013774608818321"/>
    <n v="0.64874875044639957"/>
    <n v="0.2054718108776703"/>
    <n v="0.28808406039140799"/>
    <n v="6.5903588623801135E-2"/>
    <n v="0.73541793710605607"/>
    <n v="6.5903588623801135E-2"/>
    <n v="6.5903588623801135E-2"/>
    <n v="0.73541793710605607"/>
    <n v="0.50539800947878599"/>
    <n v="-1.029013149704225"/>
    <n v="130.12264642092609"/>
    <n v="0.62964801031312145"/>
    <n v="130.12264642092609"/>
    <n v="130.12264642092609"/>
    <n v="0.62964801031312145"/>
    <n v="654.39656479120606"/>
    <n v="-0.86252798018490018"/>
    <s v="[[sv,wv],[yr],[ya]]"/>
    <x v="1"/>
    <x v="1"/>
    <x v="3"/>
    <x v="2"/>
    <x v="1"/>
    <x v="1"/>
    <x v="3"/>
    <x v="2"/>
  </r>
  <r>
    <d v="2026-03-16T23:47:21"/>
    <s v="03-16_23-47-2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97803736094317"/>
    <n v="29.553483971062551"/>
    <n v="0.63910850958112486"/>
    <n v="4.4678333489133193E-2"/>
    <n v="31.08450624932507"/>
    <n v="0.59519324465957046"/>
    <n v="31.08450624932507"/>
    <n v="31.08450624932507"/>
    <n v="0.59519324465957046"/>
    <n v="84.235749294133839"/>
    <n v="3.5353095276171143E-2"/>
    <n v="0.8"/>
    <s v="identity"/>
    <n v="8.0173646136604118E-2"/>
    <n v="0.41783566784814058"/>
    <n v="8.0173646136604118E-2"/>
    <n v="8.0173646136604118E-2"/>
    <n v="0.41783566784814058"/>
    <n v="9.525646050037459E-2"/>
    <n v="0.30831493411359229"/>
    <n v="7.758782893434471E-2"/>
    <n v="0.73117474410701511"/>
    <n v="7.758782893434471E-2"/>
    <n v="7.758782893434471E-2"/>
    <n v="0.73117474410701511"/>
    <n v="0.1761633994608954"/>
    <n v="0.38963144620108853"/>
    <n v="0.1033936470819678"/>
    <n v="0.58490721057341966"/>
    <n v="0.1033936470819678"/>
    <n v="0.1033936470819678"/>
    <n v="0.58490721057341966"/>
    <n v="0.3983978247205226"/>
    <n v="-0.59944125226205447"/>
    <n v="124.07686987514769"/>
    <n v="0.64685535610970391"/>
    <n v="124.07686987514769"/>
    <n v="124.07686987514769"/>
    <n v="0.64685535610970391"/>
    <n v="336.27317949185363"/>
    <n v="4.2907253052051897E-2"/>
    <s v="[[sv,wv],[yr],[ya]]"/>
    <x v="1"/>
    <x v="1"/>
    <x v="3"/>
    <x v="2"/>
    <x v="1"/>
    <x v="1"/>
    <x v="3"/>
    <x v="2"/>
  </r>
  <r>
    <d v="2026-03-17T00:58:37"/>
    <s v="03-17_00-58-3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9.9731667148580797E-2"/>
    <n v="16.239457561067908"/>
    <n v="0.79131837635747981"/>
    <n v="4.4232882073543311E-2"/>
    <n v="23.07083079565875"/>
    <n v="0.69218203778766574"/>
    <n v="23.07083079565875"/>
    <n v="23.07083079565875"/>
    <n v="0.69218203778766574"/>
    <n v="66.002142125911689"/>
    <n v="5.5752459146569212E-2"/>
    <n v="0.8"/>
    <s v="identity"/>
    <n v="6.4754963174109656E-2"/>
    <n v="0.5297952418735965"/>
    <n v="6.4754963174109656E-2"/>
    <n v="6.4754963174109656E-2"/>
    <n v="0.5297952418735965"/>
    <n v="0.2632634324543402"/>
    <n v="-0.91163290832064914"/>
    <n v="4.3709255467311192E-2"/>
    <n v="0.8485567653164412"/>
    <n v="4.3709255467311192E-2"/>
    <n v="4.3709255467311192E-2"/>
    <n v="0.8485567653164412"/>
    <n v="0.15755326862241481"/>
    <n v="0.45411157476725739"/>
    <n v="8.656331593408538E-2"/>
    <n v="0.65247566666636647"/>
    <n v="8.656331593408538E-2"/>
    <n v="8.656331593408538E-2"/>
    <n v="0.65247566666636647"/>
    <n v="0.1418929904268193"/>
    <n v="0.43034452445947607"/>
    <n v="92.088295648059542"/>
    <n v="0.737900477294261"/>
    <n v="92.088295648059542"/>
    <n v="92.088295648059542"/>
    <n v="0.737900477294261"/>
    <n v="263.44585881214368"/>
    <n v="0.250186645680185"/>
    <s v="[[sv,wv],[yr],[ya]]"/>
    <x v="1"/>
    <x v="0"/>
    <x v="3"/>
    <x v="0"/>
    <x v="0"/>
    <x v="0"/>
    <x v="3"/>
    <x v="0"/>
  </r>
  <r>
    <d v="2026-03-17T01:04:55"/>
    <s v="03-17_01-04-5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1535249015990071"/>
    <n v="20.33882837683079"/>
    <n v="0.72078025795943579"/>
    <n v="-0.1648465857118202"/>
    <n v="25.858386750873979"/>
    <n v="0.63309936118710741"/>
    <n v="25.858386750873979"/>
    <n v="25.858386750873979"/>
    <n v="0.63309936118710741"/>
    <n v="107.13274617733489"/>
    <n v="-0.20092262795064"/>
    <n v="0.8"/>
    <s v="identity"/>
    <n v="6.1939225540165142E-2"/>
    <n v="0.55024113772804195"/>
    <n v="6.1939225540165142E-2"/>
    <n v="6.1939225540165142E-2"/>
    <n v="0.55024113772804195"/>
    <n v="0.1525845769568806"/>
    <n v="-0.1079613142381515"/>
    <n v="6.8911500889794988E-2"/>
    <n v="0.76123636767378955"/>
    <n v="6.8911500889794988E-2"/>
    <n v="6.8911500889794988E-2"/>
    <n v="0.76123636767378955"/>
    <n v="0.2966561241229837"/>
    <n v="-2.785010967462398E-2"/>
    <n v="0.1209077820947059"/>
    <n v="0.51459349825154255"/>
    <n v="0.1209077820947059"/>
    <n v="0.1209077820947059"/>
    <n v="0.51459349825154255"/>
    <n v="0.36130151693973261"/>
    <n v="-0.45051131015499601"/>
    <n v="103.1817884949712"/>
    <n v="0.70632644109505449"/>
    <n v="103.1817884949712"/>
    <n v="103.1817884949712"/>
    <n v="0.70632644109505449"/>
    <n v="427.72044249132102"/>
    <n v="-0.2173677777347913"/>
    <s v="[[sv,wv],[yr],[ya]]"/>
    <x v="1"/>
    <x v="0"/>
    <x v="3"/>
    <x v="0"/>
    <x v="0"/>
    <x v="0"/>
    <x v="3"/>
    <x v="0"/>
  </r>
  <r>
    <d v="2026-03-17T02:41:13"/>
    <s v="03-17_02-41-13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155233144827771"/>
    <n v="14.84183212999268"/>
    <n v="0.69397328921248014"/>
    <n v="7.9467058885746511E-2"/>
    <n v="17.008613817553769"/>
    <n v="0.63316821625891329"/>
    <n v="17.008613817553769"/>
    <n v="17.008613817553769"/>
    <n v="0.63316821625891329"/>
    <n v="115.4330664469916"/>
    <n v="7.4214267755379398E-2"/>
    <n v="0.8"/>
    <s v="identity"/>
    <n v="6.8632705366439686E-2"/>
    <n v="0.50163781979741362"/>
    <n v="6.8632705366439686E-2"/>
    <n v="6.8632705366439686E-2"/>
    <n v="0.50163781979741362"/>
    <n v="9.3839707222049346E-2"/>
    <n v="0.31860239471747798"/>
    <n v="8.0100809415485724E-2"/>
    <n v="0.72246780346728579"/>
    <n v="8.0100809415485724E-2"/>
    <n v="8.0100809415485724E-2"/>
    <n v="0.72246780346728579"/>
    <n v="0.15496001457237671"/>
    <n v="0.46309664617822499"/>
    <n v="0.1241869902590694"/>
    <n v="0.5014285146914117"/>
    <n v="0.1241869902590694"/>
    <n v="0.1241869902590694"/>
    <n v="0.5014285146914117"/>
    <n v="0.29198058718532571"/>
    <n v="-0.1722097035331793"/>
    <n v="67.761534765174318"/>
    <n v="0.80713872707953893"/>
    <n v="67.761534765174318"/>
    <n v="67.761534765174318"/>
    <n v="0.80713872707953893"/>
    <n v="461.19148547898709"/>
    <n v="-0.31263226634100882"/>
    <s v="[[sv,wv],[yr],[ya]]"/>
    <x v="1"/>
    <x v="1"/>
    <x v="3"/>
    <x v="3"/>
    <x v="1"/>
    <x v="1"/>
    <x v="3"/>
    <x v="3"/>
  </r>
  <r>
    <d v="2026-03-17T02:48:46"/>
    <s v="03-17_02-48-4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52483276880111"/>
    <n v="15.941764039786669"/>
    <n v="0.72613121484141663"/>
    <n v="0.25145603911308001"/>
    <n v="17.801223508368739"/>
    <n v="0.66733726716710606"/>
    <n v="17.801223508368739"/>
    <n v="17.801223508368739"/>
    <n v="0.66733726716710606"/>
    <n v="103.3651647395255"/>
    <n v="0.28473750334746628"/>
    <n v="0.8"/>
    <s v="identity"/>
    <n v="7.0825215503091329E-2"/>
    <n v="0.48571736138062682"/>
    <n v="7.0825215503091329E-2"/>
    <n v="7.0825215503091329E-2"/>
    <n v="0.48571736138062682"/>
    <n v="9.2361055773535122E-2"/>
    <n v="0.32933931606870293"/>
    <n v="0.1038301242611972"/>
    <n v="0.64025079568167576"/>
    <n v="0.1038301242611972"/>
    <n v="0.1038301242611972"/>
    <n v="0.64025079568167576"/>
    <n v="0.13699131086464111"/>
    <n v="0.52535436673365876"/>
    <n v="6.3425925527439045E-2"/>
    <n v="0.74536497074839292"/>
    <n v="6.3425925527439045E-2"/>
    <n v="6.3425925527439045E-2"/>
    <n v="0.74536497074839292"/>
    <n v="0.1345055784672273"/>
    <n v="0.46000264682476322"/>
    <n v="70.966812768183189"/>
    <n v="0.79801594085773164"/>
    <n v="70.966812768183189"/>
    <n v="70.966812768183189"/>
    <n v="0.79801594085773164"/>
    <n v="413.09680101299767"/>
    <n v="-0.17574631623726661"/>
    <s v="[[sv,wv],[yr],[ya]]"/>
    <x v="1"/>
    <x v="1"/>
    <x v="3"/>
    <x v="3"/>
    <x v="1"/>
    <x v="1"/>
    <x v="3"/>
    <x v="3"/>
  </r>
  <r>
    <d v="2026-03-17T02:48:33"/>
    <s v="03-17_02-48-33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367451601396859"/>
    <n v="19.307106933567901"/>
    <n v="0.70779832589220226"/>
    <n v="-0.31692067830145232"/>
    <n v="23.544082765455311"/>
    <n v="0.63339614986662041"/>
    <n v="23.544082765455311"/>
    <n v="23.544082765455311"/>
    <n v="0.63339614986662041"/>
    <n v="138.8712277619224"/>
    <n v="-0.27455430838289469"/>
    <n v="0.8"/>
    <s v="identity"/>
    <n v="7.692344961935467E-2"/>
    <n v="0.44143629693270142"/>
    <n v="7.692344961935467E-2"/>
    <n v="7.692344961935467E-2"/>
    <n v="0.44143629693270142"/>
    <n v="0.12211168087369249"/>
    <n v="0.1133113115168936"/>
    <n v="0.1032583103233463"/>
    <n v="0.64223200884715848"/>
    <n v="0.1032583103233463"/>
    <n v="0.1032583103233463"/>
    <n v="0.64223200884715848"/>
    <n v="0.26550135121610419"/>
    <n v="8.0094524348669038E-2"/>
    <n v="7.0430094503241947E-2"/>
    <n v="0.71724544774253318"/>
    <n v="7.0430094503241947E-2"/>
    <n v="7.0430094503241947E-2"/>
    <n v="0.71724544774253318"/>
    <n v="0.4266669070186434"/>
    <n v="-0.71293267612443056"/>
    <n v="93.925719207375082"/>
    <n v="0.73267084594409038"/>
    <n v="93.925719207375082"/>
    <n v="93.925719207375082"/>
    <n v="0.73267084594409038"/>
    <n v="554.67063110857873"/>
    <n v="-0.57869039327271832"/>
    <s v="[[sv,wv],[yr],[ya]]"/>
    <x v="1"/>
    <x v="1"/>
    <x v="3"/>
    <x v="3"/>
    <x v="1"/>
    <x v="1"/>
    <x v="3"/>
    <x v="3"/>
  </r>
  <r>
    <d v="2026-03-17T03:21:32"/>
    <s v="03-17_03-21-32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415693656208592"/>
    <n v="47.908697983786958"/>
    <n v="0.5244023263265325"/>
    <n v="0.14640117808442549"/>
    <n v="56.16135391904033"/>
    <n v="0.46622004246825022"/>
    <n v="56.16135391904033"/>
    <n v="56.16135391904033"/>
    <n v="0.46622004246825022"/>
    <n v="89.960128304923501"/>
    <n v="9.7982440556248468E-2"/>
    <n v="0.8"/>
    <s v="identity"/>
    <n v="0.1049378732344893"/>
    <n v="0.23801535999868681"/>
    <n v="0.1049378732344893"/>
    <n v="0.1049378732344893"/>
    <n v="0.23801535999868681"/>
    <n v="0.1146832827198227"/>
    <n v="0.1672510867247885"/>
    <n v="8.1601672386385632E-2"/>
    <n v="0.71726763383044889"/>
    <n v="8.1601672386385632E-2"/>
    <n v="8.1601672386385632E-2"/>
    <n v="0.71726763383044889"/>
    <n v="0.16944238455070021"/>
    <n v="0.41291832737703549"/>
    <n v="0.1125552299922124"/>
    <n v="0.54812635301491353"/>
    <n v="0.1125552299922124"/>
    <n v="0.1125552299922124"/>
    <n v="0.54812635301491353"/>
    <n v="0.29036041068429808"/>
    <n v="-0.1657052073464669"/>
    <n v="224.3463209005487"/>
    <n v="0.36147082302894817"/>
    <n v="224.3463209005487"/>
    <n v="224.3463209005487"/>
    <n v="0.36147082302894817"/>
    <n v="359.2660271417393"/>
    <n v="-2.2534444530368569E-2"/>
    <s v="[[sv,wv],[yr],[ya]]"/>
    <x v="1"/>
    <x v="1"/>
    <x v="3"/>
    <x v="3"/>
    <x v="1"/>
    <x v="1"/>
    <x v="3"/>
    <x v="3"/>
  </r>
  <r>
    <d v="2026-03-17T04:27:40"/>
    <s v="03-17_04-27-4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127323050936708"/>
    <n v="36.789515746676727"/>
    <n v="0.72825796870933768"/>
    <n v="-1.0318442802648931"/>
    <n v="40.528745548963187"/>
    <n v="0.65912051190692145"/>
    <n v="40.528745548963187"/>
    <n v="40.528745548963187"/>
    <n v="0.65912051190692145"/>
    <n v="134.10469382874729"/>
    <n v="-0.98687741037852617"/>
    <n v="0.8"/>
    <s v="identity"/>
    <n v="6.6079014227497956E-2"/>
    <n v="0.52018091928288623"/>
    <n v="6.6079014227497956E-2"/>
    <n v="6.6079014227497956E-2"/>
    <n v="0.52018091928288623"/>
    <n v="0.17243777800043339"/>
    <n v="-0.25212122318009578"/>
    <n v="4.5444437312894367E-2"/>
    <n v="0.84254473082512327"/>
    <n v="4.5444437312894367E-2"/>
    <n v="4.5444437312894367E-2"/>
    <n v="0.84254473082512327"/>
    <n v="0.699323997544541"/>
    <n v="-1.423008288466219"/>
    <n v="6.6092706781171101E-2"/>
    <n v="0.73465868752264907"/>
    <n v="6.6092706781171101E-2"/>
    <n v="6.6092706781171101E-2"/>
    <n v="0.73465868752264907"/>
    <n v="0.68500254767485824"/>
    <n v="-1.7500685613039051"/>
    <n v="161.9373660375305"/>
    <n v="0.53909770999702888"/>
    <n v="161.9373660375305"/>
    <n v="161.9373660375305"/>
    <n v="0.53909770999702888"/>
    <n v="534.86201099176765"/>
    <n v="-0.52231156856390304"/>
    <s v="[[sv,wv],[yr],[ya]]"/>
    <x v="0"/>
    <x v="0"/>
    <x v="0"/>
    <x v="1"/>
    <x v="0"/>
    <x v="0"/>
    <x v="0"/>
    <x v="1"/>
  </r>
  <r>
    <d v="2026-03-17T04:33:46"/>
    <s v="03-17_04-33-46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3528206406187829"/>
    <n v="44.227108547728363"/>
    <n v="0.63941756929236004"/>
    <n v="-0.67969385634637813"/>
    <n v="48.05854237592375"/>
    <n v="0.56494720507325025"/>
    <n v="48.05854237592375"/>
    <n v="48.05854237592375"/>
    <n v="0.56494720507325025"/>
    <n v="114.3872396481835"/>
    <n v="-0.63392807314457311"/>
    <n v="0.8"/>
    <s v="identity"/>
    <n v="6.7524802348844198E-2"/>
    <n v="0.50968262817782017"/>
    <n v="6.7524802348844198E-2"/>
    <n v="6.7524802348844198E-2"/>
    <n v="0.50968262817782017"/>
    <n v="0.15364209757836761"/>
    <n v="-0.1156402812804616"/>
    <n v="7.7103361774116058E-2"/>
    <n v="0.73285331934373721"/>
    <n v="7.7103361774116058E-2"/>
    <n v="7.7103361774116058E-2"/>
    <n v="0.73285331934373721"/>
    <n v="0.66361364888210328"/>
    <n v="-1.2992795574389471"/>
    <n v="0.10868496760659679"/>
    <n v="0.5636642323217953"/>
    <n v="0.10868496760659679"/>
    <n v="0.10868496760659679"/>
    <n v="0.5636642323217953"/>
    <n v="0.45387020415408991"/>
    <n v="-0.82214530966854649"/>
    <n v="191.98085637196499"/>
    <n v="0.45358864044964731"/>
    <n v="191.98085637196499"/>
    <n v="191.98085637196499"/>
    <n v="0.45358864044964731"/>
    <n v="456.27783264211951"/>
    <n v="-0.29864714419034333"/>
    <s v="[[sv,wv],[yr],[ya]]"/>
    <x v="0"/>
    <x v="0"/>
    <x v="0"/>
    <x v="1"/>
    <x v="0"/>
    <x v="0"/>
    <x v="0"/>
    <x v="1"/>
  </r>
  <r>
    <d v="2026-03-17T07:28:17"/>
    <s v="03-17_07-28-17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9.4179719892348593E-2"/>
    <n v="13.146821265652781"/>
    <n v="0.81467469552285854"/>
    <n v="-0.695571934921136"/>
    <n v="14.57765749371702"/>
    <n v="0.74330331289652607"/>
    <n v="14.57765749371702"/>
    <n v="14.57765749371702"/>
    <n v="0.74330331289652607"/>
    <n v="132.19321873132481"/>
    <n v="-0.78218433933176601"/>
    <n v="0.8"/>
    <s v="identity"/>
    <n v="6.3452340516556335E-2"/>
    <n v="0.53925396660451763"/>
    <n v="6.3452340516556335E-2"/>
    <n v="6.3452340516556335E-2"/>
    <n v="0.53925396660451763"/>
    <n v="0.19569376774198391"/>
    <n v="-0.42098977773419599"/>
    <n v="4.3304069879030349E-2"/>
    <n v="0.84996064683948158"/>
    <n v="4.3304069879030349E-2"/>
    <n v="4.3304069879030349E-2"/>
    <n v="0.84996064683948158"/>
    <n v="0.56039412377581244"/>
    <n v="-0.94164594877937824"/>
    <n v="6.2401050933485858E-2"/>
    <n v="0.74947951807332869"/>
    <n v="6.2401050933485858E-2"/>
    <n v="6.2401050933485858E-2"/>
    <n v="0.74947951807332869"/>
    <n v="0.56414866354891569"/>
    <n v="-1.264878442852003"/>
    <n v="58.141472513538943"/>
    <n v="0.83451912006877826"/>
    <n v="58.141472513538943"/>
    <n v="58.141472513538943"/>
    <n v="0.83451912006877826"/>
    <n v="527.45263837023356"/>
    <n v="-0.50122318796149834"/>
    <s v="[[sv,wv],[yr],[ya]]"/>
    <x v="0"/>
    <x v="1"/>
    <x v="0"/>
    <x v="2"/>
    <x v="0"/>
    <x v="0"/>
    <x v="0"/>
    <x v="2"/>
  </r>
  <r>
    <d v="2026-03-17T07:33:40"/>
    <s v="03-17_07-33-4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110094339861233"/>
    <n v="19.982388663623318"/>
    <n v="0.73380613803091588"/>
    <n v="-1.3557058338565311"/>
    <n v="20.201842711143701"/>
    <n v="0.66740839032795363"/>
    <n v="20.201842711143701"/>
    <n v="20.201842711143701"/>
    <n v="0.66740839032795363"/>
    <n v="130.6207121841428"/>
    <n v="-1.178781575845024"/>
    <n v="0.8"/>
    <s v="identity"/>
    <n v="6.2380224282730427E-2"/>
    <n v="0.54703891666392956"/>
    <n v="6.2380224282730427E-2"/>
    <n v="6.2380224282730427E-2"/>
    <n v="0.54703891666392956"/>
    <n v="0.33105491936151937"/>
    <n v="-1.4038867548484171"/>
    <n v="6.4773299312603158E-2"/>
    <n v="0.77557435229334515"/>
    <n v="6.4773299312603158E-2"/>
    <n v="6.4773299312603158E-2"/>
    <n v="0.77557435229334515"/>
    <n v="0.72973535290675584"/>
    <n v="-1.5283771394778629"/>
    <n v="0.1055251077762777"/>
    <n v="0.57635007007084327"/>
    <n v="0.1055251077762777"/>
    <n v="0.1055251077762777"/>
    <n v="0.57635007007084327"/>
    <n v="0.57300508858413146"/>
    <n v="-1.3004341880642849"/>
    <n v="80.574692213203022"/>
    <n v="0.77067022228370086"/>
    <n v="80.574692213203022"/>
    <n v="80.574692213203022"/>
    <n v="0.77067022228370086"/>
    <n v="520.84905337571786"/>
    <n v="-0.48242822098953869"/>
    <s v="[[sv,wv],[yr],[ya]]"/>
    <x v="0"/>
    <x v="1"/>
    <x v="0"/>
    <x v="2"/>
    <x v="0"/>
    <x v="0"/>
    <x v="0"/>
    <x v="2"/>
  </r>
  <r>
    <d v="2026-03-17T10:00:25"/>
    <s v="03-17_10-00-2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173738445743369"/>
    <n v="22.486398508767731"/>
    <n v="0.64262781536269897"/>
    <n v="-1.329780241569543"/>
    <n v="28.366857019762161"/>
    <n v="0.58718818920318561"/>
    <n v="28.366857019762161"/>
    <n v="28.366857019762161"/>
    <n v="0.58718818920318561"/>
    <n v="198.09511192875871"/>
    <n v="-1.313152300994243"/>
    <n v="0.8"/>
    <s v="identity"/>
    <n v="0.1070476357840848"/>
    <n v="0.22269575605312669"/>
    <n v="0.1070476357840848"/>
    <n v="0.1070476357840848"/>
    <n v="0.22269575605312669"/>
    <n v="0.16972660447083121"/>
    <n v="-0.23243459792022689"/>
    <n v="8.3274565816916515E-2"/>
    <n v="0.71147141539360215"/>
    <n v="8.3274565816916515E-2"/>
    <n v="8.3274565816916515E-2"/>
    <n v="0.71147141539360215"/>
    <n v="1.0790667273382839"/>
    <n v="-2.7387357409857129"/>
    <n v="6.5557939829180664E-2"/>
    <n v="0.73680560768708503"/>
    <n v="6.5557939829180664E-2"/>
    <n v="6.5557939829180664E-2"/>
    <n v="0.73680560768708503"/>
    <n v="0.50593741776877743"/>
    <n v="-1.03117870337267"/>
    <n v="113.2115479376185"/>
    <n v="0.67777997767892284"/>
    <n v="113.2115479376185"/>
    <n v="113.2115479376185"/>
    <n v="0.67777997767892284"/>
    <n v="790.62571696546001"/>
    <n v="-1.2502601616983691"/>
    <s v="[[sv,wv],[yr],[ya]]"/>
    <x v="0"/>
    <x v="0"/>
    <x v="0"/>
    <x v="0"/>
    <x v="0"/>
    <x v="0"/>
    <x v="0"/>
    <x v="0"/>
  </r>
  <r>
    <d v="2026-03-17T09:59:23"/>
    <s v="03-17_09-59-2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104102137111094"/>
    <n v="13.60800826998457"/>
    <n v="0.7250895120735168"/>
    <n v="-0.40315805972809587"/>
    <n v="19.593508584214259"/>
    <n v="0.6577532752468167"/>
    <n v="19.593508584214259"/>
    <n v="19.593508584214259"/>
    <n v="0.6577532752468167"/>
    <n v="153.21090386340529"/>
    <n v="-0.30464341699512398"/>
    <n v="0.8"/>
    <s v="identity"/>
    <n v="6.9617009023433263E-2"/>
    <n v="0.49449050258382521"/>
    <n v="6.9617009023433263E-2"/>
    <n v="6.9617009023433263E-2"/>
    <n v="0.49449050258382521"/>
    <n v="0.1790068487259098"/>
    <n v="-0.29982117018312099"/>
    <n v="6.7527243432265779E-2"/>
    <n v="0.76603252411163691"/>
    <n v="6.7527243432265779E-2"/>
    <n v="6.7527243432265779E-2"/>
    <n v="0.76603252411163691"/>
    <n v="0.30135600379615152"/>
    <n v="-4.4134188932399183E-2"/>
    <n v="0.10140838026093971"/>
    <n v="0.59287742891617046"/>
    <n v="0.10140838026093971"/>
    <n v="0.10140838026093971"/>
    <n v="0.59287742891617046"/>
    <n v="0.28209630590373358"/>
    <n v="-0.13252744060458441"/>
    <n v="78.135481704140204"/>
    <n v="0.77761264537563757"/>
    <n v="78.135481704140204"/>
    <n v="78.135481704140204"/>
    <n v="0.77761264537563757"/>
    <n v="612.08115629519625"/>
    <n v="-0.74209086826039217"/>
    <s v="[[sv,wv],[yr],[ya]]"/>
    <x v="0"/>
    <x v="0"/>
    <x v="0"/>
    <x v="0"/>
    <x v="0"/>
    <x v="0"/>
    <x v="0"/>
    <x v="0"/>
  </r>
  <r>
    <d v="2026-03-17T10:00:36"/>
    <s v="03-17_10-00-3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201323871318857"/>
    <n v="18.9521969274107"/>
    <n v="0.7087485584262011"/>
    <n v="-0.59682263106275868"/>
    <n v="21.89438691725557"/>
    <n v="0.6626875027190402"/>
    <n v="21.89438691725557"/>
    <n v="21.89438691725557"/>
    <n v="0.6626875027190402"/>
    <n v="127.4529516180357"/>
    <n v="-0.6365188737780898"/>
    <n v="0.8"/>
    <s v="identity"/>
    <n v="6.1873383731372487E-2"/>
    <n v="0.55071923439060522"/>
    <n v="6.1873383731372487E-2"/>
    <n v="6.1873383731372487E-2"/>
    <n v="0.55071923439060522"/>
    <n v="0.19555914690851109"/>
    <n v="-0.4200122564240274"/>
    <n v="4.8547703390261092E-2"/>
    <n v="0.83179257666885653"/>
    <n v="4.8547703390261092E-2"/>
    <n v="4.8547703390261092E-2"/>
    <n v="0.83179257666885653"/>
    <n v="0.47783192608102321"/>
    <n v="-0.65558556756713537"/>
    <n v="0.12034758053695011"/>
    <n v="0.516842530313112"/>
    <n v="0.12034758053695011"/>
    <n v="0.12034758053695011"/>
    <n v="0.516842530313112"/>
    <n v="0.50385390215035941"/>
    <n v="-1.0228140471846809"/>
    <n v="87.346779001364268"/>
    <n v="0.75139566950359082"/>
    <n v="87.346779001364268"/>
    <n v="87.346779001364268"/>
    <n v="0.75139566950359082"/>
    <n v="508.6345614970021"/>
    <n v="-0.44766362393651482"/>
    <s v="[[sv,wv],[yr],[ya]]"/>
    <x v="0"/>
    <x v="0"/>
    <x v="0"/>
    <x v="0"/>
    <x v="0"/>
    <x v="0"/>
    <x v="0"/>
    <x v="0"/>
  </r>
  <r>
    <d v="2026-03-17T10:00:49"/>
    <s v="03-17_10-00-49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0"/>
    <s v="false"/>
    <s v="spsa"/>
    <n v="4000"/>
    <n v="4000"/>
    <m/>
    <n v="256"/>
    <s v="[0.1, 0.001]"/>
    <n v="0.15"/>
    <s v="[1.0, 1.0, 1.0, 1.0]"/>
    <n v="180"/>
    <n v="60"/>
    <n v="120"/>
    <n v="0.1061808426676359"/>
    <n v="13.63573561742151"/>
    <n v="0.78081371152543144"/>
    <n v="-0.41081075768049052"/>
    <n v="21.07029640050256"/>
    <n v="0.72147541086590572"/>
    <n v="21.07029640050256"/>
    <n v="21.07029640050256"/>
    <n v="0.72147541086590572"/>
    <n v="115.07900239196979"/>
    <n v="-0.35476884667349928"/>
    <n v="0.8"/>
    <s v="identity"/>
    <n v="5.3267810031518058E-2"/>
    <n v="0.61320682610151866"/>
    <n v="5.3267810031518058E-2"/>
    <n v="5.3267810031518058E-2"/>
    <n v="0.61320682610151866"/>
    <n v="0.16987608525736159"/>
    <n v="-0.23352002170289629"/>
    <n v="4.7870461508133511E-2"/>
    <n v="0.83413907514374552"/>
    <n v="4.7870461508133511E-2"/>
    <n v="4.7870461508133511E-2"/>
    <n v="0.83413907514374552"/>
    <n v="0.40506558250397329"/>
    <n v="-0.40346572865463931"/>
    <n v="8.0225832203007719E-2"/>
    <n v="0.67791865928846728"/>
    <n v="8.0225832203007719E-2"/>
    <n v="8.0225832203007719E-2"/>
    <n v="0.67791865928846728"/>
    <n v="0.3673093703548469"/>
    <n v="-0.47463094132120109"/>
    <n v="84.099821498267303"/>
    <n v="0.76063708292989596"/>
    <n v="84.099821498267303"/>
    <n v="84.099821498267303"/>
    <n v="0.76063708292989596"/>
    <n v="459.37375852976311"/>
    <n v="-0.30745869501526979"/>
    <s v="[[sv,wv],[yr],[ya]]"/>
    <x v="0"/>
    <x v="0"/>
    <x v="0"/>
    <x v="0"/>
    <x v="0"/>
    <x v="0"/>
    <x v="0"/>
    <x v="0"/>
  </r>
  <r>
    <d v="2026-03-17T10:24:34"/>
    <s v="03-17_10-24-3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9.1535443254148308E-2"/>
    <n v="14.3240631097877"/>
    <n v="0.81356135910977212"/>
    <n v="-1.2549494629550311"/>
    <n v="16.61229160980222"/>
    <n v="0.74338828522241451"/>
    <n v="16.61229160980222"/>
    <n v="16.61229160980222"/>
    <n v="0.74338828522241451"/>
    <n v="173.870896676152"/>
    <n v="-1.0700827176565719"/>
    <n v="0.8"/>
    <s v="identity"/>
    <n v="6.3007375140250232E-2"/>
    <n v="0.54248499055828137"/>
    <n v="6.3007375140250232E-2"/>
    <n v="6.3007375140250232E-2"/>
    <n v="0.54248499055828137"/>
    <n v="0.2036914611324063"/>
    <n v="-0.47906337243459779"/>
    <n v="4.3058940337426257E-2"/>
    <n v="0.85080996834587941"/>
    <n v="4.3058940337426257E-2"/>
    <n v="4.3058940337426257E-2"/>
    <n v="0.85080996834587941"/>
    <n v="0.71478050338260068"/>
    <n v="-1.476561779963498"/>
    <n v="5.7559075827236579E-2"/>
    <n v="0.76891851659897026"/>
    <n v="5.7559075827236579E-2"/>
    <n v="5.7559075827236579E-2"/>
    <n v="0.76891851659897026"/>
    <n v="0.58523082034709173"/>
    <n v="-1.349516634070326"/>
    <n v="66.285541047903877"/>
    <n v="0.8113396653865278"/>
    <n v="66.285541047903877"/>
    <n v="66.285541047903877"/>
    <n v="0.8113396653865278"/>
    <n v="693.97988391974786"/>
    <n v="-0.97518908415787142"/>
    <s v="[[sv,wv],[yr],[ya]]"/>
    <x v="0"/>
    <x v="1"/>
    <x v="0"/>
    <x v="3"/>
    <x v="0"/>
    <x v="0"/>
    <x v="0"/>
    <x v="3"/>
  </r>
  <r>
    <d v="2026-03-17T10:37:14"/>
    <s v="03-17_10-37-14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10670942469988"/>
    <n v="18.390043903343759"/>
    <n v="0.73100555571595849"/>
    <n v="-0.27590366211042111"/>
    <n v="23.837509712091219"/>
    <n v="0.65018508045414714"/>
    <n v="23.837509712091219"/>
    <n v="23.837509712091219"/>
    <n v="0.65018508045414714"/>
    <n v="97.146781569011793"/>
    <n v="-0.22720465701952841"/>
    <n v="0.8"/>
    <s v="identity"/>
    <n v="6.4087864774886233E-2"/>
    <n v="0.53463923878252806"/>
    <n v="6.4087864774886233E-2"/>
    <n v="6.4087864774886233E-2"/>
    <n v="0.53463923878252806"/>
    <n v="0.17322670082235569"/>
    <n v="-0.25784982291174813"/>
    <n v="7.2563901840691586E-2"/>
    <n v="0.74858157846607232"/>
    <n v="7.2563901840691586E-2"/>
    <n v="7.2563901840691586E-2"/>
    <n v="0.74858157846607232"/>
    <n v="0.38185736851445973"/>
    <n v="-0.32305422403798612"/>
    <n v="0.10256806497731601"/>
    <n v="0.58822166159040468"/>
    <n v="0.10256806497731601"/>
    <n v="0.10256806497731601"/>
    <n v="0.58822166159040468"/>
    <n v="0.3049742119931893"/>
    <n v="-0.22437499722847429"/>
    <n v="95.110819016771856"/>
    <n v="0.72929784297758249"/>
    <n v="95.110819016771856"/>
    <n v="95.110819016771856"/>
    <n v="0.72929784297758249"/>
    <n v="387.72706799471621"/>
    <n v="-0.1035395838999011"/>
    <s v="[[sv,wv],[yr],[ya]]"/>
    <x v="0"/>
    <x v="1"/>
    <x v="0"/>
    <x v="3"/>
    <x v="0"/>
    <x v="0"/>
    <x v="0"/>
    <x v="3"/>
  </r>
  <r>
    <d v="2026-03-17T13:56:00"/>
    <s v="03-17_13-56-00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0.1000701079620039"/>
    <n v="14.42643363494915"/>
    <n v="0.71795356995864879"/>
    <n v="0.16304802502842269"/>
    <n v="19.909220712348571"/>
    <n v="0.68919990066506909"/>
    <n v="19.909220712348571"/>
    <n v="19.909220712348571"/>
    <n v="0.68919990066506909"/>
    <n v="112.70305982898741"/>
    <n v="0.16585537573575601"/>
    <n v="0.8"/>
    <s v="identity"/>
    <n v="9.5077194710239024E-2"/>
    <n v="0.30961663553321023"/>
    <n v="9.5077194710239024E-2"/>
    <n v="9.5077194710239024E-2"/>
    <n v="0.30961663553321023"/>
    <n v="0.1433305419376025"/>
    <n v="-4.0765054914624121E-2"/>
    <n v="4.1691090435733297E-2"/>
    <n v="0.85554927610711295"/>
    <n v="4.1691090435733297E-2"/>
    <n v="4.1691090435733297E-2"/>
    <n v="0.85554927610711295"/>
    <n v="0.2064237767113879"/>
    <n v="0.28478570210035359"/>
    <n v="4.5389417614406173E-2"/>
    <n v="0.8177758450374103"/>
    <n v="4.5389417614406173E-2"/>
    <n v="4.5389417614406173E-2"/>
    <n v="0.8177758450374103"/>
    <n v="7.4405681424955822E-2"/>
    <n v="0.70128472373756812"/>
    <n v="79.454725146634132"/>
    <n v="0.77385784598254426"/>
    <n v="79.454725146634132"/>
    <n v="79.454725146634132"/>
    <n v="0.77385784598254426"/>
    <n v="450.38807931587542"/>
    <n v="-0.28188386798027198"/>
    <s v="[[sv,wv],[yr],[ya]]"/>
    <x v="0"/>
    <x v="0"/>
    <x v="1"/>
    <x v="0"/>
    <x v="0"/>
    <x v="0"/>
    <x v="1"/>
    <x v="0"/>
  </r>
  <r>
    <d v="2026-03-17T13:58:41"/>
    <s v="03-17_13-58-4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8.9142439706972221E-2"/>
    <n v="14.046786148334551"/>
    <n v="0.76763917707654095"/>
    <n v="0.45581435466676168"/>
    <n v="18.372791201516879"/>
    <n v="0.69202235574271342"/>
    <n v="18.372791201516879"/>
    <n v="18.372791201516879"/>
    <n v="0.69202235574271342"/>
    <n v="63.195728534900717"/>
    <n v="0.43565444378975637"/>
    <n v="0.8"/>
    <s v="identity"/>
    <n v="8.4329669959542886E-2"/>
    <n v="0.38765756132712859"/>
    <n v="8.4329669959542886E-2"/>
    <n v="8.4329669959542886E-2"/>
    <n v="0.38765756132712859"/>
    <n v="0.12110636253407039"/>
    <n v="0.1206112224974786"/>
    <n v="6.5366835779636548E-2"/>
    <n v="0.77351787520378656"/>
    <n v="6.5366835779636548E-2"/>
    <n v="6.5366835779636548E-2"/>
    <n v="0.77351787520378656"/>
    <n v="0.10507346513100931"/>
    <n v="0.63594288512302022"/>
    <n v="4.5949833503344438E-2"/>
    <n v="0.81552595250393622"/>
    <n v="4.5949833503344438E-2"/>
    <n v="4.5949833503344438E-2"/>
    <n v="0.81552595250393622"/>
    <n v="7.3561141096912266E-2"/>
    <n v="0.70467528602494856"/>
    <n v="73.295518466825058"/>
    <n v="0.79138803393600088"/>
    <n v="73.295518466825058"/>
    <n v="73.295518466825058"/>
    <n v="0.79138803393600088"/>
    <n v="252.48317317084079"/>
    <n v="0.28138838151358231"/>
    <s v="[[sv,wv],[yr],[ya]]"/>
    <x v="0"/>
    <x v="0"/>
    <x v="1"/>
    <x v="0"/>
    <x v="0"/>
    <x v="0"/>
    <x v="1"/>
    <x v="0"/>
  </r>
  <r>
    <d v="2026-03-17T13:57:55"/>
    <s v="03-17_13-57-5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9.4837100555762222E-2"/>
    <n v="16.59527602869985"/>
    <n v="0.76046419446468549"/>
    <n v="0.33421512614935361"/>
    <n v="22.64330316265044"/>
    <n v="0.69496827938332784"/>
    <n v="22.64330316265044"/>
    <n v="22.64330316265044"/>
    <n v="0.69496827938332784"/>
    <n v="73.130465661043473"/>
    <n v="0.35390936639449222"/>
    <n v="0.8"/>
    <s v="identity"/>
    <n v="6.801977281957805E-2"/>
    <n v="0.50608850258399729"/>
    <n v="6.801977281957805E-2"/>
    <n v="6.801977281957805E-2"/>
    <n v="0.50608850258399729"/>
    <n v="0.1449832071676172"/>
    <n v="-5.2765541312146842E-2"/>
    <n v="7.1465104817807615E-2"/>
    <n v="0.75238867546708765"/>
    <n v="7.1465104817807615E-2"/>
    <n v="7.1465104817807615E-2"/>
    <n v="0.75238867546708765"/>
    <n v="0.124959200060065"/>
    <n v="0.56704306082909484"/>
    <n v="5.5140251430490027E-2"/>
    <n v="0.77862933147314339"/>
    <n v="5.5140251430490027E-2"/>
    <n v="5.5140251430490027E-2"/>
    <n v="0.77862933147314339"/>
    <n v="6.6513055284791053E-2"/>
    <n v="0.73297112123764729"/>
    <n v="90.378587521534101"/>
    <n v="0.74276660800908101"/>
    <n v="90.378587521534101"/>
    <n v="90.378587521534101"/>
    <n v="0.74276660800908101"/>
    <n v="292.18540718166088"/>
    <n v="0.16838882482337481"/>
    <s v="[[sv,wv],[yr],[ya]]"/>
    <x v="0"/>
    <x v="0"/>
    <x v="1"/>
    <x v="0"/>
    <x v="0"/>
    <x v="0"/>
    <x v="1"/>
    <x v="0"/>
  </r>
  <r>
    <d v="2026-03-17T14:00:55"/>
    <s v="03-17_14-00-5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"/>
    <s v="false"/>
    <s v="spsa"/>
    <n v="4000"/>
    <n v="4000"/>
    <m/>
    <n v="256"/>
    <s v="[0.1, 0.001]"/>
    <n v="0.15"/>
    <s v="[1.0, 1.0, 1.0, 1.0]"/>
    <n v="180"/>
    <n v="60"/>
    <n v="120"/>
    <n v="9.8109991944057978E-2"/>
    <n v="14.64468586782052"/>
    <n v="0.82127961890594259"/>
    <n v="0.42961005032723659"/>
    <n v="21.43400934262624"/>
    <n v="0.7742504539125854"/>
    <n v="21.43400934262624"/>
    <n v="21.43400934262624"/>
    <n v="0.7742504539125854"/>
    <n v="48.870192682782253"/>
    <n v="0.41837414595374811"/>
    <n v="0.8"/>
    <s v="identity"/>
    <n v="5.1034760971071888E-2"/>
    <n v="0.62942164952020119"/>
    <n v="5.1034760971071888E-2"/>
    <n v="5.1034760971071888E-2"/>
    <n v="0.62942164952020119"/>
    <n v="0.15210319808681849"/>
    <n v="-0.1044658812385815"/>
    <n v="4.0114440070692398E-2"/>
    <n v="0.86101203287782435"/>
    <n v="4.0114440070692398E-2"/>
    <n v="4.0114440070692398E-2"/>
    <n v="0.86101203287782435"/>
    <n v="0.107903839309941"/>
    <n v="0.62613624311003035"/>
    <n v="3.7307447461089938E-2"/>
    <n v="0.85022239886042061"/>
    <n v="3.7307447461089938E-2"/>
    <n v="3.7307447461089938E-2"/>
    <n v="0.85022239886042061"/>
    <n v="7.2919471326516147E-2"/>
    <n v="0.70725138719171832"/>
    <n v="85.607580722002112"/>
    <n v="0.75634573439189756"/>
    <n v="85.607580722002112"/>
    <n v="85.607580722002112"/>
    <n v="0.75634573439189756"/>
    <n v="195.14784422240581"/>
    <n v="0.44457483475182302"/>
    <s v="[[sv,wv],[yr],[ya]]"/>
    <x v="0"/>
    <x v="0"/>
    <x v="1"/>
    <x v="0"/>
    <x v="0"/>
    <x v="0"/>
    <x v="1"/>
    <x v="0"/>
  </r>
  <r>
    <d v="2026-03-17T14:27:02"/>
    <s v="03-17_14-27-02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188439622854412"/>
    <n v="47.133150875013882"/>
    <n v="0.68945703095337385"/>
    <n v="-7.99734247743282E-2"/>
    <n v="48.743973270098543"/>
    <n v="0.63462657161404157"/>
    <n v="48.743973270098543"/>
    <n v="48.743973270098543"/>
    <n v="0.63462657161404157"/>
    <n v="110.3823621750383"/>
    <n v="-0.1110121327328599"/>
    <n v="0.8"/>
    <s v="identity"/>
    <n v="6.3674936844849817E-2"/>
    <n v="0.5376376294532843"/>
    <n v="6.3674936844849817E-2"/>
    <n v="6.3674936844849817E-2"/>
    <n v="0.5376376294532843"/>
    <n v="0.1389601740027345"/>
    <n v="-9.0305330029567532E-3"/>
    <n v="5.6257213045608052E-2"/>
    <n v="0.80508077232565389"/>
    <n v="5.6257213045608052E-2"/>
    <n v="5.6257213045608052E-2"/>
    <n v="0.80508077232565389"/>
    <n v="0.32998355372593119"/>
    <n v="-0.14332253510940671"/>
    <n v="6.2220291828634797E-2"/>
    <n v="0.75020520870485641"/>
    <n v="6.2220291828634797E-2"/>
    <n v="6.2220291828634797E-2"/>
    <n v="0.75020520870485641"/>
    <n v="0.25832539579337049"/>
    <n v="-3.7094755295624449E-2"/>
    <n v="194.79374063867431"/>
    <n v="0.44558267597237411"/>
    <n v="194.79374063867431"/>
    <n v="194.79374063867431"/>
    <n v="0.44558267597237411"/>
    <n v="440.80217957663092"/>
    <n v="-0.25460070752345237"/>
    <s v="[[sv,wv],[yr],[ya]]"/>
    <x v="0"/>
    <x v="0"/>
    <x v="1"/>
    <x v="1"/>
    <x v="0"/>
    <x v="0"/>
    <x v="1"/>
    <x v="1"/>
  </r>
  <r>
    <d v="2026-03-17T14:42:10"/>
    <s v="03-17_14-42-1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2260891456860359"/>
    <n v="44.835674862690198"/>
    <n v="0.68276840034383945"/>
    <n v="0.21887226831056811"/>
    <n v="49.248626005917487"/>
    <n v="0.62370792019273125"/>
    <n v="49.248626005917487"/>
    <n v="49.248626005917487"/>
    <n v="0.62370792019273125"/>
    <n v="107.6824574393833"/>
    <n v="0.25014941883668562"/>
    <n v="0.8"/>
    <s v="identity"/>
    <n v="6.946556780077838E-2"/>
    <n v="0.49559016166752112"/>
    <n v="6.946556780077838E-2"/>
    <n v="6.946556780077838E-2"/>
    <n v="0.49559016166752112"/>
    <n v="0.16814389268319749"/>
    <n v="-0.2209420639612909"/>
    <n v="8.0603455752614142E-2"/>
    <n v="0.72072624126535123"/>
    <n v="8.0603455752614142E-2"/>
    <n v="8.0603455752614142E-2"/>
    <n v="0.72072624126535123"/>
    <n v="8.7495280394422933E-2"/>
    <n v="0.69684754085124911"/>
    <n v="4.018875630163557E-2"/>
    <n v="0.83865485522910466"/>
    <n v="4.018875630163557E-2"/>
    <n v="4.018875630163557E-2"/>
    <n v="0.83865485522910466"/>
    <n v="6.2341101788303821E-2"/>
    <n v="0.74972019492920572"/>
    <n v="196.80424624381439"/>
    <n v="0.43986042260894648"/>
    <n v="196.80424624381439"/>
    <n v="196.80424624381439"/>
    <n v="0.43986042260894648"/>
    <n v="430.41184948266738"/>
    <n v="-0.22502799647241159"/>
    <s v="[[sv,wv],[yr],[ya]]"/>
    <x v="0"/>
    <x v="0"/>
    <x v="1"/>
    <x v="1"/>
    <x v="0"/>
    <x v="0"/>
    <x v="1"/>
    <x v="1"/>
  </r>
  <r>
    <d v="2026-03-17T18:05:48"/>
    <s v="03-17_18-05-48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0.10464980956553099"/>
    <n v="13.87841134638704"/>
    <n v="0.71491215272901765"/>
    <n v="0.27065102244466832"/>
    <n v="20.022552734247729"/>
    <n v="0.68910008432534542"/>
    <n v="20.022552734247729"/>
    <n v="20.022552734247729"/>
    <n v="0.68910008432534542"/>
    <n v="73.223605777030002"/>
    <n v="0.24774709992878671"/>
    <n v="0.8"/>
    <s v="identity"/>
    <n v="8.9767846601907134E-2"/>
    <n v="0.34816936756665551"/>
    <n v="8.9767846601907134E-2"/>
    <n v="8.9767846601907134E-2"/>
    <n v="0.34816936756665551"/>
    <n v="0.14476314906833559"/>
    <n v="-5.1167634985364467E-2"/>
    <n v="4.0899854047184298E-2"/>
    <n v="0.85829074119957638"/>
    <n v="4.0899854047184298E-2"/>
    <n v="4.0899854047184298E-2"/>
    <n v="0.85829074119957638"/>
    <n v="0.1648317042805405"/>
    <n v="0.42889334975477539"/>
    <n v="5.5456088379734383E-2"/>
    <n v="0.77736134602175599"/>
    <n v="5.5456088379734383E-2"/>
    <n v="5.5456088379734383E-2"/>
    <n v="0.77736134602175599"/>
    <n v="0.13808867235556749"/>
    <n v="0.44561765820249932"/>
    <n v="79.904087147961988"/>
    <n v="0.77257888251339457"/>
    <n v="79.904087147961988"/>
    <n v="79.904087147961988"/>
    <n v="0.77257888251339457"/>
    <n v="292.44673958241458"/>
    <n v="0.16764502674324899"/>
    <s v="[[sv,wv],[yr],[ya]]"/>
    <x v="1"/>
    <x v="0"/>
    <x v="2"/>
    <x v="0"/>
    <x v="0"/>
    <x v="0"/>
    <x v="2"/>
    <x v="0"/>
  </r>
  <r>
    <d v="2026-03-17T18:10:30"/>
    <s v="03-17_18-10-30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0.12584284949750141"/>
    <n v="28.088381771933228"/>
    <n v="0.61670652885612565"/>
    <n v="-0.1461266933487817"/>
    <n v="30.719344349788699"/>
    <n v="0.55668120706656266"/>
    <n v="30.719344349788699"/>
    <n v="30.719344349788699"/>
    <n v="0.55668120706656266"/>
    <n v="133.52758560545649"/>
    <n v="-0.179183475075986"/>
    <n v="0.8"/>
    <s v="identity"/>
    <n v="0.1126100643019164"/>
    <n v="0.18230533302423771"/>
    <n v="0.1126100643019164"/>
    <n v="0.1126100643019164"/>
    <n v="0.18230533302423771"/>
    <n v="0.13660578467584569"/>
    <n v="8.0653776380322784E-3"/>
    <n v="6.7890566146491874E-2"/>
    <n v="0.76477368850603944"/>
    <n v="6.7890566146491874E-2"/>
    <n v="6.7890566146491874E-2"/>
    <n v="0.76477368850603944"/>
    <n v="0.25268818860598319"/>
    <n v="0.1244893961317028"/>
    <n v="9.2510539372838763E-2"/>
    <n v="0.62859944567787385"/>
    <n v="9.2510539372838763E-2"/>
    <n v="9.2510539372838763E-2"/>
    <n v="0.62859944567787385"/>
    <n v="0.33157486533359809"/>
    <n v="-0.33116820655289381"/>
    <n v="122.60436622933329"/>
    <n v="0.65104636105810054"/>
    <n v="122.60436622933329"/>
    <n v="122.60436622933329"/>
    <n v="0.65104636105810054"/>
    <n v="533.38947358321047"/>
    <n v="-0.51812046752078911"/>
    <s v="[[sv,wv],[yr],[ya]]"/>
    <x v="1"/>
    <x v="0"/>
    <x v="2"/>
    <x v="0"/>
    <x v="0"/>
    <x v="0"/>
    <x v="2"/>
    <x v="0"/>
  </r>
  <r>
    <d v="2026-03-17T18:12:00"/>
    <s v="03-17_18-12-00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9.9142794740414084E-2"/>
    <n v="14.756045580590991"/>
    <n v="0.76243865738513317"/>
    <n v="0.39088575011381221"/>
    <n v="20.86177298737179"/>
    <n v="0.69282791662229881"/>
    <n v="20.86177298737179"/>
    <n v="20.86177298737179"/>
    <n v="0.69282791662229881"/>
    <n v="71.324646148427377"/>
    <n v="0.28279421901747942"/>
    <n v="0.8"/>
    <s v="identity"/>
    <n v="7.0561402145381702E-2"/>
    <n v="0.48763298745733141"/>
    <n v="7.0561402145381702E-2"/>
    <n v="7.0561402145381702E-2"/>
    <n v="0.48763298745733141"/>
    <n v="0.14258313046731069"/>
    <n v="-3.5337881268265869E-2"/>
    <n v="6.8083580170816047E-2"/>
    <n v="0.76410493613607966"/>
    <n v="6.8083580170816047E-2"/>
    <n v="6.8083580170816047E-2"/>
    <n v="0.76410493613607966"/>
    <n v="0.14451463467585829"/>
    <n v="0.49928765657441909"/>
    <n v="6.0649448072043588E-2"/>
    <n v="0.75651164952669769"/>
    <n v="6.0649448072043588E-2"/>
    <n v="6.0649448072043588E-2"/>
    <n v="0.75651164952669769"/>
    <n v="0.1300102417319641"/>
    <n v="0.47805000193327291"/>
    <n v="83.247797519098839"/>
    <n v="0.76306209336908748"/>
    <n v="83.247797519098839"/>
    <n v="83.247797519098839"/>
    <n v="0.76306209336908748"/>
    <n v="284.88147658683471"/>
    <n v="0.18917709883048661"/>
    <s v="[[sv,wv],[yr],[ya]]"/>
    <x v="1"/>
    <x v="0"/>
    <x v="2"/>
    <x v="0"/>
    <x v="0"/>
    <x v="0"/>
    <x v="2"/>
    <x v="0"/>
  </r>
  <r>
    <d v="2026-03-17T18:15:33"/>
    <s v="03-17_18-15-3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2"/>
    <s v="false"/>
    <s v="spsa"/>
    <n v="4000"/>
    <n v="4000"/>
    <m/>
    <n v="256"/>
    <s v="[0.1, 0.001]"/>
    <n v="0.15"/>
    <s v="[1.0, 1.0, 1.0, 1.0]"/>
    <n v="180"/>
    <n v="60"/>
    <n v="120"/>
    <n v="0.1068862749617711"/>
    <n v="13.151512313086791"/>
    <n v="0.78102271192977546"/>
    <n v="-4.1394762892234788E-2"/>
    <n v="19.80818191341676"/>
    <n v="0.73110898822125148"/>
    <n v="19.80818191341676"/>
    <n v="19.80818191341676"/>
    <n v="0.73110898822125148"/>
    <n v="103.87244865098749"/>
    <n v="-5.6346231633275401E-2"/>
    <n v="0.8"/>
    <s v="identity"/>
    <n v="5.4492694916343218E-2"/>
    <n v="0.60431257811232086"/>
    <n v="5.4492694916343218E-2"/>
    <n v="5.4492694916343218E-2"/>
    <n v="0.60431257811232086"/>
    <n v="0.15794771422212911"/>
    <n v="-0.14690462509796071"/>
    <n v="4.5547338850975727E-2"/>
    <n v="0.84218819897358876"/>
    <n v="4.5547338850975727E-2"/>
    <n v="4.5547338850975727E-2"/>
    <n v="0.84218819897358876"/>
    <n v="0.33709982072974021"/>
    <n v="-0.16797888037098871"/>
    <n v="7.3990844379674806E-2"/>
    <n v="0.70295016326062376"/>
    <n v="7.3990844379674806E-2"/>
    <n v="7.3990844379674806E-2"/>
    <n v="0.70295016326062376"/>
    <n v="0.18180028772755749"/>
    <n v="0.27012934855116549"/>
    <n v="79.058696775520133"/>
    <n v="0.77498501253847241"/>
    <n v="79.058696775520133"/>
    <n v="79.058696775520133"/>
    <n v="0.77498501253847241"/>
    <n v="414.81294678127148"/>
    <n v="-0.18063076961532731"/>
    <s v="[[sv,wv],[yr],[ya]]"/>
    <x v="1"/>
    <x v="0"/>
    <x v="2"/>
    <x v="0"/>
    <x v="0"/>
    <x v="0"/>
    <x v="2"/>
    <x v="0"/>
  </r>
  <r>
    <d v="2026-03-17T18:30:10"/>
    <s v="03-17_18-30-1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9.7974609199653284E-2"/>
    <n v="13.27335322087704"/>
    <n v="0.80077022844331025"/>
    <n v="-0.26898801804186129"/>
    <n v="14.495190004993139"/>
    <n v="0.73879569917984189"/>
    <n v="14.495190004993139"/>
    <n v="14.495190004993139"/>
    <n v="0.73879569917984189"/>
    <n v="85.134412927618598"/>
    <n v="-0.1876152491548094"/>
    <n v="0.8"/>
    <s v="identity"/>
    <n v="6.5510060037303003E-2"/>
    <n v="0.52431226233787831"/>
    <n v="6.5510060037303003E-2"/>
    <n v="6.5510060037303003E-2"/>
    <n v="0.52431226233787831"/>
    <n v="0.23615295855201249"/>
    <n v="-0.71477581507111054"/>
    <n v="4.5417920460173823E-2"/>
    <n v="0.84263660605627722"/>
    <n v="4.5417920460173823E-2"/>
    <n v="4.5417920460173823E-2"/>
    <n v="0.84263660605627722"/>
    <n v="0.30851477112051429"/>
    <n v="-6.893778872739631E-2"/>
    <n v="6.1582336541294962E-2"/>
    <n v="0.75276639739705331"/>
    <n v="6.1582336541294962E-2"/>
    <n v="6.1582336541294962E-2"/>
    <n v="0.75276639739705331"/>
    <n v="0.24902988247622851"/>
    <n v="2.2379048413234681E-4"/>
    <n v="57.808249702933658"/>
    <n v="0.83546753092815706"/>
    <n v="57.808249702933658"/>
    <n v="57.808249702933658"/>
    <n v="0.83546753092815706"/>
    <n v="339.74395409832567"/>
    <n v="3.3028816695143237E-2"/>
    <s v="[[sv,wv],[yr],[ya]]"/>
    <x v="0"/>
    <x v="1"/>
    <x v="1"/>
    <x v="2"/>
    <x v="0"/>
    <x v="0"/>
    <x v="1"/>
    <x v="2"/>
  </r>
  <r>
    <d v="2026-03-17T18:46:53"/>
    <s v="03-17_18-46-5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0088641000691879"/>
    <n v="20.53508202928262"/>
    <n v="0.77637569057780886"/>
    <n v="0.38130703848956288"/>
    <n v="20.546496032590259"/>
    <n v="0.72777489183021016"/>
    <n v="20.546496032590259"/>
    <n v="20.546496032590259"/>
    <n v="0.72777489183021016"/>
    <n v="58.298879740642668"/>
    <n v="0.35447782021651142"/>
    <n v="0.8"/>
    <s v="identity"/>
    <n v="6.4922162786508031E-2"/>
    <n v="0.52858115650541837"/>
    <n v="6.4922162786508031E-2"/>
    <n v="6.4922162786508031E-2"/>
    <n v="0.52858115650541837"/>
    <n v="0.1753261072134325"/>
    <n v="-0.27309422775637948"/>
    <n v="6.1156721582893453E-2"/>
    <n v="0.7881050216908454"/>
    <n v="6.1156721582893453E-2"/>
    <n v="6.1156721582893453E-2"/>
    <n v="0.7881050216908454"/>
    <n v="0.1034887357512194"/>
    <n v="0.64143363395430453"/>
    <n v="4.2880514008737783E-2"/>
    <n v="0.82784829944317939"/>
    <n v="4.2880514008737783E-2"/>
    <n v="4.2880514008737783E-2"/>
    <n v="0.82784829944317939"/>
    <n v="7.1664449363150556E-2"/>
    <n v="0.7122899034087935"/>
    <n v="82.017024731983284"/>
    <n v="0.76656508968139891"/>
    <n v="82.017024731983284"/>
    <n v="82.017024731983284"/>
    <n v="0.76656508968139891"/>
    <n v="232.84503967024261"/>
    <n v="0.33728197125933668"/>
    <s v="[[sv,wv],[yr],[ya]]"/>
    <x v="0"/>
    <x v="1"/>
    <x v="1"/>
    <x v="2"/>
    <x v="0"/>
    <x v="0"/>
    <x v="1"/>
    <x v="2"/>
  </r>
  <r>
    <d v="2026-03-17T21:25:05"/>
    <s v="03-17_21-25-0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2104053074807559"/>
    <n v="19.22292167549146"/>
    <n v="0.68062514229280635"/>
    <n v="-0.15411743404013581"/>
    <n v="25.08525882137732"/>
    <n v="0.61550138193002146"/>
    <n v="25.08525882137732"/>
    <n v="25.08525882137732"/>
    <n v="0.61550138193002146"/>
    <n v="108.4290032786995"/>
    <n v="-0.1196662048232075"/>
    <n v="0.8"/>
    <s v="identity"/>
    <n v="9.5981608534059973E-2"/>
    <n v="0.30304942180269667"/>
    <n v="9.5981608534059973E-2"/>
    <n v="9.5981608534059973E-2"/>
    <n v="0.30304942180269667"/>
    <n v="0.1497221044803404"/>
    <n v="-8.7176063000247384E-2"/>
    <n v="6.7473519818077504E-2"/>
    <n v="0.76621866496040181"/>
    <n v="6.7473519818077504E-2"/>
    <n v="6.7473519818077504E-2"/>
    <n v="0.76621866496040181"/>
    <n v="0.32217002081540891"/>
    <n v="-0.11625031240451759"/>
    <n v="8.0297246560089408E-2"/>
    <n v="0.67763195323328151"/>
    <n v="8.0297246560089408E-2"/>
    <n v="8.0297246560089408E-2"/>
    <n v="0.67763195323328151"/>
    <n v="0.25976857182486118"/>
    <n v="-4.2888650582731502E-2"/>
    <n v="100.0972829105971"/>
    <n v="0.71510548772370908"/>
    <n v="100.0972829105971"/>
    <n v="100.0972829105971"/>
    <n v="0.71510548772370908"/>
    <n v="432.98435241767771"/>
    <n v="-0.23234979330533531"/>
    <s v="[[sv,wv],[yr],[ya]]"/>
    <x v="1"/>
    <x v="0"/>
    <x v="3"/>
    <x v="0"/>
    <x v="0"/>
    <x v="0"/>
    <x v="3"/>
    <x v="0"/>
  </r>
  <r>
    <d v="2026-03-17T21:33:16"/>
    <s v="03-17_21-33-1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088651763603012"/>
    <n v="25.653104668122459"/>
    <n v="0.72114207875934022"/>
    <n v="3.6186402681334877E-2"/>
    <n v="27.356795621677868"/>
    <n v="0.63749331731812842"/>
    <n v="27.356795621677868"/>
    <n v="27.356795621677868"/>
    <n v="0.63749331731812842"/>
    <n v="103.8960368270117"/>
    <n v="-0.16645819877336351"/>
    <n v="0.8"/>
    <s v="identity"/>
    <n v="8.4907874865377708E-2"/>
    <n v="0.3834590461157994"/>
    <n v="8.4907874865377708E-2"/>
    <n v="8.4907874865377708E-2"/>
    <n v="0.3834590461157994"/>
    <n v="0.14351590653303439"/>
    <n v="-4.2111041546195382E-2"/>
    <n v="5.6708222107637568E-2"/>
    <n v="0.80351812225314401"/>
    <n v="5.6708222107637568E-2"/>
    <n v="5.6708222107637568E-2"/>
    <n v="0.80351812225314401"/>
    <n v="0.33035037018718699"/>
    <n v="-0.14459347580226109"/>
    <n v="8.1249031287716725E-2"/>
    <n v="0.67381083860318014"/>
    <n v="8.1249031287716725E-2"/>
    <n v="8.1249031287716725E-2"/>
    <n v="0.67381083860318014"/>
    <n v="0.32345558248151668"/>
    <n v="-0.29857185404641928"/>
    <n v="109.2043173584506"/>
    <n v="0.68918526230038812"/>
    <n v="109.2043173584506"/>
    <n v="109.2043173584506"/>
    <n v="0.68918526230038812"/>
    <n v="414.78682544884498"/>
    <n v="-0.18055642369858241"/>
    <s v="[[sv,wv],[yr],[ya]]"/>
    <x v="1"/>
    <x v="0"/>
    <x v="3"/>
    <x v="0"/>
    <x v="0"/>
    <x v="0"/>
    <x v="3"/>
    <x v="0"/>
  </r>
  <r>
    <d v="2026-03-17T21:37:04"/>
    <s v="03-17_21-37-04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1219770528506121"/>
    <n v="13.198143170217801"/>
    <n v="0.74423646845439251"/>
    <n v="-0.1935786468334019"/>
    <n v="18.93752899419119"/>
    <n v="0.64679818901381292"/>
    <n v="18.93752899419119"/>
    <n v="18.93752899419119"/>
    <n v="0.64679818901381292"/>
    <n v="124.25157602897831"/>
    <n v="-0.17292807122499251"/>
    <n v="0.8"/>
    <s v="identity"/>
    <n v="7.0902779490955359E-2"/>
    <n v="0.48515414654171368"/>
    <n v="7.0902779490955359E-2"/>
    <n v="7.0902779490955359E-2"/>
    <n v="0.48515414654171368"/>
    <n v="0.14399283582012579"/>
    <n v="-4.5574164820272323E-2"/>
    <n v="6.695964998204075E-2"/>
    <n v="0.7679991141889162"/>
    <n v="6.695964998204075E-2"/>
    <n v="6.695964998204075E-2"/>
    <n v="0.7679991141889162"/>
    <n v="0.3283098951935941"/>
    <n v="-0.13752366575821351"/>
    <n v="0.11235617088878549"/>
    <n v="0.54892551235239884"/>
    <n v="0.11235617088878549"/>
    <n v="0.11235617088878549"/>
    <n v="0.54892551235239884"/>
    <n v="0.27303976085518211"/>
    <n v="-9.6168276837100164E-2"/>
    <n v="75.4998973764027"/>
    <n v="0.78511398297222801"/>
    <n v="75.4998973764027"/>
    <n v="75.4998973764027"/>
    <n v="0.78511398297222801"/>
    <n v="496.260961624044"/>
    <n v="-0.41244617748437767"/>
    <s v="[[sv,wv],[yr],[ya]]"/>
    <x v="1"/>
    <x v="0"/>
    <x v="3"/>
    <x v="0"/>
    <x v="0"/>
    <x v="0"/>
    <x v="3"/>
    <x v="0"/>
  </r>
  <r>
    <d v="2026-03-17T21:39:48"/>
    <s v="03-17_21-39-48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"/>
    <s v="false"/>
    <s v="spsa"/>
    <n v="4000"/>
    <n v="4000"/>
    <m/>
    <n v="256"/>
    <s v="[0.1, 0.001]"/>
    <n v="0.15"/>
    <s v="[1.0, 1.0, 1.0, 1.0]"/>
    <n v="180"/>
    <n v="60"/>
    <n v="120"/>
    <n v="0.10977298165853509"/>
    <n v="14.932098187079911"/>
    <n v="0.77301446777891958"/>
    <n v="-0.31461314114221878"/>
    <n v="22.073637775994669"/>
    <n v="0.70672101196724424"/>
    <n v="22.073637775994669"/>
    <n v="22.073637775994669"/>
    <n v="0.70672101196724424"/>
    <n v="105.6815509618859"/>
    <n v="-0.24610878505305051"/>
    <n v="0.8"/>
    <s v="identity"/>
    <n v="5.7160964954197459E-2"/>
    <n v="0.584937487674978"/>
    <n v="5.7160964954197459E-2"/>
    <n v="5.7160964954197459E-2"/>
    <n v="0.584937487674978"/>
    <n v="0.1700337308963564"/>
    <n v="-0.2346647328712734"/>
    <n v="4.7910770847700748E-2"/>
    <n v="0.83399941189149485"/>
    <n v="4.7910770847700748E-2"/>
    <n v="4.7910770847700748E-2"/>
    <n v="0.83399941189149485"/>
    <n v="0.39890931253704742"/>
    <n v="-0.38213556808775961"/>
    <n v="8.5010932160552485E-2"/>
    <n v="0.65870799649515654"/>
    <n v="8.5010932160552485E-2"/>
    <n v="8.5010932160552485E-2"/>
    <n v="0.65870799649515654"/>
    <n v="0.29066502592261573"/>
    <n v="-0.166928141177932"/>
    <n v="88.104468436016674"/>
    <n v="0.74923915180735134"/>
    <n v="88.104468436016674"/>
    <n v="88.104468436016674"/>
    <n v="0.74923915180735134"/>
    <n v="421.86659577818722"/>
    <n v="-0.20070669807523661"/>
    <s v="[[sv,wv],[yr],[ya]]"/>
    <x v="1"/>
    <x v="0"/>
    <x v="3"/>
    <x v="0"/>
    <x v="0"/>
    <x v="0"/>
    <x v="3"/>
    <x v="0"/>
  </r>
  <r>
    <d v="2026-03-17T21:53:31"/>
    <s v="03-17_21-53-3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9.9872913680338349E-2"/>
    <n v="12.415636524496341"/>
    <n v="0.79427977718134013"/>
    <n v="-0.35997051353612852"/>
    <n v="16.143050927421999"/>
    <n v="0.72189621068007737"/>
    <n v="16.143050927421999"/>
    <n v="16.143050927421999"/>
    <n v="0.72189621068007737"/>
    <n v="158.63044089266549"/>
    <n v="-0.34678408094332253"/>
    <n v="0.8"/>
    <s v="identity"/>
    <n v="6.4319094894144585E-2"/>
    <n v="0.53296020914575604"/>
    <n v="6.4319094894144585E-2"/>
    <n v="6.4319094894144585E-2"/>
    <n v="0.53296020914575604"/>
    <n v="0.22115089188274609"/>
    <n v="-0.60584141400208247"/>
    <n v="4.6150624341505027E-2"/>
    <n v="0.84009794359983281"/>
    <n v="4.6150624341505027E-2"/>
    <n v="4.6150624341505027E-2"/>
    <n v="0.84009794359983281"/>
    <n v="0.2867236446451385"/>
    <n v="6.5638103171701268E-3"/>
    <n v="7.5278186156624391E-2"/>
    <n v="0.69778189321482742"/>
    <n v="7.5278186156624391E-2"/>
    <n v="7.5278186156624391E-2"/>
    <n v="0.69778189321482742"/>
    <n v="0.24511048187060711"/>
    <n v="1.595894420182464E-2"/>
    <n v="64.386455804296006"/>
    <n v="0.81674479675989387"/>
    <n v="64.386455804296006"/>
    <n v="64.386455804296006"/>
    <n v="0.81674479675989387"/>
    <n v="633.76877855226223"/>
    <n v="-0.80381766429018819"/>
    <s v="[[sv,wv],[yr],[ya]]"/>
    <x v="0"/>
    <x v="1"/>
    <x v="1"/>
    <x v="3"/>
    <x v="0"/>
    <x v="0"/>
    <x v="1"/>
    <x v="3"/>
  </r>
  <r>
    <d v="2026-03-17T22:10:49"/>
    <s v="03-17_22-10-4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9.9169835223282848E-2"/>
    <n v="14.94166110474074"/>
    <n v="0.7754798966083476"/>
    <n v="0.20662630994191969"/>
    <n v="18.624451960067269"/>
    <n v="0.71475699819233862"/>
    <n v="18.624451960067269"/>
    <n v="18.624451960067269"/>
    <n v="0.71475699819233862"/>
    <n v="86.739255657742049"/>
    <n v="0.2320902123344892"/>
    <n v="0.8"/>
    <s v="identity"/>
    <n v="6.6603237401229129E-2"/>
    <n v="0.5163743812427708"/>
    <n v="6.6603237401229129E-2"/>
    <n v="6.6603237401229129E-2"/>
    <n v="0.5163743812427708"/>
    <n v="0.16010777465921491"/>
    <n v="-0.16258945673978359"/>
    <n v="7.5880952873564833E-2"/>
    <n v="0.73708870509959601"/>
    <n v="7.5880952873564833E-2"/>
    <n v="7.5880952873564833E-2"/>
    <n v="0.73708870509959601"/>
    <n v="0.19652395313640081"/>
    <n v="0.31908647636345799"/>
    <n v="4.5566834185476413E-2"/>
    <n v="0.81706357362176263"/>
    <n v="4.5566834185476413E-2"/>
    <n v="4.5566834185476413E-2"/>
    <n v="0.81706357362176263"/>
    <n v="6.0234333486844843E-2"/>
    <n v="0.75817820328473673"/>
    <n v="74.309756815808825"/>
    <n v="0.78850133280522461"/>
    <n v="74.309756815808825"/>
    <n v="74.309756815808825"/>
    <n v="0.78850133280522461"/>
    <n v="346.54015656968431"/>
    <n v="1.3685626429549401E-2"/>
    <s v="[[sv,wv],[yr],[ya]]"/>
    <x v="0"/>
    <x v="1"/>
    <x v="1"/>
    <x v="3"/>
    <x v="0"/>
    <x v="0"/>
    <x v="1"/>
    <x v="3"/>
  </r>
  <r>
    <d v="2026-03-18T00:44:17"/>
    <s v="03-18_00-44-17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189193909846674"/>
    <n v="29.25487856418502"/>
    <n v="0.61805563271200281"/>
    <n v="-0.61370103321935709"/>
    <n v="34.286183483065088"/>
    <n v="0.57154636700120887"/>
    <n v="34.286183483065088"/>
    <n v="34.286183483065088"/>
    <n v="0.57154636700120887"/>
    <n v="127.7769782200247"/>
    <n v="-0.61804782283080117"/>
    <n v="0.8"/>
    <s v="identity"/>
    <n v="0.1029961746519211"/>
    <n v="0.25211460224388799"/>
    <n v="0.1029961746519211"/>
    <n v="0.1029961746519211"/>
    <n v="0.25211460224388799"/>
    <n v="0.15264094999722291"/>
    <n v="-0.1083706553990398"/>
    <n v="8.1456208350252635E-2"/>
    <n v="0.71777163564714841"/>
    <n v="8.1456208350252635E-2"/>
    <n v="8.1456208350252635E-2"/>
    <n v="0.71777163564714841"/>
    <n v="0.52422673290039912"/>
    <n v="-0.81633366410014041"/>
    <n v="7.3255126532454112E-2"/>
    <n v="0.70590383770825826"/>
    <n v="7.3255126532454112E-2"/>
    <n v="7.3255126532454112E-2"/>
    <n v="0.70590383770825826"/>
    <n v="0.522132371314312"/>
    <n v="-1.0961963193633371"/>
    <n v="136.88702642272551"/>
    <n v="0.61039539240554697"/>
    <n v="136.88702642272551"/>
    <n v="136.88702642272551"/>
    <n v="0.61039539240554697"/>
    <n v="509.90891282588859"/>
    <n v="-0.45129065246071592"/>
    <s v="[[sv,wv],[yr],[ya]]"/>
    <x v="0"/>
    <x v="0"/>
    <x v="0"/>
    <x v="1"/>
    <x v="0"/>
    <x v="0"/>
    <x v="0"/>
    <x v="1"/>
  </r>
  <r>
    <d v="2026-03-18T00:56:21"/>
    <s v="03-18_00-56-2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3386915217819631"/>
    <n v="31.592980653441749"/>
    <n v="0.57729791713802925"/>
    <n v="-0.51505226675872229"/>
    <n v="36.983081655024371"/>
    <n v="0.51629317103225614"/>
    <n v="36.983081655024371"/>
    <n v="36.983081655024371"/>
    <n v="0.51629317103225614"/>
    <n v="117.7163105883559"/>
    <n v="-0.53290986352008951"/>
    <n v="0.8"/>
    <s v="identity"/>
    <n v="0.1209804605908138"/>
    <n v="0.1215254333915131"/>
    <n v="0.1209804605908138"/>
    <n v="0.1209804605908138"/>
    <n v="0.1215254333915131"/>
    <n v="0.14403123680091021"/>
    <n v="-4.5853005591642633E-2"/>
    <n v="6.4467885720580959E-2"/>
    <n v="0.77663254515885294"/>
    <n v="6.4467885720580959E-2"/>
    <n v="6.4467885720580959E-2"/>
    <n v="0.77663254515885294"/>
    <n v="0.64388834884292945"/>
    <n v="-1.2309356057724561"/>
    <n v="0.1028136438340506"/>
    <n v="0.58723574015767532"/>
    <n v="0.1028136438340506"/>
    <n v="0.1028136438340506"/>
    <n v="0.58723574015767532"/>
    <n v="0.37811299904605761"/>
    <n v="-0.51800409330807784"/>
    <n v="147.6440646299522"/>
    <n v="0.5797789654209855"/>
    <n v="147.6440646299522"/>
    <n v="147.6440646299522"/>
    <n v="0.5797789654209855"/>
    <n v="469.69920976873402"/>
    <n v="-0.33684674940818099"/>
    <s v="[[sv,wv],[yr],[ya]]"/>
    <x v="0"/>
    <x v="0"/>
    <x v="0"/>
    <x v="1"/>
    <x v="0"/>
    <x v="0"/>
    <x v="0"/>
    <x v="1"/>
  </r>
  <r>
    <d v="2026-03-18T01:02:34"/>
    <s v="03-18_01-02-3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3476593224384781"/>
    <n v="42.598104371959771"/>
    <n v="0.6430127861991497"/>
    <n v="-0.41091136315531729"/>
    <n v="51.578222741615562"/>
    <n v="0.57146104642728401"/>
    <n v="51.578222741615562"/>
    <n v="51.578222741615562"/>
    <n v="0.57146104642728401"/>
    <n v="100.8391734848674"/>
    <n v="-0.33077252756434727"/>
    <n v="0.8"/>
    <s v="identity"/>
    <n v="6.6310455219050934E-2"/>
    <n v="0.51850035844060605"/>
    <n v="6.6310455219050934E-2"/>
    <n v="6.6310455219050934E-2"/>
    <n v="0.51850035844060605"/>
    <n v="0.17810507352033139"/>
    <n v="-0.29327311623267233"/>
    <n v="6.8660743249991898E-2"/>
    <n v="0.76210518933838634"/>
    <n v="6.8660743249991898E-2"/>
    <n v="6.8660743249991898E-2"/>
    <n v="0.76210518933838634"/>
    <n v="0.40332120241571617"/>
    <n v="-0.39742182421703548"/>
    <n v="0.10168474052673331"/>
    <n v="0.59176792986228777"/>
    <n v="0.10168474052673331"/>
    <n v="0.10168474052673331"/>
    <n v="0.59176792986228777"/>
    <n v="0.37041025437307779"/>
    <n v="-0.48708000983887662"/>
    <n v="206.0762350274658"/>
    <n v="0.41347070806785408"/>
    <n v="206.0762350274658"/>
    <n v="206.0762350274658"/>
    <n v="0.41347070806785408"/>
    <n v="402.40485740915989"/>
    <n v="-0.14531515996880301"/>
    <s v="[[sv,wv],[yr],[ya]]"/>
    <x v="0"/>
    <x v="0"/>
    <x v="0"/>
    <x v="1"/>
    <x v="0"/>
    <x v="0"/>
    <x v="0"/>
    <x v="1"/>
  </r>
  <r>
    <d v="2026-03-18T01:04:48"/>
    <s v="03-18_01-04-48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4"/>
    <s v="false"/>
    <s v="spsa"/>
    <n v="4000"/>
    <n v="4000"/>
    <m/>
    <n v="256"/>
    <s v="[0.1, 0.001]"/>
    <n v="0.15"/>
    <s v="[1.0, 1.0, 1.0, 1.0]"/>
    <n v="180"/>
    <n v="60"/>
    <n v="120"/>
    <n v="0.12694296262520691"/>
    <n v="46.394915713869267"/>
    <n v="0.6864189130906645"/>
    <n v="-0.25485623862511542"/>
    <n v="49.391364461860583"/>
    <n v="0.63431696910122393"/>
    <n v="49.391364461860583"/>
    <n v="49.391364461860583"/>
    <n v="0.63431696910122393"/>
    <n v="113.7389234448225"/>
    <n v="-0.22540115878776701"/>
    <n v="0.8"/>
    <s v="identity"/>
    <n v="5.6691294248620697E-2"/>
    <n v="0.58834790426221295"/>
    <n v="5.6691294248620697E-2"/>
    <n v="5.6691294248620697E-2"/>
    <n v="0.58834790426221295"/>
    <n v="6.4265699862104939E-2"/>
    <n v="0.53334792611592619"/>
    <n v="5.269968745506786E-2"/>
    <n v="0.81740683867340647"/>
    <n v="5.269968745506786E-2"/>
    <n v="5.269968745506786E-2"/>
    <n v="0.81740683867340647"/>
    <n v="0.47203423495087321"/>
    <n v="-0.63549780608369555"/>
    <n v="7.6396935588824419E-2"/>
    <n v="0.69329046810712081"/>
    <n v="7.6396935588824419E-2"/>
    <n v="7.6396935588824419E-2"/>
    <n v="0.69329046810712081"/>
    <n v="0.37541327315130218"/>
    <n v="-0.50716554776907774"/>
    <n v="197.3796699301501"/>
    <n v="0.43822266536215643"/>
    <n v="197.3796699301501"/>
    <n v="197.3796699301501"/>
    <n v="0.43822266536215643"/>
    <n v="454.04398057132528"/>
    <n v="-0.29228920741423031"/>
    <s v="[[sv,wv],[yr],[ya]]"/>
    <x v="0"/>
    <x v="0"/>
    <x v="0"/>
    <x v="1"/>
    <x v="0"/>
    <x v="0"/>
    <x v="0"/>
    <x v="1"/>
  </r>
  <r>
    <d v="2026-03-18T01:17:13"/>
    <s v="03-18_01-17-1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1148835316086381"/>
    <n v="37.848325641467021"/>
    <n v="0.725933265274742"/>
    <n v="-7.4746100009083688E-2"/>
    <n v="41.896744075085572"/>
    <n v="0.65724243249898073"/>
    <n v="41.896744075085572"/>
    <n v="41.896744075085572"/>
    <n v="0.65724243249898073"/>
    <n v="123.9068751952377"/>
    <n v="-3.9875248476215763E-3"/>
    <n v="0.8"/>
    <s v="identity"/>
    <n v="6.5570710214905917E-2"/>
    <n v="0.52387186363031635"/>
    <n v="6.5570710214905917E-2"/>
    <n v="6.5570710214905917E-2"/>
    <n v="0.52387186363031635"/>
    <n v="0.1784585180984781"/>
    <n v="-0.29583958085920142"/>
    <n v="4.3340823206808619E-2"/>
    <n v="0.84983330440857952"/>
    <n v="4.3340823206808619E-2"/>
    <n v="4.3340823206808619E-2"/>
    <n v="0.84983330440857952"/>
    <n v="0.19693554489425649"/>
    <n v="0.31766039883108321"/>
    <n v="6.6818095520100693E-2"/>
    <n v="0.73174648117768659"/>
    <n v="6.6818095520100693E-2"/>
    <n v="6.6818095520100693E-2"/>
    <n v="0.73174648117768659"/>
    <n v="0.1565856332329735"/>
    <n v="0.37135821090367371"/>
    <n v="167.41124667139979"/>
    <n v="0.5235180807793437"/>
    <n v="167.41124667139979"/>
    <n v="167.41124667139979"/>
    <n v="0.5235180807793437"/>
    <n v="495.0955210847244"/>
    <n v="-0.40912912826603831"/>
    <s v="[[sv,wv],[yr],[ya]]"/>
    <x v="1"/>
    <x v="0"/>
    <x v="2"/>
    <x v="1"/>
    <x v="0"/>
    <x v="0"/>
    <x v="2"/>
    <x v="1"/>
  </r>
  <r>
    <d v="2026-03-18T01:37:04"/>
    <s v="03-18_01-37-04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1557750855768011"/>
    <n v="45.07702980211468"/>
    <n v="0.69497794175569394"/>
    <n v="-2.0726689829899392E-3"/>
    <n v="49.248282667884958"/>
    <n v="0.63184466441352705"/>
    <n v="49.248282667884958"/>
    <n v="49.248282667884958"/>
    <n v="0.63184466441352705"/>
    <n v="92.726273431421546"/>
    <n v="-2.9233468064278349E-3"/>
    <n v="0.8"/>
    <s v="identity"/>
    <n v="6.4488599786496459E-2"/>
    <n v="0.53172938446448403"/>
    <n v="6.4488599786496459E-2"/>
    <n v="6.4488599786496459E-2"/>
    <n v="0.53172938446448403"/>
    <n v="0.22858752280457589"/>
    <n v="-0.65984096974999407"/>
    <n v="6.5771268702588259E-2"/>
    <n v="0.77211660150535577"/>
    <n v="6.5771268702588259E-2"/>
    <n v="6.5771268702588259E-2"/>
    <n v="0.77211660150535577"/>
    <n v="0.19448094226214371"/>
    <n v="0.32616507269238793"/>
    <n v="5.388077007589142E-2"/>
    <n v="0.78368575073550528"/>
    <n v="5.388077007589142E-2"/>
    <n v="5.388077007589142E-2"/>
    <n v="0.78368575073550528"/>
    <n v="0.1554301076373458"/>
    <n v="0.37599728067517207"/>
    <n v="196.80899003297461"/>
    <n v="0.4398469209487631"/>
    <n v="196.80899003297461"/>
    <n v="196.80899003297461"/>
    <n v="0.4398469209487631"/>
    <n v="370.32659515298252"/>
    <n v="-5.4014770843284772E-2"/>
    <s v="[[sv,wv],[yr],[ya]]"/>
    <x v="1"/>
    <x v="0"/>
    <x v="2"/>
    <x v="1"/>
    <x v="0"/>
    <x v="0"/>
    <x v="2"/>
    <x v="1"/>
  </r>
  <r>
    <d v="2026-03-18T04:06:08"/>
    <s v="03-18_04-06-0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100771552916921"/>
    <n v="14.36825736943131"/>
    <n v="0.67061598229419528"/>
    <n v="-0.86042895811089481"/>
    <n v="18.84423292857819"/>
    <n v="0.61524606651762193"/>
    <n v="18.84423292857819"/>
    <n v="18.84423292857819"/>
    <n v="0.61524606651762193"/>
    <n v="215.04433917603731"/>
    <n v="-0.84112015500224091"/>
    <n v="0.8"/>
    <s v="identity"/>
    <n v="0.1044822238581143"/>
    <n v="0.24132396360691999"/>
    <n v="0.1044822238581143"/>
    <n v="0.1044822238581143"/>
    <n v="0.24132396360691999"/>
    <n v="0.1680901469033852"/>
    <n v="-0.22055180010878869"/>
    <n v="8.6348802568492908E-2"/>
    <n v="0.70081984165105715"/>
    <n v="8.6348802568492908E-2"/>
    <n v="8.6348802568492908E-2"/>
    <n v="0.70081984165105715"/>
    <n v="0.71554376216678273"/>
    <n v="-1.4792063086323439"/>
    <n v="6.65945820084691E-2"/>
    <n v="0.73264381722913796"/>
    <n v="6.65945820084691E-2"/>
    <n v="6.65945820084691E-2"/>
    <n v="0.73264381722913796"/>
    <n v="0.30385604939842398"/>
    <n v="-0.21988592808745011"/>
    <n v="75.119506105877591"/>
    <n v="0.78619664358337771"/>
    <n v="75.119506105877591"/>
    <n v="75.119506105877591"/>
    <n v="0.78619664358337771"/>
    <n v="858.98986674568243"/>
    <n v="-1.4448365831804131"/>
    <s v="[[sv,wv],[yr],[ya]]"/>
    <x v="0"/>
    <x v="1"/>
    <x v="0"/>
    <x v="2"/>
    <x v="0"/>
    <x v="0"/>
    <x v="0"/>
    <x v="2"/>
  </r>
  <r>
    <d v="2026-03-18T04:23:29"/>
    <s v="03-18_04-23-29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190547642211213"/>
    <n v="17.646448705424412"/>
    <n v="0.70420677833923784"/>
    <n v="-0.74174196314527552"/>
    <n v="17.86483249257865"/>
    <n v="0.66678659077850899"/>
    <n v="17.86483249257865"/>
    <n v="17.86483249257865"/>
    <n v="0.66678659077850899"/>
    <n v="130.07357823987559"/>
    <n v="-0.699494252951537"/>
    <n v="0.8"/>
    <s v="identity"/>
    <n v="6.4385296144600701E-2"/>
    <n v="0.53247950247197284"/>
    <n v="6.4385296144600701E-2"/>
    <n v="6.4385296144600701E-2"/>
    <n v="0.53247950247197284"/>
    <n v="0.18243273450781211"/>
    <n v="-0.32469753048799532"/>
    <n v="4.9653687914185098E-2"/>
    <n v="0.82796057651185828"/>
    <n v="4.9653687914185098E-2"/>
    <n v="4.9653687914185098E-2"/>
    <n v="0.82796057651185828"/>
    <n v="0.55379856751916157"/>
    <n v="-0.91879375504225091"/>
    <n v="0.1221964843628658"/>
    <n v="0.50941976626386254"/>
    <n v="0.1221964843628658"/>
    <n v="0.1221964843628658"/>
    <n v="0.50941976626386254"/>
    <n v="0.51740177090450901"/>
    <n v="-1.0772044550158979"/>
    <n v="71.223094501893144"/>
    <n v="0.79728651786634197"/>
    <n v="71.223094501893144"/>
    <n v="71.223094501893144"/>
    <n v="0.79728651786634197"/>
    <n v="519.04067988656971"/>
    <n v="-0.47728127126000031"/>
    <s v="[[sv,wv],[yr],[ya]]"/>
    <x v="0"/>
    <x v="1"/>
    <x v="0"/>
    <x v="2"/>
    <x v="0"/>
    <x v="0"/>
    <x v="0"/>
    <x v="2"/>
  </r>
  <r>
    <d v="2026-03-18T04:30:55"/>
    <s v="03-18_04-30-55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1370554739301959"/>
    <n v="16.913918508838091"/>
    <n v="0.71853473824919911"/>
    <n v="-0.31270629248624221"/>
    <n v="17.945668943127661"/>
    <n v="0.66531062017973253"/>
    <n v="17.945668943127661"/>
    <n v="17.945668943127661"/>
    <n v="0.66531062017973253"/>
    <n v="122.8891396785679"/>
    <n v="-0.22692693342653031"/>
    <n v="0.8"/>
    <s v="identity"/>
    <n v="6.9796573111948243E-2"/>
    <n v="0.49318663513228539"/>
    <n v="6.9796573111948243E-2"/>
    <n v="6.9796573111948243E-2"/>
    <n v="0.49318663513228539"/>
    <n v="0.15632397256406549"/>
    <n v="-0.13511416122978259"/>
    <n v="6.8525142230637617E-2"/>
    <n v="0.76257501790851046"/>
    <n v="6.8525142230637617E-2"/>
    <n v="6.8525142230637617E-2"/>
    <n v="0.76257501790851046"/>
    <n v="0.32070707453128933"/>
    <n v="-0.11118151598905231"/>
    <n v="9.736354204535419E-2"/>
    <n v="0.609116174961714"/>
    <n v="9.736354204535419E-2"/>
    <n v="9.736354204535419E-2"/>
    <n v="0.609116174961714"/>
    <n v="0.31499609506956538"/>
    <n v="-0.26460968783941707"/>
    <n v="71.546990515122843"/>
    <n v="0.79636465271641854"/>
    <n v="71.546990515122843"/>
    <n v="71.546990515122843"/>
    <n v="0.79636465271641854"/>
    <n v="490.76453157210813"/>
    <n v="-0.39680236864787188"/>
    <s v="[[sv,wv],[yr],[ya]]"/>
    <x v="0"/>
    <x v="1"/>
    <x v="0"/>
    <x v="2"/>
    <x v="0"/>
    <x v="0"/>
    <x v="0"/>
    <x v="2"/>
  </r>
  <r>
    <d v="2026-03-18T04:32:50"/>
    <s v="03-18_04-32-50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5"/>
    <s v="false"/>
    <s v="spsa"/>
    <n v="4000"/>
    <n v="4000"/>
    <m/>
    <n v="256"/>
    <s v="[0.1, 0.001]"/>
    <n v="0.15"/>
    <s v="[1.0, 1.0, 1.0, 1.0]"/>
    <n v="180"/>
    <n v="60"/>
    <n v="120"/>
    <n v="0.1101240742837612"/>
    <n v="16.860152111381051"/>
    <n v="0.77495232016084359"/>
    <n v="-0.33019510394287938"/>
    <n v="18.936324951764771"/>
    <n v="0.73043622079992654"/>
    <n v="18.936324951764771"/>
    <n v="18.936324951764771"/>
    <n v="0.73043622079992654"/>
    <n v="112.86897035362649"/>
    <n v="-0.29214245342922929"/>
    <n v="0.8"/>
    <s v="identity"/>
    <n v="5.3690108514104752E-2"/>
    <n v="0.61014039310351165"/>
    <n v="5.3690108514104752E-2"/>
    <n v="5.3690108514104752E-2"/>
    <n v="0.61014039310351165"/>
    <n v="0.16406535677929401"/>
    <n v="-0.19132661992114081"/>
    <n v="4.7013381463391533E-2"/>
    <n v="0.83710867444189707"/>
    <n v="4.7013381463391533E-2"/>
    <n v="4.7013381463391533E-2"/>
    <n v="0.83710867444189707"/>
    <n v="0.37564759703208128"/>
    <n v="-0.30153869214702528"/>
    <n v="7.732275470739966E-2"/>
    <n v="0.68957359718439193"/>
    <n v="7.732275470739966E-2"/>
    <n v="7.732275470739966E-2"/>
    <n v="0.68957359718439193"/>
    <n v="0.34703815091577173"/>
    <n v="-0.39324840709863618"/>
    <n v="75.567273562373785"/>
    <n v="0.78492221846990473"/>
    <n v="75.567273562373785"/>
    <n v="75.567273562373785"/>
    <n v="0.78492221846990473"/>
    <n v="450.58913030977988"/>
    <n v="-0.28245609455012038"/>
    <s v="[[sv,wv],[yr],[ya]]"/>
    <x v="0"/>
    <x v="1"/>
    <x v="0"/>
    <x v="2"/>
    <x v="0"/>
    <x v="0"/>
    <x v="0"/>
    <x v="2"/>
  </r>
  <r>
    <d v="2026-03-18T04:43:08"/>
    <s v="03-18_04-43-0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9.6896835393783062E-2"/>
    <n v="13.10958185951942"/>
    <n v="0.81120476487454107"/>
    <n v="6.6062281831614111E-2"/>
    <n v="14.41362533146442"/>
    <n v="0.74352780134248597"/>
    <n v="14.41362533146442"/>
    <n v="14.41362533146442"/>
    <n v="0.74352780134248597"/>
    <n v="74.801629157926371"/>
    <n v="2.725369669030614E-3"/>
    <n v="0.8"/>
    <s v="identity"/>
    <n v="6.2867850535646516E-2"/>
    <n v="0.54349811958723282"/>
    <n v="6.2867850535646516E-2"/>
    <n v="6.2867850535646516E-2"/>
    <n v="0.54349811958723282"/>
    <n v="0.2269594240968798"/>
    <n v="-0.64801886806799924"/>
    <n v="4.2240042788924313E-2"/>
    <n v="0.85364727344965352"/>
    <n v="4.2240042788924313E-2"/>
    <n v="4.2240042788924313E-2"/>
    <n v="0.85364727344965352"/>
    <n v="0.21185379350651029"/>
    <n v="0.26597185365916037"/>
    <n v="6.4618386901778527E-2"/>
    <n v="0.74057761550822399"/>
    <n v="6.4618386901778527E-2"/>
    <n v="6.4618386901778527E-2"/>
    <n v="0.74057761550822399"/>
    <n v="0.1886182957862314"/>
    <n v="0.24275720274452589"/>
    <n v="57.484775045631231"/>
    <n v="0.83638819682483501"/>
    <n v="57.484775045631231"/>
    <n v="57.484775045631231"/>
    <n v="0.83638819682483501"/>
    <n v="298.57908511831607"/>
    <n v="0.15019129034042589"/>
    <s v="[[sv,wv],[yr],[ya]]"/>
    <x v="1"/>
    <x v="1"/>
    <x v="2"/>
    <x v="2"/>
    <x v="0"/>
    <x v="0"/>
    <x v="2"/>
    <x v="2"/>
  </r>
  <r>
    <d v="2026-03-18T05:04:59"/>
    <s v="03-18_05-04-5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9.2570421594006788E-2"/>
    <n v="18.560132675206852"/>
    <n v="0.79073148579012054"/>
    <n v="5.5867906880678643E-2"/>
    <n v="19.61493612760999"/>
    <n v="0.73359601067954772"/>
    <n v="19.61493612760999"/>
    <n v="19.61493612760999"/>
    <n v="0.73359601067954772"/>
    <n v="102.0463192159344"/>
    <n v="4.0175248431559294E-3"/>
    <n v="0.8"/>
    <s v="identity"/>
    <n v="6.009010870910074E-2"/>
    <n v="0.5636681167529598"/>
    <n v="6.009010870910074E-2"/>
    <n v="6.009010870910074E-2"/>
    <n v="0.5636681167529598"/>
    <n v="0.19655795585238309"/>
    <n v="-0.42726490077508789"/>
    <n v="5.4048016425746422E-2"/>
    <n v="0.81273516676881807"/>
    <n v="5.4048016425746422E-2"/>
    <n v="5.4048016425746422E-2"/>
    <n v="0.81273516676881807"/>
    <n v="0.2031020834670543"/>
    <n v="0.29629465973804708"/>
    <n v="5.45968856178412E-2"/>
    <n v="0.78081077334328697"/>
    <n v="5.45968856178412E-2"/>
    <n v="5.45968856178412E-2"/>
    <n v="0.78081077334328697"/>
    <n v="0.17257177192312709"/>
    <n v="0.30717892050882573"/>
    <n v="78.29100949968759"/>
    <n v="0.77716998585312635"/>
    <n v="78.29100949968759"/>
    <n v="78.29100949968759"/>
    <n v="0.77716998585312635"/>
    <n v="407.61304505249552"/>
    <n v="-0.16013858009916501"/>
    <s v="[[sv,wv],[yr],[ya]]"/>
    <x v="1"/>
    <x v="1"/>
    <x v="2"/>
    <x v="2"/>
    <x v="0"/>
    <x v="0"/>
    <x v="2"/>
    <x v="2"/>
  </r>
  <r>
    <d v="2026-03-18T07:10:23"/>
    <s v="03-18_07-10-2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9.8403872369857107E-2"/>
    <n v="12.98577910480663"/>
    <n v="0.76054654442530278"/>
    <n v="-0.1341731146008654"/>
    <n v="16.309342793525751"/>
    <n v="0.72286987223752419"/>
    <n v="16.309342793525751"/>
    <n v="16.309342793525751"/>
    <n v="0.72286987223752419"/>
    <n v="116.3057139895202"/>
    <n v="-0.15519858617850549"/>
    <n v="0.8"/>
    <s v="identity"/>
    <n v="7.5609145336203915E-2"/>
    <n v="0.45097984536931729"/>
    <n v="7.5609145336203915E-2"/>
    <n v="7.5609145336203915E-2"/>
    <n v="0.45097984536931729"/>
    <n v="0.1520013865726218"/>
    <n v="-0.1037265980074473"/>
    <n v="3.4699984026396603E-2"/>
    <n v="0.87977196664089985"/>
    <n v="3.4699984026396603E-2"/>
    <n v="3.4699984026396603E-2"/>
    <n v="0.87977196664089985"/>
    <n v="0.31034608463772551"/>
    <n v="-7.5282898928909381E-2"/>
    <n v="6.3290006767523665E-2"/>
    <n v="0.74591064157809051"/>
    <n v="6.3290006767523665E-2"/>
    <n v="6.3290006767523665E-2"/>
    <n v="0.74591064157809051"/>
    <n v="0.27892318837073787"/>
    <n v="-0.1197883773727266"/>
    <n v="65.063772037973038"/>
    <n v="0.81481703536178895"/>
    <n v="65.063772037973038"/>
    <n v="65.063772037973038"/>
    <n v="0.81481703536178895"/>
    <n v="464.48158529849889"/>
    <n v="-0.32199647040494228"/>
    <s v="[[sv,wv],[yr],[ya]]"/>
    <x v="0"/>
    <x v="1"/>
    <x v="0"/>
    <x v="3"/>
    <x v="0"/>
    <x v="0"/>
    <x v="0"/>
    <x v="3"/>
  </r>
  <r>
    <d v="2026-03-18T07:26:44"/>
    <s v="03-18_07-26-4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141172386742306"/>
    <n v="12.092786056422019"/>
    <n v="0.73856845435978546"/>
    <n v="-0.63887747768578262"/>
    <n v="17.267211343104339"/>
    <n v="0.6794008818919306"/>
    <n v="17.267211343104339"/>
    <n v="17.267211343104339"/>
    <n v="0.6794008818919306"/>
    <n v="129.01961059112909"/>
    <n v="-0.51667347228487093"/>
    <n v="0.8"/>
    <s v="identity"/>
    <n v="6.1346160600357101E-2"/>
    <n v="0.55454755599942451"/>
    <n v="6.1346160600357101E-2"/>
    <n v="6.1346160600357101E-2"/>
    <n v="0.55454755599942451"/>
    <n v="0.25021605394176999"/>
    <n v="-0.81689207059997249"/>
    <n v="4.7821973749321518E-2"/>
    <n v="0.83430707487191602"/>
    <n v="4.7821973749321518E-2"/>
    <n v="4.7821973749321518E-2"/>
    <n v="0.83430707487191602"/>
    <n v="0.49661005201095332"/>
    <n v="-0.72064776324444746"/>
    <n v="0.1183945519015517"/>
    <n v="0.52468332253755912"/>
    <n v="0.1183945519015517"/>
    <n v="0.1183945519015517"/>
    <n v="0.52468332253755912"/>
    <n v="0.26482364432145872"/>
    <n v="-6.3183167727510758E-2"/>
    <n v="68.841282686166366"/>
    <n v="0.80406557415882363"/>
    <n v="68.841282686166366"/>
    <n v="68.841282686166366"/>
    <n v="0.80406557415882363"/>
    <n v="515.06679261424119"/>
    <n v="-0.4659708875675459"/>
    <s v="[[sv,wv],[yr],[ya]]"/>
    <x v="0"/>
    <x v="1"/>
    <x v="0"/>
    <x v="3"/>
    <x v="0"/>
    <x v="0"/>
    <x v="0"/>
    <x v="3"/>
  </r>
  <r>
    <d v="2026-03-18T07:35:33"/>
    <s v="03-18_07-35-3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248592407694329"/>
    <n v="29.252715873697351"/>
    <n v="0.67652165120710406"/>
    <n v="-0.21304031545490101"/>
    <n v="38.954704193652447"/>
    <n v="0.59908616696107675"/>
    <n v="38.954704193652447"/>
    <n v="38.954704193652447"/>
    <n v="0.59908616696107675"/>
    <n v="94.223716221735188"/>
    <n v="-0.18799027591679729"/>
    <n v="0.8"/>
    <s v="identity"/>
    <n v="6.852748743368485E-2"/>
    <n v="0.50240183803163796"/>
    <n v="6.852748743368485E-2"/>
    <n v="6.852748743368485E-2"/>
    <n v="0.50240183803163796"/>
    <n v="0.1708963423205358"/>
    <n v="-0.24092840713161959"/>
    <n v="7.0163792464834326E-2"/>
    <n v="0.75689744483323096"/>
    <n v="7.0163792464834326E-2"/>
    <n v="7.0163792464834326E-2"/>
    <n v="0.75689744483323096"/>
    <n v="0.31709167752106532"/>
    <n v="-9.8654937532389742E-2"/>
    <n v="0.10465566771920171"/>
    <n v="0.57984059689445722"/>
    <n v="0.10465566771920171"/>
    <n v="0.10465566771920171"/>
    <n v="0.57984059689445722"/>
    <n v="0.33427511141198568"/>
    <n v="-0.34200884046464219"/>
    <n v="155.57546982699131"/>
    <n v="0.5572047880849802"/>
    <n v="155.57546982699131"/>
    <n v="155.57546982699131"/>
    <n v="0.5572047880849802"/>
    <n v="376.07260175568911"/>
    <n v="-7.0368918538547875E-2"/>
    <s v="[[sv,wv],[yr],[ya]]"/>
    <x v="0"/>
    <x v="1"/>
    <x v="0"/>
    <x v="3"/>
    <x v="0"/>
    <x v="0"/>
    <x v="0"/>
    <x v="3"/>
  </r>
  <r>
    <d v="2026-03-18T07:36:09"/>
    <s v="03-18_07-36-09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6"/>
    <s v="false"/>
    <s v="spsa"/>
    <n v="4000"/>
    <n v="4000"/>
    <m/>
    <n v="256"/>
    <s v="[0.1, 0.001]"/>
    <n v="0.15"/>
    <s v="[1.0, 1.0, 1.0, 1.0]"/>
    <n v="180"/>
    <n v="60"/>
    <n v="120"/>
    <n v="0.1068871374501833"/>
    <n v="14.496623074900061"/>
    <n v="0.76404281008238328"/>
    <n v="-1.050566950436987"/>
    <n v="18.122708768780061"/>
    <n v="0.7084189023720262"/>
    <n v="18.122708768780061"/>
    <n v="18.122708768780061"/>
    <n v="0.7084189023720262"/>
    <n v="166.94990764882209"/>
    <n v="-1.0224307653671629"/>
    <n v="0.8"/>
    <s v="identity"/>
    <n v="6.8016220237668762E-2"/>
    <n v="0.50611429892199988"/>
    <n v="6.8016220237668762E-2"/>
    <n v="6.8016220237668762E-2"/>
    <n v="0.50611429892199988"/>
    <n v="0.13016630039762739"/>
    <n v="5.4824359484060843E-2"/>
    <n v="6.2329696199519689E-2"/>
    <n v="0.78404091517051278"/>
    <n v="6.2329696199519689E-2"/>
    <n v="6.2329696199519689E-2"/>
    <n v="0.78404091517051278"/>
    <n v="0.81123324025129873"/>
    <n v="-1.8107499126440469"/>
    <n v="6.2447418524724567E-2"/>
    <n v="0.74929336686066272"/>
    <n v="6.2447418524724567E-2"/>
    <n v="6.2447418524724567E-2"/>
    <n v="0.74929336686066272"/>
    <n v="0.60715355892521738"/>
    <n v="-1.437529495257529"/>
    <n v="72.298041740157871"/>
    <n v="0.79422702853493132"/>
    <n v="72.298041740157871"/>
    <n v="72.298041740157871"/>
    <n v="0.79422702853493132"/>
    <n v="666.25107749571566"/>
    <n v="-0.8962680130511349"/>
    <s v="[[sv,wv],[yr],[ya]]"/>
    <x v="0"/>
    <x v="1"/>
    <x v="0"/>
    <x v="3"/>
    <x v="0"/>
    <x v="0"/>
    <x v="0"/>
    <x v="3"/>
  </r>
  <r>
    <d v="2026-03-18T07:43:52"/>
    <s v="03-18_07-43-52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9.5220098706275444E-2"/>
    <n v="13.39627526354772"/>
    <n v="0.8106240134494761"/>
    <n v="-0.30522447704374561"/>
    <n v="16.018834970922669"/>
    <n v="0.74118412874880346"/>
    <n v="16.018834970922669"/>
    <n v="16.018834970922669"/>
    <n v="0.74118412874880346"/>
    <n v="120.4672011405092"/>
    <n v="-0.1423288079780245"/>
    <n v="0.8"/>
    <s v="identity"/>
    <n v="6.1876401342930931E-2"/>
    <n v="0.55069732262904436"/>
    <n v="6.1876401342930931E-2"/>
    <n v="6.1876401342930931E-2"/>
    <n v="0.55069732262904436"/>
    <n v="0.24211729557406539"/>
    <n v="-0.75808461349167677"/>
    <n v="4.1278157352615738E-2"/>
    <n v="0.85698000104503702"/>
    <n v="4.1278157352615738E-2"/>
    <n v="4.1278157352615738E-2"/>
    <n v="0.85698000104503702"/>
    <n v="0.20370023506855209"/>
    <n v="0.29422219219327889"/>
    <n v="6.5023743068301637E-2"/>
    <n v="0.73895023871456134"/>
    <n v="6.5023743068301637E-2"/>
    <n v="6.5023743068301637E-2"/>
    <n v="0.73895023871456134"/>
    <n v="0.1832671738211486"/>
    <n v="0.26424026486426289"/>
    <n v="63.907161581926808"/>
    <n v="0.81810895260656824"/>
    <n v="63.907161581926808"/>
    <n v="63.907161581926808"/>
    <n v="0.81810895260656824"/>
    <n v="481.23971985757242"/>
    <n v="-0.36969307547794822"/>
    <s v="[[sv,wv],[yr],[ya]]"/>
    <x v="1"/>
    <x v="1"/>
    <x v="2"/>
    <x v="3"/>
    <x v="0"/>
    <x v="0"/>
    <x v="2"/>
    <x v="3"/>
  </r>
  <r>
    <d v="2026-03-18T08:04:57"/>
    <s v="03-18_08-04-57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9.3166895202425895E-2"/>
    <n v="19.241436050084271"/>
    <n v="0.78180556416860503"/>
    <n v="-0.12742990430599249"/>
    <n v="25.483651328524768"/>
    <n v="0.71393424474041089"/>
    <n v="25.483651328524768"/>
    <n v="25.483651328524768"/>
    <n v="0.71393424474041089"/>
    <n v="89.025641806664112"/>
    <n v="-0.1222309152850273"/>
    <n v="0.8"/>
    <s v="identity"/>
    <n v="6.077110606984925E-2"/>
    <n v="0.5587231954125752"/>
    <n v="6.077110606984925E-2"/>
    <n v="6.077110606984925E-2"/>
    <n v="0.5587231954125752"/>
    <n v="0.19207285379672401"/>
    <n v="-0.39469726080001588"/>
    <n v="5.6807995852808851E-2"/>
    <n v="0.8031724275360026"/>
    <n v="5.6807995852808851E-2"/>
    <n v="5.6807995852808851E-2"/>
    <n v="0.8031724275360026"/>
    <n v="0.39400233554187508"/>
    <n v="-0.36513394084150153"/>
    <n v="5.3932752246830813E-2"/>
    <n v="0.78347705876124329"/>
    <n v="5.3932752246830813E-2"/>
    <n v="5.3932752246830813E-2"/>
    <n v="0.78347705876124329"/>
    <n v="0.1787783899377651"/>
    <n v="0.28226131234515489"/>
    <n v="101.76309345992981"/>
    <n v="0.71036429725182859"/>
    <n v="101.76309345992981"/>
    <n v="101.76309345992981"/>
    <n v="0.71036429725182859"/>
    <n v="355.33771364737993"/>
    <n v="-1.135377184374331E-2"/>
    <s v="[[sv,wv],[yr],[ya]]"/>
    <x v="1"/>
    <x v="1"/>
    <x v="2"/>
    <x v="3"/>
    <x v="0"/>
    <x v="0"/>
    <x v="2"/>
    <x v="3"/>
  </r>
  <r>
    <d v="2026-03-18T10:50:03"/>
    <s v="03-18_10-50-0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0506338895670871"/>
    <n v="28.51636766016107"/>
    <n v="0.67325003239320003"/>
    <n v="-2.0984689334777599E-2"/>
    <n v="33.75590423901383"/>
    <n v="0.64691471219385133"/>
    <n v="33.75590423901383"/>
    <n v="33.75590423901383"/>
    <n v="0.64691471219385133"/>
    <n v="127.677800488687"/>
    <n v="2.8571830259381981E-2"/>
    <n v="0.8"/>
    <s v="identity"/>
    <n v="9.3636136826250618E-2"/>
    <n v="0.32008057899905751"/>
    <n v="9.3636136826250618E-2"/>
    <n v="9.3636136826250618E-2"/>
    <n v="0.32008057899905751"/>
    <n v="0.15442229255664869"/>
    <n v="-0.1213055055825389"/>
    <n v="4.529441265615574E-2"/>
    <n v="0.84306453421815475"/>
    <n v="4.529441265615574E-2"/>
    <n v="4.529441265615574E-2"/>
    <n v="0.84306453421815475"/>
    <n v="0.29870325680974869"/>
    <n v="-3.4942987203549158E-2"/>
    <n v="4.7753845579069178E-2"/>
    <n v="0.80828341463235742"/>
    <n v="4.7753845579069178E-2"/>
    <n v="4.7753845579069178E-2"/>
    <n v="0.80828341463235742"/>
    <n v="6.9090473158684523E-2"/>
    <n v="0.7226236037161482"/>
    <n v="134.83693256099431"/>
    <n v="0.61623032092583618"/>
    <n v="134.83693256099431"/>
    <n v="134.83693256099431"/>
    <n v="0.61623032092583618"/>
    <n v="510.18898593222258"/>
    <n v="-0.45208778989252801"/>
    <s v="[[sv,wv],[yr],[ya]]"/>
    <x v="0"/>
    <x v="0"/>
    <x v="1"/>
    <x v="1"/>
    <x v="0"/>
    <x v="0"/>
    <x v="1"/>
    <x v="1"/>
  </r>
  <r>
    <d v="2026-03-18T11:15:26"/>
    <s v="03-18_11-15-2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0493388459747539"/>
    <n v="33.335444865236852"/>
    <n v="0.71450395995749982"/>
    <n v="0.31381984266879648"/>
    <n v="39.117178645361982"/>
    <n v="0.64358142441851984"/>
    <n v="39.117178645361982"/>
    <n v="39.117178645361982"/>
    <n v="0.64358142441851984"/>
    <n v="104.1301517261025"/>
    <n v="0.31842222187740232"/>
    <n v="0.8"/>
    <s v="identity"/>
    <n v="8.1585902699960203E-2"/>
    <n v="0.40758085920899723"/>
    <n v="8.1585902699960203E-2"/>
    <n v="8.1585902699960203E-2"/>
    <n v="0.40758085920899723"/>
    <n v="0.12939665225592131"/>
    <n v="6.0413000115981497E-2"/>
    <n v="5.6952163754003637E-2"/>
    <n v="0.80267291655003292"/>
    <n v="5.6952163754003637E-2"/>
    <n v="5.6952163754003637E-2"/>
    <n v="0.80267291655003292"/>
    <n v="8.7162794155347029E-2"/>
    <n v="0.6979995346565675"/>
    <n v="4.7605327199298442E-2"/>
    <n v="0.80887966895049046"/>
    <n v="4.7605327199298442E-2"/>
    <n v="4.7605327199298442E-2"/>
    <n v="0.80887966895049046"/>
    <n v="7.4741048370090948E-2"/>
    <n v="0.69993833153005414"/>
    <n v="156.2825711877945"/>
    <n v="0.55519225296456298"/>
    <n v="156.2825711877945"/>
    <n v="156.2825711877945"/>
    <n v="0.55519225296456298"/>
    <n v="416.22930640962812"/>
    <n v="-0.18466197879299201"/>
    <s v="[[sv,wv],[yr],[ya]]"/>
    <x v="0"/>
    <x v="0"/>
    <x v="1"/>
    <x v="1"/>
    <x v="0"/>
    <x v="0"/>
    <x v="1"/>
    <x v="1"/>
  </r>
  <r>
    <d v="2026-03-18T11:29:40"/>
    <s v="03-18_11-29-40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139754709258062"/>
    <n v="43.848403850883628"/>
    <n v="0.68607595931347998"/>
    <n v="0.22266734452310399"/>
    <n v="51.841411219050677"/>
    <n v="0.62587344289364455"/>
    <n v="51.841411219050677"/>
    <n v="51.841411219050677"/>
    <n v="0.62587344289364455"/>
    <n v="108.00031903876859"/>
    <n v="0.21912683102524691"/>
    <n v="0.8"/>
    <s v="identity"/>
    <n v="6.5159918725528745E-2"/>
    <n v="0.5268547409795572"/>
    <n v="6.5159918725528745E-2"/>
    <n v="6.5159918725528745E-2"/>
    <n v="0.5268547409795572"/>
    <n v="0.13710103095902121"/>
    <n v="4.4692492892693947E-3"/>
    <n v="7.0553455548797481E-2"/>
    <n v="0.75554734547232361"/>
    <n v="7.0553455548797481E-2"/>
    <n v="7.0553455548797481E-2"/>
    <n v="0.75554734547232361"/>
    <n v="0.14650141075852291"/>
    <n v="0.49240390178761689"/>
    <n v="4.7134361343742381E-2"/>
    <n v="0.81077044789315078"/>
    <n v="4.7134361343742381E-2"/>
    <n v="4.7134361343742381E-2"/>
    <n v="0.81077044789315078"/>
    <n v="9.7616422006916004E-2"/>
    <n v="0.60810094190245678"/>
    <n v="207.18279714058451"/>
    <n v="0.41032123722955061"/>
    <n v="207.18279714058451"/>
    <n v="207.18279714058451"/>
    <n v="0.41032123722955061"/>
    <n v="431.620057291352"/>
    <n v="-0.22846676887836209"/>
    <s v="[[sv,wv],[yr],[ya]]"/>
    <x v="0"/>
    <x v="0"/>
    <x v="1"/>
    <x v="1"/>
    <x v="0"/>
    <x v="0"/>
    <x v="1"/>
    <x v="1"/>
  </r>
  <r>
    <d v="2026-03-18T11:35:44"/>
    <s v="03-18_11-35-44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207626966963072"/>
    <n v="38.562941390203761"/>
    <n v="0.71405679062231697"/>
    <n v="-0.33937033497832819"/>
    <n v="42.713625897182951"/>
    <n v="0.626179269163742"/>
    <n v="42.713625897182951"/>
    <n v="42.713625897182951"/>
    <n v="0.626179269163742"/>
    <n v="121.8468751402722"/>
    <n v="-0.28648806527067278"/>
    <n v="0.8"/>
    <s v="identity"/>
    <n v="6.5601970370512908E-2"/>
    <n v="0.52364487448252461"/>
    <n v="6.5601970370512908E-2"/>
    <n v="6.5601970370512908E-2"/>
    <n v="0.52364487448252461"/>
    <n v="0.16189941379692749"/>
    <n v="-0.17559907339469349"/>
    <n v="4.7271036875072732E-2"/>
    <n v="0.83621595347098265"/>
    <n v="4.7271036875072732E-2"/>
    <n v="4.7271036875072732E-2"/>
    <n v="0.83621595347098265"/>
    <n v="0.3753601300077179"/>
    <n v="-0.300542680305391"/>
    <n v="9.2023410814463913E-2"/>
    <n v="0.63055511276005793"/>
    <n v="9.2023410814463913E-2"/>
    <n v="9.2023410814463913E-2"/>
    <n v="0.63055511276005793"/>
    <n v="0.32008995695377879"/>
    <n v="-0.28505993210631703"/>
    <n v="170.64960717067129"/>
    <n v="0.51430113594140281"/>
    <n v="170.64960717067129"/>
    <n v="170.64960717067129"/>
    <n v="0.51430113594140281"/>
    <n v="486.53015106033058"/>
    <n v="-0.38475057527629208"/>
    <s v="[[sv,wv],[yr],[ya]]"/>
    <x v="1"/>
    <x v="0"/>
    <x v="3"/>
    <x v="1"/>
    <x v="0"/>
    <x v="0"/>
    <x v="3"/>
    <x v="1"/>
  </r>
  <r>
    <d v="2026-03-18T11:30:47"/>
    <s v="03-18_11-30-47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7"/>
    <s v="false"/>
    <s v="spsa"/>
    <n v="4000"/>
    <n v="4000"/>
    <m/>
    <n v="256"/>
    <s v="[0.1, 0.001]"/>
    <n v="0.15"/>
    <s v="[1.0, 1.0, 1.0, 1.0]"/>
    <n v="180"/>
    <n v="60"/>
    <n v="120"/>
    <n v="0.12191443882167401"/>
    <n v="50.559038219076328"/>
    <n v="0.70061040360947091"/>
    <n v="-5.7193820744580737E-2"/>
    <n v="53.577455356441362"/>
    <n v="0.67251071062714196"/>
    <n v="53.577455356441362"/>
    <n v="53.577455356441362"/>
    <n v="0.67251071062714196"/>
    <n v="96.585109929867855"/>
    <n v="-3.1184094528426409E-3"/>
    <n v="0.8"/>
    <s v="identity"/>
    <n v="5.1008837999910052E-2"/>
    <n v="0.62960988380816296"/>
    <n v="5.1008837999910052E-2"/>
    <n v="5.1008837999910052E-2"/>
    <n v="0.62960988380816296"/>
    <n v="0.1065112365440621"/>
    <n v="0.22659070807766729"/>
    <n v="4.1854045720194653E-2"/>
    <n v="0.85498467085077179"/>
    <n v="4.1854045720194653E-2"/>
    <n v="4.1854045720194653E-2"/>
    <n v="0.85498467085077179"/>
    <n v="0.35613039317374112"/>
    <n v="-0.23391574930152231"/>
    <n v="4.6076762841653379E-2"/>
    <n v="0.81501637135861738"/>
    <n v="4.6076762841653379E-2"/>
    <n v="4.6076762841653379E-2"/>
    <n v="0.81501637135861738"/>
    <n v="0.22604912484475961"/>
    <n v="9.2484263517066179E-2"/>
    <n v="214.1708817792028"/>
    <n v="0.39043191649101677"/>
    <n v="214.1708817792028"/>
    <n v="214.1708817792028"/>
    <n v="0.39043191649101677"/>
    <n v="385.6517489649089"/>
    <n v="-9.7632860104583497E-2"/>
    <s v="[[sv,wv],[yr],[ya]]"/>
    <x v="0"/>
    <x v="0"/>
    <x v="1"/>
    <x v="1"/>
    <x v="0"/>
    <x v="0"/>
    <x v="1"/>
    <x v="1"/>
  </r>
  <r>
    <d v="2026-03-18T12:09:59"/>
    <s v="03-18_12-09-59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422675840675309"/>
    <n v="45.663314178500208"/>
    <n v="0.63255407540014696"/>
    <n v="-0.18825419635760179"/>
    <n v="49.2892792726011"/>
    <n v="0.55116922735277407"/>
    <n v="49.2892792726011"/>
    <n v="49.2892792726011"/>
    <n v="0.55116922735277407"/>
    <n v="90.039591863854028"/>
    <n v="-0.1791608078629523"/>
    <n v="0.8"/>
    <s v="identity"/>
    <n v="6.7027708479876907E-2"/>
    <n v="0.51329217238828373"/>
    <n v="6.7027708479876907E-2"/>
    <n v="6.7027708479876907E-2"/>
    <n v="0.51329217238828373"/>
    <n v="0.15077647289131599"/>
    <n v="-9.4832140918567509E-2"/>
    <n v="8.4367213412305686E-2"/>
    <n v="0.70768562484544928"/>
    <n v="8.4367213412305686E-2"/>
    <n v="8.4367213412305686E-2"/>
    <n v="0.70768562484544928"/>
    <n v="0.33071276744321881"/>
    <n v="-0.14584910489287631"/>
    <n v="0.1135608987044959"/>
    <n v="0.54408891123002467"/>
    <n v="0.1135608987044959"/>
    <n v="0.1135608987044959"/>
    <n v="0.54408891123002467"/>
    <n v="0.36199327082253641"/>
    <n v="-0.4532884831913826"/>
    <n v="196.8921612698083"/>
    <n v="0.43961020094733883"/>
    <n v="196.8921612698083"/>
    <n v="196.8921612698083"/>
    <n v="0.43961020094733883"/>
    <n v="359.31488494425889"/>
    <n v="-2.2673502448975039E-2"/>
    <s v="[[sv,wv],[yr],[ya]]"/>
    <x v="1"/>
    <x v="0"/>
    <x v="3"/>
    <x v="1"/>
    <x v="0"/>
    <x v="0"/>
    <x v="3"/>
    <x v="1"/>
  </r>
  <r>
    <d v="2026-03-18T14:36:36"/>
    <s v="03-18_14-36-36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9.8661679952652695E-2"/>
    <n v="14.930752597664361"/>
    <n v="0.72640172328114727"/>
    <n v="0.13945531857623289"/>
    <n v="19.789269101809641"/>
    <n v="0.69909907323021458"/>
    <n v="19.789269101809641"/>
    <n v="19.789269101809641"/>
    <n v="0.69909907323021458"/>
    <n v="116.0927247589736"/>
    <n v="0.1067827824344707"/>
    <n v="0.8"/>
    <s v="identity"/>
    <n v="9.1107716715401743E-2"/>
    <n v="0.33844017814618449"/>
    <n v="9.1107716715401743E-2"/>
    <n v="9.1107716715401743E-2"/>
    <n v="0.33844017814618449"/>
    <n v="0.15304213741020159"/>
    <n v="-0.111283794735956"/>
    <n v="3.8214398948690782E-2"/>
    <n v="0.86759526955095645"/>
    <n v="3.8214398948690782E-2"/>
    <n v="3.8214398948690782E-2"/>
    <n v="0.86759526955095645"/>
    <n v="0.24387642764520759"/>
    <n v="0.15502026582716549"/>
    <n v="4.6041803556143242E-2"/>
    <n v="0.81515672183225196"/>
    <n v="4.6041803556143242E-2"/>
    <n v="4.6041803556143242E-2"/>
    <n v="0.81515672183225196"/>
    <n v="7.3795013421762506E-2"/>
    <n v="0.70373636261493666"/>
    <n v="78.981712488018132"/>
    <n v="0.77520412339146538"/>
    <n v="78.981712488018132"/>
    <n v="78.981712488018132"/>
    <n v="0.77520412339146538"/>
    <n v="463.90018545741611"/>
    <n v="-0.32034170396826722"/>
    <s v="[[sv,wv],[yr],[ya]]"/>
    <x v="0"/>
    <x v="1"/>
    <x v="1"/>
    <x v="2"/>
    <x v="0"/>
    <x v="0"/>
    <x v="1"/>
    <x v="2"/>
  </r>
  <r>
    <d v="2026-03-18T15:04:53"/>
    <s v="03-18_15-04-53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8.9268110389022992E-2"/>
    <n v="16.531718727299399"/>
    <n v="0.75860565990063544"/>
    <n v="0.44655774668023612"/>
    <n v="17.177645588229179"/>
    <n v="0.69371272079195812"/>
    <n v="17.177645588229179"/>
    <n v="17.177645588229179"/>
    <n v="0.69371272079195812"/>
    <n v="59.527000185179212"/>
    <n v="0.43188691728976769"/>
    <n v="0.8"/>
    <s v="identity"/>
    <n v="8.4702780898876881E-2"/>
    <n v="0.3849482934905899"/>
    <n v="8.4702780898876881E-2"/>
    <n v="8.4702780898876881E-2"/>
    <n v="0.3849482934905899"/>
    <n v="0.12859342206448121"/>
    <n v="6.6245489849168671E-2"/>
    <n v="6.666168964181933E-2"/>
    <n v="0.76903148312881486"/>
    <n v="6.666168964181933E-2"/>
    <n v="6.666168964181933E-2"/>
    <n v="0.76903148312881486"/>
    <n v="0.1076153797223931"/>
    <n v="0.62713569397110502"/>
    <n v="4.5863590627417558E-2"/>
    <n v="0.81587219037199676"/>
    <n v="4.5863590627417558E-2"/>
    <n v="4.5863590627417558E-2"/>
    <n v="0.81587219037199676"/>
    <n v="7.1989072657928699E-2"/>
    <n v="0.7109866435592257"/>
    <n v="68.513354291748811"/>
    <n v="0.80499891617643438"/>
    <n v="68.513354291748811"/>
    <n v="68.513354291748811"/>
    <n v="0.80499891617643438"/>
    <n v="237.79980286627159"/>
    <n v="0.3231798417795787"/>
    <s v="[[sv,wv],[yr],[ya]]"/>
    <x v="0"/>
    <x v="1"/>
    <x v="1"/>
    <x v="2"/>
    <x v="0"/>
    <x v="0"/>
    <x v="1"/>
    <x v="2"/>
  </r>
  <r>
    <d v="2026-03-18T15:21:35"/>
    <s v="03-18_15-21-3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046625102045023"/>
    <n v="14.2942247083433"/>
    <n v="0.79374392161849894"/>
    <n v="-0.28290696146776262"/>
    <n v="15.75158155811582"/>
    <n v="0.71532589843041128"/>
    <n v="15.75158155811582"/>
    <n v="15.75158155811582"/>
    <n v="0.71532589843041128"/>
    <n v="94.676924364511493"/>
    <n v="-0.21163051652617679"/>
    <n v="0.8"/>
    <s v="identity"/>
    <n v="6.4211642876554204E-2"/>
    <n v="0.53374044972446555"/>
    <n v="6.4211642876554204E-2"/>
    <n v="6.4211642876554204E-2"/>
    <n v="0.53374044972446555"/>
    <n v="0.26193369118724591"/>
    <n v="-0.90197726742122319"/>
    <n v="4.3416475445422271E-2"/>
    <n v="0.84957118555974054"/>
    <n v="4.3416475445422271E-2"/>
    <n v="4.3416475445422271E-2"/>
    <n v="0.84957118555974054"/>
    <n v="0.25637465208843829"/>
    <n v="0.1117165875272795"/>
    <n v="8.5493806043969819E-2"/>
    <n v="0.65676941058716498"/>
    <n v="8.5493806043969819E-2"/>
    <n v="8.5493806043969819E-2"/>
    <n v="0.65676941058716498"/>
    <n v="0.24424411815619551"/>
    <n v="1.94371204826943E-2"/>
    <n v="62.813204308097419"/>
    <n v="0.82122254785027826"/>
    <n v="62.813204308097419"/>
    <n v="62.813204308097419"/>
    <n v="0.82122254785027826"/>
    <n v="377.94514499661477"/>
    <n v="-7.5698506693465673E-2"/>
    <s v="[[sv,wv],[yr],[ya]]"/>
    <x v="1"/>
    <x v="1"/>
    <x v="3"/>
    <x v="2"/>
    <x v="0"/>
    <x v="0"/>
    <x v="3"/>
    <x v="2"/>
  </r>
  <r>
    <d v="2026-03-18T15:20:11"/>
    <s v="03-18_15-20-11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9.7783119174769187E-2"/>
    <n v="19.1275810595724"/>
    <n v="0.75223813766250736"/>
    <n v="0.29910278223247039"/>
    <n v="20.23262887796902"/>
    <n v="0.69977556190168078"/>
    <n v="20.23262887796902"/>
    <n v="20.23262887796902"/>
    <n v="0.69977556190168078"/>
    <n v="96.470620841791046"/>
    <n v="0.31612691555688122"/>
    <n v="0.8"/>
    <s v="identity"/>
    <n v="6.827292192937634E-2"/>
    <n v="0.50425031273555954"/>
    <n v="6.827292192937634E-2"/>
    <n v="6.827292192937634E-2"/>
    <n v="0.50425031273555954"/>
    <n v="0.131748305902397"/>
    <n v="4.3336954051912617E-2"/>
    <n v="7.212247374139609E-2"/>
    <n v="0.75011103254903011"/>
    <n v="7.212247374139609E-2"/>
    <n v="7.212247374139609E-2"/>
    <n v="0.75011103254903011"/>
    <n v="0.1197039736120287"/>
    <n v="0.58525129804970866"/>
    <n v="5.6162836343407657E-2"/>
    <n v="0.77452397649333493"/>
    <n v="5.6162836343407657E-2"/>
    <n v="5.6162836343407657E-2"/>
    <n v="0.77452397649333493"/>
    <n v="6.6430082238158425E-2"/>
    <n v="0.73330423177534465"/>
    <n v="80.733957279862295"/>
    <n v="0.77021692582880041"/>
    <n v="80.733957279862295"/>
    <n v="80.733957279862295"/>
    <n v="0.77021692582880041"/>
    <n v="385.56460100541352"/>
    <n v="-9.7384821649448838E-2"/>
    <s v="[[sv,wv],[yr],[ya]]"/>
    <x v="0"/>
    <x v="1"/>
    <x v="1"/>
    <x v="2"/>
    <x v="0"/>
    <x v="0"/>
    <x v="1"/>
    <x v="2"/>
  </r>
  <r>
    <d v="2026-03-18T15:21:54"/>
    <s v="03-18_15-21-54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"/>
    <s v="false"/>
    <s v="spsa"/>
    <n v="4000"/>
    <n v="4000"/>
    <m/>
    <n v="256"/>
    <s v="[0.1, 0.001]"/>
    <n v="0.15"/>
    <s v="[1.0, 1.0, 1.0, 1.0]"/>
    <n v="180"/>
    <n v="60"/>
    <n v="120"/>
    <n v="0.10100507133425569"/>
    <n v="16.840165476301259"/>
    <n v="0.80937542235929216"/>
    <n v="0.45054261409268631"/>
    <n v="18.96918642442818"/>
    <n v="0.7787259196313262"/>
    <n v="18.96918642442818"/>
    <n v="18.96918642442818"/>
    <n v="0.7787259196313262"/>
    <n v="50.36648145694479"/>
    <n v="0.45443390266436212"/>
    <n v="0.8"/>
    <s v="identity"/>
    <n v="5.2595355737196287E-2"/>
    <n v="0.61808971373381438"/>
    <n v="5.2595355737196287E-2"/>
    <n v="5.2595355737196287E-2"/>
    <n v="0.61808971373381438"/>
    <n v="0.1476707843028951"/>
    <n v="-7.2280826240061602E-2"/>
    <n v="3.9516938843367343E-2"/>
    <n v="0.86308224701499203"/>
    <n v="3.9516938843367343E-2"/>
    <n v="3.9516938843367343E-2"/>
    <n v="0.86308224701499203"/>
    <n v="8.1691462954365482E-2"/>
    <n v="0.71695652869004878"/>
    <n v="3.753189291732701E-2"/>
    <n v="0.84932132134615412"/>
    <n v="3.753189291732701E-2"/>
    <n v="3.753189291732701E-2"/>
    <n v="0.84932132134615412"/>
    <n v="6.335883658092302E-2"/>
    <n v="0.74563431164829308"/>
    <n v="75.747101510214719"/>
    <n v="0.78441039643034405"/>
    <n v="75.747101510214719"/>
    <n v="75.747101510214719"/>
    <n v="0.78441039643034405"/>
    <n v="201.173204743941"/>
    <n v="0.42742559655916618"/>
    <s v="[[sv,wv],[yr],[ya]]"/>
    <x v="0"/>
    <x v="1"/>
    <x v="1"/>
    <x v="2"/>
    <x v="0"/>
    <x v="0"/>
    <x v="1"/>
    <x v="2"/>
  </r>
  <r>
    <d v="2026-03-18T15:59:45"/>
    <s v="03-18_15-59-4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36005508567582"/>
    <n v="20.079214663200968"/>
    <n v="0.72660688368902071"/>
    <n v="-0.1736876502911307"/>
    <n v="20.384297289556908"/>
    <n v="0.65555193738319317"/>
    <n v="20.384297289556908"/>
    <n v="20.384297289556908"/>
    <n v="0.65555193738319317"/>
    <n v="103.98876057855669"/>
    <n v="-0.17977089345330921"/>
    <n v="0.8"/>
    <s v="identity"/>
    <n v="6.1356362318503277E-2"/>
    <n v="0.55447347833528471"/>
    <n v="6.1356362318503277E-2"/>
    <n v="6.1356362318503277E-2"/>
    <n v="0.55447347833528471"/>
    <n v="0.15287111779731469"/>
    <n v="-0.1100419712251286"/>
    <n v="6.4362486583797271E-2"/>
    <n v="0.77699773065644884"/>
    <n v="6.4362486583797271E-2"/>
    <n v="6.4362486583797271E-2"/>
    <n v="0.77699773065644884"/>
    <n v="0.30390852449839162"/>
    <n v="-5.2978127993156932E-2"/>
    <n v="0.1190357438897601"/>
    <n v="0.52210913951514981"/>
    <n v="0.1190357438897601"/>
    <n v="0.1190357438897601"/>
    <n v="0.52210913951514981"/>
    <n v="0.34235737805403782"/>
    <n v="-0.37445658459614672"/>
    <n v="81.292434565435585"/>
    <n v="0.76862740102588545"/>
    <n v="81.292434565435585"/>
    <n v="81.292434565435585"/>
    <n v="0.76862740102588545"/>
    <n v="415.15590529387651"/>
    <n v="-0.18160688999880331"/>
    <s v="[[sv,wv],[yr],[ya]]"/>
    <x v="1"/>
    <x v="1"/>
    <x v="3"/>
    <x v="2"/>
    <x v="0"/>
    <x v="0"/>
    <x v="3"/>
    <x v="2"/>
  </r>
  <r>
    <d v="2026-03-23T12:54:40"/>
    <s v="03-23_12-54-40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9.4089260947520251E-2"/>
    <n v="18.859678528422322"/>
    <n v="0.78874566947005664"/>
    <n v="0.29527823431372152"/>
    <n v="23.9344190701153"/>
    <n v="0.73697787059702136"/>
    <n v="23.9344190701153"/>
    <n v="23.9344190701153"/>
    <n v="0.73697787059702136"/>
    <n v="80.320785329466275"/>
    <n v="0.13982314770363899"/>
    <n v="0.8"/>
    <s v="identity"/>
    <n v="6.6419897948336262E-2"/>
    <n v="0.51770566272108365"/>
    <n v="6.6419897948336262E-2"/>
    <n v="6.6419897948336262E-2"/>
    <n v="0.51770566272108365"/>
    <n v="0.1562052611908695"/>
    <n v="-0.13425216317149641"/>
    <n v="5.553780719075288E-2"/>
    <n v="0.807573359960578"/>
    <n v="5.553780719075288E-2"/>
    <n v="5.553780719075288E-2"/>
    <n v="0.807573359960578"/>
    <n v="0.1580925553268813"/>
    <n v="0.45224306151821991"/>
    <n v="2.6229464566251019E-2"/>
    <n v="0.89469699619610743"/>
    <n v="2.6229464566251019E-2"/>
    <n v="2.6229464566251019E-2"/>
    <n v="0.89469699619610743"/>
    <n v="0.21066765392670181"/>
    <n v="0.15423600406451779"/>
    <n v="95.589489110755977"/>
    <n v="0.72793546351031302"/>
    <n v="95.589489110755977"/>
    <n v="95.589489110755977"/>
    <n v="0.72793546351031302"/>
    <n v="320.75817584742077"/>
    <n v="8.7065688403323516E-2"/>
    <s v="[[sv,wv],[yr],[ya]]"/>
    <x v="0"/>
    <x v="0"/>
    <x v="4"/>
    <x v="0"/>
    <x v="0"/>
    <x v="0"/>
    <x v="4"/>
    <x v="0"/>
  </r>
  <r>
    <d v="2026-03-23T16:55:30"/>
    <s v="03-23_16-55-30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5426516179309"/>
    <n v="18.544246828381031"/>
    <n v="0.75235293721621233"/>
    <n v="-0.42952559962096171"/>
    <n v="23.204122324384709"/>
    <n v="0.70218678169746696"/>
    <n v="23.204122324384709"/>
    <n v="23.204122324384709"/>
    <n v="0.70218678169746696"/>
    <n v="139.59313106843189"/>
    <n v="-0.43632394848890121"/>
    <n v="0.8"/>
    <s v="identity"/>
    <n v="6.4704526848990015E-2"/>
    <n v="0.53016147480604225"/>
    <n v="6.4704526848990015E-2"/>
    <n v="6.4704526848990015E-2"/>
    <n v="0.53016147480604225"/>
    <n v="0.15510047795885171"/>
    <n v="-0.12623000846813709"/>
    <n v="5.5547912273626328E-2"/>
    <n v="0.80753834800668545"/>
    <n v="5.5547912273626328E-2"/>
    <n v="5.5547912273626328E-2"/>
    <n v="0.80753834800668545"/>
    <n v="0.41110172021205188"/>
    <n v="-0.42437965660270249"/>
    <n v="6.608514527896639E-2"/>
    <n v="0.73468904456228334"/>
    <n v="6.608514527896639E-2"/>
    <n v="6.608514527896639E-2"/>
    <n v="0.73468904456228334"/>
    <n v="0.40058227623194109"/>
    <n v="-0.60821113413422601"/>
    <n v="92.630151713136854"/>
    <n v="0.73635825941486044"/>
    <n v="92.630151713136854"/>
    <n v="92.630151713136854"/>
    <n v="0.73635825941486044"/>
    <n v="557.40573979932481"/>
    <n v="-0.58647499475054987"/>
    <s v="[[sv,wv],[yr],[ya]]"/>
    <x v="1"/>
    <x v="0"/>
    <x v="5"/>
    <x v="0"/>
    <x v="0"/>
    <x v="0"/>
    <x v="5"/>
    <x v="0"/>
  </r>
  <r>
    <d v="2026-03-23T21:21:34"/>
    <s v="03-23_21-21-34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9.9114841634504014E-2"/>
    <n v="7.3366935097694634"/>
    <n v="0.76168891665116223"/>
    <n v="-0.42425779057779928"/>
    <n v="11.18053411233767"/>
    <n v="0.70538251318420586"/>
    <n v="11.18053411233767"/>
    <n v="11.18053411233767"/>
    <n v="0.70538251318420586"/>
    <n v="119.2177022280226"/>
    <n v="-0.48701864374098158"/>
    <n v="0.8"/>
    <s v="identity"/>
    <n v="6.6356813391617933E-2"/>
    <n v="0.51816373816857486"/>
    <n v="6.6356813391617933E-2"/>
    <n v="6.6356813391617933E-2"/>
    <n v="0.51816373816857486"/>
    <n v="0.11651132855083909"/>
    <n v="0.15397711040414819"/>
    <n v="5.4321187359639027E-2"/>
    <n v="0.81178868782727753"/>
    <n v="5.4321187359639027E-2"/>
    <n v="5.4321187359639027E-2"/>
    <n v="0.81178868782727753"/>
    <n v="0.57341838501761855"/>
    <n v="-0.98677223223433086"/>
    <n v="9.5088287626553233E-2"/>
    <n v="0.61825060178589308"/>
    <n v="9.5088287626553233E-2"/>
    <n v="9.5088287626553233E-2"/>
    <n v="0.61825060178589308"/>
    <n v="0.43869790847003148"/>
    <n v="-0.76123334152307764"/>
    <n v="44.50637016097297"/>
    <n v="0.87332702495507897"/>
    <n v="44.50637016097297"/>
    <n v="44.50637016097297"/>
    <n v="0.87332702495507897"/>
    <n v="475.74218129005311"/>
    <n v="-0.35404611161068339"/>
    <s v="[[sv,wv],[yr],[ya]]"/>
    <x v="0"/>
    <x v="0"/>
    <x v="0"/>
    <x v="4"/>
    <x v="0"/>
    <x v="0"/>
    <x v="0"/>
    <x v="4"/>
  </r>
  <r>
    <d v="2026-03-24T00:36:56"/>
    <s v="03-24_00-36-5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4782985343053"/>
    <n v="20.33058050212728"/>
    <n v="0.72292167136813912"/>
    <n v="-0.83244870506974844"/>
    <n v="27.642840934415538"/>
    <n v="0.65800744335642025"/>
    <n v="27.642840934415538"/>
    <n v="27.642840934415538"/>
    <n v="0.65800744335642025"/>
    <n v="142.14425406642289"/>
    <n v="-0.73497322786234121"/>
    <n v="0.8"/>
    <s v="identity"/>
    <n v="6.6743650596632662E-2"/>
    <n v="0.51535479989570177"/>
    <n v="6.6743650596632662E-2"/>
    <n v="6.6743650596632662E-2"/>
    <n v="0.51535479989570177"/>
    <n v="0.1849581649149451"/>
    <n v="-0.34303542052058278"/>
    <n v="5.3683696847465767E-2"/>
    <n v="0.81399745629545239"/>
    <n v="5.3683696847465767E-2"/>
    <n v="5.3683696847465767E-2"/>
    <n v="0.81399745629545239"/>
    <n v="0.6005651429954082"/>
    <n v="-1.080829950568216"/>
    <n v="9.545741707271245E-2"/>
    <n v="0.61676866381591089"/>
    <n v="9.545741707271245E-2"/>
    <n v="9.545741707271245E-2"/>
    <n v="0.61676866381591089"/>
    <n v="0.47359666262466721"/>
    <n v="-0.90134080091152402"/>
    <n v="110.35547897314569"/>
    <n v="0.68590885341861374"/>
    <n v="110.35547897314569"/>
    <n v="110.35547897314569"/>
    <n v="0.68590885341861374"/>
    <n v="567.31789629515629"/>
    <n v="-0.61468673944903851"/>
    <s v="[[sv,wv],[yr],[ya]]"/>
    <x v="0"/>
    <x v="1"/>
    <x v="0"/>
    <x v="5"/>
    <x v="0"/>
    <x v="0"/>
    <x v="0"/>
    <x v="5"/>
  </r>
  <r>
    <d v="2026-03-24T00:49:54"/>
    <s v="03-24_00-49-5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052780925169737"/>
    <n v="22.90222242103086"/>
    <n v="0.76264422740095905"/>
    <n v="0.2862574246263706"/>
    <n v="26.801938485570719"/>
    <n v="0.72020024649299108"/>
    <n v="26.801938485570719"/>
    <n v="26.801938485570719"/>
    <n v="0.72020024649299108"/>
    <n v="98.594692612442159"/>
    <n v="0.30796693171412559"/>
    <n v="0.8"/>
    <s v="identity"/>
    <n v="5.9358142342257371E-2"/>
    <n v="0.56898313897840458"/>
    <n v="5.9358142342257371E-2"/>
    <n v="5.9358142342257371E-2"/>
    <n v="0.56898313897840458"/>
    <n v="0.1524820521802959"/>
    <n v="-0.1072168517998615"/>
    <n v="7.526754252554213E-2"/>
    <n v="0.7392140409420791"/>
    <n v="7.526754252554213E-2"/>
    <n v="7.526754252554213E-2"/>
    <n v="0.7392140409420791"/>
    <n v="8.2432594393313685E-2"/>
    <n v="0.71438866654643629"/>
    <n v="3.0571326841818881E-2"/>
    <n v="0.87726579249901082"/>
    <n v="3.0571326841818881E-2"/>
    <n v="3.0571326841818881E-2"/>
    <n v="0.87726579249901082"/>
    <n v="6.3188300463246735E-2"/>
    <n v="0.74631896021986455"/>
    <n v="107.0425569305729"/>
    <n v="0.69533801355247227"/>
    <n v="107.0425569305729"/>
    <n v="107.0425569305729"/>
    <n v="0.69533801355247227"/>
    <n v="394.0806675027344"/>
    <n v="-0.1216230481099381"/>
    <s v="[[sv,wv],[yr],[ya]]"/>
    <x v="0"/>
    <x v="0"/>
    <x v="4"/>
    <x v="0"/>
    <x v="0"/>
    <x v="0"/>
    <x v="4"/>
    <x v="0"/>
  </r>
  <r>
    <d v="2026-03-24T04:04:54"/>
    <s v="03-24_04-04-5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7.9355697126021058E-2"/>
    <n v="8.7543759195512738"/>
    <n v="0.83410665330233924"/>
    <n v="-0.2414614817379922"/>
    <n v="13.49660644688513"/>
    <n v="0.77205353813395305"/>
    <n v="13.49660644688513"/>
    <n v="13.49660644688513"/>
    <n v="0.77205353813395305"/>
    <n v="148.23735170985319"/>
    <n v="-0.2530622679411394"/>
    <n v="0.8"/>
    <s v="identity"/>
    <n v="6.6335484137827486E-2"/>
    <n v="0.51831861612893415"/>
    <n v="6.6335484137827486E-2"/>
    <n v="6.6335484137827486E-2"/>
    <n v="0.51831861612893415"/>
    <n v="0.25717951706267222"/>
    <n v="-0.86745581632680313"/>
    <n v="4.9974463009205959E-2"/>
    <n v="0.82684915931940084"/>
    <n v="4.9974463009205959E-2"/>
    <n v="4.9974463009205959E-2"/>
    <n v="0.82684915931940084"/>
    <n v="0.1558933781301822"/>
    <n v="0.45986274080009448"/>
    <n v="2.5831000498590322E-2"/>
    <n v="0.89629670339282153"/>
    <n v="2.5831000498590322E-2"/>
    <n v="2.5831000498590322E-2"/>
    <n v="0.89629670339282153"/>
    <n v="0.2288709681659819"/>
    <n v="8.1155455136776466E-2"/>
    <n v="53.844284839895067"/>
    <n v="0.84674967369465337"/>
    <n v="53.844284839895067"/>
    <n v="53.844284839895067"/>
    <n v="0.84674967369465337"/>
    <n v="592.30746297605469"/>
    <n v="-0.68581145137462762"/>
    <s v="[[sv,wv],[yr],[ya]]"/>
    <x v="0"/>
    <x v="0"/>
    <x v="4"/>
    <x v="4"/>
    <x v="0"/>
    <x v="0"/>
    <x v="4"/>
    <x v="4"/>
  </r>
  <r>
    <d v="2026-03-24T04:14:49"/>
    <s v="03-24_04-14-49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114722870059647"/>
    <n v="26.209009670203042"/>
    <n v="0.74005778621517004"/>
    <n v="-0.1711147544239856"/>
    <n v="30.747959283719709"/>
    <n v="0.68888236250444701"/>
    <n v="30.747959283719709"/>
    <n v="30.747959283719709"/>
    <n v="0.68888236250444701"/>
    <n v="96.960044062829738"/>
    <n v="-8.4048478815334116E-2"/>
    <n v="0.8"/>
    <s v="identity"/>
    <n v="6.4086104190527751E-2"/>
    <n v="0.53465202290133318"/>
    <n v="6.4086104190527751E-2"/>
    <n v="6.4086104190527751E-2"/>
    <n v="0.53465202290133318"/>
    <n v="0.2137037575504864"/>
    <n v="-0.55176558991397529"/>
    <n v="7.9608476115683197E-2"/>
    <n v="0.72417363319756545"/>
    <n v="7.9608476115683197E-2"/>
    <n v="7.9608476115683197E-2"/>
    <n v="0.72417363319756545"/>
    <n v="0.2575665109493967"/>
    <n v="0.1075870511336707"/>
    <n v="3.8298843337813117E-2"/>
    <n v="0.84624225799578134"/>
    <n v="3.8298843337813117E-2"/>
    <n v="3.8298843337813117E-2"/>
    <n v="0.84624225799578134"/>
    <n v="0.1967914155322939"/>
    <n v="0.2099447121374293"/>
    <n v="122.8098437112349"/>
    <n v="0.65046153592311251"/>
    <n v="122.8098437112349"/>
    <n v="122.8098437112349"/>
    <n v="0.65046153592311251"/>
    <n v="387.17211456728768"/>
    <n v="-0.1019600886184506"/>
    <s v="[[sv,wv],[yr],[ya]]"/>
    <x v="1"/>
    <x v="0"/>
    <x v="5"/>
    <x v="0"/>
    <x v="0"/>
    <x v="0"/>
    <x v="5"/>
    <x v="0"/>
  </r>
  <r>
    <d v="2026-03-24T07:36:54"/>
    <s v="03-24_07-36-5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9.5115651538431267E-2"/>
    <n v="19.351939489036809"/>
    <n v="0.78758926753679181"/>
    <n v="0.32427087670242771"/>
    <n v="21.383715314360899"/>
    <n v="0.74579828307033835"/>
    <n v="21.383715314360899"/>
    <n v="21.383715314360899"/>
    <n v="0.74579828307033835"/>
    <n v="80.279069938957875"/>
    <n v="0.15409320556189501"/>
    <n v="0.8"/>
    <s v="identity"/>
    <n v="6.5119865582408634E-2"/>
    <n v="0.52714557858566247"/>
    <n v="6.5119865582408634E-2"/>
    <n v="6.5119865582408634E-2"/>
    <n v="0.52714557858566247"/>
    <n v="0.15558089183427079"/>
    <n v="-0.1297184343589004"/>
    <n v="5.6576043875175903E-2"/>
    <n v="0.80397609159773098"/>
    <n v="5.6576043875175903E-2"/>
    <n v="5.6576043875175903E-2"/>
    <n v="0.80397609159773098"/>
    <n v="0.1515393449828894"/>
    <n v="0.47494853571230922"/>
    <n v="2.612957582400292E-2"/>
    <n v="0.89509801790123411"/>
    <n v="2.612957582400292E-2"/>
    <n v="2.612957582400292E-2"/>
    <n v="0.89509801790123411"/>
    <n v="0.20334269634709631"/>
    <n v="0.18364339184859871"/>
    <n v="85.387035772161838"/>
    <n v="0.75697344419672663"/>
    <n v="85.387035772161838"/>
    <n v="85.387035772161838"/>
    <n v="0.75697344419672663"/>
    <n v="320.6058168226661"/>
    <n v="8.7499329045569008E-2"/>
    <s v="[[sv,wv],[yr],[ya]]"/>
    <x v="0"/>
    <x v="1"/>
    <x v="4"/>
    <x v="2"/>
    <x v="0"/>
    <x v="0"/>
    <x v="4"/>
    <x v="2"/>
  </r>
  <r>
    <d v="2026-03-24T07:44:19"/>
    <s v="03-24_07-44-19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1683045068435199"/>
    <n v="14.194229335404961"/>
    <n v="0.70865193191226694"/>
    <n v="-0.3248968654366502"/>
    <n v="18.31402278659057"/>
    <n v="0.65363980738871863"/>
    <n v="18.31402278659057"/>
    <n v="18.31402278659057"/>
    <n v="0.65363980738871863"/>
    <n v="125.0734167291504"/>
    <n v="-0.47685701637397487"/>
    <n v="0.8"/>
    <s v="identity"/>
    <n v="6.3423545642416951E-2"/>
    <n v="0.5394630546213478"/>
    <n v="6.3423545642416951E-2"/>
    <n v="6.3423545642416951E-2"/>
    <n v="0.5394630546213478"/>
    <n v="9.7133272101401658E-2"/>
    <n v="0.29468685525055638"/>
    <n v="8.5592191867028142E-2"/>
    <n v="0.70344133613319759"/>
    <n v="8.5592191867028142E-2"/>
    <n v="8.5592191867028142E-2"/>
    <n v="0.70344133613319759"/>
    <n v="0.46264652650972887"/>
    <n v="-0.60297140138077632"/>
    <n v="0.10475736741879429"/>
    <n v="0.57943230476840157"/>
    <n v="0.10475736741879429"/>
    <n v="0.10475736741879429"/>
    <n v="0.57943230476840157"/>
    <n v="0.54259744366077256"/>
    <n v="-1.1783571116930101"/>
    <n v="73.002318041433696"/>
    <n v="0.79222253403192933"/>
    <n v="73.002318041433696"/>
    <n v="73.002318041433696"/>
    <n v="0.79222253403192933"/>
    <n v="499.19128967432943"/>
    <n v="-0.42078640767265568"/>
    <s v="[[sv,wv],[yr],[ya]]"/>
    <x v="0"/>
    <x v="0"/>
    <x v="0"/>
    <x v="4"/>
    <x v="0"/>
    <x v="0"/>
    <x v="0"/>
    <x v="4"/>
  </r>
  <r>
    <d v="2026-03-24T11:06:46"/>
    <s v="03-24_11-06-46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8.9818994284633094E-2"/>
    <n v="20.779510290276431"/>
    <n v="0.79764131026880469"/>
    <n v="-9.0417653188111902E-2"/>
    <n v="28.512463054214241"/>
    <n v="0.72885655526861615"/>
    <n v="28.512463054214241"/>
    <n v="28.512463054214241"/>
    <n v="0.72885655526861615"/>
    <n v="101.0761940721989"/>
    <n v="-9.9701559955986979E-2"/>
    <n v="0.8"/>
    <s v="identity"/>
    <n v="6.6191310681060364E-2"/>
    <n v="0.51936550183536501"/>
    <n v="6.6191310681060364E-2"/>
    <n v="6.6191310681060364E-2"/>
    <n v="0.51936550183536501"/>
    <n v="0.19939645751363841"/>
    <n v="-0.44787609290075298"/>
    <n v="5.0127578850875792E-2"/>
    <n v="0.82631864563080426"/>
    <n v="5.0127578850875792E-2"/>
    <n v="5.0127578850875792E-2"/>
    <n v="0.82631864563080426"/>
    <n v="0.19355282259002679"/>
    <n v="0.32938080912660722"/>
    <n v="2.641757194898511E-2"/>
    <n v="0.89394180455315353"/>
    <n v="2.641757194898511E-2"/>
    <n v="2.641757194898511E-2"/>
    <n v="0.89394180455315353"/>
    <n v="0.28184259427360292"/>
    <n v="-0.13150886865908151"/>
    <n v="113.9071157553758"/>
    <n v="0.67580026905514301"/>
    <n v="113.9071157553758"/>
    <n v="113.9071157553758"/>
    <n v="0.67580026905514301"/>
    <n v="403.62998441441999"/>
    <n v="-0.1488020873907174"/>
    <s v="[[sv,wv],[yr],[ya]]"/>
    <x v="0"/>
    <x v="1"/>
    <x v="4"/>
    <x v="5"/>
    <x v="0"/>
    <x v="0"/>
    <x v="4"/>
    <x v="5"/>
  </r>
  <r>
    <d v="2026-03-24T11:13:31"/>
    <s v="03-24_11-13-3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908190416912171"/>
    <n v="16.477337351724909"/>
    <n v="0.70628325642468281"/>
    <n v="-0.6543207657393133"/>
    <n v="23.317162345969582"/>
    <n v="0.64533617707396296"/>
    <n v="23.317162345969582"/>
    <n v="23.317162345969582"/>
    <n v="0.64533617707396296"/>
    <n v="154.6436523031839"/>
    <n v="-0.53819605138729398"/>
    <n v="0.8"/>
    <s v="identity"/>
    <n v="6.2420917689212721E-2"/>
    <n v="0.54674342991798075"/>
    <n v="6.2420917689212721E-2"/>
    <n v="6.2420917689212721E-2"/>
    <n v="0.54674342991798075"/>
    <n v="0.22768206144789691"/>
    <n v="-0.65326614957651463"/>
    <n v="8.5333920695017745E-2"/>
    <n v="0.70433619058213726"/>
    <n v="8.5333920695017745E-2"/>
    <n v="8.5333920695017745E-2"/>
    <n v="0.70433619058213726"/>
    <n v="0.29936705413024772"/>
    <n v="-3.7242903143911432E-2"/>
    <n v="0.10087557853717059"/>
    <n v="0.59501645931090352"/>
    <n v="0.10087557853717059"/>
    <n v="0.10087557853717059"/>
    <n v="0.59501645931090352"/>
    <n v="0.42454432372468059"/>
    <n v="-0.70441117557630895"/>
    <n v="93.020018966957053"/>
    <n v="0.73524862848482997"/>
    <n v="93.020018966957053"/>
    <n v="93.020018966957053"/>
    <n v="0.73524862848482997"/>
    <n v="617.62301577343089"/>
    <n v="-0.75786397725242671"/>
    <s v="[[sv,wv],[yr],[ya]]"/>
    <x v="0"/>
    <x v="1"/>
    <x v="0"/>
    <x v="5"/>
    <x v="0"/>
    <x v="0"/>
    <x v="0"/>
    <x v="5"/>
  </r>
  <r>
    <d v="2026-03-24T15:11:11"/>
    <s v="03-24_15-11-11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8445568105155673E-2"/>
    <n v="7.5958914103809674"/>
    <n v="0.76354849476163444"/>
    <n v="-0.38293125669743922"/>
    <n v="11.73143304961628"/>
    <n v="0.70746173402459611"/>
    <n v="11.73143304961628"/>
    <n v="11.73143304961628"/>
    <n v="0.70746173402459611"/>
    <n v="111.0748248243528"/>
    <n v="-0.40676877982356208"/>
    <n v="0.8"/>
    <s v="identity"/>
    <n v="6.6006255695189309E-2"/>
    <n v="0.52070924030121235"/>
    <n v="6.6006255695189309E-2"/>
    <n v="6.6006255695189309E-2"/>
    <n v="0.52070924030121235"/>
    <n v="0.13376228603343099"/>
    <n v="2.8712854307804569E-2"/>
    <n v="5.3828904805759768E-2"/>
    <n v="0.81349434173377144"/>
    <n v="5.3828904805759768E-2"/>
    <n v="5.3828904805759768E-2"/>
    <n v="0.81349434173377144"/>
    <n v="0.54694990876170413"/>
    <n v="-0.89506461519796954"/>
    <n v="9.251092797797085E-2"/>
    <n v="0.62859788555118512"/>
    <n v="9.251092797797085E-2"/>
    <n v="9.251092797797085E-2"/>
    <n v="0.62859788555118512"/>
    <n v="0.37342156815673738"/>
    <n v="-0.499169482195984"/>
    <n v="46.713386109986111"/>
    <n v="0.86704546851221642"/>
    <n v="46.713386109986111"/>
    <n v="46.713386109986111"/>
    <n v="0.86704546851221642"/>
    <n v="443.24516553445989"/>
    <n v="-0.26155387620811271"/>
    <s v="[[sv,wv],[yr],[ya]]"/>
    <x v="1"/>
    <x v="0"/>
    <x v="2"/>
    <x v="4"/>
    <x v="0"/>
    <x v="0"/>
    <x v="2"/>
    <x v="4"/>
  </r>
  <r>
    <d v="2026-03-24T15:16:01"/>
    <s v="03-24_15-16-0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0288787877405"/>
    <n v="14.954712446392721"/>
    <n v="0.76586301793390632"/>
    <n v="-5.5974680804992877E-2"/>
    <n v="19.602331913758189"/>
    <n v="0.71745982524030294"/>
    <n v="19.602331913758189"/>
    <n v="19.602331913758189"/>
    <n v="0.71745982524030294"/>
    <n v="96.593183375852405"/>
    <n v="-6.2672840268476138E-2"/>
    <n v="0.8"/>
    <s v="identity"/>
    <n v="6.2533561956011702E-2"/>
    <n v="0.54592548689665388"/>
    <n v="6.2533561956011702E-2"/>
    <n v="6.2533561956011702E-2"/>
    <n v="0.54592548689665388"/>
    <n v="0.22381815841336339"/>
    <n v="-0.62520921767939175"/>
    <n v="8.4874822626619925E-2"/>
    <n v="0.70592686733404719"/>
    <n v="8.4874822626619925E-2"/>
    <n v="8.4874822626619925E-2"/>
    <n v="0.70592686733404719"/>
    <n v="0.24815322569753881"/>
    <n v="0.14020207402296581"/>
    <n v="3.9698974391905208E-2"/>
    <n v="0.84062117467772102"/>
    <n v="3.9698974391905208E-2"/>
    <n v="3.9698974391905208E-2"/>
    <n v="0.84062117467772102"/>
    <n v="0.16634338214114819"/>
    <n v="0.33218393543191888"/>
    <n v="78.222220296058239"/>
    <n v="0.77736577205279134"/>
    <n v="78.222220296058239"/>
    <n v="78.222220296058239"/>
    <n v="0.77736577205279134"/>
    <n v="385.73441873715552"/>
    <n v="-9.7868152849394763E-2"/>
    <s v="[[sv,wv],[yr],[ya]]"/>
    <x v="0"/>
    <x v="0"/>
    <x v="4"/>
    <x v="4"/>
    <x v="0"/>
    <x v="0"/>
    <x v="4"/>
    <x v="4"/>
  </r>
  <r>
    <d v="2026-03-24T18:49:25"/>
    <s v="03-24_18-49-2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264861958712169"/>
    <n v="17.648507460517909"/>
    <n v="0.72982659549932238"/>
    <n v="-0.31132812684890798"/>
    <n v="24.440587182019129"/>
    <n v="0.66961936253747889"/>
    <n v="24.440587182019129"/>
    <n v="24.440587182019129"/>
    <n v="0.66961936253747889"/>
    <n v="107.4262570279711"/>
    <n v="-0.31855886188870408"/>
    <n v="0.8"/>
    <s v="identity"/>
    <n v="6.669449961233706E-2"/>
    <n v="0.51571169959187246"/>
    <n v="6.669449961233706E-2"/>
    <n v="6.669449961233706E-2"/>
    <n v="0.51571169959187246"/>
    <n v="0.14792222911365149"/>
    <n v="-7.4106640673867963E-2"/>
    <n v="5.2581239325561517E-2"/>
    <n v="0.81781723614375634"/>
    <n v="5.2581239325561517E-2"/>
    <n v="5.2581239325561517E-2"/>
    <n v="0.81781723614375634"/>
    <n v="0.44970951924207397"/>
    <n v="-0.5581474343103785"/>
    <n v="9.4007318422620889E-2"/>
    <n v="0.62259035122706319"/>
    <n v="9.4007318422620889E-2"/>
    <n v="9.4007318422620889E-2"/>
    <n v="0.62259035122706319"/>
    <n v="0.35411854839546097"/>
    <n v="-0.42167396343637892"/>
    <n v="97.549065670715834"/>
    <n v="0.72235816318722201"/>
    <n v="97.549065670715834"/>
    <n v="97.549065670715834"/>
    <n v="0.72235816318722201"/>
    <n v="428.75327781513232"/>
    <n v="-0.2203074091341943"/>
    <s v="[[sv,wv],[yr],[ya]]"/>
    <x v="1"/>
    <x v="1"/>
    <x v="2"/>
    <x v="5"/>
    <x v="0"/>
    <x v="0"/>
    <x v="2"/>
    <x v="5"/>
  </r>
  <r>
    <d v="2026-03-24T18:52:31"/>
    <s v="03-24_18-52-3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062937077905952"/>
    <n v="29.22682429659411"/>
    <n v="0.75208636225298142"/>
    <n v="-6.584569449934935E-2"/>
    <n v="35.729416941331337"/>
    <n v="0.70336764446200517"/>
    <n v="35.729416941331337"/>
    <n v="35.729416941331337"/>
    <n v="0.70336764446200517"/>
    <n v="71.777600693837798"/>
    <n v="-0.25154341749158421"/>
    <n v="0.8"/>
    <s v="identity"/>
    <n v="5.7764895912584817E-2"/>
    <n v="0.58055216805939813"/>
    <n v="5.7764895912584817E-2"/>
    <n v="5.7764895912584817E-2"/>
    <n v="0.58055216805939813"/>
    <n v="0.2751479106098243"/>
    <n v="-0.99792958586693747"/>
    <n v="6.8791676846196498E-2"/>
    <n v="0.76165153239259809"/>
    <n v="6.8791676846196498E-2"/>
    <n v="6.8791676846196498E-2"/>
    <n v="0.76165153239259809"/>
    <n v="0.3960589498965526"/>
    <n v="-0.3722596703246297"/>
    <n v="3.049087813737671E-2"/>
    <n v="0.87758876860126767"/>
    <n v="3.049087813737671E-2"/>
    <n v="3.049087813737671E-2"/>
    <n v="0.87758876860126767"/>
    <n v="0.20457657229152451"/>
    <n v="0.17868977020903101"/>
    <n v="142.7606203144295"/>
    <n v="0.59367810879475602"/>
    <n v="142.7606203144295"/>
    <n v="142.7606203144295"/>
    <n v="0.59367810879475602"/>
    <n v="286.23461934255403"/>
    <n v="0.18532581601619541"/>
    <s v="[[sv,wv],[yr],[ya]]"/>
    <x v="0"/>
    <x v="1"/>
    <x v="4"/>
    <x v="2"/>
    <x v="0"/>
    <x v="0"/>
    <x v="4"/>
    <x v="2"/>
  </r>
  <r>
    <d v="2026-03-24T19:40:11"/>
    <s v="03-24_19-40-1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8.8853261213957993E-2"/>
    <n v="21.285703581518749"/>
    <n v="0.76895204992811239"/>
    <n v="0.39026365262924029"/>
    <n v="30.396162843427291"/>
    <n v="0.69596819129513454"/>
    <n v="30.396162843427291"/>
    <n v="30.396162843427291"/>
    <n v="0.69596819129513454"/>
    <n v="81.706556878091234"/>
    <n v="0.21478116695390351"/>
    <n v="0.8"/>
    <s v="identity"/>
    <n v="6.7001653523833526E-2"/>
    <n v="0.51348136505713637"/>
    <n v="6.7001653523833526E-2"/>
    <n v="6.7001653523833526E-2"/>
    <n v="0.51348136505713637"/>
    <n v="0.1565411576111666"/>
    <n v="-0.13669120548299721"/>
    <n v="7.6661762163034872E-2"/>
    <n v="0.73438336767840051"/>
    <n v="7.6661762163034872E-2"/>
    <n v="7.6661762163034872E-2"/>
    <n v="0.73438336767840051"/>
    <n v="0.1453446609557025"/>
    <n v="0.49641179279344072"/>
    <n v="2.95000751175972E-2"/>
    <n v="0.88156652933279989"/>
    <n v="2.95000751175972E-2"/>
    <n v="2.95000751175972E-2"/>
    <n v="0.88156652933279989"/>
    <n v="0.1423911313295706"/>
    <n v="0.42834464629784619"/>
    <n v="121.41148788290521"/>
    <n v="0.65444150311219706"/>
    <n v="121.41148788290521"/>
    <n v="121.41148788290521"/>
    <n v="0.65444150311219706"/>
    <n v="326.38195056246951"/>
    <n v="7.105943420732741E-2"/>
    <s v="[[sv,wv],[yr],[ya]]"/>
    <x v="0"/>
    <x v="0"/>
    <x v="4"/>
    <x v="0"/>
    <x v="0"/>
    <x v="0"/>
    <x v="4"/>
    <x v="0"/>
  </r>
  <r>
    <d v="2026-03-24T19:47:28"/>
    <s v="03-24_19-47-28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9.5134623362328211E-2"/>
    <n v="16.038648900266999"/>
    <n v="0.8056746624249298"/>
    <n v="-7.4144512776125854E-2"/>
    <n v="26.33372439152086"/>
    <n v="0.74242970452338497"/>
    <n v="26.33372439152086"/>
    <n v="26.33372439152086"/>
    <n v="0.74242970452338497"/>
    <n v="112.767883532168"/>
    <n v="-9.0158966830711201E-2"/>
    <n v="0.8"/>
    <s v="identity"/>
    <n v="6.2118380759208322E-2"/>
    <n v="0.54894023919751889"/>
    <n v="6.2118380759208322E-2"/>
    <n v="6.2118380759208322E-2"/>
    <n v="0.54894023919751889"/>
    <n v="0.14743253841712931"/>
    <n v="-7.055085306735065E-2"/>
    <n v="4.3714021648025472E-2"/>
    <n v="0.84854025151823675"/>
    <n v="4.3714021648025472E-2"/>
    <n v="4.3714021648025472E-2"/>
    <n v="0.84854025151823675"/>
    <n v="0.27206351932331418"/>
    <n v="5.735801341824609E-2"/>
    <n v="3.1970687428761732E-2"/>
    <n v="0.87164780236285444"/>
    <n v="3.1970687428761732E-2"/>
    <n v="3.1970687428761732E-2"/>
    <n v="0.87164780236285444"/>
    <n v="0.26541650322472748"/>
    <n v="-6.5563308701734435E-2"/>
    <n v="105.1970944762475"/>
    <n v="0.70059052501493468"/>
    <n v="105.1970944762475"/>
    <n v="105.1970944762475"/>
    <n v="0.70059052501493468"/>
    <n v="450.38662156770562"/>
    <n v="-0.28187971897200947"/>
    <s v="[[sv,wv],[yr],[ya]]"/>
    <x v="0"/>
    <x v="0"/>
    <x v="4"/>
    <x v="0"/>
    <x v="0"/>
    <x v="0"/>
    <x v="4"/>
    <x v="0"/>
  </r>
  <r>
    <d v="2026-03-24T22:44:05"/>
    <s v="03-24_22-44-05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1688152694536937E-2"/>
    <n v="7.8827863505716822"/>
    <n v="0.80079859446523294"/>
    <n v="-0.38274173665083339"/>
    <n v="12.16699078052971"/>
    <n v="0.74094365047360711"/>
    <n v="12.16699078052971"/>
    <n v="12.16699078052971"/>
    <n v="0.74094365047360711"/>
    <n v="144.34053216965751"/>
    <n v="-0.34745076542407932"/>
    <n v="0.8"/>
    <s v="identity"/>
    <n v="6.544485146794056E-2"/>
    <n v="0.5247857608634261"/>
    <n v="6.544485146794056E-2"/>
    <n v="6.544485146794056E-2"/>
    <n v="0.5247857608634261"/>
    <n v="0.18483119975187329"/>
    <n v="-0.34211348927598961"/>
    <n v="5.0461344103807967E-2"/>
    <n v="0.82516222031564812"/>
    <n v="5.0461344103807967E-2"/>
    <n v="5.0461344103807967E-2"/>
    <n v="0.82516222031564812"/>
    <n v="0.32132883833075432"/>
    <n v="-0.11333579475663599"/>
    <n v="6.1813487007938477E-2"/>
    <n v="0.75183840138681246"/>
    <n v="6.1813487007938477E-2"/>
    <n v="6.1813487007938477E-2"/>
    <n v="0.75183840138681246"/>
    <n v="0.32217655773028753"/>
    <n v="-0.29343697422819898"/>
    <n v="48.490243439539128"/>
    <n v="0.86198821932854286"/>
    <n v="48.490243439539128"/>
    <n v="48.490243439539128"/>
    <n v="0.86198821932854286"/>
    <n v="576.53379208281945"/>
    <n v="-0.64091680343549529"/>
    <s v="[[sv,wv],[yr],[ya]]"/>
    <x v="1"/>
    <x v="0"/>
    <x v="5"/>
    <x v="4"/>
    <x v="0"/>
    <x v="0"/>
    <x v="5"/>
    <x v="4"/>
  </r>
  <r>
    <d v="2026-03-24T22:45:41"/>
    <s v="03-24_22-45-4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19146484519616"/>
    <n v="16.34968741642302"/>
    <n v="0.75623925973538797"/>
    <n v="0.17420108241573809"/>
    <n v="23.212120267838539"/>
    <n v="0.70453325746793793"/>
    <n v="23.212120267838539"/>
    <n v="23.212120267838539"/>
    <n v="0.70453325746793793"/>
    <n v="97.281445545611234"/>
    <n v="2.926126826011061E-2"/>
    <n v="0.8"/>
    <s v="identity"/>
    <n v="6.4043138018223589E-2"/>
    <n v="0.53496401286574069"/>
    <n v="6.4043138018223589E-2"/>
    <n v="6.4043138018223589E-2"/>
    <n v="0.53496401286574069"/>
    <n v="0.16470765465836551"/>
    <n v="-0.19599053298772559"/>
    <n v="8.3960955537122989E-2"/>
    <n v="0.70909322161358346"/>
    <n v="8.3960955537122989E-2"/>
    <n v="8.3960955537122989E-2"/>
    <n v="0.70909322161358346"/>
    <n v="0.23874744966175879"/>
    <n v="0.17279107908238461"/>
    <n v="4.0401014507921593E-2"/>
    <n v="0.8378027056685412"/>
    <n v="4.0401014507921593E-2"/>
    <n v="4.0401014507921593E-2"/>
    <n v="0.8378027056685412"/>
    <n v="0.187790059358656"/>
    <n v="0.2460823100284816"/>
    <n v="92.660075963291334"/>
    <n v="0.73627308972388472"/>
    <n v="92.660075963291334"/>
    <n v="92.660075963291334"/>
    <n v="0.73627308972388472"/>
    <n v="388.53453701876498"/>
    <n v="-0.1058377830826909"/>
    <s v="[[sv,wv],[yr],[ya]]"/>
    <x v="0"/>
    <x v="1"/>
    <x v="4"/>
    <x v="5"/>
    <x v="0"/>
    <x v="0"/>
    <x v="4"/>
    <x v="5"/>
  </r>
  <r>
    <d v="2026-03-24T23:33:57"/>
    <s v="03-24_23-33-5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6890673128972413E-2"/>
    <n v="20.456867114547219"/>
    <n v="0.7353780152892212"/>
    <n v="-0.40968158662425103"/>
    <n v="29.076951130872398"/>
    <n v="0.66593878639031767"/>
    <n v="29.076951130872398"/>
    <n v="29.076951130872398"/>
    <n v="0.66593878639031767"/>
    <n v="130.18945259075909"/>
    <n v="-0.38402531735350598"/>
    <n v="0.8"/>
    <s v="identity"/>
    <n v="6.2768368889640755E-2"/>
    <n v="0.544220484962878"/>
    <n v="6.2768368889640755E-2"/>
    <n v="6.2768368889640755E-2"/>
    <n v="0.544220484962878"/>
    <n v="0.15662899761723989"/>
    <n v="-0.13732903750057451"/>
    <n v="8.386844056888966E-2"/>
    <n v="0.709413766218979"/>
    <n v="8.386844056888966E-2"/>
    <n v="8.386844056888966E-2"/>
    <n v="0.709413766218979"/>
    <n v="0.39665118979470892"/>
    <n v="-0.37431165507995301"/>
    <n v="6.4624737180434294E-2"/>
    <n v="0.74055212114802638"/>
    <n v="6.4624737180434294E-2"/>
    <n v="6.4624737180434294E-2"/>
    <n v="0.74055212114802638"/>
    <n v="0.38482784362340777"/>
    <n v="-0.54496207036800848"/>
    <n v="116.0965429768508"/>
    <n v="0.66956877323138864"/>
    <n v="116.0965429768508"/>
    <n v="116.0965429768508"/>
    <n v="0.66956877323138864"/>
    <n v="519.81970233200127"/>
    <n v="-0.47949850646549241"/>
    <s v="[[sv,wv],[yr],[ya]]"/>
    <x v="1"/>
    <x v="0"/>
    <x v="5"/>
    <x v="0"/>
    <x v="0"/>
    <x v="0"/>
    <x v="5"/>
    <x v="0"/>
  </r>
  <r>
    <d v="2026-03-24T23:39:39"/>
    <s v="03-24_23-39-39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9145980056663946E-2"/>
    <n v="19.560134604250429"/>
    <n v="0.7632189894133603"/>
    <n v="-0.21869210464986219"/>
    <n v="30.43000102943919"/>
    <n v="0.69927565931011282"/>
    <n v="30.43000102943919"/>
    <n v="30.43000102943919"/>
    <n v="0.69927565931011282"/>
    <n v="131.83569153911449"/>
    <n v="-0.36732657734456958"/>
    <n v="0.8"/>
    <s v="identity"/>
    <n v="6.3276675777605138E-2"/>
    <n v="0.54052951973652696"/>
    <n v="6.3276675777605138E-2"/>
    <n v="6.3276675777605138E-2"/>
    <n v="0.54052951973652696"/>
    <n v="0.1449304206392068"/>
    <n v="-5.2382242865095067E-2"/>
    <n v="4.3195479103338617E-2"/>
    <n v="0.85033689068421725"/>
    <n v="4.3195479103338617E-2"/>
    <n v="4.3195479103338617E-2"/>
    <n v="0.85033689068421725"/>
    <n v="0.35276718154556391"/>
    <n v="-0.2222629393313906"/>
    <n v="6.1724888377974532E-2"/>
    <n v="0.7521940968622024"/>
    <n v="6.1724888377974532E-2"/>
    <n v="6.1724888377974532E-2"/>
    <n v="0.7521940968622024"/>
    <n v="0.42254133693120688"/>
    <n v="-0.69636981714905044"/>
    <n v="121.5518070744979"/>
    <n v="0.6540421299575081"/>
    <n v="121.5518070744979"/>
    <n v="121.5518070744979"/>
    <n v="0.6540421299575081"/>
    <n v="526.42252721734064"/>
    <n v="-0.49829131003274463"/>
    <s v="[[sv,wv],[yr],[ya]]"/>
    <x v="1"/>
    <x v="0"/>
    <x v="5"/>
    <x v="0"/>
    <x v="0"/>
    <x v="0"/>
    <x v="5"/>
    <x v="0"/>
  </r>
  <r>
    <d v="2026-03-25T02:08:35"/>
    <s v="03-25_02-08-3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9406834354012305E-2"/>
    <n v="13.678979494846651"/>
    <n v="0.76103251111177472"/>
    <n v="-0.1068415927670955"/>
    <n v="18.188254282493411"/>
    <n v="0.69654862544785912"/>
    <n v="18.188254282493411"/>
    <n v="18.188254282493411"/>
    <n v="0.69654862544785912"/>
    <n v="83.561119178045942"/>
    <n v="-1.5478016339841531E-2"/>
    <n v="0.8"/>
    <s v="identity"/>
    <n v="6.3538808358192547E-2"/>
    <n v="0.53862609827490471"/>
    <n v="6.3538808358192547E-2"/>
    <n v="6.3538808358192547E-2"/>
    <n v="0.53862609827490471"/>
    <n v="0.2928433637676876"/>
    <n v="-1.1264214552802301"/>
    <n v="8.990226151812937E-2"/>
    <n v="0.6885078653454747"/>
    <n v="8.990226151812937E-2"/>
    <n v="8.990226151812937E-2"/>
    <n v="0.6885078653454747"/>
    <n v="0.13048216750936481"/>
    <n v="0.54790715822376468"/>
    <n v="5.8404227305030712E-2"/>
    <n v="0.76552550073864911"/>
    <n v="5.8404227305030712E-2"/>
    <n v="5.8404227305030712E-2"/>
    <n v="0.76552550073864911"/>
    <n v="0.13292759820672351"/>
    <n v="0.46633773845252408"/>
    <n v="72.541171832792216"/>
    <n v="0.79353503743240938"/>
    <n v="72.541171832792216"/>
    <n v="72.541171832792216"/>
    <n v="0.79353503743240938"/>
    <n v="333.68822358270091"/>
    <n v="5.0264493244590369E-2"/>
    <s v="[[sv,wv],[yr],[ya]]"/>
    <x v="1"/>
    <x v="0"/>
    <x v="2"/>
    <x v="4"/>
    <x v="0"/>
    <x v="0"/>
    <x v="2"/>
    <x v="4"/>
  </r>
  <r>
    <d v="2026-03-25T02:08:15"/>
    <s v="03-25_02-08-15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70075915561524"/>
    <n v="19.501017650477909"/>
    <n v="0.75016114569958392"/>
    <n v="-0.51503612873520244"/>
    <n v="21.604406645884719"/>
    <n v="0.70892519939931842"/>
    <n v="21.604406645884719"/>
    <n v="21.604406645884719"/>
    <n v="0.70892519939931842"/>
    <n v="140.36971120896209"/>
    <n v="-0.52199931479146933"/>
    <n v="0.8"/>
    <s v="identity"/>
    <n v="6.3265494784878251E-2"/>
    <n v="0.54061070820028412"/>
    <n v="6.3265494784878251E-2"/>
    <n v="6.3265494784878251E-2"/>
    <n v="0.54061070820028412"/>
    <n v="0.15308831523155059"/>
    <n v="-0.1116191054249578"/>
    <n v="5.6495021974660858E-2"/>
    <n v="0.80425681517819525"/>
    <n v="5.6495021974660858E-2"/>
    <n v="5.6495021974660858E-2"/>
    <n v="0.80425681517819525"/>
    <n v="0.47223522241236848"/>
    <n v="-0.63619418471047062"/>
    <n v="6.5692537388539834E-2"/>
    <n v="0.73626524105972235"/>
    <n v="6.5692537388539834E-2"/>
    <n v="6.5692537388539834E-2"/>
    <n v="0.73626524105972235"/>
    <n v="0.43468758913527289"/>
    <n v="-0.74513317786566646"/>
    <n v="86.232173529390963"/>
    <n v="0.75456803315907528"/>
    <n v="86.232173529390963"/>
    <n v="86.232173529390963"/>
    <n v="0.75456803315907528"/>
    <n v="560.41883370906805"/>
    <n v="-0.59505079116478088"/>
    <s v="[[sv,wv],[yr],[ya]]"/>
    <x v="1"/>
    <x v="1"/>
    <x v="5"/>
    <x v="2"/>
    <x v="0"/>
    <x v="0"/>
    <x v="5"/>
    <x v="2"/>
  </r>
  <r>
    <d v="2026-03-25T02:53:12"/>
    <s v="03-25_02-53-12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175418062737594"/>
    <n v="16.974854142597518"/>
    <n v="0.67726041830936068"/>
    <n v="-0.29108343002593512"/>
    <n v="22.962539773336189"/>
    <n v="0.62202654945396751"/>
    <n v="22.962539773336189"/>
    <n v="22.962539773336189"/>
    <n v="0.62202654945396751"/>
    <n v="119.59445750473439"/>
    <n v="-0.29729402609371369"/>
    <n v="0.8"/>
    <s v="identity"/>
    <n v="6.438403802819187E-2"/>
    <n v="0.5324886380237932"/>
    <n v="6.438403802819187E-2"/>
    <n v="6.438403802819187E-2"/>
    <n v="0.5324886380237932"/>
    <n v="0.14935327435164361"/>
    <n v="-8.4497879383846008E-2"/>
    <n v="7.675132180490081E-2"/>
    <n v="0.73407306264766348"/>
    <n v="7.675132180490081E-2"/>
    <n v="7.675132180490081E-2"/>
    <n v="0.73407306264766348"/>
    <n v="0.33775083123802607"/>
    <n v="-0.1702344927380659"/>
    <n v="0.12897717119969679"/>
    <n v="0.48219745335814879"/>
    <n v="0.12897717119969679"/>
    <n v="0.12897717119969679"/>
    <n v="0.48219745335814879"/>
    <n v="0.39240933246650478"/>
    <n v="-0.57539935003368003"/>
    <n v="91.580046562312319"/>
    <n v="0.73934704378626215"/>
    <n v="91.580046562312319"/>
    <n v="91.580046562312319"/>
    <n v="0.73934704378626215"/>
    <n v="477.49831658088118"/>
    <n v="-0.35904438221927237"/>
    <s v="[[sv,wv],[yr],[ya]]"/>
    <x v="0"/>
    <x v="0"/>
    <x v="0"/>
    <x v="4"/>
    <x v="0"/>
    <x v="0"/>
    <x v="0"/>
    <x v="4"/>
  </r>
  <r>
    <d v="2026-03-25T02:57:32"/>
    <s v="03-25_02-57-3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526266712728249"/>
    <n v="20.80416325294917"/>
    <n v="0.74533265921948111"/>
    <n v="-1.241587581040863"/>
    <n v="25.975265977805229"/>
    <n v="0.69765416130046776"/>
    <n v="25.975265977805229"/>
    <n v="25.975265977805229"/>
    <n v="0.69765416130046776"/>
    <n v="165.19802542943989"/>
    <n v="-1.310786737178312"/>
    <n v="0.8"/>
    <s v="identity"/>
    <n v="5.7277745213187903E-2"/>
    <n v="0.58408951200267456"/>
    <n v="5.7277745213187903E-2"/>
    <n v="5.7277745213187903E-2"/>
    <n v="0.58408951200267456"/>
    <n v="0.16540034943177151"/>
    <n v="-0.20102039266827301"/>
    <n v="5.7008747720012562E-2"/>
    <n v="0.80247686519312922"/>
    <n v="5.7008747720012562E-2"/>
    <n v="5.7008747720012562E-2"/>
    <n v="0.80247686519312922"/>
    <n v="0.95132563273020876"/>
    <n v="-2.296140131368583"/>
    <n v="7.4916859501824362E-2"/>
    <n v="0.69923250544554039"/>
    <n v="7.4916859501824362E-2"/>
    <n v="7.4916859501824362E-2"/>
    <n v="0.69923250544554039"/>
    <n v="0.71499256946448098"/>
    <n v="-1.870469012888222"/>
    <n v="103.7118605587859"/>
    <n v="0.70481776256052653"/>
    <n v="103.7118605587859"/>
    <n v="103.7118605587859"/>
    <n v="0.70481776256052653"/>
    <n v="658.96038316613181"/>
    <n v="-0.87551741178818676"/>
    <s v="[[sv,wv],[yr],[ya]]"/>
    <x v="0"/>
    <x v="0"/>
    <x v="0"/>
    <x v="4"/>
    <x v="0"/>
    <x v="0"/>
    <x v="0"/>
    <x v="4"/>
  </r>
  <r>
    <d v="2026-03-25T05:19:43"/>
    <s v="03-25_05-19-43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64378035598636"/>
    <n v="17.456663467486049"/>
    <n v="0.7464789701540081"/>
    <n v="-5.1717134976084073E-2"/>
    <n v="24.55567067157499"/>
    <n v="0.67817481102443478"/>
    <n v="24.55567067157499"/>
    <n v="24.55567067157499"/>
    <n v="0.67817481102443478"/>
    <n v="92.724728415241515"/>
    <n v="-6.6707600267529477E-2"/>
    <n v="0.8"/>
    <s v="identity"/>
    <n v="6.2932533945993713E-2"/>
    <n v="0.54302843439514459"/>
    <n v="6.2932533945993713E-2"/>
    <n v="6.2932533945993713E-2"/>
    <n v="0.54302843439514459"/>
    <n v="0.2427779046066679"/>
    <n v="-0.76288148920845855"/>
    <n v="9.0914637985058472E-2"/>
    <n v="0.68500019711296689"/>
    <n v="9.0914637985058472E-2"/>
    <n v="9.0914637985058472E-2"/>
    <n v="0.68500019711296689"/>
    <n v="0.2133127181043134"/>
    <n v="0.26091699152782188"/>
    <n v="5.8877806669206598E-2"/>
    <n v="0.76362422938553787"/>
    <n v="5.8877806669206598E-2"/>
    <n v="5.8877806669206598E-2"/>
    <n v="0.76362422938553787"/>
    <n v="0.17710595796376349"/>
    <n v="0.28897559772735221"/>
    <n v="98.009957707699769"/>
    <n v="0.72104638320408454"/>
    <n v="98.009957707699769"/>
    <n v="98.009957707699769"/>
    <n v="0.72104638320408454"/>
    <n v="370.26571708028979"/>
    <n v="-5.3841501116836721E-2"/>
    <s v="[[sv,wv],[yr],[ya]]"/>
    <x v="1"/>
    <x v="1"/>
    <x v="2"/>
    <x v="5"/>
    <x v="0"/>
    <x v="0"/>
    <x v="2"/>
    <x v="5"/>
  </r>
  <r>
    <d v="2026-03-25T05:20:14"/>
    <s v="03-25_05-20-14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9511531057376729E-2"/>
    <n v="19.38067765263181"/>
    <n v="0.76487671131364676"/>
    <n v="-0.32116900812666033"/>
    <n v="26.616706688922399"/>
    <n v="0.69925639623241809"/>
    <n v="26.616706688922399"/>
    <n v="26.616706688922399"/>
    <n v="0.69925639623241809"/>
    <n v="132.1365619851625"/>
    <n v="-0.306749415722751"/>
    <n v="0.8"/>
    <s v="identity"/>
    <n v="6.5214781371883496E-2"/>
    <n v="0.52645636723189482"/>
    <n v="6.5214781371883496E-2"/>
    <n v="6.5214781371883496E-2"/>
    <n v="0.52645636723189482"/>
    <n v="0.12750993134463889"/>
    <n v="7.4113033383798044E-2"/>
    <n v="5.0482336289180023E-2"/>
    <n v="0.82508948687688721"/>
    <n v="5.0482336289180023E-2"/>
    <n v="5.0482336289180023E-2"/>
    <n v="0.82508948687688721"/>
    <n v="0.3837990185856649"/>
    <n v="-0.3297816268331859"/>
    <n v="6.2770789026558749E-2"/>
    <n v="0.74799513657850414"/>
    <n v="6.2770789026558749E-2"/>
    <n v="6.2770789026558749E-2"/>
    <n v="0.74799513657850414"/>
    <n v="0.36602891898820988"/>
    <n v="-0.46949033409335961"/>
    <n v="106.2883588490019"/>
    <n v="0.69748459424238773"/>
    <n v="106.2883588490019"/>
    <n v="106.2883588490019"/>
    <n v="0.69748459424238773"/>
    <n v="527.66891007173103"/>
    <n v="-0.5018387353482574"/>
    <s v="[[sv,wv],[yr],[ya]]"/>
    <x v="1"/>
    <x v="1"/>
    <x v="5"/>
    <x v="5"/>
    <x v="0"/>
    <x v="0"/>
    <x v="5"/>
    <x v="5"/>
  </r>
  <r>
    <d v="2026-03-25T06:09:04"/>
    <s v="03-25_06-09-0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802788253539231"/>
    <n v="16.513774669559531"/>
    <n v="0.74344396863945095"/>
    <n v="-0.52276811563497916"/>
    <n v="22.17171110568124"/>
    <n v="0.69281273005672828"/>
    <n v="22.17171110568124"/>
    <n v="22.17171110568124"/>
    <n v="0.69281273005672828"/>
    <n v="137.52187849674951"/>
    <n v="-0.63754437364173233"/>
    <n v="0.8"/>
    <s v="identity"/>
    <n v="6.403796604244788E-2"/>
    <n v="0.5350015680970226"/>
    <n v="6.403796604244788E-2"/>
    <n v="6.403796604244788E-2"/>
    <n v="0.5350015680970226"/>
    <n v="0.1437542286950747"/>
    <n v="-4.3841568583281809E-2"/>
    <n v="6.481501202474832E-2"/>
    <n v="0.77542982665484717"/>
    <n v="6.481501202474832E-2"/>
    <n v="6.481501202474832E-2"/>
    <n v="0.77542982665484717"/>
    <n v="0.59744960757288401"/>
    <n v="-1.0700352857514901"/>
    <n v="7.1570400930122249E-2"/>
    <n v="0.71266747811970366"/>
    <n v="7.1570400930122249E-2"/>
    <n v="7.1570400930122249E-2"/>
    <n v="0.71266747811970366"/>
    <n v="0.46680958358636238"/>
    <n v="-0.87409282533875854"/>
    <n v="88.486421043727475"/>
    <n v="0.74815204735533913"/>
    <n v="88.486421043727475"/>
    <n v="88.486421043727475"/>
    <n v="0.74815204735533913"/>
    <n v="548.87950056714351"/>
    <n v="-0.56220781489340177"/>
    <s v="[[sv,wv],[yr],[ya]]"/>
    <x v="0"/>
    <x v="1"/>
    <x v="0"/>
    <x v="5"/>
    <x v="0"/>
    <x v="0"/>
    <x v="0"/>
    <x v="5"/>
  </r>
  <r>
    <d v="2026-03-25T06:06:25"/>
    <s v="03-25_06-06-25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793301666965721"/>
    <n v="18.279961359396118"/>
    <n v="0.69132907859295889"/>
    <n v="-0.2362365711369393"/>
    <n v="25.199762940146439"/>
    <n v="0.61473513248503897"/>
    <n v="25.199762940146439"/>
    <n v="25.199762940146439"/>
    <n v="0.61473513248503897"/>
    <n v="125.443265288457"/>
    <n v="-0.23023758668676131"/>
    <n v="0.8"/>
    <s v="identity"/>
    <n v="6.0570701421396721E-2"/>
    <n v="0.56017839227524147"/>
    <n v="6.0570701421396721E-2"/>
    <n v="6.0570701421396721E-2"/>
    <n v="0.56017839227524147"/>
    <n v="0.15876002182448751"/>
    <n v="-0.15280302857113129"/>
    <n v="7.7952040741526785E-2"/>
    <n v="0.7299128279842193"/>
    <n v="7.7952040741526785E-2"/>
    <n v="7.7952040741526785E-2"/>
    <n v="0.7299128279842193"/>
    <n v="0.31847755533717059"/>
    <n v="-0.10345670816662381"/>
    <n v="0.13576150015288871"/>
    <n v="0.45496051850725427"/>
    <n v="0.13576150015288871"/>
    <n v="0.13576150015288871"/>
    <n v="0.45496051850725427"/>
    <n v="0.30856541949483379"/>
    <n v="-0.23879255944180319"/>
    <n v="100.52476751827029"/>
    <n v="0.71388879117343951"/>
    <n v="100.52476751827029"/>
    <n v="100.52476751827029"/>
    <n v="0.71388879117343951"/>
    <n v="500.98725815717302"/>
    <n v="-0.42589805056750157"/>
    <s v="[[sv,wv],[yr],[ya]]"/>
    <x v="0"/>
    <x v="1"/>
    <x v="0"/>
    <x v="5"/>
    <x v="0"/>
    <x v="0"/>
    <x v="0"/>
    <x v="5"/>
  </r>
  <r>
    <d v="2026-03-25T08:30:01"/>
    <s v="03-25_08-30-01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8102865567190847E-2"/>
    <n v="14.185274615837359"/>
    <n v="0.77033760485889868"/>
    <n v="-0.26235596586441001"/>
    <n v="18.516102349495409"/>
    <n v="0.72015540805082523"/>
    <n v="18.516102349495409"/>
    <n v="18.516102349495409"/>
    <n v="0.72015540805082523"/>
    <n v="96.796297375625954"/>
    <n v="-0.14716882610050941"/>
    <n v="0.8"/>
    <s v="identity"/>
    <n v="6.451740165252004E-2"/>
    <n v="0.53152024567753431"/>
    <n v="6.451740165252004E-2"/>
    <n v="6.451740165252004E-2"/>
    <n v="0.53152024567753431"/>
    <n v="0.257438999493248"/>
    <n v="-0.86933999427280706"/>
    <n v="8.5376590086404247E-2"/>
    <n v="0.70418835025439752"/>
    <n v="8.5376590086404247E-2"/>
    <n v="8.5376590086404247E-2"/>
    <n v="0.70418835025439752"/>
    <n v="0.25770434961758137"/>
    <n v="0.1071094695882706"/>
    <n v="3.6071556355802961E-2"/>
    <n v="0.85518411073343703"/>
    <n v="3.6071556355802961E-2"/>
    <n v="3.6071556355802961E-2"/>
    <n v="0.85518411073343703"/>
    <n v="0.18094293758460089"/>
    <n v="0.27357133819365298"/>
    <n v="73.878443849887333"/>
    <n v="0.7897289255379305"/>
    <n v="73.878443849887333"/>
    <n v="73.878443849887333"/>
    <n v="0.7897289255379305"/>
    <n v="386.48910321580809"/>
    <n v="-0.1000161179111463"/>
    <s v="[[sv,wv],[yr],[ya]]"/>
    <x v="1"/>
    <x v="0"/>
    <x v="5"/>
    <x v="4"/>
    <x v="0"/>
    <x v="0"/>
    <x v="5"/>
    <x v="4"/>
  </r>
  <r>
    <d v="2026-03-25T08:31:27"/>
    <s v="03-25_08-31-2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028334428450208"/>
    <n v="19.255720437672618"/>
    <n v="0.76582276002332428"/>
    <n v="0.1629518058717529"/>
    <n v="24.862287609843801"/>
    <n v="0.70667127345218961"/>
    <n v="24.862287609843801"/>
    <n v="24.862287609843801"/>
    <n v="0.70667127345218961"/>
    <n v="111.2726061512717"/>
    <n v="0.2023592130044542"/>
    <n v="0.8"/>
    <s v="identity"/>
    <n v="6.8717053854430485E-2"/>
    <n v="0.50102534071550286"/>
    <n v="6.8717053854430485E-2"/>
    <n v="6.8717053854430485E-2"/>
    <n v="0.50102534071550286"/>
    <n v="7.9110798342399799E-2"/>
    <n v="0.42555331705219168"/>
    <n v="8.2184071835986167E-2"/>
    <n v="0.71524974412762865"/>
    <n v="8.2184071835986167E-2"/>
    <n v="8.2184071835986167E-2"/>
    <n v="0.71524974412762865"/>
    <n v="0.16930157837597731"/>
    <n v="0.41340619069878431"/>
    <n v="2.666350983721729E-2"/>
    <n v="0.89295444172252381"/>
    <n v="2.666350983721729E-2"/>
    <n v="2.666350983721729E-2"/>
    <n v="0.89295444172252381"/>
    <n v="0.19029281923589519"/>
    <n v="0.2360345207490826"/>
    <n v="99.271585803846861"/>
    <n v="0.71745556724310666"/>
    <n v="99.271585803846861"/>
    <n v="99.271585803846861"/>
    <n v="0.71745556724310666"/>
    <n v="444.6517194091341"/>
    <n v="-0.26555717648224242"/>
    <s v="[[sv,wv],[yr],[ya]]"/>
    <x v="0"/>
    <x v="0"/>
    <x v="4"/>
    <x v="0"/>
    <x v="1"/>
    <x v="1"/>
    <x v="4"/>
    <x v="0"/>
  </r>
  <r>
    <d v="2026-03-25T09:20:55"/>
    <s v="03-25_09-20-55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32495527622964"/>
    <n v="14.67050267496275"/>
    <n v="0.77687942760382334"/>
    <n v="-4.1027416506518949E-2"/>
    <n v="19.498519936698781"/>
    <n v="0.73070429358122835"/>
    <n v="19.498519936698781"/>
    <n v="19.498519936698781"/>
    <n v="0.73070429358122835"/>
    <n v="145.8117706022469"/>
    <n v="-0.1048590808046513"/>
    <n v="0.8"/>
    <s v="identity"/>
    <n v="6.5014961502872823E-2"/>
    <n v="0.52790731783971756"/>
    <n v="6.5014961502872823E-2"/>
    <n v="6.5014961502872823E-2"/>
    <n v="0.52790731783971756"/>
    <n v="0.16344641454478301"/>
    <n v="-0.18683229903194601"/>
    <n v="7.3190967300165666E-2"/>
    <n v="0.74640893057889635"/>
    <n v="7.3190967300165666E-2"/>
    <n v="7.3190967300165666E-2"/>
    <n v="0.74640893057889635"/>
    <n v="0.22232844702908969"/>
    <n v="0.2296794164009848"/>
    <n v="3.2381055338378512E-2"/>
    <n v="0.87000030500589465"/>
    <n v="3.2381055338378512E-2"/>
    <n v="3.2381055338378512E-2"/>
    <n v="0.87000030500589465"/>
    <n v="0.20024674687329461"/>
    <n v="0.1960726497311964"/>
    <n v="77.823492762654027"/>
    <n v="0.77850062090040484"/>
    <n v="77.823492762654027"/>
    <n v="77.823492762654027"/>
    <n v="0.77850062090040484"/>
    <n v="582.66106080054305"/>
    <n v="-0.65835609031884412"/>
    <s v="[[sv,wv],[yr],[ya]]"/>
    <x v="0"/>
    <x v="0"/>
    <x v="4"/>
    <x v="4"/>
    <x v="0"/>
    <x v="0"/>
    <x v="4"/>
    <x v="4"/>
  </r>
  <r>
    <d v="2026-03-25T09:21:04"/>
    <s v="03-25_09-21-0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8.6006112871004001E-2"/>
    <n v="12.13090277297843"/>
    <n v="0.76904816148032851"/>
    <n v="0.141669136323991"/>
    <n v="20.17857600888555"/>
    <n v="0.72125990967871645"/>
    <n v="20.17857600888555"/>
    <n v="20.17857600888555"/>
    <n v="0.72125990967871645"/>
    <n v="94.163748319440018"/>
    <n v="8.8926758823280633E-2"/>
    <n v="0.8"/>
    <s v="identity"/>
    <n v="7.2657268360128813E-2"/>
    <n v="0.47241428887015519"/>
    <n v="7.2657268360128813E-2"/>
    <n v="7.2657268360128813E-2"/>
    <n v="0.47241428887015519"/>
    <n v="0.14003690257251911"/>
    <n v="-1.68489745849878E-2"/>
    <n v="7.3697582417464505E-2"/>
    <n v="0.7446536174013314"/>
    <n v="7.3697582417464505E-2"/>
    <n v="7.3697582417464505E-2"/>
    <n v="0.7446536174013314"/>
    <n v="0.21033147409516581"/>
    <n v="0.27124636527942819"/>
    <n v="2.560364948215205E-2"/>
    <n v="0.89720944581226159"/>
    <n v="2.560364948215205E-2"/>
    <n v="2.560364948215205E-2"/>
    <n v="0.89720944581226159"/>
    <n v="0.20630473033600111"/>
    <n v="0.17175176228013839"/>
    <n v="80.542345535282394"/>
    <n v="0.77076228663112367"/>
    <n v="80.542345535282394"/>
    <n v="80.542345535282394"/>
    <n v="0.77076228663112367"/>
    <n v="376.09832017075581"/>
    <n v="-7.044211768146047E-2"/>
    <s v="[[sv,wv],[yr],[ya]]"/>
    <x v="0"/>
    <x v="0"/>
    <x v="4"/>
    <x v="4"/>
    <x v="0"/>
    <x v="0"/>
    <x v="4"/>
    <x v="4"/>
  </r>
  <r>
    <d v="2026-03-25T10:01:55"/>
    <s v="03-25_10-01-5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112791001431351"/>
    <n v="24.052531454951009"/>
    <n v="0.7647864492412968"/>
    <n v="-5.3995650841509903E-2"/>
    <n v="29.612563598700959"/>
    <n v="0.69574589128821795"/>
    <n v="29.612563598700959"/>
    <n v="29.612563598700959"/>
    <n v="0.69574589128821795"/>
    <n v="116.237090158858"/>
    <n v="-9.8173738923084203E-2"/>
    <n v="0.8"/>
    <s v="identity"/>
    <n v="6.6267478448007622E-2"/>
    <n v="0.51881242536556349"/>
    <n v="6.6267478448007622E-2"/>
    <n v="6.6267478448007622E-2"/>
    <n v="0.51881242536556349"/>
    <n v="0.17179873614883451"/>
    <n v="-0.24748095308287049"/>
    <n v="6.4515364413070833E-2"/>
    <n v="0.77646804162997007"/>
    <n v="6.4515364413070833E-2"/>
    <n v="6.4515364413070833E-2"/>
    <n v="0.77646804162997007"/>
    <n v="0.25870975953213138"/>
    <n v="0.103625938971826"/>
    <n v="4.375521878384963E-2"/>
    <n v="0.82433663644189181"/>
    <n v="4.375521878384963E-2"/>
    <n v="4.375521878384963E-2"/>
    <n v="0.82433663644189181"/>
    <n v="0.23100144118839011"/>
    <n v="7.2602279824482752E-2"/>
    <n v="118.2757163331586"/>
    <n v="0.66336646171544755"/>
    <n v="118.2757163331586"/>
    <n v="118.2757163331586"/>
    <n v="0.66336646171544755"/>
    <n v="464.2868506985626"/>
    <n v="-0.32144222140577883"/>
    <s v="[[sv,wv],[yr],[ya]]"/>
    <x v="0"/>
    <x v="0"/>
    <x v="4"/>
    <x v="0"/>
    <x v="0"/>
    <x v="0"/>
    <x v="4"/>
    <x v="0"/>
  </r>
  <r>
    <d v="2026-03-25T10:00:26"/>
    <s v="03-25_10-00-2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8.3598644998711891E-2"/>
    <n v="13.96838668004548"/>
    <n v="0.83107159950370157"/>
    <n v="-0.1146196731670991"/>
    <n v="17.6196991492472"/>
    <n v="0.76243091464976687"/>
    <n v="17.6196991492472"/>
    <n v="17.6196991492472"/>
    <n v="0.76243091464976687"/>
    <n v="92.444594472219208"/>
    <n v="-0.18039208211276189"/>
    <n v="0.8"/>
    <s v="identity"/>
    <n v="6.3730590825500991E-2"/>
    <n v="0.53723350959546745"/>
    <n v="6.3730590825500991E-2"/>
    <n v="6.3730590825500991E-2"/>
    <n v="0.53723350959546745"/>
    <n v="0.2228835116081028"/>
    <n v="-0.61842247341363499"/>
    <n v="4.1814924666263423E-2"/>
    <n v="0.85512021694709006"/>
    <n v="4.1814924666263423E-2"/>
    <n v="4.1814924666263423E-2"/>
    <n v="0.85512021694709006"/>
    <n v="0.28454489779418168"/>
    <n v="1.411270281460175E-2"/>
    <n v="3.5478852077227951E-2"/>
    <n v="0.85756363093842336"/>
    <n v="3.5478852077227951E-2"/>
    <n v="3.5478852077227951E-2"/>
    <n v="0.85756363093842336"/>
    <n v="0.26577555419090332"/>
    <n v="-6.7004784762425995E-2"/>
    <n v="70.337772229419514"/>
    <n v="0.79980630111809115"/>
    <n v="70.337772229419514"/>
    <n v="70.337772229419514"/>
    <n v="0.79980630111809115"/>
    <n v="369.00517392528451"/>
    <n v="-5.0253773089601113E-2"/>
    <s v="[[sv,wv],[yr],[ya]]"/>
    <x v="0"/>
    <x v="0"/>
    <x v="4"/>
    <x v="0"/>
    <x v="0"/>
    <x v="0"/>
    <x v="4"/>
    <x v="0"/>
  </r>
  <r>
    <d v="2026-03-25T12:32:52"/>
    <s v="03-25_12-32-52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95014968101809"/>
    <n v="28.780590131070291"/>
    <n v="0.7393302596185084"/>
    <n v="-0.4590660999548079"/>
    <n v="35.68473682601374"/>
    <n v="0.68009858320464733"/>
    <n v="35.68473682601374"/>
    <n v="35.68473682601374"/>
    <n v="0.68009858320464733"/>
    <n v="125.0997715155566"/>
    <n v="-0.48428365116409983"/>
    <n v="0.8"/>
    <s v="identity"/>
    <n v="6.3010126095098373E-2"/>
    <n v="0.54246501506921319"/>
    <n v="6.3010126095098373E-2"/>
    <n v="6.3010126095098373E-2"/>
    <n v="0.54246501506921319"/>
    <n v="0.19505920622549089"/>
    <n v="-0.41638204066272699"/>
    <n v="7.4528598036496571E-2"/>
    <n v="0.74177432577137226"/>
    <n v="7.4528598036496571E-2"/>
    <n v="7.4528598036496571E-2"/>
    <n v="0.74177432577137226"/>
    <n v="0.56779851466842568"/>
    <n v="-0.96730058177758727"/>
    <n v="3.937753227041195E-2"/>
    <n v="0.84191166312276111"/>
    <n v="3.937753227041195E-2"/>
    <n v="3.937753227041195E-2"/>
    <n v="0.84191166312276111"/>
    <n v="0.28201520986610651"/>
    <n v="-0.13220186566434269"/>
    <n v="142.56203104765399"/>
    <n v="0.59424332885524311"/>
    <n v="142.56203104765399"/>
    <n v="142.56203104765399"/>
    <n v="0.59424332885524311"/>
    <n v="499.35421313146497"/>
    <n v="-0.42125011655175171"/>
    <s v="[[sv,wv],[yr],[ya]]"/>
    <x v="1"/>
    <x v="1"/>
    <x v="5"/>
    <x v="2"/>
    <x v="0"/>
    <x v="0"/>
    <x v="5"/>
    <x v="2"/>
  </r>
  <r>
    <d v="2026-03-25T12:37:27"/>
    <s v="03-25_12-37-27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38168043810884"/>
    <n v="19.0164929278843"/>
    <n v="0.72949619976003122"/>
    <n v="-0.1253708438835584"/>
    <n v="23.598237964491009"/>
    <n v="0.67630315046312195"/>
    <n v="23.598237964491009"/>
    <n v="23.598237964491009"/>
    <n v="0.67630315046312195"/>
    <n v="122.0989093493147"/>
    <n v="-0.1037735282396612"/>
    <n v="0.8"/>
    <s v="identity"/>
    <n v="6.7106948788823118E-2"/>
    <n v="0.51271678529090048"/>
    <n v="6.7106948788823118E-2"/>
    <n v="6.7106948788823118E-2"/>
    <n v="0.51271678529090048"/>
    <n v="7.0022959093234388E-2"/>
    <n v="0.49154278020046122"/>
    <n v="8.0317631070541337E-2"/>
    <n v="0.72171656274172324"/>
    <n v="8.0317631070541337E-2"/>
    <n v="8.0317631070541337E-2"/>
    <n v="0.72171656274172324"/>
    <n v="0.1506369711279989"/>
    <n v="0.47807506838868219"/>
    <n v="6.5052824437709197E-2"/>
    <n v="0.73883348621488254"/>
    <n v="6.5052824437709197E-2"/>
    <n v="6.5052824437709197E-2"/>
    <n v="0.73883348621488254"/>
    <n v="0.49734813773456638"/>
    <n v="-0.99669546084094951"/>
    <n v="94.180474453667159"/>
    <n v="0.73194576760498065"/>
    <n v="94.180474453667159"/>
    <n v="94.180474453667159"/>
    <n v="0.73194576760498065"/>
    <n v="487.6776293293031"/>
    <n v="-0.38801650070684102"/>
    <s v="[[sv,wv],[yr],[ya]]"/>
    <x v="1"/>
    <x v="0"/>
    <x v="5"/>
    <x v="0"/>
    <x v="1"/>
    <x v="1"/>
    <x v="5"/>
    <x v="0"/>
  </r>
  <r>
    <d v="2026-03-25T13:39:05"/>
    <s v="03-25_13-39-0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032487947899009"/>
    <n v="30.96823200341386"/>
    <n v="0.75073547884803005"/>
    <n v="-4.7534322147518598E-2"/>
    <n v="36.082261783727283"/>
    <n v="0.70295229557470185"/>
    <n v="36.082261783727283"/>
    <n v="36.082261783727283"/>
    <n v="0.70295229557470185"/>
    <n v="109.651982820884"/>
    <n v="-7.3405316759801054E-2"/>
    <n v="0.8"/>
    <s v="identity"/>
    <n v="6.5215172968353843E-2"/>
    <n v="0.52645352373520204"/>
    <n v="6.5215172968353843E-2"/>
    <n v="6.5215172968353843E-2"/>
    <n v="0.52645352373520204"/>
    <n v="0.14704824421459409"/>
    <n v="-6.7760380280475818E-2"/>
    <n v="4.9189226079850032E-2"/>
    <n v="0.82956983756713676"/>
    <n v="4.9189226079850032E-2"/>
    <n v="4.9189226079850032E-2"/>
    <n v="0.82956983756713676"/>
    <n v="0.25246062184345419"/>
    <n v="0.1252778663596992"/>
    <n v="3.3339805748618903E-2"/>
    <n v="0.86615122536336042"/>
    <n v="3.3339805748618903E-2"/>
    <n v="3.3339805748618903E-2"/>
    <n v="0.86615122536336042"/>
    <n v="0.27516576374133062"/>
    <n v="-0.1047035059662236"/>
    <n v="144.18130293011211"/>
    <n v="0.58963459563310705"/>
    <n v="144.18130293011211"/>
    <n v="144.18130293011211"/>
    <n v="0.58963459563310705"/>
    <n v="437.93325665373578"/>
    <n v="-0.24643524715220069"/>
    <s v="[[sv,wv],[yr],[ya]]"/>
    <x v="0"/>
    <x v="1"/>
    <x v="4"/>
    <x v="2"/>
    <x v="0"/>
    <x v="0"/>
    <x v="4"/>
    <x v="2"/>
  </r>
  <r>
    <d v="2026-03-25T13:42:34"/>
    <s v="03-25_13-42-34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8.87734562118766E-2"/>
    <n v="21.282217780744588"/>
    <n v="0.7651583399371662"/>
    <n v="0.40907636510799261"/>
    <n v="28.765200228589869"/>
    <n v="0.7002643651279864"/>
    <n v="28.765200228589869"/>
    <n v="28.765200228589869"/>
    <n v="0.7002643651279864"/>
    <n v="69.823775815533807"/>
    <n v="0.20687051891089481"/>
    <n v="0.8"/>
    <s v="identity"/>
    <n v="6.575815070601243E-2"/>
    <n v="0.5225108033121002"/>
    <n v="6.575815070601243E-2"/>
    <n v="6.575815070601243E-2"/>
    <n v="0.5225108033121002"/>
    <n v="0.17808854594791559"/>
    <n v="-0.2931531046874678"/>
    <n v="7.9900070518299574E-2"/>
    <n v="0.72316332087181845"/>
    <n v="7.9900070518299574E-2"/>
    <n v="7.9900070518299574E-2"/>
    <n v="0.72316332087181845"/>
    <n v="0.1451055004200176"/>
    <n v="0.49724043296920079"/>
    <n v="2.9300266954588459E-2"/>
    <n v="0.88236869590757738"/>
    <n v="2.9300266954588459E-2"/>
    <n v="2.9300266954588459E-2"/>
    <n v="0.88236869590757738"/>
    <n v="0.14522074206022129"/>
    <n v="0.41698465422554781"/>
    <n v="114.8858424261802"/>
    <n v="0.67301464042045089"/>
    <n v="114.8858424261802"/>
    <n v="114.8858424261802"/>
    <n v="0.67301464042045089"/>
    <n v="278.82668847370701"/>
    <n v="0.20641009313630099"/>
    <s v="[[sv,wv],[yr],[ya]]"/>
    <x v="0"/>
    <x v="1"/>
    <x v="4"/>
    <x v="2"/>
    <x v="0"/>
    <x v="0"/>
    <x v="4"/>
    <x v="2"/>
  </r>
  <r>
    <d v="2026-03-25T14:03:08"/>
    <s v="03-25_14-03-08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0162374111319443E-2"/>
    <n v="19.965963714762129"/>
    <n v="0.79854401138939624"/>
    <n v="-2.3324701562065401E-2"/>
    <n v="26.113438930777338"/>
    <n v="0.72792352706755026"/>
    <n v="26.113438930777338"/>
    <n v="26.113438930777338"/>
    <n v="0.72792352706755026"/>
    <n v="106.82735084066459"/>
    <n v="-5.9851665071268517E-2"/>
    <n v="0.8"/>
    <s v="identity"/>
    <n v="6.1711659772667432E-2"/>
    <n v="0.55189355943317686"/>
    <n v="6.1711659772667432E-2"/>
    <n v="6.1711659772667432E-2"/>
    <n v="0.55189355943317686"/>
    <n v="0.15853251199012711"/>
    <n v="-0.1511510130128921"/>
    <n v="5.4946689147158327E-2"/>
    <n v="0.80962145772945271"/>
    <n v="5.4946689147158327E-2"/>
    <n v="5.4946689147158327E-2"/>
    <n v="0.80962145772945271"/>
    <n v="0.23551200190713981"/>
    <n v="0.18400121451870211"/>
    <n v="3.8102025924176948E-2"/>
    <n v="0.84703241765780768"/>
    <n v="3.8102025924176948E-2"/>
    <n v="3.8102025924176948E-2"/>
    <n v="0.84703241765780768"/>
    <n v="0.26351528153220399"/>
    <n v="-5.7930504966295697E-2"/>
    <n v="104.29899534826529"/>
    <n v="0.70314667344976045"/>
    <n v="104.29899534826529"/>
    <n v="104.29899534826529"/>
    <n v="0.70314667344976045"/>
    <n v="426.65184356722892"/>
    <n v="-0.21432635682459431"/>
    <s v="[[sv,wv],[yr],[ya]]"/>
    <x v="1"/>
    <x v="0"/>
    <x v="5"/>
    <x v="0"/>
    <x v="0"/>
    <x v="0"/>
    <x v="5"/>
    <x v="0"/>
  </r>
  <r>
    <d v="2026-03-25T14:03:53"/>
    <s v="03-25_14-03-5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8.9568928273841109E-2"/>
    <n v="13.80654442308925"/>
    <n v="0.8342322618158815"/>
    <n v="-0.34135198781649467"/>
    <n v="20.26073877410915"/>
    <n v="0.76103913170010529"/>
    <n v="20.26073877410915"/>
    <n v="20.26073877410915"/>
    <n v="0.76103913170010529"/>
    <n v="100.9478981228288"/>
    <n v="-0.26851741347429198"/>
    <n v="0.8"/>
    <s v="identity"/>
    <n v="6.2488141089866438E-2"/>
    <n v="0.54625530111216514"/>
    <n v="6.2488141089866438E-2"/>
    <n v="6.2488141089866438E-2"/>
    <n v="0.54625530111216514"/>
    <n v="0.19350956581289941"/>
    <n v="-0.40512964764651449"/>
    <n v="4.4423798222514042E-2"/>
    <n v="0.84608102728314183"/>
    <n v="4.4423798222514042E-2"/>
    <n v="4.4423798222514042E-2"/>
    <n v="0.84608102728314183"/>
    <n v="0.34023000589750718"/>
    <n v="-0.17882430342605901"/>
    <n v="2.9368476353462781E-2"/>
    <n v="0.88209485674585986"/>
    <n v="2.9368476353462781E-2"/>
    <n v="2.9368476353462781E-2"/>
    <n v="0.88209485674585986"/>
    <n v="0.33460297431483371"/>
    <n v="-0.34332510631591601"/>
    <n v="80.906674680770607"/>
    <n v="0.76972534165925455"/>
    <n v="80.906674680770607"/>
    <n v="80.906674680770607"/>
    <n v="0.76972534165925455"/>
    <n v="402.92324994529008"/>
    <n v="-0.14679059650867801"/>
    <s v="[[sv,wv],[yr],[ya]]"/>
    <x v="1"/>
    <x v="0"/>
    <x v="5"/>
    <x v="0"/>
    <x v="0"/>
    <x v="0"/>
    <x v="5"/>
    <x v="0"/>
  </r>
  <r>
    <d v="2026-03-25T16:33:12"/>
    <s v="03-25_16-33-12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26174653865868"/>
    <n v="16.346981648918419"/>
    <n v="0.75891371879018865"/>
    <n v="-0.10074781500993291"/>
    <n v="23.33171902413666"/>
    <n v="0.70300826909812297"/>
    <n v="23.33171902413666"/>
    <n v="23.33171902413666"/>
    <n v="0.70300826909812297"/>
    <n v="105.87067844263829"/>
    <n v="-0.10459576426284969"/>
    <n v="0.8"/>
    <s v="identity"/>
    <n v="6.5855352118643101E-2"/>
    <n v="0.52180499537900527"/>
    <n v="6.5855352118643101E-2"/>
    <n v="6.5855352118643101E-2"/>
    <n v="0.52180499537900527"/>
    <n v="0.2192456449425581"/>
    <n v="-0.5920068578110238"/>
    <n v="8.4094637842288614E-2"/>
    <n v="0.70863004097832016"/>
    <n v="8.4094637842288614E-2"/>
    <n v="8.4094637842288614E-2"/>
    <n v="0.70863004097832016"/>
    <n v="0.24636052768275049"/>
    <n v="0.1464133897561605"/>
    <n v="3.8187987982477502E-2"/>
    <n v="0.84668730718369378"/>
    <n v="3.8187987982477502E-2"/>
    <n v="3.8187987982477502E-2"/>
    <n v="0.84668730718369378"/>
    <n v="0.191634962106493"/>
    <n v="0.23064624164597899"/>
    <n v="93.138738118602831"/>
    <n v="0.73491073285147712"/>
    <n v="93.138738118602831"/>
    <n v="93.138738118602831"/>
    <n v="0.73491073285147712"/>
    <n v="422.82547263582182"/>
    <n v="-0.20343583064252971"/>
    <s v="[[sv,wv],[yr],[ya]]"/>
    <x v="1"/>
    <x v="1"/>
    <x v="5"/>
    <x v="5"/>
    <x v="0"/>
    <x v="0"/>
    <x v="5"/>
    <x v="5"/>
  </r>
  <r>
    <d v="2026-03-25T17:43:23"/>
    <s v="03-25_17-43-23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329059253601799"/>
    <n v="16.607963084792651"/>
    <n v="0.77210757866442359"/>
    <n v="-0.30360794972687483"/>
    <n v="21.639753242975839"/>
    <n v="0.72023724841683823"/>
    <n v="21.639753242975839"/>
    <n v="21.639753242975839"/>
    <n v="0.72023724841683823"/>
    <n v="126.4924484631607"/>
    <n v="-0.32812066396388417"/>
    <n v="0.8"/>
    <s v="identity"/>
    <n v="6.8992076869423977E-2"/>
    <n v="0.49902831803329528"/>
    <n v="6.8992076869423977E-2"/>
    <n v="6.8992076869423977E-2"/>
    <n v="0.49902831803329528"/>
    <n v="0.15714067016482491"/>
    <n v="-0.1410444417674297"/>
    <n v="6.8786398524161504E-2"/>
    <n v="0.76166982065109479"/>
    <n v="6.8786398524161504E-2"/>
    <n v="6.8786398524161504E-2"/>
    <n v="0.76166982065109479"/>
    <n v="0.3397181825848431"/>
    <n v="-0.17705094496393009"/>
    <n v="3.3346085580144617E-2"/>
    <n v="0.86612601382610732"/>
    <n v="3.3346085580144617E-2"/>
    <n v="3.3346085580144617E-2"/>
    <n v="0.86612601382610732"/>
    <n v="0.38778295059785373"/>
    <n v="-0.55682589016444362"/>
    <n v="86.387888410929307"/>
    <n v="0.75412484115685419"/>
    <n v="86.387888410929307"/>
    <n v="86.387888410929307"/>
    <n v="0.75412484115685419"/>
    <n v="505.08515204929603"/>
    <n v="-0.43756137895973302"/>
    <s v="[[sv,wv],[yr],[ya]]"/>
    <x v="0"/>
    <x v="1"/>
    <x v="4"/>
    <x v="5"/>
    <x v="0"/>
    <x v="0"/>
    <x v="4"/>
    <x v="5"/>
  </r>
  <r>
    <d v="2026-03-25T17:47:09"/>
    <s v="03-25_17-47-09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8.3308887740887017E-2"/>
    <n v="12.97187820859866"/>
    <n v="0.79501965704900712"/>
    <n v="0.14191072692552209"/>
    <n v="18.88259194981341"/>
    <n v="0.74429208566107974"/>
    <n v="18.88259194981341"/>
    <n v="18.88259194981341"/>
    <n v="0.74429208566107974"/>
    <n v="81.297666028265283"/>
    <n v="-1.328771668340448E-2"/>
    <n v="0.8"/>
    <s v="identity"/>
    <n v="6.0452906395455329E-2"/>
    <n v="0.56103373646766019"/>
    <n v="6.0452906395455329E-2"/>
    <n v="6.0452906395455329E-2"/>
    <n v="0.56103373646766019"/>
    <n v="0.18881594391038981"/>
    <n v="-0.37104788397579203"/>
    <n v="7.6144916094233975E-2"/>
    <n v="0.73617412891777301"/>
    <n v="7.6144916094233975E-2"/>
    <n v="7.6144916094233975E-2"/>
    <n v="0.73617412891777301"/>
    <n v="0.23605901777142929"/>
    <n v="0.18210592138168691"/>
    <n v="2.6286100179123702E-2"/>
    <n v="0.89446962212437586"/>
    <n v="2.6286100179123702E-2"/>
    <n v="2.6286100179123702E-2"/>
    <n v="0.89446962212437586"/>
    <n v="0.23427374949965901"/>
    <n v="5.9464996992090069E-2"/>
    <n v="75.367483876584686"/>
    <n v="0.78549085513451389"/>
    <n v="75.367483876584686"/>
    <n v="75.367483876584686"/>
    <n v="0.78549085513451389"/>
    <n v="324.53151540187889"/>
    <n v="7.6326098868407244E-2"/>
    <s v="[[sv,wv],[yr],[ya]]"/>
    <x v="0"/>
    <x v="1"/>
    <x v="4"/>
    <x v="5"/>
    <x v="0"/>
    <x v="0"/>
    <x v="4"/>
    <x v="5"/>
  </r>
  <r>
    <d v="2026-03-25T18:07:12"/>
    <s v="03-25_18-07-1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77179901057793"/>
    <n v="7.2381797515917077"/>
    <n v="0.75085701962436424"/>
    <n v="-1.020145785724311"/>
    <n v="11.82423812442398"/>
    <n v="0.66805828727393557"/>
    <n v="11.82423812442398"/>
    <n v="11.82423812442398"/>
    <n v="0.66805828727393557"/>
    <n v="171.0224424517547"/>
    <n v="-0.67109755693932693"/>
    <n v="0.8"/>
    <s v="identity"/>
    <n v="6.9958861765367766E-2"/>
    <n v="0.49200820967595998"/>
    <n v="6.9958861765367766E-2"/>
    <n v="6.9958861765367766E-2"/>
    <n v="0.49200820967595998"/>
    <n v="0.1669774445286753"/>
    <n v="-0.2124721421903619"/>
    <n v="7.7009539418935846E-2"/>
    <n v="0.73317839376566929"/>
    <n v="7.7009539418935846E-2"/>
    <n v="7.7009539418935846E-2"/>
    <n v="0.73317839376566929"/>
    <n v="0.49842813208851028"/>
    <n v="-0.72694702240398357"/>
    <n v="0.1043801713673613"/>
    <n v="0.58094662760707561"/>
    <n v="0.1043801713673613"/>
    <n v="0.1043801713673613"/>
    <n v="0.58094662760707561"/>
    <n v="0.44862854963021259"/>
    <n v="-0.80110172470048968"/>
    <n v="47.045603925144277"/>
    <n v="0.86609991804704034"/>
    <n v="47.045603925144277"/>
    <n v="47.045603925144277"/>
    <n v="0.86609991804704034"/>
    <n v="682.97573568077473"/>
    <n v="-0.94386933846249299"/>
    <s v="[[sv,wv],[yr],[ya]]"/>
    <x v="0"/>
    <x v="0"/>
    <x v="0"/>
    <x v="4"/>
    <x v="0"/>
    <x v="0"/>
    <x v="0"/>
    <x v="4"/>
  </r>
  <r>
    <d v="2026-03-25T18:34:04"/>
    <s v="03-25_18-34-04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9.5961898147395239E-2"/>
    <n v="15.609239818043481"/>
    <n v="0.79728224455744789"/>
    <n v="-1.245285011009837"/>
    <n v="20.99814304491937"/>
    <n v="0.72083134761525969"/>
    <n v="20.99814304491937"/>
    <n v="20.99814304491937"/>
    <n v="0.72083134761525969"/>
    <n v="160.77695187962351"/>
    <n v="-1.1751524473128141"/>
    <n v="0.8"/>
    <s v="identity"/>
    <n v="6.4256947340430526E-2"/>
    <n v="0.53341148073993017"/>
    <n v="6.4256947340430526E-2"/>
    <n v="6.4256947340430526E-2"/>
    <n v="0.53341148073993017"/>
    <n v="0.35030635224187923"/>
    <n v="-1.543677048864297"/>
    <n v="3.9922669338189012E-2"/>
    <n v="0.86167647750716991"/>
    <n v="3.9922669338189012E-2"/>
    <n v="3.9922669338189012E-2"/>
    <n v="0.86167647750716991"/>
    <n v="0.62417157795323852"/>
    <n v="-1.1626212057872509"/>
    <n v="6.8048970889728722E-2"/>
    <n v="0.72680490589685409"/>
    <n v="6.8048970889728722E-2"/>
    <n v="6.8048970889728722E-2"/>
    <n v="0.72680490589685409"/>
    <n v="0.5400734381138228"/>
    <n v="-1.1682240277697691"/>
    <n v="83.820343592109211"/>
    <n v="0.7614325263170858"/>
    <n v="83.820343592109211"/>
    <n v="83.820343592109211"/>
    <n v="0.7614325263170858"/>
    <n v="641.59325615018531"/>
    <n v="-0.82608750682995091"/>
    <s v="[[sv,wv],[yr],[ya]]"/>
    <x v="0"/>
    <x v="0"/>
    <x v="0"/>
    <x v="4"/>
    <x v="0"/>
    <x v="0"/>
    <x v="0"/>
    <x v="4"/>
  </r>
  <r>
    <d v="2026-03-25T19:22:17"/>
    <s v="03-25_19-22-1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78349066228252"/>
    <n v="7.114668995599243"/>
    <n v="0.68170060162855739"/>
    <n v="-2.2207809436774001E-2"/>
    <n v="10.86580285443571"/>
    <n v="0.62700346571944821"/>
    <n v="10.86580285443571"/>
    <n v="10.86580285443571"/>
    <n v="0.62700346571944821"/>
    <n v="104.1681641606791"/>
    <n v="1.515992262118071E-3"/>
    <n v="0.8"/>
    <s v="identity"/>
    <n v="8.2807003114943142E-2"/>
    <n v="0.39871409136401648"/>
    <n v="8.2807003114943142E-2"/>
    <n v="8.2807003114943142E-2"/>
    <n v="0.39871409136401648"/>
    <n v="9.4371781624752099E-2"/>
    <n v="0.31473884660371532"/>
    <n v="0.1056307511183842"/>
    <n v="0.63401200820302761"/>
    <n v="0.1056307511183842"/>
    <n v="0.1056307511183842"/>
    <n v="0.63401200820302761"/>
    <n v="0.23649424853869139"/>
    <n v="0.18059793973058641"/>
    <n v="0.1000899463644731"/>
    <n v="0.59817052398733095"/>
    <n v="0.1000899463644731"/>
    <n v="0.1000899463644731"/>
    <n v="0.59817052398733095"/>
    <n v="0.3251105463594145"/>
    <n v="-0.30521601054795178"/>
    <n v="43.174683717145037"/>
    <n v="0.87711723932341668"/>
    <n v="43.174683717145037"/>
    <n v="43.174683717145037"/>
    <n v="0.87711723932341668"/>
    <n v="416.01668006619423"/>
    <n v="-0.1840568067378843"/>
    <s v="[[sv,wv],[yr],[ya]]"/>
    <x v="0"/>
    <x v="0"/>
    <x v="0"/>
    <x v="4"/>
    <x v="1"/>
    <x v="1"/>
    <x v="0"/>
    <x v="4"/>
  </r>
  <r>
    <d v="2026-03-25T20:49:11"/>
    <s v="03-25_20-49-11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1917472547508839"/>
    <n v="21.213580794048969"/>
    <n v="0.68279884499550902"/>
    <n v="3.1931138920630602E-3"/>
    <n v="25.654635746360359"/>
    <n v="0.64907107442566381"/>
    <n v="25.654635746360359"/>
    <n v="25.654635746360359"/>
    <n v="0.64907107442566381"/>
    <n v="157.54361883826661"/>
    <n v="-0.1183569719556619"/>
    <n v="0.8"/>
    <s v="identity"/>
    <n v="8.6177802432540765E-2"/>
    <n v="0.37423773001450789"/>
    <n v="8.6177802432540765E-2"/>
    <n v="8.6177802432540765E-2"/>
    <n v="0.37423773001450789"/>
    <n v="0.14524200821694719"/>
    <n v="-5.4644771549308579E-2"/>
    <n v="0.1025412812620097"/>
    <n v="0.64471636140018096"/>
    <n v="0.1025412812620097"/>
    <n v="0.1025412812620097"/>
    <n v="0.64471636140018096"/>
    <n v="0.21426106289257699"/>
    <n v="0.25763117938587538"/>
    <n v="3.2687380254647722E-2"/>
    <n v="0.86877050735822825"/>
    <n v="3.2687380254647722E-2"/>
    <n v="3.2687380254647722E-2"/>
    <n v="0.86877050735822825"/>
    <n v="0.2203104827111417"/>
    <n v="0.11552309654010411"/>
    <n v="102.3971365214922"/>
    <n v="0.70855969892974113"/>
    <n v="102.3971365214922"/>
    <n v="102.3971365214922"/>
    <n v="0.70855969892974113"/>
    <n v="629.59466179924561"/>
    <n v="-0.79193739219931536"/>
    <s v="[[sv,wv],[yr],[ya]]"/>
    <x v="0"/>
    <x v="0"/>
    <x v="4"/>
    <x v="0"/>
    <x v="1"/>
    <x v="1"/>
    <x v="4"/>
    <x v="0"/>
  </r>
  <r>
    <d v="2026-03-25T21:46:04"/>
    <s v="03-25_21-46-0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801458818195688E-2"/>
    <n v="19.601157776778191"/>
    <n v="0.76607694024295436"/>
    <n v="8.918097832221264E-2"/>
    <n v="24.58753757808358"/>
    <n v="0.72209191681920437"/>
    <n v="24.58753757808358"/>
    <n v="24.58753757808358"/>
    <n v="0.72209191681920437"/>
    <n v="131.2987913733061"/>
    <n v="7.7087865979483083E-2"/>
    <n v="0.8"/>
    <s v="identity"/>
    <n v="5.3395982016904188E-2"/>
    <n v="0.61227613176655271"/>
    <n v="5.3395982016904188E-2"/>
    <n v="5.3395982016904188E-2"/>
    <n v="0.61227613176655271"/>
    <n v="0.13762138143130889"/>
    <n v="6.9083206887543547E-4"/>
    <n v="5.1748346443022342E-2"/>
    <n v="0.82070303209081785"/>
    <n v="5.1748346443022342E-2"/>
    <n v="5.1748346443022342E-2"/>
    <n v="0.82070303209081785"/>
    <n v="0.18377154507510701"/>
    <n v="0.36327084661088421"/>
    <n v="6.6051750479790491E-2"/>
    <n v="0.73482311411813606"/>
    <n v="6.6051750479790491E-2"/>
    <n v="6.6051750479790491E-2"/>
    <n v="0.73482311411813606"/>
    <n v="0.1400173687055149"/>
    <n v="0.43787455240779027"/>
    <n v="98.178954233394833"/>
    <n v="0.7205653893013102"/>
    <n v="98.178954233394833"/>
    <n v="98.178954233394833"/>
    <n v="0.7205653893013102"/>
    <n v="524.73375519801266"/>
    <n v="-0.49348476716961809"/>
    <s v="[[sv,wv],[yr],[ya]]"/>
    <x v="1"/>
    <x v="0"/>
    <x v="2"/>
    <x v="4"/>
    <x v="0"/>
    <x v="0"/>
    <x v="2"/>
    <x v="4"/>
  </r>
  <r>
    <d v="2026-03-25T21:49:15"/>
    <s v="03-25_21-49-15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9766888045055055E-2"/>
    <n v="16.934585868595761"/>
    <n v="0.73266798912294384"/>
    <n v="-0.14922800238141651"/>
    <n v="22.278500232504211"/>
    <n v="0.68523543614250793"/>
    <n v="22.278500232504211"/>
    <n v="22.278500232504211"/>
    <n v="0.68523543614250793"/>
    <n v="132.65498169717151"/>
    <n v="-0.19318444895763651"/>
    <n v="0.8"/>
    <s v="identity"/>
    <n v="5.7007547261464737E-2"/>
    <n v="0.58605149848693283"/>
    <n v="5.7007547261464737E-2"/>
    <n v="5.7007547261464737E-2"/>
    <n v="0.58605149848693283"/>
    <n v="0.157955953463051"/>
    <n v="-0.1469644526400509"/>
    <n v="7.8275936572151789E-2"/>
    <n v="0.72879059810942648"/>
    <n v="7.8275936572151789E-2"/>
    <n v="7.8275936572151789E-2"/>
    <n v="0.72879059810942648"/>
    <n v="0.35051330956160742"/>
    <n v="-0.2144537542934917"/>
    <n v="7.9926276997712195E-2"/>
    <n v="0.67912127868784677"/>
    <n v="7.9926276997712195E-2"/>
    <n v="7.9926276997712195E-2"/>
    <n v="0.67912127868784677"/>
    <n v="0.22496647185129451"/>
    <n v="9.683077284062469E-2"/>
    <n v="88.898791169185344"/>
    <n v="0.74697836928582984"/>
    <n v="88.898791169185344"/>
    <n v="88.898791169185344"/>
    <n v="0.74697836928582984"/>
    <n v="529.88649105381126"/>
    <n v="-0.50815036173762884"/>
    <s v="[[sv,wv],[yr],[ya]]"/>
    <x v="1"/>
    <x v="0"/>
    <x v="2"/>
    <x v="4"/>
    <x v="0"/>
    <x v="0"/>
    <x v="2"/>
    <x v="4"/>
  </r>
  <r>
    <d v="2026-03-25T22:04:22"/>
    <s v="03-25_22-04-2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975936842498899"/>
    <n v="21.819749548757791"/>
    <n v="0.70568794064301299"/>
    <n v="-0.49824206503920199"/>
    <n v="25.525864380521949"/>
    <n v="0.62476485888055433"/>
    <n v="25.525864380521949"/>
    <n v="25.525864380521949"/>
    <n v="0.62476485888055433"/>
    <n v="111.2732505511505"/>
    <n v="-0.46354837915949221"/>
    <n v="0.8"/>
    <s v="identity"/>
    <n v="7.0618540454076298E-2"/>
    <n v="0.48721808945874467"/>
    <n v="7.0618540454076298E-2"/>
    <n v="7.0618540454076298E-2"/>
    <n v="0.48721808945874467"/>
    <n v="0.1662859796871578"/>
    <n v="-0.20745121340557551"/>
    <n v="8.0522911540694339E-2"/>
    <n v="0.72100530975685861"/>
    <n v="8.0522911540694339E-2"/>
    <n v="8.0522911540694339E-2"/>
    <n v="0.72100530975685861"/>
    <n v="0.50219969293454525"/>
    <n v="-0.7400146751979455"/>
    <n v="0.1044383521920372"/>
    <n v="0.58071304999870743"/>
    <n v="0.1044383521920372"/>
    <n v="0.1044383521920372"/>
    <n v="0.58071304999870743"/>
    <n v="0.40924317150531819"/>
    <n v="-0.64298188919916233"/>
    <n v="101.8478777179011"/>
    <n v="0.71012298630790405"/>
    <n v="101.8478777179011"/>
    <n v="101.8478777179011"/>
    <n v="0.71012298630790405"/>
    <n v="444.0152733604744"/>
    <n v="-0.26374573883527802"/>
    <s v="[[sv,wv],[yr],[ya]]"/>
    <x v="0"/>
    <x v="1"/>
    <x v="0"/>
    <x v="5"/>
    <x v="0"/>
    <x v="0"/>
    <x v="0"/>
    <x v="5"/>
  </r>
  <r>
    <d v="2026-03-25T22:08:00"/>
    <s v="03-25_22-08-0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9.5153500925011042E-2"/>
    <n v="16.531035225811411"/>
    <n v="0.7923401894698765"/>
    <n v="-1.120242844612745"/>
    <n v="24.652671730091161"/>
    <n v="0.70812818862753413"/>
    <n v="24.652671730091161"/>
    <n v="24.652671730091161"/>
    <n v="0.70812818862753413"/>
    <n v="184.02791285794041"/>
    <n v="-1.0182824690997041"/>
    <n v="0.8"/>
    <s v="identity"/>
    <n v="6.3194102365058832E-2"/>
    <n v="0.54112910947561166"/>
    <n v="6.3194102365058832E-2"/>
    <n v="6.3194102365058832E-2"/>
    <n v="0.54112910947561166"/>
    <n v="0.21439663225244129"/>
    <n v="-0.55679675610842794"/>
    <n v="4.2176221272609032E-2"/>
    <n v="0.85386840137255826"/>
    <n v="4.2176221272609032E-2"/>
    <n v="4.2176221272609032E-2"/>
    <n v="0.85386840137255826"/>
    <n v="0.640146671833424"/>
    <n v="-1.21797149408942"/>
    <n v="7.0322205046477251E-2"/>
    <n v="0.71767858978580268"/>
    <n v="7.0322205046477251E-2"/>
    <n v="7.0322205046477251E-2"/>
    <n v="0.71767858978580268"/>
    <n v="0.54979551729579301"/>
    <n v="-1.2072551005732151"/>
    <n v="98.434994391680519"/>
    <n v="0.71983665387616291"/>
    <n v="98.434994391680519"/>
    <n v="98.434994391680519"/>
    <n v="0.71983665387616291"/>
    <n v="734.70731261038247"/>
    <n v="-1.091106525627777"/>
    <s v="[[sv,wv],[yr],[ya]]"/>
    <x v="0"/>
    <x v="1"/>
    <x v="0"/>
    <x v="5"/>
    <x v="0"/>
    <x v="0"/>
    <x v="0"/>
    <x v="5"/>
  </r>
  <r>
    <d v="2026-03-25T22:47:17"/>
    <s v="03-25_22-47-17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214638681467627"/>
    <n v="17.488330417843802"/>
    <n v="0.65064502966788507"/>
    <n v="-6.2124560891558211E-2"/>
    <n v="24.67517129312407"/>
    <n v="0.58640948842744933"/>
    <n v="24.67517129312407"/>
    <n v="24.67517129312407"/>
    <n v="0.58640948842744933"/>
    <n v="124.0824335310276"/>
    <n v="-4.7404567989014823E-2"/>
    <n v="0.8"/>
    <s v="identity"/>
    <n v="8.2838024026304038E-2"/>
    <n v="0.39848883943878421"/>
    <n v="8.2838024026304038E-2"/>
    <n v="8.2838024026304038E-2"/>
    <n v="0.39848883943878421"/>
    <n v="9.140930368853549E-2"/>
    <n v="0.33625026678178249"/>
    <n v="0.1052205207059478"/>
    <n v="0.63543336896428348"/>
    <n v="0.1052205207059478"/>
    <n v="0.1052205207059478"/>
    <n v="0.63543336896428348"/>
    <n v="0.23647543584245451"/>
    <n v="0.18066312170499371"/>
    <n v="0.1016740960526149"/>
    <n v="0.59181066405900551"/>
    <n v="0.1016740960526149"/>
    <n v="0.1016740960526149"/>
    <n v="0.59181066405900551"/>
    <n v="0.32275059870376482"/>
    <n v="-0.29574156716645672"/>
    <n v="98.410952531711132"/>
    <n v="0.71990508124772612"/>
    <n v="98.410952531711132"/>
    <n v="98.410952531711132"/>
    <n v="0.71990508124772612"/>
    <n v="495.6790987858738"/>
    <n v="-0.41079009327637511"/>
    <s v="[[sv,wv],[yr],[ya]]"/>
    <x v="0"/>
    <x v="1"/>
    <x v="0"/>
    <x v="5"/>
    <x v="1"/>
    <x v="1"/>
    <x v="0"/>
    <x v="5"/>
  </r>
  <r>
    <d v="2026-03-26T00:19:20"/>
    <s v="03-26_00-19-2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90477154578241"/>
    <n v="23.545975246484041"/>
    <n v="0.68211102333381091"/>
    <n v="2.3949171757507409E-2"/>
    <n v="28.63112593995837"/>
    <n v="0.64301000678130182"/>
    <n v="28.63112593995837"/>
    <n v="28.63112593995837"/>
    <n v="0.64301000678130182"/>
    <n v="128.6068943992301"/>
    <n v="4.2980881941189403E-2"/>
    <n v="0.8"/>
    <s v="identity"/>
    <n v="8.3164961231958462E-2"/>
    <n v="0.39611485260948248"/>
    <n v="8.3164961231958462E-2"/>
    <n v="8.3164961231958462E-2"/>
    <n v="0.39611485260948248"/>
    <n v="0.15372454429868421"/>
    <n v="-0.1162389510701505"/>
    <n v="0.1026317955920745"/>
    <n v="0.64440274857873914"/>
    <n v="0.1026317955920745"/>
    <n v="0.1026317955920745"/>
    <n v="0.64440274857873914"/>
    <n v="0.15633222759341969"/>
    <n v="0.45834222114032708"/>
    <n v="3.565684242414352E-2"/>
    <n v="0.85684905599424321"/>
    <n v="3.565684242414352E-2"/>
    <n v="3.565684242414352E-2"/>
    <n v="0.85684905599424321"/>
    <n v="0.1762062012091021"/>
    <n v="0.29258783650254239"/>
    <n v="114.3030501605854"/>
    <n v="0.67467336994274296"/>
    <n v="114.3030501605854"/>
    <n v="114.3030501605854"/>
    <n v="0.67467336994274296"/>
    <n v="513.94131462381745"/>
    <n v="-0.46276757880794789"/>
    <s v="[[sv,wv],[yr],[ya]]"/>
    <x v="1"/>
    <x v="0"/>
    <x v="5"/>
    <x v="0"/>
    <x v="1"/>
    <x v="1"/>
    <x v="5"/>
    <x v="0"/>
  </r>
  <r>
    <d v="2026-03-26T01:17:21"/>
    <s v="03-26_01-17-2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035304210497591"/>
    <n v="16.904942012143561"/>
    <n v="0.76827252768033882"/>
    <n v="0.33682768620572479"/>
    <n v="22.275346918024422"/>
    <n v="0.72217383284751357"/>
    <n v="22.275346918024422"/>
    <n v="22.275346918024422"/>
    <n v="0.72217383284751357"/>
    <n v="84.193138308788875"/>
    <n v="0.31471731764520527"/>
    <n v="0.8"/>
    <s v="identity"/>
    <n v="5.7224349761585108E-2"/>
    <n v="0.58447723201941582"/>
    <n v="5.7224349761585108E-2"/>
    <n v="5.7224349761585108E-2"/>
    <n v="0.58447723201941582"/>
    <n v="0.13773228685643041"/>
    <n v="-1.144847136220761E-4"/>
    <n v="5.6154361432833803E-2"/>
    <n v="0.80543713119666238"/>
    <n v="5.6154361432833803E-2"/>
    <n v="5.6154361432833803E-2"/>
    <n v="0.80543713119666238"/>
    <n v="0.1155855212786643"/>
    <n v="0.59952085575748537"/>
    <n v="6.1802969387737813E-2"/>
    <n v="0.75188062630517494"/>
    <n v="6.1802969387737813E-2"/>
    <n v="6.1802969387737813E-2"/>
    <n v="0.75188062630517494"/>
    <n v="9.5403672972215622E-2"/>
    <n v="0.61698442938004427"/>
    <n v="88.926205991515801"/>
    <n v="0.7469003418688025"/>
    <n v="88.926205991515801"/>
    <n v="88.926205991515801"/>
    <n v="0.7469003418688025"/>
    <n v="336.42383175404927"/>
    <n v="4.2478470156916533E-2"/>
    <s v="[[sv,wv],[yr],[ya]]"/>
    <x v="1"/>
    <x v="1"/>
    <x v="2"/>
    <x v="5"/>
    <x v="0"/>
    <x v="0"/>
    <x v="2"/>
    <x v="5"/>
  </r>
  <r>
    <d v="2026-03-26T01:21:23"/>
    <s v="03-26_01-21-23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01054898442709"/>
    <n v="16.368074163317729"/>
    <n v="0.74460740776439938"/>
    <n v="-0.139776235361665"/>
    <n v="22.911716767411729"/>
    <n v="0.68225862527071512"/>
    <n v="22.911716767411729"/>
    <n v="22.911716767411729"/>
    <n v="0.68225862527071512"/>
    <n v="138.2924058980924"/>
    <n v="-0.18988673955091759"/>
    <n v="0.8"/>
    <s v="identity"/>
    <n v="5.7186089556057702E-2"/>
    <n v="0.58475505058040422"/>
    <n v="5.7186089556057702E-2"/>
    <n v="5.7186089556057702E-2"/>
    <n v="0.58475505058040422"/>
    <n v="0.1788364057129668"/>
    <n v="-0.29858353353340622"/>
    <n v="7.9241278541524976E-2"/>
    <n v="0.72544589436522733"/>
    <n v="7.9241278541524976E-2"/>
    <n v="7.9241278541524976E-2"/>
    <n v="0.72544589436522733"/>
    <n v="0.28813011614663758"/>
    <n v="1.690686961487331E-3"/>
    <n v="7.9941323471121192E-2"/>
    <n v="0.67906087185633779"/>
    <n v="7.9941323471121192E-2"/>
    <n v="7.9941323471121192E-2"/>
    <n v="0.67906087185633779"/>
    <n v="0.2217350315280382"/>
    <n v="0.10980398362776909"/>
    <n v="91.430498378077644"/>
    <n v="0.73977268428089382"/>
    <n v="91.430498378077644"/>
    <n v="91.430498378077644"/>
    <n v="0.73977268428089382"/>
    <n v="552.48092203898045"/>
    <n v="-0.57245809525952107"/>
    <s v="[[sv,wv],[yr],[ya]]"/>
    <x v="1"/>
    <x v="1"/>
    <x v="2"/>
    <x v="5"/>
    <x v="0"/>
    <x v="0"/>
    <x v="2"/>
    <x v="5"/>
  </r>
  <r>
    <d v="2026-03-26T01:35:41"/>
    <s v="03-26_01-35-41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9.9455629495113801E-2"/>
    <n v="8.3088632941659508"/>
    <n v="0.79783990304253316"/>
    <n v="-6.6573292741361534E-2"/>
    <n v="12.92497195147158"/>
    <n v="0.72625970502269888"/>
    <n v="12.92497195147158"/>
    <n v="12.92497195147158"/>
    <n v="0.72625970502269888"/>
    <n v="116.8338523252019"/>
    <n v="-6.5852355036981891E-2"/>
    <n v="0.8"/>
    <s v="identity"/>
    <n v="7.0912742682797167E-2"/>
    <n v="0.4850818008869483"/>
    <n v="7.0912742682797167E-2"/>
    <n v="7.0912742682797167E-2"/>
    <n v="0.4850818008869483"/>
    <n v="0.1819213868692528"/>
    <n v="-0.32098448548076108"/>
    <n v="8.3980153343711478E-2"/>
    <n v="0.70902670531406042"/>
    <n v="8.3980153343711478E-2"/>
    <n v="8.3980153343711478E-2"/>
    <n v="0.70902670531406042"/>
    <n v="0.20572248369482771"/>
    <n v="0.28721553261916211"/>
    <n v="3.5485869876234838E-2"/>
    <n v="0.85753545669515385"/>
    <n v="3.5485869876234838E-2"/>
    <n v="3.5485869876234838E-2"/>
    <n v="0.85753545669515385"/>
    <n v="0.22449184658942339"/>
    <n v="9.8736243142162783E-2"/>
    <n v="51.509509039983612"/>
    <n v="0.85339485719463282"/>
    <n v="51.509509039983612"/>
    <n v="51.509509039983612"/>
    <n v="0.85339485719463282"/>
    <n v="466.72327358365442"/>
    <n v="-0.3283767104284927"/>
    <s v="[[sv,wv],[yr],[ya]]"/>
    <x v="0"/>
    <x v="0"/>
    <x v="4"/>
    <x v="4"/>
    <x v="0"/>
    <x v="0"/>
    <x v="4"/>
    <x v="4"/>
  </r>
  <r>
    <d v="2026-03-26T01:42:16"/>
    <s v="03-26_01-42-1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8.5407837132843292E-2"/>
    <n v="15.816865728038371"/>
    <n v="0.81769961942176261"/>
    <n v="7.6733316448939493E-3"/>
    <n v="20.418707601097239"/>
    <n v="0.74493911735923601"/>
    <n v="20.418707601097239"/>
    <n v="20.418707601097239"/>
    <n v="0.74493911735923601"/>
    <n v="106.06136411290341"/>
    <n v="-9.1848402963499498E-2"/>
    <n v="0.8"/>
    <s v="identity"/>
    <n v="6.412027951743729E-2"/>
    <n v="0.53440386584068933"/>
    <n v="6.412027951743729E-2"/>
    <n v="6.412027951743729E-2"/>
    <n v="0.53440386584068933"/>
    <n v="0.29054202561513159"/>
    <n v="-1.109710764757865"/>
    <n v="3.838663492657348E-2"/>
    <n v="0.86699850867409944"/>
    <n v="3.838663492657348E-2"/>
    <n v="3.838663492657348E-2"/>
    <n v="0.86699850867409944"/>
    <n v="0.1127673182117697"/>
    <n v="0.60928532746679731"/>
    <n v="4.7229403448051703E-2"/>
    <n v="0.81038888390634756"/>
    <n v="4.7229403448051703E-2"/>
    <n v="4.7229403448051703E-2"/>
    <n v="0.81038888390634756"/>
    <n v="0.16467234915715559"/>
    <n v="0.33889260431173318"/>
    <n v="81.525094086497134"/>
    <n v="0.76796521101580828"/>
    <n v="81.525094086497134"/>
    <n v="81.525094086497134"/>
    <n v="0.76796521101580828"/>
    <n v="423.6774747586299"/>
    <n v="-0.20586077887466669"/>
    <s v="[[sv,wv],[yr],[ya]]"/>
    <x v="0"/>
    <x v="0"/>
    <x v="4"/>
    <x v="4"/>
    <x v="0"/>
    <x v="0"/>
    <x v="4"/>
    <x v="4"/>
  </r>
  <r>
    <d v="2026-03-26T02:15:22"/>
    <s v="03-26_02-15-22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2644858265554381E-2"/>
    <n v="8.0381717473936067"/>
    <n v="0.79984113735122042"/>
    <n v="0.12992043367648959"/>
    <n v="12.8487774265458"/>
    <n v="0.74202882840367412"/>
    <n v="12.8487774265458"/>
    <n v="12.8487774265458"/>
    <n v="0.74202882840367412"/>
    <n v="125.7246225031012"/>
    <n v="0.155865226780248"/>
    <n v="0.8"/>
    <s v="identity"/>
    <n v="6.582871629780189E-2"/>
    <n v="0.52199840587732438"/>
    <n v="6.582871629780189E-2"/>
    <n v="6.582871629780189E-2"/>
    <n v="0.52199840587732438"/>
    <n v="8.6990643875983667E-2"/>
    <n v="0.36833545016482983"/>
    <n v="8.6943374720488867E-2"/>
    <n v="0.69875977613430695"/>
    <n v="8.6943374720488867E-2"/>
    <n v="8.6943374720488867E-2"/>
    <n v="0.69875977613430695"/>
    <n v="0.140668470202506"/>
    <n v="0.51261379500304249"/>
    <n v="2.6620754699744939E-2"/>
    <n v="0.8931260900759439"/>
    <n v="2.6620754699744939E-2"/>
    <n v="2.6620754699744939E-2"/>
    <n v="0.8931260900759439"/>
    <n v="0.20608973772803951"/>
    <n v="0.17261488959853319"/>
    <n v="51.21571686046515"/>
    <n v="0.85423104152712115"/>
    <n v="51.21571686046515"/>
    <n v="51.21571686046515"/>
    <n v="0.85423104152712115"/>
    <n v="502.46474116059932"/>
    <n v="-0.43010322764542092"/>
    <s v="[[sv,wv],[yr],[ya]]"/>
    <x v="0"/>
    <x v="0"/>
    <x v="4"/>
    <x v="4"/>
    <x v="1"/>
    <x v="1"/>
    <x v="4"/>
    <x v="4"/>
  </r>
  <r>
    <d v="2026-03-26T03:49:34"/>
    <s v="03-26_03-49-34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3454553944802311"/>
    <n v="15.096080312855751"/>
    <n v="0.62071443758837141"/>
    <n v="-1.442788435691833E-2"/>
    <n v="19.649340245475219"/>
    <n v="0.59540707652923697"/>
    <n v="19.649340245475219"/>
    <n v="19.649340245475219"/>
    <n v="0.59540707652923697"/>
    <n v="104.1922720318783"/>
    <n v="-0.12030427489055311"/>
    <n v="0.8"/>
    <s v="identity"/>
    <n v="8.6276124825840197E-2"/>
    <n v="0.37352378231237632"/>
    <n v="8.6276124825840197E-2"/>
    <n v="8.6276124825840197E-2"/>
    <n v="0.37352378231237632"/>
    <n v="0.1859211102772611"/>
    <n v="-0.35002764889942251"/>
    <n v="9.5348649692507961E-2"/>
    <n v="0.66963729357179091"/>
    <n v="9.5348649692507961E-2"/>
    <n v="9.5348649692507961E-2"/>
    <n v="0.66963729357179091"/>
    <n v="0.18110836093068899"/>
    <n v="0.37249821086306772"/>
    <n v="0.1092635878297205"/>
    <n v="0.5613412551446324"/>
    <n v="0.1092635878297205"/>
    <n v="0.1092635878297205"/>
    <n v="0.5613412551446324"/>
    <n v="0.32866086729988558"/>
    <n v="-0.31946942615066681"/>
    <n v="78.306472619552821"/>
    <n v="0.77712597508815673"/>
    <n v="78.306472619552821"/>
    <n v="78.306472619552821"/>
    <n v="0.77712597508815673"/>
    <n v="416.07339778900598"/>
    <n v="-0.18421823537518639"/>
    <s v="[[sv,wv],[yr],[ya]]"/>
    <x v="0"/>
    <x v="0"/>
    <x v="0"/>
    <x v="4"/>
    <x v="1"/>
    <x v="1"/>
    <x v="0"/>
    <x v="4"/>
  </r>
  <r>
    <d v="2026-03-26T04:46:44"/>
    <s v="03-26_04-46-4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98047165538027E-2"/>
    <n v="13.33074742133625"/>
    <n v="0.77484988461444693"/>
    <n v="-0.19331027552294899"/>
    <n v="18.5490794258831"/>
    <n v="0.72263447530709302"/>
    <n v="18.5490794258831"/>
    <n v="18.5490794258831"/>
    <n v="0.72263447530709302"/>
    <n v="151.19651198338391"/>
    <n v="-0.21817049898789359"/>
    <n v="0.8"/>
    <s v="identity"/>
    <n v="6.6844056375492497E-2"/>
    <n v="0.51462572412067042"/>
    <n v="6.6844056375492497E-2"/>
    <n v="6.6844056375492497E-2"/>
    <n v="0.51462572412067042"/>
    <n v="0.17423241453976479"/>
    <n v="-0.26515260484627401"/>
    <n v="7.2205606786016022E-2"/>
    <n v="0.74982299430514487"/>
    <n v="7.2205606786016022E-2"/>
    <n v="7.2205606786016022E-2"/>
    <n v="0.74982299430514487"/>
    <n v="0.2677330285005935"/>
    <n v="7.2362239204035617E-2"/>
    <n v="4.0662359001112203E-2"/>
    <n v="0.83675349019214196"/>
    <n v="4.0662359001112203E-2"/>
    <n v="4.0662359001112203E-2"/>
    <n v="0.83675349019214196"/>
    <n v="0.23924743531271611"/>
    <n v="3.9497221638962521E-2"/>
    <n v="74.016605681369825"/>
    <n v="0.7893356926104137"/>
    <n v="74.016605681369825"/>
    <n v="74.016605681369825"/>
    <n v="0.7893356926104137"/>
    <n v="604.10483505518198"/>
    <n v="-0.71938885194829583"/>
    <s v="[[sv,wv],[yr],[ya]]"/>
    <x v="1"/>
    <x v="0"/>
    <x v="5"/>
    <x v="4"/>
    <x v="0"/>
    <x v="0"/>
    <x v="5"/>
    <x v="4"/>
  </r>
  <r>
    <d v="2026-03-26T04:52:04"/>
    <s v="03-26_04-52-04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5103354282347466E-2"/>
    <n v="16.462705310849771"/>
    <n v="0.736465761754313"/>
    <n v="-0.44982814825743722"/>
    <n v="21.398526940285169"/>
    <n v="0.69390557835046585"/>
    <n v="21.398526940285169"/>
    <n v="21.398526940285169"/>
    <n v="0.69390557835046585"/>
    <n v="114.4593554080023"/>
    <n v="-0.42411254152794309"/>
    <n v="0.8"/>
    <s v="identity"/>
    <n v="6.2051433077399493E-2"/>
    <n v="0.54942636592802752"/>
    <n v="6.2051433077399493E-2"/>
    <n v="6.2051433077399493E-2"/>
    <n v="0.54942636592802752"/>
    <n v="0.17703800678290399"/>
    <n v="-0.28552483204590301"/>
    <n v="7.7648188831635018E-2"/>
    <n v="0.7309656099546924"/>
    <n v="7.7648188831635018E-2"/>
    <n v="7.7648188831635018E-2"/>
    <n v="0.7309656099546924"/>
    <n v="0.39339084805286539"/>
    <n v="-0.36301526729481037"/>
    <n v="6.5194901743219527E-2"/>
    <n v="0.7382630907725809"/>
    <n v="6.5194901743219527E-2"/>
    <n v="6.5194901743219527E-2"/>
    <n v="0.7382630907725809"/>
    <n v="0.43532361143011361"/>
    <n v="-0.74768660620438832"/>
    <n v="85.389213237488207"/>
    <n v="0.75696724674656501"/>
    <n v="85.389213237488207"/>
    <n v="85.389213237488207"/>
    <n v="0.75696724674656501"/>
    <n v="456.8316691657422"/>
    <n v="-0.30022346056667509"/>
    <s v="[[sv,wv],[yr],[ya]]"/>
    <x v="1"/>
    <x v="0"/>
    <x v="5"/>
    <x v="4"/>
    <x v="0"/>
    <x v="0"/>
    <x v="5"/>
    <x v="4"/>
  </r>
  <r>
    <d v="2026-03-26T05:05:43"/>
    <s v="03-26_05-05-4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07256041984519"/>
    <n v="22.904824957985412"/>
    <n v="0.76725061436477326"/>
    <n v="2.5776208898539901E-2"/>
    <n v="22.484625718698769"/>
    <n v="0.71479384854475758"/>
    <n v="22.484625718698769"/>
    <n v="22.484625718698769"/>
    <n v="0.71479384854475758"/>
    <n v="102.537523064702"/>
    <n v="-4.2331956696494533E-2"/>
    <n v="0.8"/>
    <s v="identity"/>
    <n v="6.5451304926433543E-2"/>
    <n v="0.52473890041071281"/>
    <n v="6.5451304926433543E-2"/>
    <n v="6.5451304926433543E-2"/>
    <n v="0.52473890041071281"/>
    <n v="0.2034545902185442"/>
    <n v="-0.47734338333568882"/>
    <n v="6.5980411064674019E-2"/>
    <n v="0.77139196788977493"/>
    <n v="6.5980411064674019E-2"/>
    <n v="6.5980411064674019E-2"/>
    <n v="0.77139196788977493"/>
    <n v="0.2014403406977818"/>
    <n v="0.30205224351521393"/>
    <n v="4.5203405536596707E-2"/>
    <n v="0.81852262469384074"/>
    <n v="4.5203405536596707E-2"/>
    <n v="4.5203405536596707E-2"/>
    <n v="0.81852262469384074"/>
    <n v="0.20634674787649551"/>
    <n v="0.17158307514528151"/>
    <n v="89.761867753267225"/>
    <n v="0.74452190118470563"/>
    <n v="89.761867753267225"/>
    <n v="89.761867753267225"/>
    <n v="0.74452190118470563"/>
    <n v="409.53885058001379"/>
    <n v="-0.16561976211078219"/>
    <s v="[[sv,wv],[yr],[ya]]"/>
    <x v="0"/>
    <x v="1"/>
    <x v="4"/>
    <x v="2"/>
    <x v="0"/>
    <x v="0"/>
    <x v="4"/>
    <x v="2"/>
  </r>
  <r>
    <d v="2026-03-26T05:13:45"/>
    <s v="03-26_05-13-4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8.5340017363903301E-2"/>
    <n v="12.44562247914909"/>
    <n v="0.83793232377567906"/>
    <n v="-2.3072728578458018E-2"/>
    <n v="13.518462958824481"/>
    <n v="0.77770653050809979"/>
    <n v="13.518462958824481"/>
    <n v="13.518462958824481"/>
    <n v="0.77770653050809979"/>
    <n v="88.090459733177468"/>
    <n v="-0.18909445856590859"/>
    <n v="0.8"/>
    <s v="identity"/>
    <n v="6.2612763806781505E-2"/>
    <n v="0.54535037905535622"/>
    <n v="6.2612763806781505E-2"/>
    <n v="6.2612763806781505E-2"/>
    <n v="0.54535037905535622"/>
    <n v="0.24149626274860431"/>
    <n v="-0.75357511220913698"/>
    <n v="4.0503250516964663E-2"/>
    <n v="0.85966488772440797"/>
    <n v="4.0503250516964663E-2"/>
    <n v="4.0503250516964663E-2"/>
    <n v="0.85966488772440797"/>
    <n v="0.29406143516578909"/>
    <n v="-1.8860066616829929E-2"/>
    <n v="3.5041029427212302E-2"/>
    <n v="0.85932135039409796"/>
    <n v="3.5041029427212302E-2"/>
    <n v="3.5041029427212302E-2"/>
    <n v="0.85932135039409796"/>
    <n v="0.24492094554953789"/>
    <n v="1.671987258021812E-2"/>
    <n v="53.935694791547043"/>
    <n v="0.8464895048585388"/>
    <n v="53.935694791547043"/>
    <n v="53.935694791547043"/>
    <n v="0.8464895048585388"/>
    <n v="351.58136028924571"/>
    <n v="-6.6252801788579951E-4"/>
    <s v="[[sv,wv],[yr],[ya]]"/>
    <x v="0"/>
    <x v="1"/>
    <x v="4"/>
    <x v="2"/>
    <x v="0"/>
    <x v="0"/>
    <x v="4"/>
    <x v="2"/>
  </r>
  <r>
    <d v="2026-03-26T05:44:13"/>
    <s v="03-26_05-44-13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393650750585449"/>
    <n v="19.73460150802827"/>
    <n v="0.7654267544774519"/>
    <n v="0.185802957144554"/>
    <n v="22.140480162809929"/>
    <n v="0.7159017696988802"/>
    <n v="22.140480162809929"/>
    <n v="22.140480162809929"/>
    <n v="0.7159017696988802"/>
    <n v="92.573429643202019"/>
    <n v="0.24496046265373761"/>
    <n v="0.8"/>
    <s v="identity"/>
    <n v="6.7857287504228897E-2"/>
    <n v="0.50726835606020759"/>
    <n v="6.7857287504228897E-2"/>
    <n v="6.7857287504228897E-2"/>
    <n v="0.50726835606020759"/>
    <n v="8.0515888068152741E-2"/>
    <n v="0.41535054892047091"/>
    <n v="8.2157191037338401E-2"/>
    <n v="0.71534288035368809"/>
    <n v="8.2157191037338401E-2"/>
    <n v="8.2157191037338401E-2"/>
    <n v="0.71534288035368809"/>
    <n v="0.16964257494212651"/>
    <n v="0.41222471042780978"/>
    <n v="2.6762870342647519E-2"/>
    <n v="0.89255554072113863"/>
    <n v="2.6762870342647519E-2"/>
    <n v="2.6762870342647519E-2"/>
    <n v="0.89255554072113863"/>
    <n v="0.19804496099251481"/>
    <n v="0.2049121236134592"/>
    <n v="88.385143302355957"/>
    <n v="0.74844030166048603"/>
    <n v="88.385143302355957"/>
    <n v="88.385143302355957"/>
    <n v="0.74844030166048603"/>
    <n v="369.84551514880479"/>
    <n v="-5.2645532346786261E-2"/>
    <s v="[[sv,wv],[yr],[ya]]"/>
    <x v="0"/>
    <x v="1"/>
    <x v="4"/>
    <x v="2"/>
    <x v="1"/>
    <x v="1"/>
    <x v="4"/>
    <x v="2"/>
  </r>
  <r>
    <d v="2026-03-26T07:20:59"/>
    <s v="03-26_07-20-59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3542414037142261"/>
    <n v="16.057165866621791"/>
    <n v="0.6156974534076558"/>
    <n v="-8.503658781257431E-2"/>
    <n v="22.502530530093651"/>
    <n v="0.58672103872407322"/>
    <n v="22.502530530093651"/>
    <n v="22.502530530093651"/>
    <n v="0.58672103872407322"/>
    <n v="105.8714707309254"/>
    <n v="-0.10859279038999781"/>
    <n v="0.8"/>
    <s v="identity"/>
    <n v="8.7499310602881991E-2"/>
    <n v="0.3646418720425616"/>
    <n v="8.7499310602881991E-2"/>
    <n v="8.7499310602881991E-2"/>
    <n v="0.3646418720425616"/>
    <n v="0.1829780968591912"/>
    <n v="-0.32865756628991522"/>
    <n v="9.7078758921891425E-2"/>
    <n v="0.66364283461218543"/>
    <n v="9.7078758921891425E-2"/>
    <n v="9.7078758921891425E-2"/>
    <n v="0.66364283461218543"/>
    <n v="0.20935247358153219"/>
    <n v="0.27463839296227022"/>
    <n v="0.10612125158616589"/>
    <n v="0.57395674123556484"/>
    <n v="0.10612125158616589"/>
    <n v="0.10612125158616589"/>
    <n v="0.57395674123556484"/>
    <n v="0.2931706852686139"/>
    <n v="-0.17698757090729081"/>
    <n v="89.719422799263285"/>
    <n v="0.74464270700598201"/>
    <n v="89.719422799263285"/>
    <n v="89.719422799263285"/>
    <n v="0.74464270700598201"/>
    <n v="422.80038166799199"/>
    <n v="-0.20336441732505911"/>
    <s v="[[sv,wv],[yr],[ya]]"/>
    <x v="0"/>
    <x v="1"/>
    <x v="0"/>
    <x v="5"/>
    <x v="1"/>
    <x v="1"/>
    <x v="0"/>
    <x v="5"/>
  </r>
  <r>
    <d v="2026-03-26T08:17:15"/>
    <s v="03-26_08-17-15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7943472616213861E-2"/>
    <n v="29.219748168209819"/>
    <n v="0.7527865485641132"/>
    <n v="7.2023134215018214E-2"/>
    <n v="35.607911411219163"/>
    <n v="0.69990538933170043"/>
    <n v="35.607911411219163"/>
    <n v="35.607911411219163"/>
    <n v="0.69990538933170043"/>
    <n v="109.59116192112199"/>
    <n v="7.2023549652695806E-3"/>
    <n v="0.8"/>
    <s v="identity"/>
    <n v="6.5036375589767964E-2"/>
    <n v="0.52775182388133235"/>
    <n v="6.5036375589767964E-2"/>
    <n v="6.5036375589767964E-2"/>
    <n v="0.52775182388133235"/>
    <n v="0.12915708636843409"/>
    <n v="6.2152558207897557E-2"/>
    <n v="4.5543389385667148E-2"/>
    <n v="0.84220188302734822"/>
    <n v="4.5543389385667148E-2"/>
    <n v="4.5543389385667148E-2"/>
    <n v="0.84220188302734822"/>
    <n v="0.21264540371248"/>
    <n v="0.26322909336917499"/>
    <n v="4.1193419943640397E-2"/>
    <n v="0.83462144848347886"/>
    <n v="4.1193419943640397E-2"/>
    <n v="4.1193419943640397E-2"/>
    <n v="0.83462144848347886"/>
    <n v="0.26169604179515749"/>
    <n v="-5.0626832851048409E-2"/>
    <n v="142.27987245995701"/>
    <n v="0.5950464019346422"/>
    <n v="142.27987245995701"/>
    <n v="142.27987245995701"/>
    <n v="0.5950464019346422"/>
    <n v="437.76114915261132"/>
    <n v="-0.24594539886495251"/>
    <s v="[[sv,wv],[yr],[ya]]"/>
    <x v="1"/>
    <x v="1"/>
    <x v="5"/>
    <x v="2"/>
    <x v="0"/>
    <x v="0"/>
    <x v="5"/>
    <x v="2"/>
  </r>
  <r>
    <d v="2026-03-26T08:23:10"/>
    <s v="03-26_08-23-1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5490915360858922E-2"/>
    <n v="20.552402863882769"/>
    <n v="0.73596465945066081"/>
    <n v="-0.37497762210243157"/>
    <n v="27.83053036256775"/>
    <n v="0.67442453144556036"/>
    <n v="27.83053036256775"/>
    <n v="27.83053036256775"/>
    <n v="0.67442453144556036"/>
    <n v="131.09204707605161"/>
    <n v="-0.35143095571646782"/>
    <n v="0.8"/>
    <s v="identity"/>
    <n v="6.0407714841315838E-2"/>
    <n v="0.56136188558151856"/>
    <n v="6.0407714841315838E-2"/>
    <n v="6.0407714841315838E-2"/>
    <n v="0.56136188558151856"/>
    <n v="0.15620515411877919"/>
    <n v="-0.1342513856896812"/>
    <n v="8.4439020016662744E-2"/>
    <n v="0.70743683029795101"/>
    <n v="8.4439020016662744E-2"/>
    <n v="8.4439020016662744E-2"/>
    <n v="0.70743683029795101"/>
    <n v="0.38221050480416718"/>
    <n v="-0.32427776585826412"/>
    <n v="6.3479756242034127E-2"/>
    <n v="0.74514885745605119"/>
    <n v="6.3479756242034127E-2"/>
    <n v="6.3479756242034127E-2"/>
    <n v="0.74514885745605119"/>
    <n v="0.36299645484846721"/>
    <n v="-0.45731594974647649"/>
    <n v="111.1137949591714"/>
    <n v="0.68375055244671756"/>
    <n v="111.1137949591714"/>
    <n v="111.1137949591714"/>
    <n v="0.68375055244671756"/>
    <n v="523.46677619043612"/>
    <n v="-0.48987872157145551"/>
    <s v="[[sv,wv],[yr],[ya]]"/>
    <x v="1"/>
    <x v="1"/>
    <x v="5"/>
    <x v="2"/>
    <x v="0"/>
    <x v="0"/>
    <x v="5"/>
    <x v="2"/>
  </r>
  <r>
    <d v="2026-03-26T08:35:17"/>
    <s v="03-26_08-35-17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140345688318332"/>
    <n v="28.030231580869959"/>
    <n v="0.73690614948879185"/>
    <n v="-0.12644361921422489"/>
    <n v="31.65617714273742"/>
    <n v="0.6721977042770777"/>
    <n v="31.65617714273742"/>
    <n v="31.65617714273742"/>
    <n v="0.6721977042770777"/>
    <n v="115.00395563998779"/>
    <n v="-0.1138589548883893"/>
    <n v="0.8"/>
    <s v="identity"/>
    <n v="7.034328496882479E-2"/>
    <n v="0.48921680017559982"/>
    <n v="7.034328496882479E-2"/>
    <n v="7.034328496882479E-2"/>
    <n v="0.48921680017559982"/>
    <n v="0.162415162804736"/>
    <n v="-0.17934407803346469"/>
    <n v="8.6947382906480783E-2"/>
    <n v="0.69874588862592146"/>
    <n v="8.6947382906480783E-2"/>
    <n v="8.6947382906480783E-2"/>
    <n v="0.69874588862592146"/>
    <n v="0.26000397737820791"/>
    <n v="9.9141750556821173E-2"/>
    <n v="3.4703126922121762E-2"/>
    <n v="0.86067792207283056"/>
    <n v="3.4703126922121762E-2"/>
    <n v="3.4703126922121762E-2"/>
    <n v="0.86067792207283056"/>
    <n v="0.26600021640528348"/>
    <n v="-6.7906732492076127E-2"/>
    <n v="126.4327147761518"/>
    <n v="0.64015020623396146"/>
    <n v="126.4327147761518"/>
    <n v="126.4327147761518"/>
    <n v="0.64015020623396146"/>
    <n v="459.32740320336262"/>
    <n v="-0.30732675958483369"/>
    <s v="[[sv,wv],[yr],[ya]]"/>
    <x v="0"/>
    <x v="1"/>
    <x v="4"/>
    <x v="5"/>
    <x v="0"/>
    <x v="0"/>
    <x v="4"/>
    <x v="5"/>
  </r>
  <r>
    <d v="2026-03-26T08:45:41"/>
    <s v="03-26_08-45-4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8.3443187676694106E-2"/>
    <n v="14.457360977751399"/>
    <n v="0.82538601946488288"/>
    <n v="2.8447014646453911E-2"/>
    <n v="20.350207786355099"/>
    <n v="0.7485678901743682"/>
    <n v="20.350207786355099"/>
    <n v="20.350207786355099"/>
    <n v="0.7485678901743682"/>
    <n v="74.193807865509612"/>
    <n v="0.1704842643325587"/>
    <n v="0.8"/>
    <s v="identity"/>
    <n v="6.1768322968633847E-2"/>
    <n v="0.55148211136729774"/>
    <n v="6.1768322968633847E-2"/>
    <n v="6.1768322968633847E-2"/>
    <n v="0.55148211136729774"/>
    <n v="0.2516798971063548"/>
    <n v="-0.82752146466337284"/>
    <n v="3.926871897369353E-2"/>
    <n v="0.86394227584811301"/>
    <n v="3.926871897369353E-2"/>
    <n v="3.926871897369353E-2"/>
    <n v="0.86394227584811301"/>
    <n v="8.3056584359750038E-2"/>
    <n v="0.71222667458576616"/>
    <n v="4.7299842022351463E-2"/>
    <n v="0.81010609531038924"/>
    <n v="4.7299842022351463E-2"/>
    <n v="4.7299842022351463E-2"/>
    <n v="0.81010609531038924"/>
    <n v="8.9496707058066546E-2"/>
    <n v="0.64069902914078236"/>
    <n v="81.252494261455595"/>
    <n v="0.76874107817167481"/>
    <n v="81.252494261455595"/>
    <n v="81.252494261455595"/>
    <n v="0.76874107817167481"/>
    <n v="296.35099827351502"/>
    <n v="0.15653281826707091"/>
    <s v="[[sv,wv],[yr],[ya]]"/>
    <x v="0"/>
    <x v="1"/>
    <x v="4"/>
    <x v="5"/>
    <x v="0"/>
    <x v="0"/>
    <x v="4"/>
    <x v="5"/>
  </r>
  <r>
    <d v="2026-03-26T09:31:46"/>
    <s v="03-26_09-31-4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0222775248158721"/>
    <n v="20.00819510021757"/>
    <n v="0.76328115475758462"/>
    <n v="0.15006379519647159"/>
    <n v="27.75590586410636"/>
    <n v="0.69892394855359052"/>
    <n v="27.75590586410636"/>
    <n v="27.75590586410636"/>
    <n v="0.69892394855359052"/>
    <n v="102.89607302171861"/>
    <n v="0.18297152349706619"/>
    <n v="0.8"/>
    <s v="identity"/>
    <n v="6.5836248648270146E-2"/>
    <n v="0.52194371127390804"/>
    <n v="6.5836248648270146E-2"/>
    <n v="6.5836248648270146E-2"/>
    <n v="0.52194371127390804"/>
    <n v="8.2065797991931158E-2"/>
    <n v="0.40409619890457399"/>
    <n v="8.6984438221333837E-2"/>
    <n v="0.69861749987430422"/>
    <n v="8.6984438221333837E-2"/>
    <n v="8.6984438221333837E-2"/>
    <n v="0.69861749987430422"/>
    <n v="0.1449626251675529"/>
    <n v="0.49773546520340728"/>
    <n v="2.7246259947566919E-2"/>
    <n v="0.89061488435444003"/>
    <n v="2.7246259947566919E-2"/>
    <n v="2.7246259947566919E-2"/>
    <n v="0.89061488435444003"/>
    <n v="0.2490505356685955"/>
    <n v="1.4087444942267879E-4"/>
    <n v="110.8435565096085"/>
    <n v="0.6845196987117097"/>
    <n v="110.8435565096085"/>
    <n v="110.8435565096085"/>
    <n v="0.6845196987117097"/>
    <n v="411.10821312804683"/>
    <n v="-0.17008644456914501"/>
    <s v="[[sv,wv],[yr],[ya]]"/>
    <x v="0"/>
    <x v="1"/>
    <x v="4"/>
    <x v="5"/>
    <x v="1"/>
    <x v="1"/>
    <x v="4"/>
    <x v="5"/>
  </r>
  <r>
    <d v="2026-03-26T11:30:17"/>
    <s v="03-26_11-30-17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40952023135772"/>
    <n v="14.229934668792151"/>
    <n v="0.67730508114373622"/>
    <n v="-0.14575948857205309"/>
    <n v="19.220595685332199"/>
    <n v="0.66846594704911677"/>
    <n v="19.220595685332199"/>
    <n v="19.220595685332199"/>
    <n v="0.66846594704911677"/>
    <n v="125.6942175944352"/>
    <n v="-0.1434505183304817"/>
    <n v="0.8"/>
    <s v="identity"/>
    <n v="8.7346207509414672E-2"/>
    <n v="0.36575359845708588"/>
    <n v="8.7346207509414672E-2"/>
    <n v="8.7346207509414672E-2"/>
    <n v="0.36575359845708588"/>
    <n v="0.12992050907564459"/>
    <n v="5.660912227964332E-2"/>
    <n v="8.9675385675256208E-2"/>
    <n v="0.68929394168443148"/>
    <n v="8.9675385675256208E-2"/>
    <n v="8.9675385675256208E-2"/>
    <n v="0.68929394168443148"/>
    <n v="0.2288890290526554"/>
    <n v="0.20694840091163039"/>
    <n v="4.0596552487121559E-2"/>
    <n v="0.83701768253108866"/>
    <n v="4.0596552487121559E-2"/>
    <n v="4.0596552487121559E-2"/>
    <n v="0.83701768253108866"/>
    <n v="0.35080912964122302"/>
    <n v="-0.40838769391356911"/>
    <n v="76.664764595657132"/>
    <n v="0.78179856552385896"/>
    <n v="76.664764595657132"/>
    <n v="76.664764595657132"/>
    <n v="0.78179856552385896"/>
    <n v="502.06725170997203"/>
    <n v="-0.42897190259963919"/>
    <s v="[[sv,wv],[yr],[ya]]"/>
    <x v="0"/>
    <x v="0"/>
    <x v="4"/>
    <x v="4"/>
    <x v="1"/>
    <x v="1"/>
    <x v="4"/>
    <x v="4"/>
  </r>
  <r>
    <d v="2026-03-26T12:28:22"/>
    <s v="03-26_12-28-22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9005546979515968E-2"/>
    <n v="15.87959634705371"/>
    <n v="0.77142202756128175"/>
    <n v="-0.13444055892733089"/>
    <n v="21.47547448227235"/>
    <n v="0.7157658183029787"/>
    <n v="21.47547448227235"/>
    <n v="21.47547448227235"/>
    <n v="0.7157658183029787"/>
    <n v="123.1829110784828"/>
    <n v="-0.19633859206003801"/>
    <n v="0.8"/>
    <s v="identity"/>
    <n v="7.0030345065563687E-2"/>
    <n v="0.49148914849159447"/>
    <n v="7.0030345065563687E-2"/>
    <n v="7.0030345065563687E-2"/>
    <n v="0.49148914849159447"/>
    <n v="0.14874096768560591"/>
    <n v="-8.0051741301281565E-2"/>
    <n v="6.6781972309991236E-2"/>
    <n v="0.76861472937381337"/>
    <n v="6.6781972309991236E-2"/>
    <n v="6.6781972309991236E-2"/>
    <n v="0.76861472937381337"/>
    <n v="0.30572090521165057"/>
    <n v="-5.9257640072682083E-2"/>
    <n v="3.8121696487636282E-2"/>
    <n v="0.84695344656735516"/>
    <n v="3.8121696487636282E-2"/>
    <n v="3.8121696487636282E-2"/>
    <n v="0.84695344656735516"/>
    <n v="0.31031599371263291"/>
    <n v="-0.2458205612163071"/>
    <n v="85.726963915226165"/>
    <n v="0.75600594877915583"/>
    <n v="85.726963915226165"/>
    <n v="85.726963915226165"/>
    <n v="0.75600594877915583"/>
    <n v="491.96686644732108"/>
    <n v="-0.40022442564988392"/>
    <s v="[[sv,wv],[yr],[ya]]"/>
    <x v="1"/>
    <x v="1"/>
    <x v="5"/>
    <x v="5"/>
    <x v="0"/>
    <x v="0"/>
    <x v="5"/>
    <x v="5"/>
  </r>
  <r>
    <d v="2026-03-26T12:37:51"/>
    <s v="03-26_12-37-51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1536042686096789E-2"/>
    <n v="13.210082200279439"/>
    <n v="0.76468373172956527"/>
    <n v="-0.35001005470587671"/>
    <n v="18.94599088461219"/>
    <n v="0.7113430126707776"/>
    <n v="18.94599088461219"/>
    <n v="18.94599088461219"/>
    <n v="0.7113430126707776"/>
    <n v="108.18040036664981"/>
    <n v="-0.31277273849537179"/>
    <n v="0.8"/>
    <s v="identity"/>
    <n v="5.7474448422430838E-2"/>
    <n v="0.58266119237447755"/>
    <n v="5.7474448422430838E-2"/>
    <n v="5.7474448422430838E-2"/>
    <n v="0.58266119237447755"/>
    <n v="0.18140643103053519"/>
    <n v="-0.3172452402751238"/>
    <n v="7.740215233429748E-2"/>
    <n v="0.73181807386899722"/>
    <n v="7.740215233429748E-2"/>
    <n v="7.740215233429748E-2"/>
    <n v="0.73181807386899722"/>
    <n v="0.41960865118317331"/>
    <n v="-0.45385435549021502"/>
    <n v="6.326192857063366E-2"/>
    <n v="0.74602336665741675"/>
    <n v="6.326192857063366E-2"/>
    <n v="6.326192857063366E-2"/>
    <n v="0.74602336665741675"/>
    <n v="0.31160284745036543"/>
    <n v="-0.2509868719390147"/>
    <n v="75.58582500912155"/>
    <n v="0.7848694177822183"/>
    <n v="75.58582500912155"/>
    <n v="75.58582500912155"/>
    <n v="0.7848694177822183"/>
    <n v="431.80898353693601"/>
    <n v="-0.22900448627714409"/>
    <s v="[[sv,wv],[yr],[ya]]"/>
    <x v="1"/>
    <x v="1"/>
    <x v="5"/>
    <x v="5"/>
    <x v="0"/>
    <x v="0"/>
    <x v="5"/>
    <x v="5"/>
  </r>
  <r>
    <d v="2026-03-26T12:48:54"/>
    <s v="03-26_12-48-54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8.7537948265438759E-2"/>
    <n v="6.6998495781812997"/>
    <n v="0.80829078081332206"/>
    <n v="4.1512844496239237E-2"/>
    <n v="10.843822692580121"/>
    <n v="0.74171308092322774"/>
    <n v="10.843822692580121"/>
    <n v="10.843822692580121"/>
    <n v="0.74171308092322774"/>
    <n v="101.17933314032661"/>
    <n v="2.917889350582575E-2"/>
    <n v="0.8"/>
    <s v="identity"/>
    <n v="6.635888504493509E-2"/>
    <n v="0.51814869528693042"/>
    <n v="6.635888504493509E-2"/>
    <n v="6.635888504493509E-2"/>
    <n v="0.51814869528693042"/>
    <n v="0.21735916965553909"/>
    <n v="-0.57830860809294071"/>
    <n v="6.2692198880821115E-2"/>
    <n v="0.78278492080385498"/>
    <n v="6.2692198880821115E-2"/>
    <n v="6.2692198880821115E-2"/>
    <n v="0.78278492080385498"/>
    <n v="0.1526098385164284"/>
    <n v="0.47123950425675792"/>
    <n v="5.2593074787201592E-2"/>
    <n v="0.78885544001912233"/>
    <n v="5.2593074787201592E-2"/>
    <n v="5.2593074787201592E-2"/>
    <n v="0.78885544001912233"/>
    <n v="0.15588154900616899"/>
    <n v="0.37418488637111158"/>
    <n v="43.193646611607591"/>
    <n v="0.87706326758300412"/>
    <n v="43.193646611607591"/>
    <n v="43.193646611607591"/>
    <n v="0.87706326758300412"/>
    <n v="404.19148200413042"/>
    <n v="-0.1504002085116245"/>
    <s v="[[sv,wv],[yr],[ya]]"/>
    <x v="1"/>
    <x v="0"/>
    <x v="2"/>
    <x v="4"/>
    <x v="0"/>
    <x v="0"/>
    <x v="2"/>
    <x v="4"/>
  </r>
  <r>
    <d v="2026-03-26T13:02:27"/>
    <s v="03-26_13-02-27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6023990038364773E-2"/>
    <n v="15.26440260135916"/>
    <n v="0.79992780765888516"/>
    <n v="-0.19024231999183799"/>
    <n v="20.260619383646549"/>
    <n v="0.72726546835815964"/>
    <n v="20.260619383646549"/>
    <n v="20.260619383646549"/>
    <n v="0.72726546835815964"/>
    <n v="112.6716329839942"/>
    <n v="-0.1596836333431966"/>
    <n v="0.8"/>
    <s v="identity"/>
    <n v="6.4173314884337182E-2"/>
    <n v="0.53401876050446573"/>
    <n v="6.4173314884337182E-2"/>
    <n v="6.4173314884337182E-2"/>
    <n v="0.53401876050446573"/>
    <n v="0.29140308026448247"/>
    <n v="-1.1159631348201109"/>
    <n v="3.8575289476406698E-2"/>
    <n v="0.86634486095214536"/>
    <n v="3.8575289476406698E-2"/>
    <n v="3.8575289476406698E-2"/>
    <n v="0.86634486095214536"/>
    <n v="0.1753402337814482"/>
    <n v="0.39248353946699199"/>
    <n v="6.5040772474854375E-2"/>
    <n v="0.73888187103368586"/>
    <n v="6.5040772474854375E-2"/>
    <n v="6.5040772474854375E-2"/>
    <n v="0.73888187103368586"/>
    <n v="0.15799494659836941"/>
    <n v="0.36570026351011142"/>
    <n v="80.87468815775091"/>
    <n v="0.76981638094234128"/>
    <n v="80.87468815775091"/>
    <n v="80.87468815775091"/>
    <n v="0.76981638094234128"/>
    <n v="450.06179367533258"/>
    <n v="-0.28095520152977321"/>
    <s v="[[sv,wv],[yr],[ya]]"/>
    <x v="1"/>
    <x v="0"/>
    <x v="2"/>
    <x v="4"/>
    <x v="0"/>
    <x v="0"/>
    <x v="2"/>
    <x v="4"/>
  </r>
  <r>
    <d v="2026-03-26T13:28:31"/>
    <s v="03-26_13-28-3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088967338352151"/>
    <n v="7.4132141491917167"/>
    <n v="0.71036803991805475"/>
    <n v="-0.38165662372129289"/>
    <n v="11.67693526697013"/>
    <n v="0.65646439711884008"/>
    <n v="11.67693526697013"/>
    <n v="11.67693526697013"/>
    <n v="0.65646439711884008"/>
    <n v="134.53744999609771"/>
    <n v="-0.21274095500333459"/>
    <n v="0.8"/>
    <s v="identity"/>
    <n v="8.0675518407051436E-2"/>
    <n v="0.4141914262646571"/>
    <n v="8.0675518407051436E-2"/>
    <n v="8.0675518407051436E-2"/>
    <n v="0.4141914262646571"/>
    <n v="0.119978560315007"/>
    <n v="0.12880052480938459"/>
    <n v="0.1037653742991716"/>
    <n v="0.64047514047066745"/>
    <n v="0.1037653742991716"/>
    <n v="0.1037653742991716"/>
    <n v="0.64047514047066745"/>
    <n v="0.30086611722193862"/>
    <n v="-4.2436836583711113E-2"/>
    <n v="7.388022651445722E-2"/>
    <n v="0.70339425900083086"/>
    <n v="7.388022651445722E-2"/>
    <n v="7.388022651445722E-2"/>
    <n v="0.70339425900083086"/>
    <n v="0.35067624327263441"/>
    <n v="-0.40785419717589749"/>
    <n v="46.449419948659973"/>
    <n v="0.8677967627392098"/>
    <n v="46.449419948659973"/>
    <n v="46.449419948659973"/>
    <n v="0.8677967627392098"/>
    <n v="537.3782790635787"/>
    <n v="-0.52947331106310069"/>
    <s v="[[sv,wv],[yr],[ya]]"/>
    <x v="1"/>
    <x v="0"/>
    <x v="2"/>
    <x v="4"/>
    <x v="1"/>
    <x v="1"/>
    <x v="2"/>
    <x v="4"/>
  </r>
  <r>
    <d v="2026-03-26T15:19:46"/>
    <s v="03-26_15-19-4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2088506113121859"/>
    <n v="27.695818698153811"/>
    <n v="0.67089073447137137"/>
    <n v="7.496904499600493E-2"/>
    <n v="35.646870539348882"/>
    <n v="0.62029752431914842"/>
    <n v="35.646870539348882"/>
    <n v="35.646870539348882"/>
    <n v="0.62029752431914842"/>
    <n v="155.2453042646579"/>
    <n v="-0.20575583742437301"/>
    <n v="0.8"/>
    <s v="identity"/>
    <n v="8.5452737887407287E-2"/>
    <n v="0.37950263609056939"/>
    <n v="8.5452737887407287E-2"/>
    <n v="8.5452737887407287E-2"/>
    <n v="0.37950263609056939"/>
    <n v="0.15146029241002529"/>
    <n v="-9.9797554774680775E-2"/>
    <n v="0.1024833430695118"/>
    <n v="0.64491710486263076"/>
    <n v="0.1024833430695118"/>
    <n v="0.1024833430695118"/>
    <n v="0.64491710486263076"/>
    <n v="0.22654012413981439"/>
    <n v="0.21508685475079009"/>
    <n v="3.4382108610495239E-2"/>
    <n v="0.86196670905530759"/>
    <n v="3.4382108610495239E-2"/>
    <n v="3.4382108610495239E-2"/>
    <n v="0.86196670905530759"/>
    <n v="0.29212710859483931"/>
    <n v="-0.17279794064737539"/>
    <n v="142.3651639678294"/>
    <n v="0.59480364726808121"/>
    <n v="142.3651639678294"/>
    <n v="142.3651639678294"/>
    <n v="0.59480364726808121"/>
    <n v="620.31108953348655"/>
    <n v="-0.76551470902621288"/>
    <s v="[[sv,wv],[yr],[ya]]"/>
    <x v="0"/>
    <x v="1"/>
    <x v="4"/>
    <x v="2"/>
    <x v="1"/>
    <x v="1"/>
    <x v="4"/>
    <x v="2"/>
  </r>
  <r>
    <d v="2026-03-26T16:26:05"/>
    <s v="03-26_16-26-05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041462812818077"/>
    <n v="15.13602290537434"/>
    <n v="0.7288666676189941"/>
    <n v="0.3360127966437042"/>
    <n v="25.130944909850701"/>
    <n v="0.67009028694578343"/>
    <n v="25.130944909850701"/>
    <n v="25.130944909850701"/>
    <n v="0.67009028694578343"/>
    <n v="70.908139919045936"/>
    <n v="0.33969795509309081"/>
    <n v="0.8"/>
    <s v="identity"/>
    <n v="8.408670266622896E-2"/>
    <n v="0.3894218180232234"/>
    <n v="8.408670266622896E-2"/>
    <n v="8.408670266622896E-2"/>
    <n v="0.3894218180232234"/>
    <n v="0.1046797065450151"/>
    <n v="0.23988998396309441"/>
    <n v="7.9204846986550614E-2"/>
    <n v="0.72557212192208875"/>
    <n v="7.9204846986550614E-2"/>
    <n v="7.9204846986550614E-2"/>
    <n v="0.72557212192208875"/>
    <n v="0.1224443223579786"/>
    <n v="0.57575657493418775"/>
    <n v="3.7137384238054467E-2"/>
    <n v="0.85090514890958657"/>
    <n v="3.7137384238054467E-2"/>
    <n v="3.7137384238054467E-2"/>
    <n v="0.85090514890958657"/>
    <n v="0.16207857534845471"/>
    <n v="0.34930578573807108"/>
    <n v="100.323350705512"/>
    <n v="0.71446205892823245"/>
    <n v="100.323350705512"/>
    <n v="100.323350705512"/>
    <n v="0.71446205892823245"/>
    <n v="283.24335707193302"/>
    <n v="0.1938394757370111"/>
    <s v="[[sv,wv],[yr],[ya]]"/>
    <x v="0"/>
    <x v="0"/>
    <x v="4"/>
    <x v="0"/>
    <x v="1"/>
    <x v="1"/>
    <x v="4"/>
    <x v="0"/>
  </r>
  <r>
    <d v="2026-03-26T16:42:33"/>
    <s v="03-26_16-42-33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046108051665488"/>
    <n v="21.461002310661939"/>
    <n v="0.71866976235290614"/>
    <n v="0.28141034410439569"/>
    <n v="30.262262428462329"/>
    <n v="0.66833151052769446"/>
    <n v="30.262262428462329"/>
    <n v="30.262262428462329"/>
    <n v="0.66833151052769446"/>
    <n v="94.739687475285393"/>
    <n v="0.180969181350769"/>
    <n v="0.8"/>
    <s v="identity"/>
    <n v="7.2323267033063063E-2"/>
    <n v="0.47483957035451929"/>
    <n v="7.2323267033063063E-2"/>
    <n v="7.2323267033063063E-2"/>
    <n v="0.47483957035451929"/>
    <n v="0.1216438707524224"/>
    <n v="0.11670821785640351"/>
    <n v="9.9225176815522828E-2"/>
    <n v="0.6562059550470023"/>
    <n v="9.9225176815522828E-2"/>
    <n v="9.9225176815522828E-2"/>
    <n v="0.6562059550470023"/>
    <n v="0.16827817097292341"/>
    <n v="0.41695207876895518"/>
    <n v="2.8336343587212039E-2"/>
    <n v="0.88623854333679652"/>
    <n v="2.8336343587212039E-2"/>
    <n v="2.8336343587212039E-2"/>
    <n v="0.88623854333679652"/>
    <n v="0.1824663465432331"/>
    <n v="0.26745533308190023"/>
    <n v="120.84916492641339"/>
    <n v="0.65604197337245962"/>
    <n v="120.84916492641339"/>
    <n v="120.84916492641339"/>
    <n v="0.65604197337245962"/>
    <n v="378.48636151287423"/>
    <n v="-7.7238904304191225E-2"/>
    <s v="[[sv,wv],[yr],[ya]]"/>
    <x v="0"/>
    <x v="0"/>
    <x v="4"/>
    <x v="0"/>
    <x v="1"/>
    <x v="1"/>
    <x v="4"/>
    <x v="0"/>
  </r>
  <r>
    <d v="2026-03-26T16:52:47"/>
    <s v="03-26_16-52-47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6212216192090083E-2"/>
    <n v="18.240263779616662"/>
    <n v="0.77277834619320096"/>
    <n v="5.3747799685047393E-2"/>
    <n v="21.58015274037302"/>
    <n v="0.70799408638285444"/>
    <n v="21.58015274037302"/>
    <n v="21.58015274037302"/>
    <n v="0.70799408638285444"/>
    <n v="97.857911449137902"/>
    <n v="4.5519889236360467E-2"/>
    <n v="0.8"/>
    <s v="identity"/>
    <n v="6.663992476664099E-2"/>
    <n v="0.51610798353463849"/>
    <n v="6.663992476664099E-2"/>
    <n v="6.663992476664099E-2"/>
    <n v="0.51610798353463849"/>
    <n v="0.20508228449716201"/>
    <n v="-0.4891625483396651"/>
    <n v="6.513739699570685E-2"/>
    <n v="0.7743128315861062"/>
    <n v="6.513739699570685E-2"/>
    <n v="6.513739699570685E-2"/>
    <n v="0.7743128315861062"/>
    <n v="0.17947054874945151"/>
    <n v="0.37817288026383689"/>
    <n v="5.3126741687651143E-2"/>
    <n v="0.78671293621367444"/>
    <n v="5.3126741687651143E-2"/>
    <n v="5.3126741687651143E-2"/>
    <n v="0.78671293621367444"/>
    <n v="0.148047325330524"/>
    <n v="0.40563681644895477"/>
    <n v="86.135706898041988"/>
    <n v="0.75484259419699717"/>
    <n v="86.135706898041988"/>
    <n v="86.135706898041988"/>
    <n v="0.75484259419699717"/>
    <n v="390.89904563797381"/>
    <n v="-0.1125675914276807"/>
    <s v="[[sv,wv],[yr],[ya]]"/>
    <x v="1"/>
    <x v="1"/>
    <x v="2"/>
    <x v="5"/>
    <x v="0"/>
    <x v="0"/>
    <x v="2"/>
    <x v="5"/>
  </r>
  <r>
    <d v="2026-03-26T17:13:15"/>
    <s v="03-26_17-13-1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4209099458810452E-2"/>
    <n v="16.72453051302001"/>
    <n v="0.79696450448378342"/>
    <n v="-6.4499642115715414E-3"/>
    <n v="25.171167910270022"/>
    <n v="0.71429861287760144"/>
    <n v="25.171167910270022"/>
    <n v="25.171167910270022"/>
    <n v="0.71429861287760144"/>
    <n v="73.88092625149379"/>
    <n v="6.3938737242462573E-2"/>
    <n v="0.8"/>
    <s v="identity"/>
    <n v="6.2818522393341264E-2"/>
    <n v="0.54385630567961152"/>
    <n v="6.2818522393341264E-2"/>
    <n v="6.2818522393341264E-2"/>
    <n v="0.54385630567961152"/>
    <n v="0.22162681018980571"/>
    <n v="-0.60929719625397238"/>
    <n v="4.0421184215588282E-2"/>
    <n v="0.85994922993079137"/>
    <n v="4.0421184215588282E-2"/>
    <n v="4.0421184215588282E-2"/>
    <n v="0.85994922993079137"/>
    <n v="0.17728646611731641"/>
    <n v="0.38574026010342438"/>
    <n v="6.4892607674283578E-2"/>
    <n v="0.73947670584316894"/>
    <n v="6.4892607674283578E-2"/>
    <n v="6.4892607674283578E-2"/>
    <n v="0.73947670584316894"/>
    <n v="0.16967559863133841"/>
    <n v="0.31880614021022857"/>
    <n v="100.5165393267968"/>
    <n v="0.71391221005683581"/>
    <n v="100.5165393267968"/>
    <n v="100.5165393267968"/>
    <n v="0.71391221005683581"/>
    <n v="294.95511613103599"/>
    <n v="0.16050574491016409"/>
    <s v="[[sv,wv],[yr],[ya]]"/>
    <x v="1"/>
    <x v="1"/>
    <x v="2"/>
    <x v="5"/>
    <x v="0"/>
    <x v="0"/>
    <x v="2"/>
    <x v="5"/>
  </r>
  <r>
    <d v="2026-03-26T17:36:41"/>
    <s v="03-26_17-36-41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19070948171207"/>
    <n v="16.06631557009317"/>
    <n v="0.68446107334832784"/>
    <n v="-0.28181313521279489"/>
    <n v="22.83627252870599"/>
    <n v="0.62400205683936116"/>
    <n v="22.83627252870599"/>
    <n v="22.83627252870599"/>
    <n v="0.62400205683936116"/>
    <n v="100.31832324533271"/>
    <n v="-5.345011268246011E-2"/>
    <n v="0.8"/>
    <s v="identity"/>
    <n v="8.1501004514506134E-2"/>
    <n v="0.40819732980522733"/>
    <n v="8.1501004514506134E-2"/>
    <n v="8.1501004514506134E-2"/>
    <n v="0.40819732980522733"/>
    <n v="0.12832943591449711"/>
    <n v="6.8162370621199009E-2"/>
    <n v="0.10344214137656151"/>
    <n v="0.64159507351077405"/>
    <n v="0.10344214137656151"/>
    <n v="0.10344214137656151"/>
    <n v="0.64159507351077405"/>
    <n v="0.2412876488396746"/>
    <n v="0.16398983147175461"/>
    <n v="7.3364468627365981E-2"/>
    <n v="0.70546486378230011"/>
    <n v="7.3364468627365981E-2"/>
    <n v="7.3364468627365981E-2"/>
    <n v="0.70546486378230011"/>
    <n v="0.32526494728929572"/>
    <n v="-0.30583588144411639"/>
    <n v="91.086782500305645"/>
    <n v="0.74075096025914311"/>
    <n v="91.086782500305645"/>
    <n v="91.086782500305645"/>
    <n v="0.74075096025914311"/>
    <n v="400.57841094928489"/>
    <n v="-0.14011677137867931"/>
    <s v="[[sv,wv],[yr],[ya]]"/>
    <x v="1"/>
    <x v="1"/>
    <x v="2"/>
    <x v="5"/>
    <x v="1"/>
    <x v="1"/>
    <x v="2"/>
    <x v="5"/>
  </r>
  <r>
    <d v="2026-03-26T19:14:00"/>
    <s v="03-26_19-14-0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148216861749658"/>
    <n v="15.902336724619801"/>
    <n v="0.67023122375203592"/>
    <n v="-0.26115866470367127"/>
    <n v="22.20984091151043"/>
    <n v="0.65309646106833352"/>
    <n v="22.20984091151043"/>
    <n v="22.20984091151043"/>
    <n v="0.65309646106833352"/>
    <n v="134.59260377852729"/>
    <n v="-0.25716863828905989"/>
    <n v="0.8"/>
    <s v="identity"/>
    <n v="8.8747567759100254E-2"/>
    <n v="0.3555779111436721"/>
    <n v="8.8747567759100254E-2"/>
    <n v="8.8747567759100254E-2"/>
    <n v="0.3555779111436721"/>
    <n v="0.12732903276123231"/>
    <n v="7.5426590993697973E-2"/>
    <n v="9.2706146742614209E-2"/>
    <n v="0.67879300190207914"/>
    <n v="9.2706146742614209E-2"/>
    <n v="9.2706146742614209E-2"/>
    <n v="0.67879300190207914"/>
    <n v="0.26591464522395453"/>
    <n v="7.866254888363311E-2"/>
    <n v="4.2287113473695119E-2"/>
    <n v="0.83023061489765604"/>
    <n v="4.2287113473695119E-2"/>
    <n v="4.2287113473695119E-2"/>
    <n v="0.83023061489765604"/>
    <n v="0.41167814492104943"/>
    <n v="-0.65275753727659325"/>
    <n v="88.615622818066257"/>
    <n v="0.74778431632992914"/>
    <n v="88.615622818066257"/>
    <n v="88.615622818066257"/>
    <n v="0.74778431632992914"/>
    <n v="537.56549329120446"/>
    <n v="-0.53000615575697951"/>
    <s v="[[sv,wv],[yr],[ya]]"/>
    <x v="0"/>
    <x v="1"/>
    <x v="4"/>
    <x v="5"/>
    <x v="1"/>
    <x v="1"/>
    <x v="4"/>
    <x v="5"/>
  </r>
  <r>
    <d v="2026-03-26T20:05:41"/>
    <s v="03-26_20-05-41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201198693074282"/>
    <n v="16.54250211599517"/>
    <n v="0.6506513608164648"/>
    <n v="-9.8262514329634482E-2"/>
    <n v="26.31063267546693"/>
    <n v="0.59877008802185872"/>
    <n v="26.31063267546693"/>
    <n v="26.31063267546693"/>
    <n v="0.59877008802185872"/>
    <n v="92.88209514034952"/>
    <n v="-9.4430056282955976E-2"/>
    <n v="0.8"/>
    <s v="identity"/>
    <n v="8.4700863296508125E-2"/>
    <n v="0.38496221776316741"/>
    <n v="8.4700863296508125E-2"/>
    <n v="8.4700863296508125E-2"/>
    <n v="0.38496221776316741"/>
    <n v="0.1302406998866073"/>
    <n v="5.4284122998612072E-2"/>
    <n v="7.8939325495698459E-2"/>
    <n v="0.72649209717727758"/>
    <n v="7.8939325495698459E-2"/>
    <n v="7.8939325495698459E-2"/>
    <n v="0.72649209717727758"/>
    <n v="0.1308272609959506"/>
    <n v="0.5467114829985058"/>
    <n v="0.1040174022290016"/>
    <n v="0.58240303095302015"/>
    <n v="0.1040174022290016"/>
    <n v="0.1040174022290016"/>
    <n v="0.58240303095302015"/>
    <n v="0.47908809919372181"/>
    <n v="-0.92338718178443102"/>
    <n v="104.9748731108461"/>
    <n v="0.70122300619396871"/>
    <n v="104.9748731108461"/>
    <n v="104.9748731108461"/>
    <n v="0.70122300619396871"/>
    <n v="370.78822450132259"/>
    <n v="-5.5328649344514647E-2"/>
    <s v="[[sv,wv],[yr],[ya]]"/>
    <x v="1"/>
    <x v="0"/>
    <x v="5"/>
    <x v="0"/>
    <x v="1"/>
    <x v="1"/>
    <x v="5"/>
    <x v="0"/>
  </r>
  <r>
    <d v="2026-03-26T20:20:09"/>
    <s v="03-26_20-20-09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00035121615149"/>
    <n v="20.471789750840721"/>
    <n v="0.69347097873274355"/>
    <n v="-0.25054035582274048"/>
    <n v="28.783809356234659"/>
    <n v="0.63825602401341808"/>
    <n v="28.783809356234659"/>
    <n v="28.783809356234659"/>
    <n v="0.63825602401341808"/>
    <n v="121.2060510936777"/>
    <n v="-0.2866537780544689"/>
    <n v="0.8"/>
    <s v="identity"/>
    <n v="7.2785053649950041E-2"/>
    <n v="0.47148640244497192"/>
    <n v="7.2785053649950041E-2"/>
    <n v="7.2785053649950041E-2"/>
    <n v="0.47148640244497192"/>
    <n v="0.1265969294207738"/>
    <n v="8.0742607824689339E-2"/>
    <n v="9.9188461885100138E-2"/>
    <n v="0.65633316443926826"/>
    <n v="9.9188461885100138E-2"/>
    <n v="9.9188461885100138E-2"/>
    <n v="0.65633316443926826"/>
    <n v="0.2874728193205604"/>
    <n v="3.9680800770668379E-3"/>
    <n v="6.1714801438392031E-2"/>
    <n v="0.75223459273410787"/>
    <n v="6.1714801438392031E-2"/>
    <n v="6.1714801438392031E-2"/>
    <n v="0.75223459273410787"/>
    <n v="0.4617856917826712"/>
    <n v="-0.85392348881348545"/>
    <n v="114.9015491079651"/>
    <n v="0.67296993643532299"/>
    <n v="114.9015491079651"/>
    <n v="114.9015491079651"/>
    <n v="0.67296993643532299"/>
    <n v="483.94834893418579"/>
    <n v="-0.37740231130614132"/>
    <s v="[[sv,wv],[yr],[ya]]"/>
    <x v="1"/>
    <x v="0"/>
    <x v="5"/>
    <x v="0"/>
    <x v="1"/>
    <x v="1"/>
    <x v="5"/>
    <x v="0"/>
  </r>
  <r>
    <d v="2026-03-26T20:25:22"/>
    <s v="03-26_20-25-2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8.8067246005174307E-2"/>
    <n v="8.1194260707882986"/>
    <n v="0.81137309611275665"/>
    <n v="4.7495546095261271E-2"/>
    <n v="12.677724758125439"/>
    <n v="0.7453724214652051"/>
    <n v="12.677724758125439"/>
    <n v="12.677724758125439"/>
    <n v="0.7453724214652051"/>
    <n v="120.0404285894834"/>
    <n v="6.830516827597824E-2"/>
    <n v="0.8"/>
    <s v="identity"/>
    <n v="6.6673427961460641E-2"/>
    <n v="0.51586470702200615"/>
    <n v="6.6673427961460641E-2"/>
    <n v="6.6673427961460641E-2"/>
    <n v="0.51586470702200615"/>
    <n v="0.1577314354034153"/>
    <n v="-0.1453341612345542"/>
    <n v="6.8947318980255162E-2"/>
    <n v="0.76111226564044476"/>
    <n v="6.8947318980255162E-2"/>
    <n v="6.8947318980255162E-2"/>
    <n v="0.76111226564044476"/>
    <n v="0.15757631697451269"/>
    <n v="0.45403171714995161"/>
    <n v="3.7773496205956603E-2"/>
    <n v="0.84835136056188676"/>
    <n v="3.7773496205956603E-2"/>
    <n v="3.7773496205956603E-2"/>
    <n v="0.84835136056188676"/>
    <n v="0.16694330685616729"/>
    <n v="0.32977542745844751"/>
    <n v="50.537504789353981"/>
    <n v="0.85616135263648152"/>
    <n v="50.537504789353981"/>
    <n v="50.537504789353981"/>
    <n v="0.85616135263648152"/>
    <n v="479.6794632987"/>
    <n v="-0.36525231026993721"/>
    <s v="[[sv,wv],[yr],[ya]]"/>
    <x v="1"/>
    <x v="0"/>
    <x v="5"/>
    <x v="4"/>
    <x v="0"/>
    <x v="0"/>
    <x v="5"/>
    <x v="4"/>
  </r>
  <r>
    <d v="2026-03-26T20:44:09"/>
    <s v="03-26_20-44-09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15052626264584"/>
    <n v="27.829174648595099"/>
    <n v="0.78515939028648929"/>
    <n v="-0.36228606357959992"/>
    <n v="35.849398046570293"/>
    <n v="0.71027228799334663"/>
    <n v="35.849398046570293"/>
    <n v="35.849398046570293"/>
    <n v="0.71027228799334663"/>
    <n v="127.0044072002912"/>
    <n v="-0.27294237747150729"/>
    <n v="0.8"/>
    <s v="identity"/>
    <n v="6.2588010944263334E-2"/>
    <n v="0.54553011684166308"/>
    <n v="6.2588010944263334E-2"/>
    <n v="6.2588010944263334E-2"/>
    <n v="0.54553011684166308"/>
    <n v="0.23030789333276541"/>
    <n v="-0.67233308415240933"/>
    <n v="4.0086496222643583E-2"/>
    <n v="0.86110885234301027"/>
    <n v="4.0086496222643583E-2"/>
    <n v="4.0086496222643583E-2"/>
    <n v="0.86110885234301027"/>
    <n v="0.27431480377481371"/>
    <n v="4.9557793627660662E-2"/>
    <n v="3.9310470741356733E-2"/>
    <n v="0.84218089395022844"/>
    <n v="3.9310470741356733E-2"/>
    <n v="3.9310470741356733E-2"/>
    <n v="0.84218089395022844"/>
    <n v="0.25537493335892258"/>
    <n v="-2.5249581858204358E-2"/>
    <n v="143.2556072083724"/>
    <n v="0.59226928883848451"/>
    <n v="143.2556072083724"/>
    <n v="143.2556072083724"/>
    <n v="0.59226928883848451"/>
    <n v="507.25763117069789"/>
    <n v="-0.44374463750307452"/>
    <s v="[[sv,wv],[yr],[ya]]"/>
    <x v="1"/>
    <x v="0"/>
    <x v="5"/>
    <x v="4"/>
    <x v="0"/>
    <x v="0"/>
    <x v="5"/>
    <x v="4"/>
  </r>
  <r>
    <d v="2026-03-26T21:06:58"/>
    <s v="03-26_21-06-58_multihead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9886376298264"/>
    <n v="7.4121269156428156"/>
    <n v="0.74001648108464446"/>
    <n v="4.0607429155031849E-2"/>
    <n v="11.90580682827215"/>
    <n v="0.68386916717093971"/>
    <n v="11.90580682827215"/>
    <n v="11.90580682827215"/>
    <n v="0.68386916717093971"/>
    <n v="113.7375702514551"/>
    <n v="5.2420992622955881E-2"/>
    <n v="0.8"/>
    <s v="identity"/>
    <n v="7.8188867324176209E-2"/>
    <n v="0.43224772826307428"/>
    <n v="7.8188867324176209E-2"/>
    <n v="7.8188867324176209E-2"/>
    <n v="0.43224772826307428"/>
    <n v="0.1194565373200821"/>
    <n v="0.1325910867066262"/>
    <n v="9.3608491902355845E-2"/>
    <n v="0.67566656864826802"/>
    <n v="9.3608491902355845E-2"/>
    <n v="9.3608491902355845E-2"/>
    <n v="0.67566656864826802"/>
    <n v="0.1185031920900133"/>
    <n v="0.58941174955815989"/>
    <n v="5.9170515397793291E-2"/>
    <n v="0.76244909642459069"/>
    <n v="5.9170515397793291E-2"/>
    <n v="5.9170515397793291E-2"/>
    <n v="0.76244909642459069"/>
    <n v="0.30363329428803709"/>
    <n v="-0.21899163677711281"/>
    <n v="47.392259438464201"/>
    <n v="0.86511327534782367"/>
    <n v="47.392259438464201"/>
    <n v="47.392259438464201"/>
    <n v="0.86511327534782367"/>
    <n v="454.40868798212131"/>
    <n v="-0.29332722899584551"/>
    <s v="[[sv,wv],[yr],[ya]]"/>
    <x v="1"/>
    <x v="0"/>
    <x v="5"/>
    <x v="4"/>
    <x v="1"/>
    <x v="1"/>
    <x v="5"/>
    <x v="4"/>
  </r>
  <r>
    <d v="2026-03-26T22:46:40"/>
    <s v="03-26_22-46-40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184323947028163"/>
    <n v="14.44743132215938"/>
    <n v="0.67634628839849675"/>
    <n v="0.11639666401326131"/>
    <n v="19.44425165958987"/>
    <n v="0.64789868834686737"/>
    <n v="19.44425165958987"/>
    <n v="19.44425165958987"/>
    <n v="0.64789868834686737"/>
    <n v="73.582805536616277"/>
    <n v="6.958361465253371E-2"/>
    <n v="0.8"/>
    <s v="identity"/>
    <n v="8.4236991701604827E-2"/>
    <n v="0.38833052530890361"/>
    <n v="8.4236991701604827E-2"/>
    <n v="8.4236991701604827E-2"/>
    <n v="0.38833052530890361"/>
    <n v="0.14630245290303409"/>
    <n v="-6.2344971081307772E-2"/>
    <n v="9.9113683406177822E-2"/>
    <n v="0.65659225589739623"/>
    <n v="9.9113683406177822E-2"/>
    <n v="9.9113683406177822E-2"/>
    <n v="0.65659225589739623"/>
    <n v="0.17139588672438971"/>
    <n v="0.40614985957812388"/>
    <n v="5.7949207439655238E-2"/>
    <n v="0.76735226157448144"/>
    <n v="5.7949207439655238E-2"/>
    <n v="5.7949207439655238E-2"/>
    <n v="0.76735226157448144"/>
    <n v="0.30625769509704648"/>
    <n v="-0.22952777592231019"/>
    <n v="77.535706755811802"/>
    <n v="0.7793197106066907"/>
    <n v="77.535706755811802"/>
    <n v="77.535706755811802"/>
    <n v="0.7793197106066907"/>
    <n v="293.7072661117403"/>
    <n v="0.16405734603562849"/>
    <s v="[[sv,wv],[yr],[ya]]"/>
    <x v="1"/>
    <x v="0"/>
    <x v="2"/>
    <x v="4"/>
    <x v="1"/>
    <x v="1"/>
    <x v="2"/>
    <x v="4"/>
  </r>
  <r>
    <d v="2026-03-26T23:36:21"/>
    <s v="03-26_23-36-21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090046254025873"/>
    <n v="18.79772488918184"/>
    <n v="0.68189091488877063"/>
    <n v="0.31464724531388372"/>
    <n v="23.820768642486389"/>
    <n v="0.64051224387790895"/>
    <n v="23.820768642486389"/>
    <n v="23.820768642486389"/>
    <n v="0.64051224387790895"/>
    <n v="82.489852891726215"/>
    <n v="0.30888682774623472"/>
    <n v="0.8"/>
    <s v="identity"/>
    <n v="8.2546916801742129E-2"/>
    <n v="0.40060265427867459"/>
    <n v="8.2546916801742129E-2"/>
    <n v="8.2546916801742129E-2"/>
    <n v="0.40060265427867459"/>
    <n v="0.1205137079519876"/>
    <n v="0.1249146610411999"/>
    <n v="8.2572409032896976E-2"/>
    <n v="0.71390423868217212"/>
    <n v="8.2572409032896976E-2"/>
    <n v="8.2572409032896976E-2"/>
    <n v="0.71390423868217212"/>
    <n v="0.14635394283941139"/>
    <n v="0.49291484663084378"/>
    <n v="7.0226036805777048E-2"/>
    <n v="0.71806467485401626"/>
    <n v="7.0226036805777048E-2"/>
    <n v="7.0226036805777048E-2"/>
    <n v="0.71806467485401626"/>
    <n v="0.1106523123645521"/>
    <n v="0.55576596539349932"/>
    <n v="95.047729207305281"/>
    <n v="0.72947740769677316"/>
    <n v="95.047729207305281"/>
    <n v="95.047729207305281"/>
    <n v="0.72947740769677316"/>
    <n v="329.58189160374889"/>
    <n v="6.1951837919400073E-2"/>
    <s v="[[sv,wv],[yr],[ya]]"/>
    <x v="0"/>
    <x v="0"/>
    <x v="0"/>
    <x v="4"/>
    <x v="1"/>
    <x v="1"/>
    <x v="0"/>
    <x v="4"/>
  </r>
  <r>
    <d v="2026-03-26T23:52:03"/>
    <s v="03-26_23-52-03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2854728074613411"/>
    <n v="10.409062181650009"/>
    <n v="0.66834988802160089"/>
    <n v="-0.2074614914068586"/>
    <n v="17.60619210714059"/>
    <n v="0.59596133372259763"/>
    <n v="17.60619210714059"/>
    <n v="17.60619210714059"/>
    <n v="0.59596133372259763"/>
    <n v="103.9146038033274"/>
    <n v="-0.1962177463569538"/>
    <n v="0.8"/>
    <s v="identity"/>
    <n v="7.2036462884936078E-2"/>
    <n v="0.47692213929579269"/>
    <n v="7.2036462884936078E-2"/>
    <n v="7.2036462884936078E-2"/>
    <n v="0.47692213929579269"/>
    <n v="0.10678482483896599"/>
    <n v="0.2246041033183441"/>
    <n v="0.1000691062387149"/>
    <n v="0.65328191984378492"/>
    <n v="0.1000691062387149"/>
    <n v="0.1000691062387149"/>
    <n v="0.65328191984378492"/>
    <n v="0.39778822244043321"/>
    <n v="-0.37825123034766861"/>
    <n v="0.1361987514863314"/>
    <n v="0.45320509270691139"/>
    <n v="0.1361987514863314"/>
    <n v="0.1361987514863314"/>
    <n v="0.45320509270691139"/>
    <n v="0.36133637829111998"/>
    <n v="-0.450651267454105"/>
    <n v="70.116464107952382"/>
    <n v="0.80043618304390196"/>
    <n v="70.116464107952382"/>
    <n v="70.116464107952382"/>
    <n v="0.80043618304390196"/>
    <n v="414.79250578774088"/>
    <n v="-0.1805725909444085"/>
    <s v="[[sv,wv],[yr],[ya]]"/>
    <x v="0"/>
    <x v="0"/>
    <x v="0"/>
    <x v="4"/>
    <x v="1"/>
    <x v="1"/>
    <x v="0"/>
    <x v="4"/>
  </r>
  <r>
    <d v="2026-03-26T23:56:42"/>
    <s v="03-26_23-56-42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8.8524182662909026E-2"/>
    <n v="19.193571544335221"/>
    <n v="0.80368793506041458"/>
    <n v="-8.9368400323973446E-2"/>
    <n v="19.702601008591319"/>
    <n v="0.74931052586756763"/>
    <n v="19.702601008591319"/>
    <n v="19.702601008591319"/>
    <n v="0.74931052586756763"/>
    <n v="119.2523179392106"/>
    <n v="-0.114909048938157"/>
    <n v="0.8"/>
    <s v="identity"/>
    <n v="6.1201768801520111E-2"/>
    <n v="0.55559602715158984"/>
    <n v="6.1201768801520111E-2"/>
    <n v="6.1201768801520111E-2"/>
    <n v="0.55559602715158984"/>
    <n v="0.1534571706465809"/>
    <n v="-0.11429747265283501"/>
    <n v="5.2765413330331253E-2"/>
    <n v="0.81717911255348352"/>
    <n v="5.2765413330331253E-2"/>
    <n v="5.2765413330331253E-2"/>
    <n v="0.81717911255348352"/>
    <n v="0.25400981056759592"/>
    <n v="0.11991025830939089"/>
    <n v="3.7775484064322767E-2"/>
    <n v="0.84834337993930997"/>
    <n v="3.7775484064322767E-2"/>
    <n v="3.7775484064322767E-2"/>
    <n v="0.84834337993930997"/>
    <n v="0.27637117001754452"/>
    <n v="-0.10954283089292161"/>
    <n v="78.658661368169163"/>
    <n v="0.77612358382588975"/>
    <n v="78.658661368169163"/>
    <n v="78.658661368169163"/>
    <n v="0.77612358382588975"/>
    <n v="476.32543360561078"/>
    <n v="-0.35570615051626731"/>
    <s v="[[sv,wv],[yr],[ya]]"/>
    <x v="1"/>
    <x v="1"/>
    <x v="5"/>
    <x v="2"/>
    <x v="0"/>
    <x v="0"/>
    <x v="5"/>
    <x v="2"/>
  </r>
  <r>
    <d v="2026-03-27T00:16:50"/>
    <s v="03-27_00-16-50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29771341043754E-2"/>
    <n v="12.874594412889699"/>
    <n v="0.83801698952222992"/>
    <n v="-0.51650120044169023"/>
    <n v="14.149417666213941"/>
    <n v="0.77993740782258092"/>
    <n v="14.149417666213941"/>
    <n v="14.149417666213941"/>
    <n v="0.77993740782258092"/>
    <n v="123.5500204184895"/>
    <n v="-0.45470874023892932"/>
    <n v="0.8"/>
    <s v="identity"/>
    <n v="6.214686427711609E-2"/>
    <n v="0.54873341202950077"/>
    <n v="6.214686427711609E-2"/>
    <n v="6.214686427711609E-2"/>
    <n v="0.54873341202950077"/>
    <n v="0.21775348506970471"/>
    <n v="-0.58117184783326392"/>
    <n v="4.3419710081869137E-2"/>
    <n v="0.84955997823531226"/>
    <n v="4.3419710081869137E-2"/>
    <n v="4.3419710081869137E-2"/>
    <n v="0.84955997823531226"/>
    <n v="0.37233482532092671"/>
    <n v="-0.29006064571631801"/>
    <n v="2.935245300562914E-2"/>
    <n v="0.88215918541919647"/>
    <n v="2.935245300562914E-2"/>
    <n v="2.935245300562914E-2"/>
    <n v="0.88215918541919647"/>
    <n v="0.38453736087613433"/>
    <n v="-0.54379587401795138"/>
    <n v="56.462751637491017"/>
    <n v="0.83929705560631784"/>
    <n v="56.462751637491017"/>
    <n v="56.462751637491017"/>
    <n v="0.83929705560631784"/>
    <n v="493.22545600269081"/>
    <n v="-0.40380659338817632"/>
    <s v="[[sv,wv],[yr],[ya]]"/>
    <x v="1"/>
    <x v="1"/>
    <x v="5"/>
    <x v="2"/>
    <x v="0"/>
    <x v="0"/>
    <x v="5"/>
    <x v="2"/>
  </r>
  <r>
    <d v="2026-03-27T00:39:03"/>
    <s v="03-27_00-39-03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45141257481104"/>
    <n v="19.309726144267319"/>
    <n v="0.72900576719432042"/>
    <n v="6.7563969544224639E-2"/>
    <n v="21.581143480192679"/>
    <n v="0.6835495046637079"/>
    <n v="21.581143480192679"/>
    <n v="21.581143480192679"/>
    <n v="0.6835495046637079"/>
    <n v="87.359668295932565"/>
    <n v="5.0339451479563563E-2"/>
    <n v="0.8"/>
    <s v="identity"/>
    <n v="6.6416105593752287E-2"/>
    <n v="0.51773320011872048"/>
    <n v="6.6416105593752287E-2"/>
    <n v="6.6416105593752287E-2"/>
    <n v="0.51773320011872048"/>
    <n v="7.21110285427711E-2"/>
    <n v="0.47638069620960671"/>
    <n v="8.0372187894376904E-2"/>
    <n v="0.72152753499948907"/>
    <n v="8.0372187894376904E-2"/>
    <n v="8.0372187894376904E-2"/>
    <n v="0.72152753499948907"/>
    <n v="0.14456558140056189"/>
    <n v="0.49911113705462479"/>
    <n v="6.4754752844968497E-2"/>
    <n v="0.74003014937912392"/>
    <n v="6.4754752844968497E-2"/>
    <n v="6.4754752844968497E-2"/>
    <n v="0.74003014937912392"/>
    <n v="0.44373348987584471"/>
    <n v="-0.78144960810342678"/>
    <n v="86.113030874437499"/>
    <n v="0.75490713415749677"/>
    <n v="86.113030874437499"/>
    <n v="86.113030874437499"/>
    <n v="0.75490713415749677"/>
    <n v="348.77826308391042"/>
    <n v="7.3155807574573073E-3"/>
    <s v="[[sv,wv],[yr],[ya]]"/>
    <x v="1"/>
    <x v="1"/>
    <x v="5"/>
    <x v="2"/>
    <x v="1"/>
    <x v="1"/>
    <x v="5"/>
    <x v="2"/>
  </r>
  <r>
    <d v="2026-03-27T02:17:05"/>
    <s v="03-27_02-17-05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223948176228354"/>
    <n v="16.942214920079241"/>
    <n v="0.66698846388793864"/>
    <n v="4.9730303204661867E-2"/>
    <n v="23.416137708360509"/>
    <n v="0.63318423033415572"/>
    <n v="23.416137708360509"/>
    <n v="23.416137708360509"/>
    <n v="0.63318423033415572"/>
    <n v="103.01557423058949"/>
    <n v="-1.7343137147327738E-2"/>
    <n v="0.8"/>
    <s v="identity"/>
    <n v="8.4780129360841588E-2"/>
    <n v="0.38438664364837211"/>
    <n v="8.4780129360841588E-2"/>
    <n v="8.4780129360841588E-2"/>
    <n v="0.38438664364837211"/>
    <n v="0.14829935631530669"/>
    <n v="-7.6845071767719153E-2"/>
    <n v="0.10191750208233449"/>
    <n v="0.64687762302974416"/>
    <n v="0.10191750208233449"/>
    <n v="0.10191750208233449"/>
    <n v="0.64687762302974416"/>
    <n v="0.1780389220271611"/>
    <n v="0.38313316108685902"/>
    <n v="5.7946737778487502E-2"/>
    <n v="0.76736217648291138"/>
    <n v="5.7946737778487502E-2"/>
    <n v="5.7946737778487502E-2"/>
    <n v="0.76736217648291138"/>
    <n v="0.30005889131754898"/>
    <n v="-0.2046415394410708"/>
    <n v="93.419906464220119"/>
    <n v="0.73411047817559627"/>
    <n v="93.419906464220119"/>
    <n v="93.419906464220119"/>
    <n v="0.73411047817559627"/>
    <n v="411.43589975269867"/>
    <n v="-0.17101909846738361"/>
    <s v="[[sv,wv],[yr],[ya]]"/>
    <x v="1"/>
    <x v="1"/>
    <x v="2"/>
    <x v="5"/>
    <x v="1"/>
    <x v="1"/>
    <x v="2"/>
    <x v="5"/>
  </r>
  <r>
    <d v="2026-03-27T03:04:37"/>
    <s v="03-27_03-04-37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33185777972064"/>
    <n v="16.61264124934614"/>
    <n v="0.67592484626694915"/>
    <n v="0.15283846030051179"/>
    <n v="22.655198445076891"/>
    <n v="0.63424796279987117"/>
    <n v="22.655198445076891"/>
    <n v="22.655198445076891"/>
    <n v="0.63424796279987117"/>
    <n v="101.7860188971456"/>
    <n v="0.15093672309461131"/>
    <n v="0.8"/>
    <s v="identity"/>
    <n v="8.8335216307806413E-2"/>
    <n v="0.35857211583339399"/>
    <n v="8.8335216307806413E-2"/>
    <n v="8.8335216307806413E-2"/>
    <n v="0.35857211583339399"/>
    <n v="0.1302233383808796"/>
    <n v="5.4410189977902479E-2"/>
    <n v="8.6205432710694849E-2"/>
    <n v="0.70131658758710502"/>
    <n v="8.6205432710694849E-2"/>
    <n v="8.6205432710694849E-2"/>
    <n v="0.70131658758710502"/>
    <n v="0.15929759838633739"/>
    <n v="0.44806784469272409"/>
    <n v="6.6171890195723601E-2"/>
    <n v="0.73434079115908557"/>
    <n v="6.6171890195723601E-2"/>
    <n v="6.6171890195723601E-2"/>
    <n v="0.73434079115908557"/>
    <n v="0.18464141569834641"/>
    <n v="0.25872311840263701"/>
    <n v="90.380081241093308"/>
    <n v="0.74276235661990309"/>
    <n v="90.380081241093308"/>
    <n v="90.380081241093308"/>
    <n v="0.74276235661990309"/>
    <n v="406.66991323611592"/>
    <n v="-0.15745426069481441"/>
    <s v="[[sv,wv],[yr],[ya]]"/>
    <x v="0"/>
    <x v="1"/>
    <x v="0"/>
    <x v="5"/>
    <x v="1"/>
    <x v="1"/>
    <x v="0"/>
    <x v="5"/>
  </r>
  <r>
    <d v="2026-03-27T03:25:10"/>
    <s v="03-27_03-25-10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26465131524924"/>
    <n v="28.5863742335825"/>
    <n v="0.74969836777682342"/>
    <n v="-5.2958626378971002E-2"/>
    <n v="32.400519151129792"/>
    <n v="0.6873592846980221"/>
    <n v="32.400519151129792"/>
    <n v="32.400519151129792"/>
    <n v="0.6873592846980221"/>
    <n v="101.01671551594031"/>
    <n v="-4.7612095310094388E-2"/>
    <n v="0.8"/>
    <s v="identity"/>
    <n v="6.6265779035888872E-2"/>
    <n v="0.51882476529481503"/>
    <n v="6.6265779035888872E-2"/>
    <n v="6.6265779035888872E-2"/>
    <n v="0.51882476529481503"/>
    <n v="0.1470530835284419"/>
    <n v="-6.7795519956042938E-2"/>
    <n v="7.2824206091712099E-2"/>
    <n v="0.74767967983259154"/>
    <n v="7.2824206091712099E-2"/>
    <n v="7.2824206091712099E-2"/>
    <n v="0.74767967983259154"/>
    <n v="0.30105836618394421"/>
    <n v="-4.3102938176140748E-2"/>
    <n v="3.7038594888298318E-2"/>
    <n v="0.85130175690159804"/>
    <n v="3.7038594888298318E-2"/>
    <n v="3.7038594888298318E-2"/>
    <n v="0.85130175690159804"/>
    <n v="0.23200835129345071"/>
    <n v="6.8559854240248463E-2"/>
    <n v="129.42594802450259"/>
    <n v="0.63163093676308346"/>
    <n v="129.42594802450259"/>
    <n v="129.42594802450259"/>
    <n v="0.63163093676308346"/>
    <n v="403.38674226275452"/>
    <n v="-0.148109777348439"/>
    <s v="[[sv,wv],[yr],[ya]]"/>
    <x v="1"/>
    <x v="1"/>
    <x v="5"/>
    <x v="5"/>
    <x v="0"/>
    <x v="0"/>
    <x v="5"/>
    <x v="5"/>
  </r>
  <r>
    <d v="2026-03-27T03:24:40"/>
    <s v="03-27_03-24-40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330043889570765"/>
    <n v="15.50179768647709"/>
    <n v="0.66093216787979836"/>
    <n v="-0.18521809922046539"/>
    <n v="25.823877974794829"/>
    <n v="0.57443697097993907"/>
    <n v="25.823877974794829"/>
    <n v="25.823877974794829"/>
    <n v="0.57443697097993907"/>
    <n v="107.2830543567963"/>
    <n v="-9.9189396491079218E-2"/>
    <n v="0.8"/>
    <s v="identity"/>
    <n v="7.3519902485611341E-2"/>
    <n v="0.46615044976899628"/>
    <n v="7.3519902485611341E-2"/>
    <n v="7.3519902485611341E-2"/>
    <n v="0.46615044976899628"/>
    <n v="0.1082367505410087"/>
    <n v="0.2140612454417842"/>
    <n v="0.10103792101124209"/>
    <n v="0.64992518357838547"/>
    <n v="0.10103792101124209"/>
    <n v="0.10103792101124209"/>
    <n v="0.64992518357838547"/>
    <n v="0.37923609920766882"/>
    <n v="-0.31397208574592539"/>
    <n v="0.13081968877102901"/>
    <n v="0.47480032810106748"/>
    <n v="0.13081968877102901"/>
    <n v="0.13081968877102901"/>
    <n v="0.47480032810106748"/>
    <n v="0.26841771018815991"/>
    <n v="-7.7612205372436183E-2"/>
    <n v="102.99013438691181"/>
    <n v="0.70687192247130803"/>
    <n v="102.99013438691181"/>
    <n v="102.99013438691181"/>
    <n v="0.70687192247130803"/>
    <n v="428.37632686724851"/>
    <n v="-0.2192345402877407"/>
    <s v="[[sv,wv],[yr],[ya]]"/>
    <x v="0"/>
    <x v="1"/>
    <x v="0"/>
    <x v="5"/>
    <x v="1"/>
    <x v="1"/>
    <x v="0"/>
    <x v="5"/>
  </r>
  <r>
    <d v="2026-03-27T03:50:18"/>
    <s v="03-27_03-50-18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8.9679870393790079E-2"/>
    <n v="17.460489508817549"/>
    <n v="0.81574429641611723"/>
    <n v="-0.38196956926869291"/>
    <n v="24.74322787906139"/>
    <n v="0.74057095050617971"/>
    <n v="24.74322787906139"/>
    <n v="24.74322787906139"/>
    <n v="0.74057095050617971"/>
    <n v="115.54155977002191"/>
    <n v="-0.32855337533953921"/>
    <n v="0.8"/>
    <s v="identity"/>
    <n v="5.9991615736508297E-2"/>
    <n v="0.56438330308131057"/>
    <n v="5.9991615736508297E-2"/>
    <n v="5.9991615736508297E-2"/>
    <n v="0.56438330308131057"/>
    <n v="0.2088223335114604"/>
    <n v="-0.51632013991176851"/>
    <n v="4.1579445180065303E-2"/>
    <n v="0.85593610307258439"/>
    <n v="4.1579445180065303E-2"/>
    <n v="4.1579445180065303E-2"/>
    <n v="0.85593610307258439"/>
    <n v="0.32671026762556921"/>
    <n v="-0.13198129788667989"/>
    <n v="4.4027291541292757E-2"/>
    <n v="0.82324435037788901"/>
    <n v="4.4027291541292757E-2"/>
    <n v="4.4027291541292757E-2"/>
    <n v="0.82324435037788901"/>
    <n v="0.33701008315392872"/>
    <n v="-0.35298888693177138"/>
    <n v="98.827313163787906"/>
    <n v="0.71872004549293433"/>
    <n v="98.827313163787906"/>
    <n v="98.827313163787906"/>
    <n v="0.71872004549293433"/>
    <n v="461.29369639579602"/>
    <n v="-0.31292317662795011"/>
    <s v="[[sv,wv],[yr],[ya]]"/>
    <x v="1"/>
    <x v="1"/>
    <x v="5"/>
    <x v="5"/>
    <x v="0"/>
    <x v="0"/>
    <x v="5"/>
    <x v="5"/>
  </r>
  <r>
    <d v="2026-03-27T04:09:56"/>
    <s v="03-27_04-09-56_multihead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1839805738217379"/>
    <n v="19.989496180703391"/>
    <n v="0.70085226160815184"/>
    <n v="-4.9037538820280453E-2"/>
    <n v="27.660150043243739"/>
    <n v="0.6387051800786594"/>
    <n v="27.660150043243739"/>
    <n v="27.660150043243739"/>
    <n v="0.6387051800786594"/>
    <n v="77.607216705881413"/>
    <n v="-4.7750383486460962E-2"/>
    <n v="0.8"/>
    <s v="identity"/>
    <n v="7.7898222614863177E-2"/>
    <n v="0.43435818464424469"/>
    <n v="7.7898222614863177E-2"/>
    <n v="7.7898222614863177E-2"/>
    <n v="0.43435818464424469"/>
    <n v="0.12620199590314471"/>
    <n v="8.3610335795339497E-2"/>
    <n v="9.2837620284532782E-2"/>
    <n v="0.67833747415971468"/>
    <n v="9.2837620284532782E-2"/>
    <n v="9.2837620284532782E-2"/>
    <n v="0.67833747415971468"/>
    <n v="0.12715784579398409"/>
    <n v="0.55942522295224206"/>
    <n v="6.0684967846885679E-2"/>
    <n v="0.75636904886567913"/>
    <n v="6.0684967846885679E-2"/>
    <n v="6.0684967846885679E-2"/>
    <n v="0.75636904886567913"/>
    <n v="0.48636638736910748"/>
    <n v="-0.9526072066721909"/>
    <n v="110.4091793622287"/>
    <n v="0.68575601264499864"/>
    <n v="110.4091793622287"/>
    <n v="110.4091793622287"/>
    <n v="0.68575601264499864"/>
    <n v="309.68914059445927"/>
    <n v="0.118570113978772"/>
    <s v="[[sv,wv],[yr],[ya]]"/>
    <x v="1"/>
    <x v="1"/>
    <x v="5"/>
    <x v="5"/>
    <x v="1"/>
    <x v="1"/>
    <x v="5"/>
    <x v="5"/>
  </r>
  <r>
    <d v="2026-03-27T05:48:16"/>
    <s v="03-27_05-48-1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51610537541107"/>
    <n v="13.077953293217981"/>
    <n v="0.68555769340631323"/>
    <n v="0.18334394532593359"/>
    <n v="17.679863768280629"/>
    <n v="0.68594451103068255"/>
    <n v="17.679863768280629"/>
    <n v="17.679863768280629"/>
    <n v="0.68594451103068255"/>
    <n v="99.925798786535026"/>
    <n v="9.2902717335811319E-2"/>
    <n v="0.8"/>
    <s v="identity"/>
    <n v="8.2603504061327285E-2"/>
    <n v="0.40019175760910602"/>
    <n v="8.2603504061327285E-2"/>
    <n v="8.2603504061327285E-2"/>
    <n v="0.40019175760910602"/>
    <n v="0.16624636487923131"/>
    <n v="-0.20716355867972491"/>
    <n v="8.6894882683402661E-2"/>
    <n v="0.69892779068578392"/>
    <n v="8.6894882683402661E-2"/>
    <n v="8.6894882683402661E-2"/>
    <n v="0.69892779068578392"/>
    <n v="0.1750784690926212"/>
    <n v="0.39339049820554911"/>
    <n v="3.8521971560803767E-2"/>
    <n v="0.84534646875635577"/>
    <n v="3.8521971560803767E-2"/>
    <n v="3.8521971560803767E-2"/>
    <n v="0.84534646875635577"/>
    <n v="0.16899034026723639"/>
    <n v="0.3215572357935722"/>
    <n v="70.51143471481717"/>
    <n v="0.79931202707148941"/>
    <n v="70.51143471481717"/>
    <n v="70.51143471481717"/>
    <n v="0.79931202707148941"/>
    <n v="399.19287997190099"/>
    <n v="-0.1361733059761463"/>
    <s v="[[sv,wv],[yr],[ya]]"/>
    <x v="1"/>
    <x v="0"/>
    <x v="5"/>
    <x v="4"/>
    <x v="1"/>
    <x v="1"/>
    <x v="5"/>
    <x v="4"/>
  </r>
  <r>
    <d v="2026-03-27T06:32:22"/>
    <s v="03-27_06-32-22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038937362651555"/>
    <n v="13.262461769125681"/>
    <n v="0.7505687070052014"/>
    <n v="0.19685680206979181"/>
    <n v="18.10717798387547"/>
    <n v="0.69299990763836194"/>
    <n v="18.10717798387547"/>
    <n v="18.10717798387547"/>
    <n v="0.69299990763836194"/>
    <n v="81.801959396159845"/>
    <n v="0.22290762078005491"/>
    <n v="0.8"/>
    <s v="identity"/>
    <n v="7.6964801102371833E-2"/>
    <n v="0.44113603170024379"/>
    <n v="7.6964801102371833E-2"/>
    <n v="7.6964801102371833E-2"/>
    <n v="0.44113603170024379"/>
    <n v="8.8357992753182957E-2"/>
    <n v="0.35840672939096102"/>
    <n v="9.1824747297591117E-2"/>
    <n v="0.68184686272801831"/>
    <n v="9.1824747297591117E-2"/>
    <n v="9.1824747297591117E-2"/>
    <n v="0.68184686272801831"/>
    <n v="0.14159436347400831"/>
    <n v="0.50940577257143405"/>
    <n v="3.6222500541957442E-2"/>
    <n v="0.85457811756996038"/>
    <n v="3.6222500541957442E-2"/>
    <n v="3.6222500541957442E-2"/>
    <n v="0.85457811756996038"/>
    <n v="0.26061507033961961"/>
    <n v="-4.6287074370394032E-2"/>
    <n v="72.223699886559842"/>
    <n v="0.79443861855522624"/>
    <n v="72.223699886559842"/>
    <n v="72.223699886559842"/>
    <n v="0.79443861855522624"/>
    <n v="326.71727015807261"/>
    <n v="7.0105055528224436E-2"/>
    <s v="[[sv,wv],[yr],[ya]]"/>
    <x v="0"/>
    <x v="0"/>
    <x v="4"/>
    <x v="4"/>
    <x v="1"/>
    <x v="1"/>
    <x v="4"/>
    <x v="4"/>
  </r>
  <r>
    <d v="2026-03-27T06:53:21"/>
    <s v="03-27_06-53-21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4183351328637159"/>
    <n v="21.49365219840772"/>
    <n v="0.62754679045087125"/>
    <n v="-0.145403072108825"/>
    <n v="26.23885808866536"/>
    <n v="0.584714951813605"/>
    <n v="26.23885808866536"/>
    <n v="26.23885808866536"/>
    <n v="0.584714951813605"/>
    <n v="95.752432025745861"/>
    <n v="-8.9793221469339463E-2"/>
    <n v="0.8"/>
    <s v="identity"/>
    <n v="7.6453478584760481E-2"/>
    <n v="0.44484889429691599"/>
    <n v="7.6453478584760481E-2"/>
    <n v="7.6453478584760481E-2"/>
    <n v="0.44484889429691599"/>
    <n v="0.14272567958389751"/>
    <n v="-3.6372972164782968E-2"/>
    <n v="0.1027946008914449"/>
    <n v="0.64383866298870385"/>
    <n v="0.1027946008914449"/>
    <n v="0.1027946008914449"/>
    <n v="0.64383866298870385"/>
    <n v="0.25002570487016901"/>
    <n v="0.13371433361766921"/>
    <n v="0.11257092472475901"/>
    <n v="0.54806334362801279"/>
    <n v="0.11257092472475901"/>
    <n v="0.11257092472475901"/>
    <n v="0.54806334362801279"/>
    <n v="0.34087095416280638"/>
    <n v="-0.36848906283156091"/>
    <n v="104.66361335046049"/>
    <n v="0.70210890634078371"/>
    <n v="104.66361335046049"/>
    <n v="104.66361335046049"/>
    <n v="0.70210890634078371"/>
    <n v="382.27610576436552"/>
    <n v="-8.8025184498677689E-2"/>
    <s v="[[sv,wv],[yr],[ya]]"/>
    <x v="0"/>
    <x v="0"/>
    <x v="0"/>
    <x v="0"/>
    <x v="1"/>
    <x v="1"/>
    <x v="0"/>
    <x v="0"/>
  </r>
  <r>
    <d v="2026-03-27T06:54:09"/>
    <s v="03-27_06-54-09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3867547405083268E-2"/>
    <n v="9.1247938022647936"/>
    <n v="0.75200012990226872"/>
    <n v="0.37086669796978722"/>
    <n v="14.79691199524782"/>
    <n v="0.71803942284975097"/>
    <n v="14.79691199524782"/>
    <n v="14.79691199524782"/>
    <n v="0.71803942284975097"/>
    <n v="79.607338618487489"/>
    <n v="0.1584407295972369"/>
    <n v="0.8"/>
    <s v="identity"/>
    <n v="7.286990429997986E-2"/>
    <n v="0.47087027701738321"/>
    <n v="7.286990429997986E-2"/>
    <n v="7.286990429997986E-2"/>
    <n v="0.47087027701738321"/>
    <n v="0.13342107034547759"/>
    <n v="3.1190521380082051E-2"/>
    <n v="9.7051116567012305E-2"/>
    <n v="0.66373860946793184"/>
    <n v="9.7051116567012305E-2"/>
    <n v="9.7051116567012305E-2"/>
    <n v="0.66373860946793184"/>
    <n v="0.1607404062344833"/>
    <n v="0.44306882365670019"/>
    <n v="2.3549393518692532E-2"/>
    <n v="0.90545663374047725"/>
    <n v="2.3549393518692532E-2"/>
    <n v="2.3549393518692532E-2"/>
    <n v="0.90545663374047725"/>
    <n v="0.2330671622508089"/>
    <n v="6.430906315037821E-2"/>
    <n v="58.994177566605607"/>
    <n v="0.83209217117321299"/>
    <n v="58.994177566605607"/>
    <n v="58.994177566605607"/>
    <n v="0.83209217117321299"/>
    <n v="317.90212583511851"/>
    <n v="9.5194510201796367E-2"/>
    <s v="[[sv,wv],[yr],[ya]]"/>
    <x v="0"/>
    <x v="0"/>
    <x v="4"/>
    <x v="4"/>
    <x v="1"/>
    <x v="1"/>
    <x v="4"/>
    <x v="4"/>
  </r>
  <r>
    <d v="2026-03-27T07:21:27"/>
    <s v="03-27_07-21-27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074946827986983"/>
    <n v="18.15136373202478"/>
    <n v="0.71657355734754147"/>
    <n v="0.31858577153991952"/>
    <n v="23.939952480712002"/>
    <n v="0.66140365370636411"/>
    <n v="23.939952480712002"/>
    <n v="23.939952480712002"/>
    <n v="0.66140365370636411"/>
    <n v="87.45196174274426"/>
    <n v="0.34432605319257231"/>
    <n v="0.8"/>
    <s v="identity"/>
    <n v="7.7885956513816065E-2"/>
    <n v="0.43444725239740678"/>
    <n v="7.7885956513816065E-2"/>
    <n v="7.7885956513816065E-2"/>
    <n v="0.43444725239740678"/>
    <n v="0.13161522252148389"/>
    <n v="4.4303311468634747E-2"/>
    <n v="7.5671560617109793E-2"/>
    <n v="0.73781420454579361"/>
    <n v="7.5671560617109793E-2"/>
    <n v="7.5671560617109793E-2"/>
    <n v="0.73781420454579361"/>
    <n v="0.1188322762269178"/>
    <n v="0.58827154331023768"/>
    <n v="6.3445888062880457E-2"/>
    <n v="0.74528482748278357"/>
    <n v="6.3445888062880457E-2"/>
    <n v="6.3445888062880457E-2"/>
    <n v="0.74528482748278357"/>
    <n v="6.4900101722258408E-2"/>
    <n v="0.73944661961093161"/>
    <n v="95.542806517653915"/>
    <n v="0.72806833039947216"/>
    <n v="95.542806517653915"/>
    <n v="95.542806517653915"/>
    <n v="0.72806833039947216"/>
    <n v="349.4924993705049"/>
    <n v="5.2827383804957551E-3"/>
    <s v="[[sv,wv],[yr],[ya]]"/>
    <x v="0"/>
    <x v="0"/>
    <x v="0"/>
    <x v="0"/>
    <x v="1"/>
    <x v="1"/>
    <x v="0"/>
    <x v="0"/>
  </r>
  <r>
    <d v="2026-03-27T09:11:16"/>
    <s v="03-27_09-11-16_multihead_spsa_serial_f5_w5_h5_effsu2_lin_r1.pkl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213787893634853"/>
    <n v="29.72359330063275"/>
    <n v="0.6703704622023402"/>
    <n v="0.24071174016392699"/>
    <n v="38.503191948869237"/>
    <n v="0.61429332283628058"/>
    <n v="38.503191948869237"/>
    <n v="38.503191948869237"/>
    <n v="0.61429332283628058"/>
    <n v="106.7058345075498"/>
    <n v="0.1239399143542886"/>
    <n v="0.8"/>
    <s v="identity"/>
    <n v="8.244145657559622E-2"/>
    <n v="0.40136843187619342"/>
    <n v="8.244145657559622E-2"/>
    <n v="8.244145657559622E-2"/>
    <n v="0.40136843187619342"/>
    <n v="0.14178570545589439"/>
    <n v="-2.9547544647908101E-2"/>
    <n v="0.1032097264556015"/>
    <n v="0.64240034157225401"/>
    <n v="0.1032097264556015"/>
    <n v="0.1032097264556015"/>
    <n v="0.64240034157225401"/>
    <n v="0.1627664033355945"/>
    <n v="0.43604917641788449"/>
    <n v="3.7084351204892917E-2"/>
    <n v="0.85111805976328081"/>
    <n v="3.7084351204892917E-2"/>
    <n v="3.7084351204892917E-2"/>
    <n v="0.85111805976328081"/>
    <n v="0.17368458200377601"/>
    <n v="0.30271134001896882"/>
    <n v="153.79003226124061"/>
    <n v="0.5622864581333934"/>
    <n v="153.79003226124061"/>
    <n v="153.79003226124061"/>
    <n v="0.5622864581333934"/>
    <n v="426.34510133940478"/>
    <n v="-0.21345331437179799"/>
    <s v="[[sv,wv],[yr],[ya]]"/>
    <x v="1"/>
    <x v="1"/>
    <x v="5"/>
    <x v="2"/>
    <x v="1"/>
    <x v="1"/>
    <x v="5"/>
    <x v="2"/>
  </r>
  <r>
    <d v="2026-03-27T09:48:45"/>
    <s v="03-27_09-48-45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179475287447624"/>
    <n v="28.45992614502169"/>
    <n v="0.6739825650579101"/>
    <n v="0.28453117685630941"/>
    <n v="31.39359646572716"/>
    <n v="0.64096783052130768"/>
    <n v="31.39359646572716"/>
    <n v="31.39359646572716"/>
    <n v="0.64096783052130768"/>
    <n v="77.016910552601132"/>
    <n v="0.29540052651666232"/>
    <n v="0.8"/>
    <s v="identity"/>
    <n v="8.6772425926436761E-2"/>
    <n v="0.3699199946253009"/>
    <n v="8.6772425926436761E-2"/>
    <n v="8.6772425926436761E-2"/>
    <n v="0.3699199946253009"/>
    <n v="0.11636800339616241"/>
    <n v="0.1550178363405835"/>
    <n v="8.4141453167761254E-2"/>
    <n v="0.70846783587446871"/>
    <n v="8.4141453167761254E-2"/>
    <n v="8.4141453167761254E-2"/>
    <n v="0.70846783587446871"/>
    <n v="0.1248265234960001"/>
    <n v="0.5675027567862525"/>
    <n v="3.9282777583355147E-2"/>
    <n v="0.84229207322020616"/>
    <n v="3.9282777583355147E-2"/>
    <n v="3.9282777583355147E-2"/>
    <n v="0.84229207322020616"/>
    <n v="0.16570714786014151"/>
    <n v="0.334738214828046"/>
    <n v="125.36418920623071"/>
    <n v="0.64319141836525695"/>
    <n v="125.36418920623071"/>
    <n v="125.36418920623071"/>
    <n v="0.64319141836525695"/>
    <n v="307.6607405356516"/>
    <n v="0.1243432981117657"/>
    <s v="[[sv,wv],[yr],[ya]]"/>
    <x v="0"/>
    <x v="1"/>
    <x v="4"/>
    <x v="2"/>
    <x v="1"/>
    <x v="1"/>
    <x v="4"/>
    <x v="2"/>
  </r>
  <r>
    <d v="2026-03-27T09:57:48"/>
    <s v="03-27_09-57-48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9.5889361567229409E-2"/>
    <n v="13.84896093888497"/>
    <n v="0.78647168386276833"/>
    <n v="-0.16509784665628241"/>
    <n v="20.41960311790762"/>
    <n v="0.71918105421151557"/>
    <n v="20.41960311790762"/>
    <n v="20.41960311790762"/>
    <n v="0.71918105421151557"/>
    <n v="102.16028491500261"/>
    <n v="-0.12851253197840959"/>
    <n v="0.8"/>
    <s v="identity"/>
    <n v="6.9297258262440001E-2"/>
    <n v="0.49681230653311192"/>
    <n v="6.9297258262440001E-2"/>
    <n v="6.9297258262440001E-2"/>
    <n v="0.49681230653311192"/>
    <n v="0.15662382010154269"/>
    <n v="-0.1372914420423004"/>
    <n v="6.75211991237296E-2"/>
    <n v="0.76605346634975924"/>
    <n v="6.75211991237296E-2"/>
    <n v="6.75211991237296E-2"/>
    <n v="0.76605346634975924"/>
    <n v="0.31288490664796992"/>
    <n v="-8.4079374947696461E-2"/>
    <n v="3.8401307259304768E-2"/>
    <n v="0.84583089776052589"/>
    <n v="3.8401307259304768E-2"/>
    <n v="3.8401307259304768E-2"/>
    <n v="0.84583089776052589"/>
    <n v="0.28190346463201099"/>
    <n v="-0.13175324389467999"/>
    <n v="81.503192706985544"/>
    <n v="0.76802754620266556"/>
    <n v="81.503192706985544"/>
    <n v="81.503192706985544"/>
    <n v="0.76802754620266556"/>
    <n v="407.88972746862822"/>
    <n v="-0.16092606702895471"/>
    <s v="[[sv,wv],[yr],[ya]]"/>
    <x v="0"/>
    <x v="0"/>
    <x v="4"/>
    <x v="0"/>
    <x v="0"/>
    <x v="0"/>
    <x v="4"/>
    <x v="0"/>
  </r>
  <r>
    <d v="2026-03-27T10:13:06"/>
    <s v="03-27_10-13-06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934589892666401"/>
    <n v="23.12701665032117"/>
    <n v="0.70098929092526963"/>
    <n v="6.6609180813537922E-2"/>
    <n v="29.097440473451101"/>
    <n v="0.65301282519646286"/>
    <n v="29.097440473451101"/>
    <n v="29.097440473451101"/>
    <n v="0.65301282519646286"/>
    <n v="83.981993882716822"/>
    <n v="5.7885844728016667E-2"/>
    <n v="0.8"/>
    <s v="identity"/>
    <n v="6.9783863409354552E-2"/>
    <n v="0.49327892400623408"/>
    <n v="6.9783863409354552E-2"/>
    <n v="6.9783863409354552E-2"/>
    <n v="0.49327892400623408"/>
    <n v="0.15094442519060919"/>
    <n v="-9.6051691766794844E-2"/>
    <n v="0.1100405451939231"/>
    <n v="0.6187330135839717"/>
    <n v="0.1100405451939231"/>
    <n v="0.1100405451939231"/>
    <n v="0.6187330135839717"/>
    <n v="0.12355666630683"/>
    <n v="0.571902540728075"/>
    <n v="4.2176849973540903E-2"/>
    <n v="0.83067328797422013"/>
    <n v="4.2176849973540903E-2"/>
    <n v="4.2176849973540903E-2"/>
    <n v="0.83067328797422013"/>
    <n v="0.32129379764579957"/>
    <n v="-0.28989297170767608"/>
    <n v="116.16776063522759"/>
    <n v="0.66936607522142499"/>
    <n v="116.16776063522759"/>
    <n v="116.16776063522759"/>
    <n v="0.66936607522142499"/>
    <n v="335.33218064172399"/>
    <n v="4.558550165845654E-2"/>
    <s v="[[sv,wv],[yr],[ya]]"/>
    <x v="0"/>
    <x v="0"/>
    <x v="4"/>
    <x v="0"/>
    <x v="1"/>
    <x v="1"/>
    <x v="4"/>
    <x v="0"/>
  </r>
  <r>
    <d v="2026-03-27T10:18:05"/>
    <s v="03-27_10-18-05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304139283808821"/>
    <n v="20.900835492518961"/>
    <n v="0.71816869676221706"/>
    <n v="0.2289109266186985"/>
    <n v="27.50664501384674"/>
    <n v="0.67604050232125446"/>
    <n v="27.50664501384674"/>
    <n v="27.50664501384674"/>
    <n v="0.67604050232125446"/>
    <n v="90.616151014585554"/>
    <n v="0.1110368293735339"/>
    <n v="0.8"/>
    <s v="identity"/>
    <n v="7.216043383157536E-2"/>
    <n v="0.47602194993389779"/>
    <n v="7.216043383157536E-2"/>
    <n v="7.216043383157536E-2"/>
    <n v="0.47602194993389779"/>
    <n v="0.12859290292154871"/>
    <n v="6.6249259498088686E-2"/>
    <n v="9.861139918998664E-2"/>
    <n v="0.65833256342762581"/>
    <n v="9.861139918998664E-2"/>
    <n v="9.861139918998664E-2"/>
    <n v="0.65833256342762581"/>
    <n v="0.15869636149939101"/>
    <n v="0.45015100209261022"/>
    <n v="2.9294184496392699E-2"/>
    <n v="0.88239311505334028"/>
    <n v="2.9294184496392699E-2"/>
    <n v="2.9294184496392699E-2"/>
    <n v="0.88239311505334028"/>
    <n v="0.25958989017981471"/>
    <n v="-4.2171300295214653E-2"/>
    <n v="109.8265140378696"/>
    <n v="0.68741438087015649"/>
    <n v="109.8265140378696"/>
    <n v="109.8265140378696"/>
    <n v="0.68741438087015649"/>
    <n v="361.91772490374052"/>
    <n v="-3.0081643801343819E-2"/>
    <s v="[[sv,wv],[yr],[ya]]"/>
    <x v="0"/>
    <x v="1"/>
    <x v="4"/>
    <x v="2"/>
    <x v="1"/>
    <x v="1"/>
    <x v="4"/>
    <x v="2"/>
  </r>
  <r>
    <d v="2026-03-27T10:52:39"/>
    <s v="03-27_10-52-39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9.555323269945637E-2"/>
    <n v="14.921855240639021"/>
    <n v="0.75125922827200464"/>
    <n v="0.18927469253753421"/>
    <n v="18.866519908911322"/>
    <n v="0.71705961368290883"/>
    <n v="18.866519908911322"/>
    <n v="18.866519908911322"/>
    <n v="0.71705961368290883"/>
    <n v="68.397392319988143"/>
    <n v="0.17481049791485789"/>
    <n v="0.8"/>
    <s v="identity"/>
    <n v="7.5249851387745315E-2"/>
    <n v="0.45358878398730429"/>
    <n v="7.5249851387745315E-2"/>
    <n v="7.5249851387745315E-2"/>
    <n v="0.45358878398730429"/>
    <n v="0.10333051863275459"/>
    <n v="0.24968683265013289"/>
    <n v="6.9995130658771179E-2"/>
    <n v="0.75748182196811209"/>
    <n v="6.9995130658771179E-2"/>
    <n v="6.9995130658771179E-2"/>
    <n v="0.75748182196811209"/>
    <n v="0.1345163451380616"/>
    <n v="0.53392959436810039"/>
    <n v="3.2019187609594248E-2"/>
    <n v="0.87145308947751143"/>
    <n v="3.2019187609594248E-2"/>
    <n v="3.2019187609594248E-2"/>
    <n v="0.87145308947751143"/>
    <n v="0.32562815416030672"/>
    <n v="-0.30729404214820039"/>
    <n v="75.288815465989245"/>
    <n v="0.78571475929870738"/>
    <n v="75.288815465989245"/>
    <n v="75.288815465989245"/>
    <n v="0.78571475929870738"/>
    <n v="273.02609426201991"/>
    <n v="0.22291960678940639"/>
    <s v="[[sv,wv],[yr],[ya]]"/>
    <x v="0"/>
    <x v="0"/>
    <x v="4"/>
    <x v="0"/>
    <x v="1"/>
    <x v="1"/>
    <x v="4"/>
    <x v="0"/>
  </r>
  <r>
    <d v="2026-03-27T13:03:00"/>
    <s v="03-27_13-03-00_multihead_spsa_serial_f5_w5_h5_effsu2_lin_r1.pkl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1718753034482909"/>
    <n v="15.722748442223031"/>
    <n v="0.67305686549528088"/>
    <n v="8.6516269722242883E-2"/>
    <n v="22.159087468461379"/>
    <n v="0.66450523946891404"/>
    <n v="22.159087468461379"/>
    <n v="22.159087468461379"/>
    <n v="0.66450523946891404"/>
    <n v="119.4365671905697"/>
    <n v="-2.769696927276458E-2"/>
    <n v="0.8"/>
    <s v="identity"/>
    <n v="8.5235530883251517E-2"/>
    <n v="0.38107983978039039"/>
    <n v="8.5235530883251517E-2"/>
    <n v="8.5235530883251517E-2"/>
    <n v="0.38107983978039039"/>
    <n v="0.1691880821946336"/>
    <n v="-0.22852422990805879"/>
    <n v="8.9589847924898422E-2"/>
    <n v="0.68959031172009644"/>
    <n v="8.9589847924898422E-2"/>
    <n v="8.9589847924898422E-2"/>
    <n v="0.68959031172009644"/>
    <n v="0.17512190401010319"/>
    <n v="0.39324000549339078"/>
    <n v="4.009935598630486E-2"/>
    <n v="0.83901376921766735"/>
    <n v="4.009935598630486E-2"/>
    <n v="4.009935598630486E-2"/>
    <n v="0.83901376921766735"/>
    <n v="0.22850714087260701"/>
    <n v="8.2616106640410747E-2"/>
    <n v="88.421425139051138"/>
    <n v="0.74833703715750255"/>
    <n v="88.421425139051138"/>
    <n v="88.421425139051138"/>
    <n v="0.74833703715750255"/>
    <n v="477.17345163520167"/>
    <n v="-0.35811975931679352"/>
    <s v="[[sv,wv],[yr],[ya]]"/>
    <x v="1"/>
    <x v="1"/>
    <x v="5"/>
    <x v="5"/>
    <x v="1"/>
    <x v="1"/>
    <x v="5"/>
    <x v="5"/>
  </r>
  <r>
    <d v="2026-03-27T13:40:14"/>
    <s v="03-27_13-40-14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098452590294265"/>
    <n v="16.288576765565001"/>
    <n v="0.73530591860693195"/>
    <n v="0.13226829297699691"/>
    <n v="21.671969417183401"/>
    <n v="0.67733442184393144"/>
    <n v="21.671969417183401"/>
    <n v="21.671969417183401"/>
    <n v="0.67733442184393144"/>
    <n v="99.879405626495114"/>
    <n v="0.16476383840813599"/>
    <n v="0.8"/>
    <s v="identity"/>
    <n v="7.963209441194459E-2"/>
    <n v="0.42176803357309378"/>
    <n v="7.963209441194459E-2"/>
    <n v="7.963209441194459E-2"/>
    <n v="0.42176803357309378"/>
    <n v="9.4710848533632097E-2"/>
    <n v="0.31227678244579249"/>
    <n v="9.3657525783278087E-2"/>
    <n v="0.67549667672362734"/>
    <n v="9.3657525783278087E-2"/>
    <n v="9.3657525783278087E-2"/>
    <n v="0.67549667672362734"/>
    <n v="0.1521264816734289"/>
    <n v="0.47291423248142472"/>
    <n v="3.5318293376578533E-2"/>
    <n v="0.85820822333650792"/>
    <n v="3.5318293376578533E-2"/>
    <n v="3.5318293376578533E-2"/>
    <n v="0.85820822333650792"/>
    <n v="0.24670506170631379"/>
    <n v="9.557210530101834E-3"/>
    <n v="86.479269755161823"/>
    <n v="0.75386475374249828"/>
    <n v="86.479269755161823"/>
    <n v="86.479269755161823"/>
    <n v="0.75386475374249828"/>
    <n v="399.02408011406521"/>
    <n v="-0.13569287182476791"/>
    <s v="[[sv,wv],[yr],[ya]]"/>
    <x v="0"/>
    <x v="1"/>
    <x v="4"/>
    <x v="5"/>
    <x v="1"/>
    <x v="1"/>
    <x v="4"/>
    <x v="5"/>
  </r>
  <r>
    <d v="2026-03-27T13:48:10"/>
    <s v="03-27_13-48-10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984735825086602E-2"/>
    <n v="13.188002525219179"/>
    <n v="0.77191350523238111"/>
    <n v="-0.41631528360039483"/>
    <n v="18.61232600837085"/>
    <n v="0.71262648013212837"/>
    <n v="18.61232600837085"/>
    <n v="18.61232600837085"/>
    <n v="0.71262648013212837"/>
    <n v="128.97830325709529"/>
    <n v="-0.38104236062943431"/>
    <n v="0.8"/>
    <s v="identity"/>
    <n v="6.8974397328338918E-2"/>
    <n v="0.49915669436048649"/>
    <n v="6.8974397328338918E-2"/>
    <n v="6.8974397328338918E-2"/>
    <n v="0.49915669436048649"/>
    <n v="0.14739236296701391"/>
    <n v="-7.0259127354321826E-2"/>
    <n v="6.9023134229996341E-2"/>
    <n v="0.76084958199286512"/>
    <n v="6.9023134229996341E-2"/>
    <n v="6.9023134229996341E-2"/>
    <n v="0.76084958199286512"/>
    <n v="0.39102305043280611"/>
    <n v="-0.35481135426028182"/>
    <n v="4.9353264401543653E-2"/>
    <n v="0.80186225395934263"/>
    <n v="4.9353264401543653E-2"/>
    <n v="4.9353264401543653E-2"/>
    <n v="0.80186225395934263"/>
    <n v="0.40685880919469691"/>
    <n v="-0.63340942870035843"/>
    <n v="74.261953237523542"/>
    <n v="0.78863739021582202"/>
    <n v="74.261953237523542"/>
    <n v="74.261953237523542"/>
    <n v="0.78863739021582202"/>
    <n v="514.96793880578787"/>
    <n v="-0.46568953220277448"/>
    <s v="[[sv,wv],[yr],[ya]]"/>
    <x v="1"/>
    <x v="0"/>
    <x v="5"/>
    <x v="0"/>
    <x v="0"/>
    <x v="0"/>
    <x v="5"/>
    <x v="0"/>
  </r>
  <r>
    <d v="2026-03-27T14:00:26"/>
    <s v="03-27_14-00-26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223494474274149"/>
    <n v="20.00755876193432"/>
    <n v="0.68094957149236213"/>
    <n v="0.43610149370084961"/>
    <n v="25.648960236775029"/>
    <n v="0.64631569046374937"/>
    <n v="25.648960236775029"/>
    <n v="25.648960236775029"/>
    <n v="0.64631569046374937"/>
    <n v="84.594985970108681"/>
    <n v="0.18034018159225709"/>
    <n v="0.8"/>
    <s v="identity"/>
    <n v="7.561457881194189E-2"/>
    <n v="0.45094039131020081"/>
    <n v="7.561457881194189E-2"/>
    <n v="7.561457881194189E-2"/>
    <n v="0.45094039131020081"/>
    <n v="0.17538940077990281"/>
    <n v="-0.2735538208849102"/>
    <n v="0.1007379211314559"/>
    <n v="0.6509646190872671"/>
    <n v="0.1007379211314559"/>
    <n v="0.1007379211314559"/>
    <n v="0.6509646190872671"/>
    <n v="0.13705497496116051"/>
    <n v="0.52513378423672474"/>
    <n v="5.6118506476727177E-2"/>
    <n v="0.77470194688643579"/>
    <n v="5.6118506476727177E-2"/>
    <n v="5.6118506476727177E-2"/>
    <n v="0.77470194688643579"/>
    <n v="0.14158587826337349"/>
    <n v="0.43157748265554863"/>
    <n v="102.3633699406802"/>
    <n v="0.70865580457109245"/>
    <n v="102.3633699406802"/>
    <n v="102.3633699406802"/>
    <n v="0.70865580457109245"/>
    <n v="337.92591362643009"/>
    <n v="3.8203280361673093E-2"/>
    <s v="[[sv,wv],[yr],[ya]]"/>
    <x v="1"/>
    <x v="0"/>
    <x v="2"/>
    <x v="0"/>
    <x v="1"/>
    <x v="1"/>
    <x v="2"/>
    <x v="0"/>
  </r>
  <r>
    <d v="2026-03-27T14:09:27"/>
    <s v="03-27_14-09-27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004747542244875"/>
    <n v="19.850874694018369"/>
    <n v="0.72883365554026736"/>
    <n v="0.1593804107976243"/>
    <n v="28.54099323736564"/>
    <n v="0.68152883853328405"/>
    <n v="28.54099323736564"/>
    <n v="28.54099323736564"/>
    <n v="0.68152883853328405"/>
    <n v="97.901808580050982"/>
    <n v="7.3692912281002582E-2"/>
    <n v="0.8"/>
    <s v="identity"/>
    <n v="7.0667908749677696E-2"/>
    <n v="0.48685961180151938"/>
    <n v="7.0667908749677696E-2"/>
    <n v="7.0667908749677696E-2"/>
    <n v="0.48685961180151938"/>
    <n v="0.137445086154937"/>
    <n v="1.970963717818242E-3"/>
    <n v="9.8621284778142998E-2"/>
    <n v="0.65829831197604782"/>
    <n v="9.8621284778142998E-2"/>
    <n v="9.8621284778142998E-2"/>
    <n v="0.65829831197604782"/>
    <n v="0.16225918288310759"/>
    <n v="0.43780658695258762"/>
    <n v="2.357862306714752E-2"/>
    <n v="0.90533928634879235"/>
    <n v="2.357862306714752E-2"/>
    <n v="2.357862306714752E-2"/>
    <n v="0.90533928634879235"/>
    <n v="0.25705818988516521"/>
    <n v="-3.2007324393822367E-2"/>
    <n v="113.97110513286719"/>
    <n v="0.67561814400677833"/>
    <n v="113.97110513286719"/>
    <n v="113.97110513286719"/>
    <n v="0.67561814400677833"/>
    <n v="391.05047186128093"/>
    <n v="-0.1129985771525726"/>
    <s v="[[sv,wv],[yr],[ya]]"/>
    <x v="0"/>
    <x v="1"/>
    <x v="4"/>
    <x v="5"/>
    <x v="1"/>
    <x v="1"/>
    <x v="4"/>
    <x v="5"/>
  </r>
  <r>
    <d v="2026-03-27T14:36:23"/>
    <s v="03-27_14-36-2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08652021984363"/>
    <n v="17.71631084448865"/>
    <n v="0.70196893851387887"/>
    <n v="0.27511077249560428"/>
    <n v="22.894100240307651"/>
    <n v="0.63278424411909739"/>
    <n v="22.894100240307651"/>
    <n v="22.894100240307651"/>
    <n v="0.63278424411909739"/>
    <n v="74.973268175940518"/>
    <n v="0.26491841248965242"/>
    <n v="0.8"/>
    <s v="identity"/>
    <n v="7.9673442220780391E-2"/>
    <n v="0.42146779501994353"/>
    <n v="7.9673442220780391E-2"/>
    <n v="7.9673442220780391E-2"/>
    <n v="0.42146779501994353"/>
    <n v="0.1465766995723401"/>
    <n v="-6.4336356490040991E-2"/>
    <n v="7.3268884871680498E-2"/>
    <n v="0.74613896283538905"/>
    <n v="7.3268884871680498E-2"/>
    <n v="7.3268884871680498E-2"/>
    <n v="0.74613896283538905"/>
    <n v="0.11806961449729581"/>
    <n v="0.59091400331255206"/>
    <n v="9.3788070919126443E-2"/>
    <n v="0.62347056060519046"/>
    <n v="9.3788070919126443E-2"/>
    <n v="9.3788070919126443E-2"/>
    <n v="0.62347056060519046"/>
    <n v="0.15307416455155529"/>
    <n v="0.38545564697533508"/>
    <n v="91.329670563219054"/>
    <n v="0.74005965801587192"/>
    <n v="91.329670563219054"/>
    <n v="91.329670563219054"/>
    <n v="0.74005965801587192"/>
    <n v="299.47535222514131"/>
    <n v="0.14764035616076099"/>
    <s v="[[sv,wv],[yr],[ya]]"/>
    <x v="1"/>
    <x v="0"/>
    <x v="2"/>
    <x v="0"/>
    <x v="1"/>
    <x v="1"/>
    <x v="2"/>
    <x v="0"/>
  </r>
  <r>
    <d v="2026-03-27T17:24:30"/>
    <s v="03-27_17-24-30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0210573454098081"/>
    <n v="18.25475967298118"/>
    <n v="0.70865185052471957"/>
    <n v="0.24029808966343361"/>
    <n v="23.1746562869745"/>
    <n v="0.66030633561170937"/>
    <n v="23.1746562869745"/>
    <n v="23.1746562869745"/>
    <n v="0.66030633561170937"/>
    <n v="81.789942040375365"/>
    <n v="0.23747065925287941"/>
    <n v="0.8"/>
    <s v="identity"/>
    <n v="7.8353646889915737E-2"/>
    <n v="0.43105121556265941"/>
    <n v="7.8353646889915737E-2"/>
    <n v="7.8353646889915737E-2"/>
    <n v="0.43105121556265941"/>
    <n v="0.1076486041805077"/>
    <n v="0.21833194846787859"/>
    <n v="8.2745688728212044E-2"/>
    <n v="0.71330386154733105"/>
    <n v="8.2745688728212044E-2"/>
    <n v="8.2745688728212044E-2"/>
    <n v="0.71330386154733105"/>
    <n v="0.14840328543545039"/>
    <n v="0.48581431223828092"/>
    <n v="5.9761050245976527E-2"/>
    <n v="0.76007828579643233"/>
    <n v="5.9761050245976527E-2"/>
    <n v="5.9761050245976527E-2"/>
    <n v="0.76007828579643233"/>
    <n v="0.20535179110231741"/>
    <n v="0.175577511886884"/>
    <n v="92.477764762033985"/>
    <n v="0.73679197954041564"/>
    <n v="92.477764762033985"/>
    <n v="92.477764762033985"/>
    <n v="0.73679197954041564"/>
    <n v="326.69836448078303"/>
    <n v="7.0158864418476519E-2"/>
    <s v="[[sv,wv],[yr],[ya]]"/>
    <x v="1"/>
    <x v="0"/>
    <x v="2"/>
    <x v="4"/>
    <x v="1"/>
    <x v="1"/>
    <x v="2"/>
    <x v="4"/>
  </r>
  <r>
    <d v="2026-03-27T17:31:55"/>
    <s v="03-27_17-31-55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217347159268706"/>
    <n v="11.728823481666531"/>
    <n v="0.72383823645152545"/>
    <n v="-0.53840928441757407"/>
    <n v="15.86631871978234"/>
    <n v="0.66003259284426252"/>
    <n v="15.86631871978234"/>
    <n v="15.86631871978234"/>
    <n v="0.66003259284426252"/>
    <n v="169.5952667965941"/>
    <n v="-0.38764311512821981"/>
    <n v="0.8"/>
    <s v="identity"/>
    <n v="6.6579910369788498E-2"/>
    <n v="0.51654376565191429"/>
    <n v="6.6579910369788498E-2"/>
    <n v="6.6579910369788498E-2"/>
    <n v="0.51654376565191429"/>
    <n v="0.17814640090905601"/>
    <n v="-0.29357320650941299"/>
    <n v="6.9171579606897807E-2"/>
    <n v="0.76033525046716366"/>
    <n v="6.9171579606897807E-2"/>
    <n v="6.9171579606897807E-2"/>
    <n v="0.76033525046716366"/>
    <n v="0.31115602967037209"/>
    <n v="-7.8089185477341339E-2"/>
    <n v="0.1137886704007139"/>
    <n v="0.54317447991433088"/>
    <n v="0.1137886704007139"/>
    <n v="0.1137886704007139"/>
    <n v="0.54317447991433088"/>
    <n v="0.3114559352720791"/>
    <n v="-0.2503970660117969"/>
    <n v="63.215734718751747"/>
    <n v="0.82007687534364115"/>
    <n v="63.215734718751747"/>
    <n v="63.215734718751747"/>
    <n v="0.82007687534364115"/>
    <n v="677.58030882052253"/>
    <n v="-0.92851300251432467"/>
    <s v="[[sv,wv],[yr],[ya]]"/>
    <x v="0"/>
    <x v="0"/>
    <x v="0"/>
    <x v="4"/>
    <x v="0"/>
    <x v="0"/>
    <x v="0"/>
    <x v="4"/>
  </r>
  <r>
    <d v="2026-03-27T17:44:10"/>
    <s v="03-27_17-44-1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231340270028078"/>
    <n v="20.960790851536249"/>
    <n v="0.6932621958312164"/>
    <n v="0.14939980865361011"/>
    <n v="26.986821737596902"/>
    <n v="0.6524781992286155"/>
    <n v="26.986821737596902"/>
    <n v="26.986821737596902"/>
    <n v="0.6524781992286155"/>
    <n v="66.912222291909771"/>
    <n v="7.9074232460034616E-2"/>
    <n v="0.8"/>
    <s v="identity"/>
    <n v="7.7116233481159563E-2"/>
    <n v="0.44003643683445809"/>
    <n v="7.7116233481159563E-2"/>
    <n v="7.7116233481159563E-2"/>
    <n v="0.44003643683445809"/>
    <n v="0.19754071240865179"/>
    <n v="-0.43440098403707622"/>
    <n v="0.1062512038828191"/>
    <n v="0.63186227189180999"/>
    <n v="0.1062512038828191"/>
    <n v="0.1062512038828191"/>
    <n v="0.63186227189180999"/>
    <n v="8.7809345161270314E-2"/>
    <n v="0.69575937351270734"/>
    <n v="3.8703162690103932E-2"/>
    <n v="0.84461904368331497"/>
    <n v="3.8703162690103932E-2"/>
    <n v="3.8703162690103932E-2"/>
    <n v="0.84461904368331497"/>
    <n v="0.29515096016268028"/>
    <n v="-0.1849377482422461"/>
    <n v="107.72521635033389"/>
    <n v="0.69339504450487754"/>
    <n v="107.72521635033389"/>
    <n v="107.72521635033389"/>
    <n v="0.69339504450487754"/>
    <n v="267.0683881499059"/>
    <n v="0.23987628860675581"/>
    <s v="[[sv,wv],[yr],[ya]]"/>
    <x v="1"/>
    <x v="0"/>
    <x v="5"/>
    <x v="0"/>
    <x v="1"/>
    <x v="1"/>
    <x v="5"/>
    <x v="0"/>
  </r>
  <r>
    <d v="2026-03-27T17:54:15"/>
    <s v="03-27_17-54-15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1201588029671181"/>
    <n v="10.52374215750932"/>
    <n v="0.70819270941967793"/>
    <n v="-0.1253019540408"/>
    <n v="17.54036490576873"/>
    <n v="0.64886535394547296"/>
    <n v="17.54036490576873"/>
    <n v="17.54036490576873"/>
    <n v="0.64886535394547296"/>
    <n v="102.8787235516468"/>
    <n v="-0.11443142052775659"/>
    <n v="0.8"/>
    <s v="identity"/>
    <n v="7.1859522582299121E-2"/>
    <n v="0.47820695466941149"/>
    <n v="7.1859522582299121E-2"/>
    <n v="7.1859522582299121E-2"/>
    <n v="0.47820695466941149"/>
    <n v="0.10889773271277479"/>
    <n v="0.20926166025222129"/>
    <n v="9.9280172036082193E-2"/>
    <n v="0.65601540835375394"/>
    <n v="9.9280172036082193E-2"/>
    <n v="9.9280172036082193E-2"/>
    <n v="0.65601540835375394"/>
    <n v="0.38055608459276519"/>
    <n v="-0.31854555318015149"/>
    <n v="8.4638562008116036E-2"/>
    <n v="0.66020294487580022"/>
    <n v="8.4638562008116036E-2"/>
    <n v="8.4638562008116036E-2"/>
    <n v="0.66020294487580022"/>
    <n v="0.29377833075509657"/>
    <n v="-0.17942707533609401"/>
    <n v="69.905681366448334"/>
    <n v="0.80103610788292767"/>
    <n v="69.905681366448334"/>
    <n v="69.905681366448334"/>
    <n v="0.80103610788292767"/>
    <n v="410.73166205852749"/>
    <n v="-0.16901471384700709"/>
    <s v="[[sv,wv],[yr],[ya]]"/>
    <x v="1"/>
    <x v="0"/>
    <x v="2"/>
    <x v="4"/>
    <x v="1"/>
    <x v="1"/>
    <x v="2"/>
    <x v="4"/>
  </r>
  <r>
    <d v="2026-03-27T18:19:14"/>
    <s v="03-27_18-19-14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043031124486003"/>
    <n v="15.21580279853735"/>
    <n v="0.74044074522773418"/>
    <n v="0.26863669763967313"/>
    <n v="21.80467077978799"/>
    <n v="0.70011212974626402"/>
    <n v="21.80467077978799"/>
    <n v="21.80467077978799"/>
    <n v="0.70011212974626402"/>
    <n v="70.879468190647231"/>
    <n v="0.26218292798211129"/>
    <n v="0.8"/>
    <s v="identity"/>
    <n v="7.7676925896342869E-2"/>
    <n v="0.43596508494818331"/>
    <n v="7.7676925896342869E-2"/>
    <n v="7.7676925896342869E-2"/>
    <n v="0.43596508494818331"/>
    <n v="0.10929141500805969"/>
    <n v="0.20640301777356929"/>
    <n v="7.2569499436442031E-2"/>
    <n v="0.74856218399234264"/>
    <n v="7.2569499436442031E-2"/>
    <n v="7.2569499436442031E-2"/>
    <n v="0.74856218399234264"/>
    <n v="0.1121127655107266"/>
    <n v="0.61155321277522945"/>
    <n v="3.3966138955385118E-2"/>
    <n v="0.86363669564858048"/>
    <n v="3.3966138955385118E-2"/>
    <n v="3.3966138955385118E-2"/>
    <n v="0.86363669564858048"/>
    <n v="0.24001790311818921"/>
    <n v="3.6404037100422837E-2"/>
    <n v="87.034470554864072"/>
    <n v="0.7522845543959501"/>
    <n v="87.034470554864072"/>
    <n v="87.034470554864072"/>
    <n v="0.7522845543959501"/>
    <n v="283.05645067895227"/>
    <n v="0.19437144427922531"/>
    <s v="[[sv,wv],[yr],[ya]]"/>
    <x v="1"/>
    <x v="0"/>
    <x v="5"/>
    <x v="0"/>
    <x v="1"/>
    <x v="1"/>
    <x v="5"/>
    <x v="0"/>
  </r>
  <r>
    <d v="2026-03-27T19:46:50"/>
    <s v="03-27_19-46-50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82170222071305"/>
    <n v="13.73988641296542"/>
    <n v="0.68719738341627645"/>
    <n v="0.24888388842986431"/>
    <n v="20.752424547733881"/>
    <n v="0.6269194845819116"/>
    <n v="20.752424547733881"/>
    <n v="20.752424547733881"/>
    <n v="0.6269194845819116"/>
    <n v="96.029003563617522"/>
    <n v="7.4504265256219171E-2"/>
    <n v="0.8"/>
    <s v="identity"/>
    <n v="0.1087121318518058"/>
    <n v="0.21060936247707379"/>
    <n v="0.1087121318518058"/>
    <n v="0.1087121318518058"/>
    <n v="0.21060936247707379"/>
    <n v="0.1481089056837871"/>
    <n v="-7.5462153938116838E-2"/>
    <n v="9.3016019313179765E-2"/>
    <n v="0.67771935962827623"/>
    <n v="9.3016019313179765E-2"/>
    <n v="9.3016019313179765E-2"/>
    <n v="0.67771935962827623"/>
    <n v="0.18679757206167791"/>
    <n v="0.35278630940734479"/>
    <n v="3.6134240954999841E-2"/>
    <n v="0.85493245189491973"/>
    <n v="3.6134240954999841E-2"/>
    <n v="3.6134240954999841E-2"/>
    <n v="0.85493245189491973"/>
    <n v="0.22109529712855741"/>
    <n v="0.1123723148924755"/>
    <n v="82.771835798815346"/>
    <n v="0.76441676432737371"/>
    <n v="82.771835798815346"/>
    <n v="82.771835798815346"/>
    <n v="0.76441676432737371"/>
    <n v="383.56001247959603"/>
    <n v="-9.167940933683405E-2"/>
    <s v="[[sv,wv],[yr],[ya]]"/>
    <x v="0"/>
    <x v="0"/>
    <x v="4"/>
    <x v="0"/>
    <x v="0"/>
    <x v="0"/>
    <x v="4"/>
    <x v="0"/>
  </r>
  <r>
    <d v="2026-03-27T21:07:38"/>
    <s v="03-27_21-07-38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082503397699921"/>
    <n v="16.765623208128119"/>
    <n v="0.69772641203817121"/>
    <n v="0.17260836016119929"/>
    <n v="22.592617788426409"/>
    <n v="0.65114385988105095"/>
    <n v="22.592617788426409"/>
    <n v="22.592617788426409"/>
    <n v="0.65114385988105095"/>
    <n v="95.379781871846021"/>
    <n v="0.1832100512805874"/>
    <n v="0.8"/>
    <s v="identity"/>
    <n v="8.3165604301462914E-2"/>
    <n v="0.39611018309341778"/>
    <n v="8.3165604301462914E-2"/>
    <n v="8.3165604301462914E-2"/>
    <n v="0.39611018309341778"/>
    <n v="0.1115586975285522"/>
    <n v="0.18993961517250579"/>
    <n v="8.6658355330321138E-2"/>
    <n v="0.69974730744622371"/>
    <n v="8.6658355330321138E-2"/>
    <n v="8.6658355330321138E-2"/>
    <n v="0.69974730744622371"/>
    <n v="0.15013789557736421"/>
    <n v="0.47980425857807191"/>
    <n v="5.8465754729163821E-2"/>
    <n v="0.76527848759199602"/>
    <n v="5.8465754729163821E-2"/>
    <n v="5.8465754729163821E-2"/>
    <n v="0.76527848759199602"/>
    <n v="0.21231612889347151"/>
    <n v="0.14761789848870949"/>
    <n v="90.142181439344341"/>
    <n v="0.74343946139257144"/>
    <n v="90.142181439344341"/>
    <n v="90.142181439344341"/>
    <n v="0.74343946139257144"/>
    <n v="381.04511476538642"/>
    <n v="-8.4521567116936369E-2"/>
    <s v="[[sv,wv],[yr],[ya]]"/>
    <x v="1"/>
    <x v="1"/>
    <x v="2"/>
    <x v="5"/>
    <x v="1"/>
    <x v="1"/>
    <x v="2"/>
    <x v="5"/>
  </r>
  <r>
    <d v="2026-03-27T21:18:01"/>
    <s v="03-27_21-18-01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67867053147718"/>
    <n v="13.582336481269101"/>
    <n v="0.73324750367849334"/>
    <n v="-0.41281073005078128"/>
    <n v="18.15011364235826"/>
    <n v="0.66886758886000608"/>
    <n v="18.15011364235826"/>
    <n v="18.15011364235826"/>
    <n v="0.66886758886000608"/>
    <n v="105.2169068046135"/>
    <n v="-0.34563629528179729"/>
    <n v="0.8"/>
    <s v="identity"/>
    <n v="6.6477033695420143E-2"/>
    <n v="0.51729078332310274"/>
    <n v="6.6477033695420143E-2"/>
    <n v="6.6477033695420143E-2"/>
    <n v="0.51729078332310274"/>
    <n v="0.16662464157196771"/>
    <n v="-0.20991033656506991"/>
    <n v="7.1071118841021713E-2"/>
    <n v="0.75375375272833356"/>
    <n v="7.1071118841021713E-2"/>
    <n v="7.1071118841021713E-2"/>
    <n v="0.75375375272833356"/>
    <n v="0.40332873078479559"/>
    <n v="-0.3974479084079714"/>
    <n v="9.7045798364702576E-2"/>
    <n v="0.61039181533659881"/>
    <n v="9.7045798364702576E-2"/>
    <n v="9.7045798364702576E-2"/>
    <n v="0.61039181533659881"/>
    <n v="0.39357168825523048"/>
    <n v="-0.58006584087006363"/>
    <n v="72.365860618531755"/>
    <n v="0.79403400405199198"/>
    <n v="72.365860618531755"/>
    <n v="72.365860618531755"/>
    <n v="0.79403400405199198"/>
    <n v="419.9041021578422"/>
    <n v="-0.19512109528407101"/>
    <s v="[[sv,wv],[yr],[ya]]"/>
    <x v="0"/>
    <x v="1"/>
    <x v="0"/>
    <x v="5"/>
    <x v="0"/>
    <x v="0"/>
    <x v="0"/>
    <x v="5"/>
  </r>
  <r>
    <d v="2026-03-27T21:28:24"/>
    <s v="03-27_21-28-24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3168099045827741"/>
    <n v="8.236795611978847"/>
    <n v="0.66369785415724736"/>
    <n v="-0.33922118583414318"/>
    <n v="13.002816915417149"/>
    <n v="0.61247099033341124"/>
    <n v="13.002816915417149"/>
    <n v="13.002816915417149"/>
    <n v="0.61247099033341124"/>
    <n v="150.36858413963509"/>
    <n v="-0.27731150807033123"/>
    <n v="0.8"/>
    <s v="identity"/>
    <n v="7.9544867827994428E-2"/>
    <n v="0.42240141135292819"/>
    <n v="7.9544867827994428E-2"/>
    <n v="7.9544867827994428E-2"/>
    <n v="0.42240141135292819"/>
    <n v="0.15093410495100279"/>
    <n v="-9.5976753483610899E-2"/>
    <n v="0.10624049333924621"/>
    <n v="0.63189938163771053"/>
    <n v="0.10624049333924621"/>
    <n v="0.10624049333924621"/>
    <n v="0.63189938163771053"/>
    <n v="0.28558839488005328"/>
    <n v="1.0497208284262699E-2"/>
    <n v="0.1138910463766169"/>
    <n v="0.54276347275279657"/>
    <n v="0.1138910463766169"/>
    <n v="0.1138910463766169"/>
    <n v="0.54276347275279657"/>
    <n v="0.32730810019164569"/>
    <n v="-0.31403849409389689"/>
    <n v="51.71159125412489"/>
    <n v="0.85281969559020721"/>
    <n v="51.71159125412489"/>
    <n v="51.71159125412489"/>
    <n v="0.85281969559020721"/>
    <n v="600.7105059585158"/>
    <n v="-0.70972799298808154"/>
    <s v="[[sv,wv],[yr],[ya]]"/>
    <x v="0"/>
    <x v="0"/>
    <x v="0"/>
    <x v="4"/>
    <x v="1"/>
    <x v="1"/>
    <x v="0"/>
    <x v="4"/>
  </r>
  <r>
    <d v="2026-03-27T21:39:52"/>
    <s v="03-27_21-39-52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215640313049032"/>
    <n v="22.413870731347721"/>
    <n v="0.67720850236753327"/>
    <n v="-0.14104017677923381"/>
    <n v="32.204681969474322"/>
    <n v="0.60783329485292259"/>
    <n v="32.204681969474322"/>
    <n v="32.204681969474322"/>
    <n v="0.60783329485292259"/>
    <n v="110.6875698298546"/>
    <n v="-0.13429698939709589"/>
    <n v="0.8"/>
    <s v="identity"/>
    <n v="7.1795147900734574E-2"/>
    <n v="0.47867439809136408"/>
    <n v="7.1795147900734574E-2"/>
    <n v="7.1795147900734574E-2"/>
    <n v="0.47867439809136408"/>
    <n v="0.1113024730135574"/>
    <n v="0.1918001364390417"/>
    <n v="0.10157999359942479"/>
    <n v="0.64804701783728602"/>
    <n v="0.10157999359942479"/>
    <n v="0.10157999359942479"/>
    <n v="0.64804701783728602"/>
    <n v="0.38296513023923778"/>
    <n v="-0.3268923818163656"/>
    <n v="8.206735274863558E-2"/>
    <n v="0.67052553677422777"/>
    <n v="8.206735274863558E-2"/>
    <n v="8.206735274863558E-2"/>
    <n v="0.67052553677422777"/>
    <n v="0.28499587431449241"/>
    <n v="-0.14416829063476919"/>
    <n v="128.5632853836486"/>
    <n v="0.63408622670881165"/>
    <n v="128.5632853836486"/>
    <n v="128.5632853836486"/>
    <n v="0.63408622670881165"/>
    <n v="441.97101584185208"/>
    <n v="-0.25792742157630522"/>
    <s v="[[sv,wv],[yr],[ya]]"/>
    <x v="1"/>
    <x v="1"/>
    <x v="2"/>
    <x v="5"/>
    <x v="1"/>
    <x v="1"/>
    <x v="2"/>
    <x v="5"/>
  </r>
  <r>
    <d v="2026-03-27T22:02:43"/>
    <s v="03-27_22-02-43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081675121910578"/>
    <n v="12.375730926690199"/>
    <n v="0.72775021768908843"/>
    <n v="0.28107748020310969"/>
    <n v="17.662986524607721"/>
    <n v="0.67193995158751285"/>
    <n v="17.662986524607721"/>
    <n v="17.662986524607721"/>
    <n v="0.67193995158751285"/>
    <n v="84.615548444272875"/>
    <n v="0.29347445134709932"/>
    <n v="0.8"/>
    <s v="identity"/>
    <n v="7.7273070830026158E-2"/>
    <n v="0.4388975948974978"/>
    <n v="7.7273070830026158E-2"/>
    <n v="7.7273070830026158E-2"/>
    <n v="0.4388975948974978"/>
    <n v="0.15242186439726749"/>
    <n v="-0.1067798106747673"/>
    <n v="7.3661169231703932E-2"/>
    <n v="0.74477978131279032"/>
    <n v="7.3661169231703932E-2"/>
    <n v="7.3661169231703932E-2"/>
    <n v="0.74477978131279032"/>
    <n v="0.14080451914676459"/>
    <n v="0.51214241446879361"/>
    <n v="7.3597013989961782E-2"/>
    <n v="0.70453126770601915"/>
    <n v="7.3597013989961782E-2"/>
    <n v="7.3597013989961782E-2"/>
    <n v="0.70453126770601915"/>
    <n v="6.7045662601741426E-2"/>
    <n v="0.73083287132480046"/>
    <n v="70.427414844379257"/>
    <n v="0.79955116243374802"/>
    <n v="70.427414844379257"/>
    <n v="70.427414844379257"/>
    <n v="0.79955116243374802"/>
    <n v="338.10192173094532"/>
    <n v="3.7702330269577922E-2"/>
    <s v="[[sv,wv],[yr],[ya]]"/>
    <x v="0"/>
    <x v="0"/>
    <x v="0"/>
    <x v="4"/>
    <x v="1"/>
    <x v="1"/>
    <x v="0"/>
    <x v="4"/>
  </r>
  <r>
    <d v="2026-03-27T23:17:00"/>
    <s v="03-27_23-17-00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956603805886481"/>
    <n v="16.763166387843139"/>
    <n v="0.70163325835189161"/>
    <n v="-0.21118790373830679"/>
    <n v="23.393103621956001"/>
    <n v="0.64079718390689933"/>
    <n v="23.393103621956001"/>
    <n v="23.393103621956001"/>
    <n v="0.64079718390689933"/>
    <n v="133.97748724334431"/>
    <n v="-0.20230646756491749"/>
    <n v="0.8"/>
    <s v="identity"/>
    <n v="0.10994441201888799"/>
    <n v="0.2016614151768967"/>
    <n v="0.10994441201888799"/>
    <n v="0.10994441201888799"/>
    <n v="0.2016614151768967"/>
    <n v="0.14065344394960341"/>
    <n v="-2.132586214505627E-2"/>
    <n v="7.4036234869727283E-2"/>
    <n v="0.74348025898431258"/>
    <n v="7.4036234869727283E-2"/>
    <n v="7.4036234869727283E-2"/>
    <n v="0.74348025898431258"/>
    <n v="0.29027533722762427"/>
    <n v="-5.7420459034995819E-3"/>
    <n v="2.8952566675853459E-2"/>
    <n v="0.88376460254843792"/>
    <n v="2.8952566675853459E-2"/>
    <n v="2.8952566675853459E-2"/>
    <n v="0.88376460254843792"/>
    <n v="0.31359452367036428"/>
    <n v="-0.25898282199132772"/>
    <n v="93.359481274259537"/>
    <n v="0.73428245891795463"/>
    <n v="93.359481274259537"/>
    <n v="93.359481274259537"/>
    <n v="0.73428245891795463"/>
    <n v="535.16542566853093"/>
    <n v="-0.52317514021980061"/>
    <s v="[[sv,wv],[yr],[ya]]"/>
    <x v="1"/>
    <x v="0"/>
    <x v="5"/>
    <x v="0"/>
    <x v="0"/>
    <x v="0"/>
    <x v="5"/>
    <x v="0"/>
  </r>
  <r>
    <d v="2026-03-28T00:06:03"/>
    <s v="03-28_00-06-03_multihead_spsa_serial_f5_w5_h5_effsu2_lin_r1.pkl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094266201799131"/>
    <n v="12.254569404162259"/>
    <n v="0.75306357283536085"/>
    <n v="0.10649142862642109"/>
    <n v="17.4147302988071"/>
    <n v="0.69713190410591874"/>
    <n v="17.4147302988071"/>
    <n v="17.4147302988071"/>
    <n v="0.69713190410591874"/>
    <n v="105.8938020211107"/>
    <n v="5.3701374403537387E-2"/>
    <n v="0.8"/>
    <s v="identity"/>
    <n v="7.3236089327115575E-2"/>
    <n v="0.46821130025832147"/>
    <n v="7.3236089327115575E-2"/>
    <n v="7.3236089327115575E-2"/>
    <n v="0.46821130025832147"/>
    <n v="8.9247820278666276E-2"/>
    <n v="0.35194543104585752"/>
    <n v="8.7589929151985352E-2"/>
    <n v="0.69651960312156724"/>
    <n v="8.7589929151985352E-2"/>
    <n v="8.7589929151985352E-2"/>
    <n v="0.69651960312156724"/>
    <n v="0.13996661906033339"/>
    <n v="0.51504555930789253"/>
    <n v="4.446826572962382E-2"/>
    <n v="0.82147397849271564"/>
    <n v="4.446826572962382E-2"/>
    <n v="4.446826572962382E-2"/>
    <n v="0.82147397849271564"/>
    <n v="0.36074944702457479"/>
    <n v="-0.44829492406640342"/>
    <n v="69.453626911019612"/>
    <n v="0.80232273455107328"/>
    <n v="69.453626911019612"/>
    <n v="69.453626911019612"/>
    <n v="0.80232273455107328"/>
    <n v="422.98524419807899"/>
    <n v="-0.2038905686731867"/>
    <s v="[[sv,wv],[yr],[ya]]"/>
    <x v="1"/>
    <x v="0"/>
    <x v="5"/>
    <x v="4"/>
    <x v="1"/>
    <x v="1"/>
    <x v="5"/>
    <x v="4"/>
  </r>
  <r>
    <d v="2026-03-28T00:14:30"/>
    <s v="03-28_00-14-30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9.386636987675738E-2"/>
    <n v="21.753193346984649"/>
    <n v="0.75669669543947726"/>
    <n v="0.41218512466531593"/>
    <n v="23.800562441852851"/>
    <n v="0.70376851175345689"/>
    <n v="23.800562441852851"/>
    <n v="23.800562441852851"/>
    <n v="0.70376851175345689"/>
    <n v="80.488850492834985"/>
    <n v="0.3041079028604885"/>
    <n v="0.8"/>
    <s v="identity"/>
    <n v="8.1615019910573627E-2"/>
    <n v="0.40736943061259773"/>
    <n v="8.1615019910573627E-2"/>
    <n v="8.1615019910573627E-2"/>
    <n v="0.40736943061259773"/>
    <n v="0.14572295354421699"/>
    <n v="-5.8137056467653332E-2"/>
    <n v="6.2414070037421658E-2"/>
    <n v="0.78374857784291652"/>
    <n v="6.2414070037421658E-2"/>
    <n v="6.2414070037421658E-2"/>
    <n v="0.78374857784291652"/>
    <n v="0.1145340564484929"/>
    <n v="0.60316395682005663"/>
    <n v="2.629506005448088E-2"/>
    <n v="0.89443365105884243"/>
    <n v="2.629506005448088E-2"/>
    <n v="2.629506005448088E-2"/>
    <n v="0.89443365105884243"/>
    <n v="0.10294389934816379"/>
    <n v="0.58671280546857796"/>
    <n v="95.031925617408845"/>
    <n v="0.7295223874994694"/>
    <n v="95.031925617408845"/>
    <n v="95.031925617408845"/>
    <n v="0.7295223874994694"/>
    <n v="321.59220106199791"/>
    <n v="8.4691905620974617E-2"/>
    <s v="[[sv,wv],[yr],[ya]]"/>
    <x v="0"/>
    <x v="0"/>
    <x v="4"/>
    <x v="0"/>
    <x v="0"/>
    <x v="0"/>
    <x v="4"/>
    <x v="0"/>
  </r>
  <r>
    <d v="2026-03-28T00:15:24"/>
    <s v="03-28_00-15-24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9.8372353816423494E-2"/>
    <n v="16.681607092178851"/>
    <n v="0.80592460306546498"/>
    <n v="-0.10490442536793421"/>
    <n v="23.491366196466309"/>
    <n v="0.7471109254872853"/>
    <n v="23.491366196466309"/>
    <n v="23.491366196466309"/>
    <n v="0.7471109254872853"/>
    <n v="100.75922767918171"/>
    <n v="-0.10266836511072711"/>
    <n v="0.8"/>
    <s v="identity"/>
    <n v="5.4028736601794872E-2"/>
    <n v="0.60768151535480486"/>
    <n v="5.4028736601794872E-2"/>
    <n v="5.4028736601794872E-2"/>
    <n v="0.60768151535480486"/>
    <n v="0.1159469572516323"/>
    <n v="0.15807517574507801"/>
    <n v="4.9261187088806037E-2"/>
    <n v="0.82932050804068125"/>
    <n v="4.9261187088806037E-2"/>
    <n v="4.9261187088806037E-2"/>
    <n v="0.82932050804068125"/>
    <n v="0.3348385192704848"/>
    <n v="-0.1601439537879816"/>
    <n v="4.5218687150707822E-2"/>
    <n v="0.81846127384678824"/>
    <n v="4.5218687150707822E-2"/>
    <n v="4.5218687150707822E-2"/>
    <n v="0.81846127384678824"/>
    <n v="0.31476190034205842"/>
    <n v="-0.26366947008471459"/>
    <n v="93.816956175023705"/>
    <n v="0.7329804047068702"/>
    <n v="93.816956175023705"/>
    <n v="93.816956175023705"/>
    <n v="0.7329804047068702"/>
    <n v="402.27136333986158"/>
    <n v="-0.1449352123152938"/>
    <s v="[[sv,wv],[yr],[ya]]"/>
    <x v="0"/>
    <x v="0"/>
    <x v="4"/>
    <x v="0"/>
    <x v="0"/>
    <x v="0"/>
    <x v="4"/>
    <x v="0"/>
  </r>
  <r>
    <d v="2026-03-28T00:18:49"/>
    <s v="03-28_00-18-49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385077699548539"/>
    <n v="9.0730321991369607"/>
    <n v="0.80205281709971543"/>
    <n v="-0.3448206457445917"/>
    <n v="14.40835473554578"/>
    <n v="0.74193361681774284"/>
    <n v="14.40835473554578"/>
    <n v="14.40835473554578"/>
    <n v="0.74193361681774284"/>
    <n v="143.7060823699976"/>
    <n v="-0.27663812182611741"/>
    <n v="0.8"/>
    <s v="identity"/>
    <n v="6.6352791890049417E-2"/>
    <n v="0.51819293946959699"/>
    <n v="6.6352791890049417E-2"/>
    <n v="6.6352791890049417E-2"/>
    <n v="0.51819293946959699"/>
    <n v="0.17388952753877859"/>
    <n v="-0.26266280188043961"/>
    <n v="6.7018713948881717E-2"/>
    <n v="0.76779447015881308"/>
    <n v="6.7018713948881717E-2"/>
    <n v="6.7018713948881717E-2"/>
    <n v="0.76779447015881308"/>
    <n v="0.2906720877222424"/>
    <n v="-7.116701628582911E-3"/>
    <n v="3.8535376975119752E-2"/>
    <n v="0.84529265025803513"/>
    <n v="3.8535376975119752E-2"/>
    <n v="3.8535376975119752E-2"/>
    <n v="0.84529265025803513"/>
    <n v="0.29962425696065048"/>
    <n v="-0.20289661997379849"/>
    <n v="57.461512059369213"/>
    <n v="0.83645440738452759"/>
    <n v="57.461512059369213"/>
    <n v="57.461512059369213"/>
    <n v="0.83645440738452759"/>
    <n v="574.06014360776885"/>
    <n v="-0.63387636382164536"/>
    <s v="[[sv,wv],[yr],[ya]]"/>
    <x v="0"/>
    <x v="0"/>
    <x v="4"/>
    <x v="4"/>
    <x v="0"/>
    <x v="0"/>
    <x v="4"/>
    <x v="4"/>
  </r>
  <r>
    <d v="2026-03-28T00:30:40"/>
    <s v="03-28_00-30-4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3899670245205731"/>
    <n v="19.797373341274302"/>
    <n v="0.63368883525147912"/>
    <n v="-0.13934920998651759"/>
    <n v="20.120207812647351"/>
    <n v="0.60359724691809435"/>
    <n v="20.120207812647351"/>
    <n v="20.120207812647351"/>
    <n v="0.60359724691809435"/>
    <n v="94.172400726023767"/>
    <n v="-8.939405862337671E-2"/>
    <n v="0.8"/>
    <s v="identity"/>
    <n v="7.6842893720759434E-2"/>
    <n v="0.44202123691193951"/>
    <n v="7.6842893720759434E-2"/>
    <n v="7.6842893720759434E-2"/>
    <n v="0.44202123691193951"/>
    <n v="0.13621850245729841"/>
    <n v="1.0877547284536489E-2"/>
    <n v="0.10216319823197451"/>
    <n v="0.64602633834751932"/>
    <n v="0.10216319823197451"/>
    <n v="0.10216319823197451"/>
    <n v="0.64602633834751932"/>
    <n v="0.27064765292982013"/>
    <n v="6.2263688068111889E-2"/>
    <n v="0.1109480219945585"/>
    <n v="0.55457878476254296"/>
    <n v="0.1109480219945585"/>
    <n v="0.1109480219945585"/>
    <n v="0.55457878476254296"/>
    <n v="0.33893458114415781"/>
    <n v="-0.36071513764016072"/>
    <n v="80.190877136642271"/>
    <n v="0.77176262765037529"/>
    <n v="80.190877136642271"/>
    <n v="80.190877136642271"/>
    <n v="0.77176262765037529"/>
    <n v="375.94380216756292"/>
    <n v="-7.0002332205995943E-2"/>
    <s v="[[sv,wv],[yr],[ya]]"/>
    <x v="0"/>
    <x v="1"/>
    <x v="0"/>
    <x v="2"/>
    <x v="1"/>
    <x v="1"/>
    <x v="0"/>
    <x v="2"/>
  </r>
  <r>
    <d v="2026-03-28T00:45:10"/>
    <s v="03-28_00-45-10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47544911705301"/>
    <n v="13.088729748948071"/>
    <n v="0.71611679543438433"/>
    <n v="0.26927621351049752"/>
    <n v="21.566498836593301"/>
    <n v="0.66382928355924031"/>
    <n v="21.566498836593301"/>
    <n v="21.566498836593301"/>
    <n v="0.66382928355924031"/>
    <n v="70.975483157957925"/>
    <n v="0.2263755079972655"/>
    <n v="0.8"/>
    <s v="identity"/>
    <n v="7.043404221814252E-2"/>
    <n v="0.48855778520019288"/>
    <n v="7.043404221814252E-2"/>
    <n v="7.043404221814252E-2"/>
    <n v="0.48855778520019288"/>
    <n v="0.12863960965791671"/>
    <n v="6.5910108202183348E-2"/>
    <n v="9.8931758536269246E-2"/>
    <n v="0.65722258671574996"/>
    <n v="9.8931758536269246E-2"/>
    <n v="9.8931758536269246E-2"/>
    <n v="0.65722258671574996"/>
    <n v="0.21384359222597929"/>
    <n v="0.25907762608141172"/>
    <n v="6.1173228371036822E-2"/>
    <n v="0.75440883729894626"/>
    <n v="6.1173228371036822E-2"/>
    <n v="6.1173228371036822E-2"/>
    <n v="0.75440883729894626"/>
    <n v="0.15265461777296621"/>
    <n v="0.38713999458792492"/>
    <n v="86.035456317248034"/>
    <n v="0.75512792502207282"/>
    <n v="86.035456317248034"/>
    <n v="86.035456317248034"/>
    <n v="0.75512792502207282"/>
    <n v="283.40679481217512"/>
    <n v="0.19337430311753631"/>
    <s v="[[sv,wv],[yr],[ya]]"/>
    <x v="1"/>
    <x v="0"/>
    <x v="5"/>
    <x v="4"/>
    <x v="1"/>
    <x v="1"/>
    <x v="5"/>
    <x v="4"/>
  </r>
  <r>
    <d v="2026-03-28T01:11:31"/>
    <s v="03-28_01-11-3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68558268727796"/>
    <n v="13.701835594227409"/>
    <n v="0.73190843914921988"/>
    <n v="0.39778413452189437"/>
    <n v="15.05406716745518"/>
    <n v="0.68795649255996882"/>
    <n v="15.05406716745518"/>
    <n v="15.05406716745518"/>
    <n v="0.68795649255996882"/>
    <n v="70.355335494814241"/>
    <n v="0.4084930312194669"/>
    <n v="0.8"/>
    <s v="identity"/>
    <n v="7.6924170146028772E-2"/>
    <n v="0.44143106497743623"/>
    <n v="7.6924170146028772E-2"/>
    <n v="7.6924170146028772E-2"/>
    <n v="0.44143106497743623"/>
    <n v="0.13091939432925859"/>
    <n v="4.9355923821191028E-2"/>
    <n v="7.5818196881319244E-2"/>
    <n v="0.73730614120917604"/>
    <n v="7.5818196881319244E-2"/>
    <n v="7.5818196881319244E-2"/>
    <n v="0.73730614120917604"/>
    <n v="0.1163848097549823"/>
    <n v="0.59675149190068333"/>
    <n v="6.3801151148444368E-2"/>
    <n v="0.74385855856463512"/>
    <n v="6.3801151148444368E-2"/>
    <n v="6.3801151148444368E-2"/>
    <n v="0.74385855856463512"/>
    <n v="5.2809819172980887E-2"/>
    <n v="0.78798527986688049"/>
    <n v="59.999725151645322"/>
    <n v="0.82923020548862625"/>
    <n v="59.999725151645322"/>
    <n v="59.999725151645322"/>
    <n v="0.82923020548862625"/>
    <n v="281.1212279559993"/>
    <n v="0.19987942928910921"/>
    <s v="[[sv,wv],[yr],[ya]]"/>
    <x v="0"/>
    <x v="1"/>
    <x v="0"/>
    <x v="2"/>
    <x v="1"/>
    <x v="1"/>
    <x v="0"/>
    <x v="2"/>
  </r>
  <r>
    <d v="2026-03-28T02:41:37"/>
    <s v="03-28_02-41-37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102196617660916"/>
    <n v="7.2555982797561462"/>
    <n v="0.67323115076555062"/>
    <n v="-0.49446388887663412"/>
    <n v="10.31734583519072"/>
    <n v="0.62594075677868255"/>
    <n v="10.31734583519072"/>
    <n v="10.31734583519072"/>
    <n v="0.62594075677868255"/>
    <n v="119.6157726943989"/>
    <n v="-0.49181922107491621"/>
    <n v="0.8"/>
    <s v="identity"/>
    <n v="0.1035799136234634"/>
    <n v="0.2478759025602052"/>
    <n v="0.1035799136234634"/>
    <n v="0.1035799136234634"/>
    <n v="0.2478759025602052"/>
    <n v="0.16123291526097019"/>
    <n v="-0.17075943226867191"/>
    <n v="9.1929422363473914E-2"/>
    <n v="0.68148418598144556"/>
    <n v="9.1929422363473914E-2"/>
    <n v="9.1929422363473914E-2"/>
    <n v="0.68148418598144556"/>
    <n v="0.38598266727412162"/>
    <n v="-0.33734750315061041"/>
    <n v="7.6945682332123982E-2"/>
    <n v="0.69108742350241315"/>
    <n v="7.6945682332123982E-2"/>
    <n v="7.6945682332123982E-2"/>
    <n v="0.69108742350241315"/>
    <n v="0.52318597396442612"/>
    <n v="-1.10042620074702"/>
    <n v="40.996928322443502"/>
    <n v="0.88331551507066841"/>
    <n v="40.996928322443502"/>
    <n v="40.996928322443502"/>
    <n v="0.88331551507066841"/>
    <n v="477.39268922109329"/>
    <n v="-0.35874374813336329"/>
    <s v="[[sv,wv],[yr],[ya]]"/>
    <x v="0"/>
    <x v="0"/>
    <x v="0"/>
    <x v="4"/>
    <x v="0"/>
    <x v="0"/>
    <x v="0"/>
    <x v="4"/>
  </r>
  <r>
    <d v="2026-03-28T03:35:40"/>
    <s v="03-28_03-35-40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07287510285019"/>
    <n v="28.505857629289441"/>
    <n v="0.66811969420517581"/>
    <n v="0.18141859499612151"/>
    <n v="31.328096751526111"/>
    <n v="0.64063079974396597"/>
    <n v="31.328096751526111"/>
    <n v="31.328096751526111"/>
    <n v="0.64063079974396597"/>
    <n v="82.191510602913979"/>
    <n v="0.1188754852306222"/>
    <n v="0.8"/>
    <s v="identity"/>
    <n v="8.615838513187489E-2"/>
    <n v="0.37437872472310668"/>
    <n v="8.615838513187489E-2"/>
    <n v="8.615838513187489E-2"/>
    <n v="0.37437872472310668"/>
    <n v="0.1193969248450425"/>
    <n v="0.13302395035187259"/>
    <n v="8.3194294795396403E-2"/>
    <n v="0.71174953733872326"/>
    <n v="8.3194294795396403E-2"/>
    <n v="8.3194294795396403E-2"/>
    <n v="0.71174953733872326"/>
    <n v="0.14410333026115729"/>
    <n v="0.50071273852413389"/>
    <n v="4.173297804672594E-2"/>
    <n v="0.83245529336284618"/>
    <n v="4.173297804672594E-2"/>
    <n v="4.173297804672594E-2"/>
    <n v="0.83245529336284618"/>
    <n v="0.3049122996669606"/>
    <n v="-0.22412643882165259"/>
    <n v="125.1013013481306"/>
    <n v="0.64393964355118594"/>
    <n v="125.1013013481306"/>
    <n v="125.1013013481306"/>
    <n v="0.64393964355118594"/>
    <n v="328.19762985688237"/>
    <n v="6.5891690868140618E-2"/>
    <s v="[[sv,wv],[yr],[ya]]"/>
    <x v="1"/>
    <x v="1"/>
    <x v="5"/>
    <x v="2"/>
    <x v="1"/>
    <x v="1"/>
    <x v="5"/>
    <x v="2"/>
  </r>
  <r>
    <d v="2026-03-28T03:42:37"/>
    <s v="03-28_03-42-3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275673758117131"/>
    <n v="29.24412371057462"/>
    <n v="0.71372696880684539"/>
    <n v="-0.18448525554242901"/>
    <n v="33.097257004879907"/>
    <n v="0.65487615235620567"/>
    <n v="33.097257004879907"/>
    <n v="33.097257004879907"/>
    <n v="0.65487615235620567"/>
    <n v="106.5789137692496"/>
    <n v="-0.17181829149140171"/>
    <n v="0.8"/>
    <s v="identity"/>
    <n v="8.1556481525547952E-2"/>
    <n v="0.40779449497558867"/>
    <n v="8.1556481525547952E-2"/>
    <n v="8.1556481525547952E-2"/>
    <n v="0.40779449497558867"/>
    <n v="0.15456041176644031"/>
    <n v="-0.1223084296280368"/>
    <n v="6.2439990617089873E-2"/>
    <n v="0.78365876857053562"/>
    <n v="6.2439990617089873E-2"/>
    <n v="6.2439990617089873E-2"/>
    <n v="0.78365876857053562"/>
    <n v="0.31189132975121542"/>
    <n v="-8.0636843210593501E-2"/>
    <n v="4.8744741323113933E-2"/>
    <n v="0.80430528164222914"/>
    <n v="4.8744741323113933E-2"/>
    <n v="4.8744741323113933E-2"/>
    <n v="0.80430528164222914"/>
    <n v="0.31713298082802149"/>
    <n v="-0.27318860825858238"/>
    <n v="132.19628680605399"/>
    <n v="0.62374606423647239"/>
    <n v="132.19628680605399"/>
    <n v="132.19628680605399"/>
    <n v="0.62374606423647239"/>
    <n v="425.53207035465249"/>
    <n v="-0.21113928486838601"/>
    <s v="[[sv,wv],[yr],[ya]]"/>
    <x v="1"/>
    <x v="0"/>
    <x v="5"/>
    <x v="0"/>
    <x v="0"/>
    <x v="0"/>
    <x v="5"/>
    <x v="0"/>
  </r>
  <r>
    <d v="2026-03-28T03:44:36"/>
    <s v="03-28_03-44-36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12374079060519"/>
    <n v="13.70859095957551"/>
    <n v="0.80131423912874888"/>
    <n v="-0.24419153597787499"/>
    <n v="20.026571753822921"/>
    <n v="0.74276341382959965"/>
    <n v="20.026571753822921"/>
    <n v="20.026571753822921"/>
    <n v="0.74276341382959965"/>
    <n v="118.3586321143553"/>
    <n v="-0.2448118342430301"/>
    <n v="0.8"/>
    <s v="identity"/>
    <n v="6.0875802649181569E-2"/>
    <n v="0.55796296287828673"/>
    <n v="6.0875802649181569E-2"/>
    <n v="6.0875802649181569E-2"/>
    <n v="0.55796296287828673"/>
    <n v="0.168589304764591"/>
    <n v="-0.22417633157155969"/>
    <n v="5.3566886565600193E-2"/>
    <n v="0.81440217897354183"/>
    <n v="5.3566886565600193E-2"/>
    <n v="5.3566886565600193E-2"/>
    <n v="0.81440217897354183"/>
    <n v="0.34811132574260439"/>
    <n v="-0.20613139338118039"/>
    <n v="4.3282061076472839E-2"/>
    <n v="0.82623621497632549"/>
    <n v="4.3282061076472839E-2"/>
    <n v="4.3282061076472839E-2"/>
    <n v="0.82623621497632549"/>
    <n v="0.29984566964626702"/>
    <n v="-0.20378552187329449"/>
    <n v="79.948562265000348"/>
    <n v="0.77245229849024588"/>
    <n v="79.948562265000348"/>
    <n v="79.948562265000348"/>
    <n v="0.77245229849024588"/>
    <n v="472.61798215726822"/>
    <n v="-0.34515409014608739"/>
    <s v="[[sv,wv],[yr],[ya]]"/>
    <x v="1"/>
    <x v="0"/>
    <x v="5"/>
    <x v="0"/>
    <x v="0"/>
    <x v="0"/>
    <x v="5"/>
    <x v="0"/>
  </r>
  <r>
    <d v="2026-03-28T03:50:43"/>
    <s v="03-28_03-50-4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0270025165616491"/>
    <n v="20.375036192871349"/>
    <n v="0.76772541291312768"/>
    <n v="-5.9634692771603083E-2"/>
    <n v="21.036298240531551"/>
    <n v="0.71883939261081786"/>
    <n v="21.036298240531551"/>
    <n v="21.036298240531551"/>
    <n v="0.71883939261081786"/>
    <n v="104.27769202757131"/>
    <n v="-0.1013202014363018"/>
    <n v="0.8"/>
    <s v="identity"/>
    <n v="6.826465727789964E-2"/>
    <n v="0.50431032479113203"/>
    <n v="6.826465727789964E-2"/>
    <n v="6.826465727789964E-2"/>
    <n v="0.50431032479113203"/>
    <n v="0.18232545471173911"/>
    <n v="-0.32391854046017771"/>
    <n v="6.8413862137247788E-2"/>
    <n v="0.76296057966468012"/>
    <n v="6.8413862137247788E-2"/>
    <n v="6.8413862137247788E-2"/>
    <n v="0.76296057966468012"/>
    <n v="0.26032493761477848"/>
    <n v="9.8029691888436576E-2"/>
    <n v="3.8089850869376662E-2"/>
    <n v="0.84708129665183785"/>
    <n v="3.8089850869376662E-2"/>
    <n v="3.8089850869376662E-2"/>
    <n v="0.84708129665183785"/>
    <n v="0.24763740770684911"/>
    <n v="5.8141362407684296E-3"/>
    <n v="83.970424591841862"/>
    <n v="0.76100536933562246"/>
    <n v="83.970424591841862"/>
    <n v="83.970424591841862"/>
    <n v="0.76100536933562246"/>
    <n v="416.42048031025132"/>
    <n v="-0.18520609341423139"/>
    <s v="[[sv,wv],[yr],[ya]]"/>
    <x v="0"/>
    <x v="1"/>
    <x v="4"/>
    <x v="2"/>
    <x v="0"/>
    <x v="0"/>
    <x v="4"/>
    <x v="2"/>
  </r>
  <r>
    <d v="2026-03-28T03:58:05"/>
    <s v="03-28_03-58-0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4281342857324619"/>
    <n v="23.971203572324811"/>
    <n v="0.62123729366519997"/>
    <n v="-0.28556018352065959"/>
    <n v="28.454261353230219"/>
    <n v="0.57226943875920067"/>
    <n v="28.454261353230219"/>
    <n v="28.454261353230219"/>
    <n v="0.57226943875920067"/>
    <n v="132.16583527558339"/>
    <n v="-0.2376295537772834"/>
    <n v="0.8"/>
    <s v="identity"/>
    <n v="7.7562477507036626E-2"/>
    <n v="0.43679612823156838"/>
    <n v="7.7562477507036626E-2"/>
    <n v="7.7562477507036626E-2"/>
    <n v="0.43679612823156838"/>
    <n v="0.1105485623979722"/>
    <n v="0.1972745022833555"/>
    <n v="0.10747867259319439"/>
    <n v="0.627609354975595"/>
    <n v="0.10747867259319439"/>
    <n v="0.10747867259319439"/>
    <n v="0.627609354975595"/>
    <n v="0.34751373788743029"/>
    <n v="-0.20406087909701801"/>
    <n v="0.1126443956347867"/>
    <n v="0.54776838116324034"/>
    <n v="0.1126443956347867"/>
    <n v="0.1126443956347867"/>
    <n v="0.54776838116324034"/>
    <n v="0.35902912198149378"/>
    <n v="-0.44138836316052132"/>
    <n v="113.51935986718659"/>
    <n v="0.67690389066639689"/>
    <n v="113.51935986718659"/>
    <n v="113.51935986718659"/>
    <n v="0.67690389066639689"/>
    <n v="527.84624968006653"/>
    <n v="-0.50234347513494204"/>
    <s v="[[sv,wv],[yr],[ya]]"/>
    <x v="0"/>
    <x v="1"/>
    <x v="0"/>
    <x v="5"/>
    <x v="1"/>
    <x v="1"/>
    <x v="0"/>
    <x v="5"/>
  </r>
  <r>
    <d v="2026-03-28T04:17:06"/>
    <s v="03-28_04-17-06_multihead_spsa_serial_f5_w5_h5_effsu2_lin_r1.pkl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84058560233956"/>
    <n v="20.385058480619389"/>
    <n v="0.69294694596431927"/>
    <n v="-0.27839461699950729"/>
    <n v="27.3070620573409"/>
    <n v="0.64196208327981152"/>
    <n v="27.3070620573409"/>
    <n v="27.3070620573409"/>
    <n v="0.64196208327981152"/>
    <n v="123.732941373015"/>
    <n v="-0.28384169544978682"/>
    <n v="0.8"/>
    <s v="identity"/>
    <n v="7.3208038447450566E-2"/>
    <n v="0.46841498591331371"/>
    <n v="7.3208038447450566E-2"/>
    <n v="7.3208038447450566E-2"/>
    <n v="0.46841498591331371"/>
    <n v="0.12959534444459109"/>
    <n v="5.8970237925477398E-2"/>
    <n v="9.8641625262754357E-2"/>
    <n v="0.65822783654123107"/>
    <n v="9.8641625262754357E-2"/>
    <n v="9.8641625262754357E-2"/>
    <n v="0.65822783654123107"/>
    <n v="0.29186131367041879"/>
    <n v="-1.123711554174456E-2"/>
    <n v="6.1916952828799617E-2"/>
    <n v="0.7514230188424913"/>
    <n v="6.1916952828799617E-2"/>
    <n v="6.1916952828799617E-2"/>
    <n v="0.7514230188424913"/>
    <n v="0.44259927863180931"/>
    <n v="-0.77689610871180181"/>
    <n v="108.9944816128246"/>
    <n v="0.68978249182220863"/>
    <n v="108.9944816128246"/>
    <n v="108.9944816128246"/>
    <n v="0.68978249182220863"/>
    <n v="494.06770955531312"/>
    <n v="-0.4062037954710902"/>
    <s v="[[sv,wv],[yr],[ya]]"/>
    <x v="1"/>
    <x v="1"/>
    <x v="5"/>
    <x v="2"/>
    <x v="1"/>
    <x v="1"/>
    <x v="5"/>
    <x v="2"/>
  </r>
  <r>
    <d v="2026-03-28T04:44:10"/>
    <s v="03-28_04-44-1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070456367373302"/>
    <n v="17.667815221269429"/>
    <n v="0.71721566366611722"/>
    <n v="0.14707372736057731"/>
    <n v="24.901760810457471"/>
    <n v="0.65698349510545984"/>
    <n v="24.901760810457471"/>
    <n v="24.901760810457471"/>
    <n v="0.65698349510545984"/>
    <n v="117.0792237448797"/>
    <n v="0.21548463761741671"/>
    <n v="0.8"/>
    <s v="identity"/>
    <n v="7.5820950894555025E-2"/>
    <n v="0.44944186315988371"/>
    <n v="7.5820950894555025E-2"/>
    <n v="7.5820950894555025E-2"/>
    <n v="0.44944186315988371"/>
    <n v="0.13043631881076831"/>
    <n v="5.2863676682045502E-2"/>
    <n v="7.3832481204201661E-2"/>
    <n v="0.74418622191724126"/>
    <n v="7.3832481204201661E-2"/>
    <n v="7.3832481204201661E-2"/>
    <n v="0.74418622191724126"/>
    <n v="0.13293180380458969"/>
    <n v="0.53941969165905634"/>
    <n v="7.0446731555640102E-2"/>
    <n v="0.71717865523948587"/>
    <n v="7.0446731555640102E-2"/>
    <n v="7.0446731555640102E-2"/>
    <n v="0.71717865523948587"/>
    <n v="9.9251769286638453E-2"/>
    <n v="0.60153553983783081"/>
    <n v="99.386943078174667"/>
    <n v="0.71712724010523132"/>
    <n v="99.386943078174667"/>
    <n v="99.386943078174667"/>
    <n v="0.71712724010523132"/>
    <n v="467.95427508761651"/>
    <n v="-0.33188035770926749"/>
    <s v="[[sv,wv],[yr],[ya]]"/>
    <x v="0"/>
    <x v="1"/>
    <x v="0"/>
    <x v="5"/>
    <x v="1"/>
    <x v="1"/>
    <x v="0"/>
    <x v="5"/>
  </r>
  <r>
    <d v="2026-03-28T06:12:54"/>
    <s v="03-28_06-12-54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08178037404212"/>
    <n v="12.23716228704509"/>
    <n v="0.67102324723644258"/>
    <n v="-0.41624784066270781"/>
    <n v="16.880766401454441"/>
    <n v="0.63271650570332727"/>
    <n v="16.880766401454441"/>
    <n v="16.880766401454441"/>
    <n v="0.63271650570332727"/>
    <n v="117.83651569453519"/>
    <n v="-0.32131170663773168"/>
    <n v="0.8"/>
    <s v="identity"/>
    <n v="9.9172501597472776E-2"/>
    <n v="0.27987941246989678"/>
    <n v="9.9172501597472776E-2"/>
    <n v="9.9172501597472776E-2"/>
    <n v="0.27987941246989678"/>
    <n v="0.15162480777112849"/>
    <n v="-0.1009921490078298"/>
    <n v="8.3800200146518844E-2"/>
    <n v="0.70965020470756723"/>
    <n v="8.3800200146518844E-2"/>
    <n v="8.3800200146518844E-2"/>
    <n v="0.70965020470756723"/>
    <n v="0.41866014509365668"/>
    <n v="-0.45056798447387791"/>
    <n v="6.6553497697776562E-2"/>
    <n v="0.73280875774152276"/>
    <n v="6.6553497697776562E-2"/>
    <n v="6.6553497697776562E-2"/>
    <n v="0.73280875774152276"/>
    <n v="0.34741582469779381"/>
    <n v="-0.39476464787451809"/>
    <n v="67.273539406375818"/>
    <n v="0.8085276478943243"/>
    <n v="67.273539406375818"/>
    <n v="67.273539406375818"/>
    <n v="0.8085276478943243"/>
    <n v="470.42836200057849"/>
    <n v="-0.33892204519470132"/>
    <s v="[[sv,wv],[yr],[ya]]"/>
    <x v="0"/>
    <x v="1"/>
    <x v="0"/>
    <x v="5"/>
    <x v="0"/>
    <x v="0"/>
    <x v="0"/>
    <x v="5"/>
  </r>
  <r>
    <d v="2026-03-28T07:04:24"/>
    <s v="03-28_07-04-24_multihead_spsa_serial_f5_w5_h5_effsu2_lin_r1.pkl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78077031506199"/>
    <n v="15.75930481417314"/>
    <n v="0.73366341614781216"/>
    <n v="2.5443612075778669E-2"/>
    <n v="21.450423928543941"/>
    <n v="0.6777008808345002"/>
    <n v="21.450423928543941"/>
    <n v="21.450423928543941"/>
    <n v="0.6777008808345002"/>
    <n v="94.797870475658911"/>
    <n v="1.8814866462510901E-2"/>
    <n v="0.8"/>
    <s v="identity"/>
    <n v="7.7390329603018171E-2"/>
    <n v="0.43804614459484442"/>
    <n v="7.7390329603018171E-2"/>
    <n v="7.7390329603018171E-2"/>
    <n v="0.43804614459484442"/>
    <n v="0.1090582494136932"/>
    <n v="0.20809610146211571"/>
    <n v="8.8872091038470616E-2"/>
    <n v="0.69207718603160973"/>
    <n v="8.8872091038470616E-2"/>
    <n v="8.8872091038470616E-2"/>
    <n v="0.69207718603160973"/>
    <n v="0.15580715228282471"/>
    <n v="0.46016149494489839"/>
    <n v="4.3767043754172598E-2"/>
    <n v="0.82428916292630572"/>
    <n v="4.3767043754172598E-2"/>
    <n v="4.3767043754172598E-2"/>
    <n v="0.82428916292630572"/>
    <n v="0.37750935193990032"/>
    <n v="-0.51558064111158575"/>
    <n v="85.591666249779891"/>
    <n v="0.75639102978523931"/>
    <n v="85.591666249779891"/>
    <n v="85.591666249779891"/>
    <n v="0.75639102978523931"/>
    <n v="378.54910714899881"/>
    <n v="-7.741748944537985E-2"/>
    <s v="[[sv,wv],[yr],[ya]]"/>
    <x v="1"/>
    <x v="1"/>
    <x v="5"/>
    <x v="5"/>
    <x v="1"/>
    <x v="1"/>
    <x v="5"/>
    <x v="5"/>
  </r>
  <r>
    <d v="2026-03-28T07:12:53"/>
    <s v="03-28_07-12-53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2360445371330669"/>
    <n v="11.315709749400209"/>
    <n v="0.64794049272658893"/>
    <n v="-0.46074691090371872"/>
    <n v="14.26126947826333"/>
    <n v="0.58800138522605028"/>
    <n v="14.26126947826333"/>
    <n v="14.26126947826333"/>
    <n v="0.58800138522605028"/>
    <n v="92.188784353991423"/>
    <n v="-0.47531960745774482"/>
    <n v="0.8"/>
    <s v="identity"/>
    <n v="0.1144272836973507"/>
    <n v="0.16910997062405639"/>
    <n v="0.1144272836973507"/>
    <n v="0.1144272836973507"/>
    <n v="0.16910997062405639"/>
    <n v="0.15483678345219279"/>
    <n v="-0.12431524540373021"/>
    <n v="5.9974190331136761E-2"/>
    <n v="0.79220223991077976"/>
    <n v="5.9974190331136761E-2"/>
    <n v="5.9974190331136761E-2"/>
    <n v="0.79220223991077976"/>
    <n v="0.72656229617425683"/>
    <n v="-1.5173831756075919"/>
    <n v="0.1115306133186738"/>
    <n v="0.55223986487096566"/>
    <n v="0.1115306133186738"/>
    <n v="0.1115306133186738"/>
    <n v="0.55223986487096566"/>
    <n v="0.30224217562941919"/>
    <n v="-0.21340673537624319"/>
    <n v="56.759145825706099"/>
    <n v="0.83845346549839772"/>
    <n v="56.759145825706099"/>
    <n v="56.759145825706099"/>
    <n v="0.83845346549839772"/>
    <n v="367.57149616071018"/>
    <n v="-4.6173273443426373E-2"/>
    <s v="[[sv,wv],[yr],[ya]]"/>
    <x v="0"/>
    <x v="0"/>
    <x v="0"/>
    <x v="4"/>
    <x v="0"/>
    <x v="0"/>
    <x v="0"/>
    <x v="4"/>
  </r>
  <r>
    <d v="2026-03-28T07:18:10"/>
    <s v="03-28_07-18-10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116841724842023"/>
    <n v="15.986039122037729"/>
    <n v="0.76147147877183352"/>
    <n v="-0.33850202550546638"/>
    <n v="20.648097760100509"/>
    <n v="0.70912444325896629"/>
    <n v="20.648097760100509"/>
    <n v="20.648097760100509"/>
    <n v="0.70912444325896629"/>
    <n v="147.92629924362231"/>
    <n v="-0.25706399206377811"/>
    <n v="0.8"/>
    <s v="identity"/>
    <n v="4.7770784273133811E-2"/>
    <n v="0.65312234053376372"/>
    <n v="4.7770784273133811E-2"/>
    <n v="4.7770784273133811E-2"/>
    <n v="0.65312234053376372"/>
    <n v="0.14748311903252331"/>
    <n v="-7.0918133733749E-2"/>
    <n v="4.4856246187978337E-2"/>
    <n v="0.84458268744591403"/>
    <n v="4.4856246187978337E-2"/>
    <n v="4.4856246187978337E-2"/>
    <n v="0.84458268744591403"/>
    <n v="0.34125178952541979"/>
    <n v="-0.18236456546217439"/>
    <n v="0.10628505796268541"/>
    <n v="0.57329911044610782"/>
    <n v="0.10628505796268541"/>
    <n v="0.10628505796268541"/>
    <n v="0.57329911044610782"/>
    <n v="0.27226102569121841"/>
    <n v="-9.304190146920166E-2"/>
    <n v="82.39347895197794"/>
    <n v="0.76549363461008069"/>
    <n v="82.39347895197794"/>
    <n v="82.39347895197794"/>
    <n v="0.76549363461008069"/>
    <n v="590.94420104024084"/>
    <n v="-0.68193136758998163"/>
    <s v="[[sv,wv],[yr],[ya]]"/>
    <x v="0"/>
    <x v="0"/>
    <x v="0"/>
    <x v="4"/>
    <x v="0"/>
    <x v="0"/>
    <x v="0"/>
    <x v="4"/>
  </r>
  <r>
    <d v="2026-03-28T07:20:07"/>
    <s v="03-28_07-20-07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9.9128669631026942E-2"/>
    <n v="16.470820073895361"/>
    <n v="0.77945976348726498"/>
    <n v="-0.33087913783840422"/>
    <n v="21.695837652422721"/>
    <n v="0.72015927614922315"/>
    <n v="21.695837652422721"/>
    <n v="21.695837652422721"/>
    <n v="0.72015927614922315"/>
    <n v="137.23892947312569"/>
    <n v="-0.37902513495501738"/>
    <n v="0.8"/>
    <s v="identity"/>
    <n v="6.6656135272256126E-2"/>
    <n v="0.51599027430436095"/>
    <n v="6.6656135272256126E-2"/>
    <n v="6.6656135272256126E-2"/>
    <n v="0.51599027430436095"/>
    <n v="0.178587640987622"/>
    <n v="-0.2967771799849277"/>
    <n v="6.7581876897509524E-2"/>
    <n v="0.76584323082329275"/>
    <n v="6.7581876897509524E-2"/>
    <n v="6.7581876897509524E-2"/>
    <n v="0.76584323082329275"/>
    <n v="0.35690917344112039"/>
    <n v="-0.23661405659453599"/>
    <n v="3.8530411753593299E-2"/>
    <n v="0.84531258405195486"/>
    <n v="3.8530411753593299E-2"/>
    <n v="3.8530411753593299E-2"/>
    <n v="0.84531258405195486"/>
    <n v="0.35440335532115702"/>
    <n v="-0.42281737315807488"/>
    <n v="86.610582185767655"/>
    <n v="0.75349101541728647"/>
    <n v="86.610582185767655"/>
    <n v="86.610582185767655"/>
    <n v="0.75349101541728647"/>
    <n v="548.06581772275194"/>
    <n v="-0.5598919300825469"/>
    <s v="[[sv,wv],[yr],[ya]]"/>
    <x v="0"/>
    <x v="1"/>
    <x v="4"/>
    <x v="5"/>
    <x v="0"/>
    <x v="0"/>
    <x v="4"/>
    <x v="5"/>
  </r>
  <r>
    <d v="2026-03-28T07:25:35"/>
    <s v="03-28_07-25-3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69091125878914"/>
    <n v="9.8170491634157919"/>
    <n v="0.72560447209056056"/>
    <n v="0.2420790669120389"/>
    <n v="14.660604669058319"/>
    <n v="0.68141904505610973"/>
    <n v="14.660604669058319"/>
    <n v="14.660604669058319"/>
    <n v="0.68141904505610973"/>
    <n v="111.7370152295789"/>
    <n v="0.162155503431578"/>
    <n v="0.8"/>
    <s v="identity"/>
    <n v="8.1165449665955236E-2"/>
    <n v="0.4106338918642124"/>
    <n v="8.1165449665955236E-2"/>
    <n v="8.1165449665955236E-2"/>
    <n v="0.4106338918642124"/>
    <n v="0.13136489730558371"/>
    <n v="4.6120996196194919E-2"/>
    <n v="0.1086708663991325"/>
    <n v="0.62347865806916969"/>
    <n v="0.1086708663991325"/>
    <n v="0.1086708663991325"/>
    <n v="0.62347865806916969"/>
    <n v="8.653283408370202E-2"/>
    <n v="0.70018221175667872"/>
    <n v="3.5412704412713297E-2"/>
    <n v="0.85782919288881743"/>
    <n v="3.5412704412713297E-2"/>
    <n v="3.5412704412713297E-2"/>
    <n v="0.85782919288881743"/>
    <n v="0.20594263747538619"/>
    <n v="0.17320545058484579"/>
    <n v="58.417169655755487"/>
    <n v="0.83373443740223763"/>
    <n v="58.417169655755487"/>
    <n v="58.417169655755487"/>
    <n v="0.83373443740223763"/>
    <n v="446.52422054945089"/>
    <n v="-0.27088664481140579"/>
    <s v="[[sv,wv],[yr],[ya]]"/>
    <x v="0"/>
    <x v="0"/>
    <x v="4"/>
    <x v="4"/>
    <x v="1"/>
    <x v="1"/>
    <x v="4"/>
    <x v="4"/>
  </r>
  <r>
    <d v="2026-03-28T07:49:06"/>
    <s v="03-28_07-49-06_multihead_spsa_serial_f5_w5_h5_effsu2_lin_r1.pkl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48137113893379"/>
    <n v="16.563704775718438"/>
    <n v="0.71188102091876138"/>
    <n v="-0.11814302590188119"/>
    <n v="23.20807551480025"/>
    <n v="0.66306182449163753"/>
    <n v="23.20807551480025"/>
    <n v="23.20807551480025"/>
    <n v="0.66306182449163753"/>
    <n v="89.501844721300159"/>
    <n v="-4.8706345595219643E-2"/>
    <n v="0.8"/>
    <s v="identity"/>
    <n v="6.9852839119273841E-2"/>
    <n v="0.49277807116948708"/>
    <n v="6.9852839119273841E-2"/>
    <n v="6.9852839119273841E-2"/>
    <n v="0.49277807116948708"/>
    <n v="0.16870488322536811"/>
    <n v="-0.22501558063495941"/>
    <n v="0.10084969732651031"/>
    <n v="0.65057733844478838"/>
    <n v="0.10084969732651031"/>
    <n v="0.10084969732651031"/>
    <n v="0.65057733844478838"/>
    <n v="0.19916968305011659"/>
    <n v="0.30991958729274771"/>
    <n v="5.6676488969549778E-2"/>
    <n v="0.77246182366867844"/>
    <n v="5.6676488969549778E-2"/>
    <n v="5.6676488969549778E-2"/>
    <n v="0.77246182366867844"/>
    <n v="0.31452527883378839"/>
    <n v="-0.26271950957284468"/>
    <n v="92.604923033785553"/>
    <n v="0.73643006468359662"/>
    <n v="92.604923033785553"/>
    <n v="92.604923033785553"/>
    <n v="0.73643006468359662"/>
    <n v="357.32497904009222"/>
    <n v="-1.700987946582555E-2"/>
    <s v="[[sv,wv],[yr],[ya]]"/>
    <x v="1"/>
    <x v="1"/>
    <x v="5"/>
    <x v="5"/>
    <x v="1"/>
    <x v="1"/>
    <x v="5"/>
    <x v="5"/>
  </r>
  <r>
    <d v="2026-03-28T08:15:58"/>
    <s v="03-28_08-15-58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432492009260067E-2"/>
    <n v="13.291049120379499"/>
    <n v="0.7426140449260219"/>
    <n v="-0.3445138578445589"/>
    <n v="16.420140699388231"/>
    <n v="0.69774268473189993"/>
    <n v="16.420140699388231"/>
    <n v="16.420140699388231"/>
    <n v="0.69774268473189993"/>
    <n v="76.657958723871843"/>
    <n v="-0.34228035868860301"/>
    <n v="0.8"/>
    <s v="identity"/>
    <n v="7.7258807031831092E-2"/>
    <n v="0.43900116851489362"/>
    <n v="7.7258807031831092E-2"/>
    <n v="7.7258807031831092E-2"/>
    <n v="0.43900116851489362"/>
    <n v="0.13895371208916579"/>
    <n v="-8.9836111554622011E-3"/>
    <n v="6.9702867946763863E-2"/>
    <n v="0.75849444984315972"/>
    <n v="6.9702867946763863E-2"/>
    <n v="6.9702867946763863E-2"/>
    <n v="0.75849444984315972"/>
    <n v="0.1337197819649433"/>
    <n v="0.53668951563139089"/>
    <n v="5.4838885473259338E-2"/>
    <n v="0.77983922046879828"/>
    <n v="5.4838885473259338E-2"/>
    <n v="5.4838885473259338E-2"/>
    <n v="0.77983922046879828"/>
    <n v="0.75398745451463345"/>
    <n v="-2.0270211422081639"/>
    <n v="65.478762237101023"/>
    <n v="0.81363590010074893"/>
    <n v="65.478762237101023"/>
    <n v="65.478762237101023"/>
    <n v="0.81363590010074893"/>
    <n v="305.60517394691789"/>
    <n v="0.13019380297783459"/>
    <s v="[[sv,wv],[yr],[ya]]"/>
    <x v="0"/>
    <x v="0"/>
    <x v="4"/>
    <x v="4"/>
    <x v="1"/>
    <x v="1"/>
    <x v="4"/>
    <x v="4"/>
  </r>
  <r>
    <d v="2026-03-28T09:47:48"/>
    <s v="03-28_09-47-48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22918585223332"/>
    <n v="7.0131840809672887"/>
    <n v="0.73561396392301026"/>
    <n v="5.604823025223088E-2"/>
    <n v="9.6354394353899711"/>
    <n v="0.70601741752936675"/>
    <n v="9.6354394353899711"/>
    <n v="9.6354394353899711"/>
    <n v="0.70601741752936675"/>
    <n v="140.79074483203161"/>
    <n v="-3.9320465052498449E-2"/>
    <n v="0.8"/>
    <s v="identity"/>
    <n v="8.6818577457889082E-2"/>
    <n v="0.36958487483494051"/>
    <n v="8.6818577457889082E-2"/>
    <n v="8.6818577457889082E-2"/>
    <n v="0.36958487483494051"/>
    <n v="0.14360988963253529"/>
    <n v="-4.2793480364822889E-2"/>
    <n v="8.8539168568238694E-2"/>
    <n v="0.69323069128471271"/>
    <n v="8.8539168568238694E-2"/>
    <n v="8.8539168568238694E-2"/>
    <n v="0.69323069128471271"/>
    <n v="0.20888674767106871"/>
    <n v="0.27625203377134971"/>
    <n v="3.2291526687050542E-2"/>
    <n v="0.87035973422289348"/>
    <n v="3.2291526687050542E-2"/>
    <n v="3.2291526687050542E-2"/>
    <n v="0.87035973422289348"/>
    <n v="0.1966387131983485"/>
    <n v="0.21055776370818091"/>
    <n v="38.334108468846672"/>
    <n v="0.8908943697749232"/>
    <n v="38.334108468846672"/>
    <n v="38.334108468846672"/>
    <n v="0.8908943697749232"/>
    <n v="562.61384397762436"/>
    <n v="-0.60129817732470614"/>
    <s v="[[sv,wv],[yr],[ya]]"/>
    <x v="0"/>
    <x v="0"/>
    <x v="4"/>
    <x v="4"/>
    <x v="0"/>
    <x v="0"/>
    <x v="4"/>
    <x v="4"/>
  </r>
  <r>
    <d v="2026-03-28T10:43:34"/>
    <s v="03-28_10-43-34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3154676378285629"/>
    <n v="13.380525491075391"/>
    <n v="0.62806346880452324"/>
    <n v="-0.20716200758072481"/>
    <n v="17.53608003192965"/>
    <n v="0.55948167971629403"/>
    <n v="17.53608003192965"/>
    <n v="17.53608003192965"/>
    <n v="0.55948167971629403"/>
    <n v="99.233440657914173"/>
    <n v="-0.18832404006712719"/>
    <n v="0.8"/>
    <s v="identity"/>
    <n v="0.11468058990481669"/>
    <n v="0.16727064004342959"/>
    <n v="0.11468058990481669"/>
    <n v="0.11468058990481669"/>
    <n v="0.16727064004342959"/>
    <n v="0.14908980119103959"/>
    <n v="-8.258472357798885E-2"/>
    <n v="6.4567146194137962E-2"/>
    <n v="0.77628862881822946"/>
    <n v="6.4567146194137962E-2"/>
    <n v="6.4567146194137962E-2"/>
    <n v="0.77628862881822946"/>
    <n v="0.37693827355529103"/>
    <n v="-0.30601061063465962"/>
    <n v="0.12625127956905191"/>
    <n v="0.49314104605047282"/>
    <n v="0.12625127956905191"/>
    <n v="0.12625127956905191"/>
    <n v="0.49314104605047282"/>
    <n v="0.30820154808653821"/>
    <n v="-0.2373317308307161"/>
    <n v="69.838821112050383"/>
    <n v="0.80122640395304567"/>
    <n v="69.838821112050383"/>
    <n v="69.838821112050383"/>
    <n v="0.80122640395304567"/>
    <n v="396.09953300882393"/>
    <n v="-0.12736909522514811"/>
    <s v="[[sv,wv],[yr],[ya]]"/>
    <x v="0"/>
    <x v="1"/>
    <x v="0"/>
    <x v="5"/>
    <x v="0"/>
    <x v="0"/>
    <x v="0"/>
    <x v="5"/>
  </r>
  <r>
    <d v="2026-03-28T10:49:50"/>
    <s v="03-28_10-49-50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0369577196338781"/>
    <n v="11.87070908831295"/>
    <n v="0.77348899261926896"/>
    <n v="-7.5429281362891704E-2"/>
    <n v="15.979169252480689"/>
    <n v="0.71348669285027189"/>
    <n v="15.979169252480689"/>
    <n v="15.979169252480689"/>
    <n v="0.71348669285027189"/>
    <n v="139.25345539928679"/>
    <n v="-7.7957908474759807E-2"/>
    <n v="0.8"/>
    <s v="identity"/>
    <n v="6.7432488981899047E-2"/>
    <n v="0.51035294257919772"/>
    <n v="6.7432488981899047E-2"/>
    <n v="6.7432488981899047E-2"/>
    <n v="0.51035294257919772"/>
    <n v="0.1814004009619215"/>
    <n v="-0.31720145418036011"/>
    <n v="7.0288382288545184E-2"/>
    <n v="0.75646576770421792"/>
    <n v="7.0288382288545184E-2"/>
    <n v="7.0288382288545184E-2"/>
    <n v="0.75646576770421792"/>
    <n v="0.23075225907154079"/>
    <n v="0.20049270684860651"/>
    <n v="5.7665791678364997E-2"/>
    <n v="0.76849008621111659"/>
    <n v="5.7665791678364997E-2"/>
    <n v="5.7665791678364997E-2"/>
    <n v="0.76849008621111659"/>
    <n v="0.15228344017168349"/>
    <n v="0.38863015525289257"/>
    <n v="63.721290346974271"/>
    <n v="0.8186379749065571"/>
    <n v="63.721290346974271"/>
    <n v="63.721290346974271"/>
    <n v="0.8186379749065571"/>
    <n v="556.44938549694223"/>
    <n v="-0.58375304182017951"/>
    <s v="[[sv,wv],[yr],[ya]]"/>
    <x v="1"/>
    <x v="0"/>
    <x v="2"/>
    <x v="4"/>
    <x v="0"/>
    <x v="0"/>
    <x v="2"/>
    <x v="4"/>
  </r>
  <r>
    <d v="2026-03-28T10:49:49"/>
    <s v="03-28_10-49-49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2055700396654261"/>
    <n v="21.642083501428139"/>
    <n v="0.72409856215509161"/>
    <n v="-0.20835247777630109"/>
    <n v="27.188499383310589"/>
    <n v="0.67432762648113953"/>
    <n v="27.188499383310589"/>
    <n v="27.188499383310589"/>
    <n v="0.67432762648113953"/>
    <n v="100.99359422388579"/>
    <n v="-0.1401345392516638"/>
    <n v="0.8"/>
    <s v="identity"/>
    <n v="4.568606625570408E-2"/>
    <n v="0.6682600887942588"/>
    <n v="4.568606625570408E-2"/>
    <n v="4.568606625570408E-2"/>
    <n v="0.6682600887942588"/>
    <n v="0.16957167306777499"/>
    <n v="-0.23130959561415859"/>
    <n v="4.2905542018598107E-2"/>
    <n v="0.8513414607574975"/>
    <n v="4.2905542018598107E-2"/>
    <n v="4.2905542018598107E-2"/>
    <n v="0.8513414607574975"/>
    <n v="0.34653367242910721"/>
    <n v="-0.20066516160827949"/>
    <n v="0.12787410758206211"/>
    <n v="0.486625904881829"/>
    <n v="0.12787410758206211"/>
    <n v="0.12787410758206211"/>
    <n v="0.486625904881829"/>
    <n v="0.24433941607669649"/>
    <n v="1.9054529474796241E-2"/>
    <n v="108.537531817386"/>
    <n v="0.69108305149097116"/>
    <n v="108.537531817386"/>
    <n v="108.537531817386"/>
    <n v="0.69108305149097116"/>
    <n v="403.21393213396902"/>
    <n v="-0.14761792925900899"/>
    <s v="[[sv,wv],[yr],[ya]]"/>
    <x v="0"/>
    <x v="1"/>
    <x v="0"/>
    <x v="5"/>
    <x v="0"/>
    <x v="0"/>
    <x v="0"/>
    <x v="5"/>
  </r>
  <r>
    <d v="2026-03-28T10:52:55"/>
    <s v="03-28_10-52-55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317118115432733"/>
    <n v="22.60644411210107"/>
    <n v="0.68873380980065768"/>
    <n v="0.1792972959803685"/>
    <n v="22.275518486152219"/>
    <n v="0.66214926550181397"/>
    <n v="22.275518486152219"/>
    <n v="22.275518486152219"/>
    <n v="0.66214926550181397"/>
    <n v="85.834573691200887"/>
    <n v="0.16632921168732151"/>
    <n v="0.8"/>
    <s v="identity"/>
    <n v="7.292232997478694E-2"/>
    <n v="0.47048959883406011"/>
    <n v="7.292232997478694E-2"/>
    <n v="7.292232997478694E-2"/>
    <n v="0.47048959883406011"/>
    <n v="0.14170815313042179"/>
    <n v="-2.8984414493035789E-2"/>
    <n v="0.11503749019139969"/>
    <n v="0.60141966642527578"/>
    <n v="0.11503749019139969"/>
    <n v="0.11503749019139969"/>
    <n v="0.60141966642527578"/>
    <n v="0.1003408042970538"/>
    <n v="0.65234054410145836"/>
    <n v="4.2436155447561748E-2"/>
    <n v="0.82963225851484179"/>
    <n v="4.2436155447561748E-2"/>
    <n v="4.2436155447561748E-2"/>
    <n v="0.82963225851484179"/>
    <n v="0.2446576864272835"/>
    <n v="1.77767746867078E-2"/>
    <n v="88.871677968994931"/>
    <n v="0.74705553823307702"/>
    <n v="88.871677968994931"/>
    <n v="88.871677968994931"/>
    <n v="0.74705553823307702"/>
    <n v="342.85158812094733"/>
    <n v="2.4183942454163439E-2"/>
    <s v="[[sv,wv],[yr],[ya]]"/>
    <x v="0"/>
    <x v="1"/>
    <x v="4"/>
    <x v="2"/>
    <x v="1"/>
    <x v="1"/>
    <x v="4"/>
    <x v="2"/>
  </r>
  <r>
    <d v="2026-03-28T11:39:25"/>
    <s v="03-28_11-39-2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5537832803666844E-2"/>
    <n v="13.14127750883422"/>
    <n v="0.76215255698251982"/>
    <n v="0.2073994901070029"/>
    <n v="14.22128848832735"/>
    <n v="0.73477410012442013"/>
    <n v="14.22128848832735"/>
    <n v="14.22128848832735"/>
    <n v="0.73477410012442013"/>
    <n v="71.097031921638305"/>
    <n v="0.2022825088146861"/>
    <n v="0.8"/>
    <s v="identity"/>
    <n v="7.343330339984154E-2"/>
    <n v="0.46677927110071232"/>
    <n v="7.343330339984154E-2"/>
    <n v="7.343330339984154E-2"/>
    <n v="0.46677927110071232"/>
    <n v="0.10142048684024529"/>
    <n v="0.26355613305566039"/>
    <n v="6.9804543826010382E-2"/>
    <n v="0.75814216463770934"/>
    <n v="6.9804543826010382E-2"/>
    <n v="6.9804543826010382E-2"/>
    <n v="0.75814216463770934"/>
    <n v="0.1304197240987772"/>
    <n v="0.54812351130466164"/>
    <n v="3.099017317684526E-2"/>
    <n v="0.87558425694577346"/>
    <n v="3.099017317684526E-2"/>
    <n v="3.099017317684526E-2"/>
    <n v="0.87558425694577346"/>
    <n v="0.29756706683336298"/>
    <n v="-0.194637652305895"/>
    <n v="56.710925932906903"/>
    <n v="0.83859070781348943"/>
    <n v="56.710925932906903"/>
    <n v="56.710925932906903"/>
    <n v="0.83859070781348943"/>
    <n v="283.85872040878132"/>
    <n v="0.1920880432043148"/>
    <s v="[[sv,wv],[yr],[ya]]"/>
    <x v="0"/>
    <x v="1"/>
    <x v="4"/>
    <x v="2"/>
    <x v="1"/>
    <x v="1"/>
    <x v="4"/>
    <x v="2"/>
  </r>
  <r>
    <d v="2026-03-28T11:50:48"/>
    <s v="03-28_11-50-48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014308244124552"/>
    <n v="14.79479834451269"/>
    <n v="0.79523477696839695"/>
    <n v="-0.16751639152342521"/>
    <n v="16.922754858071499"/>
    <n v="0.70953842736620976"/>
    <n v="16.922754858071499"/>
    <n v="16.922754858071499"/>
    <n v="0.70953842736620976"/>
    <n v="115.9985593803866"/>
    <n v="-0.10842870904991191"/>
    <n v="0.8"/>
    <s v="identity"/>
    <n v="6.318985054853031E-2"/>
    <n v="0.5411599831610312"/>
    <n v="6.318985054853031E-2"/>
    <n v="6.318985054853031E-2"/>
    <n v="0.5411599831610312"/>
    <n v="0.27098641308861099"/>
    <n v="-0.96771173321918802"/>
    <n v="4.2811434806186079E-2"/>
    <n v="0.85166752214889752"/>
    <n v="4.2811434806186079E-2"/>
    <n v="4.2811434806186079E-2"/>
    <n v="0.85166752214889752"/>
    <n v="0.17480298646005751"/>
    <n v="0.39434498668924761"/>
    <n v="9.0311464102481642E-2"/>
    <n v="0.63742803731666076"/>
    <n v="9.0311464102481642E-2"/>
    <n v="9.0311464102481642E-2"/>
    <n v="0.63742803731666076"/>
    <n v="0.1348527923227878"/>
    <n v="0.4586086930190918"/>
    <n v="67.494706682828905"/>
    <n v="0.80789816683825155"/>
    <n v="67.494706682828905"/>
    <n v="67.494706682828905"/>
    <n v="0.80789816683825155"/>
    <n v="463.41359532967567"/>
    <n v="-0.31895678268878708"/>
    <s v="[[sv,wv],[yr],[ya]]"/>
    <x v="1"/>
    <x v="1"/>
    <x v="3"/>
    <x v="3"/>
    <x v="0"/>
    <x v="0"/>
    <x v="3"/>
    <x v="3"/>
  </r>
  <r>
    <d v="2026-03-28T13:04:18"/>
    <s v="03-28_13-04-1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44518604466918"/>
    <n v="16.234747352008501"/>
    <n v="0.67792826738050416"/>
    <n v="0.33813823453553021"/>
    <n v="20.743920096867662"/>
    <n v="0.62408344637287605"/>
    <n v="20.743920096867662"/>
    <n v="20.743920096867662"/>
    <n v="0.62408344637287605"/>
    <n v="92.090945792359378"/>
    <n v="0.14119775313761521"/>
    <n v="0.8"/>
    <s v="identity"/>
    <n v="0.10942537516114539"/>
    <n v="0.20543029385724321"/>
    <n v="0.10942537516114539"/>
    <n v="0.10942537516114539"/>
    <n v="0.20543029385724321"/>
    <n v="0.14146167397918699"/>
    <n v="-2.7194657167748382E-2"/>
    <n v="9.6106945747653438E-2"/>
    <n v="0.66700995969910815"/>
    <n v="9.6106945747653438E-2"/>
    <n v="9.6106945747653438E-2"/>
    <n v="0.66700995969910815"/>
    <n v="0.2017637327175453"/>
    <n v="0.30093175923745141"/>
    <n v="3.5028346789112423E-2"/>
    <n v="0.85937226717452642"/>
    <n v="3.5028346789112423E-2"/>
    <n v="3.5028346789112423E-2"/>
    <n v="0.85937226717452642"/>
    <n v="0.16488571733001531"/>
    <n v="0.33803599858646122"/>
    <n v="82.735119719772442"/>
    <n v="0.76452126476062687"/>
    <n v="82.735119719772442"/>
    <n v="82.735119719772442"/>
    <n v="0.76452126476062687"/>
    <n v="367.85567204540922"/>
    <n v="-4.6982088105701703E-2"/>
    <s v="[[sv,wv],[yr],[ya]]"/>
    <x v="0"/>
    <x v="1"/>
    <x v="4"/>
    <x v="2"/>
    <x v="0"/>
    <x v="0"/>
    <x v="4"/>
    <x v="2"/>
  </r>
  <r>
    <d v="2026-03-28T13:54:50"/>
    <s v="03-28_13-54-50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8.6622156561208516E-2"/>
    <n v="10.96517776170697"/>
    <n v="0.79142471004080694"/>
    <n v="-5.7731907336949717E-2"/>
    <n v="14.387250035664829"/>
    <n v="0.728559059035226"/>
    <n v="14.387250035664829"/>
    <n v="14.387250035664829"/>
    <n v="0.728559059035226"/>
    <n v="130.53463705837331"/>
    <n v="-5.6974551369458483E-2"/>
    <n v="0.8"/>
    <s v="identity"/>
    <n v="8.2508206420257468E-2"/>
    <n v="0.40088374169917129"/>
    <n v="8.2508206420257468E-2"/>
    <n v="8.2508206420257468E-2"/>
    <n v="0.40088374169917129"/>
    <n v="0.1896337466490656"/>
    <n v="-0.37698618924360972"/>
    <n v="6.0448946725088631E-2"/>
    <n v="0.79055731040516186"/>
    <n v="6.0448946725088631E-2"/>
    <n v="6.0448946725088631E-2"/>
    <n v="0.79055731040516186"/>
    <n v="0.167209418820427"/>
    <n v="0.42065507671112129"/>
    <n v="2.8370315966167431E-2"/>
    <n v="0.88610215498081879"/>
    <n v="2.8370315966167431E-2"/>
    <n v="2.8370315966167431E-2"/>
    <n v="0.88610215498081879"/>
    <n v="0.1960409354953361"/>
    <n v="0.21295765210754949"/>
    <n v="57.377672673547707"/>
    <n v="0.83669302905575205"/>
    <n v="57.377672673547707"/>
    <n v="57.377672673547707"/>
    <n v="0.83669302905575205"/>
    <n v="521.58566413252743"/>
    <n v="-0.48452474505289578"/>
    <s v="[[sv,wv],[yr],[ya]]"/>
    <x v="0"/>
    <x v="0"/>
    <x v="4"/>
    <x v="4"/>
    <x v="0"/>
    <x v="0"/>
    <x v="4"/>
    <x v="4"/>
  </r>
  <r>
    <d v="2026-03-28T14:01:58"/>
    <s v="03-28_14-01-58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0348138804046859"/>
    <n v="17.80540414504609"/>
    <n v="0.75478464828739844"/>
    <n v="0.30414449575607888"/>
    <n v="18.693473336061281"/>
    <n v="0.69835387335236354"/>
    <n v="18.693473336061281"/>
    <n v="18.693473336061281"/>
    <n v="0.69835387335236354"/>
    <n v="80.116168303209264"/>
    <n v="0.25687810352168039"/>
    <n v="0.8"/>
    <s v="identity"/>
    <n v="7.0812220561252512E-2"/>
    <n v="0.48581172146029761"/>
    <n v="7.0812220561252512E-2"/>
    <n v="7.0812220561252512E-2"/>
    <n v="0.48581172146029761"/>
    <n v="0.1415198851007804"/>
    <n v="-2.7617345175083189E-2"/>
    <n v="6.8538352404316036E-2"/>
    <n v="0.76252924747817019"/>
    <n v="6.8538352404316036E-2"/>
    <n v="6.8538352404316036E-2"/>
    <n v="0.76252924747817019"/>
    <n v="0.15304400407470761"/>
    <n v="0.46973521332727342"/>
    <n v="6.0446717728008477E-2"/>
    <n v="0.75732554773400473"/>
    <n v="6.0446717728008477E-2"/>
    <n v="6.0446717728008477E-2"/>
    <n v="0.75732554773400473"/>
    <n v="0.12546492242581661"/>
    <n v="0.49629802125430039"/>
    <n v="74.574096053551045"/>
    <n v="0.7877489767369853"/>
    <n v="74.574096053551045"/>
    <n v="74.574096053551045"/>
    <n v="0.7877489767369853"/>
    <n v="320.04464440123598"/>
    <n v="8.9096524680229883E-2"/>
    <s v="[[sv,wv],[yr],[ya]]"/>
    <x v="1"/>
    <x v="1"/>
    <x v="2"/>
    <x v="2"/>
    <x v="0"/>
    <x v="0"/>
    <x v="2"/>
    <x v="2"/>
  </r>
  <r>
    <d v="2026-03-28T14:04:01"/>
    <s v="03-28_14-04-01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3036984930538101"/>
    <n v="28.092371377912372"/>
    <n v="0.67283977765906611"/>
    <n v="0.14830836986640611"/>
    <n v="31.8912631239238"/>
    <n v="0.63475186938269901"/>
    <n v="31.8912631239238"/>
    <n v="31.8912631239238"/>
    <n v="0.63475186938269901"/>
    <n v="104.0558270939332"/>
    <n v="0.12539705376369301"/>
    <n v="0.8"/>
    <s v="identity"/>
    <n v="7.9259176835877965E-2"/>
    <n v="0.42447589734230051"/>
    <n v="7.9259176835877965E-2"/>
    <n v="7.9259176835877965E-2"/>
    <n v="0.42447589734230051"/>
    <n v="0.1361724640027786"/>
    <n v="1.121184599016278E-2"/>
    <n v="0.11050489445015339"/>
    <n v="0.61712414258778137"/>
    <n v="0.11050489445015339"/>
    <n v="0.11050489445015339"/>
    <n v="0.61712414258778137"/>
    <n v="8.9599281224024704E-2"/>
    <n v="0.68955762735340698"/>
    <n v="3.4911692488081139E-2"/>
    <n v="0.85984059729518947"/>
    <n v="3.4911692488081139E-2"/>
    <n v="3.4911692488081139E-2"/>
    <n v="0.85984059729518947"/>
    <n v="0.25304587526866451"/>
    <n v="-1.589915031132794E-2"/>
    <n v="127.3403767319209"/>
    <n v="0.63756684030552235"/>
    <n v="127.3403767319209"/>
    <n v="127.3403767319209"/>
    <n v="0.63756684030552235"/>
    <n v="415.74449075523688"/>
    <n v="-0.18328210797746691"/>
    <s v="[[sv,wv],[yr],[ya]]"/>
    <x v="0"/>
    <x v="1"/>
    <x v="4"/>
    <x v="5"/>
    <x v="1"/>
    <x v="1"/>
    <x v="4"/>
    <x v="5"/>
  </r>
  <r>
    <d v="2026-03-28T14:03:44"/>
    <s v="03-28_14-03-44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75228018981069"/>
    <n v="21.779528412933871"/>
    <n v="0.77365101316159102"/>
    <n v="-0.25963392184602169"/>
    <n v="26.92962902137085"/>
    <n v="0.72128344719393511"/>
    <n v="26.92962902137085"/>
    <n v="26.92962902137085"/>
    <n v="0.72128344719393511"/>
    <n v="158.48691596046231"/>
    <n v="-0.19696838665854849"/>
    <n v="0.8"/>
    <s v="identity"/>
    <n v="4.9168523116149929E-2"/>
    <n v="0.64297294931509885"/>
    <n v="4.9168523116149929E-2"/>
    <n v="4.9168523116149929E-2"/>
    <n v="0.64297294931509885"/>
    <n v="0.12891194491836541"/>
    <n v="6.39326020931269E-2"/>
    <n v="4.7926409226961182E-2"/>
    <n v="0.833945228247434"/>
    <n v="4.7926409226961182E-2"/>
    <n v="4.7926409226961182E-2"/>
    <n v="0.833945228247434"/>
    <n v="0.26310329324123022"/>
    <n v="8.8403283049563131E-2"/>
    <n v="7.1158129203266848E-2"/>
    <n v="0.71432261870069547"/>
    <n v="7.1158129203266848E-2"/>
    <n v="7.1158129203266848E-2"/>
    <n v="0.71432261870069547"/>
    <n v="0.28341087262583531"/>
    <n v="-0.1378050101938644"/>
    <n v="107.55026302393691"/>
    <n v="0.69389299251251246"/>
    <n v="107.55026302393691"/>
    <n v="107.55026302393691"/>
    <n v="0.69389299251251246"/>
    <n v="633.27223773106448"/>
    <n v="-0.80240442158302372"/>
    <s v="[[sv,wv],[yr],[ya]]"/>
    <x v="0"/>
    <x v="0"/>
    <x v="4"/>
    <x v="4"/>
    <x v="0"/>
    <x v="0"/>
    <x v="4"/>
    <x v="4"/>
  </r>
  <r>
    <d v="2026-03-28T14:55:42"/>
    <s v="03-28_14-55-42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9.6168180748314278E-2"/>
    <n v="14.30930080705814"/>
    <n v="0.73182413504970723"/>
    <n v="-0.51860421005415958"/>
    <n v="19.189153613343461"/>
    <n v="0.68004283522467313"/>
    <n v="19.189153613343461"/>
    <n v="19.189153613343461"/>
    <n v="0.68004283522467313"/>
    <n v="117.9349899383451"/>
    <n v="-0.53673633553444222"/>
    <n v="0.8"/>
    <s v="identity"/>
    <n v="7.6457261315779901E-2"/>
    <n v="0.44482142677880071"/>
    <n v="7.6457261315779901E-2"/>
    <n v="7.6457261315779901E-2"/>
    <n v="0.44482142677880071"/>
    <n v="0.1450963244243163"/>
    <n v="-5.3586918851705079E-2"/>
    <n v="7.1206268662861047E-2"/>
    <n v="0.75328548746123092"/>
    <n v="7.1206268662861047E-2"/>
    <n v="7.1206268662861047E-2"/>
    <n v="0.75328548746123092"/>
    <n v="0.128514825909123"/>
    <n v="0.55472357667982752"/>
    <n v="6.4781535394198869E-2"/>
    <n v="0.73992262591533531"/>
    <n v="6.4781535394198869E-2"/>
    <n v="6.4781535394198869E-2"/>
    <n v="0.73992262591533531"/>
    <n v="0.82411255290031482"/>
    <n v="-2.3085512315244778"/>
    <n v="76.544169388000654"/>
    <n v="0.78214180074332873"/>
    <n v="76.544169388000654"/>
    <n v="76.544169388000654"/>
    <n v="0.78214180074332873"/>
    <n v="470.64223605014968"/>
    <n v="-0.33953076844142083"/>
    <s v="[[sv,wv],[yr],[ya]]"/>
    <x v="0"/>
    <x v="1"/>
    <x v="4"/>
    <x v="5"/>
    <x v="1"/>
    <x v="1"/>
    <x v="4"/>
    <x v="5"/>
  </r>
  <r>
    <d v="2026-03-28T15:03:06"/>
    <s v="03-28_15-03-0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058154114820036"/>
    <n v="17.085376841566319"/>
    <n v="0.71826713676606013"/>
    <n v="0.24830216352300319"/>
    <n v="22.416458285000001"/>
    <n v="0.66726302411624816"/>
    <n v="22.416458285000001"/>
    <n v="22.416458285000001"/>
    <n v="0.66726302411624816"/>
    <n v="88.701202851573967"/>
    <n v="0.21662277713974259"/>
    <n v="0.8"/>
    <s v="identity"/>
    <n v="7.9329256293636921E-2"/>
    <n v="0.42396702986913748"/>
    <n v="7.9329256293636921E-2"/>
    <n v="7.9329256293636921E-2"/>
    <n v="0.42396702986913748"/>
    <n v="0.1108406702864454"/>
    <n v="0.19515342132965291"/>
    <n v="7.7074029823666221E-2"/>
    <n v="0.73295494828726881"/>
    <n v="7.7074029823666221E-2"/>
    <n v="7.7074029823666221E-2"/>
    <n v="0.73295494828726881"/>
    <n v="0.14659554732638089"/>
    <n v="0.49207773868586668"/>
    <n v="5.8105609803444723E-2"/>
    <n v="0.76672435555423224"/>
    <n v="5.8105609803444723E-2"/>
    <n v="5.8105609803444723E-2"/>
    <n v="0.76672435555423224"/>
    <n v="0.2023102176429947"/>
    <n v="0.1877884672705854"/>
    <n v="89.451324244079487"/>
    <n v="0.74540576275435111"/>
    <n v="89.451324244079487"/>
    <n v="89.451324244079487"/>
    <n v="0.74540576275435111"/>
    <n v="354.34506497104047"/>
    <n v="-8.5285187271328944E-3"/>
    <s v="[[sv,wv],[yr],[ya]]"/>
    <x v="0"/>
    <x v="0"/>
    <x v="1"/>
    <x v="0"/>
    <x v="1"/>
    <x v="1"/>
    <x v="1"/>
    <x v="0"/>
  </r>
  <r>
    <d v="2026-03-28T16:21:15"/>
    <s v="03-28_16-21-15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876864196091519"/>
    <n v="12.11087376850212"/>
    <n v="0.70305497182888665"/>
    <n v="-0.28707990707929759"/>
    <n v="15.914568613505971"/>
    <n v="0.67029685609948542"/>
    <n v="15.914568613505971"/>
    <n v="15.914568613505971"/>
    <n v="0.67029685609948542"/>
    <n v="119.881948668704"/>
    <n v="-0.27670356704123172"/>
    <n v="0.8"/>
    <s v="identity"/>
    <n v="8.8288820624107006E-2"/>
    <n v="0.35890900848474699"/>
    <n v="8.8288820624107006E-2"/>
    <n v="8.8288820624107006E-2"/>
    <n v="0.35890900848474699"/>
    <n v="0.16568430921302821"/>
    <n v="-0.20308230782841921"/>
    <n v="0.1057386368970312"/>
    <n v="0.63363820702247764"/>
    <n v="0.1057386368970312"/>
    <n v="0.1057386368970312"/>
    <n v="0.63363820702247764"/>
    <n v="0.37414858532940748"/>
    <n v="-0.29634493675919388"/>
    <n v="3.2585905085115843E-2"/>
    <n v="0.86917789806710932"/>
    <n v="3.2585905085115843E-2"/>
    <n v="3.2585905085115843E-2"/>
    <n v="0.86917789806710932"/>
    <n v="0.31010798462332723"/>
    <n v="-0.24498547051641581"/>
    <n v="63.431661091417823"/>
    <n v="0.81946231082361087"/>
    <n v="63.431661091417823"/>
    <n v="63.431661091417823"/>
    <n v="0.81946231082361087"/>
    <n v="478.67785379564992"/>
    <n v="-0.36240155306089639"/>
    <s v="[[sv,wv],[yr],[ya]]"/>
    <x v="0"/>
    <x v="1"/>
    <x v="4"/>
    <x v="5"/>
    <x v="0"/>
    <x v="0"/>
    <x v="4"/>
    <x v="5"/>
  </r>
  <r>
    <d v="2026-03-28T17:07:58"/>
    <s v="03-28_17-07-58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9.2753617474750361E-2"/>
    <n v="20.853016916049551"/>
    <n v="0.76089681625473848"/>
    <n v="0.42382974660746747"/>
    <n v="19.74800776369899"/>
    <n v="0.71784278810779401"/>
    <n v="19.74800776369899"/>
    <n v="19.74800776369899"/>
    <n v="0.71784278810779401"/>
    <n v="69.089308025153898"/>
    <n v="0.35363933516417029"/>
    <n v="0.8"/>
    <s v="identity"/>
    <n v="8.0847216488660875E-2"/>
    <n v="0.41294467619367242"/>
    <n v="8.0847216488660875E-2"/>
    <n v="8.0847216488660875E-2"/>
    <n v="0.41294467619367242"/>
    <n v="0.15536545997658971"/>
    <n v="-0.1281541205276768"/>
    <n v="6.1838332248179667E-2"/>
    <n v="0.78574338631540519"/>
    <n v="6.1838332248179667E-2"/>
    <n v="6.1838332248179667E-2"/>
    <n v="0.78574338631540519"/>
    <n v="9.5185965079954873E-2"/>
    <n v="0.67020096100778059"/>
    <n v="2.564853952187399E-2"/>
    <n v="0.89702922650158312"/>
    <n v="2.564853952187399E-2"/>
    <n v="2.564853952187399E-2"/>
    <n v="0.89702922650158312"/>
    <n v="8.5158287886153594E-2"/>
    <n v="0.65811640986576481"/>
    <n v="78.823696966537398"/>
    <n v="0.77565386342051834"/>
    <n v="78.823696966537398"/>
    <n v="78.823696966537398"/>
    <n v="0.77565386342051834"/>
    <n v="276.02152238767371"/>
    <n v="0.21439409031081211"/>
    <s v="[[sv,wv],[yr],[ya]]"/>
    <x v="0"/>
    <x v="1"/>
    <x v="4"/>
    <x v="2"/>
    <x v="0"/>
    <x v="0"/>
    <x v="4"/>
    <x v="2"/>
  </r>
  <r>
    <d v="2026-03-28T17:18:51"/>
    <s v="03-28_17-18-51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123893397340763"/>
    <n v="7.7280066097906026"/>
    <n v="0.7125457578446126"/>
    <n v="0.34544961616402953"/>
    <n v="12.230937215079139"/>
    <n v="0.67480042473189727"/>
    <n v="12.230937215079139"/>
    <n v="12.230937215079139"/>
    <n v="0.67480042473189727"/>
    <n v="104.6435782032385"/>
    <n v="9.4834383537191369E-2"/>
    <n v="0.8"/>
    <s v="identity"/>
    <n v="8.0890587787452881E-2"/>
    <n v="0.41262974448715151"/>
    <n v="8.0890587787452881E-2"/>
    <n v="8.0890587787452881E-2"/>
    <n v="0.41262974448715151"/>
    <n v="0.1776274753745479"/>
    <n v="-0.28980513617968467"/>
    <n v="0.1040743359802976"/>
    <n v="0.63940465423422288"/>
    <n v="0.1040743359802976"/>
    <n v="0.1040743359802976"/>
    <n v="0.63940465423422288"/>
    <n v="0.13130268892719241"/>
    <n v="0.54506422675960664"/>
    <n v="5.3370438830313997E-2"/>
    <n v="0.78573456926775354"/>
    <n v="5.3370438830313997E-2"/>
    <n v="5.3370438830313997E-2"/>
    <n v="0.78573456926775354"/>
    <n v="0.17086049522586899"/>
    <n v="0.31404915516823811"/>
    <n v="48.685413497718237"/>
    <n v="0.86143273093845796"/>
    <n v="48.685413497718237"/>
    <n v="48.685413497718237"/>
    <n v="0.86143273093845796"/>
    <n v="418.09452215342651"/>
    <n v="-0.18997071159939691"/>
    <s v="[[sv,wv],[yr],[ya]]"/>
    <x v="1"/>
    <x v="0"/>
    <x v="2"/>
    <x v="4"/>
    <x v="1"/>
    <x v="1"/>
    <x v="2"/>
    <x v="4"/>
  </r>
  <r>
    <d v="2026-03-28T17:16:53"/>
    <s v="03-28_17-16-5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513340312186587E-2"/>
    <n v="13.2167764537246"/>
    <n v="0.76827694859501561"/>
    <n v="0.17969136406833441"/>
    <n v="17.68268468461762"/>
    <n v="0.70876345141486408"/>
    <n v="17.68268468461762"/>
    <n v="17.68268468461762"/>
    <n v="0.70876345141486408"/>
    <n v="80.12973350776285"/>
    <n v="0.18174316876458069"/>
    <n v="0.8"/>
    <s v="identity"/>
    <n v="6.7470934059247478E-2"/>
    <n v="0.51007378160975725"/>
    <n v="6.7470934059247478E-2"/>
    <n v="6.7470934059247478E-2"/>
    <n v="0.51007378160975725"/>
    <n v="0.148872159158595"/>
    <n v="-8.1004361020317273E-2"/>
    <n v="7.1538377905554354E-2"/>
    <n v="0.75213479986785858"/>
    <n v="7.1538377905554354E-2"/>
    <n v="7.1538377905554354E-2"/>
    <n v="0.75213479986785858"/>
    <n v="0.19722675041745821"/>
    <n v="0.3166514338894505"/>
    <n v="5.6392680101231933E-2"/>
    <n v="0.77360122650568897"/>
    <n v="5.6392680101231933E-2"/>
    <n v="5.6392680101231933E-2"/>
    <n v="0.77360122650568897"/>
    <n v="0.1489108334660269"/>
    <n v="0.40217010441417889"/>
    <n v="70.535336746404468"/>
    <n v="0.79924399767615051"/>
    <n v="70.535336746404468"/>
    <n v="70.535336746404468"/>
    <n v="0.79924399767615051"/>
    <n v="320.02392428800891"/>
    <n v="8.9155497775008419E-2"/>
    <s v="[[sv,wv],[yr],[ya]]"/>
    <x v="1"/>
    <x v="1"/>
    <x v="2"/>
    <x v="5"/>
    <x v="0"/>
    <x v="0"/>
    <x v="2"/>
    <x v="5"/>
  </r>
  <r>
    <d v="2026-03-28T17:21:11"/>
    <s v="03-28_17-21-11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0193927910287"/>
    <n v="16.884460885876589"/>
    <n v="0.80663769504235594"/>
    <n v="-0.1336403237396023"/>
    <n v="18.661541321997369"/>
    <n v="0.76054012624038758"/>
    <n v="18.661541321997369"/>
    <n v="18.661541321997369"/>
    <n v="0.76054012624038758"/>
    <n v="103.999196811646"/>
    <n v="-0.13345371172219231"/>
    <n v="0.8"/>
    <s v="identity"/>
    <n v="5.4339587556574503E-2"/>
    <n v="0.6054243355057094"/>
    <n v="5.4339587556574503E-2"/>
    <n v="5.4339587556574503E-2"/>
    <n v="0.6054243355057094"/>
    <n v="0.1184739833827803"/>
    <n v="0.13972569869293741"/>
    <n v="4.8510446627493709E-2"/>
    <n v="0.83192166339447116"/>
    <n v="4.8510446627493709E-2"/>
    <n v="4.8510446627493709E-2"/>
    <n v="0.83192166339447116"/>
    <n v="0.33355663837480742"/>
    <n v="-0.15570251027115889"/>
    <n v="4.5620511115538047E-2"/>
    <n v="0.81684807772568035"/>
    <n v="4.5620511115538047E-2"/>
    <n v="4.5620511115538047E-2"/>
    <n v="0.81684807772568035"/>
    <n v="0.3327962308087426"/>
    <n v="-0.33607160261537272"/>
    <n v="74.49769474269003"/>
    <n v="0.78796642833569119"/>
    <n v="74.49769474269003"/>
    <n v="74.49769474269003"/>
    <n v="0.78796642833569119"/>
    <n v="415.21196039401951"/>
    <n v="-0.18176643269518289"/>
    <s v="[[sv,wv],[yr],[ya]]"/>
    <x v="0"/>
    <x v="1"/>
    <x v="4"/>
    <x v="2"/>
    <x v="0"/>
    <x v="0"/>
    <x v="4"/>
    <x v="2"/>
  </r>
  <r>
    <d v="2026-03-28T18:09:16"/>
    <s v="03-28_18-09-1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0476067932310219"/>
    <n v="11.455743765350331"/>
    <n v="0.73372950136368031"/>
    <n v="0.24469243913443059"/>
    <n v="16.393627359324281"/>
    <n v="0.6752350512345664"/>
    <n v="16.393627359324281"/>
    <n v="16.393627359324281"/>
    <n v="0.6752350512345664"/>
    <n v="73.760660991858657"/>
    <n v="0.29122299943824992"/>
    <n v="0.8"/>
    <s v="identity"/>
    <n v="7.8201922466195742E-2"/>
    <n v="0.43215293105225522"/>
    <n v="7.8201922466195742E-2"/>
    <n v="7.8201922466195742E-2"/>
    <n v="0.43215293105225522"/>
    <n v="0.15408822658078569"/>
    <n v="-0.1188797546643183"/>
    <n v="7.2068423111879165E-2"/>
    <n v="0.7502983064360641"/>
    <n v="7.2068423111879165E-2"/>
    <n v="7.2068423111879165E-2"/>
    <n v="0.7502983064360641"/>
    <n v="0.13627439803145799"/>
    <n v="0.5278383165809537"/>
    <n v="7.3607695607831536E-2"/>
    <n v="0.70448838438888806"/>
    <n v="7.3607695607831536E-2"/>
    <n v="7.3607695607831536E-2"/>
    <n v="0.70448838438888806"/>
    <n v="0.10098853964887319"/>
    <n v="0.59456295617723232"/>
    <n v="65.350631396111154"/>
    <n v="0.81400058306106426"/>
    <n v="65.350631396111154"/>
    <n v="65.350631396111154"/>
    <n v="0.81400058306106426"/>
    <n v="294.65129280317319"/>
    <n v="0.16137047965912751"/>
    <s v="[[sv,wv],[yr],[ya]]"/>
    <x v="1"/>
    <x v="0"/>
    <x v="2"/>
    <x v="4"/>
    <x v="1"/>
    <x v="1"/>
    <x v="2"/>
    <x v="4"/>
  </r>
  <r>
    <d v="2026-03-28T18:15:31"/>
    <s v="03-28_18-15-3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192002173273201"/>
    <n v="18.01228753518858"/>
    <n v="0.67685910135097793"/>
    <n v="0.190617027540149"/>
    <n v="24.191789923478229"/>
    <n v="0.61730510446303577"/>
    <n v="24.191789923478229"/>
    <n v="24.191789923478229"/>
    <n v="0.61730510446303577"/>
    <n v="87.446929130945321"/>
    <n v="0.1465260371749732"/>
    <n v="0.8"/>
    <s v="identity"/>
    <n v="7.3712328194688259E-2"/>
    <n v="0.46475319032263479"/>
    <n v="7.3712328194688259E-2"/>
    <n v="7.3712328194688259E-2"/>
    <n v="0.46475319032263479"/>
    <n v="8.0533543447387945E-2"/>
    <n v="0.41522234803954999"/>
    <n v="7.1438333127788592E-2"/>
    <n v="0.75248143365505205"/>
    <n v="7.1438333127788592E-2"/>
    <n v="7.1438333127788592E-2"/>
    <n v="0.75248143365505205"/>
    <n v="0.140941481478916"/>
    <n v="0.51166786924057928"/>
    <n v="0.11790381174560161"/>
    <n v="0.52665348904165288"/>
    <n v="0.11790381174560161"/>
    <n v="0.11790381174560161"/>
    <n v="0.52665348904165288"/>
    <n v="0.33547194185849061"/>
    <n v="-0.34681373614760891"/>
    <n v="96.504105220845005"/>
    <n v="0.72533230483280353"/>
    <n v="96.504105220845005"/>
    <n v="96.504105220845005"/>
    <n v="0.72533230483280353"/>
    <n v="349.23076955699548"/>
    <n v="6.0276675673801572E-3"/>
    <s v="[[sv,wv],[yr],[ya]]"/>
    <x v="1"/>
    <x v="0"/>
    <x v="3"/>
    <x v="0"/>
    <x v="1"/>
    <x v="1"/>
    <x v="3"/>
    <x v="0"/>
  </r>
  <r>
    <d v="2026-03-28T19:34:41"/>
    <s v="03-28_19-34-41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002176382649126"/>
    <n v="7.131107044624442"/>
    <n v="0.72943940500512316"/>
    <n v="0.20452888003049149"/>
    <n v="9.8906985467891353"/>
    <n v="0.71093440234028837"/>
    <n v="9.8906985467891353"/>
    <n v="9.8906985467891353"/>
    <n v="0.71093440234028837"/>
    <n v="163.16191818744969"/>
    <n v="-0.13036385664309341"/>
    <n v="0.8"/>
    <s v="identity"/>
    <n v="8.8303829623052124E-2"/>
    <n v="0.35880002374639208"/>
    <n v="8.8303829623052124E-2"/>
    <n v="8.8303829623052124E-2"/>
    <n v="0.35880002374639208"/>
    <n v="0.12248708199748751"/>
    <n v="0.1105854139800547"/>
    <n v="5.1296435497319458E-2"/>
    <n v="0.82226880699762983"/>
    <n v="5.1296435497319458E-2"/>
    <n v="5.1296435497319458E-2"/>
    <n v="0.82226880699762983"/>
    <n v="0.29239686775951812"/>
    <n v="-1.309269607575447E-2"/>
    <n v="5.6115398679590443E-2"/>
    <n v="0.77471442370893762"/>
    <n v="5.6115398679590443E-2"/>
    <n v="5.6115398679590443E-2"/>
    <n v="0.77471442370893762"/>
    <n v="0.19008213768517199"/>
    <n v="0.23688034053626039"/>
    <n v="39.367078523356732"/>
    <n v="0.88795435490820096"/>
    <n v="39.367078523356732"/>
    <n v="39.367078523356732"/>
    <n v="0.88795435490820096"/>
    <n v="652.04270666235641"/>
    <n v="-0.85582848501293673"/>
    <s v="[[sv,wv],[yr],[ya]]"/>
    <x v="1"/>
    <x v="0"/>
    <x v="2"/>
    <x v="4"/>
    <x v="0"/>
    <x v="0"/>
    <x v="2"/>
    <x v="4"/>
  </r>
  <r>
    <d v="2026-03-28T20:19:19"/>
    <s v="03-28_20-19-19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9.4527728522577681E-2"/>
    <n v="12.97285861039329"/>
    <n v="0.78522762353857123"/>
    <n v="-0.1050431186314313"/>
    <n v="17.70033430336392"/>
    <n v="0.71495610643636587"/>
    <n v="17.70033430336392"/>
    <n v="17.70033430336392"/>
    <n v="0.71495610643636587"/>
    <n v="115.4451352196747"/>
    <n v="-0.1239138171575915"/>
    <n v="0.8"/>
    <s v="identity"/>
    <n v="8.4041133853517067E-2"/>
    <n v="0.38975270652209709"/>
    <n v="8.4041133853517067E-2"/>
    <n v="8.4041133853517067E-2"/>
    <n v="0.38975270652209709"/>
    <n v="0.17937244923151879"/>
    <n v="-0.30247590256013668"/>
    <n v="6.1893497162406969E-2"/>
    <n v="0.785552251669841"/>
    <n v="6.1893497162406969E-2"/>
    <n v="6.1893497162406969E-2"/>
    <n v="0.785552251669841"/>
    <n v="0.28724304559875308"/>
    <n v="4.7641969475957779E-3"/>
    <n v="2.851132454046704E-2"/>
    <n v="0.88553605015628656"/>
    <n v="2.851132454046704E-2"/>
    <n v="2.851132454046704E-2"/>
    <n v="0.88553605015628656"/>
    <n v="0.2205878992635221"/>
    <n v="0.1144093568296808"/>
    <n v="70.626891257898862"/>
    <n v="0.79898341739724144"/>
    <n v="70.626891257898862"/>
    <n v="70.626891257898862"/>
    <n v="0.79898341739724144"/>
    <n v="461.09333748460398"/>
    <n v="-0.31235291984750152"/>
    <s v="[[sv,wv],[yr],[ya]]"/>
    <x v="0"/>
    <x v="1"/>
    <x v="4"/>
    <x v="5"/>
    <x v="0"/>
    <x v="0"/>
    <x v="4"/>
    <x v="5"/>
  </r>
  <r>
    <d v="2026-03-28T20:29:23"/>
    <s v="03-28_20-29-23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208292479100565"/>
    <n v="19.0058618583321"/>
    <n v="0.68465313710430786"/>
    <n v="0.39540240248515562"/>
    <n v="19.835950689549509"/>
    <n v="0.66499162356781993"/>
    <n v="19.835950689549509"/>
    <n v="19.835950689549509"/>
    <n v="0.66499162356781993"/>
    <n v="79.546840364002151"/>
    <n v="0.18474503698774991"/>
    <n v="0.8"/>
    <s v="identity"/>
    <n v="7.514551790029203E-2"/>
    <n v="0.45434638000508831"/>
    <n v="7.514551790029203E-2"/>
    <n v="7.514551790029203E-2"/>
    <n v="0.45434638000508831"/>
    <n v="0.17596718405013201"/>
    <n v="-0.27774927447658571"/>
    <n v="0.1003056610960792"/>
    <n v="0.65246230778687964"/>
    <n v="0.1003056610960792"/>
    <n v="0.1003056610960792"/>
    <n v="0.65246230778687964"/>
    <n v="0.14013928233329731"/>
    <n v="0.51444731794484144"/>
    <n v="5.5215373990950903E-2"/>
    <n v="0.77832773815430201"/>
    <n v="5.5215373990950903E-2"/>
    <n v="5.5215373990950903E-2"/>
    <n v="0.77832773815430201"/>
    <n v="0.1478126335781596"/>
    <n v="0.40657902960124948"/>
    <n v="79.113136205210665"/>
    <n v="0.77483006832501022"/>
    <n v="79.113136205210665"/>
    <n v="79.113136205210665"/>
    <n v="0.77483006832501022"/>
    <n v="317.72344235604749"/>
    <n v="9.5703074881491212E-2"/>
    <s v="[[sv,wv],[yr],[ya]]"/>
    <x v="1"/>
    <x v="1"/>
    <x v="2"/>
    <x v="2"/>
    <x v="1"/>
    <x v="1"/>
    <x v="2"/>
    <x v="2"/>
  </r>
  <r>
    <d v="2026-03-28T20:29:44"/>
    <s v="03-28_20-29-4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45079411752162"/>
    <n v="9.2778474883493232"/>
    <n v="0.79177317987243667"/>
    <n v="-0.38096077379407822"/>
    <n v="14.68992981902317"/>
    <n v="0.73608834838223014"/>
    <n v="14.68992981902317"/>
    <n v="14.68992981902317"/>
    <n v="0.73608834838223014"/>
    <n v="168.1730773220431"/>
    <n v="-0.29422284606839111"/>
    <n v="0.8"/>
    <s v="identity"/>
    <n v="6.5347280550052567E-2"/>
    <n v="0.52549425188244392"/>
    <n v="6.5347280550052567E-2"/>
    <n v="6.5347280550052567E-2"/>
    <n v="0.52549425188244392"/>
    <n v="0.15260509744531089"/>
    <n v="-0.1081103195162965"/>
    <n v="6.9786539617169921E-2"/>
    <n v="0.75820454537596627"/>
    <n v="6.9786539617169921E-2"/>
    <n v="6.9786539617169921E-2"/>
    <n v="0.75820454537596627"/>
    <n v="0.27412474858663571"/>
    <n v="5.0216294262327883E-2"/>
    <n v="4.2995135835711219E-2"/>
    <n v="0.8273881290629832"/>
    <n v="4.2995135835711219E-2"/>
    <n v="4.2995135835711219E-2"/>
    <n v="0.8273881290629832"/>
    <n v="0.30051341975811841"/>
    <n v="-0.2064663273617455"/>
    <n v="58.581590320089688"/>
    <n v="0.83326646720752739"/>
    <n v="58.581590320089688"/>
    <n v="58.581590320089688"/>
    <n v="0.83326646720752739"/>
    <n v="671.96506602238401"/>
    <n v="-0.91253103165785854"/>
    <s v="[[sv,wv],[yr],[ya]]"/>
    <x v="1"/>
    <x v="0"/>
    <x v="5"/>
    <x v="4"/>
    <x v="0"/>
    <x v="0"/>
    <x v="5"/>
    <x v="4"/>
  </r>
  <r>
    <d v="2026-03-28T20:35:32"/>
    <s v="03-28_20-35-3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232006100125721"/>
    <n v="18.16227256810318"/>
    <n v="0.78881297122727312"/>
    <n v="-5.2011722578996063E-2"/>
    <n v="25.30027291503372"/>
    <n v="0.73413141230026058"/>
    <n v="25.30027291503372"/>
    <n v="25.30027291503372"/>
    <n v="0.73413141230026058"/>
    <n v="122.28974528263279"/>
    <n v="-4.253702813731397E-2"/>
    <n v="0.8"/>
    <s v="identity"/>
    <n v="4.7973472373468218E-2"/>
    <n v="0.65165056285802647"/>
    <n v="4.7973472373468218E-2"/>
    <n v="4.7973472373468218E-2"/>
    <n v="0.65165056285802647"/>
    <n v="0.16025710822142819"/>
    <n v="-0.16367381148355631"/>
    <n v="4.6681044868406761E-2"/>
    <n v="0.83826014976240115"/>
    <n v="4.6681044868406761E-2"/>
    <n v="4.6681044868406761E-2"/>
    <n v="0.83826014976240115"/>
    <n v="0.23191579835942849"/>
    <n v="0.19646129172713661"/>
    <n v="6.6208643510676429E-2"/>
    <n v="0.73419323822469351"/>
    <n v="6.6208643510676429E-2"/>
    <n v="6.6208643510676429E-2"/>
    <n v="0.73419323822469351"/>
    <n v="0.20235592606561759"/>
    <n v="0.187604962411416"/>
    <n v="101.04022849938239"/>
    <n v="0.71242169835591951"/>
    <n v="101.04022849938239"/>
    <n v="101.04022849938239"/>
    <n v="0.71242169835591951"/>
    <n v="488.56445229788699"/>
    <n v="-0.39054055520426201"/>
    <s v="[[sv,wv],[yr],[ya]]"/>
    <x v="0"/>
    <x v="1"/>
    <x v="4"/>
    <x v="5"/>
    <x v="0"/>
    <x v="0"/>
    <x v="4"/>
    <x v="5"/>
  </r>
  <r>
    <d v="2026-03-28T21:22:16"/>
    <s v="03-28_21-22-16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068218723376889"/>
    <n v="13.32109153550079"/>
    <n v="0.72234789252195819"/>
    <n v="0.29131648052838671"/>
    <n v="14.886295371636381"/>
    <n v="0.66331040875110925"/>
    <n v="14.886295371636381"/>
    <n v="14.886295371636381"/>
    <n v="0.66331040875110925"/>
    <n v="64.83705783310981"/>
    <n v="0.28475262896470449"/>
    <n v="0.8"/>
    <s v="identity"/>
    <n v="7.8298219018933468E-2"/>
    <n v="0.43145369357192942"/>
    <n v="7.8298219018933468E-2"/>
    <n v="7.8298219018933468E-2"/>
    <n v="0.43145369357192942"/>
    <n v="0.14566134891613461"/>
    <n v="-5.7689727215545217E-2"/>
    <n v="7.3941652188138265E-2"/>
    <n v="0.74380796777485914"/>
    <n v="7.3941652188138265E-2"/>
    <n v="7.3941652188138265E-2"/>
    <n v="0.74380796777485914"/>
    <n v="0.117353646258613"/>
    <n v="0.59339468034165166"/>
    <n v="8.7983933252400129E-2"/>
    <n v="0.64677233747729668"/>
    <n v="8.7983933252400129E-2"/>
    <n v="8.7983933252400129E-2"/>
    <n v="0.64677233747729668"/>
    <n v="0.16433672513863329"/>
    <n v="0.34024002858758412"/>
    <n v="59.304957682085913"/>
    <n v="0.83120763618034998"/>
    <n v="59.304957682085913"/>
    <n v="59.304957682085913"/>
    <n v="0.83120763618034998"/>
    <n v="258.92087961212638"/>
    <n v="0.26306553414512662"/>
    <s v="[[sv,wv],[yr],[ya]]"/>
    <x v="1"/>
    <x v="1"/>
    <x v="2"/>
    <x v="2"/>
    <x v="1"/>
    <x v="1"/>
    <x v="2"/>
    <x v="2"/>
  </r>
  <r>
    <d v="2026-03-28T21:28:22"/>
    <s v="03-28_21-28-22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23793608773049"/>
    <n v="37.152717015627211"/>
    <n v="0.65675013781345304"/>
    <n v="0.20754331124325651"/>
    <n v="41.005742811031077"/>
    <n v="0.6091642881738375"/>
    <n v="41.005742811031077"/>
    <n v="41.005742811031077"/>
    <n v="0.6091642881738375"/>
    <n v="110.8599808534705"/>
    <n v="0.25705379709892662"/>
    <n v="0.8"/>
    <s v="identity"/>
    <n v="7.7462219764487431E-2"/>
    <n v="0.43752412907157961"/>
    <n v="7.7462219764487431E-2"/>
    <n v="7.7462219764487431E-2"/>
    <n v="0.43752412907157961"/>
    <n v="0.13323790421185519"/>
    <n v="3.2520544336396728E-2"/>
    <n v="7.4966893977179913E-2"/>
    <n v="0.74025572394903283"/>
    <n v="7.4966893977179913E-2"/>
    <n v="7.4966893977179913E-2"/>
    <n v="0.74025572394903283"/>
    <n v="0.12949165554436229"/>
    <n v="0.55133907062696119"/>
    <n v="6.8476913356683863E-2"/>
    <n v="0.72508685225104663"/>
    <n v="6.8476913356683863E-2"/>
    <n v="6.8476913356683863E-2"/>
    <n v="0.72508685225104663"/>
    <n v="7.3353920278062604E-2"/>
    <n v="0.70550721206829015"/>
    <n v="163.80206521702561"/>
    <n v="0.53379044742369075"/>
    <n v="163.80206521702561"/>
    <n v="163.80206521702561"/>
    <n v="0.53379044742369075"/>
    <n v="443.10383993384721"/>
    <n v="-0.26115163863594337"/>
    <s v="[[sv,wv],[yr],[ya]]"/>
    <x v="0"/>
    <x v="0"/>
    <x v="0"/>
    <x v="1"/>
    <x v="1"/>
    <x v="1"/>
    <x v="0"/>
    <x v="1"/>
  </r>
  <r>
    <d v="2026-03-28T21:42:29"/>
    <s v="03-28_21-42-29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65947630336063"/>
    <n v="19.750672657478869"/>
    <n v="0.71509861974864131"/>
    <n v="-0.43907983353692048"/>
    <n v="25.709482148026829"/>
    <n v="0.62847251476849375"/>
    <n v="25.709482148026829"/>
    <n v="25.709482148026829"/>
    <n v="0.62847251476849375"/>
    <n v="129.1817736158637"/>
    <n v="-0.38202566902340962"/>
    <n v="0.8"/>
    <s v="identity"/>
    <n v="6.2185862667087997E-2"/>
    <n v="0.54845023329500353"/>
    <n v="6.2185862667087997E-2"/>
    <n v="6.2185862667087997E-2"/>
    <n v="0.54845023329500353"/>
    <n v="0.17517170055609749"/>
    <n v="-0.27197303578272131"/>
    <n v="7.400947862192904E-2"/>
    <n v="0.74357296366828018"/>
    <n v="7.400947862192904E-2"/>
    <n v="7.400947862192904E-2"/>
    <n v="0.74357296366828018"/>
    <n v="0.36335928677232199"/>
    <n v="-0.25896232165897431"/>
    <n v="0.12109809985857251"/>
    <n v="0.51382943262748926"/>
    <n v="0.12109809985857251"/>
    <n v="0.12109809985857251"/>
    <n v="0.51382943262748926"/>
    <n v="0.38087376798216471"/>
    <n v="-0.52908770735007438"/>
    <n v="102.58063515095991"/>
    <n v="0.70803742948320392"/>
    <n v="102.58063515095991"/>
    <n v="102.58063515095991"/>
    <n v="0.70803742948320392"/>
    <n v="515.80768970814438"/>
    <n v="-0.46807961130186548"/>
    <s v="[[sv,wv],[yr],[ya]]"/>
    <x v="1"/>
    <x v="1"/>
    <x v="3"/>
    <x v="3"/>
    <x v="0"/>
    <x v="0"/>
    <x v="3"/>
    <x v="3"/>
  </r>
  <r>
    <d v="2026-03-28T22:56:05"/>
    <s v="03-28_22-56-0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031660700803161"/>
    <n v="15.03991454142905"/>
    <n v="0.72243520432331632"/>
    <n v="0.2334847045064613"/>
    <n v="20.280438597287521"/>
    <n v="0.69902885415341609"/>
    <n v="20.280438597287521"/>
    <n v="20.280438597287521"/>
    <n v="0.69902885415341609"/>
    <n v="72.504160398258648"/>
    <n v="0.21956152020977601"/>
    <n v="0.8"/>
    <s v="identity"/>
    <n v="8.4740422922632716E-2"/>
    <n v="0.3846749637285467"/>
    <n v="8.4740422922632716E-2"/>
    <n v="8.4740422922632716E-2"/>
    <n v="0.3846749637285467"/>
    <n v="0.14645480164695129"/>
    <n v="-6.3451219942755932E-2"/>
    <n v="3.7489735876456189E-2"/>
    <n v="0.87010607232125314"/>
    <n v="3.7489735876456189E-2"/>
    <n v="3.7489735876456189E-2"/>
    <n v="0.87010607232125314"/>
    <n v="0.18577996387369561"/>
    <n v="0.35631210443590039"/>
    <n v="5.6863393312738431E-2"/>
    <n v="0.77171146184897577"/>
    <n v="5.6863393312738431E-2"/>
    <n v="5.6863393312738431E-2"/>
    <n v="0.77171146184897577"/>
    <n v="0.1470951685235985"/>
    <n v="0.40945942485974912"/>
    <n v="80.942660837038403"/>
    <n v="0.76962291871488975"/>
    <n v="80.942660837038403"/>
    <n v="80.942660837038403"/>
    <n v="0.76962291871488975"/>
    <n v="289.53731165898978"/>
    <n v="0.17592577148621499"/>
    <s v="[[sv,wv],[yr],[ya]]"/>
    <x v="1"/>
    <x v="1"/>
    <x v="2"/>
    <x v="2"/>
    <x v="0"/>
    <x v="0"/>
    <x v="2"/>
    <x v="2"/>
  </r>
  <r>
    <d v="2026-03-28T23:40:23"/>
    <s v="03-28_23-40-23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7380206240763961E-2"/>
    <n v="11.40777449990575"/>
    <n v="0.75901739911727617"/>
    <n v="0.14396678078962341"/>
    <n v="14.711789635313419"/>
    <n v="0.6897530146967199"/>
    <n v="14.711789635313419"/>
    <n v="14.711789635313419"/>
    <n v="0.6897530146967199"/>
    <n v="117.41940071249221"/>
    <n v="6.5057401076725391E-2"/>
    <n v="0.8"/>
    <s v="identity"/>
    <n v="8.9976426165526077E-2"/>
    <n v="0.34665481025005479"/>
    <n v="8.9976426165526077E-2"/>
    <n v="8.9976426165526077E-2"/>
    <n v="0.34665481025005479"/>
    <n v="0.16833066029889071"/>
    <n v="-0.22229823833400569"/>
    <n v="5.7912959276321119E-2"/>
    <n v="0.79934396527384255"/>
    <n v="5.7912959276321119E-2"/>
    <n v="5.7912959276321119E-2"/>
    <n v="0.79934396527384255"/>
    <n v="0.13993038134077579"/>
    <n v="0.51517111526643455"/>
    <n v="5.4817336952911591E-2"/>
    <n v="0.77992573096215656"/>
    <n v="5.4817336952911591E-2"/>
    <n v="5.4817336952911591E-2"/>
    <n v="0.77992573096215656"/>
    <n v="0.1736698911142236"/>
    <n v="0.30277031929376519"/>
    <n v="58.644451818858997"/>
    <n v="0.83308755230082776"/>
    <n v="58.644451818858997"/>
    <n v="58.644451818858997"/>
    <n v="0.83308755230082776"/>
    <n v="469.19567191721529"/>
    <n v="-0.33541359191928888"/>
    <s v="[[sv,wv],[yr],[ya]]"/>
    <x v="1"/>
    <x v="0"/>
    <x v="2"/>
    <x v="4"/>
    <x v="0"/>
    <x v="0"/>
    <x v="2"/>
    <x v="4"/>
  </r>
  <r>
    <d v="2026-03-28T23:52:02"/>
    <s v="03-28_23-52-0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227673590596757"/>
    <n v="21.338241302525191"/>
    <n v="0.67391464492766917"/>
    <n v="0.25466311760576699"/>
    <n v="25.769939219588281"/>
    <n v="0.63646336621804511"/>
    <n v="25.769939219588281"/>
    <n v="25.769939219588281"/>
    <n v="0.63646336621804511"/>
    <n v="97.601449973817822"/>
    <n v="0.14809124636937851"/>
    <n v="0.8"/>
    <s v="identity"/>
    <n v="8.0503140347481753E-2"/>
    <n v="0.41544311385481653"/>
    <n v="8.0503140347481753E-2"/>
    <n v="8.0503140347481753E-2"/>
    <n v="0.41544311385481653"/>
    <n v="0.1740122238907354"/>
    <n v="-0.2635537360369411"/>
    <n v="0.10398091801458539"/>
    <n v="0.639728327533019"/>
    <n v="0.10398091801458539"/>
    <n v="0.10398091801458539"/>
    <n v="0.639728327533019"/>
    <n v="0.1208301514551232"/>
    <n v="0.58134933235471453"/>
    <n v="5.3955298675860977E-2"/>
    <n v="0.78338654198016566"/>
    <n v="5.3955298675860977E-2"/>
    <n v="5.3955298675860977E-2"/>
    <n v="0.78338654198016566"/>
    <n v="0.15332277386001009"/>
    <n v="0.3844575592374867"/>
    <n v="102.8413175213152"/>
    <n v="0.7072954815041792"/>
    <n v="102.8413175213152"/>
    <n v="102.8413175213152"/>
    <n v="0.7072954815041792"/>
    <n v="389.95763474606542"/>
    <n v="-0.109888170077739"/>
    <s v="[[sv,wv],[yr],[ya]]"/>
    <x v="1"/>
    <x v="1"/>
    <x v="2"/>
    <x v="5"/>
    <x v="1"/>
    <x v="1"/>
    <x v="2"/>
    <x v="5"/>
  </r>
  <r>
    <d v="2026-03-28T23:53:28"/>
    <s v="03-28_23-53-28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38616725855893"/>
    <n v="16.307274485484019"/>
    <n v="0.76441926070233457"/>
    <n v="-0.69170756625187857"/>
    <n v="17.025899131498619"/>
    <n v="0.71853002104620256"/>
    <n v="17.025899131498619"/>
    <n v="17.025899131498619"/>
    <n v="0.71853002104620256"/>
    <n v="112.1135779302859"/>
    <n v="-0.66115436333405175"/>
    <n v="0.8"/>
    <s v="identity"/>
    <n v="6.8626412481448629E-2"/>
    <n v="0.50168351427888802"/>
    <n v="6.8626412481448629E-2"/>
    <n v="6.8626412481448629E-2"/>
    <n v="0.50168351427888802"/>
    <n v="0.14163897194006081"/>
    <n v="-2.8482069602604021E-2"/>
    <n v="6.909313356779774E-2"/>
    <n v="0.76060704923798261"/>
    <n v="6.909313356779774E-2"/>
    <n v="6.909313356779774E-2"/>
    <n v="0.76060704923798261"/>
    <n v="0.52256328762368076"/>
    <n v="-0.8105701814982984"/>
    <n v="4.8538259934032282E-2"/>
    <n v="0.80513423910893522"/>
    <n v="4.8538259934032282E-2"/>
    <n v="4.8538259934032282E-2"/>
    <n v="0.80513423910893522"/>
    <n v="0.6309018250779358"/>
    <n v="-1.532871272238872"/>
    <n v="67.917338720011315"/>
    <n v="0.80669528155900816"/>
    <n v="67.917338720011315"/>
    <n v="67.917338720011315"/>
    <n v="0.80669528155900816"/>
    <n v="447.15920763650217"/>
    <n v="-0.27269392999644748"/>
    <s v="[[sv,wv],[yr],[ya]]"/>
    <x v="1"/>
    <x v="1"/>
    <x v="5"/>
    <x v="2"/>
    <x v="0"/>
    <x v="0"/>
    <x v="5"/>
    <x v="2"/>
  </r>
  <r>
    <d v="2026-03-29T00:01:22"/>
    <s v="03-29_00-01-22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08818628774444"/>
    <n v="16.893583875165209"/>
    <n v="0.78750550766743266"/>
    <n v="4.5601030665256947E-2"/>
    <n v="21.687557309119679"/>
    <n v="0.748389495978247"/>
    <n v="21.687557309119679"/>
    <n v="21.687557309119679"/>
    <n v="0.748389495978247"/>
    <n v="119.47827119121931"/>
    <n v="-2.372793476132784E-4"/>
    <n v="0.8"/>
    <s v="identity"/>
    <n v="4.8279165222887513E-2"/>
    <n v="0.64943083752306352"/>
    <n v="4.8279165222887513E-2"/>
    <n v="4.8279165222887513E-2"/>
    <n v="0.64943083752306352"/>
    <n v="0.15114545672452831"/>
    <n v="-9.7511440628485602E-2"/>
    <n v="4.4676640602649878E-2"/>
    <n v="0.84520498243855502"/>
    <n v="4.4676640602649878E-2"/>
    <n v="4.4676640602649878E-2"/>
    <n v="0.84520498243855502"/>
    <n v="0.2968426213666579"/>
    <n v="-2.8496282791498961E-2"/>
    <n v="6.342130222589723E-2"/>
    <n v="0.74538353184172412"/>
    <n v="6.342130222589723E-2"/>
    <n v="6.342130222589723E-2"/>
    <n v="0.74538353184172412"/>
    <n v="0.1286172629424624"/>
    <n v="0.48364237117127751"/>
    <n v="86.593852128427315"/>
    <n v="0.75353863210964556"/>
    <n v="86.593852128427315"/>
    <n v="86.593852128427315"/>
    <n v="0.75353863210964556"/>
    <n v="477.33647942384391"/>
    <n v="-0.35858376514174872"/>
    <s v="[[sv,wv],[yr],[ya]]"/>
    <x v="1"/>
    <x v="0"/>
    <x v="2"/>
    <x v="4"/>
    <x v="0"/>
    <x v="0"/>
    <x v="2"/>
    <x v="4"/>
  </r>
  <r>
    <d v="2026-03-29T00:52:38"/>
    <s v="03-29_00-52-3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050777074800122"/>
    <n v="17.614153648805331"/>
    <n v="0.71931767508477851"/>
    <n v="0.16911817685655661"/>
    <n v="24.399536825000482"/>
    <n v="0.65647895741809248"/>
    <n v="24.399536825000482"/>
    <n v="24.399536825000482"/>
    <n v="0.65647895741809248"/>
    <n v="116.0464733567799"/>
    <n v="0.2072775997861048"/>
    <n v="0.8"/>
    <s v="identity"/>
    <n v="7.7148471143127451E-2"/>
    <n v="0.43980234972661109"/>
    <n v="7.7148471143127451E-2"/>
    <n v="7.7148471143127451E-2"/>
    <n v="0.43980234972661109"/>
    <n v="0.1443982197328039"/>
    <n v="-4.8517776170905247E-2"/>
    <n v="7.2875021170043117E-2"/>
    <n v="0.74750361643936114"/>
    <n v="7.2875021170043117E-2"/>
    <n v="7.2875021170043117E-2"/>
    <n v="0.74750361643936114"/>
    <n v="0.12907878054601379"/>
    <n v="0.5527695943135662"/>
    <n v="7.0799377211182971E-2"/>
    <n v="0.71576289447497388"/>
    <n v="7.0799377211182971E-2"/>
    <n v="7.0799377211182971E-2"/>
    <n v="0.71576289447497388"/>
    <n v="8.842952926328361E-2"/>
    <n v="0.64498341043646645"/>
    <n v="97.377324430477557"/>
    <n v="0.72284696903142365"/>
    <n v="97.377324430477557"/>
    <n v="97.377324430477557"/>
    <n v="0.72284696903142365"/>
    <n v="463.82398689757702"/>
    <n v="-0.32012482943471099"/>
    <s v="[[sv,wv],[yr],[ya]]"/>
    <x v="1"/>
    <x v="1"/>
    <x v="2"/>
    <x v="5"/>
    <x v="1"/>
    <x v="1"/>
    <x v="2"/>
    <x v="5"/>
  </r>
  <r>
    <d v="2026-03-29T00:58:00"/>
    <s v="03-29_00-58-00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594446304509129"/>
    <n v="15.72130411424744"/>
    <n v="0.72568960349700962"/>
    <n v="0.33399605621103828"/>
    <n v="17.935470523406639"/>
    <n v="0.68146162772987151"/>
    <n v="17.935470523406639"/>
    <n v="17.935470523406639"/>
    <n v="0.68146162772987151"/>
    <n v="80.156633203751852"/>
    <n v="0.3703813105590732"/>
    <n v="0.8"/>
    <s v="identity"/>
    <n v="7.6019699916421393E-2"/>
    <n v="0.4479986882868896"/>
    <n v="7.6019699916421393E-2"/>
    <n v="7.6019699916421393E-2"/>
    <n v="0.4479986882868896"/>
    <n v="0.12404311677375621"/>
    <n v="9.9286589615897869E-2"/>
    <n v="7.7835088016889389E-2"/>
    <n v="0.73031804419608981"/>
    <n v="7.7835088016889389E-2"/>
    <n v="7.7835088016889389E-2"/>
    <n v="0.73031804419608981"/>
    <n v="0.1109078677410211"/>
    <n v="0.61572792620277061"/>
    <n v="6.1996049188811943E-2"/>
    <n v="0.75110547197537114"/>
    <n v="6.1996049188811943E-2"/>
    <n v="6.1996049188811943E-2"/>
    <n v="0.75110547197537114"/>
    <n v="8.0162357381661525E-2"/>
    <n v="0.67817349061896537"/>
    <n v="71.526031256504524"/>
    <n v="0.79642430646113682"/>
    <n v="71.526031256504524"/>
    <n v="71.526031256504524"/>
    <n v="0.79642430646113682"/>
    <n v="320.31141947311261"/>
    <n v="8.8337235798656377E-2"/>
    <s v="[[sv,wv],[yr],[ya]]"/>
    <x v="0"/>
    <x v="1"/>
    <x v="0"/>
    <x v="3"/>
    <x v="1"/>
    <x v="1"/>
    <x v="0"/>
    <x v="3"/>
  </r>
  <r>
    <d v="2026-03-29T01:11:31"/>
    <s v="03-29_01-11-31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2888740768434831"/>
    <n v="23.568846830045999"/>
    <n v="0.67467036073036724"/>
    <n v="0.39523381171123129"/>
    <n v="27.363560808111568"/>
    <n v="0.64189343400719412"/>
    <n v="27.363560808111568"/>
    <n v="27.363560808111568"/>
    <n v="0.64189343400719412"/>
    <n v="58.111261583760403"/>
    <n v="0.34011125949253151"/>
    <n v="0.8"/>
    <s v="identity"/>
    <n v="7.826243067235554E-2"/>
    <n v="0.43171356324093341"/>
    <n v="7.826243067235554E-2"/>
    <n v="7.826243067235554E-2"/>
    <n v="0.43171356324093341"/>
    <n v="0.1684727018988372"/>
    <n v="-0.2233296440035171"/>
    <n v="0.10673462258107309"/>
    <n v="0.63018732935189758"/>
    <n v="0.10673462258107309"/>
    <n v="0.10673462258107309"/>
    <n v="0.63018732935189758"/>
    <n v="0.14128675761566081"/>
    <n v="0.51047156117153003"/>
    <n v="4.5696671163297127E-2"/>
    <n v="0.81654231922349585"/>
    <n v="4.5696671163297127E-2"/>
    <n v="4.5696671163297127E-2"/>
    <n v="0.81654231922349585"/>
    <n v="6.630351567816406E-2"/>
    <n v="0.73381235648047793"/>
    <n v="109.22354950802929"/>
    <n v="0.6891305242124508"/>
    <n v="109.22354950802929"/>
    <n v="109.22354950802929"/>
    <n v="0.6891305242124508"/>
    <n v="232.06898335984951"/>
    <n v="0.33949076432164038"/>
    <s v="[[sv,wv],[yr],[ya]]"/>
    <x v="0"/>
    <x v="0"/>
    <x v="1"/>
    <x v="0"/>
    <x v="1"/>
    <x v="1"/>
    <x v="1"/>
    <x v="0"/>
  </r>
  <r>
    <d v="2026-03-29T03:29:10"/>
    <s v="03-29_03-29-10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09272570629029"/>
    <n v="12.193916641164121"/>
    <n v="0.7224379350431348"/>
    <n v="0.22439427454015651"/>
    <n v="16.879305396818371"/>
    <n v="0.70086172649389833"/>
    <n v="16.879305396818371"/>
    <n v="16.879305396818371"/>
    <n v="0.70086172649389833"/>
    <n v="95.544560211414819"/>
    <n v="0.20063660437298689"/>
    <n v="0.8"/>
    <s v="identity"/>
    <n v="8.3502324046898765E-2"/>
    <n v="0.39366516237688459"/>
    <n v="8.3502324046898765E-2"/>
    <n v="8.3502324046898765E-2"/>
    <n v="0.39366516237688459"/>
    <n v="0.13498869567634081"/>
    <n v="1.9807534603462851E-2"/>
    <n v="5.4487367020811119E-2"/>
    <n v="0.81121291079430247"/>
    <n v="5.4487367020811119E-2"/>
    <n v="5.4487367020811119E-2"/>
    <n v="0.81121291079430247"/>
    <n v="0.1548069788493783"/>
    <n v="0.46362688227273702"/>
    <n v="5.2259842152716923E-2"/>
    <n v="0.79019326364446119"/>
    <n v="5.2259842152716923E-2"/>
    <n v="5.2259842152716923E-2"/>
    <n v="0.79019326364446119"/>
    <n v="0.14805339499436729"/>
    <n v="0.40561244866847029"/>
    <n v="67.326972054053243"/>
    <n v="0.80837556915994657"/>
    <n v="67.326972054053243"/>
    <n v="67.326972054053243"/>
    <n v="0.80837556915994657"/>
    <n v="381.74039177613929"/>
    <n v="-8.6500448052718504E-2"/>
    <s v="[[sv,wv],[yr],[ya]]"/>
    <x v="1"/>
    <x v="1"/>
    <x v="2"/>
    <x v="5"/>
    <x v="0"/>
    <x v="0"/>
    <x v="2"/>
    <x v="5"/>
  </r>
  <r>
    <d v="2026-03-29T04:09:43"/>
    <s v="03-29_04-09-43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181559513183625"/>
    <n v="18.152732457659621"/>
    <n v="0.63586869886218411"/>
    <n v="-0.13725289836804469"/>
    <n v="17.973745516694741"/>
    <n v="0.58525992938205418"/>
    <n v="17.973745516694741"/>
    <n v="17.973745516694741"/>
    <n v="0.58525992938205418"/>
    <n v="118.84634658607401"/>
    <n v="-0.16863438095291439"/>
    <n v="0.8"/>
    <s v="identity"/>
    <n v="0.1173480349294705"/>
    <n v="0.14790154026863001"/>
    <n v="0.1173480349294705"/>
    <n v="0.1173480349294705"/>
    <n v="0.14790154026863001"/>
    <n v="0.13920420513441001"/>
    <n v="-1.08025145410553E-2"/>
    <n v="6.9491500498091094E-2"/>
    <n v="0.75922679290852613"/>
    <n v="6.9491500498091094E-2"/>
    <n v="6.9491500498091094E-2"/>
    <n v="0.75922679290852613"/>
    <n v="0.25505038554537268"/>
    <n v="0.1163048882594906"/>
    <n v="9.0231620635408613E-2"/>
    <n v="0.63774858358231834"/>
    <n v="9.0231620635408613E-2"/>
    <n v="9.0231620635408613E-2"/>
    <n v="0.63774858358231834"/>
    <n v="0.35597937292549098"/>
    <n v="-0.42914458534210592"/>
    <n v="71.617910910716077"/>
    <n v="0.79616280076873858"/>
    <n v="71.617910910716077"/>
    <n v="71.617910910716077"/>
    <n v="0.79616280076873858"/>
    <n v="474.6351523806901"/>
    <n v="-0.35089531218798159"/>
    <s v="[[sv,wv],[yr],[ya]]"/>
    <x v="1"/>
    <x v="1"/>
    <x v="2"/>
    <x v="2"/>
    <x v="0"/>
    <x v="0"/>
    <x v="2"/>
    <x v="2"/>
  </r>
  <r>
    <d v="2026-03-29T04:21:59"/>
    <s v="03-29_04-21-5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27643650292838"/>
    <n v="9.5419990752796782"/>
    <n v="0.71900471220723083"/>
    <n v="-3.4873940190711938E-3"/>
    <n v="14.3719526684885"/>
    <n v="0.68141140834598291"/>
    <n v="14.3719526684885"/>
    <n v="14.3719526684885"/>
    <n v="0.68141140834598291"/>
    <n v="120.6124747666083"/>
    <n v="-1.8679392881222001E-2"/>
    <n v="0.8"/>
    <s v="identity"/>
    <n v="8.292803928273243E-2"/>
    <n v="0.39783521229112001"/>
    <n v="8.292803928273243E-2"/>
    <n v="8.292803928273243E-2"/>
    <n v="0.39783521229112001"/>
    <n v="0.15728671258427679"/>
    <n v="-0.1421048985594433"/>
    <n v="0.10399621013421249"/>
    <n v="0.63967534360463252"/>
    <n v="0.10399621013421249"/>
    <n v="0.10399621013421249"/>
    <n v="0.63967534360463252"/>
    <n v="0.1099812217466254"/>
    <n v="0.618938556658437"/>
    <n v="3.7084377908898868E-2"/>
    <n v="0.85111795255514344"/>
    <n v="3.7084377908898868E-2"/>
    <n v="3.7084377908898868E-2"/>
    <n v="0.85111795255514344"/>
    <n v="0.29392378331137869"/>
    <n v="-0.18001102134264599"/>
    <n v="57.263802046628122"/>
    <n v="0.83701712493303804"/>
    <n v="57.263802046628122"/>
    <n v="57.263802046628122"/>
    <n v="0.83701712493303804"/>
    <n v="481.88870734879231"/>
    <n v="-0.37154020828123963"/>
    <s v="[[sv,wv],[yr],[ya]]"/>
    <x v="1"/>
    <x v="0"/>
    <x v="5"/>
    <x v="4"/>
    <x v="1"/>
    <x v="1"/>
    <x v="5"/>
    <x v="4"/>
  </r>
  <r>
    <d v="2026-03-29T04:24:19"/>
    <s v="03-29_04-24-19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20155117694934"/>
    <n v="16.594935441470071"/>
    <n v="0.7666339822329824"/>
    <n v="-0.38732017292630028"/>
    <n v="21.77372840689312"/>
    <n v="0.71267010254763496"/>
    <n v="21.77372840689312"/>
    <n v="21.77372840689312"/>
    <n v="0.71267010254763496"/>
    <n v="120.9835259576251"/>
    <n v="-0.32201186099733797"/>
    <n v="0.8"/>
    <s v="identity"/>
    <n v="6.5402823340471622E-2"/>
    <n v="0.52509093940947671"/>
    <n v="6.5402823340471622E-2"/>
    <n v="6.5402823340471622E-2"/>
    <n v="0.52509093940947671"/>
    <n v="0.17019673098512739"/>
    <n v="-0.23584832426810659"/>
    <n v="6.9822600550798683E-2"/>
    <n v="0.75807960194290946"/>
    <n v="6.9822600550798683E-2"/>
    <n v="6.9822600550798683E-2"/>
    <n v="0.75807960194290946"/>
    <n v="0.36107287635981022"/>
    <n v="-0.25104039791575411"/>
    <n v="4.6110424040341498E-2"/>
    <n v="0.81488123229298592"/>
    <n v="4.6110424040341498E-2"/>
    <n v="4.6110424040341498E-2"/>
    <n v="0.81488123229298592"/>
    <n v="0.35527586393505511"/>
    <n v="-0.42632021926673952"/>
    <n v="86.913577779640335"/>
    <n v="0.75262863654517143"/>
    <n v="86.913577779640335"/>
    <n v="86.913577779640335"/>
    <n v="0.75262863654517143"/>
    <n v="483.04755835922077"/>
    <n v="-0.37483850253875511"/>
    <s v="[[sv,wv],[yr],[ya]]"/>
    <x v="1"/>
    <x v="1"/>
    <x v="5"/>
    <x v="5"/>
    <x v="0"/>
    <x v="0"/>
    <x v="5"/>
    <x v="5"/>
  </r>
  <r>
    <d v="2026-03-29T04:35:43"/>
    <s v="03-29_04-35-43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80"/>
    <n v="60"/>
    <n v="120"/>
    <n v="0.1100705458946007"/>
    <n v="15.212390088834789"/>
    <n v="0.77504274502123016"/>
    <n v="-2.7925149393966339E-2"/>
    <n v="17.349340563427798"/>
    <n v="0.73935183937883386"/>
    <n v="17.349340563427798"/>
    <n v="17.349340563427798"/>
    <n v="0.73935183937883386"/>
    <n v="96.715173903964057"/>
    <n v="-1.013315507195894E-2"/>
    <n v="0.8"/>
    <s v="identity"/>
    <n v="5.4843457593280839E-2"/>
    <n v="0.6017655875561565"/>
    <n v="5.4843457593280839E-2"/>
    <n v="5.4843457593280839E-2"/>
    <n v="0.6017655875561565"/>
    <n v="0.16504674597098781"/>
    <n v="-0.19845277434837061"/>
    <n v="4.4475456521457242E-2"/>
    <n v="0.84590204231058697"/>
    <n v="4.4475456521457242E-2"/>
    <n v="4.4475456521457242E-2"/>
    <n v="0.84590204231058697"/>
    <n v="0.31248383871141922"/>
    <n v="-8.2689760208444207E-2"/>
    <n v="7.3040302250416481E-2"/>
    <n v="0.7067662892513098"/>
    <n v="7.3040302250416481E-2"/>
    <n v="7.3040302250416481E-2"/>
    <n v="0.7067662892513098"/>
    <n v="0.16443225404341791"/>
    <n v="0.33985651025084851"/>
    <n v="69.225003037346212"/>
    <n v="0.8029734383972813"/>
    <n v="69.225003037346212"/>
    <n v="69.225003037346212"/>
    <n v="0.8029734383972813"/>
    <n v="386.21873277713178"/>
    <n v="-9.9246595981870689E-2"/>
    <s v="[[sv,wv],[yr],[ya]]"/>
    <x v="1"/>
    <x v="1"/>
    <x v="2"/>
    <x v="2"/>
    <x v="0"/>
    <x v="0"/>
    <x v="2"/>
    <x v="2"/>
  </r>
  <r>
    <d v="2026-03-29T05:24:33"/>
    <s v="03-29_05-24-3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98575389756891"/>
    <n v="21.587271625006299"/>
    <n v="0.71887265946623247"/>
    <n v="0.18074353987362499"/>
    <n v="26.82462479925805"/>
    <n v="0.67476065238771821"/>
    <n v="26.82462479925805"/>
    <n v="26.82462479925805"/>
    <n v="0.67476065238771821"/>
    <n v="92.049457984676636"/>
    <n v="0.18192794517902131"/>
    <n v="0.8"/>
    <s v="identity"/>
    <n v="7.7666059401925211E-2"/>
    <n v="0.43604398974758218"/>
    <n v="7.7666059401925211E-2"/>
    <n v="7.7666059401925211E-2"/>
    <n v="0.43604398974758218"/>
    <n v="0.11444491303023149"/>
    <n v="0.16898195887334561"/>
    <n v="7.2451152266161917E-2"/>
    <n v="0.74897223166053672"/>
    <n v="7.2451152266161917E-2"/>
    <n v="7.2451152266161917E-2"/>
    <n v="0.74897223166053672"/>
    <n v="0.15504010597827861"/>
    <n v="0.4628191465628585"/>
    <n v="4.5119082631009312E-2"/>
    <n v="0.81886115448827845"/>
    <n v="4.5119082631009312E-2"/>
    <n v="4.5119082631009312E-2"/>
    <n v="0.81886115448827845"/>
    <n v="0.21359299484374519"/>
    <n v="0.1424916855734927"/>
    <n v="107.10326290273269"/>
    <n v="0.69516523365447869"/>
    <n v="107.10326290273269"/>
    <n v="107.10326290273269"/>
    <n v="0.69516523365447869"/>
    <n v="367.71475392485331"/>
    <n v="-4.6581010293604168E-2"/>
    <s v="[[sv,wv],[yr],[ya]]"/>
    <x v="1"/>
    <x v="0"/>
    <x v="5"/>
    <x v="4"/>
    <x v="1"/>
    <x v="1"/>
    <x v="5"/>
    <x v="4"/>
  </r>
  <r>
    <d v="2026-03-29T05:28:58"/>
    <s v="03-29_05-28-58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44935685882263"/>
    <n v="45.977559825721428"/>
    <n v="0.63096048563202267"/>
    <n v="0.1002672982055524"/>
    <n v="48.087980173399622"/>
    <n v="0.58966987924995251"/>
    <n v="48.087980173399622"/>
    <n v="48.087980173399622"/>
    <n v="0.58966987924995251"/>
    <n v="104.52607010842139"/>
    <n v="9.8235560091009561E-2"/>
    <n v="0.8"/>
    <s v="identity"/>
    <n v="8.0714166485855415E-2"/>
    <n v="0.41391079124217689"/>
    <n v="8.0714166485855415E-2"/>
    <n v="8.0714166485855415E-2"/>
    <n v="0.41391079124217689"/>
    <n v="0.12969995282363159"/>
    <n v="5.8210645839346209E-2"/>
    <n v="7.9991785223838222E-2"/>
    <n v="0.72284554900573839"/>
    <n v="7.9991785223838222E-2"/>
    <n v="7.9991785223838222E-2"/>
    <n v="0.72284554900573839"/>
    <n v="0.14725323050923991"/>
    <n v="0.48979900692655692"/>
    <n v="5.7596237494305383E-2"/>
    <n v="0.76876932425999511"/>
    <n v="5.7596237494305383E-2"/>
    <n v="5.7596237494305383E-2"/>
    <n v="0.76876932425999511"/>
    <n v="0.240751819919305"/>
    <n v="3.3457593283225062E-2"/>
    <n v="192.1336185043952"/>
    <n v="0.45315385249189771"/>
    <n v="192.1336185043952"/>
    <n v="192.1336185043952"/>
    <n v="0.45315385249189771"/>
    <n v="417.58657543043307"/>
    <n v="-0.18852500568509359"/>
    <s v="[[sv,wv],[yr],[ya]]"/>
    <x v="0"/>
    <x v="0"/>
    <x v="1"/>
    <x v="1"/>
    <x v="1"/>
    <x v="1"/>
    <x v="1"/>
    <x v="1"/>
  </r>
  <r>
    <d v="2026-03-29T05:41:58"/>
    <s v="03-29_05-41-58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4278937605604869"/>
    <n v="21.866138839716481"/>
    <n v="0.62192867885786707"/>
    <n v="0.1271477332035926"/>
    <n v="27.418958506896889"/>
    <n v="0.56657077192717376"/>
    <n v="27.418958506896889"/>
    <n v="27.418958506896889"/>
    <n v="0.56657077192717376"/>
    <n v="61.12940511414395"/>
    <n v="7.3785236107742985E-2"/>
    <n v="0.8"/>
    <s v="identity"/>
    <n v="7.9411439962836824E-2"/>
    <n v="0.42337027017066953"/>
    <n v="7.9411439962836824E-2"/>
    <n v="7.9411439962836824E-2"/>
    <n v="0.42337027017066953"/>
    <n v="0.19172433031185679"/>
    <n v="-0.39216652967346532"/>
    <n v="0.10211708051163811"/>
    <n v="0.64618612639856943"/>
    <n v="0.10211708051163811"/>
    <n v="0.10211708051163811"/>
    <n v="0.64618612639856943"/>
    <n v="0.12400717204756501"/>
    <n v="0.57034163455635012"/>
    <n v="0.12254564425838189"/>
    <n v="0.50801799972330564"/>
    <n v="0.12254564425838189"/>
    <n v="0.12254564425838189"/>
    <n v="0.50801799972330564"/>
    <n v="0.29612179710861342"/>
    <n v="-0.18883535150259251"/>
    <n v="109.3717598628546"/>
    <n v="0.68870869141615043"/>
    <n v="109.3717598628546"/>
    <n v="109.3717598628546"/>
    <n v="0.68870869141615043"/>
    <n v="243.90576715710881"/>
    <n v="0.30580119105068498"/>
    <s v="[[sv,wv],[yr],[ya]]"/>
    <x v="1"/>
    <x v="0"/>
    <x v="3"/>
    <x v="0"/>
    <x v="1"/>
    <x v="1"/>
    <x v="3"/>
    <x v="0"/>
  </r>
  <r>
    <d v="2026-03-29T07:01:28"/>
    <s v="03-29_07-01-28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4182523298011342E-2"/>
    <n v="7.60439979932372"/>
    <n v="0.77854199333398744"/>
    <n v="-0.31271717173605662"/>
    <n v="10.31879529731655"/>
    <n v="0.75045198410334524"/>
    <n v="10.31879529731655"/>
    <n v="10.31879529731655"/>
    <n v="0.75045198410334524"/>
    <n v="158.5977431757922"/>
    <n v="-0.30978246140632282"/>
    <n v="0.8"/>
    <s v="identity"/>
    <n v="7.4321262736786062E-2"/>
    <n v="0.46033153821989092"/>
    <n v="7.4321262736786062E-2"/>
    <n v="7.4321262736786062E-2"/>
    <n v="0.46033153821989092"/>
    <n v="0.15820742473506641"/>
    <n v="-0.14879045921681011"/>
    <n v="6.4185007286945484E-2"/>
    <n v="0.77761265851365524"/>
    <n v="6.4185007286945484E-2"/>
    <n v="6.4185007286945484E-2"/>
    <n v="0.77761265851365524"/>
    <n v="0.30607757343737468"/>
    <n v="-6.0493419296899331E-2"/>
    <n v="2.9675686339357861E-2"/>
    <n v="0.88086150582359479"/>
    <n v="2.9675686339357861E-2"/>
    <n v="2.9675686339357861E-2"/>
    <n v="0.88086150582359479"/>
    <n v="0.3054906533158695"/>
    <n v="-0.22644834578766121"/>
    <n v="41.106999232903142"/>
    <n v="0.8830022338562401"/>
    <n v="41.106999232903142"/>
    <n v="41.106999232903142"/>
    <n v="0.8830022338562401"/>
    <n v="633.62119705168061"/>
    <n v="-0.80339762132391956"/>
    <s v="[[sv,wv],[yr],[ya]]"/>
    <x v="1"/>
    <x v="0"/>
    <x v="5"/>
    <x v="4"/>
    <x v="0"/>
    <x v="0"/>
    <x v="5"/>
    <x v="4"/>
  </r>
  <r>
    <d v="2026-03-29T07:38:56"/>
    <s v="03-29_07-38-5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1152002825853"/>
    <n v="13.8019068539316"/>
    <n v="0.75361041089052672"/>
    <n v="0.19573279992922729"/>
    <n v="18.363451173729651"/>
    <n v="0.67782118641689471"/>
    <n v="18.363451173729651"/>
    <n v="18.363451173729651"/>
    <n v="0.67782118641689471"/>
    <n v="91.880513408576363"/>
    <n v="0.1233209757020642"/>
    <n v="0.8"/>
    <s v="identity"/>
    <n v="8.8267380653904118E-2"/>
    <n v="0.35906469038941252"/>
    <n v="8.8267380653904118E-2"/>
    <n v="8.8267380653904118E-2"/>
    <n v="0.35906469038941252"/>
    <n v="0.14472656387284411"/>
    <n v="-5.0901979162955913E-2"/>
    <n v="6.046978232977749E-2"/>
    <n v="0.79048511948502531"/>
    <n v="6.046978232977749E-2"/>
    <n v="6.046978232977749E-2"/>
    <n v="0.79048511948502531"/>
    <n v="0.18362862985959791"/>
    <n v="0.36376601730850422"/>
    <n v="5.7237093618970072E-2"/>
    <n v="0.7702111733215744"/>
    <n v="5.7237093618970072E-2"/>
    <n v="5.7237093618970072E-2"/>
    <n v="0.7702111733215744"/>
    <n v="0.19304922908566191"/>
    <n v="0.22496840705995549"/>
    <n v="73.247830438316043"/>
    <n v="0.79152376247156586"/>
    <n v="73.247830438316043"/>
    <n v="73.247830438316043"/>
    <n v="0.79152376247156586"/>
    <n v="367.00064921148811"/>
    <n v="-4.4548542397246933E-2"/>
    <s v="[[sv,wv],[yr],[ya]]"/>
    <x v="1"/>
    <x v="1"/>
    <x v="2"/>
    <x v="5"/>
    <x v="0"/>
    <x v="0"/>
    <x v="2"/>
    <x v="5"/>
  </r>
  <r>
    <d v="2026-03-29T07:53:58"/>
    <s v="03-29_07-53-58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210853647087185"/>
    <n v="20.083291897821301"/>
    <n v="0.69387851976326842"/>
    <n v="0.23976646029640691"/>
    <n v="20.65904191185076"/>
    <n v="0.67016442147282163"/>
    <n v="20.65904191185076"/>
    <n v="20.65904191185076"/>
    <n v="0.67016442147282163"/>
    <n v="62.406523002938897"/>
    <n v="0.15117815502052259"/>
    <n v="0.8"/>
    <s v="identity"/>
    <n v="7.8317026377702298E-2"/>
    <n v="0.43131712783013271"/>
    <n v="7.8317026377702298E-2"/>
    <n v="7.8317026377702298E-2"/>
    <n v="0.43131712783013271"/>
    <n v="0.18991332835343569"/>
    <n v="-0.3790163139048881"/>
    <n v="0.10488418235815521"/>
    <n v="0.63659870950356423"/>
    <n v="0.10488418235815521"/>
    <n v="0.10488418235815521"/>
    <n v="0.63659870950356423"/>
    <n v="8.8899785342105742E-2"/>
    <n v="0.69198123118451904"/>
    <n v="3.8033064237827978E-2"/>
    <n v="0.84730927701578607"/>
    <n v="3.8033064237827978E-2"/>
    <n v="3.8033064237827978E-2"/>
    <n v="0.84730927701578607"/>
    <n v="0.2489048923780601"/>
    <n v="7.2558619367235622E-4"/>
    <n v="82.414933374428983"/>
    <n v="0.76543257154180722"/>
    <n v="82.414933374428983"/>
    <n v="82.414933374428983"/>
    <n v="0.76543257154180722"/>
    <n v="249.09837400568179"/>
    <n v="0.29102211660879429"/>
    <s v="[[sv,wv],[yr],[ya]]"/>
    <x v="1"/>
    <x v="1"/>
    <x v="5"/>
    <x v="2"/>
    <x v="1"/>
    <x v="1"/>
    <x v="5"/>
    <x v="2"/>
  </r>
  <r>
    <d v="2026-03-29T07:54:39"/>
    <s v="03-29_07-54-39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24913540985387"/>
    <n v="13.15331539247723"/>
    <n v="0.66766979647732405"/>
    <n v="0.14434792498384649"/>
    <n v="19.15930818852873"/>
    <n v="0.61360102636030045"/>
    <n v="19.15930818852873"/>
    <n v="19.15930818852873"/>
    <n v="0.61360102636030045"/>
    <n v="75.576301061334163"/>
    <n v="0.14193164029340941"/>
    <n v="0.8"/>
    <s v="identity"/>
    <n v="7.979489720522201E-2"/>
    <n v="0.42058587479663839"/>
    <n v="7.979489720522201E-2"/>
    <n v="7.979489720522201E-2"/>
    <n v="0.42058587479663839"/>
    <n v="0.1741371187740835"/>
    <n v="-0.26446063437395367"/>
    <n v="0.1028367302516898"/>
    <n v="0.64369269375352878"/>
    <n v="0.1028367302516898"/>
    <n v="0.1028367302516898"/>
    <n v="0.64369269375352878"/>
    <n v="0.1554128975843144"/>
    <n v="0.4615275032695253"/>
    <n v="9.7778434141475232E-2"/>
    <n v="0.6074505144269482"/>
    <n v="9.7778434141475232E-2"/>
    <n v="9.7778434141475232E-2"/>
    <n v="0.6074505144269482"/>
    <n v="0.19189819115083531"/>
    <n v="0.22958946029279281"/>
    <n v="76.356822692516758"/>
    <n v="0.78267502246408349"/>
    <n v="76.356822692516758"/>
    <n v="76.356822692516758"/>
    <n v="0.78267502246408349"/>
    <n v="301.78375603782689"/>
    <n v="0.14107023198527061"/>
    <s v="[[sv,wv],[yr],[ya]]"/>
    <x v="0"/>
    <x v="0"/>
    <x v="0"/>
    <x v="0"/>
    <x v="1"/>
    <x v="1"/>
    <x v="0"/>
    <x v="0"/>
  </r>
  <r>
    <d v="2026-03-29T08:08:13"/>
    <s v="03-29_08-08-1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98045919084263"/>
    <n v="19.61536728464932"/>
    <n v="0.77787618715354812"/>
    <n v="0.25524813925314721"/>
    <n v="24.842417486221631"/>
    <n v="0.74119366048595448"/>
    <n v="24.842417486221631"/>
    <n v="24.842417486221631"/>
    <n v="0.74119366048595448"/>
    <n v="86.981251965667553"/>
    <n v="9.4171908559861989E-2"/>
    <n v="0.8"/>
    <s v="identity"/>
    <n v="4.8071758600640641E-2"/>
    <n v="0.65093687776873832"/>
    <n v="4.8071758600640641E-2"/>
    <n v="4.8071758600640641E-2"/>
    <n v="0.65093687776873832"/>
    <n v="0.17579447641729501"/>
    <n v="-0.27649519375838111"/>
    <n v="4.3112341438396713E-2"/>
    <n v="0.85062494493653129"/>
    <n v="4.3112341438396713E-2"/>
    <n v="4.3112341438396713E-2"/>
    <n v="0.85062494493653129"/>
    <n v="0.24123260456994339"/>
    <n v="0.16418054810990709"/>
    <n v="6.3368246567595141E-2"/>
    <n v="0.74559653352820132"/>
    <n v="6.3368246567595141E-2"/>
    <n v="6.3368246567595141E-2"/>
    <n v="0.74559653352820132"/>
    <n v="0.1300971800050332"/>
    <n v="0.47770097226564179"/>
    <n v="99.215117598279946"/>
    <n v="0.71761628571034497"/>
    <n v="99.215117598279946"/>
    <n v="99.215117598279946"/>
    <n v="0.71761628571034497"/>
    <n v="347.37788360167792"/>
    <n v="1.130130762227843E-2"/>
    <s v="[[sv,wv],[yr],[ya]]"/>
    <x v="1"/>
    <x v="1"/>
    <x v="2"/>
    <x v="5"/>
    <x v="0"/>
    <x v="0"/>
    <x v="2"/>
    <x v="5"/>
  </r>
  <r>
    <d v="2026-03-29T08:56:59"/>
    <s v="03-29_08-56-59_multihead_spsa_serial_f5_w5_h5_effsu2_lin_r1.pkl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584770595979209"/>
    <n v="13.490035043070909"/>
    <n v="0.74986922887964536"/>
    <n v="0.30320566461308002"/>
    <n v="14.954156863985339"/>
    <n v="0.72289722143259338"/>
    <n v="14.954156863985339"/>
    <n v="14.954156863985339"/>
    <n v="0.72289722143259338"/>
    <n v="63.466955106005521"/>
    <n v="0.29089277061660762"/>
    <n v="0.8"/>
    <s v="identity"/>
    <n v="7.5786293073648578E-2"/>
    <n v="0.44969352375078991"/>
    <n v="7.5786293073648578E-2"/>
    <n v="7.5786293073648578E-2"/>
    <n v="0.44969352375078991"/>
    <n v="0.1067878572680967"/>
    <n v="0.22458208396205009"/>
    <n v="7.2094059908276636E-2"/>
    <n v="0.75020948041210533"/>
    <n v="7.2094059908276636E-2"/>
    <n v="7.2094059908276636E-2"/>
    <n v="0.75020948041210533"/>
    <n v="0.11385394225679329"/>
    <n v="0.60552040723413891"/>
    <n v="3.4519430320729509E-2"/>
    <n v="0.86141540582383547"/>
    <n v="3.4519430320729509E-2"/>
    <n v="3.4519430320729509E-2"/>
    <n v="0.86141540582383547"/>
    <n v="0.23545490573713479"/>
    <n v="5.4723028300592717E-2"/>
    <n v="59.634227672638588"/>
    <n v="0.83027047574364254"/>
    <n v="59.634227672638588"/>
    <n v="59.634227672638588"/>
    <n v="0.83027047574364254"/>
    <n v="253.4117237187597"/>
    <n v="0.27874556296965131"/>
    <s v="[[sv,wv],[yr],[ya]]"/>
    <x v="1"/>
    <x v="1"/>
    <x v="5"/>
    <x v="2"/>
    <x v="1"/>
    <x v="1"/>
    <x v="5"/>
    <x v="2"/>
  </r>
  <r>
    <d v="2026-03-29T09:01:15"/>
    <s v="03-29_09-01-15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529890872759359"/>
    <n v="13.49361823964945"/>
    <n v="0.73144832917623748"/>
    <n v="0.26568479205660189"/>
    <n v="14.714023555835899"/>
    <n v="0.69336005820389901"/>
    <n v="14.714023555835899"/>
    <n v="14.714023555835899"/>
    <n v="0.69336005820389901"/>
    <n v="83.668933659858396"/>
    <n v="0.1960643797007372"/>
    <n v="0.8"/>
    <s v="identity"/>
    <n v="7.7658182467612469E-2"/>
    <n v="0.43610118647524221"/>
    <n v="7.7658182467612469E-2"/>
    <n v="7.7658182467612469E-2"/>
    <n v="0.43610118647524221"/>
    <n v="0.1120080254630085"/>
    <n v="0.18667691340596471"/>
    <n v="7.6415245831688974E-2"/>
    <n v="0.73523749411506034"/>
    <n v="7.6415245831688974E-2"/>
    <n v="7.6415245831688974E-2"/>
    <n v="0.73523749411506034"/>
    <n v="0.1515189594559779"/>
    <n v="0.47501916720907561"/>
    <n v="5.7535268406537443E-2"/>
    <n v="0.76901409586274472"/>
    <n v="5.7535268406537443E-2"/>
    <n v="5.7535268406537443E-2"/>
    <n v="0.76901409586274472"/>
    <n v="0.23072780583241681"/>
    <n v="7.3700839227331061E-2"/>
    <n v="58.644485526637929"/>
    <n v="0.833087456362547"/>
    <n v="58.644485526637929"/>
    <n v="58.644485526637929"/>
    <n v="0.833087456362547"/>
    <n v="334.18147984868148"/>
    <n v="4.8860598960574042E-2"/>
    <s v="[[sv,wv],[yr],[ya]]"/>
    <x v="0"/>
    <x v="1"/>
    <x v="1"/>
    <x v="2"/>
    <x v="1"/>
    <x v="1"/>
    <x v="1"/>
    <x v="2"/>
  </r>
  <r>
    <d v="2026-03-29T09:13:54"/>
    <s v="03-29_09-13-54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585818506269886"/>
    <n v="43.974742553882059"/>
    <n v="0.56172041876514955"/>
    <n v="9.0712369038600221E-2"/>
    <n v="47.189915815575191"/>
    <n v="0.52242034297930662"/>
    <n v="47.189915815575191"/>
    <n v="47.189915815575191"/>
    <n v="0.52242034297930662"/>
    <n v="112.6674077100663"/>
    <n v="0.1089898594277018"/>
    <n v="0.8"/>
    <s v="identity"/>
    <n v="6.9955304198295043E-2"/>
    <n v="0.49203404221269481"/>
    <n v="6.9955304198295043E-2"/>
    <n v="6.9955304198295043E-2"/>
    <n v="0.49203404221269481"/>
    <n v="0.16151966528986969"/>
    <n v="-0.17284160823438"/>
    <n v="0.1122559689697616"/>
    <n v="0.61105704337535593"/>
    <n v="0.1122559689697616"/>
    <n v="0.1122559689697616"/>
    <n v="0.61105704337535593"/>
    <n v="0.13787380698256979"/>
    <n v="0.52229670617033164"/>
    <n v="0.1188196282508437"/>
    <n v="0.5229767754476109"/>
    <n v="0.1188196282508437"/>
    <n v="0.1188196282508437"/>
    <n v="0.5229767754476109"/>
    <n v="0.15744968985878879"/>
    <n v="0.3678892968537818"/>
    <n v="188.45863236088181"/>
    <n v="0.46361351088156161"/>
    <n v="188.45863236088181"/>
    <n v="188.45863236088181"/>
    <n v="0.46361351088156161"/>
    <n v="450.21278767813499"/>
    <n v="-0.28138495707891659"/>
    <s v="[[sv,wv],[yr],[ya]]"/>
    <x v="0"/>
    <x v="0"/>
    <x v="0"/>
    <x v="1"/>
    <x v="1"/>
    <x v="1"/>
    <x v="0"/>
    <x v="1"/>
  </r>
  <r>
    <d v="2026-03-29T10:30:50"/>
    <s v="03-29_10-30-50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76778440894104"/>
    <n v="13.481161731707671"/>
    <n v="0.70712771639677752"/>
    <n v="-0.16897494995459739"/>
    <n v="18.73918390898293"/>
    <n v="0.65652746574511112"/>
    <n v="18.73918390898293"/>
    <n v="18.73918390898293"/>
    <n v="0.65652746574511112"/>
    <n v="126.79186688972889"/>
    <n v="-0.16001171736206921"/>
    <n v="0.8"/>
    <s v="identity"/>
    <n v="0.10945663720504489"/>
    <n v="0.20520329099800649"/>
    <n v="0.10945663720504489"/>
    <n v="0.10945663720504489"/>
    <n v="0.20520329099800649"/>
    <n v="0.13674339031425639"/>
    <n v="7.0661827847858794E-3"/>
    <n v="7.2156876002489018E-2"/>
    <n v="0.74999183606204722"/>
    <n v="7.2156876002489018E-2"/>
    <n v="7.2156876002489018E-2"/>
    <n v="0.74999183606204722"/>
    <n v="0.28324089290999771"/>
    <n v="1.8630801226314331E-2"/>
    <n v="2.8979759163902941E-2"/>
    <n v="0.88365543330995511"/>
    <n v="2.8979759163902941E-2"/>
    <n v="2.8979759163902941E-2"/>
    <n v="0.88365543330995511"/>
    <n v="0.30496030313823008"/>
    <n v="-0.22431915757521059"/>
    <n v="74.746142363560324"/>
    <n v="0.78725930261043775"/>
    <n v="74.746142363560324"/>
    <n v="74.746142363560324"/>
    <n v="0.78725930261043775"/>
    <n v="506.44252297255258"/>
    <n v="-0.44142469588417521"/>
    <s v="[[sv,wv],[yr],[ya]]"/>
    <x v="1"/>
    <x v="1"/>
    <x v="5"/>
    <x v="2"/>
    <x v="0"/>
    <x v="0"/>
    <x v="5"/>
    <x v="2"/>
  </r>
  <r>
    <d v="2026-03-29T11:06:40"/>
    <s v="03-29_11-06-40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0592031450401803E-2"/>
    <n v="10.743058387856451"/>
    <n v="0.76826080050540302"/>
    <n v="-1.003487495967692E-2"/>
    <n v="13.51957706277223"/>
    <n v="0.71049702290001338"/>
    <n v="13.51957706277223"/>
    <n v="13.51957706277223"/>
    <n v="0.71049702290001338"/>
    <n v="125.0714916063781"/>
    <n v="-7.5622352696549933E-3"/>
    <n v="0.8"/>
    <s v="identity"/>
    <n v="8.7574675917987593E-2"/>
    <n v="0.36409462241066748"/>
    <n v="8.7574675917987593E-2"/>
    <n v="8.7574675917987593E-2"/>
    <n v="0.36409462241066748"/>
    <n v="0.14345450816001301"/>
    <n v="-4.1665209972510109E-2"/>
    <n v="5.8051270243374593E-2"/>
    <n v="0.79886474731373669"/>
    <n v="5.8051270243374593E-2"/>
    <n v="5.8051270243374593E-2"/>
    <n v="0.79886474731373669"/>
    <n v="0.1960537335464573"/>
    <n v="0.32071568681216672"/>
    <n v="4.1743803466661893E-2"/>
    <n v="0.83241183272590435"/>
    <n v="4.1743803466661893E-2"/>
    <n v="4.1743803466661893E-2"/>
    <n v="0.83241183272590435"/>
    <n v="0.22093708001058501"/>
    <n v="0.11300750657675861"/>
    <n v="53.890938501460688"/>
    <n v="0.84661688914974709"/>
    <n v="53.890938501460688"/>
    <n v="53.890938501460688"/>
    <n v="0.84661688914974709"/>
    <n v="499.72552110379331"/>
    <n v="-0.42230692449503282"/>
    <s v="[[sv,wv],[yr],[ya]]"/>
    <x v="1"/>
    <x v="0"/>
    <x v="5"/>
    <x v="4"/>
    <x v="0"/>
    <x v="0"/>
    <x v="5"/>
    <x v="4"/>
  </r>
  <r>
    <d v="2026-03-29T11:22:26"/>
    <s v="03-29_11-22-26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2703955923609939"/>
    <n v="29.085398777299488"/>
    <n v="0.66339064298637207"/>
    <n v="7.6957607402048933E-2"/>
    <n v="32.42313309042963"/>
    <n v="0.63179875399233887"/>
    <n v="32.42313309042963"/>
    <n v="32.42313309042963"/>
    <n v="0.63179875399233887"/>
    <n v="82.642611463972898"/>
    <n v="8.6440540350058354E-2"/>
    <n v="0.8"/>
    <s v="identity"/>
    <n v="8.1726787476048113E-2"/>
    <n v="0.40655785357642521"/>
    <n v="8.1726787476048113E-2"/>
    <n v="8.1726787476048113E-2"/>
    <n v="0.40655785357642521"/>
    <n v="0.16884582618565011"/>
    <n v="-0.22603900876000971"/>
    <n v="0.10503798018682201"/>
    <n v="0.63606583287568319"/>
    <n v="0.10503798018682201"/>
    <n v="0.10503798018682201"/>
    <n v="0.63606583287568319"/>
    <n v="9.963095046159573E-2"/>
    <n v="0.65480003602931103"/>
    <n v="3.6599793955233037E-2"/>
    <n v="0.85306340385428414"/>
    <n v="3.6599793955233037E-2"/>
    <n v="3.6599793955233037E-2"/>
    <n v="0.85306340385428414"/>
    <n v="0.28488223417408221"/>
    <n v="-0.14371206141561529"/>
    <n v="129.46916780010039"/>
    <n v="0.63150792566296576"/>
    <n v="129.46916780010039"/>
    <n v="129.46916780010039"/>
    <n v="0.63150792566296576"/>
    <n v="330.0170868450702"/>
    <n v="6.07131955465402E-2"/>
    <s v="[[sv,wv],[yr],[ya]]"/>
    <x v="1"/>
    <x v="1"/>
    <x v="5"/>
    <x v="5"/>
    <x v="1"/>
    <x v="1"/>
    <x v="5"/>
    <x v="5"/>
  </r>
  <r>
    <d v="2026-03-29T11:24:03"/>
    <s v="03-29_11-24-0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095268455695315"/>
    <n v="13.828086775108471"/>
    <n v="0.72147868133697313"/>
    <n v="0.1488817577213862"/>
    <n v="20.56749380214891"/>
    <n v="0.67146893905878258"/>
    <n v="20.56749380214891"/>
    <n v="20.56749380214891"/>
    <n v="0.67146893905878258"/>
    <n v="92.035974201515884"/>
    <n v="0.13170799483943241"/>
    <n v="0.8"/>
    <s v="identity"/>
    <n v="8.2623134016029512E-2"/>
    <n v="0.4000492187572503"/>
    <n v="8.2623134016029512E-2"/>
    <n v="8.2623134016029512E-2"/>
    <n v="0.4000492187572503"/>
    <n v="0.1716975211379384"/>
    <n v="-0.24674600123695331"/>
    <n v="9.6127916229679408E-2"/>
    <n v="0.66693730145780583"/>
    <n v="9.6127916229679408E-2"/>
    <n v="9.6127916229679408E-2"/>
    <n v="0.66693730145780583"/>
    <n v="0.1319330134698147"/>
    <n v="0.54288028684540335"/>
    <n v="3.6757388157459527E-2"/>
    <n v="0.8524307129796912"/>
    <n v="3.6757388157459527E-2"/>
    <n v="3.6757388157459527E-2"/>
    <n v="0.8524307129796912"/>
    <n v="0.1800581558364098"/>
    <n v="0.27712345705448799"/>
    <n v="82.054466770192704"/>
    <n v="0.76645852304038598"/>
    <n v="82.054466770192704"/>
    <n v="82.054466770192704"/>
    <n v="0.76645852304038598"/>
    <n v="367.66020811562078"/>
    <n v="-4.6425763305213419E-2"/>
    <s v="[[sv,wv],[yr],[ya]]"/>
    <x v="0"/>
    <x v="0"/>
    <x v="4"/>
    <x v="0"/>
    <x v="1"/>
    <x v="1"/>
    <x v="4"/>
    <x v="0"/>
  </r>
  <r>
    <d v="2026-03-29T11:39:38"/>
    <s v="03-29_11-39-38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477289094203091"/>
    <n v="17.27996749192544"/>
    <n v="0.80970995238068277"/>
    <n v="-0.31328126969420428"/>
    <n v="22.323909074595271"/>
    <n v="0.75872614068036537"/>
    <n v="22.323909074595271"/>
    <n v="22.323909074595271"/>
    <n v="0.75872614068036537"/>
    <n v="151.6275754140822"/>
    <n v="-0.24200550278037111"/>
    <n v="0.8"/>
    <s v="identity"/>
    <n v="5.4709019144196687E-2"/>
    <n v="0.60274178451984772"/>
    <n v="5.4709019144196687E-2"/>
    <n v="5.4709019144196687E-2"/>
    <n v="0.60274178451984772"/>
    <n v="0.15190681816383869"/>
    <n v="-0.1030399090866503"/>
    <n v="5.0185327413543562E-2"/>
    <n v="0.8261185591952146"/>
    <n v="5.0185327413543562E-2"/>
    <n v="5.0185327413543562E-2"/>
    <n v="0.8261185591952146"/>
    <n v="0.36702969744341318"/>
    <n v="-0.27167951070061358"/>
    <n v="3.4922452897260148E-2"/>
    <n v="0.8597973976558736"/>
    <n v="3.4922452897260148E-2"/>
    <n v="3.4922452897260148E-2"/>
    <n v="0.8597973976558736"/>
    <n v="0.21649539331607701"/>
    <n v="0.13083947374124591"/>
    <n v="89.15581949892622"/>
    <n v="0.74624682135052667"/>
    <n v="89.15581949892622"/>
    <n v="89.15581949892622"/>
    <n v="0.74624682135052667"/>
    <n v="605.77486974740486"/>
    <n v="-0.72414206507547196"/>
    <s v="[[sv,wv],[yr],[ya]]"/>
    <x v="1"/>
    <x v="0"/>
    <x v="5"/>
    <x v="4"/>
    <x v="0"/>
    <x v="0"/>
    <x v="5"/>
    <x v="4"/>
  </r>
  <r>
    <d v="2026-03-29T12:27:06"/>
    <s v="03-29_12-27-0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20329490904676"/>
    <n v="17.360421457600289"/>
    <n v="0.73512532621344806"/>
    <n v="0.16856687042348151"/>
    <n v="23.309460542463071"/>
    <n v="0.68659517862695063"/>
    <n v="23.309460542463071"/>
    <n v="23.309460542463071"/>
    <n v="0.68659517862695063"/>
    <n v="110.355853673562"/>
    <n v="0.184156125206729"/>
    <n v="0.8"/>
    <s v="identity"/>
    <n v="7.7083899956059937E-2"/>
    <n v="0.44027122003258878"/>
    <n v="7.7083899956059937E-2"/>
    <n v="7.7083899956059937E-2"/>
    <n v="0.44027122003258878"/>
    <n v="0.12673804171735861"/>
    <n v="7.9717950099135071E-2"/>
    <n v="7.2655406672302039E-2"/>
    <n v="0.74826453376832802"/>
    <n v="7.2655406672302039E-2"/>
    <n v="7.2655406672302039E-2"/>
    <n v="0.74826453376832802"/>
    <n v="0.12605163603938371"/>
    <n v="0.56325800348542909"/>
    <n v="4.4171751234623878E-2"/>
    <n v="0.82266439040204076"/>
    <n v="4.4171751234623878E-2"/>
    <n v="4.4171751234623878E-2"/>
    <n v="0.82266439040204076"/>
    <n v="0.16219552288061079"/>
    <n v="0.34883627838719161"/>
    <n v="93.043931111989551"/>
    <n v="0.73518057030484329"/>
    <n v="93.043931111989551"/>
    <n v="93.043931111989551"/>
    <n v="0.73518057030484329"/>
    <n v="441.00842949360992"/>
    <n v="-0.25518773114483539"/>
    <s v="[[sv,wv],[yr],[ya]]"/>
    <x v="1"/>
    <x v="1"/>
    <x v="5"/>
    <x v="5"/>
    <x v="1"/>
    <x v="1"/>
    <x v="5"/>
    <x v="5"/>
  </r>
  <r>
    <d v="2026-03-29T12:29:53"/>
    <s v="03-29_12-29-53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0754026606576179"/>
    <n v="13.19784013387827"/>
    <n v="0.72409856223340863"/>
    <n v="-1.8601577186980911E-2"/>
    <n v="16.639321407900471"/>
    <n v="0.67552507156695252"/>
    <n v="16.639321407900471"/>
    <n v="16.639321407900471"/>
    <n v="0.67552507156695252"/>
    <n v="160.23999818162741"/>
    <n v="1.5615926345803889E-2"/>
    <n v="0.8"/>
    <s v="identity"/>
    <n v="7.9124411178193702E-2"/>
    <n v="0.4254544702634957"/>
    <n v="7.9124411178193702E-2"/>
    <n v="7.9124411178193702E-2"/>
    <n v="0.4254544702634957"/>
    <n v="0.1241360824611802"/>
    <n v="9.8611538524420728E-2"/>
    <n v="7.9447819394867822E-2"/>
    <n v="0.72473027442180515"/>
    <n v="7.9447819394867822E-2"/>
    <n v="7.9447819394867822E-2"/>
    <n v="0.72473027442180515"/>
    <n v="0.15546045037579961"/>
    <n v="0.46136274300344993"/>
    <n v="6.4584374099922889E-2"/>
    <n v="0.74071416614936036"/>
    <n v="6.4584374099922889E-2"/>
    <n v="6.4584374099922889E-2"/>
    <n v="0.74071416614936036"/>
    <n v="0.16800810750793799"/>
    <n v="0.32550058964006229"/>
    <n v="66.334129026928892"/>
    <n v="0.81120137543315129"/>
    <n v="66.334129026928892"/>
    <n v="66.334129026928892"/>
    <n v="0.81120137543315129"/>
    <n v="640.51238808616517"/>
    <n v="-0.823011165784719"/>
    <s v="[[sv,wv],[yr],[ya]]"/>
    <x v="0"/>
    <x v="1"/>
    <x v="1"/>
    <x v="3"/>
    <x v="1"/>
    <x v="1"/>
    <x v="1"/>
    <x v="3"/>
  </r>
  <r>
    <d v="2026-03-29T12:44:04"/>
    <s v="03-29_12-44-04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3796139321535261"/>
    <n v="18.013293936804409"/>
    <n v="0.64133028402754533"/>
    <n v="0.25349108270897591"/>
    <n v="23.041976498602779"/>
    <n v="0.59420180247545229"/>
    <n v="23.041976498602779"/>
    <n v="23.041976498602779"/>
    <n v="0.59420180247545229"/>
    <n v="54.861243274560692"/>
    <n v="0.26932388392905138"/>
    <n v="0.8"/>
    <s v="identity"/>
    <n v="7.6673196612650346E-2"/>
    <n v="0.44325345732813581"/>
    <n v="7.6673196612650346E-2"/>
    <n v="7.6673196612650346E-2"/>
    <n v="0.44325345732813581"/>
    <n v="0.19534768987071149"/>
    <n v="-0.4184768049244203"/>
    <n v="0.10618102136043921"/>
    <n v="0.63210543934213204"/>
    <n v="0.10618102136043921"/>
    <n v="0.10618102136043921"/>
    <n v="0.63210543934213204"/>
    <n v="0.1082821545104317"/>
    <n v="0.62482546174165132"/>
    <n v="0.1088643326022581"/>
    <n v="0.56294413859770509"/>
    <n v="0.1088643326022581"/>
    <n v="0.1088643326022581"/>
    <n v="0.56294413859770509"/>
    <n v="0.12596178815719389"/>
    <n v="0.49430326250239798"/>
    <n v="91.876187443835676"/>
    <n v="0.73850417463383955"/>
    <n v="91.876187443835676"/>
    <n v="91.876187443835676"/>
    <n v="0.73850417463383955"/>
    <n v="219.015381465704"/>
    <n v="0.3766436163965865"/>
    <s v="[[sv,wv],[yr],[ya]]"/>
    <x v="0"/>
    <x v="1"/>
    <x v="0"/>
    <x v="3"/>
    <x v="1"/>
    <x v="1"/>
    <x v="0"/>
    <x v="3"/>
  </r>
  <r>
    <d v="2026-03-29T14:01:17"/>
    <s v="03-29_14-01-17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6966985268402556E-2"/>
    <n v="12.32826448272211"/>
    <n v="0.76232858756030752"/>
    <n v="-0.27518992691046251"/>
    <n v="16.61700169872444"/>
    <n v="0.73027129149612935"/>
    <n v="16.61700169872444"/>
    <n v="16.61700169872444"/>
    <n v="0.73027129149612935"/>
    <n v="113.1951325971809"/>
    <n v="-0.24803194734549139"/>
    <n v="0.8"/>
    <s v="identity"/>
    <n v="7.2373727370723978E-2"/>
    <n v="0.47447316305997678"/>
    <n v="7.2373727370723978E-2"/>
    <n v="7.2373727370723978E-2"/>
    <n v="0.47447316305997678"/>
    <n v="0.16561224234195021"/>
    <n v="-0.2025590091649172"/>
    <n v="7.0886956138482796E-2"/>
    <n v="0.75439183715879055"/>
    <n v="7.0886956138482796E-2"/>
    <n v="7.0886956138482796E-2"/>
    <n v="0.75439183715879055"/>
    <n v="0.32184693145246818"/>
    <n v="-0.1151308767680042"/>
    <n v="2.9664191147300151E-2"/>
    <n v="0.88090765538375537"/>
    <n v="2.9664191147300151E-2"/>
    <n v="2.9664191147300151E-2"/>
    <n v="0.88090765538375537"/>
    <n v="0.34575978841861182"/>
    <n v="-0.38811618602103198"/>
    <n v="66.295081920241486"/>
    <n v="0.81131251038199348"/>
    <n v="66.295081920241486"/>
    <n v="66.295081920241486"/>
    <n v="0.81131251038199348"/>
    <n v="451.94731142651023"/>
    <n v="-0.28632171742800971"/>
    <s v="[[sv,wv],[yr],[ya]]"/>
    <x v="1"/>
    <x v="1"/>
    <x v="5"/>
    <x v="5"/>
    <x v="0"/>
    <x v="0"/>
    <x v="5"/>
    <x v="5"/>
  </r>
  <r>
    <d v="2026-03-29T14:34:37"/>
    <s v="03-29_14-34-3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9405956051692584E-2"/>
    <n v="26.71552987381121"/>
    <n v="0.71730367411965479"/>
    <n v="-0.12132455992218549"/>
    <n v="25.510373400569311"/>
    <n v="0.6751986822577003"/>
    <n v="25.510373400569311"/>
    <n v="25.510373400569311"/>
    <n v="0.6751986822577003"/>
    <n v="95.372960566795385"/>
    <n v="-0.1188949974642504"/>
    <n v="0.8"/>
    <s v="identity"/>
    <n v="8.2338988378048289E-2"/>
    <n v="0.40211248347752199"/>
    <n v="8.2338988378048289E-2"/>
    <n v="8.2338988378048289E-2"/>
    <n v="0.40211248347752199"/>
    <n v="0.14323815075174709"/>
    <n v="-4.0094175447342062E-2"/>
    <n v="6.1142569310196203E-2"/>
    <n v="0.78815405629307056"/>
    <n v="6.1142569310196203E-2"/>
    <n v="6.1142569310196203E-2"/>
    <n v="0.78815405629307056"/>
    <n v="0.32086040140663519"/>
    <n v="-0.11171276086426379"/>
    <n v="4.9715898221625567E-2"/>
    <n v="0.80040639387348178"/>
    <n v="4.9715898221625567E-2"/>
    <n v="4.9715898221625567E-2"/>
    <n v="0.80040639387348178"/>
    <n v="0.30891104656180629"/>
    <n v="-0.24018014279319819"/>
    <n v="101.84829614636671"/>
    <n v="0.71012179538673048"/>
    <n v="101.84829614636671"/>
    <n v="101.84829614636671"/>
    <n v="0.71012179538673048"/>
    <n v="380.71883266846118"/>
    <n v="-8.3592910752197769E-2"/>
    <s v="[[sv,wv],[yr],[ya]]"/>
    <x v="1"/>
    <x v="1"/>
    <x v="5"/>
    <x v="2"/>
    <x v="0"/>
    <x v="0"/>
    <x v="5"/>
    <x v="2"/>
  </r>
  <r>
    <d v="2026-03-29T14:53:17"/>
    <s v="03-29_14-53-17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1168488779969959"/>
    <n v="13.86149166938336"/>
    <n v="0.7044912454604948"/>
    <n v="5.4024813219766182E-2"/>
    <n v="19.995343404635701"/>
    <n v="0.64473250478142241"/>
    <n v="19.995343404635701"/>
    <n v="19.995343404635701"/>
    <n v="0.64473250478142241"/>
    <n v="77.887623237502964"/>
    <n v="0.1097971838233877"/>
    <n v="0.8"/>
    <s v="identity"/>
    <n v="8.377662974966657E-2"/>
    <n v="0.39167334830889061"/>
    <n v="8.377662974966657E-2"/>
    <n v="8.377662974966657E-2"/>
    <n v="0.39167334830889061"/>
    <n v="0.185988804318827"/>
    <n v="-0.35051919516677987"/>
    <n v="9.6543960451597438E-2"/>
    <n v="0.66549579708842133"/>
    <n v="9.6543960451597438E-2"/>
    <n v="9.6543960451597438E-2"/>
    <n v="0.66549579708842133"/>
    <n v="0.12735346923706151"/>
    <n v="0.55874742950362721"/>
    <n v="6.2592580254504912E-2"/>
    <n v="0.74871058843052618"/>
    <n v="6.2592580254504912E-2"/>
    <n v="6.2592580254504912E-2"/>
    <n v="0.74871058843052618"/>
    <n v="0.22014941997111659"/>
    <n v="0.1161697124968534"/>
    <n v="79.738460448087309"/>
    <n v="0.77305028529785247"/>
    <n v="79.738460448087309"/>
    <n v="79.738460448087309"/>
    <n v="0.77305028529785247"/>
    <n v="311.01700125648563"/>
    <n v="0.11479078845984921"/>
    <s v="[[sv,wv],[yr],[ya]]"/>
    <x v="1"/>
    <x v="0"/>
    <x v="2"/>
    <x v="0"/>
    <x v="1"/>
    <x v="1"/>
    <x v="2"/>
    <x v="0"/>
  </r>
  <r>
    <d v="2026-03-29T15:09:16"/>
    <s v="03-29_15-09-16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367910978676841"/>
    <n v="14.986672994325771"/>
    <n v="0.79855851845709158"/>
    <n v="-0.22774738141233061"/>
    <n v="17.053013633878109"/>
    <n v="0.75082495239274749"/>
    <n v="17.053013633878109"/>
    <n v="17.053013633878109"/>
    <n v="0.75082495239274749"/>
    <n v="109.18841977425581"/>
    <n v="-0.2080498241798602"/>
    <n v="0.8"/>
    <s v="identity"/>
    <n v="6.1763893797680797E-2"/>
    <n v="0.55151427287515131"/>
    <n v="6.1763893797680797E-2"/>
    <n v="6.1763893797680797E-2"/>
    <n v="0.55151427287515131"/>
    <n v="0.1708859720650292"/>
    <n v="-0.2408531056683314"/>
    <n v="5.2586031094463831E-2"/>
    <n v="0.81780063368794542"/>
    <n v="5.2586031094463831E-2"/>
    <n v="5.2586031094463831E-2"/>
    <n v="0.81780063368794542"/>
    <n v="0.3383613938756207"/>
    <n v="-0.17234996187213539"/>
    <n v="4.2922233140109803E-2"/>
    <n v="0.82768081032656138"/>
    <n v="4.2922233140109803E-2"/>
    <n v="4.2922233140109803E-2"/>
    <n v="0.82768081032656138"/>
    <n v="0.29347341936452043"/>
    <n v="-0.17820295254698421"/>
    <n v="68.054782377480109"/>
    <n v="0.80630409268133385"/>
    <n v="68.054782377480109"/>
    <n v="68.054782377480109"/>
    <n v="0.80630409268133385"/>
    <n v="435.95095831172023"/>
    <n v="-0.24079327663199129"/>
    <s v="[[sv,wv],[yr],[ya]]"/>
    <x v="1"/>
    <x v="1"/>
    <x v="5"/>
    <x v="2"/>
    <x v="0"/>
    <x v="0"/>
    <x v="5"/>
    <x v="2"/>
  </r>
  <r>
    <d v="2026-03-29T15:54:27"/>
    <s v="03-29_15-54-27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225683426668821"/>
    <n v="38.143874550204828"/>
    <n v="0.64926682767441535"/>
    <n v="0.18796319126706609"/>
    <n v="42.260140025633717"/>
    <n v="0.59405857249773164"/>
    <n v="42.260140025633717"/>
    <n v="42.260140025633717"/>
    <n v="0.59405857249773164"/>
    <n v="103.17954342774451"/>
    <n v="0.2199854430190584"/>
    <n v="0.8"/>
    <s v="identity"/>
    <n v="7.7981943673029838E-2"/>
    <n v="0.4337502615140979"/>
    <n v="7.7981943673029838E-2"/>
    <n v="7.7981943673029838E-2"/>
    <n v="0.4337502615140979"/>
    <n v="0.1474873122230724"/>
    <n v="-7.0948581718757397E-2"/>
    <n v="7.3537761391543346E-2"/>
    <n v="0.74520736312125213"/>
    <n v="7.3537761391543346E-2"/>
    <n v="7.3537761391543346E-2"/>
    <n v="0.74520736312125213"/>
    <n v="0.13186074814151519"/>
    <n v="0.54313067077338717"/>
    <n v="8.0271285221116165E-2"/>
    <n v="0.67773617979763801"/>
    <n v="8.0271285221116165E-2"/>
    <n v="8.0271285221116165E-2"/>
    <n v="0.67773617979763801"/>
    <n v="0.1042830653871554"/>
    <n v="0.5813364774027957"/>
    <n v="168.80876911224979"/>
    <n v="0.51954048555793564"/>
    <n v="168.80876911224979"/>
    <n v="168.80876911224979"/>
    <n v="0.51954048555793564"/>
    <n v="412.33454258522693"/>
    <n v="-0.1735767943811917"/>
    <s v="[[sv,wv],[yr],[ya]]"/>
    <x v="1"/>
    <x v="0"/>
    <x v="2"/>
    <x v="1"/>
    <x v="1"/>
    <x v="1"/>
    <x v="2"/>
    <x v="1"/>
  </r>
  <r>
    <d v="2026-03-29T16:06:02"/>
    <s v="03-29_16-06-02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3632593011428451"/>
    <n v="42.234464439514547"/>
    <n v="0.64678614747626084"/>
    <n v="0.22582609417134539"/>
    <n v="47.893106197379879"/>
    <n v="0.60515526662298302"/>
    <n v="47.893106197379879"/>
    <n v="47.893106197379879"/>
    <n v="0.60515526662298302"/>
    <n v="116.09343658910269"/>
    <n v="0.2356189413442687"/>
    <n v="0.8"/>
    <s v="identity"/>
    <n v="6.9461986213827709E-2"/>
    <n v="0.49561616861962632"/>
    <n v="6.9461986213827709E-2"/>
    <n v="6.9461986213827709E-2"/>
    <n v="0.49561616861962632"/>
    <n v="0.13602697828119761"/>
    <n v="1.2268260435845829E-2"/>
    <n v="0.1035602626483343"/>
    <n v="0.64118580853265972"/>
    <n v="0.1035602626483343"/>
    <n v="0.1035602626483343"/>
    <n v="0.64118580853265972"/>
    <n v="0.13720714250703281"/>
    <n v="0.52460655619052798"/>
    <n v="4.2729664469262678E-2"/>
    <n v="0.8284539126301752"/>
    <n v="4.2729664469262678E-2"/>
    <n v="4.2729664469262678E-2"/>
    <n v="0.8284539126301752"/>
    <n v="6.8170054362756735E-2"/>
    <n v="0.72631879405157984"/>
    <n v="191.35667287618909"/>
    <n v="0.45536517670946569"/>
    <n v="191.35667287618909"/>
    <n v="191.35667287618909"/>
    <n v="0.45536517670946569"/>
    <n v="464.03234218126101"/>
    <n v="-0.32071784530086939"/>
    <s v="[[sv,wv],[yr],[ya]]"/>
    <x v="0"/>
    <x v="0"/>
    <x v="1"/>
    <x v="1"/>
    <x v="1"/>
    <x v="1"/>
    <x v="1"/>
    <x v="1"/>
  </r>
  <r>
    <d v="2026-03-29T17:10:42"/>
    <s v="03-29_17-10-42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2548439511366691"/>
    <n v="21.5469605142214"/>
    <n v="0.66623616446798994"/>
    <n v="0.1398737437452435"/>
    <n v="28.79443629675524"/>
    <n v="0.60301428656021727"/>
    <n v="28.79443629675524"/>
    <n v="28.79443629675524"/>
    <n v="0.60301428656021727"/>
    <n v="122.4565902873872"/>
    <n v="0.17409648523044921"/>
    <n v="0.8"/>
    <s v="identity"/>
    <n v="8.450067110087163E-2"/>
    <n v="0.38641587194369648"/>
    <n v="8.450067110087163E-2"/>
    <n v="8.450067110087163E-2"/>
    <n v="0.38641587194369648"/>
    <n v="0.10288076861850939"/>
    <n v="0.25295259926167352"/>
    <n v="0.1080135057530557"/>
    <n v="0.62575627230741715"/>
    <n v="0.1080135057530557"/>
    <n v="0.1080135057530557"/>
    <n v="0.62575627230741715"/>
    <n v="0.1339220153216627"/>
    <n v="0.53598882024376526"/>
    <n v="6.8010421537960344E-2"/>
    <n v="0.72695966935097078"/>
    <n v="6.8010421537960344E-2"/>
    <n v="6.8010421537960344E-2"/>
    <n v="0.72695966935097078"/>
    <n v="0.17425862513219181"/>
    <n v="0.30040673842931442"/>
    <n v="114.91722058862911"/>
    <n v="0.67292533263879029"/>
    <n v="114.91722058862911"/>
    <n v="114.91722058862911"/>
    <n v="0.67292533263879029"/>
    <n v="489.41529974047643"/>
    <n v="-0.39296221701294992"/>
    <s v="[[sv,wv],[yr],[ya]]"/>
    <x v="0"/>
    <x v="0"/>
    <x v="0"/>
    <x v="0"/>
    <x v="1"/>
    <x v="1"/>
    <x v="0"/>
    <x v="0"/>
  </r>
  <r>
    <d v="2026-03-29T17:40:22"/>
    <s v="03-29_17-40-22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804955220418321E-2"/>
    <n v="13.26231669327289"/>
    <n v="0.76040753393659988"/>
    <n v="-0.1917100279535186"/>
    <n v="17.88421805971057"/>
    <n v="0.69372448317980817"/>
    <n v="17.88421805971057"/>
    <n v="17.88421805971057"/>
    <n v="0.69372448317980817"/>
    <n v="106.15170997819889"/>
    <n v="-0.19135790917626441"/>
    <n v="0.8"/>
    <s v="identity"/>
    <n v="8.7347227857555471E-2"/>
    <n v="0.36574618941031578"/>
    <n v="8.7347227857555471E-2"/>
    <n v="8.7347227857555471E-2"/>
    <n v="0.36574618941031578"/>
    <n v="0.16773609823271601"/>
    <n v="-0.21798094898947951"/>
    <n v="5.8835763036335011E-2"/>
    <n v="0.79614664733967699"/>
    <n v="5.8835763036335011E-2"/>
    <n v="5.8835763036335011E-2"/>
    <n v="0.79614664733967699"/>
    <n v="0.31797347464003273"/>
    <n v="-0.1017101762136101"/>
    <n v="4.5815518875525922E-2"/>
    <n v="0.81606518325065502"/>
    <n v="4.5815518875525922E-2"/>
    <n v="4.5815518875525922E-2"/>
    <n v="0.81606518325065502"/>
    <n v="0.30874057184524029"/>
    <n v="-0.23949574072766319"/>
    <n v="71.344873729073171"/>
    <n v="0.79693991271858966"/>
    <n v="71.344873729073171"/>
    <n v="71.344873729073171"/>
    <n v="0.79693991271858966"/>
    <n v="423.81238976807782"/>
    <n v="-0.20624477077432421"/>
    <s v="[[sv,wv],[yr],[ya]]"/>
    <x v="1"/>
    <x v="1"/>
    <x v="5"/>
    <x v="5"/>
    <x v="0"/>
    <x v="0"/>
    <x v="5"/>
    <x v="5"/>
  </r>
  <r>
    <d v="2026-03-29T17:56:13"/>
    <s v="03-29_17-56-1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56608052464749"/>
    <n v="12.892913214785001"/>
    <n v="0.70743088050002756"/>
    <n v="-9.9214109076709051E-2"/>
    <n v="18.713473265062181"/>
    <n v="0.6620085145953335"/>
    <n v="18.713473265062181"/>
    <n v="18.713473265062181"/>
    <n v="0.6620085145953335"/>
    <n v="81.653604591479194"/>
    <n v="-0.1197685842534066"/>
    <n v="0.8"/>
    <s v="identity"/>
    <n v="8.0485822038122254E-2"/>
    <n v="0.41556886717262242"/>
    <n v="8.0485822038122254E-2"/>
    <n v="8.0485822038122254E-2"/>
    <n v="0.41556886717262242"/>
    <n v="0.1786527207277859"/>
    <n v="-0.29724974304392321"/>
    <n v="9.8916670909106164E-2"/>
    <n v="0.65727486212142427"/>
    <n v="9.8916670909106164E-2"/>
    <n v="9.8916670909106164E-2"/>
    <n v="0.65727486212142427"/>
    <n v="0.1275724698231612"/>
    <n v="0.5579886392473774"/>
    <n v="5.2911641115016832E-2"/>
    <n v="0.78757649697608034"/>
    <n v="5.2911641115016832E-2"/>
    <n v="5.2911641115016832E-2"/>
    <n v="0.78757649697608034"/>
    <n v="0.45143468151483052"/>
    <n v="-0.81236745663236998"/>
    <n v="74.621578926186629"/>
    <n v="0.78761383211120095"/>
    <n v="74.621578926186629"/>
    <n v="74.621578926186629"/>
    <n v="0.78761383211120095"/>
    <n v="325.85675849385183"/>
    <n v="7.2554223415280839E-2"/>
    <s v="[[sv,wv],[yr],[ya]]"/>
    <x v="1"/>
    <x v="0"/>
    <x v="5"/>
    <x v="0"/>
    <x v="1"/>
    <x v="1"/>
    <x v="5"/>
    <x v="0"/>
  </r>
  <r>
    <d v="2026-03-29T18:12:42"/>
    <s v="03-29_18-12-4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75557328520447"/>
    <n v="20.826809964075611"/>
    <n v="0.79835935960445248"/>
    <n v="-0.14589609094565409"/>
    <n v="26.623927481339329"/>
    <n v="0.74946025659941784"/>
    <n v="26.623927481339329"/>
    <n v="26.623927481339329"/>
    <n v="0.74946025659941784"/>
    <n v="100.8962638011734"/>
    <n v="-0.10962697362538409"/>
    <n v="0.8"/>
    <s v="identity"/>
    <n v="5.3489771864559971E-2"/>
    <n v="0.61159509620618768"/>
    <n v="5.3489771864559971E-2"/>
    <n v="5.3489771864559971E-2"/>
    <n v="0.61159509620618768"/>
    <n v="0.153284922024579"/>
    <n v="-0.1130467249467748"/>
    <n v="4.8401163289204567E-2"/>
    <n v="0.83230030682068779"/>
    <n v="4.8401163289204567E-2"/>
    <n v="4.8401163289204567E-2"/>
    <n v="0.83230030682068779"/>
    <n v="0.32683814010636392"/>
    <n v="-0.1324243487213721"/>
    <n v="3.5704041337754268E-2"/>
    <n v="0.85665956728520221"/>
    <n v="3.5704041337754268E-2"/>
    <n v="3.5704041337754268E-2"/>
    <n v="0.85665956728520221"/>
    <n v="0.26066088645862379"/>
    <n v="-4.6471011596470158E-2"/>
    <n v="106.3581149488659"/>
    <n v="0.69728605608559469"/>
    <n v="106.3581149488659"/>
    <n v="106.3581149488659"/>
    <n v="0.69728605608559469"/>
    <n v="402.84427125610381"/>
    <n v="-0.14656580923691889"/>
    <s v="[[sv,wv],[yr],[ya]]"/>
    <x v="1"/>
    <x v="1"/>
    <x v="5"/>
    <x v="5"/>
    <x v="0"/>
    <x v="0"/>
    <x v="5"/>
    <x v="5"/>
  </r>
  <r>
    <d v="2026-03-29T18:53:31"/>
    <s v="03-29_18-53-31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67305070380664"/>
    <n v="14.95136999234602"/>
    <n v="0.71539829814537459"/>
    <n v="0.16707073771014549"/>
    <n v="16.917366479571822"/>
    <n v="0.65800137073620935"/>
    <n v="16.917366479571822"/>
    <n v="16.917366479571822"/>
    <n v="0.65800137073620935"/>
    <n v="97.135866261636878"/>
    <n v="0.19072153682319939"/>
    <n v="0.8"/>
    <s v="identity"/>
    <n v="7.7421241728029111E-2"/>
    <n v="0.43782168259916898"/>
    <n v="7.7421241728029111E-2"/>
    <n v="7.7421241728029111E-2"/>
    <n v="0.43782168259916898"/>
    <n v="0.13761153910320781"/>
    <n v="7.6230009661226728E-4"/>
    <n v="7.336606080222112E-2"/>
    <n v="0.74580226899109636"/>
    <n v="7.336606080222112E-2"/>
    <n v="7.336606080222112E-2"/>
    <n v="0.74580226899109636"/>
    <n v="0.1148490024157653"/>
    <n v="0.60207273631025071"/>
    <n v="8.9596950320695368E-2"/>
    <n v="0.64029658414846247"/>
    <n v="8.9596950320695368E-2"/>
    <n v="8.9596950320695368E-2"/>
    <n v="0.64029658414846247"/>
    <n v="0.18315902339005219"/>
    <n v="0.26467445463692768"/>
    <n v="67.429081665436243"/>
    <n v="0.80808494720610535"/>
    <n v="67.429081665436243"/>
    <n v="67.429081665436243"/>
    <n v="0.80808494720610535"/>
    <n v="388.10784548163758"/>
    <n v="-0.10462334375099649"/>
    <s v="[[sv,wv],[yr],[ya]]"/>
    <x v="1"/>
    <x v="1"/>
    <x v="2"/>
    <x v="3"/>
    <x v="1"/>
    <x v="1"/>
    <x v="2"/>
    <x v="3"/>
  </r>
  <r>
    <d v="2026-03-29T19:05:30"/>
    <s v="03-29_19-05-30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2603355334464841"/>
    <n v="21.788518078677729"/>
    <n v="0.68002426469623922"/>
    <n v="0.41224170796001658"/>
    <n v="21.679697772516491"/>
    <n v="0.6587144583957758"/>
    <n v="21.679697772516491"/>
    <n v="21.679697772516491"/>
    <n v="0.6587144583957758"/>
    <n v="60.553882084003369"/>
    <n v="0.33666633785712557"/>
    <n v="0.8"/>
    <s v="identity"/>
    <n v="7.8670409738878788E-2"/>
    <n v="0.42875110771795821"/>
    <n v="7.8670409738878788E-2"/>
    <n v="7.8670409738878788E-2"/>
    <n v="0.42875110771795821"/>
    <n v="0.16466452745379889"/>
    <n v="-0.19567737372088431"/>
    <n v="0.1060941818092999"/>
    <n v="0.6324063198394636"/>
    <n v="0.1060941818092999"/>
    <n v="0.1060941818092999"/>
    <n v="0.6324063198394636"/>
    <n v="0.1451301398437379"/>
    <n v="0.49715506262854769"/>
    <n v="4.4869339646453253E-2"/>
    <n v="0.81986379357708938"/>
    <n v="4.4869339646453253E-2"/>
    <n v="4.4869339646453253E-2"/>
    <n v="0.81986379357708938"/>
    <n v="6.6380050277426397E-2"/>
    <n v="0.73350509427247923"/>
    <n v="86.489157158871706"/>
    <n v="0.75383661244859201"/>
    <n v="86.489157158871706"/>
    <n v="86.489157158871706"/>
    <n v="0.75383661244859201"/>
    <n v="241.8393536184382"/>
    <n v="0.31168256824837082"/>
    <s v="[[sv,wv],[yr],[ya]]"/>
    <x v="0"/>
    <x v="1"/>
    <x v="1"/>
    <x v="2"/>
    <x v="1"/>
    <x v="1"/>
    <x v="1"/>
    <x v="2"/>
  </r>
  <r>
    <d v="2026-03-29T20:10:05"/>
    <s v="03-29_20-10-0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915051684419579"/>
    <n v="16.210262983537799"/>
    <n v="0.67326124075410188"/>
    <n v="0.23483947696331839"/>
    <n v="23.940047755279771"/>
    <n v="0.6363639901000856"/>
    <n v="23.940047755279771"/>
    <n v="23.940047755279771"/>
    <n v="0.6363639901000856"/>
    <n v="87.69059667548926"/>
    <n v="0.23107461596701431"/>
    <n v="0.8"/>
    <s v="identity"/>
    <n v="9.8531895557549876E-2"/>
    <n v="0.28453104059678441"/>
    <n v="9.8531895557549876E-2"/>
    <n v="9.8531895557549876E-2"/>
    <n v="0.28453104059678441"/>
    <n v="0.1167299290400358"/>
    <n v="0.1523897882112116"/>
    <n v="9.3094346414433593E-2"/>
    <n v="0.67744797295169146"/>
    <n v="9.3094346414433593E-2"/>
    <n v="9.3094346414433593E-2"/>
    <n v="0.67744797295169146"/>
    <n v="0.1178321695940497"/>
    <n v="0.59173669918833993"/>
    <n v="3.6022912246291838E-2"/>
    <n v="0.85537940144689972"/>
    <n v="3.6022912246291838E-2"/>
    <n v="3.6022912246291838E-2"/>
    <n v="0.85537940144689972"/>
    <n v="0.20493453170071749"/>
    <n v="0.17725267640436371"/>
    <n v="95.5325418669008"/>
    <n v="0.72809754540496441"/>
    <n v="95.5325418669008"/>
    <n v="95.5325418669008"/>
    <n v="0.72809754540496441"/>
    <n v="350.32289007162302"/>
    <n v="2.9193000641420941E-3"/>
    <s v="[[sv,wv],[yr],[ya]]"/>
    <x v="0"/>
    <x v="0"/>
    <x v="4"/>
    <x v="0"/>
    <x v="1"/>
    <x v="1"/>
    <x v="4"/>
    <x v="0"/>
  </r>
  <r>
    <d v="2026-03-29T20:32:44"/>
    <s v="03-29_20-32-4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8.8696726417865565E-2"/>
    <n v="13.48402506705991"/>
    <n v="0.77819685037742892"/>
    <n v="0.28280108622352518"/>
    <n v="16.25781599811171"/>
    <n v="0.72479925276098356"/>
    <n v="16.25781599811171"/>
    <n v="16.25781599811171"/>
    <n v="0.72479925276098356"/>
    <n v="81.536910303761658"/>
    <n v="0.32978625086252672"/>
    <n v="0.8"/>
    <s v="identity"/>
    <n v="6.765828267059025E-2"/>
    <n v="0.50871338845742253"/>
    <n v="6.765828267059025E-2"/>
    <n v="6.765828267059025E-2"/>
    <n v="0.50871338845742253"/>
    <n v="0.1438127373537621"/>
    <n v="-4.426641709462209E-2"/>
    <n v="6.9317634569737788E-2"/>
    <n v="0.7598292012156358"/>
    <n v="6.9317634569737788E-2"/>
    <n v="6.9317634569737788E-2"/>
    <n v="0.7598292012156358"/>
    <n v="0.1195585208311048"/>
    <n v="0.58575526086951235"/>
    <n v="4.6025043193164757E-2"/>
    <n v="0.81522400938827588"/>
    <n v="4.6025043193164757E-2"/>
    <n v="4.6025043193164757E-2"/>
    <n v="0.81522400938827588"/>
    <n v="7.3487462955181451E-2"/>
    <n v="0.70497108045946111"/>
    <n v="64.848263032013733"/>
    <n v="0.81543041198259858"/>
    <n v="64.848263032013733"/>
    <n v="64.848263032013733"/>
    <n v="0.81543041198259858"/>
    <n v="325.81078249390617"/>
    <n v="7.2685079215758619E-2"/>
    <s v="[[sv,wv],[yr],[ya]]"/>
    <x v="0"/>
    <x v="1"/>
    <x v="1"/>
    <x v="3"/>
    <x v="0"/>
    <x v="0"/>
    <x v="1"/>
    <x v="3"/>
  </r>
  <r>
    <d v="2026-03-29T20:39:24"/>
    <s v="03-29_20-39-24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4318372508194649"/>
    <n v="26.09614674813464"/>
    <n v="0.55502773332819455"/>
    <n v="0.18264854500578931"/>
    <n v="27.544893663864311"/>
    <n v="0.51234183920618237"/>
    <n v="27.544893663864311"/>
    <n v="27.544893663864311"/>
    <n v="0.51234183920618237"/>
    <n v="105.4574947274897"/>
    <n v="0.20308997043208041"/>
    <n v="0.8"/>
    <s v="identity"/>
    <n v="0.1168476286741614"/>
    <n v="0.15153513668671331"/>
    <n v="0.1168476286741614"/>
    <n v="0.1168476286741614"/>
    <n v="0.15153513668671331"/>
    <n v="0.12852622229608021"/>
    <n v="6.6733447054273753E-2"/>
    <n v="8.2169609363477017E-2"/>
    <n v="0.71529985350594893"/>
    <n v="8.2169609363477017E-2"/>
    <n v="8.2169609363477017E-2"/>
    <n v="0.71529985350594893"/>
    <n v="0.1122084435338188"/>
    <n v="0.61122170886031946"/>
    <n v="0.1257387860007084"/>
    <n v="0.49519854562468041"/>
    <n v="0.1257387860007084"/>
    <n v="0.1257387860007084"/>
    <n v="0.49519854562468041"/>
    <n v="0.1659284464658847"/>
    <n v="0.33384977092315737"/>
    <n v="109.85481863141921"/>
    <n v="0.68733382100739093"/>
    <n v="109.85481863141921"/>
    <n v="109.85481863141921"/>
    <n v="0.68733382100739093"/>
    <n v="421.42331579766119"/>
    <n v="-0.1994450451094254"/>
    <s v="[[sv,wv],[yr],[ya]]"/>
    <x v="0"/>
    <x v="0"/>
    <x v="0"/>
    <x v="0"/>
    <x v="1"/>
    <x v="1"/>
    <x v="0"/>
    <x v="0"/>
  </r>
  <r>
    <d v="2026-03-29T20:58:53"/>
    <s v="03-29_20-58-53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2556006896917629"/>
    <n v="11.08973269884275"/>
    <n v="0.7004756663009325"/>
    <n v="0.34407830454286997"/>
    <n v="15.352607402841461"/>
    <n v="0.64958156735181904"/>
    <n v="15.352607402841461"/>
    <n v="15.352607402841461"/>
    <n v="0.64958156735181904"/>
    <n v="65.451051128199907"/>
    <n v="0.35154025221428248"/>
    <n v="0.8"/>
    <s v="identity"/>
    <n v="7.8880508884214301E-2"/>
    <n v="0.42722551627333899"/>
    <n v="7.8880508884214301E-2"/>
    <n v="7.8880508884214301E-2"/>
    <n v="0.42722551627333899"/>
    <n v="0.1435132841163379"/>
    <n v="-4.2091999410302838E-2"/>
    <n v="0.1033308205662115"/>
    <n v="0.64198077634251405"/>
    <n v="0.1033308205662115"/>
    <n v="0.1033308205662115"/>
    <n v="0.64198077634251405"/>
    <n v="9.2457470427404265E-2"/>
    <n v="0.67965461222149415"/>
    <n v="7.3934629475198507E-2"/>
    <n v="0.70317584832121471"/>
    <n v="7.3934629475198507E-2"/>
    <n v="7.3934629475198507E-2"/>
    <n v="0.70317584832121471"/>
    <n v="0.12137388388159739"/>
    <n v="0.51272224700605629"/>
    <n v="61.154283652440178"/>
    <n v="0.82594412847021026"/>
    <n v="61.154283652440178"/>
    <n v="61.154283652440178"/>
    <n v="0.82594412847021026"/>
    <n v="261.4468598743739"/>
    <n v="0.25587614903988559"/>
    <s v="[[sv,wv],[yr],[ya]]"/>
    <x v="0"/>
    <x v="0"/>
    <x v="0"/>
    <x v="4"/>
    <x v="1"/>
    <x v="1"/>
    <x v="0"/>
    <x v="4"/>
  </r>
  <r>
    <d v="2026-03-29T21:18:16"/>
    <s v="03-29_21-18-16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80"/>
    <n v="60"/>
    <n v="120"/>
    <n v="0.11797723146272281"/>
    <n v="15.56848954867708"/>
    <n v="0.71739958725672648"/>
    <n v="0.49803013478444752"/>
    <n v="24.606926179977389"/>
    <n v="0.62601278864014487"/>
    <n v="24.606926179977389"/>
    <n v="24.606926179977389"/>
    <n v="0.62601278864014487"/>
    <n v="72.021672287455559"/>
    <n v="0.43957416373450842"/>
    <n v="0.8"/>
    <s v="identity"/>
    <n v="7.3949880517108518E-2"/>
    <n v="0.46302825331656078"/>
    <n v="7.3949880517108518E-2"/>
    <n v="7.3949880517108518E-2"/>
    <n v="0.46302825331656078"/>
    <n v="7.6193343664154298E-2"/>
    <n v="0.44673781016418279"/>
    <n v="8.0768561611966286E-2"/>
    <n v="0.72015418472633752"/>
    <n v="8.0768561611966286E-2"/>
    <n v="8.0768561611966286E-2"/>
    <n v="0.72015418472633752"/>
    <n v="0.1169923292585022"/>
    <n v="0.59464656657622439"/>
    <n v="9.9562616590866682E-2"/>
    <n v="0.60028758623294887"/>
    <n v="9.9562616590866682E-2"/>
    <n v="9.9562616590866682E-2"/>
    <n v="0.60028758623294887"/>
    <n v="0.115580967230919"/>
    <n v="0.53597897504795888"/>
    <n v="98.173423661189503"/>
    <n v="0.72058113028473381"/>
    <n v="98.173423661189503"/>
    <n v="98.173423661189503"/>
    <n v="0.72058113028473381"/>
    <n v="287.77792250966922"/>
    <n v="0.18093330314966261"/>
    <s v="[[sv,wv],[yr],[ya]]"/>
    <x v="0"/>
    <x v="0"/>
    <x v="0"/>
    <x v="0"/>
    <x v="1"/>
    <x v="1"/>
    <x v="0"/>
    <x v="0"/>
  </r>
  <r>
    <d v="2026-03-29T22:00:27"/>
    <s v="03-29_22-00-27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3876062149927551"/>
    <n v="40.204787156125569"/>
    <n v="0.61295241380234489"/>
    <n v="1.344122358033728E-2"/>
    <n v="44.776538973898539"/>
    <n v="0.55466942544943776"/>
    <n v="44.776538973898539"/>
    <n v="44.776538973898539"/>
    <n v="0.55466942544943776"/>
    <n v="114.1890760117205"/>
    <n v="4.597091776899595E-2"/>
    <n v="0.8"/>
    <s v="identity"/>
    <n v="7.5848257246701148E-2"/>
    <n v="0.44924358373732182"/>
    <n v="7.5848257246701148E-2"/>
    <n v="7.5848257246701148E-2"/>
    <n v="0.44924358373732182"/>
    <n v="0.10254548558984521"/>
    <n v="0.25538718755682899"/>
    <n v="7.2404150899236699E-2"/>
    <n v="0.74913508135828621"/>
    <n v="7.2404150899236699E-2"/>
    <n v="7.2404150899236699E-2"/>
    <n v="0.74913508135828621"/>
    <n v="0.12575220066604059"/>
    <n v="0.56429548310005351"/>
    <n v="0.1172418426171444"/>
    <n v="0.52931108571031227"/>
    <n v="0.1172418426171444"/>
    <n v="0.1172418426171444"/>
    <n v="0.52931108571031227"/>
    <n v="0.33312411323237368"/>
    <n v="-0.33738794683641649"/>
    <n v="178.8406616448313"/>
    <n v="0.49098795099183112"/>
    <n v="178.8406616448313"/>
    <n v="178.8406616448313"/>
    <n v="0.49098795099183112"/>
    <n v="456.19488224739251"/>
    <n v="-0.29841105274448448"/>
    <s v="[[sv,wv],[yr],[ya]]"/>
    <x v="1"/>
    <x v="0"/>
    <x v="3"/>
    <x v="1"/>
    <x v="1"/>
    <x v="1"/>
    <x v="3"/>
    <x v="1"/>
  </r>
  <r>
    <d v="2026-03-29T22:12:54"/>
    <s v="03-29_22-12-54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230413222002907"/>
    <n v="14.84465017520081"/>
    <n v="0.70011425337446986"/>
    <n v="0.26124037700545732"/>
    <n v="18.32485272115688"/>
    <n v="0.66805557940654681"/>
    <n v="18.32485272115688"/>
    <n v="18.32485272115688"/>
    <n v="0.66805557940654681"/>
    <n v="92.352657826246258"/>
    <n v="0.23574356493195561"/>
    <n v="0.8"/>
    <s v="identity"/>
    <n v="7.4827044519707162E-2"/>
    <n v="0.45665890852101021"/>
    <n v="7.4827044519707162E-2"/>
    <n v="7.4827044519707162E-2"/>
    <n v="0.45665890852101021"/>
    <n v="0.17982251955365841"/>
    <n v="-0.30574399502113508"/>
    <n v="0.11076675794740611"/>
    <n v="0.61621684149913314"/>
    <n v="0.11076675794740611"/>
    <n v="0.11076675794740611"/>
    <n v="0.61621684149913314"/>
    <n v="9.2547226417045686E-2"/>
    <n v="0.67934362688765138"/>
    <n v="4.7997611930661703E-2"/>
    <n v="0.80730476983447474"/>
    <n v="4.7997611930661703E-2"/>
    <n v="4.7997611930661703E-2"/>
    <n v="0.80730476983447474"/>
    <n v="9.4717895756381093E-2"/>
    <n v="0.61973760798898025"/>
    <n v="73.065819470229371"/>
    <n v="0.79204179777156791"/>
    <n v="73.065819470229371"/>
    <n v="73.065819470229371"/>
    <n v="0.79204179777156791"/>
    <n v="369.04354366325731"/>
    <n v="-5.0362980127675261E-2"/>
    <s v="[[sv,wv],[yr],[ya]]"/>
    <x v="0"/>
    <x v="1"/>
    <x v="1"/>
    <x v="3"/>
    <x v="1"/>
    <x v="1"/>
    <x v="1"/>
    <x v="3"/>
  </r>
  <r>
    <d v="2026-03-29T23:22:16"/>
    <s v="03-29_23-22-16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1450948428909639"/>
    <n v="14.210279005204541"/>
    <n v="0.72589091509185222"/>
    <n v="0.30750806088442939"/>
    <n v="20.54794218084993"/>
    <n v="0.67472413750487648"/>
    <n v="20.54794218084993"/>
    <n v="20.54794218084993"/>
    <n v="0.67472413750487648"/>
    <n v="64.578039502078852"/>
    <n v="0.25390673142724379"/>
    <n v="0.8"/>
    <s v="identity"/>
    <n v="7.607791691875182E-2"/>
    <n v="0.44757595757780061"/>
    <n v="7.607791691875182E-2"/>
    <n v="7.607791691875182E-2"/>
    <n v="0.44757595757780061"/>
    <n v="9.3861584550219632E-2"/>
    <n v="0.31844353702848338"/>
    <n v="8.4101022488395016E-2"/>
    <n v="0.7086079195432069"/>
    <n v="8.4101022488395016E-2"/>
    <n v="8.4101022488395016E-2"/>
    <n v="0.7086079195432069"/>
    <n v="0.1408157765366492"/>
    <n v="0.51210341001721948"/>
    <n v="5.5787643657132409E-2"/>
    <n v="0.77603025645456869"/>
    <n v="5.5787643657132409E-2"/>
    <n v="5.5787643657132409E-2"/>
    <n v="0.77603025645456869"/>
    <n v="0.26929954459399491"/>
    <n v="-8.1152491585961384E-2"/>
    <n v="81.975802140335588"/>
    <n v="0.76668241644393176"/>
    <n v="81.975802140335588"/>
    <n v="81.975802140335588"/>
    <n v="0.76668241644393176"/>
    <n v="257.80818110263459"/>
    <n v="0.2662324702492298"/>
    <s v="[[sv,wv],[yr],[ya]]"/>
    <x v="1"/>
    <x v="0"/>
    <x v="2"/>
    <x v="0"/>
    <x v="1"/>
    <x v="1"/>
    <x v="2"/>
    <x v="0"/>
  </r>
  <r>
    <d v="2026-03-29T23:42:46"/>
    <s v="03-29_23-42-46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2047082085162809"/>
    <n v="42.433035327428072"/>
    <n v="0.6789126195774684"/>
    <n v="0.14435734807980899"/>
    <n v="50.868677674077937"/>
    <n v="0.61175941386758181"/>
    <n v="50.868677674077937"/>
    <n v="50.868677674077937"/>
    <n v="0.61175941386758181"/>
    <n v="99.308714603470705"/>
    <n v="7.7907946172437736E-2"/>
    <n v="0.8"/>
    <s v="identity"/>
    <n v="6.7819648321846462E-2"/>
    <n v="0.50754166519020627"/>
    <n v="6.7819648321846462E-2"/>
    <n v="6.7819648321846462E-2"/>
    <n v="0.50754166519020627"/>
    <n v="0.1526148709502877"/>
    <n v="-0.1081812877991644"/>
    <n v="6.8147625520267013E-2"/>
    <n v="0.76388303267916646"/>
    <n v="6.8147625520267013E-2"/>
    <n v="6.8147625520267013E-2"/>
    <n v="0.76388303267916646"/>
    <n v="0.24012177060762491"/>
    <n v="0.1680293505351895"/>
    <n v="6.1231077480820018E-2"/>
    <n v="0.75417659142095028"/>
    <n v="6.1231077480820018E-2"/>
    <n v="6.1231077480820018E-2"/>
    <n v="0.75417659142095028"/>
    <n v="0.15422699472059501"/>
    <n v="0.38082739848901898"/>
    <n v="203.27751234498891"/>
    <n v="0.42143636618000302"/>
    <n v="203.27751234498891"/>
    <n v="203.27751234498891"/>
    <n v="0.42143636618000302"/>
    <n v="396.68789477760379"/>
    <n v="-0.12904367653529489"/>
    <s v="[[sv,wv],[yr],[ya]]"/>
    <x v="1"/>
    <x v="0"/>
    <x v="2"/>
    <x v="1"/>
    <x v="0"/>
    <x v="0"/>
    <x v="2"/>
    <x v="1"/>
  </r>
  <r>
    <d v="2026-03-29T23:51:32"/>
    <s v="03-29_23-51-32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01463544415546"/>
    <n v="24.350749043306351"/>
    <n v="0.72405749730942603"/>
    <n v="0.20917859398351021"/>
    <n v="25.161727615761482"/>
    <n v="0.68662722825404343"/>
    <n v="25.161727615761482"/>
    <n v="25.161727615761482"/>
    <n v="0.68662722825404343"/>
    <n v="92.272156968294595"/>
    <n v="0.16820936358289909"/>
    <n v="0.8"/>
    <s v="identity"/>
    <n v="8.2169419223457274E-2"/>
    <n v="0.40334377478573857"/>
    <n v="8.2169419223457274E-2"/>
    <n v="8.2169419223457274E-2"/>
    <n v="0.40334377478573857"/>
    <n v="0.14629010043637"/>
    <n v="-6.2255276202099592E-2"/>
    <n v="7.6194192473485856E-2"/>
    <n v="0.73600339678821336"/>
    <n v="7.6194192473485856E-2"/>
    <n v="7.6194192473485856E-2"/>
    <n v="0.73600339678821336"/>
    <n v="9.8696972219663379E-2"/>
    <n v="0.65803607115665563"/>
    <n v="2.6628730489039239E-2"/>
    <n v="0.89309406980468464"/>
    <n v="2.6628730489039239E-2"/>
    <n v="2.6628730489039239E-2"/>
    <n v="0.89309406980468464"/>
    <n v="0.21764324066800511"/>
    <n v="0.12623122968955861"/>
    <n v="100.4619181208602"/>
    <n v="0.71406767163753759"/>
    <n v="100.4619181208602"/>
    <n v="100.4619181208602"/>
    <n v="0.71406767163753759"/>
    <n v="368.62599755985542"/>
    <n v="-4.9174570312517929E-2"/>
    <s v="[[sv,wv],[yr],[ya]]"/>
    <x v="0"/>
    <x v="0"/>
    <x v="4"/>
    <x v="0"/>
    <x v="1"/>
    <x v="1"/>
    <x v="4"/>
    <x v="0"/>
  </r>
  <r>
    <d v="2026-03-30T00:10:15"/>
    <s v="03-30_00-10-15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2816662969704329"/>
    <n v="16.26760792821333"/>
    <n v="0.65908447757385136"/>
    <n v="0.1896493262731852"/>
    <n v="17.557516148477319"/>
    <n v="0.62038480988540257"/>
    <n v="17.557516148477319"/>
    <n v="17.557516148477319"/>
    <n v="0.62038480988540257"/>
    <n v="64.900221113823079"/>
    <n v="0.21447124780328231"/>
    <n v="0.8"/>
    <s v="identity"/>
    <n v="8.0425764303272043E-2"/>
    <n v="0.41600496397979592"/>
    <n v="8.0425764303272043E-2"/>
    <n v="8.0425764303272043E-2"/>
    <n v="0.41600496397979592"/>
    <n v="0.17593130240776961"/>
    <n v="-0.27748872735955921"/>
    <n v="0.1026969073476016"/>
    <n v="0.6441771502525373"/>
    <n v="0.1026969073476016"/>
    <n v="0.1026969073476016"/>
    <n v="0.6441771502525373"/>
    <n v="0.13951367409155671"/>
    <n v="0.51661491688380656"/>
    <n v="9.453945431938035E-2"/>
    <n v="0.62045399391717182"/>
    <n v="9.453945431938035E-2"/>
    <n v="9.453945431938035E-2"/>
    <n v="0.62045399391717182"/>
    <n v="0.16034276745089221"/>
    <n v="0.35627450540744032"/>
    <n v="69.952402467938811"/>
    <n v="0.800903131392107"/>
    <n v="69.952402467938811"/>
    <n v="69.952402467938811"/>
    <n v="0.800903131392107"/>
    <n v="259.12509671134239"/>
    <n v="0.26248429628144182"/>
    <s v="[[sv,wv],[yr],[ya]]"/>
    <x v="0"/>
    <x v="1"/>
    <x v="0"/>
    <x v="2"/>
    <x v="1"/>
    <x v="1"/>
    <x v="0"/>
    <x v="2"/>
  </r>
  <r>
    <d v="2026-03-30T00:33:49"/>
    <s v="03-30_00-33-49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0284029089872621"/>
    <n v="15.626752077137381"/>
    <n v="0.77176293290920217"/>
    <n v="7.2170145827283816E-2"/>
    <n v="22.878465354232869"/>
    <n v="0.70294706446472233"/>
    <n v="22.878465354232869"/>
    <n v="22.878465354232869"/>
    <n v="0.70294706446472233"/>
    <n v="93.598599533470207"/>
    <n v="0.1165580214678061"/>
    <n v="0.8"/>
    <s v="identity"/>
    <n v="6.5652717858192947E-2"/>
    <n v="0.5232763821075701"/>
    <n v="6.5652717858192947E-2"/>
    <n v="6.5652717858192947E-2"/>
    <n v="0.5232763821075701"/>
    <n v="6.9747423120103902E-2"/>
    <n v="0.49354352762197679"/>
    <n v="7.7779889721311571E-2"/>
    <n v="0.73050929450090396"/>
    <n v="7.7779889721311571E-2"/>
    <n v="7.7779889721311571E-2"/>
    <n v="0.73050929450090396"/>
    <n v="0.16026339349132801"/>
    <n v="0.44472157093039222"/>
    <n v="4.5351056871759318E-2"/>
    <n v="0.8179298512855615"/>
    <n v="4.5351056871759318E-2"/>
    <n v="4.5351056871759318E-2"/>
    <n v="0.8179298512855615"/>
    <n v="0.35073584140987968"/>
    <n v="-0.40809346484593267"/>
    <n v="91.325077752479814"/>
    <n v="0.74007272996485485"/>
    <n v="91.325077752479814"/>
    <n v="91.325077752479814"/>
    <n v="0.74007272996485485"/>
    <n v="373.81365147585751"/>
    <n v="-6.3939547835210941E-2"/>
    <s v="[[sv,wv],[yr],[ya]]"/>
    <x v="0"/>
    <x v="0"/>
    <x v="4"/>
    <x v="0"/>
    <x v="1"/>
    <x v="1"/>
    <x v="4"/>
    <x v="0"/>
  </r>
  <r>
    <d v="2026-03-30T01:15:36"/>
    <s v="03-30_01-15-36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30890296860843"/>
    <n v="14.436740971935089"/>
    <n v="0.67990939547977214"/>
    <n v="0.2330737890131315"/>
    <n v="15.99230748582538"/>
    <n v="0.63401094453787987"/>
    <n v="15.99230748582538"/>
    <n v="15.99230748582538"/>
    <n v="0.63401094453787987"/>
    <n v="86.697769222440812"/>
    <n v="0.152578021652196"/>
    <n v="0.8"/>
    <s v="identity"/>
    <n v="7.2182964125002691E-2"/>
    <n v="0.4758583508728802"/>
    <n v="7.2182964125002691E-2"/>
    <n v="7.2182964125002691E-2"/>
    <n v="0.4758583508728802"/>
    <n v="7.8048023251014453E-2"/>
    <n v="0.4332704383397753"/>
    <n v="7.1237924256144419E-2"/>
    <n v="0.75317580759156932"/>
    <n v="7.1237924256144419E-2"/>
    <n v="7.1237924256144419E-2"/>
    <n v="0.75317580759156932"/>
    <n v="0.15137520807118371"/>
    <n v="0.47551723505467769"/>
    <n v="0.127455529734602"/>
    <n v="0.48830636254241039"/>
    <n v="0.127455529734602"/>
    <n v="0.127455529734602"/>
    <n v="0.48830636254241039"/>
    <n v="0.32705712072739662"/>
    <n v="-0.31303089093021907"/>
    <n v="63.698353525185752"/>
    <n v="0.81870325714466186"/>
    <n v="63.698353525185752"/>
    <n v="63.698353525185752"/>
    <n v="0.81870325714466186"/>
    <n v="346.23459653771232"/>
    <n v="1.45553041445533E-2"/>
    <s v="[[sv,wv],[yr],[ya]]"/>
    <x v="1"/>
    <x v="1"/>
    <x v="3"/>
    <x v="2"/>
    <x v="1"/>
    <x v="1"/>
    <x v="3"/>
    <x v="2"/>
  </r>
  <r>
    <d v="2026-03-30T01:29:31"/>
    <s v="03-30_01-29-31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366862255410112"/>
    <n v="42.607289115657288"/>
    <n v="0.6135873460626311"/>
    <n v="0.21522195597896249"/>
    <n v="45.989944122354032"/>
    <n v="0.57886884288274731"/>
    <n v="45.989944122354032"/>
    <n v="45.989944122354032"/>
    <n v="0.57886884288274731"/>
    <n v="90.06390247227813"/>
    <n v="0.18554743474386859"/>
    <n v="0.8"/>
    <s v="identity"/>
    <n v="7.9044067241070048E-2"/>
    <n v="0.42603787112839281"/>
    <n v="7.9044067241070048E-2"/>
    <n v="7.9044067241070048E-2"/>
    <n v="0.42603787112839281"/>
    <n v="0.17257566743115249"/>
    <n v="-0.2531224787324331"/>
    <n v="0.10597993009693001"/>
    <n v="0.63280217762071511"/>
    <n v="0.10597993009693001"/>
    <n v="0.10597993009693001"/>
    <n v="0.63280217762071511"/>
    <n v="9.0689273838195597E-2"/>
    <n v="0.68578103574811911"/>
    <n v="5.4914820124430802E-2"/>
    <n v="0.77953436686261968"/>
    <n v="5.4914820124430802E-2"/>
    <n v="5.4914820124430802E-2"/>
    <n v="0.77953436686261968"/>
    <n v="0.16597560129934871"/>
    <n v="0.3336604591819633"/>
    <n v="183.71983767195329"/>
    <n v="0.47710095591926122"/>
    <n v="183.71983767195329"/>
    <n v="183.71983767195329"/>
    <n v="0.47710095591926122"/>
    <n v="359.82636934654261"/>
    <n v="-2.4129277222159521E-2"/>
    <s v="[[sv,wv],[yr],[ya]]"/>
    <x v="1"/>
    <x v="0"/>
    <x v="2"/>
    <x v="1"/>
    <x v="1"/>
    <x v="1"/>
    <x v="2"/>
    <x v="1"/>
  </r>
  <r>
    <d v="2026-03-30T02:37:25"/>
    <s v="03-30_02-37-25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3380520827799861"/>
    <n v="14.96724082607396"/>
    <n v="0.61120053039428923"/>
    <n v="4.538142693021105E-2"/>
    <n v="22.607069873072149"/>
    <n v="0.5823692057669756"/>
    <n v="22.607069873072149"/>
    <n v="22.607069873072149"/>
    <n v="0.5823692057669756"/>
    <n v="118.55041852852131"/>
    <n v="9.6392846163294299E-3"/>
    <n v="0.8"/>
    <s v="identity"/>
    <n v="0.1218100202147218"/>
    <n v="0.1155017579357446"/>
    <n v="0.1218100202147218"/>
    <n v="0.1218100202147218"/>
    <n v="0.1155017579357446"/>
    <n v="0.13530523837121039"/>
    <n v="1.75090253621305E-2"/>
    <n v="0.1213546091486095"/>
    <n v="0.57953219846151316"/>
    <n v="0.1213546091486095"/>
    <n v="0.1213546091486095"/>
    <n v="0.57953219846151316"/>
    <n v="0.14120337011557671"/>
    <n v="0.51076048104925176"/>
    <n v="2.7138287141014229E-2"/>
    <n v="0.89104836102074469"/>
    <n v="2.7138287141014229E-2"/>
    <n v="2.7138287141014229E-2"/>
    <n v="0.89104836102074469"/>
    <n v="0.28436789809088348"/>
    <n v="-0.14164716472705521"/>
    <n v="90.157976575784147"/>
    <n v="0.74339450564990295"/>
    <n v="90.157976575784147"/>
    <n v="90.157976575784147"/>
    <n v="0.74339450564990295"/>
    <n v="473.64079760750809"/>
    <n v="-0.3480652032190068"/>
    <s v="[[sv,wv],[yr],[ya]]"/>
    <x v="1"/>
    <x v="0"/>
    <x v="5"/>
    <x v="0"/>
    <x v="1"/>
    <x v="1"/>
    <x v="5"/>
    <x v="0"/>
  </r>
  <r>
    <d v="2026-03-30T02:56:57"/>
    <s v="03-30_02-56-57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015724422170157"/>
    <n v="17.468319119542379"/>
    <n v="0.75274017109588054"/>
    <n v="0.29926813515355788"/>
    <n v="20.478267535824521"/>
    <n v="0.69522115351707292"/>
    <n v="20.478267535824521"/>
    <n v="20.478267535824521"/>
    <n v="0.69522115351707292"/>
    <n v="94.995070563632964"/>
    <n v="0.17868441080168929"/>
    <n v="0.8"/>
    <s v="identity"/>
    <n v="7.0646089625826441E-2"/>
    <n v="0.48701804685190192"/>
    <n v="7.0646089625826441E-2"/>
    <n v="7.0646089625826441E-2"/>
    <n v="0.48701804685190192"/>
    <n v="0.15229587480128809"/>
    <n v="-0.1058649633086339"/>
    <n v="6.7132678748960214E-2"/>
    <n v="0.76739960646737226"/>
    <n v="6.7132678748960214E-2"/>
    <n v="6.7132678748960214E-2"/>
    <n v="0.76739960646737226"/>
    <n v="0.16286464569535239"/>
    <n v="0.43570878762412418"/>
    <n v="6.0018917358915763E-2"/>
    <n v="0.75904303090184033"/>
    <n v="6.0018917358915763E-2"/>
    <n v="6.0018917358915763E-2"/>
    <n v="0.75904303090184033"/>
    <n v="0.13323378988234791"/>
    <n v="0.46510847572390229"/>
    <n v="81.715272457564566"/>
    <n v="0.76742392984717611"/>
    <n v="81.715272457564566"/>
    <n v="81.715272457564566"/>
    <n v="0.76742392984717611"/>
    <n v="379.53188794415161"/>
    <n v="-8.0214656832626963E-2"/>
    <s v="[[sv,wv],[yr],[ya]]"/>
    <x v="1"/>
    <x v="1"/>
    <x v="2"/>
    <x v="3"/>
    <x v="0"/>
    <x v="0"/>
    <x v="2"/>
    <x v="3"/>
  </r>
  <r>
    <d v="2026-03-30T03:03:46"/>
    <s v="03-30_03-03-4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3385545800279761"/>
    <n v="23.940950316730319"/>
    <n v="0.61168551318345776"/>
    <n v="-5.3846233698565227E-2"/>
    <n v="26.92476710343686"/>
    <n v="0.56602070016769901"/>
    <n v="26.92476710343686"/>
    <n v="26.92476710343686"/>
    <n v="0.56602070016769901"/>
    <n v="114.39938553334071"/>
    <n v="-2.8863004463462742E-2"/>
    <n v="0.8"/>
    <s v="identity"/>
    <n v="9.7005210650922408E-2"/>
    <n v="0.29561674695918128"/>
    <n v="9.7005210650922408E-2"/>
    <n v="9.7005210650922408E-2"/>
    <n v="0.29561674695918128"/>
    <n v="0.16044614307686039"/>
    <n v="-0.16504644894822421"/>
    <n v="8.0004895222510072E-2"/>
    <n v="0.72280012566040019"/>
    <n v="8.0004895222510072E-2"/>
    <n v="8.0004895222510072E-2"/>
    <n v="0.72280012566040019"/>
    <n v="0.1078357970244061"/>
    <n v="0.6263719950968003"/>
    <n v="0.1117461356840419"/>
    <n v="0.55137461074414729"/>
    <n v="0.1117461356840419"/>
    <n v="0.1117461356840419"/>
    <n v="0.55137461074414729"/>
    <n v="0.31784384704573221"/>
    <n v="-0.27604251127435209"/>
    <n v="107.4103121721901"/>
    <n v="0.69429131730706906"/>
    <n v="107.4103121721901"/>
    <n v="107.4103121721901"/>
    <n v="0.69429131730706906"/>
    <n v="457.01141634621592"/>
    <n v="-0.300735052728071"/>
    <s v="[[sv,wv],[yr],[ya]]"/>
    <x v="1"/>
    <x v="0"/>
    <x v="2"/>
    <x v="0"/>
    <x v="1"/>
    <x v="1"/>
    <x v="2"/>
    <x v="0"/>
  </r>
  <r>
    <d v="2026-03-30T03:23:42"/>
    <s v="03-30_03-23-4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208562622764682"/>
    <n v="13.256390758167679"/>
    <n v="0.68645585541364795"/>
    <n v="0.32196800835695177"/>
    <n v="17.699929186150811"/>
    <n v="0.63567330835664793"/>
    <n v="17.699929186150811"/>
    <n v="17.699929186150811"/>
    <n v="0.63567330835664793"/>
    <n v="99.471220659894868"/>
    <n v="0.34330593771498158"/>
    <n v="0.8"/>
    <s v="identity"/>
    <n v="7.7793186964375455E-2"/>
    <n v="0.43512087927352638"/>
    <n v="7.7793186964375455E-2"/>
    <n v="7.7793186964375455E-2"/>
    <n v="0.43512087927352638"/>
    <n v="8.893661670012519E-2"/>
    <n v="0.35420517139938912"/>
    <n v="0.1011900763723569"/>
    <n v="0.64939799774977081"/>
    <n v="0.1011900763723569"/>
    <n v="0.1011900763723569"/>
    <n v="0.64939799774977081"/>
    <n v="9.3113100301130389E-2"/>
    <n v="0.67738299473977992"/>
    <n v="8.4955231925119487E-2"/>
    <n v="0.65893161532232947"/>
    <n v="8.4955231925119487E-2"/>
    <n v="8.4955231925119487E-2"/>
    <n v="0.65893161532232947"/>
    <n v="0.13121968250403979"/>
    <n v="0.47319447978180912"/>
    <n v="70.535778249341277"/>
    <n v="0.79924274108096438"/>
    <n v="70.535778249341277"/>
    <n v="70.535778249341277"/>
    <n v="0.79924274108096438"/>
    <n v="397.57161324007399"/>
    <n v="-0.13155889506105509"/>
    <s v="[[sv,wv],[yr],[ya]]"/>
    <x v="0"/>
    <x v="1"/>
    <x v="0"/>
    <x v="5"/>
    <x v="1"/>
    <x v="1"/>
    <x v="0"/>
    <x v="5"/>
  </r>
  <r>
    <d v="2026-03-30T03:49:23"/>
    <s v="03-30_03-49-2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80"/>
    <n v="60"/>
    <n v="120"/>
    <n v="0.1216939731650311"/>
    <n v="14.024238058423981"/>
    <n v="0.6619945328867296"/>
    <n v="1.217529701487427E-2"/>
    <n v="21.923748672519562"/>
    <n v="0.59592927603271895"/>
    <n v="21.923748672519562"/>
    <n v="21.923748672519562"/>
    <n v="0.59592927603271895"/>
    <n v="82.220113774208841"/>
    <n v="9.6860697244543714E-2"/>
    <n v="0.8"/>
    <s v="identity"/>
    <n v="0.1134742193753181"/>
    <n v="0.1760304498746631"/>
    <n v="0.1134742193753181"/>
    <n v="0.1134742193753181"/>
    <n v="0.1760304498746631"/>
    <n v="0.206187800036542"/>
    <n v="-0.49719002054131728"/>
    <n v="7.9750468629743873E-2"/>
    <n v="0.72368165946339191"/>
    <n v="7.9750468629743873E-2"/>
    <n v="7.9750468629743873E-2"/>
    <n v="0.72368165946339191"/>
    <n v="0.124362066896561"/>
    <n v="0.56911199970373449"/>
    <n v="6.6540467192247307E-2"/>
    <n v="0.73286107109964904"/>
    <n v="6.6540467192247307E-2"/>
    <n v="6.6540467192247307E-2"/>
    <n v="0.73286107109964904"/>
    <n v="0.18678928026543459"/>
    <n v="0.25010012153943167"/>
    <n v="87.435229534880975"/>
    <n v="0.75114392369317429"/>
    <n v="87.435229534880975"/>
    <n v="87.435229534880975"/>
    <n v="0.75114392369317429"/>
    <n v="328.36311594963661"/>
    <n v="6.5420688276333849E-2"/>
    <s v="[[sv,wv],[yr],[ya]]"/>
    <x v="1"/>
    <x v="0"/>
    <x v="2"/>
    <x v="0"/>
    <x v="1"/>
    <x v="1"/>
    <x v="2"/>
    <x v="0"/>
  </r>
  <r>
    <d v="2026-03-30T04:28:00"/>
    <s v="03-30_04-28-00_multihead_spsa_serial_f5_w5_h5_effsu2_lin_r1.pkl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09717594461315"/>
    <n v="16.349241778722881"/>
    <n v="0.7154590374568528"/>
    <n v="0.24066906495722379"/>
    <n v="18.19075264949538"/>
    <n v="0.66238090544288697"/>
    <n v="18.19075264949538"/>
    <n v="18.19075264949538"/>
    <n v="0.66238090544288697"/>
    <n v="100.46724881025661"/>
    <n v="0.17352463797505491"/>
    <n v="0.8"/>
    <s v="identity"/>
    <n v="7.2933041836205248E-2"/>
    <n v="0.47041181687017047"/>
    <n v="7.2933041836205248E-2"/>
    <n v="7.2933041836205248E-2"/>
    <n v="0.47041181687017047"/>
    <n v="0.10673736139832039"/>
    <n v="0.224948749265692"/>
    <n v="7.0058378299460336E-2"/>
    <n v="0.75726268240168249"/>
    <n v="7.0058378299460336E-2"/>
    <n v="7.0058378299460336E-2"/>
    <n v="0.75726268240168249"/>
    <n v="0.10812930181759051"/>
    <n v="0.62535506367576055"/>
    <n v="9.2591362304575667E-2"/>
    <n v="0.62827496717139741"/>
    <n v="9.2591362304575667E-2"/>
    <n v="9.2591362304575667E-2"/>
    <n v="0.62827496717139741"/>
    <n v="0.25250943044328927"/>
    <n v="-1.374549401596714E-2"/>
    <n v="72.527427815541344"/>
    <n v="0.79357415532829567"/>
    <n v="72.527427815541344"/>
    <n v="72.527427815541344"/>
    <n v="0.79357415532829567"/>
    <n v="401.4016191473678"/>
    <n v="-0.14245976702526561"/>
    <s v="[[sv,wv],[yr],[ya]]"/>
    <x v="1"/>
    <x v="1"/>
    <x v="3"/>
    <x v="3"/>
    <x v="1"/>
    <x v="1"/>
    <x v="3"/>
    <x v="3"/>
  </r>
  <r>
    <d v="2026-03-30T04:42:56"/>
    <s v="03-30_04-42-56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197930986097159"/>
    <n v="19.237703602796341"/>
    <n v="0.6797593646441944"/>
    <n v="0.38595400557906628"/>
    <n v="24.881416955762489"/>
    <n v="0.64359521115972784"/>
    <n v="24.881416955762489"/>
    <n v="24.881416955762489"/>
    <n v="0.64359521115972784"/>
    <n v="70.354144339282584"/>
    <n v="0.2325194415333755"/>
    <n v="0.8"/>
    <s v="identity"/>
    <n v="7.8321532086331969E-2"/>
    <n v="0.43128441055978689"/>
    <n v="7.8321532086331969E-2"/>
    <n v="7.8321532086331969E-2"/>
    <n v="0.43128441055978689"/>
    <n v="0.1735883058960449"/>
    <n v="-0.26047554328709838"/>
    <n v="0.1031792273379037"/>
    <n v="0.64250601450101397"/>
    <n v="0.1031792273379037"/>
    <n v="0.1031792273379037"/>
    <n v="0.64250601450101397"/>
    <n v="0.11706569499350759"/>
    <n v="0.59439236997403166"/>
    <n v="5.4004821338581567E-2"/>
    <n v="0.78318772415345506"/>
    <n v="5.4004821338581567E-2"/>
    <n v="5.4004821338581567E-2"/>
    <n v="0.78318772415345506"/>
    <n v="0.1504809510910961"/>
    <n v="0.39586657878072168"/>
    <n v="99.290162242287082"/>
    <n v="0.71740269542465795"/>
    <n v="99.290162242287082"/>
    <n v="99.290162242287082"/>
    <n v="0.71740269542465795"/>
    <n v="280.97544240514901"/>
    <n v="0.20029436066585329"/>
    <s v="[[sv,wv],[yr],[ya]]"/>
    <x v="1"/>
    <x v="1"/>
    <x v="2"/>
    <x v="3"/>
    <x v="1"/>
    <x v="1"/>
    <x v="2"/>
    <x v="3"/>
  </r>
  <r>
    <d v="2026-03-30T05:50:14"/>
    <s v="03-30_05-50-1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64961554769792"/>
    <n v="6.7940206507355976"/>
    <n v="0.72154914260436609"/>
    <n v="0.1420263939628596"/>
    <n v="9.7621524078517865"/>
    <n v="0.6781949653188738"/>
    <n v="9.7621524078517865"/>
    <n v="9.7621524078517865"/>
    <n v="0.6781949653188738"/>
    <n v="118.68941996365081"/>
    <n v="0.14649443021705719"/>
    <n v="0.8"/>
    <s v="identity"/>
    <n v="7.6508150254219753E-2"/>
    <n v="0.44445190728843997"/>
    <n v="7.6508150254219753E-2"/>
    <n v="7.6508150254219753E-2"/>
    <n v="0.44445190728843997"/>
    <n v="9.2574873724993609E-2"/>
    <n v="0.32778672128336878"/>
    <n v="8.8862208666698222E-2"/>
    <n v="0.69211142633910427"/>
    <n v="8.8862208666698222E-2"/>
    <n v="8.8862208666698222E-2"/>
    <n v="0.69211142633910427"/>
    <n v="0.1144927154274283"/>
    <n v="0.60330719462834703"/>
    <n v="7.8047756758987355E-2"/>
    <n v="0.68666294326679722"/>
    <n v="7.8047756758987355E-2"/>
    <n v="7.8047756758987355E-2"/>
    <n v="0.68666294326679722"/>
    <n v="0.24788179818312869"/>
    <n v="4.8329857796791664E-3"/>
    <n v="38.805191515727238"/>
    <n v="0.8895535843811524"/>
    <n v="38.805191515727238"/>
    <n v="38.805191515727238"/>
    <n v="0.8895535843811524"/>
    <n v="474.30273046726683"/>
    <n v="-0.34994918082316467"/>
    <s v="[[sv,wv],[yr],[ya]]"/>
    <x v="0"/>
    <x v="0"/>
    <x v="0"/>
    <x v="4"/>
    <x v="1"/>
    <x v="1"/>
    <x v="0"/>
    <x v="4"/>
  </r>
  <r>
    <d v="2026-03-30T06:10:12"/>
    <s v="03-30_06-10-1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3334678958718479"/>
    <n v="44.28690414553089"/>
    <n v="0.63625412417844074"/>
    <n v="-0.45398795777580953"/>
    <n v="51.602725281493711"/>
    <n v="0.55096753262500331"/>
    <n v="51.602725281493711"/>
    <n v="51.602725281493711"/>
    <n v="0.55096753262500331"/>
    <n v="115.5079089846782"/>
    <n v="-0.34376112030870049"/>
    <n v="0.8"/>
    <s v="identity"/>
    <n v="6.8842396747173989E-2"/>
    <n v="0.50011518925102194"/>
    <n v="6.8842396747173989E-2"/>
    <n v="6.8842396747173989E-2"/>
    <n v="0.50011518925102194"/>
    <n v="0.1372330236217312"/>
    <n v="3.5108118969546802E-3"/>
    <n v="6.6690819848820207E-2"/>
    <n v="0.76893055318324499"/>
    <n v="6.6690819848820207E-2"/>
    <n v="6.6690819848820207E-2"/>
    <n v="0.76893055318324499"/>
    <n v="0.42230820538910901"/>
    <n v="-0.46320773423756673"/>
    <n v="0.1191672270169003"/>
    <n v="0.5215812763480453"/>
    <n v="0.1191672270169003"/>
    <n v="0.1191672270169003"/>
    <n v="0.5215812763480453"/>
    <n v="0.39929748413438931"/>
    <n v="-0.60305310024474279"/>
    <n v="206.15620068236089"/>
    <n v="0.41324311171770622"/>
    <n v="206.15620068236089"/>
    <n v="206.15620068236089"/>
    <n v="0.41324311171770622"/>
    <n v="461.07279722556729"/>
    <n v="-0.3122944586494536"/>
    <s v="[[sv,wv],[yr],[ya]]"/>
    <x v="1"/>
    <x v="0"/>
    <x v="3"/>
    <x v="1"/>
    <x v="0"/>
    <x v="0"/>
    <x v="3"/>
    <x v="1"/>
  </r>
  <r>
    <d v="2026-03-30T06:15:22"/>
    <s v="03-30_06-15-22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0689567405280551"/>
    <n v="25.189037095721329"/>
    <n v="0.68681445201179092"/>
    <n v="-0.20831150120671621"/>
    <n v="26.988240146808469"/>
    <n v="0.64567450512255675"/>
    <n v="26.988240146808469"/>
    <n v="26.988240146808469"/>
    <n v="0.64567450512255675"/>
    <n v="103.7504242356458"/>
    <n v="-0.14398385812253289"/>
    <n v="0.8"/>
    <s v="identity"/>
    <n v="8.9743394650686481E-2"/>
    <n v="0.34834692034787651"/>
    <n v="8.9743394650686481E-2"/>
    <n v="8.9743394650686481E-2"/>
    <n v="0.34834692034787651"/>
    <n v="0.1092620675955648"/>
    <n v="0.20661611793326939"/>
    <n v="7.5781770889143896E-2"/>
    <n v="0.73743234949212699"/>
    <n v="7.5781770889143896E-2"/>
    <n v="7.5781770889143896E-2"/>
    <n v="0.73743234949212699"/>
    <n v="0.1230854650418263"/>
    <n v="0.57353515247119913"/>
    <n v="4.8929999368661582E-2"/>
    <n v="0.80356152918682799"/>
    <n v="4.8929999368661582E-2"/>
    <n v="4.8929999368661582E-2"/>
    <n v="0.80356152918682799"/>
    <n v="0.54229016186549084"/>
    <n v="-1.1771234724787709"/>
    <n v="107.7385054223251"/>
    <n v="0.69335722146339762"/>
    <n v="107.7385054223251"/>
    <n v="107.7385054223251"/>
    <n v="0.69335722146339762"/>
    <n v="414.22705924808059"/>
    <n v="-0.17896323041582421"/>
    <s v="[[sv,wv],[yr],[ya]]"/>
    <x v="1"/>
    <x v="0"/>
    <x v="5"/>
    <x v="0"/>
    <x v="1"/>
    <x v="1"/>
    <x v="5"/>
    <x v="0"/>
  </r>
  <r>
    <d v="2026-03-30T06:36:25"/>
    <s v="03-30_06-36-2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20806353479533"/>
    <n v="9.823873200483991"/>
    <n v="0.72767582247225815"/>
    <n v="0.29327841865715087"/>
    <n v="15.21882324778281"/>
    <n v="0.69210723380288619"/>
    <n v="15.21882324778281"/>
    <n v="15.21882324778281"/>
    <n v="0.69210723380288619"/>
    <n v="74.783947667602277"/>
    <n v="0.28329981253755232"/>
    <n v="0.8"/>
    <s v="identity"/>
    <n v="8.1615847853959686E-2"/>
    <n v="0.40736341867311843"/>
    <n v="8.1615847853959686E-2"/>
    <n v="8.1615847853959686E-2"/>
    <n v="0.40736341867311843"/>
    <n v="0.13978141227655469"/>
    <n v="-1.4993784697927341E-2"/>
    <n v="8.9133706562380594E-2"/>
    <n v="0.69117074411763135"/>
    <n v="8.9133706562380594E-2"/>
    <n v="8.9133706562380594E-2"/>
    <n v="0.69117074411763135"/>
    <n v="0.10968187278654951"/>
    <n v="0.6199757368695471"/>
    <n v="3.9216293064683251E-2"/>
    <n v="0.8425589875334939"/>
    <n v="3.9216293064683251E-2"/>
    <n v="3.9216293064683251E-2"/>
    <n v="0.8425589875334939"/>
    <n v="0.15481672010192429"/>
    <n v="0.37845983761424329"/>
    <n v="60.665327143650252"/>
    <n v="0.82733578488730253"/>
    <n v="60.665327143650252"/>
    <n v="60.665327143650252"/>
    <n v="0.82733578488730253"/>
    <n v="298.73151066524338"/>
    <n v="0.1497574603643507"/>
    <s v="[[sv,wv],[yr],[ya]]"/>
    <x v="0"/>
    <x v="0"/>
    <x v="4"/>
    <x v="4"/>
    <x v="1"/>
    <x v="1"/>
    <x v="4"/>
    <x v="4"/>
  </r>
  <r>
    <d v="2026-03-30T07:04:17"/>
    <s v="03-30_07-04-17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089211558025821"/>
    <n v="13.66990369574363"/>
    <n v="0.74177614609202758"/>
    <n v="0.20948632103938011"/>
    <n v="21.130800123329369"/>
    <n v="0.68180999480067705"/>
    <n v="21.130800123329369"/>
    <n v="21.130800123329369"/>
    <n v="0.68180999480067705"/>
    <n v="91.044346535205236"/>
    <n v="0.2447002534521292"/>
    <n v="0.8"/>
    <s v="identity"/>
    <n v="7.7243550611791265E-2"/>
    <n v="0.43911194985030122"/>
    <n v="7.7243550611791265E-2"/>
    <n v="7.7243550611791265E-2"/>
    <n v="0.43911194985030122"/>
    <n v="7.3945100479422973E-2"/>
    <n v="0.46306296257054841"/>
    <n v="8.1371785772674107E-2"/>
    <n v="0.71806414184731415"/>
    <n v="8.1371785772674107E-2"/>
    <n v="8.1371785772674107E-2"/>
    <n v="0.71806414184731415"/>
    <n v="0.127682977155055"/>
    <n v="0.55760575494474363"/>
    <n v="4.7314885098810419E-2"/>
    <n v="0.81004570211656024"/>
    <n v="4.7314885098810419E-2"/>
    <n v="4.7314885098810419E-2"/>
    <n v="0.81004570211656024"/>
    <n v="0.25074009834004418"/>
    <n v="-6.6421852645521806E-3"/>
    <n v="84.317270271833991"/>
    <n v="0.76001818538853416"/>
    <n v="84.317270271833991"/>
    <n v="84.317270271833991"/>
    <n v="0.76001818538853416"/>
    <n v="363.72501796484607"/>
    <n v="-3.5225518442215893E-2"/>
    <s v="[[sv,wv],[yr],[ya]]"/>
    <x v="1"/>
    <x v="0"/>
    <x v="5"/>
    <x v="0"/>
    <x v="1"/>
    <x v="1"/>
    <x v="5"/>
    <x v="0"/>
  </r>
  <r>
    <d v="2026-03-30T07:58:59"/>
    <s v="03-30_07-58-59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5551458838488411"/>
    <n v="43.432290956588027"/>
    <n v="0.56986812651353902"/>
    <n v="-3.6532923667877998E-2"/>
    <n v="47.237929589596718"/>
    <n v="0.5174425122859907"/>
    <n v="47.237929589596718"/>
    <n v="47.237929589596718"/>
    <n v="0.5174425122859907"/>
    <n v="94.427072562423504"/>
    <n v="-4.7023579616607414E-3"/>
    <n v="0.8"/>
    <s v="identity"/>
    <n v="7.8146827201464875E-2"/>
    <n v="0.43255299391009411"/>
    <n v="7.8146827201464875E-2"/>
    <n v="7.8146827201464875E-2"/>
    <n v="0.43255299391009411"/>
    <n v="0.21012146307882451"/>
    <n v="-0.52575350029149526"/>
    <n v="0.10882409074426939"/>
    <n v="0.62294776843923394"/>
    <n v="0.10882409074426939"/>
    <n v="0.10882409074426939"/>
    <n v="0.62294776843923394"/>
    <n v="8.9259038915157712E-2"/>
    <n v="0.69073649428399453"/>
    <n v="0.1117874201459909"/>
    <n v="0.55120886668777591"/>
    <n v="0.1117874201459909"/>
    <n v="0.1117874201459909"/>
    <n v="0.55120886668777591"/>
    <n v="0.27658651008610452"/>
    <n v="-0.1104073531557159"/>
    <n v="188.65296002029501"/>
    <n v="0.46306042010686232"/>
    <n v="188.65296002029501"/>
    <n v="188.65296002029501"/>
    <n v="0.46306042010686232"/>
    <n v="377.13232323761252"/>
    <n v="-7.3385072683420427E-2"/>
    <s v="[[sv,wv],[yr],[ya]]"/>
    <x v="1"/>
    <x v="0"/>
    <x v="3"/>
    <x v="1"/>
    <x v="1"/>
    <x v="1"/>
    <x v="3"/>
    <x v="1"/>
  </r>
  <r>
    <d v="2026-03-30T08:57:44"/>
    <s v="03-30_08-57-4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181791366240173"/>
    <n v="14.305974982726299"/>
    <n v="0.70311994960794655"/>
    <n v="0.2196222620404398"/>
    <n v="19.408064707548501"/>
    <n v="0.65072978194516884"/>
    <n v="19.408064707548501"/>
    <n v="19.408064707548501"/>
    <n v="0.65072978194516884"/>
    <n v="71.664213930837207"/>
    <n v="0.2118713004622792"/>
    <n v="0.8"/>
    <s v="identity"/>
    <n v="8.186420916503491E-2"/>
    <n v="0.40555999443383528"/>
    <n v="8.186420916503491E-2"/>
    <n v="8.186420916503491E-2"/>
    <n v="0.40555999443383528"/>
    <n v="0.10645679451061781"/>
    <n v="0.2269860276317652"/>
    <n v="8.8475574415304306E-2"/>
    <n v="0.69345103144206321"/>
    <n v="8.8475574415304306E-2"/>
    <n v="8.8475574415304306E-2"/>
    <n v="0.69345103144206321"/>
    <n v="0.17567684447600679"/>
    <n v="0.39131725530433542"/>
    <n v="6.870208976081231E-2"/>
    <n v="0.72418284021219648"/>
    <n v="6.870208976081231E-2"/>
    <n v="6.870208976081231E-2"/>
    <n v="0.72418284021219648"/>
    <n v="0.23823126804253419"/>
    <n v="4.3576811813099907E-2"/>
    <n v="77.393216956852953"/>
    <n v="0.77972526169257761"/>
    <n v="77.393216956852953"/>
    <n v="77.393216956852953"/>
    <n v="0.77972526169257761"/>
    <n v="286.1364908163207"/>
    <n v="0.18560510709991621"/>
    <s v="[[sv,wv],[yr],[ya]]"/>
    <x v="0"/>
    <x v="1"/>
    <x v="0"/>
    <x v="2"/>
    <x v="1"/>
    <x v="1"/>
    <x v="0"/>
    <x v="2"/>
  </r>
  <r>
    <d v="2026-03-30T09:33:02"/>
    <s v="03-30_09-33-02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9.2819290641105792E-2"/>
    <n v="12.94116715151134"/>
    <n v="0.75562112274312321"/>
    <n v="0.39534011617781739"/>
    <n v="17.735595806720291"/>
    <n v="0.67550689392264451"/>
    <n v="17.735595806720291"/>
    <n v="17.735595806720291"/>
    <n v="0.67550689392264451"/>
    <n v="67.763225282901146"/>
    <n v="0.39674399420278922"/>
    <n v="0.8"/>
    <s v="identity"/>
    <n v="9.0961328304186129E-2"/>
    <n v="0.33950314728575581"/>
    <n v="9.0961328304186129E-2"/>
    <n v="9.0961328304186129E-2"/>
    <n v="0.33950314728575581"/>
    <n v="0.13279641876054751"/>
    <n v="3.5726299535273072E-2"/>
    <n v="7.1951461187395732E-2"/>
    <n v="0.75070355452343618"/>
    <n v="7.1951461187395732E-2"/>
    <n v="7.1951461187395732E-2"/>
    <n v="0.75070355452343618"/>
    <n v="0.12138922174918319"/>
    <n v="0.57941227319315391"/>
    <n v="4.6544326697936941E-2"/>
    <n v="0.81313925036697732"/>
    <n v="4.6544326697936941E-2"/>
    <n v="4.6544326697936941E-2"/>
    <n v="0.81313925036697732"/>
    <n v="6.4165538591841362E-2"/>
    <n v="0.74239565823583864"/>
    <n v="70.732926110691935"/>
    <n v="0.79868162351440697"/>
    <n v="70.732926110691935"/>
    <n v="70.732926110691935"/>
    <n v="0.79868162351440697"/>
    <n v="270.73454995250279"/>
    <n v="0.22944174584689189"/>
    <s v="[[sv,wv],[yr],[ya]]"/>
    <x v="0"/>
    <x v="1"/>
    <x v="1"/>
    <x v="3"/>
    <x v="0"/>
    <x v="0"/>
    <x v="1"/>
    <x v="3"/>
  </r>
  <r>
    <d v="2026-03-30T09:38:09"/>
    <s v="03-30_09-38-0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8.9322910640304273E-2"/>
    <n v="13.708702616309679"/>
    <n v="0.8026521959763806"/>
    <n v="0.12805542301919551"/>
    <n v="16.64232750021397"/>
    <n v="0.76470781703261559"/>
    <n v="16.64232750021397"/>
    <n v="16.64232750021397"/>
    <n v="0.76470781703261559"/>
    <n v="87.658313471392233"/>
    <n v="0.16515711538721289"/>
    <n v="0.8"/>
    <s v="identity"/>
    <n v="6.3532950791103437E-2"/>
    <n v="0.53866863178556312"/>
    <n v="6.3532950791103437E-2"/>
    <n v="6.3532950791103437E-2"/>
    <n v="0.53866863178556312"/>
    <n v="0.1586934942995637"/>
    <n v="-0.15231995272285309"/>
    <n v="2.990386879536373E-2"/>
    <n v="0.89638948155249354"/>
    <n v="2.990386879536373E-2"/>
    <n v="2.990386879536373E-2"/>
    <n v="0.89638948155249354"/>
    <n v="0.26630985326119638"/>
    <n v="7.7293237443916918E-2"/>
    <n v="4.6618236848795437E-2"/>
    <n v="0.81284252448920191"/>
    <n v="4.6618236848795437E-2"/>
    <n v="4.6618236848795437E-2"/>
    <n v="0.81284252448920191"/>
    <n v="6.6700210589921385E-2"/>
    <n v="0.73221975188512856"/>
    <n v="66.429254944420833"/>
    <n v="0.81093063030320689"/>
    <n v="66.429254944420833"/>
    <n v="66.429254944420833"/>
    <n v="0.81093063030320689"/>
    <n v="350.14155032741712"/>
    <n v="3.4354249426564731E-3"/>
    <s v="[[sv,wv],[yr],[ya]]"/>
    <x v="0"/>
    <x v="1"/>
    <x v="1"/>
    <x v="3"/>
    <x v="0"/>
    <x v="0"/>
    <x v="1"/>
    <x v="3"/>
  </r>
  <r>
    <d v="2026-03-30T09:38:38"/>
    <s v="03-30_09-38-38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71825818508964"/>
    <n v="16.47150242962676"/>
    <n v="0.73673994545446275"/>
    <n v="-0.27792990336906342"/>
    <n v="17.65937944182048"/>
    <n v="0.64818213148955506"/>
    <n v="17.65937944182048"/>
    <n v="17.65937944182048"/>
    <n v="0.64818213148955506"/>
    <n v="115.46317183912871"/>
    <n v="-0.24307941801447561"/>
    <n v="0.8"/>
    <s v="identity"/>
    <n v="7.0906103110286861E-2"/>
    <n v="0.48513001276806511"/>
    <n v="7.0906103110286861E-2"/>
    <n v="7.0906103110286861E-2"/>
    <n v="0.48513001276806511"/>
    <n v="0.14173051172229789"/>
    <n v="-2.9146766778788798E-2"/>
    <n v="6.7945225683849197E-2"/>
    <n v="0.76458430488339024"/>
    <n v="6.7945225683849197E-2"/>
    <n v="6.7945225683849197E-2"/>
    <n v="0.76458430488339024"/>
    <n v="0.36291116264136608"/>
    <n v="-0.25740966725646519"/>
    <n v="0.1137469194723109"/>
    <n v="0.54334209668597044"/>
    <n v="0.1137469194723109"/>
    <n v="0.1137469194723109"/>
    <n v="0.54334209668597044"/>
    <n v="0.3421582669489257"/>
    <n v="-0.37365721648834338"/>
    <n v="70.384919519015597"/>
    <n v="0.79967211162079355"/>
    <n v="70.384919519015597"/>
    <n v="70.384919519015597"/>
    <n v="0.79967211162079355"/>
    <n v="461.0058874152017"/>
    <n v="-0.31210402153431599"/>
    <s v="[[sv,wv],[yr],[ya]]"/>
    <x v="1"/>
    <x v="1"/>
    <x v="3"/>
    <x v="2"/>
    <x v="0"/>
    <x v="0"/>
    <x v="3"/>
    <x v="2"/>
  </r>
  <r>
    <d v="2026-03-30T09:43:56"/>
    <s v="03-30_09-43-5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2698920213701109"/>
    <n v="10.366588578930781"/>
    <n v="0.66232171516731064"/>
    <n v="0.3004851172832691"/>
    <n v="13.493383931025869"/>
    <n v="0.57244094069292306"/>
    <n v="13.493383931025869"/>
    <n v="13.493383931025869"/>
    <n v="0.57244094069292306"/>
    <n v="89.051592421305457"/>
    <n v="0.25599175907761662"/>
    <n v="0.8"/>
    <s v="identity"/>
    <n v="0.1087521185286127"/>
    <n v="0.21031900750234089"/>
    <n v="0.1087521185286127"/>
    <n v="0.1087521185286127"/>
    <n v="0.21031900750234089"/>
    <n v="9.0853475037987019E-2"/>
    <n v="0.34028630144816252"/>
    <n v="7.9970643216944276E-2"/>
    <n v="0.72291880154407351"/>
    <n v="7.9970643216944276E-2"/>
    <n v="7.9970643216944276E-2"/>
    <n v="0.72291880154407351"/>
    <n v="0.11977601578062649"/>
    <n v="0.58500168732242841"/>
    <n v="0.1222365025377713"/>
    <n v="0.50925910594944213"/>
    <n v="0.1222365025377713"/>
    <n v="0.1222365025377713"/>
    <n v="0.50925910594944213"/>
    <n v="0.22136846675310479"/>
    <n v="0.1112756252539899"/>
    <n v="53.662576459820023"/>
    <n v="0.84726684777583439"/>
    <n v="53.662576459820023"/>
    <n v="53.662576459820023"/>
    <n v="0.84726684777583439"/>
    <n v="355.7743717276515"/>
    <n v="-1.259657771412437E-2"/>
    <s v="[[sv,wv],[yr],[ya]]"/>
    <x v="0"/>
    <x v="0"/>
    <x v="0"/>
    <x v="4"/>
    <x v="1"/>
    <x v="1"/>
    <x v="0"/>
    <x v="4"/>
  </r>
  <r>
    <d v="2026-03-30T10:12:39"/>
    <s v="03-30_10-12-39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1599802468732159"/>
    <n v="20.27978840342475"/>
    <n v="0.70020506917016612"/>
    <n v="0.29911251563211427"/>
    <n v="21.492587983997939"/>
    <n v="0.66819735283562065"/>
    <n v="21.492587983997939"/>
    <n v="21.492587983997939"/>
    <n v="0.66819735283562065"/>
    <n v="69.752444032540566"/>
    <n v="0.30832476746511411"/>
    <n v="0.8"/>
    <s v="identity"/>
    <n v="8.3150700884383574E-2"/>
    <n v="0.39621840117091428"/>
    <n v="8.3150700884383574E-2"/>
    <n v="8.3150700884383574E-2"/>
    <n v="0.39621840117091428"/>
    <n v="0.15417471343497521"/>
    <n v="-0.1195077610496509"/>
    <n v="9.6414631008967258E-2"/>
    <n v="0.6659438959846925"/>
    <n v="9.6414631008967258E-2"/>
    <n v="9.6414631008967258E-2"/>
    <n v="0.6659438959846925"/>
    <n v="0.1277206913982013"/>
    <n v="0.55747508314732563"/>
    <n v="3.6192189533986757E-2"/>
    <n v="0.85469980667953316"/>
    <n v="3.6192189533986757E-2"/>
    <n v="3.6192189533986757E-2"/>
    <n v="0.85469980667953316"/>
    <n v="0.10253644805062601"/>
    <n v="0.58834859355057056"/>
    <n v="85.754594414563982"/>
    <n v="0.75592730750734605"/>
    <n v="85.754594414563982"/>
    <n v="85.754594414563982"/>
    <n v="0.75592730750734605"/>
    <n v="278.62534427727832"/>
    <n v="0.2069831542122188"/>
    <s v="[[sv,wv],[yr],[ya]]"/>
    <x v="0"/>
    <x v="1"/>
    <x v="4"/>
    <x v="2"/>
    <x v="1"/>
    <x v="1"/>
    <x v="4"/>
    <x v="2"/>
  </r>
  <r>
    <d v="2026-03-30T10:48:20"/>
    <s v="03-30_10-48-20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2938909552499811"/>
    <n v="17.050200664505201"/>
    <n v="0.67176198992484881"/>
    <n v="-0.1201839424137186"/>
    <n v="22.173037411016431"/>
    <n v="0.60398091928879372"/>
    <n v="22.173037411016431"/>
    <n v="22.173037411016431"/>
    <n v="0.60398091928879372"/>
    <n v="95.578223817076662"/>
    <n v="2.6234478257600451E-3"/>
    <n v="0.8"/>
    <s v="identity"/>
    <n v="6.5426998721508589E-2"/>
    <n v="0.52491539488538308"/>
    <n v="6.5426998721508589E-2"/>
    <n v="6.5426998721508589E-2"/>
    <n v="0.52491539488538308"/>
    <n v="7.9314776706929602E-2"/>
    <n v="0.42407217039013778"/>
    <n v="8.4435556572985584E-2"/>
    <n v="0.70744883039056305"/>
    <n v="8.4435556572985584E-2"/>
    <n v="8.4435556572985584E-2"/>
    <n v="0.70744883039056305"/>
    <n v="0.20422521222496789"/>
    <n v="0.29240325847197501"/>
    <n v="0.14069203645327119"/>
    <n v="0.43516597479924207"/>
    <n v="0.14069203645327119"/>
    <n v="0.14069203645327119"/>
    <n v="0.43516597479924207"/>
    <n v="0.40347066391294512"/>
    <n v="-0.61980709707093129"/>
    <n v="88.401595052318214"/>
    <n v="0.74839347707998494"/>
    <n v="88.401595052318214"/>
    <n v="88.401595052318214"/>
    <n v="0.74839347707998494"/>
    <n v="381.6258846154617"/>
    <n v="-8.6174540488149098E-2"/>
    <s v="[[sv,wv],[yr],[ya]]"/>
    <x v="0"/>
    <x v="0"/>
    <x v="0"/>
    <x v="4"/>
    <x v="1"/>
    <x v="1"/>
    <x v="0"/>
    <x v="4"/>
  </r>
  <r>
    <d v="2026-03-30T11:52:19"/>
    <s v="03-30_11-52-19_multihead_spsa_serial_f5_w5_h5_effsu2_lin_r1.pkl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414729736537389"/>
    <n v="21.08315753144273"/>
    <n v="0.6240989782914228"/>
    <n v="5.1741806789790068E-2"/>
    <n v="21.0559853987887"/>
    <n v="0.58592782145611566"/>
    <n v="21.0559853987887"/>
    <n v="21.0559853987887"/>
    <n v="0.58592782145611566"/>
    <n v="65.195709438861201"/>
    <n v="5.8932740671651863E-2"/>
    <n v="0.8"/>
    <s v="identity"/>
    <n v="7.9164285153493635E-2"/>
    <n v="0.42516493364742147"/>
    <n v="7.9164285153493635E-2"/>
    <n v="7.9164285153493635E-2"/>
    <n v="0.42516493364742147"/>
    <n v="0.1925779007118234"/>
    <n v="-0.39836455440835777"/>
    <n v="0.1014648882189231"/>
    <n v="0.64844583339628559"/>
    <n v="0.1014648882189231"/>
    <n v="0.1014648882189231"/>
    <n v="0.64844583339628559"/>
    <n v="0.1155166444986163"/>
    <n v="0.59975949908951054"/>
    <n v="0.12231238086635"/>
    <n v="0.50895447846065855"/>
    <n v="0.12231238086635"/>
    <n v="0.12231238086635"/>
    <n v="0.50895447846065855"/>
    <n v="0.30517361178448332"/>
    <n v="-0.2251755243199858"/>
    <n v="83.921000040915956"/>
    <n v="0.76114604032009958"/>
    <n v="83.921000040915956"/>
    <n v="83.921000040915956"/>
    <n v="0.76114604032009958"/>
    <n v="260.16956959844981"/>
    <n v="0.2595115423254325"/>
    <s v="[[sv,wv],[yr],[ya]]"/>
    <x v="1"/>
    <x v="1"/>
    <x v="3"/>
    <x v="2"/>
    <x v="1"/>
    <x v="1"/>
    <x v="3"/>
    <x v="2"/>
  </r>
  <r>
    <d v="2026-03-30T12:56:59"/>
    <s v="03-30_12-56-59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619372001565891"/>
    <n v="11.712184026500161"/>
    <n v="0.71754269244782076"/>
    <n v="0.20168654902589689"/>
    <n v="16.337274112260339"/>
    <n v="0.67214552815086559"/>
    <n v="16.337274112260339"/>
    <n v="16.337274112260339"/>
    <n v="0.67214552815086559"/>
    <n v="96.038250377666571"/>
    <n v="0.2281625650201827"/>
    <n v="0.8"/>
    <s v="identity"/>
    <n v="7.264842623471128E-2"/>
    <n v="0.4724784941331881"/>
    <n v="7.264842623471128E-2"/>
    <n v="7.264842623471128E-2"/>
    <n v="0.4724784941331881"/>
    <n v="0.1073676129676929"/>
    <n v="0.22037230798290131"/>
    <n v="8.9926630286146447E-2"/>
    <n v="0.68842343276902596"/>
    <n v="8.9926630286146447E-2"/>
    <n v="8.9926630286146447E-2"/>
    <n v="0.68842343276902596"/>
    <n v="0.11095579069023501"/>
    <n v="0.61556188341922424"/>
    <n v="7.1485318585261248E-2"/>
    <n v="0.71300905682261284"/>
    <n v="7.1485318585261248E-2"/>
    <n v="7.1485318585261248E-2"/>
    <n v="0.71300905682261284"/>
    <n v="0.20702188287704351"/>
    <n v="0.16887262166456801"/>
    <n v="65.115036073935215"/>
    <n v="0.81467112887863491"/>
    <n v="65.115036073935215"/>
    <n v="65.115036073935215"/>
    <n v="0.81467112887863491"/>
    <n v="383.7276562241322"/>
    <n v="-9.2156552985962481E-2"/>
    <s v="[[sv,wv],[yr],[ya]]"/>
    <x v="0"/>
    <x v="1"/>
    <x v="0"/>
    <x v="5"/>
    <x v="1"/>
    <x v="1"/>
    <x v="0"/>
    <x v="5"/>
  </r>
  <r>
    <d v="2026-03-30T13:09:41"/>
    <s v="03-30_13-09-4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117551614991536"/>
    <n v="32.152717245871052"/>
    <n v="0.69329534496220924"/>
    <n v="0.24416642261153479"/>
    <n v="37.89001785678937"/>
    <n v="0.61993052343324273"/>
    <n v="37.89001785678937"/>
    <n v="37.89001785678937"/>
    <n v="0.61993052343324273"/>
    <n v="96.717439386619986"/>
    <n v="0.16324737095293579"/>
    <n v="0.8"/>
    <s v="identity"/>
    <n v="8.9528379868884511E-2"/>
    <n v="0.3499082056689562"/>
    <n v="8.9528379868884511E-2"/>
    <n v="8.9528379868884511E-2"/>
    <n v="0.3499082056689562"/>
    <n v="0.12999829299401081"/>
    <n v="5.6044310460924063E-2"/>
    <n v="5.5569882969472691E-2"/>
    <n v="0.80746222423812319"/>
    <n v="5.5569882969472691E-2"/>
    <n v="5.5569882969472691E-2"/>
    <n v="0.80746222423812319"/>
    <n v="0.20396792877058009"/>
    <n v="0.29329469069031089"/>
    <n v="6.1491680515577962E-2"/>
    <n v="0.75313035266563344"/>
    <n v="6.1491680515577962E-2"/>
    <n v="6.1491680515577962E-2"/>
    <n v="0.75313035266563344"/>
    <n v="0.14861033469033039"/>
    <n v="0.40337651195026519"/>
    <n v="151.35348148380399"/>
    <n v="0.56922131116026553"/>
    <n v="151.35348148380399"/>
    <n v="151.35348148380399"/>
    <n v="0.56922131116026553"/>
    <n v="386.38718099002472"/>
    <n v="-9.9726029289753715E-2"/>
    <s v="[[sv,wv],[yr],[ya]]"/>
    <x v="1"/>
    <x v="0"/>
    <x v="2"/>
    <x v="1"/>
    <x v="0"/>
    <x v="0"/>
    <x v="2"/>
    <x v="1"/>
  </r>
  <r>
    <d v="2026-03-30T13:17:37"/>
    <s v="03-30_13-17-37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119803409802983"/>
    <n v="29.00999886570586"/>
    <n v="0.63377067183951963"/>
    <n v="-4.4142026249716471E-2"/>
    <n v="34.012032671518497"/>
    <n v="0.6081907756132523"/>
    <n v="34.012032671518497"/>
    <n v="34.012032671518497"/>
    <n v="0.6081907756132523"/>
    <n v="114.8722896861419"/>
    <n v="-9.7024185228730131E-2"/>
    <n v="0.8"/>
    <s v="identity"/>
    <n v="0.1041961308755828"/>
    <n v="0.24340136856646219"/>
    <n v="0.1041961308755828"/>
    <n v="0.1041961308755828"/>
    <n v="0.24340136856646219"/>
    <n v="0.1570797784718769"/>
    <n v="-0.14060228934619359"/>
    <n v="5.051616753295906E-2"/>
    <n v="0.82497226884293784"/>
    <n v="5.051616753295906E-2"/>
    <n v="5.051616753295906E-2"/>
    <n v="0.82497226884293784"/>
    <n v="0.36501995381775282"/>
    <n v="-0.26471617828278488"/>
    <n v="6.2024922402634582E-2"/>
    <n v="0.7509895551545257"/>
    <n v="6.2024922402634582E-2"/>
    <n v="6.2024922402634582E-2"/>
    <n v="0.7509895551545257"/>
    <n v="0.16862026767328819"/>
    <n v="0.3230429602036079"/>
    <n v="135.83139346526269"/>
    <n v="0.61339990988908077"/>
    <n v="135.83139346526269"/>
    <n v="135.83139346526269"/>
    <n v="0.61339990988908077"/>
    <n v="458.79843874460403"/>
    <n v="-0.30582123348954399"/>
    <s v="[[sv,wv],[yr],[ya]]"/>
    <x v="1"/>
    <x v="0"/>
    <x v="2"/>
    <x v="1"/>
    <x v="0"/>
    <x v="0"/>
    <x v="2"/>
    <x v="1"/>
  </r>
  <r>
    <d v="2026-03-30T13:20:54"/>
    <s v="03-30_13-20-5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192440800597418"/>
    <n v="33.223922308810387"/>
    <n v="0.67267249920339123"/>
    <n v="-0.16360788452246569"/>
    <n v="41.863131441766733"/>
    <n v="0.58156037875400535"/>
    <n v="41.863131441766733"/>
    <n v="41.863131441766733"/>
    <n v="0.58156037875400535"/>
    <n v="98.396637691339535"/>
    <n v="-0.30777818642202348"/>
    <n v="0.8"/>
    <s v="identity"/>
    <n v="7.063364981468831E-2"/>
    <n v="0.48710837596492462"/>
    <n v="7.063364981468831E-2"/>
    <n v="7.063364981468831E-2"/>
    <n v="0.48710837596492462"/>
    <n v="0.2074955683505271"/>
    <n v="-0.5066861093910533"/>
    <n v="6.8950138962750027E-2"/>
    <n v="0.76110249500339766"/>
    <n v="6.8950138962750027E-2"/>
    <n v="6.8950138962750027E-2"/>
    <n v="0.76110249500339766"/>
    <n v="0.36381501968502911"/>
    <n v="-0.26054133886515229"/>
    <n v="0.1111129817180684"/>
    <n v="0.55391652364972543"/>
    <n v="0.1111129817180684"/>
    <n v="0.1111129817180684"/>
    <n v="0.55391652364972543"/>
    <n v="0.3353312879666227"/>
    <n v="-0.34624905526085348"/>
    <n v="167.20182899657109"/>
    <n v="0.52411412039797822"/>
    <n v="167.20182899657109"/>
    <n v="167.20182899657109"/>
    <n v="0.52411412039797822"/>
    <n v="392.67990888935441"/>
    <n v="-0.1176362421710382"/>
    <s v="[[sv,wv],[yr],[ya]]"/>
    <x v="1"/>
    <x v="1"/>
    <x v="3"/>
    <x v="3"/>
    <x v="0"/>
    <x v="0"/>
    <x v="3"/>
    <x v="3"/>
  </r>
  <r>
    <d v="2026-03-30T13:23:41"/>
    <s v="03-30_13-23-4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397111129780331"/>
    <n v="18.19468955494207"/>
    <n v="0.56052511801300842"/>
    <n v="0.2748587956724588"/>
    <n v="17.609288972576731"/>
    <n v="0.52980297642842844"/>
    <n v="17.609288972576731"/>
    <n v="17.609288972576731"/>
    <n v="0.52980297642842844"/>
    <n v="69.775332275959229"/>
    <n v="0.28257022315468638"/>
    <n v="0.8"/>
    <s v="identity"/>
    <n v="0.1212659984227738"/>
    <n v="0.11945205954290671"/>
    <n v="0.1212659984227738"/>
    <n v="0.1212659984227738"/>
    <n v="0.11945205954290671"/>
    <n v="0.13377039133763921"/>
    <n v="2.865399931943036E-2"/>
    <n v="8.2563916814918897E-2"/>
    <n v="0.71393366240368117"/>
    <n v="8.2563916814918897E-2"/>
    <n v="8.2563916814918897E-2"/>
    <n v="0.71393366240368117"/>
    <n v="0.114623278324072"/>
    <n v="0.60285482207736263"/>
    <n v="0.12818998451608801"/>
    <n v="0.48535775890419081"/>
    <n v="0.12818998451608801"/>
    <n v="0.12818998451608801"/>
    <n v="0.48535775890419081"/>
    <n v="0.17636888697273259"/>
    <n v="0.29193470461938292"/>
    <n v="70.105135990553151"/>
    <n v="0.80046842486293657"/>
    <n v="70.105135990553151"/>
    <n v="70.105135990553151"/>
    <n v="0.80046842486293657"/>
    <n v="278.67656654720219"/>
    <n v="0.20683736660257229"/>
    <s v="[[sv,wv],[yr],[ya]]"/>
    <x v="0"/>
    <x v="1"/>
    <x v="0"/>
    <x v="2"/>
    <x v="1"/>
    <x v="1"/>
    <x v="0"/>
    <x v="2"/>
  </r>
  <r>
    <d v="2026-03-30T13:54:41"/>
    <s v="03-30_13-54-4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1602746868994041"/>
    <n v="18.536176784205029"/>
    <n v="0.69903841242710874"/>
    <n v="1.44145509417089E-2"/>
    <n v="23.83619958029086"/>
    <n v="0.66851449715467803"/>
    <n v="23.83619958029086"/>
    <n v="23.83619958029086"/>
    <n v="0.66851449715467803"/>
    <n v="132.87858051390049"/>
    <n v="1.8837188873939901E-2"/>
    <n v="0.8"/>
    <s v="identity"/>
    <n v="8.1243958339314276E-2"/>
    <n v="0.41006381738716652"/>
    <n v="8.1243958339314276E-2"/>
    <n v="8.1243958339314276E-2"/>
    <n v="0.41006381738716652"/>
    <n v="0.1500098213870891"/>
    <n v="-8.9265259749273573E-2"/>
    <n v="8.7717445670286429E-2"/>
    <n v="0.6960777856208884"/>
    <n v="8.7717445670286429E-2"/>
    <n v="8.7717445670286429E-2"/>
    <n v="0.6960777856208884"/>
    <n v="0.1166103393413245"/>
    <n v="0.59597008005307028"/>
    <n v="4.0180192763180488E-2"/>
    <n v="0.83868923512733817"/>
    <n v="4.0180192763180488E-2"/>
    <n v="4.0180192763180488E-2"/>
    <n v="0.83868923512733817"/>
    <n v="0.22915470830108711"/>
    <n v="8.0016328241874435E-2"/>
    <n v="95.135656724390728"/>
    <n v="0.7292271504833171"/>
    <n v="95.135656724390728"/>
    <n v="95.135656724390728"/>
    <n v="0.7292271504833171"/>
    <n v="531.01854718657262"/>
    <n v="-0.51137239304991233"/>
    <s v="[[sv,wv],[yr],[ya]]"/>
    <x v="0"/>
    <x v="1"/>
    <x v="4"/>
    <x v="5"/>
    <x v="1"/>
    <x v="1"/>
    <x v="4"/>
    <x v="5"/>
  </r>
  <r>
    <d v="2026-03-30T14:32:21"/>
    <s v="03-30_14-32-21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238565089754332"/>
    <n v="19.05564731669287"/>
    <n v="0.7063963592853777"/>
    <n v="0.43852517078151598"/>
    <n v="20.72938694421644"/>
    <n v="0.63750293340980058"/>
    <n v="20.72938694421644"/>
    <n v="20.72938694421644"/>
    <n v="0.63750293340980058"/>
    <n v="82.902946242490046"/>
    <n v="0.37287991583676772"/>
    <n v="0.8"/>
    <s v="identity"/>
    <n v="7.4728651140656618E-2"/>
    <n v="0.45737337167147651"/>
    <n v="7.4728651140656618E-2"/>
    <n v="7.4728651140656618E-2"/>
    <n v="0.45737337167147651"/>
    <n v="7.6274213761680129E-2"/>
    <n v="0.44615058869446239"/>
    <n v="8.1075471267011312E-2"/>
    <n v="0.7190908083219878"/>
    <n v="8.1075471267011312E-2"/>
    <n v="8.1075471267011312E-2"/>
    <n v="0.7190908083219878"/>
    <n v="0.14970848748424581"/>
    <n v="0.48129206590688289"/>
    <n v="9.7436133088116064E-2"/>
    <n v="0.60882474488571015"/>
    <n v="9.7436133088116064E-2"/>
    <n v="9.7436133088116064E-2"/>
    <n v="0.60882474488571015"/>
    <n v="0.1228216693096489"/>
    <n v="0.50690984644971804"/>
    <n v="82.664307521369665"/>
    <n v="0.76472280876002985"/>
    <n v="82.664307521369665"/>
    <n v="82.664307521369665"/>
    <n v="0.76472280876002985"/>
    <n v="331.26298059940513"/>
    <n v="5.7167162296003833E-2"/>
    <s v="[[sv,wv],[yr],[ya]]"/>
    <x v="0"/>
    <x v="1"/>
    <x v="0"/>
    <x v="2"/>
    <x v="1"/>
    <x v="1"/>
    <x v="0"/>
    <x v="2"/>
  </r>
  <r>
    <d v="2026-03-30T15:38:55"/>
    <s v="03-30_15-38-55_multihead_spsa_serial_f5_w5_h5_effsu2_lin_r1.pkl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4163589333589721"/>
    <n v="19.979399653333211"/>
    <n v="0.62374632110921868"/>
    <n v="-6.0705920828950377E-2"/>
    <n v="25.8103572100412"/>
    <n v="0.56718172395404887"/>
    <n v="25.8103572100412"/>
    <n v="25.8103572100412"/>
    <n v="0.56718172395404887"/>
    <n v="122.26128601893529"/>
    <n v="-8.9209381418233175E-2"/>
    <n v="0.8"/>
    <s v="identity"/>
    <n v="8.0878401522120225E-2"/>
    <n v="0.41271823252980228"/>
    <n v="8.0878401522120225E-2"/>
    <n v="8.0878401522120225E-2"/>
    <n v="0.41271823252980228"/>
    <n v="0.18780150267913581"/>
    <n v="-0.36368172900643941"/>
    <n v="0.10233303105492191"/>
    <n v="0.64543790388924227"/>
    <n v="0.10233303105492191"/>
    <n v="0.10233303105492191"/>
    <n v="0.64543790388924227"/>
    <n v="0.1079871257249998"/>
    <n v="0.62584767347033143"/>
    <n v="0.12366088708676209"/>
    <n v="0.50354065252078994"/>
    <n v="0.12366088708676209"/>
    <n v="0.12366088708676209"/>
    <n v="0.50354065252078994"/>
    <n v="0.30607835967865121"/>
    <n v="-0.22880780094158751"/>
    <n v="102.9345565205013"/>
    <n v="0.7070301068763587"/>
    <n v="102.9345565205013"/>
    <n v="102.9345565205013"/>
    <n v="0.7070301068763587"/>
    <n v="488.44327708765547"/>
    <n v="-0.39019566919522092"/>
    <s v="[[sv,wv],[yr],[ya]]"/>
    <x v="1"/>
    <x v="1"/>
    <x v="3"/>
    <x v="3"/>
    <x v="1"/>
    <x v="1"/>
    <x v="3"/>
    <x v="3"/>
  </r>
  <r>
    <d v="2026-03-30T16:59:25"/>
    <s v="03-30_16-59-2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20861028313935"/>
    <n v="7.101089960628018"/>
    <n v="0.74265359848726398"/>
    <n v="0.21389646438950349"/>
    <n v="9.7333383695861428"/>
    <n v="0.70946496130135273"/>
    <n v="9.7333383695861428"/>
    <n v="9.7333383695861428"/>
    <n v="0.70946496130135273"/>
    <n v="105.52664924902091"/>
    <n v="0.21337620688277681"/>
    <n v="0.8"/>
    <s v="identity"/>
    <n v="8.0878184120766056E-2"/>
    <n v="0.41271981114472461"/>
    <n v="8.0878184120766056E-2"/>
    <n v="8.0878184120766056E-2"/>
    <n v="0.41271981114472461"/>
    <n v="0.1014507931167471"/>
    <n v="0.26333607030349859"/>
    <n v="9.5080013477847586E-2"/>
    <n v="0.67056806067972619"/>
    <n v="9.5080013477847586E-2"/>
    <n v="9.5080013477847586E-2"/>
    <n v="0.67056806067972619"/>
    <n v="0.1147027141789547"/>
    <n v="0.60257959380626369"/>
    <n v="3.3679740711259551E-2"/>
    <n v="0.86478649401043439"/>
    <n v="3.3679740711259551E-2"/>
    <n v="3.3679740711259551E-2"/>
    <n v="0.86478649401043439"/>
    <n v="0.20231035262561781"/>
    <n v="0.187787925358049"/>
    <n v="38.723715540034668"/>
    <n v="0.88978547937052888"/>
    <n v="38.723715540034668"/>
    <n v="38.723715540034668"/>
    <n v="0.88978547937052888"/>
    <n v="421.68813313616101"/>
    <n v="-0.2001987619367003"/>
    <s v="[[sv,wv],[yr],[ya]]"/>
    <x v="0"/>
    <x v="0"/>
    <x v="4"/>
    <x v="4"/>
    <x v="1"/>
    <x v="1"/>
    <x v="4"/>
    <x v="4"/>
  </r>
  <r>
    <d v="2026-03-30T17:12:25"/>
    <s v="03-30_17-12-25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0443380615958869"/>
    <n v="11.80746285082081"/>
    <n v="0.68740817783593466"/>
    <n v="0.22539696308672241"/>
    <n v="16.898249499821759"/>
    <n v="0.62089380528345428"/>
    <n v="16.898249499821759"/>
    <n v="16.898249499821759"/>
    <n v="0.62089380528345428"/>
    <n v="87.222460951346704"/>
    <n v="0.1506062752113054"/>
    <n v="0.8"/>
    <s v="identity"/>
    <n v="0.1125268533432546"/>
    <n v="0.18290955217244181"/>
    <n v="0.1125268533432546"/>
    <n v="0.1125268533432546"/>
    <n v="0.18290955217244181"/>
    <n v="0.15340966263572869"/>
    <n v="-0.11395250306815979"/>
    <n v="7.3784356982000573E-2"/>
    <n v="0.74435296206869983"/>
    <n v="7.3784356982000573E-2"/>
    <n v="7.3784356982000573E-2"/>
    <n v="0.74435296206869983"/>
    <n v="0.18514799779296309"/>
    <n v="0.3585017319290521"/>
    <n v="6.2773225164330523E-2"/>
    <n v="0.74798535625590545"/>
    <n v="6.2773225164330523E-2"/>
    <n v="6.2773225164330523E-2"/>
    <n v="0.74798535625590545"/>
    <n v="0.16204188769305039"/>
    <n v="0.34945307507014389"/>
    <n v="67.343913563797315"/>
    <n v="0.80832735063677175"/>
    <n v="67.343913563797315"/>
    <n v="67.343913563797315"/>
    <n v="0.80832735063677175"/>
    <n v="348.38924425726572"/>
    <n v="8.4227969141859038E-3"/>
    <s v="[[sv,wv],[yr],[ya]]"/>
    <x v="1"/>
    <x v="1"/>
    <x v="2"/>
    <x v="3"/>
    <x v="0"/>
    <x v="0"/>
    <x v="2"/>
    <x v="3"/>
  </r>
  <r>
    <d v="2026-03-30T17:30:31"/>
    <s v="03-30_17-30-3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3148011255891021"/>
    <n v="11.7594876815236"/>
    <n v="0.65691322615305914"/>
    <n v="0.14265443444002951"/>
    <n v="15.88523032190532"/>
    <n v="0.56963102377238628"/>
    <n v="15.88523032190532"/>
    <n v="15.88523032190532"/>
    <n v="0.56963102377238628"/>
    <n v="108.0356851380941"/>
    <n v="0.13496302277623901"/>
    <n v="0.8"/>
    <s v="identity"/>
    <n v="9.8516992962558406E-2"/>
    <n v="0.28463925270485979"/>
    <n v="9.8516992962558406E-2"/>
    <n v="9.8516992962558406E-2"/>
    <n v="0.28463925270485979"/>
    <n v="7.5855870167802472E-2"/>
    <n v="0.44918830408693478"/>
    <n v="7.8925478760044382E-2"/>
    <n v="0.72654007315890534"/>
    <n v="7.8925478760044382E-2"/>
    <n v="7.8925478760044382E-2"/>
    <n v="0.72654007315890534"/>
    <n v="0.13069086600427479"/>
    <n v="0.54718406251314589"/>
    <n v="0.13767048076342789"/>
    <n v="0.44729656517014288"/>
    <n v="0.13767048076342789"/>
    <n v="0.13767048076342789"/>
    <n v="0.44729656517014288"/>
    <n v="0.30588320680127312"/>
    <n v="-0.22802432386614099"/>
    <n v="63.225808335135063"/>
    <n v="0.82004820405564083"/>
    <n v="63.225808335135063"/>
    <n v="63.225808335135063"/>
    <n v="0.82004820405564083"/>
    <n v="431.63031060940523"/>
    <n v="-0.2284959516289928"/>
    <s v="[[sv,wv],[yr],[ya]]"/>
    <x v="0"/>
    <x v="1"/>
    <x v="0"/>
    <x v="5"/>
    <x v="1"/>
    <x v="1"/>
    <x v="0"/>
    <x v="5"/>
  </r>
  <r>
    <d v="2026-03-30T17:28:32"/>
    <s v="03-30_17-28-32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1200443931777911"/>
    <n v="16.650171420896839"/>
    <n v="0.68754067524875917"/>
    <n v="0.1696230767795916"/>
    <n v="22.422221625069941"/>
    <n v="0.62534275394369199"/>
    <n v="22.422221625069941"/>
    <n v="22.422221625069941"/>
    <n v="0.62534275394369199"/>
    <n v="84.379938431311814"/>
    <n v="0.1773964554748895"/>
    <n v="0.8"/>
    <s v="identity"/>
    <n v="8.2864227843267954E-2"/>
    <n v="0.39829856584717738"/>
    <n v="8.2864227843267954E-2"/>
    <n v="8.2864227843267954E-2"/>
    <n v="0.39829856584717738"/>
    <n v="0.12809164617472429"/>
    <n v="6.9889031584222883E-2"/>
    <n v="0.1109279801100481"/>
    <n v="0.61565824113973211"/>
    <n v="0.1109279801100481"/>
    <n v="0.1109279801100481"/>
    <n v="0.61565824113973211"/>
    <n v="0.1195862285892481"/>
    <n v="0.58565925940542485"/>
    <n v="6.4276525480203739E-2"/>
    <n v="0.74195008098442794"/>
    <n v="6.4276525480203739E-2"/>
    <n v="6.4276525480203739E-2"/>
    <n v="0.74195008098442794"/>
    <n v="0.24577931724766711"/>
    <n v="1.3273781716832911E-2"/>
    <n v="89.430817766846218"/>
    <n v="0.74546412780343141"/>
    <n v="89.430817766846218"/>
    <n v="89.430817766846218"/>
    <n v="0.74546412780343141"/>
    <n v="337.02629653323697"/>
    <n v="4.0763749193075682E-2"/>
    <s v="[[sv,wv],[yr],[ya]]"/>
    <x v="0"/>
    <x v="0"/>
    <x v="1"/>
    <x v="0"/>
    <x v="1"/>
    <x v="1"/>
    <x v="1"/>
    <x v="0"/>
  </r>
  <r>
    <d v="2026-03-30T17:23:25"/>
    <s v="03-30_17-23-2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9.4640136387919419E-2"/>
    <n v="12.01746894122452"/>
    <n v="0.796546328861089"/>
    <n v="9.4249125640790909E-2"/>
    <n v="14.98895574344794"/>
    <n v="0.75625001750832654"/>
    <n v="14.98895574344794"/>
    <n v="14.98895574344794"/>
    <n v="0.75625001750832654"/>
    <n v="101.556511831986"/>
    <n v="0.1099377611580606"/>
    <n v="0.8"/>
    <s v="identity"/>
    <n v="6.2995495948271862E-2"/>
    <n v="0.542571248851347"/>
    <n v="6.2995495948271862E-2"/>
    <n v="6.2995495948271862E-2"/>
    <n v="0.542571248851347"/>
    <n v="0.1816434434829122"/>
    <n v="-0.3189662571266545"/>
    <n v="3.3718324456715569E-2"/>
    <n v="0.88317320738501981"/>
    <n v="3.3718324456715569E-2"/>
    <n v="3.3718324456715569E-2"/>
    <n v="0.88317320738501981"/>
    <n v="0.16193392112585769"/>
    <n v="0.43893354947139818"/>
    <n v="5.7423763638915652E-2"/>
    <n v="0.76946175223557578"/>
    <n v="5.7423763638915652E-2"/>
    <n v="5.7423763638915652E-2"/>
    <n v="0.76946175223557578"/>
    <n v="0.1308635223952539"/>
    <n v="0.47462434996446351"/>
    <n v="59.801685389747853"/>
    <n v="0.82979386156136392"/>
    <n v="59.801685389747853"/>
    <n v="59.801685389747853"/>
    <n v="0.82979386156136392"/>
    <n v="405.75160644094012"/>
    <n v="-0.15484059767695491"/>
    <s v="[[sv,wv],[yr],[ya]]"/>
    <x v="1"/>
    <x v="1"/>
    <x v="2"/>
    <x v="3"/>
    <x v="0"/>
    <x v="0"/>
    <x v="2"/>
    <x v="3"/>
  </r>
  <r>
    <d v="2026-03-30T17:29:34"/>
    <s v="03-30_17-29-34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"/>
    <s v="false"/>
    <s v="spsa"/>
    <n v="4000"/>
    <n v="4000"/>
    <m/>
    <n v="256"/>
    <s v="[0.1, 0.001]"/>
    <n v="0.15"/>
    <s v="[1.0, 1.0, 1.0, 1.0]"/>
    <n v="180"/>
    <n v="60"/>
    <n v="120"/>
    <n v="0.10088849950208539"/>
    <n v="13.220237833704241"/>
    <n v="0.80386435430358405"/>
    <n v="-0.22655067411761129"/>
    <n v="16.45558277647898"/>
    <n v="0.75964260090778191"/>
    <n v="16.45558277647898"/>
    <n v="16.45558277647898"/>
    <n v="0.75964260090778191"/>
    <n v="102.2513519454856"/>
    <n v="-0.17493850731021079"/>
    <n v="0.8"/>
    <s v="identity"/>
    <n v="5.6677639527227368E-2"/>
    <n v="0.58844705519451712"/>
    <n v="5.6677639527227368E-2"/>
    <n v="5.6677639527227368E-2"/>
    <n v="0.58844705519451712"/>
    <n v="0.1430685787947705"/>
    <n v="-3.8862863790182223E-2"/>
    <n v="5.5497466915672769E-2"/>
    <n v="0.80771313039777348"/>
    <n v="5.5497466915672769E-2"/>
    <n v="5.5497466915672769E-2"/>
    <n v="0.80771313039777348"/>
    <n v="0.42472232637761731"/>
    <n v="-0.47157214784993312"/>
    <n v="4.2515952776423643E-2"/>
    <n v="0.8293118974795084"/>
    <n v="4.2515952776423643E-2"/>
    <n v="4.2515952776423643E-2"/>
    <n v="0.8293118974795084"/>
    <n v="0.25595093399240559"/>
    <n v="-2.7562042211541019E-2"/>
    <n v="65.667640046696576"/>
    <n v="0.81309832055932818"/>
    <n v="65.667640046696576"/>
    <n v="65.667640046696576"/>
    <n v="0.81309832055932818"/>
    <n v="408.18166594277801"/>
    <n v="-0.1617569753891934"/>
    <s v="[[sv,wv],[yr],[ya]]"/>
    <x v="0"/>
    <x v="1"/>
    <x v="1"/>
    <x v="3"/>
    <x v="0"/>
    <x v="0"/>
    <x v="1"/>
    <x v="3"/>
  </r>
  <r>
    <d v="2026-03-30T18:05:41"/>
    <s v="03-30_18-05-41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185179470226814"/>
    <n v="11.059858541318119"/>
    <n v="0.71149421612543096"/>
    <n v="2.9395293362801691E-2"/>
    <n v="15.33907163661255"/>
    <n v="0.65914600961966874"/>
    <n v="15.33907163661255"/>
    <n v="15.33907163661255"/>
    <n v="0.65914600961966874"/>
    <n v="103.6741043238999"/>
    <n v="6.0669256620329133E-2"/>
    <n v="0.8"/>
    <s v="identity"/>
    <n v="8.1996107871845969E-2"/>
    <n v="0.40460223928282812"/>
    <n v="8.1996107871845969E-2"/>
    <n v="8.1996107871845969E-2"/>
    <n v="0.40460223928282812"/>
    <n v="0.1543690388788948"/>
    <n v="-0.1209188150272482"/>
    <n v="0.1000964358280093"/>
    <n v="0.65318722865398859"/>
    <n v="0.1000964358280093"/>
    <n v="0.1000964358280093"/>
    <n v="0.65318722865398859"/>
    <n v="0.11019923899761409"/>
    <n v="0.61818317344832374"/>
    <n v="6.1590951332884891E-2"/>
    <n v="0.75273181173369474"/>
    <n v="6.1590951332884891E-2"/>
    <n v="6.1590951332884891E-2"/>
    <n v="0.75273181173369474"/>
    <n v="0.26796729127075158"/>
    <n v="-7.5803915887403539E-2"/>
    <n v="61.112603051417452"/>
    <n v="0.82606275880816216"/>
    <n v="61.112603051417452"/>
    <n v="61.112603051417452"/>
    <n v="0.82606275880816216"/>
    <n v="414.16388172645151"/>
    <n v="-0.17878341605235709"/>
    <s v="[[sv,wv],[yr],[ya]]"/>
    <x v="1"/>
    <x v="0"/>
    <x v="2"/>
    <x v="4"/>
    <x v="1"/>
    <x v="1"/>
    <x v="2"/>
    <x v="4"/>
  </r>
  <r>
    <d v="2026-03-30T18:47:52"/>
    <s v="03-30_18-47-5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3128277893355669"/>
    <n v="19.51122850439215"/>
    <n v="0.6650131079773054"/>
    <n v="-5.6854269085340643E-2"/>
    <n v="25.178074892768901"/>
    <n v="0.59706979099901925"/>
    <n v="25.178074892768901"/>
    <n v="25.178074892768901"/>
    <n v="0.59706979099901925"/>
    <n v="102.0931902667045"/>
    <n v="-3.2758454500890023E-2"/>
    <n v="0.8"/>
    <s v="identity"/>
    <n v="6.4373966617736672E-2"/>
    <n v="0.53256176948561407"/>
    <n v="6.4373966617736672E-2"/>
    <n v="6.4373966617736672E-2"/>
    <n v="0.53256176948561407"/>
    <n v="7.2642212615805696E-2"/>
    <n v="0.47252361304039409"/>
    <n v="8.5323036596807317E-2"/>
    <n v="0.7043739016577889"/>
    <n v="8.5323036596807317E-2"/>
    <n v="8.5323036596807317E-2"/>
    <n v="0.7043739016577889"/>
    <n v="0.2077925234691195"/>
    <n v="0.2800432869244982"/>
    <n v="0.1401945143694526"/>
    <n v="0.43716336859859117"/>
    <n v="0.1401945143694526"/>
    <n v="0.1401945143694526"/>
    <n v="0.43716336859859117"/>
    <n v="0.42925417829099421"/>
    <n v="-0.72331975192408704"/>
    <n v="100.42240805349149"/>
    <n v="0.71418012425408928"/>
    <n v="100.42240805349149"/>
    <n v="100.42240805349149"/>
    <n v="0.71418012425408928"/>
    <n v="407.66307215244098"/>
    <n v="-0.16028096604436889"/>
    <s v="[[sv,wv],[yr],[ya]]"/>
    <x v="0"/>
    <x v="1"/>
    <x v="0"/>
    <x v="5"/>
    <x v="1"/>
    <x v="1"/>
    <x v="0"/>
    <x v="5"/>
  </r>
  <r>
    <d v="2026-03-30T20:52:21"/>
    <s v="03-30_20-52-21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226291042674936"/>
    <n v="19.984805530680791"/>
    <n v="0.67348257244981569"/>
    <n v="0.34637655734193917"/>
    <n v="25.7539392308591"/>
    <n v="0.63675213437688605"/>
    <n v="25.7539392308591"/>
    <n v="25.7539392308591"/>
    <n v="0.63675213437688605"/>
    <n v="48.64974235332604"/>
    <n v="0.33314350064099391"/>
    <n v="0.8"/>
    <s v="identity"/>
    <n v="9.4787812397987808E-2"/>
    <n v="0.31171792527948461"/>
    <n v="9.4787812397987808E-2"/>
    <n v="9.4787812397987808E-2"/>
    <n v="0.31171792527948461"/>
    <n v="0.1115101795813387"/>
    <n v="0.19029191820096991"/>
    <n v="9.4860337859235616E-2"/>
    <n v="0.67132918977945633"/>
    <n v="9.4860337859235616E-2"/>
    <n v="9.4860337859235616E-2"/>
    <n v="0.67132918977945633"/>
    <n v="0.11550286323801991"/>
    <n v="0.59980724821404774"/>
    <n v="3.5738572425754483E-2"/>
    <n v="0.85652093588913036"/>
    <n v="3.5738572425754483E-2"/>
    <n v="3.5738572425754483E-2"/>
    <n v="0.85652093588913036"/>
    <n v="0.2254100040904512"/>
    <n v="9.5050131190502429E-2"/>
    <n v="102.7903702007532"/>
    <n v="0.70744048655947389"/>
    <n v="102.7903702007532"/>
    <n v="102.7903702007532"/>
    <n v="0.70744048655947389"/>
    <n v="194.14654636639489"/>
    <n v="0.44742470495845288"/>
    <s v="[[sv,wv],[yr],[ya]]"/>
    <x v="0"/>
    <x v="1"/>
    <x v="4"/>
    <x v="2"/>
    <x v="1"/>
    <x v="1"/>
    <x v="4"/>
    <x v="2"/>
  </r>
  <r>
    <d v="2026-03-30T21:01:17"/>
    <s v="03-30_21-01-1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18226704020884"/>
    <n v="31.055917554842409"/>
    <n v="0.69402612900024496"/>
    <n v="-0.14877512827384529"/>
    <n v="36.191184069685541"/>
    <n v="0.59730368383750909"/>
    <n v="36.191184069685541"/>
    <n v="36.191184069685541"/>
    <n v="0.59730368383750909"/>
    <n v="106.84407323394259"/>
    <n v="-0.32544938212896141"/>
    <n v="0.8"/>
    <s v="identity"/>
    <n v="9.2308218380195206E-2"/>
    <n v="0.32972298386090942"/>
    <n v="9.2308218380195206E-2"/>
    <n v="9.2308218380195206E-2"/>
    <n v="0.32972298386090942"/>
    <n v="0.14037536534469441"/>
    <n v="-1.93066519293108E-2"/>
    <n v="5.5903575358306173E-2"/>
    <n v="0.80630605138150657"/>
    <n v="5.5903575358306173E-2"/>
    <n v="5.5903575358306173E-2"/>
    <n v="0.80630605138150657"/>
    <n v="0.46629346043585568"/>
    <n v="-0.61560724851532433"/>
    <n v="8.3555272723973242E-2"/>
    <n v="0.66455200870516951"/>
    <n v="8.3555272723973242E-2"/>
    <n v="8.3555272723973242E-2"/>
    <n v="0.66455200870516951"/>
    <n v="0.36198426261350841"/>
    <n v="-0.45325231808144872"/>
    <n v="144.53296921227991"/>
    <n v="0.58863369140245281"/>
    <n v="144.53296921227991"/>
    <n v="144.53296921227991"/>
    <n v="0.58863369140245281"/>
    <n v="426.40763984737657"/>
    <n v="-0.2136313099897513"/>
    <s v="[[sv,wv],[yr],[ya]]"/>
    <x v="1"/>
    <x v="0"/>
    <x v="3"/>
    <x v="1"/>
    <x v="0"/>
    <x v="0"/>
    <x v="3"/>
    <x v="1"/>
  </r>
  <r>
    <d v="2026-03-30T21:15:46"/>
    <s v="03-30_21-15-4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8459312322848755E-2"/>
    <n v="10.309762045149689"/>
    <n v="0.74668984972823182"/>
    <n v="3.6067267263433463E-2"/>
    <n v="14.07605139201433"/>
    <n v="0.68863740805483509"/>
    <n v="14.07605139201433"/>
    <n v="14.07605139201433"/>
    <n v="0.68863740805483509"/>
    <n v="104.8802904776457"/>
    <n v="6.5428221788811469E-2"/>
    <n v="0.8"/>
    <s v="identity"/>
    <n v="9.7713711076145182E-2"/>
    <n v="0.29047211781039151"/>
    <n v="9.7713711076145182E-2"/>
    <n v="9.7713711076145182E-2"/>
    <n v="0.29047211781039151"/>
    <n v="9.8084859787131246E-2"/>
    <n v="0.28777709828873882"/>
    <n v="7.7455679081338533E-2"/>
    <n v="0.73163261512285016"/>
    <n v="7.7455679081338533E-2"/>
    <n v="7.7455679081338533E-2"/>
    <n v="0.73163261512285016"/>
    <n v="0.13195367675496689"/>
    <n v="0.54280869297565726"/>
    <n v="2.68709709102752E-2"/>
    <n v="0.89212155113452896"/>
    <n v="2.68709709102752E-2"/>
    <n v="2.68709709102752E-2"/>
    <n v="0.89212155113452896"/>
    <n v="0.34285946203448991"/>
    <n v="-0.37647229296754281"/>
    <n v="56.102165206989483"/>
    <n v="0.84032334815157039"/>
    <n v="56.102165206989483"/>
    <n v="56.102165206989483"/>
    <n v="0.84032334815157039"/>
    <n v="418.94826391200729"/>
    <n v="-0.1924006111416057"/>
    <s v="[[sv,wv],[yr],[ya]]"/>
    <x v="0"/>
    <x v="0"/>
    <x v="4"/>
    <x v="4"/>
    <x v="1"/>
    <x v="1"/>
    <x v="4"/>
    <x v="4"/>
  </r>
  <r>
    <d v="2026-03-30T21:15:57"/>
    <s v="03-30_21-15-57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2611234534000221"/>
    <n v="12.923011766115611"/>
    <n v="0.6851842369936304"/>
    <n v="6.078199969654241E-2"/>
    <n v="18.844572387654271"/>
    <n v="0.60486715131340818"/>
    <n v="18.844572387654271"/>
    <n v="18.844572387654271"/>
    <n v="0.60486715131340818"/>
    <n v="88.97224740873331"/>
    <n v="6.1421622590549452E-2"/>
    <n v="0.8"/>
    <s v="identity"/>
    <n v="7.9193700054750654E-2"/>
    <n v="0.42495134343204782"/>
    <n v="7.9193700054750654E-2"/>
    <n v="7.9193700054750654E-2"/>
    <n v="0.42495134343204782"/>
    <n v="0.14557701135465209"/>
    <n v="-5.7077327474212243E-2"/>
    <n v="9.991782123259621E-2"/>
    <n v="0.65380609007823054"/>
    <n v="9.991782123259621E-2"/>
    <n v="9.991782123259621E-2"/>
    <n v="0.65380609007823054"/>
    <n v="0.1236537691120061"/>
    <n v="0.57156610024755217"/>
    <n v="0.11098622740330751"/>
    <n v="0.55442540213085922"/>
    <n v="0.11098622740330751"/>
    <n v="0.11098622740330751"/>
    <n v="0.55442540213085922"/>
    <n v="0.31323446010857431"/>
    <n v="-0.2575372806795313"/>
    <n v="75.0881918019263"/>
    <n v="0.7862857696124973"/>
    <n v="75.0881918019263"/>
    <n v="75.0881918019263"/>
    <n v="0.7862857696124973"/>
    <n v="355.30652439435858"/>
    <n v="-1.126500173161471E-2"/>
    <s v="[[sv,wv],[yr],[ya]]"/>
    <x v="1"/>
    <x v="0"/>
    <x v="3"/>
    <x v="0"/>
    <x v="1"/>
    <x v="1"/>
    <x v="3"/>
    <x v="0"/>
  </r>
  <r>
    <d v="2026-03-30T21:18:01"/>
    <s v="03-30_21-18-01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253458307369065"/>
    <n v="28.868874536038099"/>
    <n v="0.62282676512180091"/>
    <n v="-0.36873403891469902"/>
    <n v="34.942244129057777"/>
    <n v="0.54113930962769174"/>
    <n v="34.942244129057777"/>
    <n v="34.942244129057777"/>
    <n v="0.54113930962769174"/>
    <n v="102.7984812981946"/>
    <n v="-0.3489893168022255"/>
    <n v="0.8"/>
    <s v="identity"/>
    <n v="9.9181432646956932E-2"/>
    <n v="0.27981456150316508"/>
    <n v="9.9181432646956932E-2"/>
    <n v="9.9181432646956932E-2"/>
    <n v="0.27981456150316508"/>
    <n v="0.15962280709852289"/>
    <n v="-0.15906796520621241"/>
    <n v="7.2281839867327627E-2"/>
    <n v="0.74955886296041485"/>
    <n v="7.2281839867327627E-2"/>
    <n v="7.2281839867327627E-2"/>
    <n v="0.74955886296041485"/>
    <n v="0.40782183466174038"/>
    <n v="-0.41301555369542409"/>
    <n v="0.116529408910514"/>
    <n v="0.53217128169829486"/>
    <n v="0.116529408910514"/>
    <n v="0.116529408910514"/>
    <n v="0.53217128169829486"/>
    <n v="0.41256865228753292"/>
    <n v="-0.65633264268384806"/>
    <n v="139.4809838348059"/>
    <n v="0.60301253234889418"/>
    <n v="139.4809838348059"/>
    <n v="139.4809838348059"/>
    <n v="0.60301253234889418"/>
    <n v="410.21391189873009"/>
    <n v="-0.16754110562341309"/>
    <s v="[[sv,wv],[yr],[ya]]"/>
    <x v="1"/>
    <x v="0"/>
    <x v="3"/>
    <x v="1"/>
    <x v="0"/>
    <x v="0"/>
    <x v="3"/>
    <x v="1"/>
  </r>
  <r>
    <d v="2026-03-30T21:21:10"/>
    <s v="03-30_21-21-10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80"/>
    <n v="60"/>
    <n v="120"/>
    <n v="0.13070482805045031"/>
    <n v="47.990084512586343"/>
    <n v="0.68615495180436303"/>
    <n v="0.1526017552700307"/>
    <n v="50.697351772288329"/>
    <n v="0.6491901409265235"/>
    <n v="50.697351772288329"/>
    <n v="50.697351772288329"/>
    <n v="0.6491901409265235"/>
    <n v="97.093221537050539"/>
    <n v="7.4915883591307075E-2"/>
    <n v="0.8"/>
    <s v="identity"/>
    <n v="5.48105668092373E-2"/>
    <n v="0.60200441717473263"/>
    <n v="5.48105668092373E-2"/>
    <n v="5.48105668092373E-2"/>
    <n v="0.60200441717473263"/>
    <n v="0.16391951111733519"/>
    <n v="-0.19026759184292691"/>
    <n v="4.7920259057095488E-2"/>
    <n v="0.83396653727245296"/>
    <n v="4.7920259057095488E-2"/>
    <n v="4.7920259057095488E-2"/>
    <n v="0.83396653727245296"/>
    <n v="0.23012047591022211"/>
    <n v="0.2026817005650581"/>
    <n v="6.5388585438842281E-2"/>
    <n v="0.73748551199717738"/>
    <n v="6.5388585438842281E-2"/>
    <n v="6.5388585438842281E-2"/>
    <n v="0.73748551199717738"/>
    <n v="0.15167473311245391"/>
    <n v="0.39107392156049758"/>
    <n v="202.62128767784819"/>
    <n v="0.42330409726173179"/>
    <n v="202.62128767784819"/>
    <n v="202.62128767784819"/>
    <n v="0.42330409726173179"/>
    <n v="387.8271714280632"/>
    <n v="-0.1038244959174035"/>
    <s v="[[sv,wv],[yr],[ya]]"/>
    <x v="1"/>
    <x v="0"/>
    <x v="2"/>
    <x v="1"/>
    <x v="0"/>
    <x v="0"/>
    <x v="2"/>
    <x v="1"/>
  </r>
  <r>
    <d v="2026-03-30T21:48:29"/>
    <s v="03-30_21-48-29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5317415355526"/>
    <n v="16.345167555056008"/>
    <n v="0.69642409578193054"/>
    <n v="8.3716799636799122E-2"/>
    <n v="17.551132195261289"/>
    <n v="0.64953843659282595"/>
    <n v="17.551132195261289"/>
    <n v="17.551132195261289"/>
    <n v="0.64953843659282595"/>
    <n v="71.239306048011457"/>
    <n v="0.13237650143043039"/>
    <n v="0.8"/>
    <s v="identity"/>
    <n v="8.4657968320933336E-2"/>
    <n v="0.38527369074726531"/>
    <n v="8.4657968320933336E-2"/>
    <n v="8.4657968320933336E-2"/>
    <n v="0.38527369074726531"/>
    <n v="0.18604104260930671"/>
    <n v="-0.35089851269760591"/>
    <n v="9.7390676547200794E-2"/>
    <n v="0.6625621066604821"/>
    <n v="9.7390676547200794E-2"/>
    <n v="9.7390676547200794E-2"/>
    <n v="0.6625621066604821"/>
    <n v="0.1249622134772375"/>
    <n v="0.567032619982204"/>
    <n v="6.2411732197511408E-2"/>
    <n v="0.74943663617677025"/>
    <n v="6.2411732197511408E-2"/>
    <n v="6.2411732197511408E-2"/>
    <n v="0.74943663617677025"/>
    <n v="0.21847215264338221"/>
    <n v="0.1229034102948565"/>
    <n v="69.960068403979889"/>
    <n v="0.80088131278678565"/>
    <n v="69.960068403979889"/>
    <n v="69.960068403979889"/>
    <n v="0.80088131278678565"/>
    <n v="284.42774878331602"/>
    <n v="0.1904684881422736"/>
    <s v="[[sv,wv],[yr],[ya]]"/>
    <x v="1"/>
    <x v="1"/>
    <x v="2"/>
    <x v="2"/>
    <x v="1"/>
    <x v="1"/>
    <x v="2"/>
    <x v="2"/>
  </r>
  <r>
    <d v="2026-03-30T22:34:00"/>
    <s v="03-30_22-34-00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222486906441489"/>
    <n v="22.333301530319101"/>
    <n v="0.72894934667570199"/>
    <n v="-4.5498611085968421E-3"/>
    <n v="27.950709347780329"/>
    <n v="0.66557863260520933"/>
    <n v="27.950709347780329"/>
    <n v="27.950709347780329"/>
    <n v="0.66557863260520933"/>
    <n v="137.08225866612139"/>
    <n v="1.9965137665855889E-2"/>
    <n v="0.8"/>
    <s v="identity"/>
    <n v="6.3374476113754449E-2"/>
    <n v="0.53981936284430354"/>
    <n v="6.3374476113754449E-2"/>
    <n v="6.3374476113754449E-2"/>
    <n v="0.53981936284430354"/>
    <n v="6.8498495778478705E-2"/>
    <n v="0.5026123549334427"/>
    <n v="7.9520853913504108E-2"/>
    <n v="0.72447722541358983"/>
    <n v="7.9520853913504108E-2"/>
    <n v="7.9520853913504108E-2"/>
    <n v="0.72447722541358983"/>
    <n v="0.15403671277662179"/>
    <n v="0.46629568969986129"/>
    <n v="7.0834917369357056E-2"/>
    <n v="0.71562021198132464"/>
    <n v="7.0834917369357056E-2"/>
    <n v="7.0834917369357056E-2"/>
    <n v="0.71562021198132464"/>
    <n v="0.33127956186567947"/>
    <n v="-0.32998265653425007"/>
    <n v="111.5891071437246"/>
    <n v="0.68239773018161975"/>
    <n v="111.5891071437246"/>
    <n v="111.5891071437246"/>
    <n v="0.68239773018161975"/>
    <n v="547.77521989406387"/>
    <n v="-0.55906483743562041"/>
    <s v="[[sv,wv],[yr],[ya]]"/>
    <x v="0"/>
    <x v="0"/>
    <x v="4"/>
    <x v="4"/>
    <x v="1"/>
    <x v="1"/>
    <x v="4"/>
    <x v="4"/>
  </r>
  <r>
    <d v="2026-03-31T00:25:11"/>
    <s v="03-31_00-25-11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1313128426783001"/>
    <n v="10.72948653929836"/>
    <n v="0.73222169188272823"/>
    <n v="0.10726281181961191"/>
    <n v="15.21836928199127"/>
    <n v="0.69614048937844342"/>
    <n v="15.21836928199127"/>
    <n v="15.21836928199127"/>
    <n v="0.69614048937844342"/>
    <n v="106.9608701768109"/>
    <n v="0.10597048477120311"/>
    <n v="0.8"/>
    <s v="identity"/>
    <n v="7.919086722072062E-2"/>
    <n v="0.42497191346984292"/>
    <n v="7.919086722072062E-2"/>
    <n v="7.919086722072062E-2"/>
    <n v="0.42497191346984292"/>
    <n v="0.11614179392781671"/>
    <n v="0.15666040956023619"/>
    <n v="9.7276245642682863E-2"/>
    <n v="0.662958585304254"/>
    <n v="9.7276245642682863E-2"/>
    <n v="9.7276245642682863E-2"/>
    <n v="0.662958585304254"/>
    <n v="0.1167216942233561"/>
    <n v="0.59558425917023039"/>
    <n v="3.2557188669824558E-2"/>
    <n v="0.86929318539144695"/>
    <n v="3.2557188669824558E-2"/>
    <n v="3.2557188669824558E-2"/>
    <n v="0.86929318539144695"/>
    <n v="0.27700711405996042"/>
    <n v="-0.1120959450729091"/>
    <n v="60.664452826431969"/>
    <n v="0.82733827334823007"/>
    <n v="60.664452826431969"/>
    <n v="60.664452826431969"/>
    <n v="0.82733827334823007"/>
    <n v="427.33361010503342"/>
    <n v="-0.2162667845727437"/>
    <s v="[[sv,wv],[yr],[ya]]"/>
    <x v="0"/>
    <x v="1"/>
    <x v="4"/>
    <x v="5"/>
    <x v="1"/>
    <x v="1"/>
    <x v="4"/>
    <x v="5"/>
  </r>
  <r>
    <d v="2026-03-31T00:36:25"/>
    <s v="03-31_00-36-25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053416898824955"/>
    <n v="20.273474907543221"/>
    <n v="0.73524232229113973"/>
    <n v="-0.224917981177233"/>
    <n v="19.213624595048309"/>
    <n v="0.6612486510699096"/>
    <n v="19.213624595048309"/>
    <n v="19.213624595048309"/>
    <n v="0.6612486510699096"/>
    <n v="124.59285325491039"/>
    <n v="-0.36591987657456743"/>
    <n v="0.8"/>
    <s v="identity"/>
    <n v="8.5477653832319839E-2"/>
    <n v="0.37932171411522059"/>
    <n v="8.5477653832319839E-2"/>
    <n v="8.5477653832319839E-2"/>
    <n v="0.37932171411522059"/>
    <n v="0.14226000066347519"/>
    <n v="-3.2991541098982058E-2"/>
    <n v="5.5845126094925313E-2"/>
    <n v="0.80650856559541007"/>
    <n v="5.5845126094925313E-2"/>
    <n v="5.5845126094925313E-2"/>
    <n v="0.80650856559541007"/>
    <n v="0.40377082028731281"/>
    <n v="-0.39897965411182851"/>
    <n v="8.0386220266448108E-2"/>
    <n v="0.67727475194480413"/>
    <n v="8.0386220266448108E-2"/>
    <n v="8.0386220266448108E-2"/>
    <n v="0.67727475194480413"/>
    <n v="0.40251119545374209"/>
    <n v="-0.6159551346889327"/>
    <n v="76.632789379999522"/>
    <n v="0.7818895726242"/>
    <n v="76.632789379999522"/>
    <n v="76.632789379999522"/>
    <n v="0.7818895726242"/>
    <n v="497.42287100323699"/>
    <n v="-0.41575317639852488"/>
    <s v="[[sv,wv],[yr],[ya]]"/>
    <x v="1"/>
    <x v="1"/>
    <x v="3"/>
    <x v="2"/>
    <x v="0"/>
    <x v="0"/>
    <x v="3"/>
    <x v="2"/>
  </r>
  <r>
    <d v="2026-03-31T00:46:46"/>
    <s v="03-31_00-46-4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9775735297001275E-2"/>
    <n v="21.133741930382548"/>
    <n v="0.73300942747016773"/>
    <n v="0.23816081130001299"/>
    <n v="19.66986649345392"/>
    <n v="0.70160785262906911"/>
    <n v="19.66986649345392"/>
    <n v="19.66986649345392"/>
    <n v="0.70160785262906911"/>
    <n v="72.502591626917976"/>
    <n v="0.2443087082308327"/>
    <n v="0.8"/>
    <s v="identity"/>
    <n v="8.2576797300357871E-2"/>
    <n v="0.40038568322447848"/>
    <n v="8.2576797300357871E-2"/>
    <n v="8.2576797300357871E-2"/>
    <n v="0.40038568322447848"/>
    <n v="0.14723820062977511"/>
    <n v="-6.9139709460457999E-2"/>
    <n v="7.6948033507409017E-2"/>
    <n v="0.73339149861255348"/>
    <n v="7.6948033507409017E-2"/>
    <n v="7.6948033507409017E-2"/>
    <n v="0.73339149861255348"/>
    <n v="0.1045300728034721"/>
    <n v="0.63782562347911043"/>
    <n v="2.5889427674030609E-2"/>
    <n v="0.89606213676405566"/>
    <n v="2.5889427674030609E-2"/>
    <n v="2.5889427674030609E-2"/>
    <n v="0.89606213676405566"/>
    <n v="0.1911211577763679"/>
    <n v="0.232709003514143"/>
    <n v="78.494051715333697"/>
    <n v="0.77659209191518941"/>
    <n v="78.494051715333697"/>
    <n v="78.494051715333697"/>
    <n v="0.77659209191518941"/>
    <n v="289.56747707646258"/>
    <n v="0.1758399153905387"/>
    <s v="[[sv,wv],[yr],[ya]]"/>
    <x v="0"/>
    <x v="1"/>
    <x v="4"/>
    <x v="2"/>
    <x v="1"/>
    <x v="1"/>
    <x v="4"/>
    <x v="2"/>
  </r>
  <r>
    <d v="2026-03-31T00:48:31"/>
    <s v="03-31_00-48-31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3988271842012179"/>
    <n v="42.691110648361658"/>
    <n v="0.60560310842585441"/>
    <n v="0.20243197505554039"/>
    <n v="49.902822543366028"/>
    <n v="0.55875096719027395"/>
    <n v="49.902822543366028"/>
    <n v="49.902822543366028"/>
    <n v="0.55875096719027395"/>
    <n v="114.3701338155505"/>
    <n v="0.1067366165017426"/>
    <n v="0.8"/>
    <s v="identity"/>
    <n v="7.9109870976437943E-2"/>
    <n v="0.42556005092812038"/>
    <n v="7.9109870976437943E-2"/>
    <n v="7.9109870976437943E-2"/>
    <n v="0.42556005092812038"/>
    <n v="0.1376340790371037"/>
    <n v="5.9863103332757905E-4"/>
    <n v="9.7221214322363345E-2"/>
    <n v="0.66314925707546102"/>
    <n v="9.7221214322363345E-2"/>
    <n v="9.7221214322363345E-2"/>
    <n v="0.66314925707546102"/>
    <n v="0.1239061074098315"/>
    <n v="0.57069180194050828"/>
    <n v="7.1308568156032315E-2"/>
    <n v="0.71371865388946953"/>
    <n v="7.1308568156032315E-2"/>
    <n v="7.1308568156032315E-2"/>
    <n v="0.71371865388946953"/>
    <n v="0.21013266464518079"/>
    <n v="0.15638381681169569"/>
    <n v="199.3636505200098"/>
    <n v="0.43257590686803682"/>
    <n v="199.3636505200098"/>
    <n v="199.3636505200098"/>
    <n v="0.43257590686803682"/>
    <n v="457.00886241111158"/>
    <n v="-0.30072778377855741"/>
    <s v="[[sv,wv],[yr],[ya]]"/>
    <x v="0"/>
    <x v="0"/>
    <x v="0"/>
    <x v="1"/>
    <x v="1"/>
    <x v="1"/>
    <x v="0"/>
    <x v="1"/>
  </r>
  <r>
    <d v="2026-03-31T00:54:35"/>
    <s v="03-31_00-54-35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66017913547754"/>
    <n v="14.20404748105549"/>
    <n v="0.69631844348139715"/>
    <n v="-0.121275591786748"/>
    <n v="19.532566976572951"/>
    <n v="0.63039866607009143"/>
    <n v="19.532566976572951"/>
    <n v="19.532566976572951"/>
    <n v="0.63039866607009143"/>
    <n v="100.8253073612233"/>
    <n v="-8.4461142374226417E-2"/>
    <n v="0.8"/>
    <s v="identity"/>
    <n v="9.4121127899184268E-2"/>
    <n v="0.31655891673621178"/>
    <n v="9.4121127899184268E-2"/>
    <n v="9.4121127899184268E-2"/>
    <n v="0.31655891673621178"/>
    <n v="0.1464545105619188"/>
    <n v="-6.3449106289058532E-2"/>
    <n v="6.8943102137304993E-2"/>
    <n v="0.76112687610062535"/>
    <n v="6.8943102137304993E-2"/>
    <n v="6.8943102137304993E-2"/>
    <n v="0.76112687610062535"/>
    <n v="0.30678600245040938"/>
    <n v="-6.2947974519371508E-2"/>
    <n v="8.3299166789842144E-2"/>
    <n v="0.66558019302391114"/>
    <n v="8.3299166789842144E-2"/>
    <n v="8.3299166789842144E-2"/>
    <n v="0.66558019302391114"/>
    <n v="0.26543225953204852"/>
    <n v="-6.5626565291878602E-2"/>
    <n v="77.883904509465097"/>
    <n v="0.77832867841961961"/>
    <n v="77.883904509465097"/>
    <n v="77.883904509465097"/>
    <n v="0.77832867841961961"/>
    <n v="402.58255667234812"/>
    <n v="-0.14582092339659841"/>
    <s v="[[sv,wv],[yr],[ya]]"/>
    <x v="1"/>
    <x v="1"/>
    <x v="3"/>
    <x v="2"/>
    <x v="0"/>
    <x v="0"/>
    <x v="3"/>
    <x v="2"/>
  </r>
  <r>
    <d v="2026-03-31T00:55:37"/>
    <s v="03-31_00-55-37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80"/>
    <n v="60"/>
    <n v="120"/>
    <n v="0.1086101830046004"/>
    <n v="13.528644547157301"/>
    <n v="0.7680853736726323"/>
    <n v="-2.8727966739621751E-3"/>
    <n v="16.91110081795215"/>
    <n v="0.72063345782838373"/>
    <n v="16.91110081795215"/>
    <n v="16.91110081795215"/>
    <n v="0.72063345782838373"/>
    <n v="106.75615345342869"/>
    <n v="-5.8212103105960623E-2"/>
    <n v="0.8"/>
    <s v="identity"/>
    <n v="6.8550450131820137E-2"/>
    <n v="0.50223509915335918"/>
    <n v="6.8550450131820137E-2"/>
    <n v="6.8550450131820137E-2"/>
    <n v="0.50223509915335918"/>
    <n v="0.14164780509902031"/>
    <n v="-2.854620975755906E-2"/>
    <n v="5.8861535562151623E-2"/>
    <n v="0.79605735104227038"/>
    <n v="5.8861535562151623E-2"/>
    <n v="5.8861535562151623E-2"/>
    <n v="0.79605735104227038"/>
    <n v="0.37600461085799752"/>
    <n v="-0.30277566880209389"/>
    <n v="5.5733403607504582E-2"/>
    <n v="0.7762480130975935"/>
    <n v="5.5733403607504582E-2"/>
    <n v="5.5733403607504582E-2"/>
    <n v="0.7762480130975935"/>
    <n v="0.17139590860661599"/>
    <n v="0.31189963979681112"/>
    <n v="67.461257882507184"/>
    <n v="0.80799336802030952"/>
    <n v="67.461257882507184"/>
    <n v="67.461257882507184"/>
    <n v="0.80799336802030952"/>
    <n v="426.33556548915078"/>
    <n v="-0.21342617366099931"/>
    <s v="[[sv,wv],[yr],[ya]]"/>
    <x v="1"/>
    <x v="1"/>
    <x v="2"/>
    <x v="3"/>
    <x v="0"/>
    <x v="0"/>
    <x v="2"/>
    <x v="3"/>
  </r>
  <r>
    <d v="2026-03-31T01:21:05"/>
    <s v="03-31_01-21-05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243732732574629"/>
    <n v="12.82801297010889"/>
    <n v="0.70371769349374214"/>
    <n v="0.17181020108027151"/>
    <n v="17.285950488003369"/>
    <n v="0.65347941053841119"/>
    <n v="17.285950488003369"/>
    <n v="17.285950488003369"/>
    <n v="0.65347941053841119"/>
    <n v="100.28809670107201"/>
    <n v="0.1851666451425909"/>
    <n v="0.8"/>
    <s v="identity"/>
    <n v="8.0500782639848029E-2"/>
    <n v="0.41546023386065561"/>
    <n v="8.0500782639848029E-2"/>
    <n v="8.0500782639848029E-2"/>
    <n v="0.41546023386065561"/>
    <n v="0.12150696185879099"/>
    <n v="0.11770235344169069"/>
    <n v="0.1050994729446541"/>
    <n v="0.63585277360354198"/>
    <n v="0.1050994729446541"/>
    <n v="0.1050994729446541"/>
    <n v="0.63585277360354198"/>
    <n v="0.100652221906675"/>
    <n v="0.65126154859732033"/>
    <n v="6.0104170730874588E-2"/>
    <n v="0.75870076557922961"/>
    <n v="6.0104170730874588E-2"/>
    <n v="6.0104170730874588E-2"/>
    <n v="0.75870076557922961"/>
    <n v="0.22114036597973219"/>
    <n v="0.1121913777103718"/>
    <n v="68.898097525698233"/>
    <n v="0.80390386911021661"/>
    <n v="68.898097525698233"/>
    <n v="68.898097525698233"/>
    <n v="0.80390386911021661"/>
    <n v="400.70908725454029"/>
    <n v="-0.140488699179008"/>
    <s v="[[sv,wv],[yr],[ya]]"/>
    <x v="1"/>
    <x v="1"/>
    <x v="2"/>
    <x v="5"/>
    <x v="1"/>
    <x v="1"/>
    <x v="2"/>
    <x v="5"/>
  </r>
  <r>
    <d v="2026-03-31T02:12:27"/>
    <s v="03-31_02-12-27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759383901124379"/>
    <n v="16.156068127707002"/>
    <n v="0.76788747669169122"/>
    <n v="0.18761385184956819"/>
    <n v="18.202526307796131"/>
    <n v="0.7148804625911942"/>
    <n v="18.202526307796131"/>
    <n v="18.202526307796131"/>
    <n v="0.7148804625911942"/>
    <n v="71.273450032101763"/>
    <n v="0.19230550864229509"/>
    <n v="0.8"/>
    <s v="identity"/>
    <n v="6.5244166101139436E-2"/>
    <n v="0.52624299610426017"/>
    <n v="6.5244166101139436E-2"/>
    <n v="6.5244166101139436E-2"/>
    <n v="0.52624299610426017"/>
    <n v="6.6632626989605551E-2"/>
    <n v="0.51616097483163892"/>
    <n v="7.7435778165658081E-2"/>
    <n v="0.73170156754520532"/>
    <n v="7.7435778165658081E-2"/>
    <n v="7.7435778165658081E-2"/>
    <n v="0.73170156754520532"/>
    <n v="0.16109015866488299"/>
    <n v="0.44185700618619228"/>
    <n v="4.775826789815666E-2"/>
    <n v="0.80826566042000914"/>
    <n v="4.775826789815666E-2"/>
    <n v="4.775826789815666E-2"/>
    <n v="0.80826566042000914"/>
    <n v="0.34348770775212523"/>
    <n v="-0.37899450080853142"/>
    <n v="72.619667019019701"/>
    <n v="0.79331162629530305"/>
    <n v="72.619667019019701"/>
    <n v="72.619667019019701"/>
    <n v="0.79331162629530305"/>
    <n v="284.52258963500191"/>
    <n v="0.19019855435986441"/>
    <s v="[[sv,wv],[yr],[ya]]"/>
    <x v="0"/>
    <x v="1"/>
    <x v="4"/>
    <x v="2"/>
    <x v="1"/>
    <x v="1"/>
    <x v="4"/>
    <x v="2"/>
  </r>
  <r>
    <d v="2026-03-31T03:59:59"/>
    <s v="03-31_03-59-59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0998940503567869"/>
    <n v="6.7835808131979238"/>
    <n v="0.74358873004727888"/>
    <n v="0.28489614620151482"/>
    <n v="9.4525027131870623"/>
    <n v="0.70381074885201311"/>
    <n v="9.4525027131870623"/>
    <n v="9.4525027131870623"/>
    <n v="0.70381074885201311"/>
    <n v="94.373550169417086"/>
    <n v="0.2209054791785415"/>
    <n v="0.8"/>
    <s v="identity"/>
    <n v="7.6060796563522659E-2"/>
    <n v="0.44770027349267372"/>
    <n v="7.6060796563522659E-2"/>
    <n v="7.6060796563522659E-2"/>
    <n v="0.44770027349267372"/>
    <n v="9.4122596737264891E-2"/>
    <n v="0.31654825107259971"/>
    <n v="8.5871904706582944E-2"/>
    <n v="0.70247219088577095"/>
    <n v="8.5871904706582944E-2"/>
    <n v="8.5871904706582944E-2"/>
    <n v="0.70247219088577095"/>
    <n v="0.12885869488692089"/>
    <n v="0.55353214411598572"/>
    <n v="5.6776078473547438E-2"/>
    <n v="0.77206200331047758"/>
    <n v="5.6776078473547438E-2"/>
    <n v="5.6776078473547438E-2"/>
    <n v="0.77206200331047758"/>
    <n v="0.2274962726942579"/>
    <n v="8.6674422636951909E-2"/>
    <n v="37.591302073004663"/>
    <n v="0.89300852771913164"/>
    <n v="37.591302073004663"/>
    <n v="37.591302073004663"/>
    <n v="0.89300852771913164"/>
    <n v="377.04372311334947"/>
    <n v="-7.3132901111369941E-2"/>
    <s v="[[sv,wv],[yr],[ya]]"/>
    <x v="1"/>
    <x v="0"/>
    <x v="2"/>
    <x v="4"/>
    <x v="1"/>
    <x v="1"/>
    <x v="2"/>
    <x v="4"/>
  </r>
  <r>
    <d v="2026-03-31T04:12:56"/>
    <s v="03-31_04-12-56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051124848780091"/>
    <n v="11.675676278417351"/>
    <n v="0.74145792243241859"/>
    <n v="-0.121198489044664"/>
    <n v="15.63590159177634"/>
    <n v="0.64750831836732914"/>
    <n v="15.63590159177634"/>
    <n v="15.63590159177634"/>
    <n v="0.64750831836732914"/>
    <n v="111.6003672375103"/>
    <n v="-9.366869177997697E-2"/>
    <n v="0.8"/>
    <s v="identity"/>
    <n v="9.4769538814292009E-2"/>
    <n v="0.31185061512410223"/>
    <n v="9.4769538814292009E-2"/>
    <n v="9.4769538814292009E-2"/>
    <n v="0.31185061512410223"/>
    <n v="0.14831362450603239"/>
    <n v="-7.6948677280566313E-2"/>
    <n v="6.2166565707198272E-2"/>
    <n v="0.78460612748466796"/>
    <n v="6.2166565707198272E-2"/>
    <n v="6.2166565707198272E-2"/>
    <n v="0.78460612748466796"/>
    <n v="0.29836304281027221"/>
    <n v="-3.3764218358953269E-2"/>
    <n v="8.1972414457030032E-2"/>
    <n v="0.67090668398586162"/>
    <n v="8.1972414457030032E-2"/>
    <n v="8.1972414457030032E-2"/>
    <n v="0.67090668398586162"/>
    <n v="0.2479402305017962"/>
    <n v="4.5983985024826701E-3"/>
    <n v="62.304697848126843"/>
    <n v="0.82266984687468891"/>
    <n v="62.304697848126843"/>
    <n v="62.304697848126843"/>
    <n v="0.82266984687468891"/>
    <n v="445.7068520522231"/>
    <n v="-0.2685602699828733"/>
    <s v="[[sv,wv],[yr],[ya]]"/>
    <x v="1"/>
    <x v="1"/>
    <x v="3"/>
    <x v="3"/>
    <x v="0"/>
    <x v="0"/>
    <x v="3"/>
    <x v="3"/>
  </r>
  <r>
    <d v="2026-03-31T04:19:22"/>
    <s v="03-31_04-19-22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0298570798999911"/>
    <n v="13.731507646601321"/>
    <n v="0.74223781293114377"/>
    <n v="0.20015697499175869"/>
    <n v="18.013544648124"/>
    <n v="0.68275278772585279"/>
    <n v="18.013544648124"/>
    <n v="18.013544648124"/>
    <n v="0.68275278772585279"/>
    <n v="97.812297090666135"/>
    <n v="0.16027561549493921"/>
    <n v="0.8"/>
    <s v="identity"/>
    <n v="9.4530602054745907E-2"/>
    <n v="0.31358560493372972"/>
    <n v="9.4530602054745907E-2"/>
    <n v="9.4530602054745907E-2"/>
    <n v="0.31358560493372972"/>
    <n v="7.9650628424162553E-2"/>
    <n v="0.42163345268068197"/>
    <n v="7.7772185493166821E-2"/>
    <n v="0.73053598800594099"/>
    <n v="7.7772185493166821E-2"/>
    <n v="7.7772185493166821E-2"/>
    <n v="0.73053598800594099"/>
    <n v="0.12547814997449119"/>
    <n v="0.56524501021397455"/>
    <n v="2.7050435515960029E-2"/>
    <n v="0.89140105750770093"/>
    <n v="2.7050435515960029E-2"/>
    <n v="2.7050435515960029E-2"/>
    <n v="0.89140105750770093"/>
    <n v="0.30728953192380848"/>
    <n v="-0.23367027440980601"/>
    <n v="71.854825369432092"/>
    <n v="0.79548850045603792"/>
    <n v="71.854825369432092"/>
    <n v="71.854825369432092"/>
    <n v="0.79548850045603792"/>
    <n v="390.73677005234077"/>
    <n v="-0.112105726505088"/>
    <s v="[[sv,wv],[yr],[ya]]"/>
    <x v="0"/>
    <x v="1"/>
    <x v="4"/>
    <x v="5"/>
    <x v="1"/>
    <x v="1"/>
    <x v="4"/>
    <x v="5"/>
  </r>
  <r>
    <d v="2026-03-31T04:24:23"/>
    <s v="03-31_04-24-23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4340878677809141"/>
    <n v="37.448203631460281"/>
    <n v="0.59677831616633825"/>
    <n v="0.31350583166578277"/>
    <n v="48.115333341694843"/>
    <n v="0.53738679229068897"/>
    <n v="48.115333341694843"/>
    <n v="48.115333341694843"/>
    <n v="0.53738679229068897"/>
    <n v="90.535210944768792"/>
    <n v="0.17548097949898689"/>
    <n v="0.8"/>
    <s v="identity"/>
    <n v="7.892904764399257E-2"/>
    <n v="0.42687306211874498"/>
    <n v="7.892904764399257E-2"/>
    <n v="7.892904764399257E-2"/>
    <n v="0.42687306211874498"/>
    <n v="0.1474869886237192"/>
    <n v="-7.0946231969052809E-2"/>
    <n v="0.10016867047957841"/>
    <n v="0.6529369510143237"/>
    <n v="0.10016867047957841"/>
    <n v="0.10016867047957841"/>
    <n v="0.6529369510143237"/>
    <n v="0.1196798296354591"/>
    <n v="0.58533495177180317"/>
    <n v="9.5465906530069922E-2"/>
    <n v="0.61673458132985215"/>
    <n v="9.5465906530069922E-2"/>
    <n v="9.5465906530069922E-2"/>
    <n v="0.61673458132985215"/>
    <n v="0.19504990467850841"/>
    <n v="0.2169363273721778"/>
    <n v="192.1867697421267"/>
    <n v="0.45300257469983302"/>
    <n v="192.1867697421267"/>
    <n v="192.1867697421267"/>
    <n v="0.45300257469983302"/>
    <n v="361.67862705613692"/>
    <n v="-2.940112917898197E-2"/>
    <s v="[[sv,wv],[yr],[ya]]"/>
    <x v="0"/>
    <x v="1"/>
    <x v="0"/>
    <x v="3"/>
    <x v="1"/>
    <x v="1"/>
    <x v="0"/>
    <x v="3"/>
  </r>
  <r>
    <d v="2026-03-31T04:32:26"/>
    <s v="03-31_04-32-26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0977351656231291"/>
    <n v="12.47847985339591"/>
    <n v="0.75686313963850971"/>
    <n v="-6.2261929999203457E-2"/>
    <n v="15.82872171097679"/>
    <n v="0.68922825806493493"/>
    <n v="15.82872171097679"/>
    <n v="15.82872171097679"/>
    <n v="0.68922825806493493"/>
    <n v="111.12672132207069"/>
    <n v="-5.620908895468596E-2"/>
    <n v="0.8"/>
    <s v="identity"/>
    <n v="6.7600215971437005E-2"/>
    <n v="0.50913502777110931"/>
    <n v="6.7600215971437005E-2"/>
    <n v="6.7600215971437005E-2"/>
    <n v="0.50913502777110931"/>
    <n v="0.14203356182161131"/>
    <n v="-3.1347302331016243E-2"/>
    <n v="3.6104161360020252E-2"/>
    <n v="0.87490679208691235"/>
    <n v="3.6104161360020252E-2"/>
    <n v="3.6104161360020252E-2"/>
    <n v="0.87490679208691235"/>
    <n v="0.27590995359358189"/>
    <n v="4.4030940200934447E-2"/>
    <n v="0.1114747586416949"/>
    <n v="0.55246410373209498"/>
    <n v="0.1114747586416949"/>
    <n v="0.1114747586416949"/>
    <n v="0.55246410373209498"/>
    <n v="0.24267298370670201"/>
    <n v="2.5744728344591409E-2"/>
    <n v="63.09970770793403"/>
    <n v="0.82040710866962785"/>
    <n v="63.09970770793403"/>
    <n v="63.09970770793403"/>
    <n v="0.82040710866962785"/>
    <n v="443.84626878915873"/>
    <n v="-0.26326472203324908"/>
    <s v="[[sv,wv],[yr],[ya]]"/>
    <x v="1"/>
    <x v="1"/>
    <x v="3"/>
    <x v="3"/>
    <x v="0"/>
    <x v="0"/>
    <x v="3"/>
    <x v="3"/>
  </r>
  <r>
    <d v="2026-03-31T04:33:31"/>
    <s v="03-31_04-33-31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80"/>
    <n v="60"/>
    <n v="120"/>
    <n v="0.1390062985548943"/>
    <n v="48.338248829061911"/>
    <n v="0.64336863037490555"/>
    <n v="-0.21934186927520591"/>
    <n v="50.71684142664806"/>
    <n v="0.59551213149707016"/>
    <n v="50.71684142664806"/>
    <n v="50.71684142664806"/>
    <n v="0.59551213149707016"/>
    <n v="92.428530057286309"/>
    <n v="-0.17256091155422271"/>
    <n v="0.8"/>
    <s v="identity"/>
    <n v="5.7390895602701213E-2"/>
    <n v="0.58326789387604605"/>
    <n v="5.7390895602701213E-2"/>
    <n v="5.7390895602701213E-2"/>
    <n v="0.58326789387604605"/>
    <n v="0.16261501283387109"/>
    <n v="-0.18079524764278651"/>
    <n v="5.1190519162623828E-2"/>
    <n v="0.82263578447552643"/>
    <n v="5.1190519162623828E-2"/>
    <n v="5.1190519162623828E-2"/>
    <n v="0.82263578447552643"/>
    <n v="0.39724770193447528"/>
    <n v="-0.3763784422399814"/>
    <n v="0.11136241375538281"/>
    <n v="0.55291513291573668"/>
    <n v="0.11136241375538281"/>
    <n v="0.11136241375538281"/>
    <n v="0.55291513291573668"/>
    <n v="0.26979952682125341"/>
    <n v="-8.3159762083073518E-2"/>
    <n v="202.6474218780717"/>
    <n v="0.42322971472096838"/>
    <n v="202.6474218780717"/>
    <n v="202.6474218780717"/>
    <n v="0.42322971472096838"/>
    <n v="368.88445798755708"/>
    <n v="-4.9910194251067352E-2"/>
    <s v="[[sv,wv],[yr],[ya]]"/>
    <x v="1"/>
    <x v="0"/>
    <x v="3"/>
    <x v="1"/>
    <x v="0"/>
    <x v="0"/>
    <x v="3"/>
    <x v="1"/>
  </r>
  <r>
    <d v="2026-03-31T04:57:08"/>
    <s v="03-31_04-57-08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217109607687798"/>
    <n v="10.443461820283661"/>
    <n v="0.71983823073380415"/>
    <n v="0.25948980844171138"/>
    <n v="15.872384881337499"/>
    <n v="0.68416514285109198"/>
    <n v="15.872384881337499"/>
    <n v="15.872384881337499"/>
    <n v="0.68416514285109198"/>
    <n v="79.569906608080487"/>
    <n v="0.27403785904005451"/>
    <n v="0.8"/>
    <s v="identity"/>
    <n v="8.2116172579990016E-2"/>
    <n v="0.40373041426301298"/>
    <n v="8.2116172579990016E-2"/>
    <n v="8.2116172579990016E-2"/>
    <n v="0.40373041426301298"/>
    <n v="0.1243400707705639"/>
    <n v="9.7130319649869068E-2"/>
    <n v="8.9652902967073567E-2"/>
    <n v="0.68937183946638236"/>
    <n v="8.9652902967073567E-2"/>
    <n v="8.9652902967073567E-2"/>
    <n v="0.68937183946638236"/>
    <n v="9.9906258348260016E-2"/>
    <n v="0.65384615300283133"/>
    <n v="4.3927039675206822E-2"/>
    <n v="0.82364682991036797"/>
    <n v="4.3927039675206822E-2"/>
    <n v="4.3927039675206822E-2"/>
    <n v="0.82364682991036797"/>
    <n v="0.18684290028088929"/>
    <n v="0.24988485413749439"/>
    <n v="63.273843410127562"/>
    <n v="0.81991148776460654"/>
    <n v="63.273843410127562"/>
    <n v="63.273843410127562"/>
    <n v="0.81991148776460654"/>
    <n v="317.86853720292203"/>
    <n v="9.529010937001936E-2"/>
    <s v="[[sv,wv],[yr],[ya]]"/>
    <x v="1"/>
    <x v="0"/>
    <x v="5"/>
    <x v="4"/>
    <x v="1"/>
    <x v="1"/>
    <x v="5"/>
    <x v="4"/>
  </r>
  <r>
    <d v="2026-03-31T05:49:45"/>
    <s v="03-31_05-49-4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0725994122806699"/>
    <n v="19.05517401344029"/>
    <n v="0.73654118063487217"/>
    <n v="0.1512230822271457"/>
    <n v="25.839190799498521"/>
    <n v="0.67124089327803382"/>
    <n v="25.839190799498521"/>
    <n v="25.839190799498521"/>
    <n v="0.67124089327803382"/>
    <n v="110.6606078028945"/>
    <n v="0.178960537940864"/>
    <n v="0.8"/>
    <s v="identity"/>
    <n v="6.3773518297923867E-2"/>
    <n v="0.53692180064223549"/>
    <n v="6.3773518297923867E-2"/>
    <n v="6.3773518297923867E-2"/>
    <n v="0.53692180064223549"/>
    <n v="6.1676314109125607E-2"/>
    <n v="0.55215021465096781"/>
    <n v="7.9090399462370994E-2"/>
    <n v="0.72596865814943889"/>
    <n v="7.9090399462370994E-2"/>
    <n v="7.9090399462370994E-2"/>
    <n v="0.72596865814943889"/>
    <n v="0.1403696831762814"/>
    <n v="0.51364902823337699"/>
    <n v="7.0830867968615929E-2"/>
    <n v="0.71563646904446709"/>
    <n v="7.0830867968615929E-2"/>
    <n v="7.0830867968615929E-2"/>
    <n v="0.71563646904446709"/>
    <n v="0.27186887695211948"/>
    <n v="-9.1467548319112746E-2"/>
    <n v="103.14306841226519"/>
    <n v="0.70643664527599792"/>
    <n v="103.14306841226519"/>
    <n v="103.14306841226519"/>
    <n v="0.70643664527599792"/>
    <n v="442.16851633733887"/>
    <n v="-0.25848954280177622"/>
    <s v="[[sv,wv],[yr],[ya]]"/>
    <x v="0"/>
    <x v="1"/>
    <x v="4"/>
    <x v="5"/>
    <x v="1"/>
    <x v="1"/>
    <x v="4"/>
    <x v="5"/>
  </r>
  <r>
    <d v="2026-03-31T07:31:40"/>
    <s v="03-31_07-31-40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444710606705021"/>
    <n v="14.76137526645021"/>
    <n v="0.7271389979459244"/>
    <n v="0.2766180767853661"/>
    <n v="20.182426418074051"/>
    <n v="0.67773501445612272"/>
    <n v="20.182426418074051"/>
    <n v="20.182426418074051"/>
    <n v="0.67773501445612272"/>
    <n v="57.894061813701363"/>
    <n v="0.27558766747306851"/>
    <n v="0.8"/>
    <s v="identity"/>
    <n v="7.4852771398136064E-2"/>
    <n v="0.45647209811982942"/>
    <n v="7.4852771398136064E-2"/>
    <n v="7.4852771398136064E-2"/>
    <n v="0.45647209811982942"/>
    <n v="8.9313360305961653E-2"/>
    <n v="0.35146952570715539"/>
    <n v="8.2772011372325816E-2"/>
    <n v="0.71321265920752019"/>
    <n v="8.2772011372325816E-2"/>
    <n v="8.2772011372325816E-2"/>
    <n v="0.71321265920752019"/>
    <n v="0.1397087027207165"/>
    <n v="0.51593918433837449"/>
    <n v="5.7186352345158807E-2"/>
    <n v="0.77041488348636511"/>
    <n v="5.7186352345158807E-2"/>
    <n v="5.7186352345158807E-2"/>
    <n v="0.77041488348636511"/>
    <n v="0.27583446473966611"/>
    <n v="-0.1073881289631413"/>
    <n v="80.514894537180851"/>
    <n v="0.77084041701077255"/>
    <n v="80.514894537180851"/>
    <n v="80.514894537180851"/>
    <n v="0.77084041701077255"/>
    <n v="231.0713907270393"/>
    <n v="0.34233008880988569"/>
    <s v="[[sv,wv],[yr],[ya]]"/>
    <x v="1"/>
    <x v="1"/>
    <x v="2"/>
    <x v="2"/>
    <x v="1"/>
    <x v="1"/>
    <x v="2"/>
    <x v="2"/>
  </r>
  <r>
    <d v="2026-03-31T07:49:18"/>
    <s v="03-31_07-49-18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065689526539359"/>
    <n v="10.4930905923626"/>
    <n v="0.72076835621077173"/>
    <n v="0.12527299987962179"/>
    <n v="14.06819862050474"/>
    <n v="0.6497890728151644"/>
    <n v="14.06819862050474"/>
    <n v="14.06819862050474"/>
    <n v="0.6497890728151644"/>
    <n v="105.93799074368501"/>
    <n v="0.14204686496134819"/>
    <n v="0.8"/>
    <s v="identity"/>
    <n v="9.9223026330108918E-2"/>
    <n v="0.27951253758457401"/>
    <n v="9.9223026330108918E-2"/>
    <n v="9.9223026330108918E-2"/>
    <n v="0.27951253758457401"/>
    <n v="8.9419357733396418E-2"/>
    <n v="0.35069984733370041"/>
    <n v="7.8996412934740315E-2"/>
    <n v="0.72629430139384754"/>
    <n v="7.8996412934740315E-2"/>
    <n v="7.8996412934740315E-2"/>
    <n v="0.72629430139384754"/>
    <n v="0.1218369703915971"/>
    <n v="0.57786091977824539"/>
    <n v="6.1566675487636398E-2"/>
    <n v="0.75282927157387136"/>
    <n v="6.1566675487636398E-2"/>
    <n v="6.1566675487636398E-2"/>
    <n v="0.75282927157387136"/>
    <n v="0.28787352136471339"/>
    <n v="-0.15572113333616339"/>
    <n v="56.033008367266497"/>
    <n v="0.84052018070836465"/>
    <n v="56.033008367266497"/>
    <n v="56.033008367266497"/>
    <n v="0.84052018070836465"/>
    <n v="423.25283312525119"/>
    <n v="-0.2046521739303975"/>
    <s v="[[sv,wv],[yr],[ya]]"/>
    <x v="1"/>
    <x v="0"/>
    <x v="2"/>
    <x v="4"/>
    <x v="1"/>
    <x v="1"/>
    <x v="2"/>
    <x v="4"/>
  </r>
  <r>
    <d v="2026-03-31T07:44:59"/>
    <s v="03-31_07-44-59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9.9827583587880922E-2"/>
    <n v="14.774890705980351"/>
    <n v="0.71235014110982398"/>
    <n v="0.34791587705742949"/>
    <n v="18.101213438820029"/>
    <n v="0.66660194229517877"/>
    <n v="18.101213438820029"/>
    <n v="18.101213438820029"/>
    <n v="0.66660194229517877"/>
    <n v="68.720008140247316"/>
    <n v="0.3693962265725737"/>
    <n v="0.8"/>
    <s v="identity"/>
    <n v="9.3721886559120449E-2"/>
    <n v="0.31945792506757348"/>
    <n v="9.3721886559120449E-2"/>
    <n v="9.3721886559120449E-2"/>
    <n v="0.31945792506757348"/>
    <n v="0.1377747286041601"/>
    <n v="-4.2266667755996862E-4"/>
    <n v="7.6316734885043022E-2"/>
    <n v="0.73557881350502252"/>
    <n v="7.6316734885043022E-2"/>
    <n v="7.6316734885043022E-2"/>
    <n v="0.73557881350502252"/>
    <n v="0.1147214736692618"/>
    <n v="0.60251459617903935"/>
    <n v="4.5623969315470969E-2"/>
    <n v="0.81683419414678493"/>
    <n v="4.5623969315470969E-2"/>
    <n v="4.5623969315470969E-2"/>
    <n v="0.81683419414678493"/>
    <n v="8.5464239672548237E-2"/>
    <n v="0.65688811021652305"/>
    <n v="72.189191164520551"/>
    <n v="0.79453683646133511"/>
    <n v="72.189191164520551"/>
    <n v="72.189191164520551"/>
    <n v="0.79453683646133511"/>
    <n v="274.54207211904372"/>
    <n v="0.21860486657228981"/>
    <s v="[[sv,wv],[yr],[ya]]"/>
    <x v="0"/>
    <x v="0"/>
    <x v="1"/>
    <x v="0"/>
    <x v="1"/>
    <x v="1"/>
    <x v="1"/>
    <x v="0"/>
  </r>
  <r>
    <d v="2026-03-31T07:55:42"/>
    <s v="03-31_07-55-42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729338985755209"/>
    <n v="44.379022660203169"/>
    <n v="0.63293028436338705"/>
    <n v="0.3204895660570054"/>
    <n v="51.140913565680457"/>
    <n v="0.58764596120176493"/>
    <n v="51.140913565680457"/>
    <n v="51.140913565680457"/>
    <n v="0.58764596120176493"/>
    <n v="101.9318926015784"/>
    <n v="0.35804119479369678"/>
    <n v="0.8"/>
    <s v="identity"/>
    <n v="7.3456228903608409E-2"/>
    <n v="0.46661280230163887"/>
    <n v="7.3456228903608409E-2"/>
    <n v="7.3456228903608409E-2"/>
    <n v="0.46661280230163887"/>
    <n v="9.0601766940949513E-2"/>
    <n v="0.34211402768078741"/>
    <n v="9.915110710520747E-2"/>
    <n v="0.6564625907732875"/>
    <n v="9.915110710520747E-2"/>
    <n v="9.915110710520747E-2"/>
    <n v="0.6564625907732875"/>
    <n v="9.4433415777179952E-2"/>
    <n v="0.67280838361090245"/>
    <n v="4.7548934296941091E-2"/>
    <n v="0.80910606861627277"/>
    <n v="4.7548934296941091E-2"/>
    <n v="4.7548934296941091E-2"/>
    <n v="0.80910606861627277"/>
    <n v="0.1053930357650404"/>
    <n v="0.5768802974213324"/>
    <n v="204.34349799241579"/>
    <n v="0.41840238311586281"/>
    <n v="204.34349799241579"/>
    <n v="204.34349799241579"/>
    <n v="0.41840238311586281"/>
    <n v="407.43714218783037"/>
    <n v="-0.1596379295382353"/>
    <s v="[[sv,wv],[yr],[ya]]"/>
    <x v="0"/>
    <x v="0"/>
    <x v="1"/>
    <x v="1"/>
    <x v="1"/>
    <x v="1"/>
    <x v="1"/>
    <x v="1"/>
  </r>
  <r>
    <d v="2026-03-31T08:07:14"/>
    <s v="03-31_08-07-14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2333996490209551"/>
    <n v="15.879838031085789"/>
    <n v="0.63401567701687833"/>
    <n v="0.39254043130720478"/>
    <n v="21.939859872538609"/>
    <n v="0.57169096846037626"/>
    <n v="21.939859872538609"/>
    <n v="21.939859872538609"/>
    <n v="0.57169096846037626"/>
    <n v="80.123503049641926"/>
    <n v="0.38207041698596861"/>
    <n v="0.8"/>
    <s v="identity"/>
    <n v="0.1210120518876984"/>
    <n v="0.12129603972989469"/>
    <n v="0.1210120518876984"/>
    <n v="0.1210120518876984"/>
    <n v="0.12129603972989469"/>
    <n v="0.12173683047028171"/>
    <n v="0.1160332101116848"/>
    <n v="0.1164147418250952"/>
    <n v="0.59664778367069404"/>
    <n v="0.1164147418250952"/>
    <n v="0.1164147418250952"/>
    <n v="0.59664778367069404"/>
    <n v="0.1056398972008413"/>
    <n v="0.63398031898075269"/>
    <n v="4.5384907062226552E-2"/>
    <n v="0.81779395347771522"/>
    <n v="4.5384907062226552E-2"/>
    <n v="4.5384907062226552E-2"/>
    <n v="0.81779395347771522"/>
    <n v="7.7320319784950201E-2"/>
    <n v="0.68958337262785585"/>
    <n v="87.476627789379194"/>
    <n v="0.7510260969632031"/>
    <n v="87.476627789379194"/>
    <n v="87.476627789379194"/>
    <n v="0.7510260969632031"/>
    <n v="320.18931515111188"/>
    <n v="8.8684766223575684E-2"/>
    <s v="[[sv,wv],[yr],[ya]]"/>
    <x v="0"/>
    <x v="0"/>
    <x v="1"/>
    <x v="0"/>
    <x v="1"/>
    <x v="1"/>
    <x v="1"/>
    <x v="0"/>
  </r>
  <r>
    <d v="2026-03-31T08:09:25"/>
    <s v="03-31_08-09-2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80"/>
    <n v="60"/>
    <n v="120"/>
    <n v="0.1127286160144275"/>
    <n v="17.34483660683793"/>
    <n v="0.77030401483610023"/>
    <n v="-0.27860264215512659"/>
    <n v="19.282565494091571"/>
    <n v="0.71750192747989261"/>
    <n v="19.282565494091571"/>
    <n v="19.282565494091571"/>
    <n v="0.71750192747989261"/>
    <n v="109.4540800983392"/>
    <n v="-0.2088157365114551"/>
    <n v="0.8"/>
    <s v="identity"/>
    <n v="5.7193958510672542E-2"/>
    <n v="0.58469791179566832"/>
    <n v="5.7193958510672542E-2"/>
    <n v="5.7193958510672542E-2"/>
    <n v="0.58469791179566832"/>
    <n v="0.17328597124473691"/>
    <n v="-0.25828020281243452"/>
    <n v="4.7339872123606928E-2"/>
    <n v="0.83597745403678247"/>
    <n v="4.7339872123606928E-2"/>
    <n v="4.7339872123606928E-2"/>
    <n v="0.83597745403678247"/>
    <n v="0.37720763589444001"/>
    <n v="-0.30694389360886071"/>
    <n v="8.2615224006557339E-2"/>
    <n v="0.66832600696639444"/>
    <n v="8.2615224006557339E-2"/>
    <n v="8.2615224006557339E-2"/>
    <n v="0.66832600696639444"/>
    <n v="0.2556193315290336"/>
    <n v="-2.62307632075931E-2"/>
    <n v="76.943112921725898"/>
    <n v="0.78100633712072531"/>
    <n v="76.943112921725898"/>
    <n v="76.943112921725898"/>
    <n v="0.78100633712072531"/>
    <n v="437.01020745468742"/>
    <n v="-0.24380808641693069"/>
    <s v="[[sv,wv],[yr],[ya]]"/>
    <x v="1"/>
    <x v="1"/>
    <x v="3"/>
    <x v="2"/>
    <x v="0"/>
    <x v="0"/>
    <x v="3"/>
    <x v="2"/>
  </r>
  <r>
    <d v="2026-03-31T08:29:54"/>
    <s v="03-31_08-29-54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206264657583043"/>
    <n v="16.137775176351141"/>
    <n v="0.69534578972835415"/>
    <n v="-3.4077824082753838E-4"/>
    <n v="17.315680345898748"/>
    <n v="0.66331226035337099"/>
    <n v="17.315680345898748"/>
    <n v="17.315680345898748"/>
    <n v="0.66331226035337099"/>
    <n v="61.641497812309957"/>
    <n v="4.5133077818466927E-3"/>
    <n v="0.8"/>
    <s v="identity"/>
    <n v="8.21373992261272E-2"/>
    <n v="0.40357628136688378"/>
    <n v="8.21373992261272E-2"/>
    <n v="8.21373992261272E-2"/>
    <n v="0.40357628136688378"/>
    <n v="0.1736254305654871"/>
    <n v="-0.26074511638790732"/>
    <n v="9.8505674780569444E-2"/>
    <n v="0.65869887592542442"/>
    <n v="9.8505674780569444E-2"/>
    <n v="9.8505674780569444E-2"/>
    <n v="0.65869887592542442"/>
    <n v="0.12567207642157041"/>
    <n v="0.56457309649404563"/>
    <n v="5.2944901704269041E-2"/>
    <n v="0.78744296623062049"/>
    <n v="5.2944901704269041E-2"/>
    <n v="5.2944901704269041E-2"/>
    <n v="0.78744296623062049"/>
    <n v="0.39504499326473919"/>
    <n v="-0.58598069447406043"/>
    <n v="69.02913340788399"/>
    <n v="0.80353091789055808"/>
    <n v="69.02913340788399"/>
    <n v="69.02913340788399"/>
    <n v="0.80353091789055808"/>
    <n v="245.87164874898761"/>
    <n v="0.30020594549530399"/>
    <s v="[[sv,wv],[yr],[ya]]"/>
    <x v="1"/>
    <x v="1"/>
    <x v="5"/>
    <x v="2"/>
    <x v="1"/>
    <x v="1"/>
    <x v="5"/>
    <x v="2"/>
  </r>
  <r>
    <d v="2026-03-31T09:26:55"/>
    <s v="03-31_09-26-5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208587750556941"/>
    <n v="17.328808119481959"/>
    <n v="0.71748168033264548"/>
    <n v="0.33442651367394149"/>
    <n v="22.160514354504318"/>
    <n v="0.6683288399473879"/>
    <n v="22.160514354504318"/>
    <n v="22.160514354504318"/>
    <n v="0.6683288399473879"/>
    <n v="102.2358635991512"/>
    <n v="0.26757034305996452"/>
    <n v="0.8"/>
    <s v="identity"/>
    <n v="7.0968195843118906E-2"/>
    <n v="0.48467913924437561"/>
    <n v="7.0968195843118906E-2"/>
    <n v="7.0968195843118906E-2"/>
    <n v="0.48467913924437561"/>
    <n v="7.6398921571377815E-2"/>
    <n v="0.44524504875403031"/>
    <n v="8.8620790590440909E-2"/>
    <n v="0.69294788841077759"/>
    <n v="8.8620790590440909E-2"/>
    <n v="8.8620790590440909E-2"/>
    <n v="0.69294788841077759"/>
    <n v="9.9794846436563389E-2"/>
    <n v="0.65423217148127999"/>
    <n v="6.2932500052397228E-2"/>
    <n v="0.74734591795926808"/>
    <n v="6.2932500052397228E-2"/>
    <n v="6.2932500052397228E-2"/>
    <n v="0.74734591795926808"/>
    <n v="0.21580439441879501"/>
    <n v="0.1336136157495659"/>
    <n v="88.41953593153147"/>
    <n v="0.74834241417513236"/>
    <n v="88.41953593153147"/>
    <n v="88.41953593153147"/>
    <n v="0.74834241417513236"/>
    <n v="408.55145623417798"/>
    <n v="-0.1628094637450164"/>
    <s v="[[sv,wv],[yr],[ya]]"/>
    <x v="1"/>
    <x v="0"/>
    <x v="2"/>
    <x v="4"/>
    <x v="1"/>
    <x v="1"/>
    <x v="2"/>
    <x v="4"/>
  </r>
  <r>
    <d v="2026-03-31T11:17:23"/>
    <s v="03-31_11-17-2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002938265176899"/>
    <n v="12.10907032303041"/>
    <n v="0.73436778241018452"/>
    <n v="0.26025219587323623"/>
    <n v="17.114505496048899"/>
    <n v="0.69054049538395046"/>
    <n v="17.114505496048899"/>
    <n v="17.114505496048899"/>
    <n v="0.69054049538395046"/>
    <n v="96.412239936240226"/>
    <n v="0.26794084113262989"/>
    <n v="0.8"/>
    <s v="identity"/>
    <n v="7.3152872746450145E-2"/>
    <n v="0.46881556022954068"/>
    <n v="7.3152872746450145E-2"/>
    <n v="7.3152872746450145E-2"/>
    <n v="0.46881556022954068"/>
    <n v="9.2535054391852986E-2"/>
    <n v="0.32807586112671638"/>
    <n v="8.6227179118084307E-2"/>
    <n v="0.70124124093014184"/>
    <n v="8.6227179118084307E-2"/>
    <n v="8.6227179118084307E-2"/>
    <n v="0.70124124093014184"/>
    <n v="0.1282116948431575"/>
    <n v="0.55577386108005533"/>
    <n v="5.3218716825804188E-2"/>
    <n v="0.78634368512590136"/>
    <n v="5.3218716825804188E-2"/>
    <n v="5.3218716825804188E-2"/>
    <n v="0.78634368512590136"/>
    <n v="0.17824493550805451"/>
    <n v="0.2844029631477909"/>
    <n v="68.245423215505269"/>
    <n v="0.80576149525021645"/>
    <n v="68.245423215505269"/>
    <n v="68.245423215505269"/>
    <n v="0.80576149525021645"/>
    <n v="385.24996806021761"/>
    <n v="-9.6489320824039826E-2"/>
    <s v="[[sv,wv],[yr],[ya]]"/>
    <x v="1"/>
    <x v="1"/>
    <x v="2"/>
    <x v="5"/>
    <x v="1"/>
    <x v="1"/>
    <x v="2"/>
    <x v="5"/>
  </r>
  <r>
    <d v="2026-03-31T11:32:47"/>
    <s v="03-31_11-32-47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2500991636488021"/>
    <n v="18.971350460037431"/>
    <n v="0.6366570027258629"/>
    <n v="7.5492341465846963E-2"/>
    <n v="18.20627732067333"/>
    <n v="0.60252775388986812"/>
    <n v="18.20627732067333"/>
    <n v="18.20627732067333"/>
    <n v="0.60252775388986812"/>
    <n v="71.350524233470708"/>
    <n v="9.2783359592110537E-2"/>
    <n v="0.8"/>
    <s v="identity"/>
    <n v="9.8004487749093053E-2"/>
    <n v="0.28836070320260859"/>
    <n v="9.8004487749093053E-2"/>
    <n v="9.8004487749093053E-2"/>
    <n v="0.28836070320260859"/>
    <n v="0.15964193068925819"/>
    <n v="-0.15920682720096099"/>
    <n v="8.0304273471487955E-2"/>
    <n v="0.7217628439695003"/>
    <n v="8.0304273471487955E-2"/>
    <n v="8.0304273471487955E-2"/>
    <n v="0.7217628439695003"/>
    <n v="0.11481756752098519"/>
    <n v="0.60218165150673553"/>
    <n v="9.802164944080774E-2"/>
    <n v="0.60647408192959074"/>
    <n v="9.802164944080774E-2"/>
    <n v="9.802164944080774E-2"/>
    <n v="0.60647408192959074"/>
    <n v="0.31414977818656348"/>
    <n v="-0.26121199324580641"/>
    <n v="72.548778872032344"/>
    <n v="0.79351338645776581"/>
    <n v="72.548778872032344"/>
    <n v="72.548778872032344"/>
    <n v="0.79351338645776581"/>
    <n v="284.81348765748561"/>
    <n v="0.18937060730847821"/>
    <s v="[[sv,wv],[yr],[ya]]"/>
    <x v="1"/>
    <x v="1"/>
    <x v="2"/>
    <x v="2"/>
    <x v="1"/>
    <x v="1"/>
    <x v="2"/>
    <x v="2"/>
  </r>
  <r>
    <d v="2026-03-31T11:34:41"/>
    <s v="03-31_11-34-41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181589350268719"/>
    <n v="24.357905752590629"/>
    <n v="0.67416659613310781"/>
    <n v="-0.2330277272465871"/>
    <n v="25.31491805327062"/>
    <n v="0.60820305471651492"/>
    <n v="25.31491805327062"/>
    <n v="25.31491805327062"/>
    <n v="0.60820305471651492"/>
    <n v="123.5009644549956"/>
    <n v="-0.18138151889160289"/>
    <n v="0.8"/>
    <s v="identity"/>
    <n v="9.133363440617169E-2"/>
    <n v="0.33679972360898808"/>
    <n v="9.133363440617169E-2"/>
    <n v="9.133363440617169E-2"/>
    <n v="0.33679972360898808"/>
    <n v="0.14964543748008399"/>
    <n v="-8.6619361451134136E-2"/>
    <n v="7.4818573374332398E-2"/>
    <n v="0.74076962315928685"/>
    <n v="7.4818573374332398E-2"/>
    <n v="7.4818573374332398E-2"/>
    <n v="0.74076962315928685"/>
    <n v="0.1218570080090417"/>
    <n v="0.5777914937134746"/>
    <n v="8.8993421916177068E-2"/>
    <n v="0.6427195597954195"/>
    <n v="8.8993421916177068E-2"/>
    <n v="8.8993421916177068E-2"/>
    <n v="0.6427195597954195"/>
    <n v="0.451525985193097"/>
    <n v="-0.81273401202108264"/>
    <n v="101.0045265833854"/>
    <n v="0.71252331230236776"/>
    <n v="101.0045265833854"/>
    <n v="101.0045265833854"/>
    <n v="0.71252331230236776"/>
    <n v="493.28082938930021"/>
    <n v="-0.40396419580766718"/>
    <s v="[[sv,wv],[yr],[ya]]"/>
    <x v="1"/>
    <x v="0"/>
    <x v="3"/>
    <x v="0"/>
    <x v="1"/>
    <x v="1"/>
    <x v="3"/>
    <x v="0"/>
  </r>
  <r>
    <d v="2026-03-31T11:44:35"/>
    <s v="03-31_11-44-35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42581522744683"/>
    <n v="17.790197598665799"/>
    <n v="0.68402484559717436"/>
    <n v="0.25466360035049962"/>
    <n v="19.003212120309129"/>
    <n v="0.63282554994028628"/>
    <n v="19.003212120309129"/>
    <n v="19.003212120309129"/>
    <n v="0.63282554994028628"/>
    <n v="82.242096250877537"/>
    <n v="0.25411750378552178"/>
    <n v="0.8"/>
    <s v="identity"/>
    <n v="8.2892610881122611E-2"/>
    <n v="0.39809246829426148"/>
    <n v="8.2892610881122611E-2"/>
    <n v="8.2892610881122611E-2"/>
    <n v="0.39809246829426148"/>
    <n v="0.10318580440902179"/>
    <n v="0.25073764502392393"/>
    <n v="0.1123531953523859"/>
    <n v="0.61072017472536899"/>
    <n v="0.1123531953523859"/>
    <n v="0.1123531953523859"/>
    <n v="0.61072017472536899"/>
    <n v="0.1130196560546026"/>
    <n v="0.60841103073620506"/>
    <n v="6.5236984180625707E-2"/>
    <n v="0.73809414309715016"/>
    <n v="6.5236984180625707E-2"/>
    <n v="6.5236984180625707E-2"/>
    <n v="0.73809414309715016"/>
    <n v="0.22607894771199161"/>
    <n v="9.2364534138159593E-2"/>
    <n v="75.752365690822089"/>
    <n v="0.7843954136443676"/>
    <n v="75.752365690822089"/>
    <n v="75.752365690822089"/>
    <n v="0.7843954136443676"/>
    <n v="328.52610059533441"/>
    <n v="6.4956805243803983E-2"/>
    <s v="[[sv,wv],[yr],[ya]]"/>
    <x v="0"/>
    <x v="1"/>
    <x v="1"/>
    <x v="2"/>
    <x v="1"/>
    <x v="1"/>
    <x v="1"/>
    <x v="2"/>
  </r>
  <r>
    <d v="2026-03-31T11:59:23"/>
    <s v="03-31_11-59-2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3262625173704831"/>
    <n v="20.01741413285778"/>
    <n v="0.69742174602765816"/>
    <n v="5.9932038662910393E-2"/>
    <n v="26.426628893571181"/>
    <n v="0.61333731004430803"/>
    <n v="26.426628893571181"/>
    <n v="26.426628893571181"/>
    <n v="0.61333731004430803"/>
    <n v="129.19530903751991"/>
    <n v="5.1553110681968363E-2"/>
    <n v="0.8"/>
    <s v="identity"/>
    <n v="7.3140096039916835E-2"/>
    <n v="0.46890833563872442"/>
    <n v="7.3140096039916835E-2"/>
    <n v="7.3140096039916835E-2"/>
    <n v="0.46890833563872442"/>
    <n v="8.2936147966634663E-2"/>
    <n v="0.3977763327617978"/>
    <n v="8.4260131634746355E-2"/>
    <n v="0.70805664033395099"/>
    <n v="8.4260131634746355E-2"/>
    <n v="8.4260131634746355E-2"/>
    <n v="0.70805664033395099"/>
    <n v="0.13168679089507529"/>
    <n v="0.5437333954781628"/>
    <n v="0.10548890503613791"/>
    <n v="0.57649541262150872"/>
    <n v="0.10548890503613791"/>
    <n v="0.10548890503613791"/>
    <n v="0.57649541262150872"/>
    <n v="0.31533122596780078"/>
    <n v="-0.26595513239329072"/>
    <n v="105.4436264415742"/>
    <n v="0.69988885158304948"/>
    <n v="105.4436264415742"/>
    <n v="105.4436264415742"/>
    <n v="0.69988885158304948"/>
    <n v="516.25128198525056"/>
    <n v="-0.46934215311879529"/>
    <s v="[[sv,wv],[yr],[ya]]"/>
    <x v="1"/>
    <x v="0"/>
    <x v="3"/>
    <x v="0"/>
    <x v="1"/>
    <x v="1"/>
    <x v="3"/>
    <x v="0"/>
  </r>
  <r>
    <d v="2026-03-31T12:02:50"/>
    <s v="03-31_12-02-50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80"/>
    <n v="60"/>
    <n v="120"/>
    <n v="0.10075658171094561"/>
    <n v="13.76762696548467"/>
    <n v="0.76549577954589698"/>
    <n v="-0.25017047112005358"/>
    <n v="17.178528561013849"/>
    <n v="0.69800700400878513"/>
    <n v="17.178528561013849"/>
    <n v="17.178528561013849"/>
    <n v="0.69800700400878513"/>
    <n v="133.4917677668673"/>
    <n v="-0.25401406087940431"/>
    <n v="0.8"/>
    <s v="identity"/>
    <n v="6.9453383952811087E-2"/>
    <n v="0.49567863215697378"/>
    <n v="6.9453383952811087E-2"/>
    <n v="6.9453383952811087E-2"/>
    <n v="0.49567863215697378"/>
    <n v="0.1640806789392257"/>
    <n v="-0.19143787861316269"/>
    <n v="6.2167864139717588E-2"/>
    <n v="0.7846016286933104"/>
    <n v="6.2167864139717588E-2"/>
    <n v="6.2167864139717588E-2"/>
    <n v="0.7846016286933104"/>
    <n v="0.32510587248655509"/>
    <n v="-0.12642241139993621"/>
    <n v="7.3047419906232619E-2"/>
    <n v="0.70673771411453612"/>
    <n v="7.3047419906232619E-2"/>
    <n v="7.3047419906232619E-2"/>
    <n v="0.70673771411453612"/>
    <n v="0.29408565189098951"/>
    <n v="-0.18066087249044299"/>
    <n v="68.509445576056677"/>
    <n v="0.80501004107032115"/>
    <n v="68.509445576056677"/>
    <n v="68.509445576056677"/>
    <n v="0.80501004107032115"/>
    <n v="533.18379886415039"/>
    <n v="-0.5175350810140793"/>
    <s v="[[sv,wv],[yr],[ya]]"/>
    <x v="1"/>
    <x v="1"/>
    <x v="3"/>
    <x v="3"/>
    <x v="0"/>
    <x v="0"/>
    <x v="3"/>
    <x v="3"/>
  </r>
  <r>
    <d v="2026-03-31T12:20:14"/>
    <s v="03-31_12-20-14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1885593523031331"/>
    <n v="18.077257549564571"/>
    <n v="0.69252299453932842"/>
    <n v="-1.995297169243784E-2"/>
    <n v="23.426048873751821"/>
    <n v="0.65957533981926741"/>
    <n v="23.426048873751821"/>
    <n v="23.426048873751821"/>
    <n v="0.65957533981926741"/>
    <n v="97.37371524058824"/>
    <n v="3.2205690612807651E-3"/>
    <n v="0.8"/>
    <s v="identity"/>
    <n v="8.1589835958203641E-2"/>
    <n v="0.40755229866860998"/>
    <n v="8.1589835958203641E-2"/>
    <n v="8.1589835958203641E-2"/>
    <n v="0.40755229866860998"/>
    <n v="0.12583676509114719"/>
    <n v="8.6262383718736735E-2"/>
    <n v="8.7854580375992156E-2"/>
    <n v="0.69560264315512432"/>
    <n v="8.7854580375992156E-2"/>
    <n v="8.7854580375992156E-2"/>
    <n v="0.69560264315512432"/>
    <n v="0.12063714473417229"/>
    <n v="0.5820180594200457"/>
    <n v="4.951277104932969E-2"/>
    <n v="0.80122188522073823"/>
    <n v="4.951277104932969E-2"/>
    <n v="4.951277104932969E-2"/>
    <n v="0.80122188522073823"/>
    <n v="0.3857406069818452"/>
    <n v="-0.54862652654334543"/>
    <n v="93.485238307623746"/>
    <n v="0.73392453223259591"/>
    <n v="93.485238307623746"/>
    <n v="93.485238307623746"/>
    <n v="0.73392453223259591"/>
    <n v="388.86264644554433"/>
    <n v="-0.10677164035031519"/>
    <s v="[[sv,wv],[yr],[ya]]"/>
    <x v="1"/>
    <x v="1"/>
    <x v="5"/>
    <x v="5"/>
    <x v="1"/>
    <x v="1"/>
    <x v="5"/>
    <x v="5"/>
  </r>
  <r>
    <d v="2026-03-31T13:29:10"/>
    <s v="03-31_13-29-10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2693681695131381"/>
    <n v="17.11480787438067"/>
    <n v="0.64835358453666614"/>
    <n v="2.8347888967454851E-2"/>
    <n v="19.410541120178351"/>
    <n v="0.600512895902369"/>
    <n v="19.410541120178351"/>
    <n v="19.410541120178351"/>
    <n v="0.600512895902369"/>
    <n v="77.554611811049867"/>
    <n v="0.1027779696029377"/>
    <n v="0.8"/>
    <s v="identity"/>
    <n v="0.1154119910006346"/>
    <n v="0.161959722416502"/>
    <n v="0.1154119910006346"/>
    <n v="0.1154119910006346"/>
    <n v="0.161959722416502"/>
    <n v="0.21238363641504679"/>
    <n v="-0.5421798036087937"/>
    <n v="7.9539577312575369E-2"/>
    <n v="0.72441235283478911"/>
    <n v="7.9539577312575369E-2"/>
    <n v="7.9539577312575369E-2"/>
    <n v="0.72441235283478911"/>
    <n v="0.1234710268274416"/>
    <n v="0.57219926323310344"/>
    <n v="6.5778354654575183E-2"/>
    <n v="0.73592071188075514"/>
    <n v="6.5778354654575183E-2"/>
    <n v="6.5778354654575183E-2"/>
    <n v="0.73592071188075514"/>
    <n v="0.1836881710011608"/>
    <n v="0.26255009434872367"/>
    <n v="77.381434557745379"/>
    <n v="0.77975879647743485"/>
    <n v="77.381434557745379"/>
    <n v="77.381434557745379"/>
    <n v="0.77975879647743485"/>
    <n v="309.69890440995522"/>
    <n v="0.1185423244387088"/>
    <s v="[[sv,wv],[yr],[ya]]"/>
    <x v="1"/>
    <x v="1"/>
    <x v="2"/>
    <x v="2"/>
    <x v="1"/>
    <x v="1"/>
    <x v="2"/>
    <x v="2"/>
  </r>
  <r>
    <d v="2026-03-31T15:25:35"/>
    <s v="03-31_15-25-35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953009138396561"/>
    <n v="7.2193357631504549"/>
    <n v="0.75505924156346038"/>
    <n v="2.7920262987307039E-2"/>
    <n v="10.090075117097649"/>
    <n v="0.71322367628747185"/>
    <n v="10.090075117097649"/>
    <n v="10.090075117097649"/>
    <n v="0.71322367628747185"/>
    <n v="117.7137957456145"/>
    <n v="1.3185239851903809E-2"/>
    <n v="0.8"/>
    <s v="identity"/>
    <n v="8.0417259193069066E-2"/>
    <n v="0.41606672207662432"/>
    <n v="8.0417259193069066E-2"/>
    <n v="8.0417259193069066E-2"/>
    <n v="0.41606672207662432"/>
    <n v="0.1019967194458113"/>
    <n v="0.25937193929438529"/>
    <n v="9.6946343446456112E-2"/>
    <n v="0.66410162595300526"/>
    <n v="9.6946343446456112E-2"/>
    <n v="9.6946343446456112E-2"/>
    <n v="0.66410162595300526"/>
    <n v="0.119037606702944"/>
    <n v="0.58756011706570288"/>
    <n v="2.814319386373906E-2"/>
    <n v="0.88701397838291507"/>
    <n v="2.814319386373906E-2"/>
    <n v="2.814319386373906E-2"/>
    <n v="0.88701397838291507"/>
    <n v="0.36259777190609133"/>
    <n v="-0.4557153638370115"/>
    <n v="40.154793671887283"/>
    <n v="0.88571237873734232"/>
    <n v="40.154793671887283"/>
    <n v="40.154793671887283"/>
    <n v="0.88571237873734232"/>
    <n v="470.27155088440418"/>
    <n v="-0.33847573311546258"/>
    <s v="[[sv,wv],[yr],[ya]]"/>
    <x v="1"/>
    <x v="0"/>
    <x v="5"/>
    <x v="4"/>
    <x v="1"/>
    <x v="1"/>
    <x v="5"/>
    <x v="4"/>
  </r>
  <r>
    <d v="2026-03-31T15:36:01"/>
    <s v="03-31_15-36-0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27434183768227"/>
    <n v="12.40865744883008"/>
    <n v="0.70684011937516078"/>
    <n v="0.13969365324436431"/>
    <n v="16.675992430746401"/>
    <n v="0.64063239170133435"/>
    <n v="16.675992430746401"/>
    <n v="16.675992430746401"/>
    <n v="0.64063239170133435"/>
    <n v="108.81824757777331"/>
    <n v="0.16371726260363531"/>
    <n v="0.8"/>
    <s v="identity"/>
    <n v="9.4019624646356062E-2"/>
    <n v="0.31729596159124163"/>
    <n v="9.4019624646356062E-2"/>
    <n v="9.4019624646356062E-2"/>
    <n v="0.31729596159124163"/>
    <n v="7.7190448817000462E-2"/>
    <n v="0.43949753753890131"/>
    <n v="7.8434790407566221E-2"/>
    <n v="0.72824020349803709"/>
    <n v="7.8434790407566221E-2"/>
    <n v="7.8434790407566221E-2"/>
    <n v="0.72824020349803709"/>
    <n v="0.11980447933282851"/>
    <n v="0.5849030671933515"/>
    <n v="7.319493273827532E-2"/>
    <n v="0.7061454967524744"/>
    <n v="7.319493273827532E-2"/>
    <n v="7.319493273827532E-2"/>
    <n v="0.7061454967524744"/>
    <n v="0.28197267966805228"/>
    <n v="-0.13203112037153761"/>
    <n v="66.458320375193708"/>
    <n v="0.81084790496358372"/>
    <n v="66.458320375193708"/>
    <n v="66.458320375193708"/>
    <n v="0.81084790496358372"/>
    <n v="434.79402270327671"/>
    <n v="-0.23750043394617151"/>
    <s v="[[sv,wv],[yr],[ya]]"/>
    <x v="1"/>
    <x v="1"/>
    <x v="2"/>
    <x v="5"/>
    <x v="1"/>
    <x v="1"/>
    <x v="2"/>
    <x v="5"/>
  </r>
  <r>
    <d v="2026-03-31T15:42:17"/>
    <s v="03-31_15-42-17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4368431411165031"/>
    <n v="33.510903400810868"/>
    <n v="0.57340321709201747"/>
    <n v="9.7008469029447181E-2"/>
    <n v="38.251440043337411"/>
    <n v="0.52871980860004231"/>
    <n v="38.251440043337411"/>
    <n v="38.251440043337411"/>
    <n v="0.52871980860004231"/>
    <n v="107.5552508121884"/>
    <n v="4.7581701811595462E-2"/>
    <n v="0.8"/>
    <s v="identity"/>
    <n v="0.1009452002898877"/>
    <n v="0.2670073279370585"/>
    <n v="0.1009452002898877"/>
    <n v="0.1009452002898877"/>
    <n v="0.2670073279370585"/>
    <n v="0.12954963179211909"/>
    <n v="5.930217088698797E-2"/>
    <n v="7.9537441343737927E-2"/>
    <n v="0.72441975351060628"/>
    <n v="7.9537441343737927E-2"/>
    <n v="7.9537441343737927E-2"/>
    <n v="0.72441975351060628"/>
    <n v="0.13167325744389241"/>
    <n v="0.54378028599600992"/>
    <n v="0.11006930485258171"/>
    <n v="0.55810655614767379"/>
    <n v="0.11006930485258171"/>
    <n v="0.11006930485258171"/>
    <n v="0.55810655614767379"/>
    <n v="0.29637648960449159"/>
    <n v="-0.18985786131382151"/>
    <n v="152.71520822686321"/>
    <n v="0.56534559680482255"/>
    <n v="152.71520822686321"/>
    <n v="152.71520822686321"/>
    <n v="0.56534559680482255"/>
    <n v="429.66340386991249"/>
    <n v="-0.22289778832278981"/>
    <s v="[[sv,wv],[yr],[ya]]"/>
    <x v="0"/>
    <x v="0"/>
    <x v="0"/>
    <x v="1"/>
    <x v="1"/>
    <x v="1"/>
    <x v="0"/>
    <x v="1"/>
  </r>
  <r>
    <d v="2026-03-31T15:52:49"/>
    <s v="03-31_15-52-49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022058657675354"/>
    <n v="13.254233244983601"/>
    <n v="0.72658216039691315"/>
    <n v="0.44684728260271062"/>
    <n v="16.043249081615151"/>
    <n v="0.68790000635912651"/>
    <n v="16.043249081615151"/>
    <n v="16.043249081615151"/>
    <n v="0.68790000635912651"/>
    <n v="74.406078007238079"/>
    <n v="0.45357795718678973"/>
    <n v="0.8"/>
    <s v="identity"/>
    <n v="7.4240186251071538E-2"/>
    <n v="0.46092025833471262"/>
    <n v="7.4240186251071538E-2"/>
    <n v="7.4240186251071538E-2"/>
    <n v="0.46092025833471262"/>
    <n v="0.10298638952251959"/>
    <n v="0.25218565493511008"/>
    <n v="9.8001244640636115E-2"/>
    <n v="0.66044661862308973"/>
    <n v="9.8001244640636115E-2"/>
    <n v="9.8001244640636115E-2"/>
    <n v="0.66044661862308973"/>
    <n v="8.9318005071516035E-2"/>
    <n v="0.69053218914632319"/>
    <n v="4.6763962906887793E-2"/>
    <n v="0.81225748045939095"/>
    <n v="4.6763962906887793E-2"/>
    <n v="4.6763962906887793E-2"/>
    <n v="0.81225748045939095"/>
    <n v="7.0257603621218342E-2"/>
    <n v="0.71793794407466338"/>
    <n v="63.953990932661767"/>
    <n v="0.81797566801931554"/>
    <n v="63.953990932661767"/>
    <n v="63.953990932661767"/>
    <n v="0.81797566801931554"/>
    <n v="297.36175003073657"/>
    <n v="0.153656040591065"/>
    <s v="[[sv,wv],[yr],[ya]]"/>
    <x v="0"/>
    <x v="1"/>
    <x v="1"/>
    <x v="3"/>
    <x v="1"/>
    <x v="1"/>
    <x v="1"/>
    <x v="3"/>
  </r>
  <r>
    <d v="2026-03-31T16:15:34"/>
    <s v="03-31_16-15-34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80"/>
    <n v="60"/>
    <n v="120"/>
    <n v="0.1057834074157233"/>
    <n v="15.571702167525871"/>
    <n v="0.78096538275877125"/>
    <n v="0.48000514539551731"/>
    <n v="23.053080380153389"/>
    <n v="0.70064208426968522"/>
    <n v="23.053080380153389"/>
    <n v="23.053080380153389"/>
    <n v="0.70064208426968522"/>
    <n v="78.837634927615966"/>
    <n v="0.43445808226904659"/>
    <n v="0.8"/>
    <s v="identity"/>
    <n v="7.2111534219735651E-2"/>
    <n v="0.47637702434102469"/>
    <n v="7.2111534219735651E-2"/>
    <n v="7.2111534219735651E-2"/>
    <n v="0.47637702434102469"/>
    <n v="6.9185777542043816E-2"/>
    <n v="0.49762180070313722"/>
    <n v="7.5902896147779925E-2"/>
    <n v="0.73701267634112944"/>
    <n v="7.5902896147779925E-2"/>
    <n v="7.5902896147779925E-2"/>
    <n v="0.73701267634112944"/>
    <n v="0.14412607688480639"/>
    <n v="0.50063392633145942"/>
    <n v="3.7087772312018007E-2"/>
    <n v="0.85110432510027634"/>
    <n v="3.7087772312018007E-2"/>
    <n v="3.7087772312018007E-2"/>
    <n v="0.85110432510027634"/>
    <n v="9.0603693002848998E-2"/>
    <n v="0.63625483071424371"/>
    <n v="92.027219317934026"/>
    <n v="0.73807431129631162"/>
    <n v="92.027219317934026"/>
    <n v="92.027219317934026"/>
    <n v="0.73807431129631162"/>
    <n v="315.0466241630333"/>
    <n v="0.1033217713273499"/>
    <s v="[[sv,wv],[yr],[ya]]"/>
    <x v="0"/>
    <x v="0"/>
    <x v="1"/>
    <x v="0"/>
    <x v="1"/>
    <x v="1"/>
    <x v="1"/>
    <x v="0"/>
  </r>
  <r>
    <d v="2026-03-31T16:13:08"/>
    <s v="03-31_16-13-08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3779339736476129"/>
    <n v="30.80373674168321"/>
    <n v="0.55844208070609525"/>
    <n v="4.4650388027651089E-2"/>
    <n v="37.596644444220729"/>
    <n v="0.49331226196476807"/>
    <n v="37.596644444220729"/>
    <n v="37.596644444220729"/>
    <n v="0.49331226196476807"/>
    <n v="114.6960572044311"/>
    <n v="-4.6276871607606462E-2"/>
    <n v="0.8"/>
    <s v="identity"/>
    <n v="0.12509963304913199"/>
    <n v="9.1614915424932941E-2"/>
    <n v="0.12509963304913199"/>
    <n v="0.12509963304913199"/>
    <n v="9.1614915424932941E-2"/>
    <n v="0.17384895166442721"/>
    <n v="-0.26236816856972461"/>
    <n v="0.1212664033423422"/>
    <n v="0.57983781274105595"/>
    <n v="0.1212664033423422"/>
    <n v="0.1212664033423422"/>
    <n v="0.57983781274105595"/>
    <n v="0.19730644179496201"/>
    <n v="0.3163753202870444"/>
    <n v="6.7519726199882654E-2"/>
    <n v="0.72892965592548253"/>
    <n v="6.7519726199882654E-2"/>
    <n v="6.7519726199882654E-2"/>
    <n v="0.72892965592548253"/>
    <n v="0.23290829132808261"/>
    <n v="6.4946879653948963E-2"/>
    <n v="150.07269201429199"/>
    <n v="0.57286666376759998"/>
    <n v="150.07269201429199"/>
    <n v="150.07269201429199"/>
    <n v="0.57286666376759998"/>
    <n v="458.18016513293821"/>
    <n v="-0.30406151780169499"/>
    <s v="[[sv,wv],[yr],[ya]]"/>
    <x v="0"/>
    <x v="0"/>
    <x v="0"/>
    <x v="1"/>
    <x v="1"/>
    <x v="1"/>
    <x v="0"/>
    <x v="1"/>
  </r>
  <r>
    <d v="2026-03-31T17:42:03"/>
    <s v="03-31_17-42-0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208288530779747"/>
    <n v="16.678023202504949"/>
    <n v="0.7148148830905392"/>
    <n v="0.3122969053715855"/>
    <n v="22.313641347061331"/>
    <n v="0.64487188688740971"/>
    <n v="22.313641347061331"/>
    <n v="22.313641347061331"/>
    <n v="0.64487188688740971"/>
    <n v="89.685643161232434"/>
    <n v="0.27383886338500091"/>
    <n v="0.8"/>
    <s v="identity"/>
    <n v="7.8552717143840281E-2"/>
    <n v="0.42960570812958299"/>
    <n v="7.8552717143840281E-2"/>
    <n v="7.8552717143840281E-2"/>
    <n v="0.42960570812958299"/>
    <n v="7.858786758234157E-2"/>
    <n v="0.42935047049800418"/>
    <n v="9.9468356923058096E-2"/>
    <n v="0.65536338791328896"/>
    <n v="9.9468356923058096E-2"/>
    <n v="9.9468356923058096E-2"/>
    <n v="0.65536338791328896"/>
    <n v="0.10510940601908041"/>
    <n v="0.63581835762218097"/>
    <n v="6.28026433334056E-2"/>
    <n v="0.74786725161209189"/>
    <n v="6.28026433334056E-2"/>
    <n v="6.28026433334056E-2"/>
    <n v="0.74786725161209189"/>
    <n v="0.23662264572850181"/>
    <n v="5.0034921593637982E-2"/>
    <n v="89.013741670845093"/>
    <n v="0.74665119989467355"/>
    <n v="89.013741670845093"/>
    <n v="89.013741670845093"/>
    <n v="0.74665119989467355"/>
    <n v="358.32225272559901"/>
    <n v="-1.984829617382133E-2"/>
    <s v="[[sv,wv],[yr],[ya]]"/>
    <x v="1"/>
    <x v="1"/>
    <x v="2"/>
    <x v="5"/>
    <x v="1"/>
    <x v="1"/>
    <x v="2"/>
    <x v="5"/>
  </r>
  <r>
    <d v="2026-03-31T19:14:32"/>
    <s v="03-31_19-14-3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2960313593791281"/>
    <n v="13.699303445280981"/>
    <n v="0.64515236275329568"/>
    <n v="9.6643276879139428E-2"/>
    <n v="19.347796363777949"/>
    <n v="0.62021633101697138"/>
    <n v="19.347796363777949"/>
    <n v="19.347796363777949"/>
    <n v="0.62021633101697138"/>
    <n v="72.767437249438345"/>
    <n v="9.9363569944553781E-2"/>
    <n v="0.8"/>
    <s v="identity"/>
    <n v="0.110347910820769"/>
    <n v="0.19873149216802019"/>
    <n v="0.110347910820769"/>
    <n v="0.110347910820769"/>
    <n v="0.19873149216802019"/>
    <n v="0.1312433464766955"/>
    <n v="4.7003612374104782E-2"/>
    <n v="0.11318302243354671"/>
    <n v="0.60784500112528361"/>
    <n v="0.11318302243354671"/>
    <n v="0.11318302243354671"/>
    <n v="0.60784500112528361"/>
    <n v="0.16347887070116901"/>
    <n v="0.43358062916638163"/>
    <n v="2.6441355312430161E-2"/>
    <n v="0.89384632187164481"/>
    <n v="2.6441355312430161E-2"/>
    <n v="2.6441355312430161E-2"/>
    <n v="0.89384632187164481"/>
    <n v="0.31295708537575551"/>
    <n v="-0.2564237088614203"/>
    <n v="77.141213166545057"/>
    <n v="0.78044250890293065"/>
    <n v="77.141213166545057"/>
    <n v="77.141213166545057"/>
    <n v="0.78044250890293065"/>
    <n v="290.46206969519938"/>
    <n v="0.17329374709915149"/>
    <s v="[[sv,wv],[yr],[ya]]"/>
    <x v="1"/>
    <x v="1"/>
    <x v="5"/>
    <x v="2"/>
    <x v="1"/>
    <x v="1"/>
    <x v="5"/>
    <x v="2"/>
  </r>
  <r>
    <d v="2026-03-31T19:24:28"/>
    <s v="03-31_19-24-28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64231078709432"/>
    <n v="10.205936861383099"/>
    <n v="0.6981617633593209"/>
    <n v="0.187685957327592"/>
    <n v="13.358447021956779"/>
    <n v="0.66194358045937118"/>
    <n v="13.358447021956779"/>
    <n v="13.358447021956779"/>
    <n v="0.66194358045937118"/>
    <n v="72.800656976587874"/>
    <n v="0.15139541930804101"/>
    <n v="0.8"/>
    <s v="identity"/>
    <n v="0.1046697350951124"/>
    <n v="0.2399623895820594"/>
    <n v="0.1046697350951124"/>
    <n v="0.1046697350951124"/>
    <n v="0.2399623895820594"/>
    <n v="0.14624019433442029"/>
    <n v="-6.1892893375423919E-2"/>
    <n v="7.6130493643837407E-2"/>
    <n v="0.73622409962802116"/>
    <n v="7.6130493643837407E-2"/>
    <n v="7.6130493643837407E-2"/>
    <n v="0.73622409962802116"/>
    <n v="0.1317881296681343"/>
    <n v="0.54338227827365215"/>
    <n v="4.4080742439493982E-2"/>
    <n v="0.82302976192823207"/>
    <n v="4.4080742439493982E-2"/>
    <n v="4.4080742439493982E-2"/>
    <n v="0.82302976192823207"/>
    <n v="0.26119826824331788"/>
    <n v="-4.8628429487134861E-2"/>
    <n v="53.208907116648817"/>
    <n v="0.84855807069916689"/>
    <n v="53.208907116648817"/>
    <n v="53.208907116648817"/>
    <n v="0.84855807069916689"/>
    <n v="290.66340131410527"/>
    <n v="0.1727207218210802"/>
    <s v="[[sv,wv],[yr],[ya]]"/>
    <x v="1"/>
    <x v="0"/>
    <x v="5"/>
    <x v="4"/>
    <x v="1"/>
    <x v="1"/>
    <x v="5"/>
    <x v="4"/>
  </r>
  <r>
    <d v="2026-03-31T19:27:26"/>
    <s v="03-31_19-27-26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350722924499278"/>
    <n v="12.298875407606101"/>
    <n v="0.58818118978867995"/>
    <n v="0.25988932288077099"/>
    <n v="15.961809115690039"/>
    <n v="0.52562500793019873"/>
    <n v="15.961809115690039"/>
    <n v="15.961809115690039"/>
    <n v="0.52562500793019873"/>
    <n v="66.905571972723095"/>
    <n v="0.26528041700168131"/>
    <n v="0.8"/>
    <s v="identity"/>
    <n v="0.12419839956364261"/>
    <n v="9.8159035787113824E-2"/>
    <n v="0.12419839956364261"/>
    <n v="0.12419839956364261"/>
    <n v="9.8159035787113824E-2"/>
    <n v="0.1149335227134721"/>
    <n v="0.16543402082095751"/>
    <n v="8.7190841508416411E-2"/>
    <n v="0.69790235656859223"/>
    <n v="8.7190841508416411E-2"/>
    <n v="8.7190841508416411E-2"/>
    <n v="0.69790235656859223"/>
    <n v="0.13060227009084169"/>
    <n v="0.54749102843069797"/>
    <n v="0.12773262101253041"/>
    <n v="0.48719392870602729"/>
    <n v="0.12773262101253041"/>
    <n v="0.12773262101253041"/>
    <n v="0.48719392870602729"/>
    <n v="0.22204339204987389"/>
    <n v="0.1085660136676191"/>
    <n v="63.508114600675754"/>
    <n v="0.8192447106590659"/>
    <n v="63.508114600675754"/>
    <n v="63.508114600675754"/>
    <n v="0.8192447106590659"/>
    <n v="267.15470870603809"/>
    <n v="0.2396306050874473"/>
    <s v="[[sv,wv],[yr],[ya]]"/>
    <x v="0"/>
    <x v="1"/>
    <x v="0"/>
    <x v="3"/>
    <x v="1"/>
    <x v="1"/>
    <x v="0"/>
    <x v="3"/>
  </r>
  <r>
    <d v="2026-03-31T19:39:29"/>
    <s v="03-31_19-39-29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3855200719561139"/>
    <n v="43.091493546142217"/>
    <n v="0.60686395699691709"/>
    <n v="0.23834974151234059"/>
    <n v="49.911890968364773"/>
    <n v="0.55463652183455481"/>
    <n v="49.911890968364773"/>
    <n v="49.911890968364773"/>
    <n v="0.55463652183455481"/>
    <n v="98.481751090308265"/>
    <n v="0.2137374861978947"/>
    <n v="0.8"/>
    <s v="identity"/>
    <n v="8.2277385819154711E-2"/>
    <n v="0.40255979770464378"/>
    <n v="8.2277385819154711E-2"/>
    <n v="8.2277385819154711E-2"/>
    <n v="0.40255979770464378"/>
    <n v="0.1486588637997715"/>
    <n v="-7.9455560933203939E-2"/>
    <n v="0.1020237196222786"/>
    <n v="0.64650960193999363"/>
    <n v="0.1020237196222786"/>
    <n v="0.1020237196222786"/>
    <n v="0.64650960193999363"/>
    <n v="0.1024575635727238"/>
    <n v="0.64500642531296459"/>
    <n v="6.5510057106719546E-2"/>
    <n v="0.73699784167237015"/>
    <n v="6.5510057106719546E-2"/>
    <n v="6.5510057106719546E-2"/>
    <n v="0.73699784167237015"/>
    <n v="0.1470971698820443"/>
    <n v="0.40945139003862258"/>
    <n v="199.39775271091011"/>
    <n v="0.43247884602121239"/>
    <n v="199.39775271091011"/>
    <n v="199.39775271091011"/>
    <n v="0.43247884602121239"/>
    <n v="393.52879076397829"/>
    <n v="-0.12005230962680689"/>
    <s v="[[sv,wv],[yr],[ya]]"/>
    <x v="1"/>
    <x v="0"/>
    <x v="2"/>
    <x v="1"/>
    <x v="1"/>
    <x v="1"/>
    <x v="2"/>
    <x v="1"/>
  </r>
  <r>
    <d v="2026-03-31T19:57:16"/>
    <s v="03-31_19-57-16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80"/>
    <n v="60"/>
    <n v="120"/>
    <n v="0.1183843171093957"/>
    <n v="14.75276055024209"/>
    <n v="0.73251757372568749"/>
    <n v="0.28724573851708601"/>
    <n v="23.197682491475579"/>
    <n v="0.64606218972760088"/>
    <n v="23.197682491475579"/>
    <n v="23.197682491475579"/>
    <n v="0.64606218972760088"/>
    <n v="84.147488728692295"/>
    <n v="0.18206833176077339"/>
    <n v="0.8"/>
    <s v="identity"/>
    <n v="7.5225732394497577E-2"/>
    <n v="0.45376391906314112"/>
    <n v="7.5225732394497577E-2"/>
    <n v="7.5225732394497577E-2"/>
    <n v="0.45376391906314112"/>
    <n v="7.3227923384403815E-2"/>
    <n v="0.46827059556063411"/>
    <n v="7.9258054231167885E-2"/>
    <n v="0.72538777018360023"/>
    <n v="7.9258054231167885E-2"/>
    <n v="7.9258054231167885E-2"/>
    <n v="0.72538777018360023"/>
    <n v="0.15893534407225721"/>
    <n v="0.44932297852000741"/>
    <n v="8.2566614930191476E-2"/>
    <n v="0.66852115703285997"/>
    <n v="8.2566614930191476E-2"/>
    <n v="8.2566614930191476E-2"/>
    <n v="0.66852115703285997"/>
    <n v="0.30708787987561442"/>
    <n v="-0.23286070521923369"/>
    <n v="92.553679564346709"/>
    <n v="0.7365759126307998"/>
    <n v="92.553679564346709"/>
    <n v="92.553679564346709"/>
    <n v="0.7365759126307998"/>
    <n v="336.0507037674368"/>
    <n v="4.3540458181681951E-2"/>
    <s v="[[sv,wv],[yr],[ya]]"/>
    <x v="1"/>
    <x v="0"/>
    <x v="3"/>
    <x v="0"/>
    <x v="1"/>
    <x v="1"/>
    <x v="3"/>
    <x v="0"/>
  </r>
  <r>
    <d v="2026-03-31T19:57:51"/>
    <s v="03-31_19-57-51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190646138984206"/>
    <n v="12.91549464653677"/>
    <n v="0.69927421595032502"/>
    <n v="0.31147332655867982"/>
    <n v="16.986722899832341"/>
    <n v="0.64798867611243427"/>
    <n v="16.986722899832341"/>
    <n v="16.986722899832341"/>
    <n v="0.64798867611243427"/>
    <n v="101.3655089794413"/>
    <n v="0.15765647167338609"/>
    <n v="0.8"/>
    <s v="identity"/>
    <n v="8.2012046498512153E-2"/>
    <n v="0.40448650424524818"/>
    <n v="8.2012046498512153E-2"/>
    <n v="8.2012046498512153E-2"/>
    <n v="0.40448650424524818"/>
    <n v="9.1808866094608893E-2"/>
    <n v="0.33334892709606601"/>
    <n v="0.1011852715631797"/>
    <n v="0.64941464538734872"/>
    <n v="0.1011852715631797"/>
    <n v="0.1011852715631797"/>
    <n v="0.64941464538734872"/>
    <n v="0.2049394129278076"/>
    <n v="0.28992870557705758"/>
    <n v="6.7071267077921812E-2"/>
    <n v="0.73073007745168073"/>
    <n v="6.7071267077921812E-2"/>
    <n v="6.7071267077921812E-2"/>
    <n v="0.73073007745168073"/>
    <n v="0.2092507262332623"/>
    <n v="0.15992452057674891"/>
    <n v="67.696623014189655"/>
    <n v="0.80732347736546117"/>
    <n v="67.696623014189655"/>
    <n v="67.696623014189655"/>
    <n v="0.80732347736546117"/>
    <n v="404.95603691250972"/>
    <n v="-0.15257626655633419"/>
    <s v="[[sv,wv],[yr],[ya]]"/>
    <x v="0"/>
    <x v="1"/>
    <x v="0"/>
    <x v="3"/>
    <x v="1"/>
    <x v="1"/>
    <x v="0"/>
    <x v="3"/>
  </r>
  <r>
    <d v="2026-03-31T21:20:25"/>
    <s v="03-31_21-20-2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33917298251395"/>
    <n v="17.301909062841659"/>
    <n v="0.75386491385799292"/>
    <n v="9.9666596170323529E-2"/>
    <n v="22.551083694916962"/>
    <n v="0.70086295906950147"/>
    <n v="22.551083694916962"/>
    <n v="22.551083694916962"/>
    <n v="0.70086295906950147"/>
    <n v="125.25144069603751"/>
    <n v="0.1230481498936002"/>
    <n v="0.8"/>
    <s v="identity"/>
    <n v="7.0825502072429741E-2"/>
    <n v="0.48571528051670759"/>
    <n v="7.0825502072429741E-2"/>
    <n v="7.0825502072429741E-2"/>
    <n v="0.48571528051670759"/>
    <n v="6.5310952164206973E-2"/>
    <n v="0.52575804293477957"/>
    <n v="8.1001206120866309E-2"/>
    <n v="0.71934812119168101"/>
    <n v="8.1001206120866309E-2"/>
    <n v="8.1001206120866309E-2"/>
    <n v="0.71934812119168101"/>
    <n v="0.12030272580870741"/>
    <n v="0.58317674957091503"/>
    <n v="3.6219376344470249E-2"/>
    <n v="0.85459066023468189"/>
    <n v="3.6219376344470249E-2"/>
    <n v="3.6219376344470249E-2"/>
    <n v="0.85459066023468189"/>
    <n v="0.29695114961727848"/>
    <n v="-0.19216493949910429"/>
    <n v="90.016288695129944"/>
    <n v="0.74379777433493299"/>
    <n v="90.016288695129944"/>
    <n v="90.016288695129944"/>
    <n v="0.74379777433493299"/>
    <n v="500.52319795655688"/>
    <n v="-0.42457725343218428"/>
    <s v="[[sv,wv],[yr],[ya]]"/>
    <x v="1"/>
    <x v="0"/>
    <x v="5"/>
    <x v="4"/>
    <x v="1"/>
    <x v="1"/>
    <x v="5"/>
    <x v="4"/>
  </r>
  <r>
    <d v="2026-03-31T22:51:41"/>
    <s v="03-31_22-51-41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95461024853915"/>
    <n v="11.72964106341775"/>
    <n v="0.75136575198177269"/>
    <n v="1.0631867442794121E-2"/>
    <n v="16.883234486822911"/>
    <n v="0.70568677529539947"/>
    <n v="16.883234486822911"/>
    <n v="16.883234486822911"/>
    <n v="0.70568677529539947"/>
    <n v="117.31694510864691"/>
    <n v="5.5770484120623576E-3"/>
    <n v="0.8"/>
    <s v="identity"/>
    <n v="7.4646244997352715E-2"/>
    <n v="0.45797174681958919"/>
    <n v="7.4646244997352715E-2"/>
    <n v="7.4646244997352715E-2"/>
    <n v="0.45797174681958919"/>
    <n v="0.1061817072557248"/>
    <n v="0.22898351677870249"/>
    <n v="9.6025117338536192E-2"/>
    <n v="0.6672934776596231"/>
    <n v="9.6025117338536192E-2"/>
    <n v="9.6025117338536192E-2"/>
    <n v="0.6672934776596231"/>
    <n v="0.1497805568161269"/>
    <n v="0.48104236106462789"/>
    <n v="2.7616581528647849E-2"/>
    <n v="0.88912816033982156"/>
    <n v="2.7616581528647849E-2"/>
    <n v="2.7616581528647849E-2"/>
    <n v="0.88912816033982156"/>
    <n v="0.33720891364423172"/>
    <n v="-0.35378712845987531"/>
    <n v="67.334650003427328"/>
    <n v="0.80835371636256181"/>
    <n v="67.334650003427328"/>
    <n v="67.334650003427328"/>
    <n v="0.80835371636256181"/>
    <n v="468.67460925686993"/>
    <n v="-0.3339305557352088"/>
    <s v="[[sv,wv],[yr],[ya]]"/>
    <x v="1"/>
    <x v="1"/>
    <x v="5"/>
    <x v="5"/>
    <x v="1"/>
    <x v="1"/>
    <x v="5"/>
    <x v="5"/>
  </r>
  <r>
    <d v="2026-03-31T23:00:37"/>
    <s v="03-31_23-00-37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166828634121848"/>
    <n v="34.62176339517675"/>
    <n v="0.66425008568754407"/>
    <n v="0.2489013313034979"/>
    <n v="39.617315871451993"/>
    <n v="0.61870057225627206"/>
    <n v="39.617315871451993"/>
    <n v="39.617315871451993"/>
    <n v="0.61870057225627206"/>
    <n v="102.3235027112554"/>
    <n v="0.27789899943280449"/>
    <n v="0.8"/>
    <s v="identity"/>
    <n v="8.5086914223233057E-2"/>
    <n v="0.3821589888873036"/>
    <n v="8.5086914223233057E-2"/>
    <n v="8.5086914223233057E-2"/>
    <n v="0.3821589888873036"/>
    <n v="0.14179861949212039"/>
    <n v="-2.9641317248222391E-2"/>
    <n v="7.4858064091566798E-2"/>
    <n v="0.74063279625857636"/>
    <n v="7.4858064091566798E-2"/>
    <n v="7.4858064091566798E-2"/>
    <n v="0.74063279625857636"/>
    <n v="0.1204719509376722"/>
    <n v="0.58259042064249544"/>
    <n v="4.9207692950106047E-2"/>
    <n v="0.8024466772923371"/>
    <n v="4.9207692950106047E-2"/>
    <n v="4.9207692950106047E-2"/>
    <n v="0.8024466772923371"/>
    <n v="6.9089704497625332E-2"/>
    <n v="0.7226266896471718"/>
    <n v="158.26011081454209"/>
    <n v="0.54956382658687097"/>
    <n v="158.26011081454209"/>
    <n v="158.26011081454209"/>
    <n v="0.54956382658687097"/>
    <n v="408.96265057009259"/>
    <n v="-0.163979795310218"/>
    <s v="[[sv,wv],[yr],[ya]]"/>
    <x v="0"/>
    <x v="0"/>
    <x v="1"/>
    <x v="1"/>
    <x v="1"/>
    <x v="1"/>
    <x v="1"/>
    <x v="1"/>
  </r>
  <r>
    <d v="2026-03-31T23:00:08"/>
    <s v="03-31_23-00-08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62470493174512"/>
    <n v="26.12691778089809"/>
    <n v="0.68020957258504244"/>
    <n v="-8.0413554122460068E-2"/>
    <n v="24.1529182881761"/>
    <n v="0.65002864422124507"/>
    <n v="24.1529182881761"/>
    <n v="24.1529182881761"/>
    <n v="0.65002864422124507"/>
    <n v="84.998300549464489"/>
    <n v="-5.365501574688622E-2"/>
    <n v="0.8"/>
    <s v="identity"/>
    <n v="9.1317655459702926E-2"/>
    <n v="0.33691575142046659"/>
    <n v="9.1317655459702926E-2"/>
    <n v="9.1317655459702926E-2"/>
    <n v="0.33691575142046659"/>
    <n v="0.11733203237028859"/>
    <n v="0.14801773953893621"/>
    <n v="7.6138408376527147E-2"/>
    <n v="0.73619667676969569"/>
    <n v="7.6138408376527147E-2"/>
    <n v="7.6138408376527147E-2"/>
    <n v="0.73619667676969569"/>
    <n v="0.1193430195396723"/>
    <n v="0.58650192681712698"/>
    <n v="4.9478725705925597E-2"/>
    <n v="0.80135856650589865"/>
    <n v="4.9478725705925597E-2"/>
    <n v="4.9478725705925597E-2"/>
    <n v="0.80135856650589865"/>
    <n v="0.4940710460357427"/>
    <n v="-0.98353897422051895"/>
    <n v="96.394738363161963"/>
    <n v="0.72564358218891956"/>
    <n v="96.394738363161963"/>
    <n v="96.394738363161963"/>
    <n v="0.72564358218891956"/>
    <n v="339.26245609991281"/>
    <n v="3.4399244876918922E-2"/>
    <s v="[[sv,wv],[yr],[ya]]"/>
    <x v="1"/>
    <x v="1"/>
    <x v="5"/>
    <x v="2"/>
    <x v="1"/>
    <x v="1"/>
    <x v="5"/>
    <x v="2"/>
  </r>
  <r>
    <d v="2026-03-31T23:16:56"/>
    <s v="03-31_23-16-56_multihead_spsa_serial_f5_w5_h5_effsu2_lin_r1.pkl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60708203326571"/>
    <n v="13.721889291527461"/>
    <n v="0.69467996199155224"/>
    <n v="0.11316101178863849"/>
    <n v="16.914547593831649"/>
    <n v="0.65112080313298404"/>
    <n v="16.914547593831649"/>
    <n v="16.914547593831649"/>
    <n v="0.65112080313298404"/>
    <n v="95.433988809079594"/>
    <n v="0.13813384419010821"/>
    <n v="0.8"/>
    <s v="identity"/>
    <n v="8.3109966888441245E-2"/>
    <n v="0.39651418264882332"/>
    <n v="8.3109966888441245E-2"/>
    <n v="8.3109966888441245E-2"/>
    <n v="0.39651418264882332"/>
    <n v="0.13768805230618211"/>
    <n v="2.067153146194656E-4"/>
    <n v="9.8962525168186835E-2"/>
    <n v="0.65711598690735462"/>
    <n v="9.8962525168186835E-2"/>
    <n v="9.8962525168186835E-2"/>
    <n v="0.65711598690735462"/>
    <n v="0.1109367747044693"/>
    <n v="0.61562776974842992"/>
    <n v="6.4084856244755822E-2"/>
    <n v="0.74271957233940711"/>
    <n v="6.4084856244755822E-2"/>
    <n v="6.4084856244755822E-2"/>
    <n v="0.74271957233940711"/>
    <n v="0.24365865072897991"/>
    <n v="2.178758701850236E-2"/>
    <n v="67.412033027025188"/>
    <n v="0.80813347063635099"/>
    <n v="67.412033027025188"/>
    <n v="67.412033027025188"/>
    <n v="0.80813347063635099"/>
    <n v="381.24367175857981"/>
    <n v="-8.5086695321119565E-2"/>
    <s v="[[sv,wv],[yr],[ya]]"/>
    <x v="1"/>
    <x v="1"/>
    <x v="2"/>
    <x v="3"/>
    <x v="1"/>
    <x v="1"/>
    <x v="2"/>
    <x v="3"/>
  </r>
  <r>
    <d v="2026-03-31T23:30:28"/>
    <s v="03-31_23-30-28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80"/>
    <n v="60"/>
    <n v="120"/>
    <n v="0.13329298752492469"/>
    <n v="47.201029454645372"/>
    <n v="0.6373688539922675"/>
    <n v="0.21400371471186211"/>
    <n v="49.826739948989413"/>
    <n v="0.57666898833406188"/>
    <n v="49.826739948989413"/>
    <n v="49.826739948989413"/>
    <n v="0.57666898833406188"/>
    <n v="104.9021351557821"/>
    <n v="0.19059154378932031"/>
    <n v="0.8"/>
    <s v="identity"/>
    <n v="6.9772172822805553E-2"/>
    <n v="0.4933638127800235"/>
    <n v="6.9772172822805553E-2"/>
    <n v="6.9772172822805553E-2"/>
    <n v="0.4933638127800235"/>
    <n v="7.148402922729713E-2"/>
    <n v="0.48093352192406452"/>
    <n v="8.0601401713788157E-2"/>
    <n v="0.72073335807117755"/>
    <n v="8.0601401713788157E-2"/>
    <n v="8.0601401713788157E-2"/>
    <n v="0.72073335807117755"/>
    <n v="0.2227628000990203"/>
    <n v="0.22817447578367719"/>
    <n v="8.489537874501614E-2"/>
    <n v="0.65917190690876948"/>
    <n v="8.489537874501614E-2"/>
    <n v="8.489537874501614E-2"/>
    <n v="0.65917190690876948"/>
    <n v="0.18776917603102769"/>
    <n v="0.24616614998347289"/>
    <n v="199.0716908426769"/>
    <n v="0.43340687557627211"/>
    <n v="199.0716908426769"/>
    <n v="199.0716908426769"/>
    <n v="0.43340687557627211"/>
    <n v="419.12652461776958"/>
    <n v="-0.19290797253393779"/>
    <s v="[[sv,wv],[yr],[ya]]"/>
    <x v="0"/>
    <x v="0"/>
    <x v="0"/>
    <x v="1"/>
    <x v="1"/>
    <x v="1"/>
    <x v="0"/>
    <x v="1"/>
  </r>
  <r>
    <d v="2026-03-31T23:34:13"/>
    <s v="03-31_23-34-13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989723732303901"/>
    <n v="30.299477005271552"/>
    <n v="0.56943132542307495"/>
    <n v="0.25021918503706941"/>
    <n v="36.236305842420798"/>
    <n v="0.52058863122403631"/>
    <n v="36.236305842420798"/>
    <n v="36.236305842420798"/>
    <n v="0.52058863122403631"/>
    <n v="119.1517614698988"/>
    <n v="0.24773338085265309"/>
    <n v="0.8"/>
    <s v="identity"/>
    <n v="0.12505847472828849"/>
    <n v="9.1913778050259465E-2"/>
    <n v="0.12505847472828849"/>
    <n v="0.12505847472828849"/>
    <n v="9.1913778050259465E-2"/>
    <n v="0.14339663055215501"/>
    <n v="-4.1244943706113757E-2"/>
    <n v="0.1181265987766404"/>
    <n v="0.59071656495543978"/>
    <n v="0.1181265987766404"/>
    <n v="0.1181265987766404"/>
    <n v="0.59071656495543978"/>
    <n v="0.10035917013920991"/>
    <n v="0.652276910381001"/>
    <n v="4.6968080853512867E-2"/>
    <n v="0.81143801146658645"/>
    <n v="4.6968080853512867E-2"/>
    <n v="4.6968080853512867E-2"/>
    <n v="0.81143801146658645"/>
    <n v="6.5876183946774608E-2"/>
    <n v="0.73552795821616601"/>
    <n v="144.65507021532491"/>
    <n v="0.58828617042386611"/>
    <n v="144.65507021532491"/>
    <n v="144.65507021532491"/>
    <n v="0.58828617042386611"/>
    <n v="476.29741389495661"/>
    <n v="-0.35562640148044089"/>
    <s v="[[sv,wv],[yr],[ya]]"/>
    <x v="0"/>
    <x v="0"/>
    <x v="1"/>
    <x v="1"/>
    <x v="1"/>
    <x v="1"/>
    <x v="1"/>
    <x v="1"/>
  </r>
  <r>
    <d v="2026-04-01T01:00:23"/>
    <s v="04-01_01-00-23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415326122011531"/>
    <n v="16.05081864867574"/>
    <n v="0.72967138855770264"/>
    <n v="0.26567600887038623"/>
    <n v="18.428904238929029"/>
    <n v="0.68171508776475709"/>
    <n v="18.428904238929029"/>
    <n v="18.428904238929029"/>
    <n v="0.68171508776475709"/>
    <n v="66.229271089390039"/>
    <n v="0.2862705187218566"/>
    <n v="0.8"/>
    <s v="identity"/>
    <n v="7.8920542978156968E-2"/>
    <n v="0.4269348169888918"/>
    <n v="7.8920542978156968E-2"/>
    <n v="7.8920542978156968E-2"/>
    <n v="0.4269348169888918"/>
    <n v="8.1076405152046463E-2"/>
    <n v="0.4112804701660544"/>
    <n v="8.5366108573464494E-2"/>
    <n v="0.70422466645807114"/>
    <n v="8.5366108573464494E-2"/>
    <n v="8.5366108573464494E-2"/>
    <n v="0.70422466645807114"/>
    <n v="0.112450230465825"/>
    <n v="0.6103839687822572"/>
    <n v="4.8595956262012963E-2"/>
    <n v="0.80490260660155122"/>
    <n v="4.8595956262012963E-2"/>
    <n v="4.8595956262012963E-2"/>
    <n v="0.80490260660155122"/>
    <n v="0.2799546211191582"/>
    <n v="-0.12392925361349109"/>
    <n v="73.502734347902305"/>
    <n v="0.79079826101051465"/>
    <n v="73.502734347902305"/>
    <n v="73.502734347902305"/>
    <n v="0.79079826101051465"/>
    <n v="264.4436031008234"/>
    <n v="0.24734688955260109"/>
    <s v="[[sv,wv],[yr],[ya]]"/>
    <x v="1"/>
    <x v="1"/>
    <x v="5"/>
    <x v="2"/>
    <x v="1"/>
    <x v="1"/>
    <x v="5"/>
    <x v="2"/>
  </r>
  <r>
    <d v="2026-04-01T02:37:14"/>
    <s v="04-01_02-37-14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97976554547368"/>
    <n v="12.848241250113089"/>
    <n v="0.70489258829017332"/>
    <n v="5.1734529903095489E-2"/>
    <n v="17.035055465734459"/>
    <n v="0.66234860052264233"/>
    <n v="17.035055465734459"/>
    <n v="17.035055465734459"/>
    <n v="0.66234860052264233"/>
    <n v="103.40620658842499"/>
    <n v="4.271824249215142E-2"/>
    <n v="0.8"/>
    <s v="identity"/>
    <n v="9.655004855163099E-2"/>
    <n v="0.29892181230575832"/>
    <n v="9.655004855163099E-2"/>
    <n v="9.655004855163099E-2"/>
    <n v="0.29892181230575832"/>
    <n v="0.11587202168062009"/>
    <n v="0.15861930487921311"/>
    <n v="7.5203587723605594E-2"/>
    <n v="0.739435630671194"/>
    <n v="7.5203587723605594E-2"/>
    <n v="7.5203587723605594E-2"/>
    <n v="0.739435630671194"/>
    <n v="0.128245270768994"/>
    <n v="0.55565752766824583"/>
    <n v="4.8733977334129687E-2"/>
    <n v="0.80434849565333055"/>
    <n v="4.8733977334129687E-2"/>
    <n v="4.8733977334129687E-2"/>
    <n v="0.80434849565333055"/>
    <n v="0.34070410044185778"/>
    <n v="-0.36781919791810203"/>
    <n v="67.919734249328584"/>
    <n v="0.80668846346028811"/>
    <n v="67.919734249328584"/>
    <n v="67.919734249328584"/>
    <n v="0.80668846346028811"/>
    <n v="413.0400049608088"/>
    <n v="-0.17558466466074951"/>
    <s v="[[sv,wv],[yr],[ya]]"/>
    <x v="1"/>
    <x v="1"/>
    <x v="5"/>
    <x v="5"/>
    <x v="1"/>
    <x v="1"/>
    <x v="5"/>
    <x v="5"/>
  </r>
  <r>
    <d v="2026-04-01T02:36:32"/>
    <s v="04-01_02-36-32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9.9960617219634673E-2"/>
    <n v="16.15291675164163"/>
    <n v="0.70302878214877462"/>
    <n v="0.34215046774601721"/>
    <n v="16.874104262750851"/>
    <n v="0.6651680828248876"/>
    <n v="16.874104262750851"/>
    <n v="16.874104262750851"/>
    <n v="0.6651680828248876"/>
    <n v="67.687482777846711"/>
    <n v="0.37004186825596908"/>
    <n v="0.8"/>
    <s v="identity"/>
    <n v="9.611621251121312E-2"/>
    <n v="0.30207202289120361"/>
    <n v="9.611621251121312E-2"/>
    <n v="9.611621251121312E-2"/>
    <n v="0.30207202289120361"/>
    <n v="0.1382584041155111"/>
    <n v="-3.9347762623493931E-3"/>
    <n v="7.7297927955387244E-2"/>
    <n v="0.73217918908146862"/>
    <n v="7.7297927955387244E-2"/>
    <n v="7.7297927955387244E-2"/>
    <n v="0.73217918908146862"/>
    <n v="0.1177875874817701"/>
    <n v="0.59189116668545139"/>
    <n v="4.5357207445639772E-2"/>
    <n v="0.81790515867686964"/>
    <n v="4.5357207445639772E-2"/>
    <n v="4.5357207445639772E-2"/>
    <n v="0.81790515867686964"/>
    <n v="8.4229641890234574E-2"/>
    <n v="0.66184462980688208"/>
    <n v="67.277645703090826"/>
    <n v="0.80851596065001696"/>
    <n v="67.277645703090826"/>
    <n v="67.277645703090826"/>
    <n v="0.80851596065001696"/>
    <n v="270.40965547789932"/>
    <n v="0.2303664527938937"/>
    <s v="[[sv,wv],[yr],[ya]]"/>
    <x v="0"/>
    <x v="1"/>
    <x v="1"/>
    <x v="2"/>
    <x v="1"/>
    <x v="1"/>
    <x v="1"/>
    <x v="2"/>
  </r>
  <r>
    <d v="2026-04-01T02:53:23"/>
    <s v="04-01_02-53-23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5368443825457059"/>
    <n v="44.054750300413971"/>
    <n v="0.54952960719650679"/>
    <n v="-0.25602658631038849"/>
    <n v="49.636331076586778"/>
    <n v="0.48380750307968629"/>
    <n v="49.636331076586778"/>
    <n v="49.636331076586778"/>
    <n v="0.48380750307968629"/>
    <n v="102.7012778130442"/>
    <n v="-0.23156651054314109"/>
    <n v="0.8"/>
    <s v="identity"/>
    <n v="8.4583670031448441E-2"/>
    <n v="0.38581319239353318"/>
    <n v="8.4583670031448441E-2"/>
    <n v="8.4583670031448441E-2"/>
    <n v="0.38581319239353318"/>
    <n v="0.19160045096613779"/>
    <n v="-0.39126700545268828"/>
    <n v="9.5000738785386174E-2"/>
    <n v="0.67084273055745669"/>
    <n v="9.5000738785386174E-2"/>
    <n v="9.5000738785386174E-2"/>
    <n v="0.67084273055745669"/>
    <n v="0.12855784289178371"/>
    <n v="0.55457453202256191"/>
    <n v="0.1387997504921851"/>
    <n v="0.44276290439934912"/>
    <n v="0.1387997504921851"/>
    <n v="0.1387997504921851"/>
    <n v="0.44276290439934912"/>
    <n v="0.47889801669110832"/>
    <n v="-0.92262406065989566"/>
    <n v="198.2269401470368"/>
    <n v="0.43581118496841009"/>
    <n v="198.2269401470368"/>
    <n v="198.2269401470368"/>
    <n v="0.43581118496841009"/>
    <n v="410.00605494162693"/>
    <n v="-0.16694950808254869"/>
    <s v="[[sv,wv],[yr],[ya]]"/>
    <x v="1"/>
    <x v="0"/>
    <x v="3"/>
    <x v="1"/>
    <x v="1"/>
    <x v="1"/>
    <x v="3"/>
    <x v="1"/>
  </r>
  <r>
    <d v="2026-04-01T03:04:49"/>
    <s v="04-01_03-04-49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149652238016127"/>
    <n v="13.5246445928233"/>
    <n v="0.73549240184056175"/>
    <n v="0.52032518597779387"/>
    <n v="17.060878923105101"/>
    <n v="0.66708779928637219"/>
    <n v="17.060878923105101"/>
    <n v="17.060878923105101"/>
    <n v="0.66708779928637219"/>
    <n v="59.536550607618928"/>
    <n v="0.47411223746775438"/>
    <n v="0.8"/>
    <s v="identity"/>
    <n v="8.0654755756014523E-2"/>
    <n v="0.41434218995643202"/>
    <n v="8.0654755756014523E-2"/>
    <n v="8.0654755756014523E-2"/>
    <n v="0.41434218995643202"/>
    <n v="8.4211971266295371E-2"/>
    <n v="0.38851220601963571"/>
    <n v="8.4879867133693124E-2"/>
    <n v="0.70590938919445456"/>
    <n v="8.4879867133693124E-2"/>
    <n v="8.4879867133693124E-2"/>
    <n v="0.70590938919445456"/>
    <n v="0.11988312602312071"/>
    <n v="0.58463057320900713"/>
    <n v="6.4344192833332883E-2"/>
    <n v="0.74167841796492717"/>
    <n v="6.4344192833332883E-2"/>
    <n v="6.4344192833332883E-2"/>
    <n v="0.74167841796492717"/>
    <n v="9.9572489007035817E-2"/>
    <n v="0.60024795160469391"/>
    <n v="68.013636876697049"/>
    <n v="0.80642120002967643"/>
    <n v="68.013636876697049"/>
    <n v="68.013636876697049"/>
    <n v="0.80642120002967643"/>
    <n v="237.84253484417809"/>
    <n v="0.32305821903767928"/>
    <s v="[[sv,wv],[yr],[ya]]"/>
    <x v="0"/>
    <x v="1"/>
    <x v="0"/>
    <x v="3"/>
    <x v="1"/>
    <x v="1"/>
    <x v="0"/>
    <x v="3"/>
  </r>
  <r>
    <d v="2026-04-01T03:09:33"/>
    <s v="04-01_03-09-3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222286252791031"/>
    <n v="15.53823059952069"/>
    <n v="0.63407054285524644"/>
    <n v="0.43357379637601029"/>
    <n v="20.111900521373439"/>
    <n v="0.57754407524034534"/>
    <n v="20.111900521373439"/>
    <n v="20.111900521373439"/>
    <n v="0.57754407524034534"/>
    <n v="52.157688432038157"/>
    <n v="0.46191293355634061"/>
    <n v="0.8"/>
    <s v="identity"/>
    <n v="0.1166886366203804"/>
    <n v="0.15268962456729651"/>
    <n v="0.1166886366203804"/>
    <n v="0.1166886366203804"/>
    <n v="0.15268962456729651"/>
    <n v="0.1249467101814286"/>
    <n v="9.2725333167386736E-2"/>
    <n v="0.1236795857985758"/>
    <n v="0.57147665094256805"/>
    <n v="0.1236795857985758"/>
    <n v="0.1236795857985758"/>
    <n v="0.57147665094256805"/>
    <n v="0.103135898548657"/>
    <n v="0.64265613950150402"/>
    <n v="4.6289523706341158E-2"/>
    <n v="0.81416220378356274"/>
    <n v="4.6289523706341158E-2"/>
    <n v="4.6289523706341158E-2"/>
    <n v="0.81416220378356274"/>
    <n v="7.3427450062097749E-2"/>
    <n v="0.70521201324299976"/>
    <n v="80.160944339368498"/>
    <n v="0.77184782166795907"/>
    <n v="80.160944339368498"/>
    <n v="80.160944339368498"/>
    <n v="0.77184782166795907"/>
    <n v="208.3292436693612"/>
    <n v="0.4070582483134737"/>
    <s v="[[sv,wv],[yr],[ya]]"/>
    <x v="0"/>
    <x v="1"/>
    <x v="1"/>
    <x v="2"/>
    <x v="1"/>
    <x v="1"/>
    <x v="1"/>
    <x v="2"/>
  </r>
  <r>
    <d v="2026-04-01T04:29:32"/>
    <s v="04-01_04-29-3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176813943623513"/>
    <n v="19.886937863160799"/>
    <n v="0.73349421791293379"/>
    <n v="0.1982253789691715"/>
    <n v="25.444679727738269"/>
    <n v="0.66735215712868257"/>
    <n v="25.444679727738269"/>
    <n v="25.444679727738269"/>
    <n v="0.66735215712868257"/>
    <n v="86.109406231475617"/>
    <n v="0.17341727000439139"/>
    <n v="0.8"/>
    <s v="identity"/>
    <n v="7.6324283953630001E-2"/>
    <n v="0.44578701436222429"/>
    <n v="7.6324283953630001E-2"/>
    <n v="7.6324283953630001E-2"/>
    <n v="0.44578701436222429"/>
    <n v="7.2377386212827105E-2"/>
    <n v="0.47444659513557702"/>
    <n v="9.8211927061903473E-2"/>
    <n v="0.65971664903137361"/>
    <n v="9.8211927061903473E-2"/>
    <n v="9.8211927061903473E-2"/>
    <n v="0.65971664903137361"/>
    <n v="0.1074692762423651"/>
    <n v="0.62764191132432701"/>
    <n v="3.6619533908710103E-2"/>
    <n v="0.85298415418485862"/>
    <n v="3.6619533908710103E-2"/>
    <n v="3.6619533908710103E-2"/>
    <n v="0.85298415418485862"/>
    <n v="0.35609645109001381"/>
    <n v="-0.4296146171406181"/>
    <n v="101.56756316602851"/>
    <n v="0.71092081093628101"/>
    <n v="101.56756316602851"/>
    <n v="101.56756316602851"/>
    <n v="0.71092081093628101"/>
    <n v="343.9016818123568"/>
    <n v="2.1195190698277019E-2"/>
    <s v="[[sv,wv],[yr],[ya]]"/>
    <x v="1"/>
    <x v="1"/>
    <x v="5"/>
    <x v="5"/>
    <x v="1"/>
    <x v="1"/>
    <x v="5"/>
    <x v="5"/>
  </r>
  <r>
    <d v="2026-04-01T05:48:17"/>
    <s v="04-01_05-48-17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09904706721084"/>
    <n v="13.689914842520549"/>
    <n v="0.67204395087444901"/>
    <n v="0.36781833715602258"/>
    <n v="17.857463631996499"/>
    <n v="0.63432607272047825"/>
    <n v="17.857463631996499"/>
    <n v="17.857463631996499"/>
    <n v="0.63432607272047825"/>
    <n v="68.705843288506443"/>
    <n v="0.36304591854259682"/>
    <n v="0.8"/>
    <s v="identity"/>
    <n v="0.1100702387778513"/>
    <n v="0.2007477502180415"/>
    <n v="0.1100702387778513"/>
    <n v="0.1100702387778513"/>
    <n v="0.2007477502180415"/>
    <n v="0.1371991212124978"/>
    <n v="3.756987222398811E-3"/>
    <n v="7.920228398400557E-2"/>
    <n v="0.72558100217849608"/>
    <n v="7.920228398400557E-2"/>
    <n v="7.920228398400557E-2"/>
    <n v="0.72558100217849608"/>
    <n v="0.13590756880080651"/>
    <n v="0.5291093015170365"/>
    <n v="4.6427903884678469E-2"/>
    <n v="0.81360665113745245"/>
    <n v="4.6427903884678469E-2"/>
    <n v="4.6427903884678469E-2"/>
    <n v="0.81360665113745245"/>
    <n v="7.4595283822868327E-2"/>
    <n v="0.70052353008154911"/>
    <n v="71.194154101339663"/>
    <n v="0.79736888734792055"/>
    <n v="71.194154101339663"/>
    <n v="71.194154101339663"/>
    <n v="0.79736888734792055"/>
    <n v="274.47567118018918"/>
    <n v="0.21879385534940321"/>
    <s v="[[sv,wv],[yr],[ya]]"/>
    <x v="0"/>
    <x v="1"/>
    <x v="1"/>
    <x v="3"/>
    <x v="1"/>
    <x v="1"/>
    <x v="1"/>
    <x v="3"/>
  </r>
  <r>
    <d v="2026-04-01T06:02:08"/>
    <s v="04-01_06-02-08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9547144291494"/>
    <n v="15.6616411874862"/>
    <n v="0.67936184574747893"/>
    <n v="0.12594104678956131"/>
    <n v="17.02423568190309"/>
    <n v="0.60892062494001686"/>
    <n v="17.02423568190309"/>
    <n v="17.02423568190309"/>
    <n v="0.60892062494001686"/>
    <n v="66.861276695732926"/>
    <n v="5.3641279224987432E-2"/>
    <n v="0.8"/>
    <s v="identity"/>
    <n v="7.955223817769877E-2"/>
    <n v="0.42234789308451798"/>
    <n v="7.955223817769877E-2"/>
    <n v="7.955223817769877E-2"/>
    <n v="0.42234789308451798"/>
    <n v="0.15109375987125179"/>
    <n v="-9.7136054631810076E-2"/>
    <n v="0.1003780046220403"/>
    <n v="0.65221165292070027"/>
    <n v="0.1003780046220403"/>
    <n v="0.1003780046220403"/>
    <n v="0.65221165292070027"/>
    <n v="0.13397084079604771"/>
    <n v="0.53581965040326418"/>
    <n v="0.11106463158193949"/>
    <n v="0.55411063415304285"/>
    <n v="0.11106463158193949"/>
    <n v="0.11106463158193949"/>
    <n v="0.55411063415304285"/>
    <n v="0.36485373497454809"/>
    <n v="-0.46477234199144962"/>
    <n v="67.805947853230819"/>
    <n v="0.80701231960180708"/>
    <n v="67.805947853230819"/>
    <n v="67.805947853230819"/>
    <n v="0.80701231960180708"/>
    <n v="266.79518844729012"/>
    <n v="0.24065386311994499"/>
    <s v="[[sv,wv],[yr],[ya]]"/>
    <x v="1"/>
    <x v="1"/>
    <x v="3"/>
    <x v="2"/>
    <x v="1"/>
    <x v="1"/>
    <x v="3"/>
    <x v="2"/>
  </r>
  <r>
    <d v="2026-04-01T06:12:16"/>
    <s v="04-01_06-12-16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2783771519733619"/>
    <n v="50.037781347410721"/>
    <n v="0.66200227492493358"/>
    <n v="0.2588078819515276"/>
    <n v="52.645149401678488"/>
    <n v="0.60681987374201141"/>
    <n v="52.645149401678488"/>
    <n v="52.645149401678488"/>
    <n v="0.60681987374201141"/>
    <n v="96.829955623870106"/>
    <n v="0.23499229952965511"/>
    <n v="0.8"/>
    <s v="identity"/>
    <n v="6.9199603984115982E-2"/>
    <n v="0.49752140285667712"/>
    <n v="6.9199603984115982E-2"/>
    <n v="6.9199603984115982E-2"/>
    <n v="0.49752140285667712"/>
    <n v="5.7459130004570383E-2"/>
    <n v="0.58277242389422357"/>
    <n v="7.4539729826822318E-2"/>
    <n v="0.74173575649544365"/>
    <n v="7.4539729826822318E-2"/>
    <n v="7.4539729826822318E-2"/>
    <n v="0.74173575649544365"/>
    <n v="0.14791984725289151"/>
    <n v="0.48748932228714842"/>
    <n v="5.3102167983594302E-2"/>
    <n v="0.78681159186275329"/>
    <n v="5.3102167983594302E-2"/>
    <n v="5.3102167983594302E-2"/>
    <n v="0.78681159186275329"/>
    <n v="0.25636546740076749"/>
    <n v="-2.922626272840723E-2"/>
    <n v="210.3837561049202"/>
    <n v="0.40121074375316568"/>
    <n v="210.3837561049202"/>
    <n v="210.3837561049202"/>
    <n v="0.40121074375316568"/>
    <n v="386.85807805082447"/>
    <n v="-0.10106628533435311"/>
    <s v="[[sv,wv],[yr],[ya]]"/>
    <x v="0"/>
    <x v="0"/>
    <x v="1"/>
    <x v="1"/>
    <x v="1"/>
    <x v="1"/>
    <x v="1"/>
    <x v="1"/>
  </r>
  <r>
    <d v="2026-04-01T06:15:03"/>
    <s v="04-01_06-15-03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831329865725219"/>
    <n v="13.304979700380761"/>
    <n v="0.67147607644667939"/>
    <n v="0.35368260678133068"/>
    <n v="16.725972756888691"/>
    <n v="0.62784618599326769"/>
    <n v="16.725972756888691"/>
    <n v="16.725972756888691"/>
    <n v="0.62784618599326769"/>
    <n v="84.25703494727027"/>
    <n v="0.33681297885404238"/>
    <n v="0.8"/>
    <s v="identity"/>
    <n v="9.5477061049234951E-2"/>
    <n v="0.30671308890150351"/>
    <n v="9.5477061049234951E-2"/>
    <n v="9.5477061049234951E-2"/>
    <n v="0.30671308890150351"/>
    <n v="0.12586982397238169"/>
    <n v="8.6022333497212E-2"/>
    <n v="0.12046743510627229"/>
    <n v="0.58260606703379558"/>
    <n v="0.12046743510627229"/>
    <n v="0.12046743510627229"/>
    <n v="0.58260606703379558"/>
    <n v="0.14115434160174239"/>
    <n v="0.51093035437807899"/>
    <n v="4.6893414646987937E-2"/>
    <n v="0.81173777266872083"/>
    <n v="4.6893414646987937E-2"/>
    <n v="4.6893414646987937E-2"/>
    <n v="0.81173777266872083"/>
    <n v="7.258999689885165E-2"/>
    <n v="0.70857412280540211"/>
    <n v="66.641053116752104"/>
    <n v="0.81032781536904719"/>
    <n v="66.641053116752104"/>
    <n v="66.641053116752104"/>
    <n v="0.81032781536904719"/>
    <n v="336.68852562660749"/>
    <n v="4.1725104735476193E-2"/>
    <s v="[[sv,wv],[yr],[ya]]"/>
    <x v="0"/>
    <x v="1"/>
    <x v="1"/>
    <x v="3"/>
    <x v="1"/>
    <x v="1"/>
    <x v="1"/>
    <x v="3"/>
  </r>
  <r>
    <d v="2026-04-01T08:39:21"/>
    <s v="04-01_08-39-21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240213636830782"/>
    <n v="34.091281005168703"/>
    <n v="0.64296977032988101"/>
    <n v="-6.2739086343477996E-2"/>
    <n v="39.079088837905779"/>
    <n v="0.59394436338373846"/>
    <n v="39.079088837905779"/>
    <n v="39.079088837905779"/>
    <n v="0.59394436338373846"/>
    <n v="101.3489844608294"/>
    <n v="-2.4080260948015051E-2"/>
    <n v="0.8"/>
    <s v="identity"/>
    <n v="8.6436678009804216E-2"/>
    <n v="0.37235795860818788"/>
    <n v="8.6436678009804216E-2"/>
    <n v="8.6436678009804216E-2"/>
    <n v="0.37235795860818788"/>
    <n v="0.1748352065703464"/>
    <n v="-0.2695296543733976"/>
    <n v="7.8218967612343412E-2"/>
    <n v="0.72898798338761761"/>
    <n v="7.8218967612343412E-2"/>
    <n v="7.8218967612343412E-2"/>
    <n v="0.72898798338761761"/>
    <n v="0.1105319208584936"/>
    <n v="0.61703050185523722"/>
    <n v="7.0075924860822231E-2"/>
    <n v="0.71866732683231582"/>
    <n v="7.0075924860822231E-2"/>
    <n v="7.0075924860822231E-2"/>
    <n v="0.71866732683231582"/>
    <n v="0.32174927006711002"/>
    <n v="-0.29172154941244322"/>
    <n v="156.08162378113971"/>
    <n v="0.55576418470683864"/>
    <n v="156.08162378113971"/>
    <n v="156.08162378113971"/>
    <n v="0.55576418470683864"/>
    <n v="404.78882144582138"/>
    <n v="-0.15210034186145749"/>
    <s v="[[sv,wv],[yr],[ya]]"/>
    <x v="1"/>
    <x v="0"/>
    <x v="2"/>
    <x v="1"/>
    <x v="1"/>
    <x v="1"/>
    <x v="2"/>
    <x v="1"/>
  </r>
  <r>
    <d v="2026-04-01T08:51:18"/>
    <s v="04-01_08-51-18_multihead_spsa_serial_f5_w5_h5_effsu2_lin_r1.pkl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3154940841786819"/>
    <n v="23.821734440770559"/>
    <n v="0.62580468457255622"/>
    <n v="-3.4813362616476051E-2"/>
    <n v="29.687141754656171"/>
    <n v="0.5593618811168799"/>
    <n v="29.687141754656171"/>
    <n v="29.687141754656171"/>
    <n v="0.5593618811168799"/>
    <n v="115.2921172655102"/>
    <n v="-0.13190245581872481"/>
    <n v="0.8"/>
    <s v="identity"/>
    <n v="8.114040787802021E-2"/>
    <n v="0.4108157276226142"/>
    <n v="8.114040787802021E-2"/>
    <n v="8.114040787802021E-2"/>
    <n v="0.4108157276226142"/>
    <n v="0.15729588374424119"/>
    <n v="-0.14217149303871429"/>
    <n v="9.6418037646484225E-2"/>
    <n v="0.66593209271329279"/>
    <n v="9.6418037646484225E-2"/>
    <n v="9.6418037646484225E-2"/>
    <n v="0.66593209271329279"/>
    <n v="0.10938424635854931"/>
    <n v="0.62100694887491659"/>
    <n v="0.1250863977132991"/>
    <n v="0.49781767824697037"/>
    <n v="0.1250863977132991"/>
    <n v="0.1250863977132991"/>
    <n v="0.49781767824697037"/>
    <n v="0.42240931518176378"/>
    <n v="-0.69583979158376685"/>
    <n v="118.445922175387"/>
    <n v="0.66288202588464151"/>
    <n v="118.445922175387"/>
    <n v="118.445922175387"/>
    <n v="0.66288202588464151"/>
    <n v="460.47937961675552"/>
    <n v="-0.3106054875273343"/>
    <s v="[[sv,wv],[yr],[ya]]"/>
    <x v="1"/>
    <x v="1"/>
    <x v="3"/>
    <x v="3"/>
    <x v="1"/>
    <x v="1"/>
    <x v="3"/>
    <x v="3"/>
  </r>
  <r>
    <d v="2026-04-01T09:00:40"/>
    <s v="04-01_09-00-40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06358932883479"/>
    <n v="18.523688194077032"/>
    <n v="0.76850371191902456"/>
    <n v="0.47871021373267503"/>
    <n v="20.20800709478895"/>
    <n v="0.70669296642205448"/>
    <n v="20.20800709478895"/>
    <n v="20.20800709478895"/>
    <n v="0.70669296642205448"/>
    <n v="75.926211151827729"/>
    <n v="0.44481086523178698"/>
    <n v="0.8"/>
    <s v="identity"/>
    <n v="7.3081803993185895E-2"/>
    <n v="0.46933161126719042"/>
    <n v="7.3081803993185895E-2"/>
    <n v="7.3081803993185895E-2"/>
    <n v="0.46933161126719042"/>
    <n v="7.3568856177265607E-2"/>
    <n v="0.46579498267249292"/>
    <n v="7.5801234516100963E-2"/>
    <n v="0.73736491218180134"/>
    <n v="7.5801234516100963E-2"/>
    <n v="7.5801234516100963E-2"/>
    <n v="0.73736491218180134"/>
    <n v="0.1371380635746024"/>
    <n v="0.52484589993738195"/>
    <n v="3.7460690396475149E-2"/>
    <n v="0.84960717694588128"/>
    <n v="3.7460690396475149E-2"/>
    <n v="3.7460690396475149E-2"/>
    <n v="0.84960717694588128"/>
    <n v="8.6643490444772694E-2"/>
    <n v="0.65215379136530749"/>
    <n v="80.645684650250075"/>
    <n v="0.77046816529334383"/>
    <n v="80.645684650250075"/>
    <n v="80.645684650250075"/>
    <n v="0.77046816529334383"/>
    <n v="303.40749419711341"/>
    <n v="0.13644878695196741"/>
    <s v="[[sv,wv],[yr],[ya]]"/>
    <x v="0"/>
    <x v="1"/>
    <x v="1"/>
    <x v="2"/>
    <x v="1"/>
    <x v="1"/>
    <x v="1"/>
    <x v="2"/>
  </r>
  <r>
    <d v="2026-04-01T09:02:14"/>
    <s v="04-01_09-02-14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3251151279918469"/>
    <n v="30.166313480822271"/>
    <n v="0.55872654220748352"/>
    <n v="0.21204093576420999"/>
    <n v="36.46201200450983"/>
    <n v="0.5068912210554366"/>
    <n v="36.46201200450983"/>
    <n v="36.46201200450983"/>
    <n v="0.5068912210554366"/>
    <n v="104.223232061277"/>
    <n v="0.2076478380969273"/>
    <n v="0.8"/>
    <s v="identity"/>
    <n v="0.1188725707389018"/>
    <n v="0.13683143913057111"/>
    <n v="0.1188725707389018"/>
    <n v="0.1188725707389018"/>
    <n v="0.13683143913057111"/>
    <n v="0.12931081120706159"/>
    <n v="6.1036317119619883E-2"/>
    <n v="0.1321147820445385"/>
    <n v="0.54225049755648302"/>
    <n v="0.1321147820445385"/>
    <n v="0.1321147820445385"/>
    <n v="0.54225049755648302"/>
    <n v="0.14755865310596161"/>
    <n v="0.48874078286168843"/>
    <n v="5.9105621981326732E-2"/>
    <n v="0.7627096229657927"/>
    <n v="5.9105621981326732E-2"/>
    <n v="5.9105621981326732E-2"/>
    <n v="0.7627096229657927"/>
    <n v="0.13296226491602789"/>
    <n v="0.46619856257981279"/>
    <n v="145.53795504327451"/>
    <n v="0.5857733245689043"/>
    <n v="145.53795504327451"/>
    <n v="145.53795504327451"/>
    <n v="0.5857733245689043"/>
    <n v="416.48309651587812"/>
    <n v="-0.1853843101734072"/>
    <s v="[[sv,wv],[yr],[ya]]"/>
    <x v="1"/>
    <x v="0"/>
    <x v="2"/>
    <x v="1"/>
    <x v="1"/>
    <x v="1"/>
    <x v="2"/>
    <x v="1"/>
  </r>
  <r>
    <d v="2026-04-01T11:33:03"/>
    <s v="04-01_11-33-03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3187822815140171"/>
    <n v="12.0594006788307"/>
    <n v="0.60780649650412444"/>
    <n v="-0.2103652477690979"/>
    <n v="15.850753816883151"/>
    <n v="0.57156306690905834"/>
    <n v="15.850753816883151"/>
    <n v="15.850753816883151"/>
    <n v="0.57156306690905834"/>
    <n v="170.28470457748509"/>
    <n v="-0.176051445219187"/>
    <n v="0.8"/>
    <s v="identity"/>
    <n v="0.1210478360608146"/>
    <n v="0.1210362003656187"/>
    <n v="0.1210478360608146"/>
    <n v="0.1210478360608146"/>
    <n v="0.1210362003656187"/>
    <n v="0.15280662579431589"/>
    <n v="-0.1095736758978714"/>
    <n v="8.5004431315330573E-2"/>
    <n v="0.7054778009097491"/>
    <n v="8.5004431315330573E-2"/>
    <n v="8.5004431315330573E-2"/>
    <n v="0.7054778009097491"/>
    <n v="0.1185896255090127"/>
    <n v="0.5891122762219505"/>
    <n v="8.9832161607551295E-2"/>
    <n v="0.63935228522951404"/>
    <n v="8.9832161607551295E-2"/>
    <n v="8.9832161607551295E-2"/>
    <n v="0.63935228522951404"/>
    <n v="0.3105498834847864"/>
    <n v="-0.24675955467172289"/>
    <n v="63.107130838548713"/>
    <n v="0.82038598113135164"/>
    <n v="63.107130838548713"/>
    <n v="63.107130838548713"/>
    <n v="0.82038598113135164"/>
    <n v="680.55687217515128"/>
    <n v="-0.93698482652910697"/>
    <s v="[[sv,wv],[yr],[ya]]"/>
    <x v="1"/>
    <x v="1"/>
    <x v="2"/>
    <x v="3"/>
    <x v="1"/>
    <x v="1"/>
    <x v="2"/>
    <x v="3"/>
  </r>
  <r>
    <d v="2026-04-01T11:53:22"/>
    <s v="04-01_11-53-22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48561142096115"/>
    <n v="12.255091425326141"/>
    <n v="0.71767914159000201"/>
    <n v="0.2103659874694469"/>
    <n v="15.288534435230821"/>
    <n v="0.67396478985539321"/>
    <n v="15.288534435230821"/>
    <n v="15.288534435230821"/>
    <n v="0.67396478985539321"/>
    <n v="120.78194420891781"/>
    <n v="0.104141121368936"/>
    <n v="0.8"/>
    <s v="identity"/>
    <n v="8.2572474230447321E-2"/>
    <n v="0.40041707430157919"/>
    <n v="8.2572474230447321E-2"/>
    <n v="8.2572474230447321E-2"/>
    <n v="0.40041707430157919"/>
    <n v="9.2670394734719927E-2"/>
    <n v="0.32709311524805101"/>
    <n v="8.7787615274808092E-2"/>
    <n v="0.69583466292818608"/>
    <n v="8.7787615274808092E-2"/>
    <n v="8.7787615274808092E-2"/>
    <n v="0.69583466292818608"/>
    <n v="0.13124250419838759"/>
    <n v="0.54527275399053954"/>
    <n v="5.6538181115420187E-2"/>
    <n v="0.77301708595597107"/>
    <n v="5.6538181115420187E-2"/>
    <n v="5.6538181115420187E-2"/>
    <n v="0.77301708595597107"/>
    <n v="0.2695452781925014"/>
    <n v="-8.2139034257959764E-2"/>
    <n v="60.927239470302787"/>
    <n v="0.82659033623583944"/>
    <n v="60.927239470302787"/>
    <n v="60.927239470302787"/>
    <n v="0.82659033623583944"/>
    <n v="482.63431865854528"/>
    <n v="-0.3736623495048883"/>
    <s v="[[sv,wv],[yr],[ya]]"/>
    <x v="1"/>
    <x v="1"/>
    <x v="2"/>
    <x v="3"/>
    <x v="1"/>
    <x v="1"/>
    <x v="2"/>
    <x v="3"/>
  </r>
  <r>
    <d v="2026-04-01T11:52:45"/>
    <s v="04-01_11-52-45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0440940565851591"/>
    <n v="12.57268624435762"/>
    <n v="0.77120796449324214"/>
    <n v="0.25351424865552802"/>
    <n v="15.96830002735947"/>
    <n v="0.71497027491799092"/>
    <n v="15.96830002735947"/>
    <n v="15.96830002735947"/>
    <n v="0.71497027491799092"/>
    <n v="133.03055684729401"/>
    <n v="0.2053759355451793"/>
    <n v="0.8"/>
    <s v="identity"/>
    <n v="6.9318744985110536E-2"/>
    <n v="0.49665628514508242"/>
    <n v="6.9318744985110536E-2"/>
    <n v="6.9318744985110536E-2"/>
    <n v="0.49665628514508242"/>
    <n v="6.0000617263328851E-2"/>
    <n v="0.56431794035799243"/>
    <n v="7.5551545713434184E-2"/>
    <n v="0.73823003055400505"/>
    <n v="7.5551545713434184E-2"/>
    <n v="7.5551545713434184E-2"/>
    <n v="0.73823003055400505"/>
    <n v="0.1194132696329154"/>
    <n v="0.58625852524819588"/>
    <n v="4.8262960377442772E-2"/>
    <n v="0.80623947975086796"/>
    <n v="4.8262960377442772E-2"/>
    <n v="4.8262960377442772E-2"/>
    <n v="0.80623947975086796"/>
    <n v="0.20316618035489811"/>
    <n v="0.1843520477249295"/>
    <n v="63.680066858361847"/>
    <n v="0.81875530422200971"/>
    <n v="63.680066858361847"/>
    <n v="63.680066858361847"/>
    <n v="0.81875530422200971"/>
    <n v="531.73964732192269"/>
    <n v="-0.51342477115038898"/>
    <s v="[[sv,wv],[yr],[ya]]"/>
    <x v="0"/>
    <x v="1"/>
    <x v="1"/>
    <x v="3"/>
    <x v="1"/>
    <x v="1"/>
    <x v="1"/>
    <x v="3"/>
  </r>
  <r>
    <d v="2026-04-01T14:33:48"/>
    <s v="04-01_14-33-48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2864341708707491"/>
    <n v="33.355848073307442"/>
    <n v="0.65199916625439958"/>
    <n v="1.8432285375471619E-2"/>
    <n v="37.673137540465923"/>
    <n v="0.57979213631962079"/>
    <n v="37.673137540465923"/>
    <n v="37.673137540465923"/>
    <n v="0.57979213631962079"/>
    <n v="106.1098600887949"/>
    <n v="-2.5312354423917941E-2"/>
    <n v="0.8"/>
    <s v="identity"/>
    <n v="8.5857692255545959E-2"/>
    <n v="0.37656214378867581"/>
    <n v="8.5857692255545959E-2"/>
    <n v="8.5857692255545959E-2"/>
    <n v="0.37656214378867581"/>
    <n v="0.14866187760596031"/>
    <n v="-7.947744506286103E-2"/>
    <n v="7.8612490501854482E-2"/>
    <n v="0.72762451062487177"/>
    <n v="7.8612490501854482E-2"/>
    <n v="7.8612490501854482E-2"/>
    <n v="0.72762451062487177"/>
    <n v="0.1157624601656785"/>
    <n v="0.59890780030494462"/>
    <n v="8.8884122684459776E-2"/>
    <n v="0.64315836163920925"/>
    <n v="8.8884122684459776E-2"/>
    <n v="8.8884122684459776E-2"/>
    <n v="0.64315836163920925"/>
    <n v="0.35230811224243941"/>
    <n v="-0.41440563492640048"/>
    <n v="150.43919585642161"/>
    <n v="0.57182352922573476"/>
    <n v="150.43919585642161"/>
    <n v="150.43919585642161"/>
    <n v="0.57182352922573476"/>
    <n v="423.82270790516361"/>
    <n v="-0.20627413801134781"/>
    <s v="[[sv,wv],[yr],[ya]]"/>
    <x v="1"/>
    <x v="0"/>
    <x v="3"/>
    <x v="1"/>
    <x v="1"/>
    <x v="1"/>
    <x v="3"/>
    <x v="1"/>
  </r>
  <r>
    <d v="2026-04-01T14:58:24"/>
    <s v="04-01_14-58-24_multihead_spsa_serial_f5_w5_h5_effsu2_lin_r1.pkl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3893798694984269"/>
    <n v="29.1418997182328"/>
    <n v="0.6531661398995483"/>
    <n v="0.1623217494909189"/>
    <n v="36.616834804666951"/>
    <n v="0.56207450280703064"/>
    <n v="36.616834804666951"/>
    <n v="36.616834804666951"/>
    <n v="0.56207450280703064"/>
    <n v="94.155385428661134"/>
    <n v="0.15562136055000891"/>
    <n v="0.8"/>
    <s v="identity"/>
    <n v="7.7564716624158189E-2"/>
    <n v="0.43677986934618029"/>
    <n v="7.7564716624158189E-2"/>
    <n v="7.7564716624158189E-2"/>
    <n v="0.43677986934618029"/>
    <n v="9.5886151558008323E-2"/>
    <n v="0.30374256287074358"/>
    <n v="8.2477392899329885E-2"/>
    <n v="0.71423344929124521"/>
    <n v="8.2477392899329885E-2"/>
    <n v="8.2477392899329885E-2"/>
    <n v="0.71423344929124521"/>
    <n v="9.8552555573033579E-2"/>
    <n v="0.65853644399243016"/>
    <n v="0.1212160129105443"/>
    <n v="0.51335604901994536"/>
    <n v="0.1212160129105443"/>
    <n v="0.1212160129105443"/>
    <n v="0.51335604901994536"/>
    <n v="0.31616825611036498"/>
    <n v="-0.2693155436614576"/>
    <n v="146.18608109623349"/>
    <n v="0.58392864357075758"/>
    <n v="146.18608109623349"/>
    <n v="146.18608109623349"/>
    <n v="0.58392864357075758"/>
    <n v="376.11093475140342"/>
    <n v="-7.0478021001677105E-2"/>
    <s v="[[sv,wv],[yr],[ya]]"/>
    <x v="1"/>
    <x v="0"/>
    <x v="3"/>
    <x v="1"/>
    <x v="1"/>
    <x v="1"/>
    <x v="3"/>
    <x v="1"/>
  </r>
  <r>
    <d v="2026-04-01T15:00:34"/>
    <s v="04-01_15-00-34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50818213315835"/>
    <n v="48.980509283775191"/>
    <n v="0.57172095194514028"/>
    <n v="-1.734686174394354E-2"/>
    <n v="51.84937404662238"/>
    <n v="0.52322351978646986"/>
    <n v="51.84937404662238"/>
    <n v="51.84937404662238"/>
    <n v="0.52322351978646986"/>
    <n v="92.231250477682678"/>
    <n v="8.0058657641091546E-2"/>
    <n v="0.8"/>
    <s v="identity"/>
    <n v="0.10441021682322529"/>
    <n v="0.24184682778232491"/>
    <n v="0.10441021682322529"/>
    <n v="0.10441021682322529"/>
    <n v="0.24184682778232491"/>
    <n v="0.15486356893624689"/>
    <n v="-0.12450974265048349"/>
    <n v="8.291443263297818E-2"/>
    <n v="0.71271919995797894"/>
    <n v="8.291443263297818E-2"/>
    <n v="8.291443263297818E-2"/>
    <n v="0.71271919995797894"/>
    <n v="0.11999949991160259"/>
    <n v="0.58422736254078633"/>
    <n v="6.7778236777416456E-2"/>
    <n v="0.72789181772407241"/>
    <n v="6.7778236777416456E-2"/>
    <n v="6.7778236777416456E-2"/>
    <n v="0.72789181772407241"/>
    <n v="0.271755698664428"/>
    <n v="-9.101317329253944E-2"/>
    <n v="207.14239330025529"/>
    <n v="0.41043623368150162"/>
    <n v="207.14239330025529"/>
    <n v="207.14239330025529"/>
    <n v="0.41043623368150162"/>
    <n v="368.37838314321829"/>
    <n v="-4.8469816033389179E-2"/>
    <s v="[[sv,wv],[yr],[ya]]"/>
    <x v="1"/>
    <x v="0"/>
    <x v="2"/>
    <x v="1"/>
    <x v="1"/>
    <x v="1"/>
    <x v="2"/>
    <x v="1"/>
  </r>
  <r>
    <d v="2026-04-01T18:15:28"/>
    <s v="04-01_18-15-28_multihead_spsa_serial_f5_w5_h5_effsu2_lin_r1.pkl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563133276812849"/>
    <n v="22.469418257118519"/>
    <n v="0.68058779202190278"/>
    <n v="-5.2966709874397389E-2"/>
    <n v="20.84778355299412"/>
    <n v="0.62443142200593327"/>
    <n v="20.84778355299412"/>
    <n v="20.84778355299412"/>
    <n v="0.62443142200593327"/>
    <n v="82.380400735330426"/>
    <n v="-9.9796486469939938E-3"/>
    <n v="0.8"/>
    <s v="identity"/>
    <n v="9.0439138482623208E-2"/>
    <n v="0.34329492056008959"/>
    <n v="9.0439138482623208E-2"/>
    <n v="9.0439138482623208E-2"/>
    <n v="0.34329492056008959"/>
    <n v="0.15594941787621999"/>
    <n v="-0.132394409912344"/>
    <n v="7.5584530204201181E-2"/>
    <n v="0.73811574633839139"/>
    <n v="7.5584530204201181E-2"/>
    <n v="7.5584530204201181E-2"/>
    <n v="0.73811574633839139"/>
    <n v="0.11477341659004769"/>
    <n v="0.60233462505258961"/>
    <n v="8.6447081042128393E-2"/>
    <n v="0.65294231299225602"/>
    <n v="8.6447081042128393E-2"/>
    <n v="8.6447081042128393E-2"/>
    <n v="0.65294231299225602"/>
    <n v="0.39202803108701728"/>
    <n v="-0.57386854560139033"/>
    <n v="83.138663462247678"/>
    <n v="0.76337270813299785"/>
    <n v="83.138663462247678"/>
    <n v="83.138663462247678"/>
    <n v="0.76337270813299785"/>
    <n v="328.85885207576939"/>
    <n v="6.4009735873175599E-2"/>
    <s v="[[sv,wv],[yr],[ya]]"/>
    <x v="1"/>
    <x v="1"/>
    <x v="3"/>
    <x v="2"/>
    <x v="1"/>
    <x v="1"/>
    <x v="3"/>
    <x v="2"/>
  </r>
  <r>
    <d v="2026-04-01T18:35:24"/>
    <s v="04-01_18-35-2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858891274030579"/>
    <n v="14.5735036289873"/>
    <n v="0.71552683303808828"/>
    <n v="0.25159515209183297"/>
    <n v="20.258064830701819"/>
    <n v="0.6306610898049918"/>
    <n v="20.258064830701819"/>
    <n v="20.258064830701819"/>
    <n v="0.6306610898049918"/>
    <n v="66.401704592720307"/>
    <n v="0.188290092564772"/>
    <n v="0.8"/>
    <s v="identity"/>
    <n v="7.1360063844386271E-2"/>
    <n v="0.4818336708860973"/>
    <n v="7.1360063844386271E-2"/>
    <n v="7.1360063844386271E-2"/>
    <n v="0.4818336708860973"/>
    <n v="8.0169520004237535E-2"/>
    <n v="0.41786562890404"/>
    <n v="8.4018394645860667E-2"/>
    <n v="0.70889420736976771"/>
    <n v="8.4018394645860667E-2"/>
    <n v="8.4018394645860667E-2"/>
    <n v="0.70889420736976771"/>
    <n v="0.15351749936412981"/>
    <n v="0.46809465327950173"/>
    <n v="0.1091503972350939"/>
    <n v="0.5617956795796577"/>
    <n v="0.1091503972350939"/>
    <n v="0.1091503972350939"/>
    <n v="0.5617956795796577"/>
    <n v="0.34335916963937912"/>
    <n v="-0.37847846094270537"/>
    <n v="80.767730467081719"/>
    <n v="0.77012080138444872"/>
    <n v="80.767730467081719"/>
    <n v="80.767730467081719"/>
    <n v="0.77012080138444872"/>
    <n v="265.029772181873"/>
    <n v="0.24567854901826089"/>
    <s v="[[sv,wv],[yr],[ya]]"/>
    <x v="1"/>
    <x v="1"/>
    <x v="3"/>
    <x v="2"/>
    <x v="1"/>
    <x v="1"/>
    <x v="3"/>
    <x v="2"/>
  </r>
  <r>
    <d v="2026-04-01T18:38:05"/>
    <s v="04-01_18-38-05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310069611231909"/>
    <n v="12.8600097845558"/>
    <n v="0.670329282026766"/>
    <n v="-0.1608415283849271"/>
    <n v="16.227728117554221"/>
    <n v="0.62254929520752345"/>
    <n v="16.227728117554221"/>
    <n v="16.227728117554221"/>
    <n v="0.62254929520752345"/>
    <n v="126.0276974575751"/>
    <n v="-2.380017602004858E-2"/>
    <n v="0.8"/>
    <s v="identity"/>
    <n v="0.1150478430858025"/>
    <n v="0.16460390710633779"/>
    <n v="0.1150478430858025"/>
    <n v="0.1150478430858025"/>
    <n v="0.16460390710633779"/>
    <n v="0.1819532065225502"/>
    <n v="-0.32121553730519281"/>
    <n v="8.0823711011229996E-2"/>
    <n v="0.71996310383680839"/>
    <n v="8.0823711011229996E-2"/>
    <n v="8.0823711011229996E-2"/>
    <n v="0.71996310383680839"/>
    <n v="0.13289314457145859"/>
    <n v="0.5395536376449388"/>
    <n v="5.2389812543233549E-2"/>
    <n v="0.78967147363641899"/>
    <n v="5.2389812543233549E-2"/>
    <n v="5.2389812543233549E-2"/>
    <n v="0.78967147363641899"/>
    <n v="0.21926280302444301"/>
    <n v="0.1197291990991188"/>
    <n v="64.662651103576621"/>
    <n v="0.81595869625053397"/>
    <n v="64.662651103576621"/>
    <n v="64.662651103576621"/>
    <n v="0.81595869625053397"/>
    <n v="503.57668067618209"/>
    <n v="-0.43326800351906442"/>
    <s v="[[sv,wv],[yr],[ya]]"/>
    <x v="1"/>
    <x v="1"/>
    <x v="2"/>
    <x v="3"/>
    <x v="1"/>
    <x v="1"/>
    <x v="2"/>
    <x v="3"/>
  </r>
  <r>
    <d v="2026-04-01T21:35:30"/>
    <s v="04-01_21-35-30_multihead_spsa_serial_f5_w5_h5_effsu2_lin_r1.pkl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100910234437751"/>
    <n v="12.004434683170039"/>
    <n v="0.66529300323129603"/>
    <n v="2.527989236303008E-2"/>
    <n v="15.38020564584863"/>
    <n v="0.59954073660371943"/>
    <n v="15.38020564584863"/>
    <n v="15.38020564584863"/>
    <n v="0.59954073660371943"/>
    <n v="130.51434038789179"/>
    <n v="4.2840818087789563E-2"/>
    <n v="0.8"/>
    <s v="identity"/>
    <n v="0.1093554537213819"/>
    <n v="0.20593801391544889"/>
    <n v="0.1093554537213819"/>
    <n v="0.1093554537213819"/>
    <n v="0.20593801391544889"/>
    <n v="0.13272969290542239"/>
    <n v="3.6210815517245698E-2"/>
    <n v="8.3867598179885983E-2"/>
    <n v="0.70941668491695764"/>
    <n v="8.3867598179885983E-2"/>
    <n v="8.3867598179885983E-2"/>
    <n v="0.70941668491695764"/>
    <n v="0.12092289943649739"/>
    <n v="0.5810279804085533"/>
    <n v="8.5407893884205235E-2"/>
    <n v="0.65711432073444009"/>
    <n v="8.5407893884205235E-2"/>
    <n v="8.5407893884205235E-2"/>
    <n v="0.65711432073444009"/>
    <n v="0.2394738518905235"/>
    <n v="3.8588230695060677E-2"/>
    <n v="61.242191637608812"/>
    <n v="0.82569392684803267"/>
    <n v="61.242191637608812"/>
    <n v="61.242191637608812"/>
    <n v="0.82569392684803267"/>
    <n v="521.56423510733543"/>
    <n v="-0.48446375426969862"/>
    <s v="[[sv,wv],[yr],[ya]]"/>
    <x v="1"/>
    <x v="1"/>
    <x v="3"/>
    <x v="3"/>
    <x v="1"/>
    <x v="1"/>
    <x v="3"/>
    <x v="3"/>
  </r>
  <r>
    <d v="2026-04-01T21:53:52"/>
    <s v="04-01_21-53-52_multihead_spsa_serial_f5_w5_h5_effsu2_lin_r1.pkl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4223989134394399"/>
    <n v="46.448212289415657"/>
    <n v="0.61283766071958379"/>
    <n v="0.34337785324910219"/>
    <n v="48.993737231020049"/>
    <n v="0.56001518267769101"/>
    <n v="48.993737231020049"/>
    <n v="48.993737231020049"/>
    <n v="0.56001518267769101"/>
    <n v="91.19213293936906"/>
    <n v="0.29185720050677783"/>
    <n v="0.8"/>
    <s v="identity"/>
    <n v="7.1522469384169049E-2"/>
    <n v="0.4806543966836454"/>
    <n v="7.1522469384169049E-2"/>
    <n v="7.1522469384169049E-2"/>
    <n v="0.4806543966836454"/>
    <n v="7.6656921116257604E-2"/>
    <n v="0.4433716384754891"/>
    <n v="8.004366842255238E-2"/>
    <n v="0.72266578480351162"/>
    <n v="8.004366842255238E-2"/>
    <n v="8.004366842255238E-2"/>
    <n v="0.72266578480351162"/>
    <n v="0.1002957521468774"/>
    <n v="0.65249664017949083"/>
    <n v="0.1011784703354742"/>
    <n v="0.59380044454596703"/>
    <n v="0.1011784703354742"/>
    <n v="0.1011784703354742"/>
    <n v="0.59380044454596703"/>
    <n v="0.2220298224041119"/>
    <n v="0.10862049150324871"/>
    <n v="195.72220431593809"/>
    <n v="0.442940104677641"/>
    <n v="195.72220431593809"/>
    <n v="195.72220431593809"/>
    <n v="0.442940104677641"/>
    <n v="364.36954926180732"/>
    <n v="-3.7059968131110337E-2"/>
    <s v="[[sv,wv],[yr],[ya]]"/>
    <x v="1"/>
    <x v="0"/>
    <x v="3"/>
    <x v="1"/>
    <x v="1"/>
    <x v="1"/>
    <x v="3"/>
    <x v="1"/>
  </r>
  <r>
    <d v="2026-04-01T21:53:34"/>
    <s v="04-01_21-53-34_multihead_spsa_serial_f5_w5_h5_effsu2_lin_r1.pkl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37071292467086"/>
    <n v="12.312502111549581"/>
    <n v="0.72826829603039878"/>
    <n v="0.24043986117375729"/>
    <n v="16.291742282296319"/>
    <n v="0.64032431468978701"/>
    <n v="16.291742282296319"/>
    <n v="16.291742282296319"/>
    <n v="0.64032431468978701"/>
    <n v="99.164738496956744"/>
    <n v="0.25198079292392422"/>
    <n v="0.8"/>
    <s v="identity"/>
    <n v="7.156016758906715E-2"/>
    <n v="0.48038065897386939"/>
    <n v="7.156016758906715E-2"/>
    <n v="7.156016758906715E-2"/>
    <n v="0.48038065897386939"/>
    <n v="7.4124739468915388E-2"/>
    <n v="0.46175855124106868"/>
    <n v="7.8670829446375684E-2"/>
    <n v="0.7274223786422549"/>
    <n v="7.8670829446375684E-2"/>
    <n v="7.8670829446375684E-2"/>
    <n v="0.7274223786422549"/>
    <n v="9.1231009409780989E-2"/>
    <n v="0.68390403769754848"/>
    <n v="0.1150237711513864"/>
    <n v="0.53821594106510084"/>
    <n v="0.1150237711513864"/>
    <n v="0.1150237711513864"/>
    <n v="0.53821594106510084"/>
    <n v="0.25156770118906302"/>
    <n v="-9.9647489310055182E-3"/>
    <n v="64.901714360998469"/>
    <n v="0.81527828007792713"/>
    <n v="64.901714360998469"/>
    <n v="64.901714360998469"/>
    <n v="0.81527828007792713"/>
    <n v="396.24203053775739"/>
    <n v="-0.1277746683119054"/>
    <s v="[[sv,wv],[yr],[ya]]"/>
    <x v="1"/>
    <x v="1"/>
    <x v="3"/>
    <x v="3"/>
    <x v="1"/>
    <x v="1"/>
    <x v="3"/>
    <x v="3"/>
  </r>
  <r>
    <d v="2026-04-02T01:07:14"/>
    <s v="04-02_01-07-14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465527706009789"/>
    <n v="19.259348235353571"/>
    <n v="0.71822582456338901"/>
    <n v="0.26101565536645371"/>
    <n v="21.307941376814121"/>
    <n v="0.65048368077482288"/>
    <n v="21.307941376814121"/>
    <n v="21.307941376814121"/>
    <n v="0.65048368077482288"/>
    <n v="73.725736773109958"/>
    <n v="0.245942037339102"/>
    <n v="0.8"/>
    <s v="identity"/>
    <n v="7.7470002473414942E-2"/>
    <n v="0.43746761654204591"/>
    <n v="7.7470002473414942E-2"/>
    <n v="7.7470002473414942E-2"/>
    <n v="0.43746761654204591"/>
    <n v="7.6134698355236508E-2"/>
    <n v="0.4471636509328788"/>
    <n v="7.8991527026523095E-2"/>
    <n v="0.72631123002227804"/>
    <n v="7.8991527026523095E-2"/>
    <n v="7.8991527026523095E-2"/>
    <n v="0.72631123002227804"/>
    <n v="0.1481362758388042"/>
    <n v="0.48673944346221348"/>
    <n v="7.969036870564257E-2"/>
    <n v="0.68006837586226421"/>
    <n v="7.969036870564257E-2"/>
    <n v="7.969036870564257E-2"/>
    <n v="0.68006837586226421"/>
    <n v="0.27703701381531121"/>
    <n v="-0.11221598313329301"/>
    <n v="84.995613609050594"/>
    <n v="0.75808750067269826"/>
    <n v="84.995613609050594"/>
    <n v="84.995613609050594"/>
    <n v="0.75808750067269826"/>
    <n v="294.40163910443113"/>
    <n v="0.16208103809461111"/>
    <s v="[[sv,wv],[yr],[ya]]"/>
    <x v="1"/>
    <x v="1"/>
    <x v="3"/>
    <x v="2"/>
    <x v="1"/>
    <x v="1"/>
    <x v="3"/>
    <x v="2"/>
  </r>
  <r>
    <d v="2026-04-02T03:52:03"/>
    <s v="04-02_03-52-03_multihead_spsa_serial_f5_w5_h5_effsu2_lin_r1.pkl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0764233283140739"/>
    <n v="13.23936743649142"/>
    <n v="0.74726452625359507"/>
    <n v="0.14702675275256791"/>
    <n v="16.631687670153038"/>
    <n v="0.66709084679186825"/>
    <n v="16.631687670153038"/>
    <n v="16.631687670153038"/>
    <n v="0.66709084679186825"/>
    <n v="124.9175041213625"/>
    <n v="0.14313478123099349"/>
    <n v="0.8"/>
    <s v="identity"/>
    <n v="7.796049474017519E-2"/>
    <n v="0.43390600849920352"/>
    <n v="7.796049474017519E-2"/>
    <n v="7.796049474017519E-2"/>
    <n v="0.43390600849920352"/>
    <n v="7.5180886690308035E-2"/>
    <n v="0.45408955685919311"/>
    <n v="7.9931251501585893E-2"/>
    <n v="0.72305528542442854"/>
    <n v="7.9931251501585893E-2"/>
    <n v="7.9931251501585893E-2"/>
    <n v="0.72305528542442854"/>
    <n v="0.13303545248739451"/>
    <n v="0.53906057111063177"/>
    <n v="7.4704031038357516E-2"/>
    <n v="0.70008694440831132"/>
    <n v="7.4704031038357516E-2"/>
    <n v="7.4704031038357516E-2"/>
    <n v="0.70008694440831132"/>
    <n v="0.24902670396094251"/>
    <n v="2.365512176349949E-4"/>
    <n v="66.29415490333227"/>
    <n v="0.81131514883553124"/>
    <n v="66.29415490333227"/>
    <n v="66.29415490333227"/>
    <n v="0.81131514883553124"/>
    <n v="499.21277344231112"/>
    <n v="-0.42084755426348258"/>
    <s v="[[sv,wv],[yr],[ya]]"/>
    <x v="1"/>
    <x v="1"/>
    <x v="3"/>
    <x v="3"/>
    <x v="1"/>
    <x v="1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34588-8EFE-4895-99CA-39756C19D0E7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60" firstHeaderRow="0" firstDataRow="1" firstDataCol="1"/>
  <pivotFields count="85">
    <pivotField numFmtId="164" showAll="0"/>
    <pivotField dataField="1" showAll="0"/>
    <pivotField axis="axisRow" showAll="0">
      <items count="11">
        <item x="0"/>
        <item x="1"/>
        <item x="3"/>
        <item x="2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7">
        <item sd="0" x="23"/>
        <item sd="0" x="25"/>
        <item sd="0" x="17"/>
        <item sd="0" x="24"/>
        <item sd="0" x="19"/>
        <item sd="0" x="20"/>
        <item sd="0" x="22"/>
        <item sd="0" x="16"/>
        <item sd="0" x="21"/>
        <item sd="0" x="26"/>
        <item sd="0" x="18"/>
        <item sd="0" x="7"/>
        <item sd="0" x="9"/>
        <item sd="0" x="1"/>
        <item sd="0" x="8"/>
        <item sd="0" x="13"/>
        <item sd="0" x="15"/>
        <item sd="0" x="3"/>
        <item sd="0" x="14"/>
        <item sd="0" x="4"/>
        <item sd="0" x="6"/>
        <item sd="0" x="0"/>
        <item sd="0" x="5"/>
        <item sd="0" x="10"/>
        <item sd="0" x="12"/>
        <item sd="0" x="2"/>
        <item sd="0" x="11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2"/>
    <field x="2"/>
  </rowFields>
  <rowItems count="57">
    <i>
      <x v="36"/>
    </i>
    <i>
      <x v="41"/>
    </i>
    <i>
      <x v="37"/>
    </i>
    <i>
      <x v="38"/>
    </i>
    <i>
      <x v="32"/>
    </i>
    <i>
      <x v="43"/>
    </i>
    <i>
      <x v="39"/>
    </i>
    <i>
      <x v="14"/>
    </i>
    <i>
      <x v="12"/>
    </i>
    <i>
      <x v="13"/>
    </i>
    <i>
      <x v="42"/>
    </i>
    <i>
      <x v="40"/>
    </i>
    <i>
      <x v="33"/>
    </i>
    <i>
      <x v="24"/>
    </i>
    <i>
      <x v="26"/>
    </i>
    <i>
      <x v="48"/>
    </i>
    <i>
      <x v="25"/>
    </i>
    <i>
      <x v="53"/>
    </i>
    <i>
      <x v="49"/>
    </i>
    <i>
      <x v="44"/>
    </i>
    <i>
      <x v="50"/>
    </i>
    <i>
      <x v="22"/>
    </i>
    <i>
      <x v="18"/>
    </i>
    <i>
      <x v="20"/>
    </i>
    <i>
      <x v="55"/>
    </i>
    <i>
      <x v="34"/>
    </i>
    <i>
      <x v="51"/>
    </i>
    <i>
      <x v="21"/>
    </i>
    <i>
      <x v="17"/>
    </i>
    <i>
      <x v="1"/>
    </i>
    <i>
      <x v="54"/>
    </i>
    <i>
      <x v="3"/>
    </i>
    <i>
      <x v="45"/>
    </i>
    <i>
      <x v="35"/>
    </i>
    <i>
      <x v="16"/>
    </i>
    <i>
      <x v="2"/>
    </i>
    <i>
      <x v="52"/>
    </i>
    <i>
      <x v="27"/>
    </i>
    <i>
      <x v="11"/>
    </i>
    <i>
      <x v="28"/>
    </i>
    <i>
      <x v="10"/>
    </i>
    <i>
      <x v="46"/>
    </i>
    <i>
      <x v="23"/>
    </i>
    <i>
      <x v="30"/>
    </i>
    <i>
      <x v="4"/>
    </i>
    <i>
      <x v="31"/>
    </i>
    <i>
      <x v="47"/>
    </i>
    <i>
      <x v="8"/>
    </i>
    <i>
      <x v="7"/>
    </i>
    <i>
      <x v="6"/>
    </i>
    <i>
      <x/>
    </i>
    <i>
      <x v="15"/>
    </i>
    <i>
      <x v="19"/>
    </i>
    <i>
      <x v="9"/>
    </i>
    <i>
      <x v="29"/>
    </i>
    <i>
      <x v="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0"/>
    <dataField name="Promedio de global open R2" fld="43" subtotal="average" baseField="22" baseItem="0"/>
    <dataField name="Promedio de Val Global Closed R2" fld="38" subtotal="average" baseField="22" baseItem="0"/>
    <dataField name="Promedio de global closed R2" fld="45" subtotal="average" baseField="22" baseItem="0"/>
    <dataField name="Promedio de Surge Velocity Global open R2" fld="52" subtotal="average" baseField="22" baseItem="0"/>
    <dataField name="Promedio de Sway Velocity Global open R2" fld="59" subtotal="average" baseField="22" baseItem="0"/>
    <dataField name="Promedio de Yaw Rate Global open R2" fld="66" subtotal="average" baseField="22" baseItem="0"/>
    <dataField name="Promedio de Yaw Angle Global open R2" fld="73" subtotal="average" baseField="22" baseItem="0"/>
    <dataField name="Promedio de Surge Velocity Global closed R2" fld="54" subtotal="average" baseField="22" baseItem="0"/>
    <dataField name="Promedio de Sway Velocity Global closed R2" fld="61" subtotal="average" baseField="22" baseItem="0"/>
    <dataField name="Promedio de Yaw Rate Global closed R2" fld="68" subtotal="average" baseField="22" baseItem="0"/>
    <dataField name="Promedio de Yaw Angle Global closed R2" fld="75" subtotal="average" baseField="22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711D3-AA36-4206-9B84-BBF06ECDA014}" name="TablaDiná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G4" firstHeaderRow="0" firstDataRow="1" firstDataCol="1"/>
  <pivotFields count="85">
    <pivotField numFmtId="164" showAll="0"/>
    <pivotField showAll="0"/>
    <pivotField axis="axisRow" showAll="0">
      <items count="11">
        <item x="0"/>
        <item x="1"/>
        <item x="3"/>
        <item x="2"/>
        <item x="4"/>
        <item x="5"/>
        <item x="7"/>
        <item x="6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7">
        <item sd="0" x="11"/>
        <item sd="0" x="2"/>
        <item sd="0" x="12"/>
        <item sd="0" x="10"/>
        <item sd="0" x="5"/>
        <item sd="0" x="0"/>
        <item sd="0" x="6"/>
        <item sd="0" x="4"/>
        <item sd="0" x="14"/>
        <item sd="0" x="3"/>
        <item sd="0" x="15"/>
        <item sd="0" x="13"/>
        <item sd="0" x="8"/>
        <item sd="0" x="1"/>
        <item sd="0" x="9"/>
        <item sd="0" x="7"/>
        <item sd="0" x="27"/>
        <item sd="0" x="18"/>
        <item sd="0" x="28"/>
        <item sd="0" x="26"/>
        <item sd="0" x="21"/>
        <item sd="0" x="16"/>
        <item sd="0" x="22"/>
        <item sd="0" x="20"/>
        <item sd="0" x="30"/>
        <item sd="0" x="19"/>
        <item sd="0" x="31"/>
        <item sd="0" x="29"/>
        <item sd="0" x="24"/>
        <item sd="0" x="17"/>
        <item sd="0" x="25"/>
        <item sd="0" x="23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sd="0" x="0"/>
        <item sd="0" x="1"/>
        <item t="default"/>
      </items>
    </pivotField>
    <pivotField showAll="0"/>
    <pivotField showAll="0"/>
    <pivotField showAll="0"/>
  </pivotFields>
  <rowFields count="3">
    <field x="81"/>
    <field x="22"/>
    <field x="2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Promedio de Surge Velocity Global open R2" fld="52" subtotal="average" baseField="0" baseItem="0"/>
    <dataField name="Promedio de Sway Velocity Global open R2" fld="59" subtotal="average" baseField="0" baseItem="0"/>
    <dataField name="Promedio de Surge Velocity Global closed R2" fld="54" subtotal="average" baseField="0" baseItem="0"/>
    <dataField name="Promedio de Sway Velocity Global closed R2" fld="61" subtotal="average" baseField="0" baseItem="0"/>
    <dataField name="Promedio de global open R2" fld="43" subtotal="average" baseField="0" baseItem="0"/>
    <dataField name="Promedio de global closed R2" fld="4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80857-C0B0-4B76-A5EE-9A2CE7D3B365}" name="TablaDinámica5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3:P6" firstHeaderRow="0" firstDataRow="1" firstDataCol="1"/>
  <pivotFields count="8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8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Surge Velocity Global open R2" fld="52" subtotal="average" baseField="82" baseItem="0"/>
    <dataField name="Promedio de Sway Velocity Global open R2" fld="59" subtotal="average" baseField="82" baseItem="0"/>
    <dataField name="Promedio de Surge Velocity Global closed R2" fld="54" subtotal="average" baseField="82" baseItem="0"/>
    <dataField name="Promedio de Sway Velocity Global closed R2" fld="61" subtotal="average" baseField="8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FD208-F9D9-45E3-920D-D6FDECC3FA0C}" name="TablaDinámica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E4" firstHeaderRow="0" firstDataRow="1" firstDataCol="1"/>
  <pivotFields count="85">
    <pivotField numFmtId="164" showAll="0"/>
    <pivotField showAll="0"/>
    <pivotField axis="axisRow" showAll="0">
      <items count="11">
        <item x="0"/>
        <item x="1"/>
        <item x="3"/>
        <item x="2"/>
        <item x="4"/>
        <item x="5"/>
        <item x="7"/>
        <item x="6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7">
        <item sd="0" x="11"/>
        <item sd="0" x="2"/>
        <item sd="0" x="12"/>
        <item sd="0" x="10"/>
        <item sd="0" x="5"/>
        <item sd="0" x="0"/>
        <item sd="0" x="6"/>
        <item sd="0" x="4"/>
        <item sd="0" x="14"/>
        <item sd="0" x="3"/>
        <item sd="0" x="15"/>
        <item sd="0" x="13"/>
        <item sd="0" x="8"/>
        <item sd="0" x="1"/>
        <item sd="0" x="9"/>
        <item sd="0" x="7"/>
        <item sd="0" x="27"/>
        <item sd="0" x="18"/>
        <item sd="0" x="28"/>
        <item sd="0" x="26"/>
        <item sd="0" x="21"/>
        <item sd="0" x="16"/>
        <item sd="0" x="22"/>
        <item sd="0" x="20"/>
        <item sd="0" x="30"/>
        <item sd="0" x="19"/>
        <item sd="0" x="31"/>
        <item sd="0" x="29"/>
        <item sd="0" x="24"/>
        <item sd="0" x="17"/>
        <item sd="0" x="25"/>
        <item sd="0"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sd="0" x="1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3">
    <field x="77"/>
    <field x="22"/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Yaw Rate Global open R2" fld="66" subtotal="average" baseField="77" baseItem="1"/>
    <dataField name="Promedio de Yaw Rate Global closed R2" fld="68" subtotal="average" baseField="77" baseItem="1"/>
    <dataField name="Promedio de global open R2" fld="43" subtotal="average" baseField="77" baseItem="1"/>
    <dataField name="Promedio de global closed R2" fld="45" subtotal="average" baseField="7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1FF48-BA96-4ECE-B644-35A2995A37BC}" name="TablaDinámica6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:O8" firstHeaderRow="0" firstDataRow="1" firstDataCol="1"/>
  <pivotFields count="85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5"/>
        <item x="4"/>
        <item x="3"/>
        <item x="1"/>
        <item t="default"/>
      </items>
    </pivotField>
    <pivotField showAll="0"/>
  </pivotFields>
  <rowFields count="1">
    <field x="8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Yaw Rate Global open R2" fld="66" subtotal="average" baseField="83" baseItem="0"/>
    <dataField name="Promedio de Yaw Rate Global closed R2" fld="68" subtotal="average" baseField="8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9EEF6-1EBC-47B7-8C4F-2B54C8DDC3F4}" name="TablaDiná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:K8" firstHeaderRow="0" firstDataRow="1" firstDataCol="1"/>
  <pivotFields count="85">
    <pivotField numFmtId="164" showAll="0"/>
    <pivotField showAll="0"/>
    <pivotField axis="axisRow" showAll="0">
      <items count="11">
        <item x="0"/>
        <item x="1"/>
        <item x="3"/>
        <item x="2"/>
        <item x="4"/>
        <item x="5"/>
        <item x="7"/>
        <item x="6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7">
        <item x="11"/>
        <item x="2"/>
        <item x="12"/>
        <item x="10"/>
        <item x="5"/>
        <item x="0"/>
        <item x="6"/>
        <item x="4"/>
        <item x="14"/>
        <item x="3"/>
        <item x="15"/>
        <item x="13"/>
        <item x="8"/>
        <item x="1"/>
        <item x="9"/>
        <item x="7"/>
        <item x="27"/>
        <item x="18"/>
        <item x="28"/>
        <item x="26"/>
        <item x="21"/>
        <item x="16"/>
        <item x="22"/>
        <item x="20"/>
        <item x="30"/>
        <item x="19"/>
        <item x="31"/>
        <item x="29"/>
        <item x="24"/>
        <item x="17"/>
        <item x="25"/>
        <item x="23"/>
        <item sd="0" x="32"/>
        <item x="33"/>
        <item x="34"/>
        <item x="35"/>
        <item sd="0" x="36"/>
        <item sd="0"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sd="0" x="2"/>
        <item sd="0" x="0"/>
        <item sd="0" x="3"/>
        <item sd="0" x="1"/>
        <item sd="0" x="4"/>
        <item sd="0" x="5"/>
        <item t="default"/>
      </items>
    </pivotField>
    <pivotField showAll="0"/>
    <pivotField showAll="0"/>
    <pivotField showAll="0"/>
    <pivotField showAll="0"/>
    <pivotField showAll="0"/>
  </pivotFields>
  <rowFields count="3">
    <field x="79"/>
    <field x="22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Yaw Rate Global open R2" fld="66" subtotal="average" baseField="79" baseItem="3"/>
    <dataField name="Promedio de Yaw Rate Global closed R2" fld="68" subtotal="average" baseField="79" baseItem="3"/>
    <dataField name="Promedio de global open R2" fld="43" subtotal="average" baseField="79" baseItem="3"/>
    <dataField name="Promedio de global closed R2" fld="45" subtotal="average" baseField="79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5C4A6-2462-4EB5-891E-4A5355D4280E}" name="TablaDinámica4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:K8" firstHeaderRow="0" firstDataRow="1" firstDataCol="1"/>
  <pivotFields count="85">
    <pivotField numFmtId="164" showAll="0"/>
    <pivotField showAll="0"/>
    <pivotField axis="axisRow" showAll="0">
      <items count="11">
        <item x="0"/>
        <item x="1"/>
        <item x="3"/>
        <item x="2"/>
        <item x="4"/>
        <item x="5"/>
        <item x="7"/>
        <item x="6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7">
        <item sd="0" x="11"/>
        <item sd="0" x="2"/>
        <item x="12"/>
        <item x="10"/>
        <item sd="0" x="5"/>
        <item sd="0" x="0"/>
        <item x="6"/>
        <item x="4"/>
        <item sd="0" x="14"/>
        <item sd="0" x="3"/>
        <item x="15"/>
        <item x="13"/>
        <item sd="0" x="8"/>
        <item sd="0" x="1"/>
        <item x="9"/>
        <item x="7"/>
        <item sd="0" x="27"/>
        <item sd="0" x="18"/>
        <item x="28"/>
        <item x="26"/>
        <item sd="0" x="21"/>
        <item sd="0" x="16"/>
        <item x="22"/>
        <item x="20"/>
        <item sd="0" x="30"/>
        <item sd="0" x="19"/>
        <item x="31"/>
        <item x="29"/>
        <item sd="0" x="24"/>
        <item sd="0" x="17"/>
        <item x="25"/>
        <item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sd="0" x="2"/>
        <item sd="0" x="0"/>
        <item sd="0" x="3"/>
        <item sd="0" x="1"/>
        <item sd="0" x="4"/>
        <item sd="0" x="5"/>
        <item t="default"/>
      </items>
    </pivotField>
    <pivotField showAll="0"/>
    <pivotField showAll="0"/>
    <pivotField showAll="0"/>
    <pivotField showAll="0"/>
  </pivotFields>
  <rowFields count="3">
    <field x="80"/>
    <field x="22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Yaw Angle Global open R2" fld="73" subtotal="average" baseField="80" baseItem="0"/>
    <dataField name="Promedio de Yaw Angle Global closed R2" fld="75" subtotal="average" baseField="80" baseItem="0"/>
    <dataField name="Promedio de global open R2" fld="43" subtotal="average" baseField="79" baseItem="3"/>
    <dataField name="Promedio de global closed R2" fld="45" subtotal="average" baseField="79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1ADBF-17F8-4BFB-9753-E6288D24B810}" name="TablaDinámica7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1:O8" firstHeaderRow="0" firstDataRow="1" firstDataCol="1"/>
  <pivotFields count="85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5"/>
        <item x="4"/>
        <item x="3"/>
        <item x="1"/>
        <item t="default"/>
      </items>
    </pivotField>
  </pivotFields>
  <rowFields count="1">
    <field x="8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Yaw Angle Global open R2" fld="73" subtotal="average" baseField="84" baseItem="0"/>
    <dataField name="Promedio de Yaw Angle Global closed R2" fld="75" subtotal="average" baseField="8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8D070-A084-4707-9A3F-8D607DC400DC}" name="TablaDinámica5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E4" firstHeaderRow="0" firstDataRow="1" firstDataCol="1"/>
  <pivotFields count="85">
    <pivotField numFmtId="164" showAll="0"/>
    <pivotField showAll="0"/>
    <pivotField axis="axisRow" showAll="0">
      <items count="11">
        <item x="0"/>
        <item x="1"/>
        <item x="3"/>
        <item x="2"/>
        <item x="4"/>
        <item x="5"/>
        <item x="7"/>
        <item x="6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7">
        <item sd="0" x="11"/>
        <item sd="0" x="2"/>
        <item sd="0" x="12"/>
        <item sd="0" x="10"/>
        <item sd="0" x="5"/>
        <item sd="0" x="0"/>
        <item sd="0" x="6"/>
        <item sd="0" x="4"/>
        <item sd="0" x="14"/>
        <item sd="0" x="3"/>
        <item sd="0" x="15"/>
        <item sd="0" x="13"/>
        <item sd="0" x="8"/>
        <item sd="0" x="1"/>
        <item sd="0" x="9"/>
        <item sd="0" x="7"/>
        <item sd="0" x="27"/>
        <item sd="0" x="18"/>
        <item sd="0" x="28"/>
        <item sd="0" x="26"/>
        <item sd="0" x="21"/>
        <item sd="0" x="16"/>
        <item sd="0" x="22"/>
        <item sd="0" x="20"/>
        <item sd="0" x="30"/>
        <item sd="0" x="19"/>
        <item sd="0" x="31"/>
        <item sd="0" x="29"/>
        <item sd="0" x="24"/>
        <item sd="0" x="17"/>
        <item sd="0" x="25"/>
        <item sd="0" x="23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 sortType="descending"/>
    <pivotField axis="axisRow" showAll="0" sortType="descending">
      <items count="3">
        <item sd="0" x="1"/>
        <item sd="0"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3">
    <field x="78"/>
    <field x="22"/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Yaw Angle Global open R2" fld="73" subtotal="average" baseField="78" baseItem="0"/>
    <dataField name="Promedio de Yaw Angle Global closed R2" fld="75" subtotal="average" baseField="78" baseItem="0"/>
    <dataField name="Promedio de global open R2" fld="43" subtotal="average" baseField="77" baseItem="1"/>
    <dataField name="Promedio de global closed R2" fld="45" subtotal="average" baseField="77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81D8E-BE0F-423C-93A9-910248A8A550}" name="Tabla1" displayName="Tabla1" ref="A1:CG561" totalsRowShown="0" headerRowDxfId="11" headerRowBorderDxfId="10" tableBorderDxfId="9">
  <tableColumns count="85">
    <tableColumn id="1" xr3:uid="{73F9B164-2842-4D1D-8701-CA295123033F}" name="date" dataDxfId="8"/>
    <tableColumn id="2" xr3:uid="{7F66130F-1836-4F1B-97D8-993C3A9B5C38}" name="model_id"/>
    <tableColumn id="3" xr3:uid="{17AF5148-DA88-4142-A6BA-BFE8ECF11493}" name="run"/>
    <tableColumn id="4" xr3:uid="{6C9093FD-9DCC-4AC9-BC00-28DB303C3498}" name="weight_selection"/>
    <tableColumn id="5" xr3:uid="{4DD7345F-F513-4D53-82CB-3155C6FC4284}" name="data"/>
    <tableColumn id="6" xr3:uid="{40D2B03A-E1F6-4AE0-A455-1D0F69172CD5}" name="data_n"/>
    <tableColumn id="7" xr3:uid="{6382D6B5-C0A2-4E4D-AC4E-6064D06734B9}" name="data_dt"/>
    <tableColumn id="8" xr3:uid="{4EA87367-CDA3-4480-A16D-8A208B44E361}" name="features"/>
    <tableColumn id="9" xr3:uid="{78ADA8FE-A019-4FFF-8BC3-801B86974955}" name="targets"/>
    <tableColumn id="10" xr3:uid="{1026346F-A1AA-4FFE-A63A-9C540F3B1B1D}" name="window_size"/>
    <tableColumn id="11" xr3:uid="{3F797AFB-8C57-4BB2-82E2-6C2ECBE630D2}" name="horizon"/>
    <tableColumn id="12" xr3:uid="{C0C37982-09B0-4E0B-ABDE-9593D818C63D}" name="predict"/>
    <tableColumn id="13" xr3:uid="{598FF3C3-A42A-4A58-84FF-61C4CF6B6FD5}" name="norm"/>
    <tableColumn id="14" xr3:uid="{F592763A-D2DB-4057-80AF-03E9A4E1C04A}" name="reconstruct_train"/>
    <tableColumn id="15" xr3:uid="{0135550D-350C-473C-82FE-A8EFC6B980A5}" name="reconstruct_val"/>
    <tableColumn id="16" xr3:uid="{806AD2F9-E14B-42A5-86D0-480734C0F344}" name="model"/>
    <tableColumn id="17" xr3:uid="{9323363C-21B4-484B-A6A3-AC36E341089F}" name="heads_config"/>
    <tableColumn id="18" xr3:uid="{C38CED61-E8C3-4618-B024-F5BACF281583}" name="head_number"/>
    <tableColumn id="19" xr3:uid="{D8284DA6-FE70-437C-BB39-A390D7353BF2}" name="encoding"/>
    <tableColumn id="20" xr3:uid="{2880FCD0-F444-4421-B7EF-79CEF18DB8E8}" name="ansatz"/>
    <tableColumn id="21" xr3:uid="{4052BEBC-D079-4975-B90B-67127309DEEC}" name="entangle"/>
    <tableColumn id="22" xr3:uid="{DEE1DEE2-5EBA-484E-BCFC-8778F06EEF17}" name="reps"/>
    <tableColumn id="23" xr3:uid="{6C2B2E28-322E-4C99-93DF-F1F7F88722B6}" name="map"/>
    <tableColumn id="24" xr3:uid="{B4DF9BAF-5774-455B-BD6E-47223722121D}" name="reorder"/>
    <tableColumn id="25" xr3:uid="{FDA328F3-E3B1-4B44-BD39-ED94DAB99001}" name="optimizer"/>
    <tableColumn id="26" xr3:uid="{63EC2069-A792-4A5A-8218-03C2F1A1FDA6}" name="maxiter"/>
    <tableColumn id="27" xr3:uid="{14C1BCCA-5778-48C9-A170-141ECBE9CEDE}" name="iterations"/>
    <tableColumn id="28" xr3:uid="{F0FAF4E1-6B32-4708-898E-CC7587FE7DED}" name="tolerance"/>
    <tableColumn id="29" xr3:uid="{9529C7B6-0D39-4527-9A32-6EE053A854D7}" name="batch_size"/>
    <tableColumn id="30" xr3:uid="{DB282221-12B4-4BFC-99C3-B5E79EF14C23}" name="learning_rate"/>
    <tableColumn id="31" xr3:uid="{022504ED-F3E7-4BBA-8FB7-09FB0504B28F}" name="perturbation"/>
    <tableColumn id="32" xr3:uid="{A546FB4F-1E64-4B33-B7CE-64A843810A2D}" name="weights"/>
    <tableColumn id="33" xr3:uid="{49004644-F8DD-4B88-A4E5-28A1458440DA}" name="total params"/>
    <tableColumn id="34" xr3:uid="{36261687-6BB0-4FBC-8758-E0234DD53678}" name="q params"/>
    <tableColumn id="35" xr3:uid="{6B46D4F4-F0A4-4F48-863E-3623A3897A5B}" name="c params"/>
    <tableColumn id="36" xr3:uid="{C0678EE1-1B02-4B72-A4FD-5FCC1FC6A0B1}" name="final val loss"/>
    <tableColumn id="37" xr3:uid="{1830E734-2F2D-4636-9708-C61BBFB87EC7}" name="Val Global Open MSE"/>
    <tableColumn id="38" xr3:uid="{1BBBA18B-9EF1-4B61-80C5-656B2A6DB8FA}" name="Val Global Open R2"/>
    <tableColumn id="39" xr3:uid="{773F6778-9C97-4090-9AEF-B28F6709AA04}" name="Val Global Closed R2"/>
    <tableColumn id="40" xr3:uid="{B348C842-3414-49C9-A527-73F7C8B7E8C1}" name="step MSE"/>
    <tableColumn id="41" xr3:uid="{E5E65EAD-F3BA-46CB-A0FC-6D75BA54FB0C}" name="step R2"/>
    <tableColumn id="42" xr3:uid="{59EA3A7A-E445-497C-BA73-858B0DDF4D86}" name="local MSE"/>
    <tableColumn id="43" xr3:uid="{C10A1050-D0D4-4DA4-9625-1790A4251A96}" name="global open MSE"/>
    <tableColumn id="44" xr3:uid="{F8180F38-2406-4D1C-A45B-BE889B460AB7}" name="global open R2"/>
    <tableColumn id="45" xr3:uid="{67352E25-47A6-4D0C-A892-378054F3D0F0}" name="global closed MSE"/>
    <tableColumn id="46" xr3:uid="{55D9D72B-8FF8-4C21-8AE4-FD350308E962}" name="global closed R2"/>
    <tableColumn id="47" xr3:uid="{22249E41-7282-488E-88AF-0F74F91EE264}" name="recursivity"/>
    <tableColumn id="48" xr3:uid="{1E78A563-7646-4E3F-BA74-D92FDBC08954}" name="initialization"/>
    <tableColumn id="49" xr3:uid="{E4F74918-75C3-485C-9F62-AC6628E26A44}" name="Surge Velocity Step MSE"/>
    <tableColumn id="50" xr3:uid="{4756FB51-E894-4941-AB8E-EF992C305598}" name="Surge Velocity Step R2"/>
    <tableColumn id="51" xr3:uid="{6483B632-3FEE-4990-98C9-AD626EEDFFB5}" name="Surge Velocity Local MSE"/>
    <tableColumn id="52" xr3:uid="{C49B9537-512A-49E7-966E-65EA2EFF202B}" name="Surge Velocity Global open MSE"/>
    <tableColumn id="53" xr3:uid="{F546CAA8-A734-4E0C-9D5D-B77FE650EA4E}" name="Surge Velocity Global open R2"/>
    <tableColumn id="54" xr3:uid="{42482A4E-7773-4788-B53C-3B0CA534AF10}" name="Surge Velocity Global closed MSE"/>
    <tableColumn id="55" xr3:uid="{9268268D-6E8C-4502-AEE8-4C3CC7CD305C}" name="Surge Velocity Global closed R2"/>
    <tableColumn id="56" xr3:uid="{9E114607-3F3B-4B2C-A79C-ECD6BC2C1917}" name="Sway Velocity Step MSE"/>
    <tableColumn id="57" xr3:uid="{51DD9E53-FF22-462B-B6A2-7A4646421BB6}" name="Sway Velocity Step R2"/>
    <tableColumn id="58" xr3:uid="{6D22AB38-C7CF-4BAC-A6CE-7A13B541248C}" name="Sway Velocity Local MSE"/>
    <tableColumn id="59" xr3:uid="{6E3C41B5-5881-48E6-BEC8-6449A87B21E4}" name="Sway Velocity Global open MSE"/>
    <tableColumn id="60" xr3:uid="{65670190-E9FE-4658-A4FD-791D5446A004}" name="Sway Velocity Global open R2"/>
    <tableColumn id="61" xr3:uid="{D05018E6-607C-4CB5-BD13-65D0D410706D}" name="Sway Velocity Global closed MSE"/>
    <tableColumn id="62" xr3:uid="{534D88E9-D5A6-477E-A4FD-E7C201A774C8}" name="Sway Velocity Global closed R2"/>
    <tableColumn id="63" xr3:uid="{E8D24559-CC04-450C-B3B5-81CE2109EA3E}" name="Yaw Rate Step MSE"/>
    <tableColumn id="64" xr3:uid="{40ADADDF-0048-4A29-A19A-42C985418371}" name="Yaw Rate Step R2"/>
    <tableColumn id="65" xr3:uid="{CEA135F2-6CE8-424A-B24F-BCA4702C6921}" name="Yaw Rate Local MSE"/>
    <tableColumn id="66" xr3:uid="{88DE5927-4CC6-4CEF-AAA2-A31148E54790}" name="Yaw Rate Global open MSE"/>
    <tableColumn id="67" xr3:uid="{00E37B5F-3601-4E53-A2BA-0F19E0C2759D}" name="Yaw Rate Global open R2"/>
    <tableColumn id="68" xr3:uid="{4EB66106-A1AB-4467-804B-30AC4CAD8294}" name="Yaw Rate Global closed MSE"/>
    <tableColumn id="69" xr3:uid="{DE5E26A8-20EF-4AD1-BE45-60099F53CF94}" name="Yaw Rate Global closed R2"/>
    <tableColumn id="70" xr3:uid="{CA8B6EAF-68F1-424A-A67F-3DA38BA44042}" name="Yaw Angle Step MSE"/>
    <tableColumn id="71" xr3:uid="{00129BA2-8691-453A-A59F-DC26CE06CEDA}" name="Yaw Angle Step R2"/>
    <tableColumn id="72" xr3:uid="{D3D3EDE1-AD97-4FB0-96A6-5019C95742A3}" name="Yaw Angle Local MSE"/>
    <tableColumn id="73" xr3:uid="{6D09801D-F8A7-479B-8E1B-2C9937CBA6A0}" name="Yaw Angle Global open MSE"/>
    <tableColumn id="74" xr3:uid="{C0E83983-8441-4F7D-B553-408469FFFABE}" name="Yaw Angle Global open R2"/>
    <tableColumn id="75" xr3:uid="{C93CA66F-58B2-4022-956A-750D923B6F9C}" name="Yaw Angle Global closed MSE"/>
    <tableColumn id="76" xr3:uid="{E770B25A-9BD1-4AFE-B5AA-070DA29BFF5B}" name="Yaw Angle Global closed R2"/>
    <tableColumn id="77" xr3:uid="{8AD77970-9B35-4355-B667-647DE98D693E}" name="Output_feat" dataDxfId="7">
      <calculatedColumnFormula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calculatedColumnFormula>
    </tableColumn>
    <tableColumn id="78" xr3:uid="{AF499486-72E6-407C-B6D6-7FE68C74A687}" name="with yaw rate">
      <calculatedColumnFormula>SUBSTITUTE(TRIM(MID(SUBSTITUTE(SUBSTITUTE(SUBSTITUTE(Tabla1[[#This Row],[map]],"[",""),"]",""),",",REPT(" ",100)),901,200))," ",", ")</calculatedColumnFormula>
    </tableColumn>
    <tableColumn id="79" xr3:uid="{62766018-5FA5-4E93-92D0-46980F3F44F7}" name="with yaw angle" dataDxfId="6">
      <calculatedColumnFormula>SUBSTITUTE(TRIM(MID(SUBSTITUTE(SUBSTITUTE(SUBSTITUTE(Tabla1[[#This Row],[map]],"[",""),"]",""),",",REPT(" ",100)),1501,200))," ",", ")</calculatedColumnFormula>
    </tableColumn>
    <tableColumn id="80" xr3:uid="{8CFA862C-A83F-4E58-BD83-A8BE8CCB39C3}" name="without yaw rate" dataDxfId="5">
      <calculatedColumnFormula>SUBSTITUTE(TRIM(MID(SUBSTITUTE(SUBSTITUTE(SUBSTITUTE(Tabla1[[#This Row],[map]],"[",""),"]",""),",",REPT(" ",100)),601,300))," ",", ")</calculatedColumnFormula>
    </tableColumn>
    <tableColumn id="81" xr3:uid="{52BF0A74-6732-48FD-8499-9E8A74B4BE75}" name="without yaw angle" dataDxfId="4">
      <calculatedColumnFormula>SUBSTITUTE(TRIM(MID(SUBSTITUTE(SUBSTITUTE(SUBSTITUTE(Tabla1[[#This Row],[map]],"[",""),"]",""),",",REPT(" ",100)),1201,300))," ",", ")</calculatedColumnFormula>
    </tableColumn>
    <tableColumn id="82" xr3:uid="{BCFFC741-C45E-4052-8C9D-2A93F5EB2A02}" name="without surge and sway" dataDxfId="3">
      <calculatedColumnFormula>SUBSTITUTE(TRIM(MID(SUBSTITUTE(SUBSTITUTE(SUBSTITUTE(Tabla1[[#This Row],[map]],"[",""),"]",""),",",REPT(" ",100)),1,300))," ",", ")</calculatedColumnFormula>
    </tableColumn>
    <tableColumn id="83" xr3:uid="{320EC801-78B8-46C2-A7DE-304E7A903A30}" name="Surge and Sway map" dataDxfId="2">
      <calculatedColumnFormula>SUBSTITUTE(TRIM(MID(SUBSTITUTE(SUBSTITUTE(SUBSTITUTE(Tabla1[[#This Row],[map]],"[",""),"]",""),",",REPT(" ",100)),1,600))," ",", ")</calculatedColumnFormula>
    </tableColumn>
    <tableColumn id="84" xr3:uid="{E820374E-C15E-47CE-BA99-D82BB4EB2BDF}" name="Yaw rate map" dataDxfId="1">
      <calculatedColumnFormula>SUBSTITUTE(TRIM(MID(SUBSTITUTE(SUBSTITUTE(SUBSTITUTE(Tabla1[[#This Row],[map]],"[",""),"]",""),",",REPT(" ",100)),601,600))," ",", ")</calculatedColumnFormula>
    </tableColumn>
    <tableColumn id="85" xr3:uid="{EFD657D0-E8DB-4862-8C74-5057F755EE9F}" name="Yaw  angle map" dataDxfId="0">
      <calculatedColumnFormula>SUBSTITUTE(TRIM(MID(SUBSTITUTE(SUBSTITUTE(SUBSTITUTE(Tabla1[[#This Row],[map]],"[",""),"]",""),",",REPT(" ",100)),1201,600))," ",", 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561"/>
  <sheetViews>
    <sheetView topLeftCell="A513" zoomScale="70" workbookViewId="0">
      <selection activeCell="R555" sqref="R555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  <col min="83" max="83" width="24.6640625" bestFit="1" customWidth="1"/>
    <col min="84" max="84" width="16.33203125" bestFit="1" customWidth="1"/>
    <col min="85" max="85" width="18.77734375" bestFit="1" customWidth="1"/>
  </cols>
  <sheetData>
    <row r="1" spans="1:8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263</v>
      </c>
      <c r="BZ1" s="2" t="s">
        <v>348</v>
      </c>
      <c r="CA1" s="2" t="s">
        <v>349</v>
      </c>
      <c r="CB1" s="2" t="s">
        <v>350</v>
      </c>
      <c r="CC1" s="2" t="s">
        <v>351</v>
      </c>
      <c r="CD1" s="2" t="s">
        <v>352</v>
      </c>
      <c r="CE1" s="2" t="s">
        <v>684</v>
      </c>
      <c r="CF1" s="2" t="s">
        <v>685</v>
      </c>
      <c r="CG1" s="2" t="s">
        <v>686</v>
      </c>
    </row>
    <row r="2" spans="1:85" x14ac:dyDescent="0.3">
      <c r="A2" s="1">
        <v>46093.414907407408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3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180</v>
      </c>
      <c r="AH2">
        <v>60</v>
      </c>
      <c r="AI2">
        <v>120</v>
      </c>
      <c r="AJ2">
        <v>0.1122846648632876</v>
      </c>
      <c r="AK2">
        <v>14.108643898676879</v>
      </c>
      <c r="AL2">
        <v>0.71914845847460085</v>
      </c>
      <c r="AM2">
        <v>-0.30205126608996091</v>
      </c>
      <c r="AN2">
        <v>18.264316421121151</v>
      </c>
      <c r="AO2">
        <v>0.68442453504488221</v>
      </c>
      <c r="AP2">
        <v>18.264316421121151</v>
      </c>
      <c r="AQ2">
        <v>18.264316421121151</v>
      </c>
      <c r="AR2">
        <v>0.68442453504488221</v>
      </c>
      <c r="AS2">
        <v>136.49966678195011</v>
      </c>
      <c r="AT2">
        <v>-0.36367210471057843</v>
      </c>
      <c r="AU2">
        <v>0.8</v>
      </c>
      <c r="AV2" t="s">
        <v>93</v>
      </c>
      <c r="AW2">
        <v>5.6806413803650667E-2</v>
      </c>
      <c r="AX2">
        <v>0.58751198744788402</v>
      </c>
      <c r="AY2">
        <v>5.6806413803650667E-2</v>
      </c>
      <c r="AZ2">
        <v>5.6806413803650667E-2</v>
      </c>
      <c r="BA2">
        <v>0.58751198744788402</v>
      </c>
      <c r="BB2">
        <v>0.13565141253708529</v>
      </c>
      <c r="BC2">
        <v>1.4995353329035789E-2</v>
      </c>
      <c r="BD2">
        <v>6.1248636113679512E-2</v>
      </c>
      <c r="BE2">
        <v>0.78778655747296211</v>
      </c>
      <c r="BF2">
        <v>6.1248636113679512E-2</v>
      </c>
      <c r="BG2">
        <v>6.1248636113679512E-2</v>
      </c>
      <c r="BH2">
        <v>0.78778655747296211</v>
      </c>
      <c r="BI2">
        <v>0.39989447618794061</v>
      </c>
      <c r="BJ2">
        <v>-0.38554894972487119</v>
      </c>
      <c r="BK2">
        <v>0.1071834418117573</v>
      </c>
      <c r="BL2">
        <v>0.56969238345260687</v>
      </c>
      <c r="BM2">
        <v>0.1071834418117573</v>
      </c>
      <c r="BN2">
        <v>0.1071834418117573</v>
      </c>
      <c r="BO2">
        <v>0.56969238345260687</v>
      </c>
      <c r="BP2">
        <v>0.38178281573719741</v>
      </c>
      <c r="BQ2">
        <v>-0.53273724655299404</v>
      </c>
      <c r="BR2">
        <v>72.83202719275576</v>
      </c>
      <c r="BS2">
        <v>0.79270721180607573</v>
      </c>
      <c r="BT2">
        <v>72.83202719275576</v>
      </c>
      <c r="BU2">
        <v>72.83202719275576</v>
      </c>
      <c r="BV2">
        <v>0.79270721180607573</v>
      </c>
      <c r="BW2">
        <v>545.08133842334109</v>
      </c>
      <c r="BX2">
        <v>-0.55139757589349481</v>
      </c>
      <c r="BY2" t="str">
        <f t="shared" ref="BY2:BY33" si="0"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2" t="str">
        <f>SUBSTITUTE(TRIM(MID(SUBSTITUTE(SUBSTITUTE(SUBSTITUTE(Tabla1[[#This Row],[map]],"[",""),"]",""),",",REPT(" ",100)),901,200))," ",", ")</f>
        <v>2, 3</v>
      </c>
      <c r="CA2" t="str">
        <f>SUBSTITUTE(TRIM(MID(SUBSTITUTE(SUBSTITUTE(SUBSTITUTE(Tabla1[[#This Row],[map]],"[",""),"]",""),",",REPT(" ",100)),1501,200))," ",", ")</f>
        <v>3, 2</v>
      </c>
      <c r="CB2" t="str">
        <f>SUBSTITUTE(TRIM(MID(SUBSTITUTE(SUBSTITUTE(SUBSTITUTE(Tabla1[[#This Row],[map]],"[",""),"]",""),",",REPT(" ",100)),601,300))," ",", ")</f>
        <v>0, 1, 4</v>
      </c>
      <c r="CC2" t="str">
        <f>SUBSTITUTE(TRIM(MID(SUBSTITUTE(SUBSTITUTE(SUBSTITUTE(Tabla1[[#This Row],[map]],"[",""),"]",""),",",REPT(" ",100)),1201,300))," ",", ")</f>
        <v>0, 1, 4</v>
      </c>
      <c r="CD2" t="str">
        <f>SUBSTITUTE(TRIM(MID(SUBSTITUTE(SUBSTITUTE(SUBSTITUTE(Tabla1[[#This Row],[map]],"[",""),"]",""),",",REPT(" ",100)),1,300))," ",", ")</f>
        <v>2, 3, 4</v>
      </c>
      <c r="CE2" t="str">
        <f>SUBSTITUTE(TRIM(MID(SUBSTITUTE(SUBSTITUTE(SUBSTITUTE(Tabla1[[#This Row],[map]],"[",""),"]",""),",",REPT(" ",100)),1,600))," ",", ")</f>
        <v>2, 3, 4, 0, 1, -1</v>
      </c>
      <c r="CF2" t="str">
        <f>SUBSTITUTE(TRIM(MID(SUBSTITUTE(SUBSTITUTE(SUBSTITUTE(Tabla1[[#This Row],[map]],"[",""),"]",""),",",REPT(" ",100)),601,600))," ",", ")</f>
        <v>0, 1, 4, 2, 3, -1</v>
      </c>
      <c r="CG2" t="str">
        <f>SUBSTITUTE(TRIM(MID(SUBSTITUTE(SUBSTITUTE(SUBSTITUTE(Tabla1[[#This Row],[map]],"[",""),"]",""),",",REPT(" ",100)),1201,600))," ",", ")</f>
        <v>0, 1, 4, 3, 2, -1</v>
      </c>
    </row>
    <row r="3" spans="1:85" x14ac:dyDescent="0.3">
      <c r="A3" s="1">
        <v>46093.416087962964</v>
      </c>
      <c r="B3" t="s">
        <v>94</v>
      </c>
      <c r="C3">
        <v>1</v>
      </c>
      <c r="D3" t="s">
        <v>77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85</v>
      </c>
      <c r="R3">
        <v>3</v>
      </c>
      <c r="S3" t="s">
        <v>86</v>
      </c>
      <c r="T3" t="s">
        <v>87</v>
      </c>
      <c r="U3" t="s">
        <v>88</v>
      </c>
      <c r="V3">
        <v>1</v>
      </c>
      <c r="W3" t="s">
        <v>89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180</v>
      </c>
      <c r="AH3">
        <v>60</v>
      </c>
      <c r="AI3">
        <v>120</v>
      </c>
      <c r="AJ3">
        <v>0.1278825276067872</v>
      </c>
      <c r="AK3">
        <v>31.51575700940435</v>
      </c>
      <c r="AL3">
        <v>0.67740658063145553</v>
      </c>
      <c r="AM3">
        <v>-0.80860628180419558</v>
      </c>
      <c r="AN3">
        <v>35.655601814241273</v>
      </c>
      <c r="AO3">
        <v>0.62269758205162173</v>
      </c>
      <c r="AP3">
        <v>35.655601814241273</v>
      </c>
      <c r="AQ3">
        <v>35.655601814241273</v>
      </c>
      <c r="AR3">
        <v>0.62269758205162173</v>
      </c>
      <c r="AS3">
        <v>209.5810285573624</v>
      </c>
      <c r="AT3">
        <v>-0.63678883167661682</v>
      </c>
      <c r="AU3">
        <v>0.8</v>
      </c>
      <c r="AV3" t="s">
        <v>93</v>
      </c>
      <c r="AW3">
        <v>5.9172477616381829E-2</v>
      </c>
      <c r="AX3">
        <v>0.57033130494505313</v>
      </c>
      <c r="AY3">
        <v>5.9172477616381829E-2</v>
      </c>
      <c r="AZ3">
        <v>5.9172477616381829E-2</v>
      </c>
      <c r="BA3">
        <v>0.57033130494505313</v>
      </c>
      <c r="BB3">
        <v>0.2156101184017486</v>
      </c>
      <c r="BC3">
        <v>-0.56560823453967379</v>
      </c>
      <c r="BD3">
        <v>7.2137766304017567E-2</v>
      </c>
      <c r="BE3">
        <v>0.75005804708576296</v>
      </c>
      <c r="BF3">
        <v>7.2137766304017567E-2</v>
      </c>
      <c r="BG3">
        <v>7.2137766304017567E-2</v>
      </c>
      <c r="BH3">
        <v>0.75005804708576296</v>
      </c>
      <c r="BI3">
        <v>0.3237668640308175</v>
      </c>
      <c r="BJ3">
        <v>-0.1217830330889236</v>
      </c>
      <c r="BK3">
        <v>0.10569825949840481</v>
      </c>
      <c r="BL3">
        <v>0.57565492067472235</v>
      </c>
      <c r="BM3">
        <v>0.10569825949840481</v>
      </c>
      <c r="BN3">
        <v>0.10569825949840481</v>
      </c>
      <c r="BO3">
        <v>0.57565492067472235</v>
      </c>
      <c r="BP3">
        <v>0.36773199424476161</v>
      </c>
      <c r="BQ3">
        <v>-0.47632764256246701</v>
      </c>
      <c r="BR3">
        <v>142.38539875354559</v>
      </c>
      <c r="BS3">
        <v>0.59474605550095228</v>
      </c>
      <c r="BT3">
        <v>142.38539875354559</v>
      </c>
      <c r="BU3">
        <v>142.38539875354559</v>
      </c>
      <c r="BV3">
        <v>0.59474605550095228</v>
      </c>
      <c r="BW3">
        <v>837.41700525277236</v>
      </c>
      <c r="BX3">
        <v>-1.383436416515391</v>
      </c>
      <c r="BY3" t="str">
        <f t="shared" si="0"/>
        <v>[[sv,wv],[yr],[ya]]</v>
      </c>
      <c r="BZ3" t="str">
        <f>SUBSTITUTE(TRIM(MID(SUBSTITUTE(SUBSTITUTE(SUBSTITUTE(Tabla1[[#This Row],[map]],"[",""),"]",""),",",REPT(" ",100)),901,200))," ",", ")</f>
        <v>2, 3</v>
      </c>
      <c r="CA3" t="str">
        <f>SUBSTITUTE(TRIM(MID(SUBSTITUTE(SUBSTITUTE(SUBSTITUTE(Tabla1[[#This Row],[map]],"[",""),"]",""),",",REPT(" ",100)),1501,200))," ",", ")</f>
        <v>3, 2</v>
      </c>
      <c r="CB3" t="str">
        <f>SUBSTITUTE(TRIM(MID(SUBSTITUTE(SUBSTITUTE(SUBSTITUTE(Tabla1[[#This Row],[map]],"[",""),"]",""),",",REPT(" ",100)),601,300))," ",", ")</f>
        <v>0, 1, 4</v>
      </c>
      <c r="CC3" t="str">
        <f>SUBSTITUTE(TRIM(MID(SUBSTITUTE(SUBSTITUTE(SUBSTITUTE(Tabla1[[#This Row],[map]],"[",""),"]",""),",",REPT(" ",100)),1201,300))," ",", ")</f>
        <v>0, 1, 4</v>
      </c>
      <c r="CD3" t="str">
        <f>SUBSTITUTE(TRIM(MID(SUBSTITUTE(SUBSTITUTE(SUBSTITUTE(Tabla1[[#This Row],[map]],"[",""),"]",""),",",REPT(" ",100)),1,300))," ",", ")</f>
        <v>2, 3, 4</v>
      </c>
      <c r="CE3" t="str">
        <f>SUBSTITUTE(TRIM(MID(SUBSTITUTE(SUBSTITUTE(SUBSTITUTE(Tabla1[[#This Row],[map]],"[",""),"]",""),",",REPT(" ",100)),1,600))," ",", ")</f>
        <v>2, 3, 4, 0, 1, -1</v>
      </c>
      <c r="CF3" t="str">
        <f>SUBSTITUTE(TRIM(MID(SUBSTITUTE(SUBSTITUTE(SUBSTITUTE(Tabla1[[#This Row],[map]],"[",""),"]",""),",",REPT(" ",100)),601,600))," ",", ")</f>
        <v>0, 1, 4, 2, 3, -1</v>
      </c>
      <c r="CG3" t="str">
        <f>SUBSTITUTE(TRIM(MID(SUBSTITUTE(SUBSTITUTE(SUBSTITUTE(Tabla1[[#This Row],[map]],"[",""),"]",""),",",REPT(" ",100)),1201,600))," ",", ")</f>
        <v>0, 1, 4, 3, 2, -1</v>
      </c>
    </row>
    <row r="4" spans="1:85" x14ac:dyDescent="0.3">
      <c r="A4" s="1">
        <v>46093.415127314824</v>
      </c>
      <c r="B4" t="s">
        <v>95</v>
      </c>
      <c r="C4">
        <v>3</v>
      </c>
      <c r="D4" t="s">
        <v>96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85</v>
      </c>
      <c r="R4">
        <v>3</v>
      </c>
      <c r="S4" t="s">
        <v>86</v>
      </c>
      <c r="T4" t="s">
        <v>87</v>
      </c>
      <c r="U4" t="s">
        <v>88</v>
      </c>
      <c r="V4">
        <v>1</v>
      </c>
      <c r="W4" t="s">
        <v>89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180</v>
      </c>
      <c r="AH4">
        <v>60</v>
      </c>
      <c r="AI4">
        <v>120</v>
      </c>
      <c r="AJ4">
        <v>0.1035220405720817</v>
      </c>
      <c r="AK4">
        <v>16.1252017927076</v>
      </c>
      <c r="AL4">
        <v>0.7467008042529607</v>
      </c>
      <c r="AM4">
        <v>-0.43116138143810567</v>
      </c>
      <c r="AN4">
        <v>23.668616044752689</v>
      </c>
      <c r="AO4">
        <v>0.68783730448900349</v>
      </c>
      <c r="AP4">
        <v>23.668616044752689</v>
      </c>
      <c r="AQ4">
        <v>23.668616044752689</v>
      </c>
      <c r="AR4">
        <v>0.68783730448900349</v>
      </c>
      <c r="AS4">
        <v>137.76235009650179</v>
      </c>
      <c r="AT4">
        <v>-0.30203457423478403</v>
      </c>
      <c r="AU4">
        <v>0.8</v>
      </c>
      <c r="AV4" t="s">
        <v>93</v>
      </c>
      <c r="AW4">
        <v>6.545930711777169E-2</v>
      </c>
      <c r="AX4">
        <v>0.52468079415509616</v>
      </c>
      <c r="AY4">
        <v>6.545930711777169E-2</v>
      </c>
      <c r="AZ4">
        <v>6.545930711777169E-2</v>
      </c>
      <c r="BA4">
        <v>0.52468079415509616</v>
      </c>
      <c r="BB4">
        <v>0.15541682053718761</v>
      </c>
      <c r="BC4">
        <v>-0.12852706460469279</v>
      </c>
      <c r="BD4">
        <v>5.5478358114399898E-2</v>
      </c>
      <c r="BE4">
        <v>0.80777933831288784</v>
      </c>
      <c r="BF4">
        <v>5.5478358114399898E-2</v>
      </c>
      <c r="BG4">
        <v>5.5478358114399898E-2</v>
      </c>
      <c r="BH4">
        <v>0.80777933831288784</v>
      </c>
      <c r="BI4">
        <v>0.37379338219500041</v>
      </c>
      <c r="BJ4">
        <v>-0.29511423376347312</v>
      </c>
      <c r="BK4">
        <v>7.7768580730357806E-2</v>
      </c>
      <c r="BL4">
        <v>0.68778374671783515</v>
      </c>
      <c r="BM4">
        <v>7.7768580730357806E-2</v>
      </c>
      <c r="BN4">
        <v>7.7768580730357806E-2</v>
      </c>
      <c r="BO4">
        <v>0.68778374671783515</v>
      </c>
      <c r="BP4">
        <v>0.30350668121247071</v>
      </c>
      <c r="BQ4">
        <v>-0.21848332532667031</v>
      </c>
      <c r="BR4">
        <v>94.475757933048513</v>
      </c>
      <c r="BS4">
        <v>0.73110533877019668</v>
      </c>
      <c r="BT4">
        <v>94.475757933048513</v>
      </c>
      <c r="BU4">
        <v>94.475757933048513</v>
      </c>
      <c r="BV4">
        <v>0.73110533877019668</v>
      </c>
      <c r="BW4">
        <v>550.21668350206471</v>
      </c>
      <c r="BX4">
        <v>-0.56601367324431062</v>
      </c>
      <c r="BY4" t="str">
        <f t="shared" si="0"/>
        <v>[[sv,wv],[yr],[ya]]</v>
      </c>
      <c r="BZ4" t="str">
        <f>SUBSTITUTE(TRIM(MID(SUBSTITUTE(SUBSTITUTE(SUBSTITUTE(Tabla1[[#This Row],[map]],"[",""),"]",""),",",REPT(" ",100)),901,200))," ",", ")</f>
        <v>2, 3</v>
      </c>
      <c r="CA4" t="str">
        <f>SUBSTITUTE(TRIM(MID(SUBSTITUTE(SUBSTITUTE(SUBSTITUTE(Tabla1[[#This Row],[map]],"[",""),"]",""),",",REPT(" ",100)),1501,200))," ",", ")</f>
        <v>3, 2</v>
      </c>
      <c r="CB4" t="str">
        <f>SUBSTITUTE(TRIM(MID(SUBSTITUTE(SUBSTITUTE(SUBSTITUTE(Tabla1[[#This Row],[map]],"[",""),"]",""),",",REPT(" ",100)),601,300))," ",", ")</f>
        <v>0, 1, 4</v>
      </c>
      <c r="CC4" t="str">
        <f>SUBSTITUTE(TRIM(MID(SUBSTITUTE(SUBSTITUTE(SUBSTITUTE(Tabla1[[#This Row],[map]],"[",""),"]",""),",",REPT(" ",100)),1201,300))," ",", ")</f>
        <v>0, 1, 4</v>
      </c>
      <c r="CD4" t="str">
        <f>SUBSTITUTE(TRIM(MID(SUBSTITUTE(SUBSTITUTE(SUBSTITUTE(Tabla1[[#This Row],[map]],"[",""),"]",""),",",REPT(" ",100)),1,300))," ",", ")</f>
        <v>2, 3, 4</v>
      </c>
      <c r="CE4" t="str">
        <f>SUBSTITUTE(TRIM(MID(SUBSTITUTE(SUBSTITUTE(SUBSTITUTE(Tabla1[[#This Row],[map]],"[",""),"]",""),",",REPT(" ",100)),1,600))," ",", ")</f>
        <v>2, 3, 4, 0, 1, -1</v>
      </c>
      <c r="CF4" t="str">
        <f>SUBSTITUTE(TRIM(MID(SUBSTITUTE(SUBSTITUTE(SUBSTITUTE(Tabla1[[#This Row],[map]],"[",""),"]",""),",",REPT(" ",100)),601,600))," ",", ")</f>
        <v>0, 1, 4, 2, 3, -1</v>
      </c>
      <c r="CG4" t="str">
        <f>SUBSTITUTE(TRIM(MID(SUBSTITUTE(SUBSTITUTE(SUBSTITUTE(Tabla1[[#This Row],[map]],"[",""),"]",""),",",REPT(" ",100)),1201,600))," ",", ")</f>
        <v>0, 1, 4, 3, 2, -1</v>
      </c>
    </row>
    <row r="5" spans="1:85" x14ac:dyDescent="0.3">
      <c r="A5" s="1">
        <v>46093.416134259263</v>
      </c>
      <c r="B5" t="s">
        <v>97</v>
      </c>
      <c r="C5">
        <v>2</v>
      </c>
      <c r="D5" t="s">
        <v>96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85</v>
      </c>
      <c r="R5">
        <v>3</v>
      </c>
      <c r="S5" t="s">
        <v>86</v>
      </c>
      <c r="T5" t="s">
        <v>87</v>
      </c>
      <c r="U5" t="s">
        <v>88</v>
      </c>
      <c r="V5">
        <v>1</v>
      </c>
      <c r="W5" t="s">
        <v>89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180</v>
      </c>
      <c r="AH5">
        <v>60</v>
      </c>
      <c r="AI5">
        <v>120</v>
      </c>
      <c r="AJ5">
        <v>0.1135427643375105</v>
      </c>
      <c r="AK5">
        <v>19.008850877511719</v>
      </c>
      <c r="AL5">
        <v>0.68637973604914304</v>
      </c>
      <c r="AM5">
        <v>-0.52543965282693894</v>
      </c>
      <c r="AN5">
        <v>26.267620561511471</v>
      </c>
      <c r="AO5">
        <v>0.62754039270927975</v>
      </c>
      <c r="AP5">
        <v>26.267620561511471</v>
      </c>
      <c r="AQ5">
        <v>26.267620561511471</v>
      </c>
      <c r="AR5">
        <v>0.62754039270927975</v>
      </c>
      <c r="AS5">
        <v>161.99122467260679</v>
      </c>
      <c r="AT5">
        <v>-0.49706282644871053</v>
      </c>
      <c r="AU5">
        <v>0.8</v>
      </c>
      <c r="AV5" t="s">
        <v>93</v>
      </c>
      <c r="AW5">
        <v>5.4161391534806633E-2</v>
      </c>
      <c r="AX5">
        <v>0.60671826902381154</v>
      </c>
      <c r="AY5">
        <v>5.4161391534806633E-2</v>
      </c>
      <c r="AZ5">
        <v>5.4161391534806633E-2</v>
      </c>
      <c r="BA5">
        <v>0.60671826902381154</v>
      </c>
      <c r="BB5">
        <v>0.1919391849830899</v>
      </c>
      <c r="BC5">
        <v>-0.39372665238479893</v>
      </c>
      <c r="BD5">
        <v>8.1421887864314993E-2</v>
      </c>
      <c r="BE5">
        <v>0.71789054880068393</v>
      </c>
      <c r="BF5">
        <v>8.1421887864314993E-2</v>
      </c>
      <c r="BG5">
        <v>8.1421887864314993E-2</v>
      </c>
      <c r="BH5">
        <v>0.71789054880068393</v>
      </c>
      <c r="BI5">
        <v>0.39462681581410142</v>
      </c>
      <c r="BJ5">
        <v>-0.36729763160701362</v>
      </c>
      <c r="BK5">
        <v>0.12856553233715001</v>
      </c>
      <c r="BL5">
        <v>0.48385005318911789</v>
      </c>
      <c r="BM5">
        <v>0.12856553233715001</v>
      </c>
      <c r="BN5">
        <v>0.12856553233715001</v>
      </c>
      <c r="BO5">
        <v>0.48385005318911789</v>
      </c>
      <c r="BP5">
        <v>0.3451471201964349</v>
      </c>
      <c r="BQ5">
        <v>-0.38565651689711761</v>
      </c>
      <c r="BR5">
        <v>104.8063334343103</v>
      </c>
      <c r="BS5">
        <v>0.70170269982350264</v>
      </c>
      <c r="BT5">
        <v>104.8063334343103</v>
      </c>
      <c r="BU5">
        <v>104.8063334343103</v>
      </c>
      <c r="BV5">
        <v>0.70170269982350264</v>
      </c>
      <c r="BW5">
        <v>647.03318556943861</v>
      </c>
      <c r="BX5">
        <v>-0.84157050490593099</v>
      </c>
      <c r="BY5" t="str">
        <f t="shared" si="0"/>
        <v>[[sv,wv],[yr],[ya]]</v>
      </c>
      <c r="BZ5" t="str">
        <f>SUBSTITUTE(TRIM(MID(SUBSTITUTE(SUBSTITUTE(SUBSTITUTE(Tabla1[[#This Row],[map]],"[",""),"]",""),",",REPT(" ",100)),901,200))," ",", ")</f>
        <v>2, 3</v>
      </c>
      <c r="CA5" t="str">
        <f>SUBSTITUTE(TRIM(MID(SUBSTITUTE(SUBSTITUTE(SUBSTITUTE(Tabla1[[#This Row],[map]],"[",""),"]",""),",",REPT(" ",100)),1501,200))," ",", ")</f>
        <v>3, 2</v>
      </c>
      <c r="CB5" t="str">
        <f>SUBSTITUTE(TRIM(MID(SUBSTITUTE(SUBSTITUTE(SUBSTITUTE(Tabla1[[#This Row],[map]],"[",""),"]",""),",",REPT(" ",100)),601,300))," ",", ")</f>
        <v>0, 1, 4</v>
      </c>
      <c r="CC5" t="str">
        <f>SUBSTITUTE(TRIM(MID(SUBSTITUTE(SUBSTITUTE(SUBSTITUTE(Tabla1[[#This Row],[map]],"[",""),"]",""),",",REPT(" ",100)),1201,300))," ",", ")</f>
        <v>0, 1, 4</v>
      </c>
      <c r="CD5" t="str">
        <f>SUBSTITUTE(TRIM(MID(SUBSTITUTE(SUBSTITUTE(SUBSTITUTE(Tabla1[[#This Row],[map]],"[",""),"]",""),",",REPT(" ",100)),1,300))," ",", ")</f>
        <v>2, 3, 4</v>
      </c>
      <c r="CE5" t="str">
        <f>SUBSTITUTE(TRIM(MID(SUBSTITUTE(SUBSTITUTE(SUBSTITUTE(Tabla1[[#This Row],[map]],"[",""),"]",""),",",REPT(" ",100)),1,600))," ",", ")</f>
        <v>2, 3, 4, 0, 1, -1</v>
      </c>
      <c r="CF5" t="str">
        <f>SUBSTITUTE(TRIM(MID(SUBSTITUTE(SUBSTITUTE(SUBSTITUTE(Tabla1[[#This Row],[map]],"[",""),"]",""),",",REPT(" ",100)),601,600))," ",", ")</f>
        <v>0, 1, 4, 2, 3, -1</v>
      </c>
      <c r="CG5" t="str">
        <f>SUBSTITUTE(TRIM(MID(SUBSTITUTE(SUBSTITUTE(SUBSTITUTE(Tabla1[[#This Row],[map]],"[",""),"]",""),",",REPT(" ",100)),1201,600))," ",", ")</f>
        <v>0, 1, 4, 3, 2, -1</v>
      </c>
    </row>
    <row r="6" spans="1:85" x14ac:dyDescent="0.3">
      <c r="A6" s="1">
        <v>46093.583969907413</v>
      </c>
      <c r="B6" t="s">
        <v>98</v>
      </c>
      <c r="C6">
        <v>1</v>
      </c>
      <c r="D6" t="s">
        <v>96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99</v>
      </c>
      <c r="R6">
        <v>3</v>
      </c>
      <c r="S6" t="s">
        <v>86</v>
      </c>
      <c r="T6" t="s">
        <v>87</v>
      </c>
      <c r="U6" t="s">
        <v>88</v>
      </c>
      <c r="V6">
        <v>1</v>
      </c>
      <c r="W6" t="s">
        <v>100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180</v>
      </c>
      <c r="AH6">
        <v>60</v>
      </c>
      <c r="AI6">
        <v>120</v>
      </c>
      <c r="AJ6">
        <v>0.1104064474367619</v>
      </c>
      <c r="AK6">
        <v>25.719898502601222</v>
      </c>
      <c r="AL6">
        <v>0.72868956705442545</v>
      </c>
      <c r="AM6">
        <v>-0.4669051087969433</v>
      </c>
      <c r="AN6">
        <v>30.297734981834381</v>
      </c>
      <c r="AO6">
        <v>0.67877023040992146</v>
      </c>
      <c r="AP6">
        <v>30.297734981834381</v>
      </c>
      <c r="AQ6">
        <v>30.297734981834381</v>
      </c>
      <c r="AR6">
        <v>0.67877023040992146</v>
      </c>
      <c r="AS6">
        <v>124.9776206600645</v>
      </c>
      <c r="AT6">
        <v>-0.39043369175753939</v>
      </c>
      <c r="AU6">
        <v>0.8</v>
      </c>
      <c r="AV6" t="s">
        <v>93</v>
      </c>
      <c r="AW6">
        <v>6.2977287862493611E-2</v>
      </c>
      <c r="AX6">
        <v>0.54270346309639694</v>
      </c>
      <c r="AY6">
        <v>6.2977287862493611E-2</v>
      </c>
      <c r="AZ6">
        <v>6.2977287862493611E-2</v>
      </c>
      <c r="BA6">
        <v>0.54270346309639694</v>
      </c>
      <c r="BB6">
        <v>0.1994029556250877</v>
      </c>
      <c r="BC6">
        <v>-0.44792327759166312</v>
      </c>
      <c r="BD6">
        <v>8.2888784322169312E-2</v>
      </c>
      <c r="BE6">
        <v>0.71280806587691392</v>
      </c>
      <c r="BF6">
        <v>8.2888784322169312E-2</v>
      </c>
      <c r="BG6">
        <v>8.2888784322169312E-2</v>
      </c>
      <c r="BH6">
        <v>0.71280806587691392</v>
      </c>
      <c r="BI6">
        <v>0.44598554213335628</v>
      </c>
      <c r="BJ6">
        <v>-0.54524464900319103</v>
      </c>
      <c r="BK6">
        <v>4.8834228279384502E-2</v>
      </c>
      <c r="BL6">
        <v>0.80394601981769742</v>
      </c>
      <c r="BM6">
        <v>4.8834228279384502E-2</v>
      </c>
      <c r="BN6">
        <v>4.8834228279384502E-2</v>
      </c>
      <c r="BO6">
        <v>0.80394601981769742</v>
      </c>
      <c r="BP6">
        <v>0.28604607389899539</v>
      </c>
      <c r="BQ6">
        <v>-0.14838450978642001</v>
      </c>
      <c r="BR6">
        <v>120.9962396268738</v>
      </c>
      <c r="BS6">
        <v>0.65562337284867445</v>
      </c>
      <c r="BT6">
        <v>120.9962396268738</v>
      </c>
      <c r="BU6">
        <v>120.9962396268738</v>
      </c>
      <c r="BV6">
        <v>0.65562337284867445</v>
      </c>
      <c r="BW6">
        <v>498.97904806860208</v>
      </c>
      <c r="BX6">
        <v>-0.420182330648883</v>
      </c>
      <c r="BY6" t="str">
        <f t="shared" si="0"/>
        <v>[[sv,wv],[yr],[ya]]</v>
      </c>
      <c r="BZ6" t="str">
        <f>SUBSTITUTE(TRIM(MID(SUBSTITUTE(SUBSTITUTE(SUBSTITUTE(Tabla1[[#This Row],[map]],"[",""),"]",""),",",REPT(" ",100)),901,200))," ",", ")</f>
        <v>2, 3</v>
      </c>
      <c r="CA6" t="str">
        <f>SUBSTITUTE(TRIM(MID(SUBSTITUTE(SUBSTITUTE(SUBSTITUTE(Tabla1[[#This Row],[map]],"[",""),"]",""),",",REPT(" ",100)),1501,200))," ",", ")</f>
        <v>3, 2</v>
      </c>
      <c r="CB6" t="str">
        <f>SUBSTITUTE(TRIM(MID(SUBSTITUTE(SUBSTITUTE(SUBSTITUTE(Tabla1[[#This Row],[map]],"[",""),"]",""),",",REPT(" ",100)),601,300))," ",", ")</f>
        <v>4, 0, 1</v>
      </c>
      <c r="CC6" t="str">
        <f>SUBSTITUTE(TRIM(MID(SUBSTITUTE(SUBSTITUTE(SUBSTITUTE(Tabla1[[#This Row],[map]],"[",""),"]",""),",",REPT(" ",100)),1201,300))," ",", ")</f>
        <v>0, 1, 4</v>
      </c>
      <c r="CD6" t="str">
        <f>SUBSTITUTE(TRIM(MID(SUBSTITUTE(SUBSTITUTE(SUBSTITUTE(Tabla1[[#This Row],[map]],"[",""),"]",""),",",REPT(" ",100)),1,300))," ",", ")</f>
        <v>2, 3, 4</v>
      </c>
      <c r="CE6" t="str">
        <f>SUBSTITUTE(TRIM(MID(SUBSTITUTE(SUBSTITUTE(SUBSTITUTE(Tabla1[[#This Row],[map]],"[",""),"]",""),",",REPT(" ",100)),1,600))," ",", ")</f>
        <v>2, 3, 4, 0, 1, -1</v>
      </c>
      <c r="CF6" t="str">
        <f>SUBSTITUTE(TRIM(MID(SUBSTITUTE(SUBSTITUTE(SUBSTITUTE(Tabla1[[#This Row],[map]],"[",""),"]",""),",",REPT(" ",100)),601,600))," ",", ")</f>
        <v>4, 0, 1, 2, 3, -1</v>
      </c>
      <c r="CG6" t="str">
        <f>SUBSTITUTE(TRIM(MID(SUBSTITUTE(SUBSTITUTE(SUBSTITUTE(Tabla1[[#This Row],[map]],"[",""),"]",""),",",REPT(" ",100)),1201,600))," ",", ")</f>
        <v>0, 1, 4, 3, 2, -1</v>
      </c>
    </row>
    <row r="7" spans="1:85" x14ac:dyDescent="0.3">
      <c r="A7" s="1">
        <v>46093.582546296297</v>
      </c>
      <c r="B7" t="s">
        <v>101</v>
      </c>
      <c r="C7">
        <v>0</v>
      </c>
      <c r="D7" t="s">
        <v>96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99</v>
      </c>
      <c r="R7">
        <v>3</v>
      </c>
      <c r="S7" t="s">
        <v>86</v>
      </c>
      <c r="T7" t="s">
        <v>87</v>
      </c>
      <c r="U7" t="s">
        <v>88</v>
      </c>
      <c r="V7">
        <v>1</v>
      </c>
      <c r="W7" t="s">
        <v>100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180</v>
      </c>
      <c r="AH7">
        <v>60</v>
      </c>
      <c r="AI7">
        <v>120</v>
      </c>
      <c r="AJ7">
        <v>9.3996117409163901E-2</v>
      </c>
      <c r="AK7">
        <v>14.73292406300734</v>
      </c>
      <c r="AL7">
        <v>0.77792916952207691</v>
      </c>
      <c r="AM7">
        <v>0.45272785192873422</v>
      </c>
      <c r="AN7">
        <v>18.69132451032246</v>
      </c>
      <c r="AO7">
        <v>0.75425237225827757</v>
      </c>
      <c r="AP7">
        <v>18.69132451032246</v>
      </c>
      <c r="AQ7">
        <v>18.69132451032246</v>
      </c>
      <c r="AR7">
        <v>0.75425237225827757</v>
      </c>
      <c r="AS7">
        <v>50.212871681866631</v>
      </c>
      <c r="AT7">
        <v>0.43913829504871887</v>
      </c>
      <c r="AU7">
        <v>0.8</v>
      </c>
      <c r="AV7" t="s">
        <v>93</v>
      </c>
      <c r="AW7">
        <v>5.0245514103920703E-2</v>
      </c>
      <c r="AX7">
        <v>0.63515260223919245</v>
      </c>
      <c r="AY7">
        <v>5.0245514103920703E-2</v>
      </c>
      <c r="AZ7">
        <v>5.0245514103920703E-2</v>
      </c>
      <c r="BA7">
        <v>0.63515260223919245</v>
      </c>
      <c r="BB7">
        <v>0.1449669401908962</v>
      </c>
      <c r="BC7">
        <v>-5.2647422028626163E-2</v>
      </c>
      <c r="BD7">
        <v>5.9210116368903831E-2</v>
      </c>
      <c r="BE7">
        <v>0.79484959299746361</v>
      </c>
      <c r="BF7">
        <v>5.9210116368903831E-2</v>
      </c>
      <c r="BG7">
        <v>5.9210116368903831E-2</v>
      </c>
      <c r="BH7">
        <v>0.79484959299746361</v>
      </c>
      <c r="BI7">
        <v>9.0253358124141869E-2</v>
      </c>
      <c r="BJ7">
        <v>0.68729139059356048</v>
      </c>
      <c r="BK7">
        <v>4.9979346697668611E-2</v>
      </c>
      <c r="BL7">
        <v>0.79934873157142372</v>
      </c>
      <c r="BM7">
        <v>4.9979346697668611E-2</v>
      </c>
      <c r="BN7">
        <v>4.9979346697668611E-2</v>
      </c>
      <c r="BO7">
        <v>0.79934873157142372</v>
      </c>
      <c r="BP7">
        <v>7.6548845231155516E-2</v>
      </c>
      <c r="BQ7">
        <v>0.69268059894247058</v>
      </c>
      <c r="BR7">
        <v>74.605863064119646</v>
      </c>
      <c r="BS7">
        <v>0.78765856222503006</v>
      </c>
      <c r="BT7">
        <v>74.605863064119646</v>
      </c>
      <c r="BU7">
        <v>74.605863064119646</v>
      </c>
      <c r="BV7">
        <v>0.78765856222503006</v>
      </c>
      <c r="BW7">
        <v>200.53971758392021</v>
      </c>
      <c r="BX7">
        <v>0.42922861268747209</v>
      </c>
      <c r="BY7" t="str">
        <f t="shared" si="0"/>
        <v>[[sv,wv],[yr],[ya]]</v>
      </c>
      <c r="BZ7" t="str">
        <f>SUBSTITUTE(TRIM(MID(SUBSTITUTE(SUBSTITUTE(SUBSTITUTE(Tabla1[[#This Row],[map]],"[",""),"]",""),",",REPT(" ",100)),901,200))," ",", ")</f>
        <v>2, 3</v>
      </c>
      <c r="CA7" t="str">
        <f>SUBSTITUTE(TRIM(MID(SUBSTITUTE(SUBSTITUTE(SUBSTITUTE(Tabla1[[#This Row],[map]],"[",""),"]",""),",",REPT(" ",100)),1501,200))," ",", ")</f>
        <v>3, 2</v>
      </c>
      <c r="CB7" t="str">
        <f>SUBSTITUTE(TRIM(MID(SUBSTITUTE(SUBSTITUTE(SUBSTITUTE(Tabla1[[#This Row],[map]],"[",""),"]",""),",",REPT(" ",100)),601,300))," ",", ")</f>
        <v>4, 0, 1</v>
      </c>
      <c r="CC7" t="str">
        <f>SUBSTITUTE(TRIM(MID(SUBSTITUTE(SUBSTITUTE(SUBSTITUTE(Tabla1[[#This Row],[map]],"[",""),"]",""),",",REPT(" ",100)),1201,300))," ",", ")</f>
        <v>0, 1, 4</v>
      </c>
      <c r="CD7" t="str">
        <f>SUBSTITUTE(TRIM(MID(SUBSTITUTE(SUBSTITUTE(SUBSTITUTE(Tabla1[[#This Row],[map]],"[",""),"]",""),",",REPT(" ",100)),1,300))," ",", ")</f>
        <v>2, 3, 4</v>
      </c>
      <c r="CE7" t="str">
        <f>SUBSTITUTE(TRIM(MID(SUBSTITUTE(SUBSTITUTE(SUBSTITUTE(Tabla1[[#This Row],[map]],"[",""),"]",""),",",REPT(" ",100)),1,600))," ",", ")</f>
        <v>2, 3, 4, 0, 1, -1</v>
      </c>
      <c r="CF7" t="str">
        <f>SUBSTITUTE(TRIM(MID(SUBSTITUTE(SUBSTITUTE(SUBSTITUTE(Tabla1[[#This Row],[map]],"[",""),"]",""),",",REPT(" ",100)),601,600))," ",", ")</f>
        <v>4, 0, 1, 2, 3, -1</v>
      </c>
      <c r="CG7" t="str">
        <f>SUBSTITUTE(TRIM(MID(SUBSTITUTE(SUBSTITUTE(SUBSTITUTE(Tabla1[[#This Row],[map]],"[",""),"]",""),",",REPT(" ",100)),1201,600))," ",", ")</f>
        <v>0, 1, 4, 3, 2, -1</v>
      </c>
    </row>
    <row r="8" spans="1:85" x14ac:dyDescent="0.3">
      <c r="A8" s="1">
        <v>46093.584618055553</v>
      </c>
      <c r="B8" t="s">
        <v>102</v>
      </c>
      <c r="C8">
        <v>2</v>
      </c>
      <c r="D8" t="s">
        <v>77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99</v>
      </c>
      <c r="R8">
        <v>3</v>
      </c>
      <c r="S8" t="s">
        <v>86</v>
      </c>
      <c r="T8" t="s">
        <v>87</v>
      </c>
      <c r="U8" t="s">
        <v>88</v>
      </c>
      <c r="V8">
        <v>1</v>
      </c>
      <c r="W8" t="s">
        <v>100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180</v>
      </c>
      <c r="AH8">
        <v>60</v>
      </c>
      <c r="AI8">
        <v>120</v>
      </c>
      <c r="AJ8">
        <v>9.704650341871851E-2</v>
      </c>
      <c r="AK8">
        <v>19.025659524055659</v>
      </c>
      <c r="AL8">
        <v>0.74706559222634628</v>
      </c>
      <c r="AM8">
        <v>-0.43664581147167109</v>
      </c>
      <c r="AN8">
        <v>25.53286464696054</v>
      </c>
      <c r="AO8">
        <v>0.6833123725761997</v>
      </c>
      <c r="AP8">
        <v>25.53286464696054</v>
      </c>
      <c r="AQ8">
        <v>25.53286464696054</v>
      </c>
      <c r="AR8">
        <v>0.6833123725761997</v>
      </c>
      <c r="AS8">
        <v>111.96782158145071</v>
      </c>
      <c r="AT8">
        <v>-0.35594515198064952</v>
      </c>
      <c r="AU8">
        <v>0.8</v>
      </c>
      <c r="AV8" t="s">
        <v>93</v>
      </c>
      <c r="AW8">
        <v>6.0454001493355732E-2</v>
      </c>
      <c r="AX8">
        <v>0.56102578464098707</v>
      </c>
      <c r="AY8">
        <v>6.0454001493355732E-2</v>
      </c>
      <c r="AZ8">
        <v>6.0454001493355732E-2</v>
      </c>
      <c r="BA8">
        <v>0.56102578464098707</v>
      </c>
      <c r="BB8">
        <v>0.22018252002688901</v>
      </c>
      <c r="BC8">
        <v>-0.59880978226390269</v>
      </c>
      <c r="BD8">
        <v>7.9545610202796352E-2</v>
      </c>
      <c r="BE8">
        <v>0.72439145015869033</v>
      </c>
      <c r="BF8">
        <v>7.9545610202796352E-2</v>
      </c>
      <c r="BG8">
        <v>7.9545610202796352E-2</v>
      </c>
      <c r="BH8">
        <v>0.72439145015869033</v>
      </c>
      <c r="BI8">
        <v>0.36992648240405479</v>
      </c>
      <c r="BJ8">
        <v>-0.28171625188807958</v>
      </c>
      <c r="BK8">
        <v>6.5277337830184731E-2</v>
      </c>
      <c r="BL8">
        <v>0.73793213595810692</v>
      </c>
      <c r="BM8">
        <v>6.5277337830184731E-2</v>
      </c>
      <c r="BN8">
        <v>6.5277337830184731E-2</v>
      </c>
      <c r="BO8">
        <v>0.73793213595810692</v>
      </c>
      <c r="BP8">
        <v>0.31661638579265022</v>
      </c>
      <c r="BQ8">
        <v>-0.27111464259155998</v>
      </c>
      <c r="BR8">
        <v>101.9261816383153</v>
      </c>
      <c r="BS8">
        <v>0.70990011954701859</v>
      </c>
      <c r="BT8">
        <v>101.9261816383153</v>
      </c>
      <c r="BU8">
        <v>101.9261816383153</v>
      </c>
      <c r="BV8">
        <v>0.70990011954701859</v>
      </c>
      <c r="BW8">
        <v>446.96456093757962</v>
      </c>
      <c r="BX8">
        <v>-0.27213993117906399</v>
      </c>
      <c r="BY8" t="str">
        <f t="shared" si="0"/>
        <v>[[sv,wv],[yr],[ya]]</v>
      </c>
      <c r="BZ8" t="str">
        <f>SUBSTITUTE(TRIM(MID(SUBSTITUTE(SUBSTITUTE(SUBSTITUTE(Tabla1[[#This Row],[map]],"[",""),"]",""),",",REPT(" ",100)),901,200))," ",", ")</f>
        <v>2, 3</v>
      </c>
      <c r="CA8" t="str">
        <f>SUBSTITUTE(TRIM(MID(SUBSTITUTE(SUBSTITUTE(SUBSTITUTE(Tabla1[[#This Row],[map]],"[",""),"]",""),",",REPT(" ",100)),1501,200))," ",", ")</f>
        <v>3, 2</v>
      </c>
      <c r="CB8" t="str">
        <f>SUBSTITUTE(TRIM(MID(SUBSTITUTE(SUBSTITUTE(SUBSTITUTE(Tabla1[[#This Row],[map]],"[",""),"]",""),",",REPT(" ",100)),601,300))," ",", ")</f>
        <v>4, 0, 1</v>
      </c>
      <c r="CC8" t="str">
        <f>SUBSTITUTE(TRIM(MID(SUBSTITUTE(SUBSTITUTE(SUBSTITUTE(Tabla1[[#This Row],[map]],"[",""),"]",""),",",REPT(" ",100)),1201,300))," ",", ")</f>
        <v>0, 1, 4</v>
      </c>
      <c r="CD8" t="str">
        <f>SUBSTITUTE(TRIM(MID(SUBSTITUTE(SUBSTITUTE(SUBSTITUTE(Tabla1[[#This Row],[map]],"[",""),"]",""),",",REPT(" ",100)),1,300))," ",", ")</f>
        <v>2, 3, 4</v>
      </c>
      <c r="CE8" t="str">
        <f>SUBSTITUTE(TRIM(MID(SUBSTITUTE(SUBSTITUTE(SUBSTITUTE(Tabla1[[#This Row],[map]],"[",""),"]",""),",",REPT(" ",100)),1,600))," ",", ")</f>
        <v>2, 3, 4, 0, 1, -1</v>
      </c>
      <c r="CF8" t="str">
        <f>SUBSTITUTE(TRIM(MID(SUBSTITUTE(SUBSTITUTE(SUBSTITUTE(Tabla1[[#This Row],[map]],"[",""),"]",""),",",REPT(" ",100)),601,600))," ",", ")</f>
        <v>4, 0, 1, 2, 3, -1</v>
      </c>
      <c r="CG8" t="str">
        <f>SUBSTITUTE(TRIM(MID(SUBSTITUTE(SUBSTITUTE(SUBSTITUTE(Tabla1[[#This Row],[map]],"[",""),"]",""),",",REPT(" ",100)),1201,600))," ",", ")</f>
        <v>0, 1, 4, 3, 2, -1</v>
      </c>
    </row>
    <row r="9" spans="1:85" x14ac:dyDescent="0.3">
      <c r="A9" s="1">
        <v>46093.584444444437</v>
      </c>
      <c r="B9" t="s">
        <v>103</v>
      </c>
      <c r="C9">
        <v>3</v>
      </c>
      <c r="D9" t="s">
        <v>77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99</v>
      </c>
      <c r="R9">
        <v>3</v>
      </c>
      <c r="S9" t="s">
        <v>86</v>
      </c>
      <c r="T9" t="s">
        <v>87</v>
      </c>
      <c r="U9" t="s">
        <v>88</v>
      </c>
      <c r="V9">
        <v>1</v>
      </c>
      <c r="W9" t="s">
        <v>100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180</v>
      </c>
      <c r="AH9">
        <v>60</v>
      </c>
      <c r="AI9">
        <v>120</v>
      </c>
      <c r="AJ9">
        <v>0.1029410532274844</v>
      </c>
      <c r="AK9">
        <v>27.85933205069292</v>
      </c>
      <c r="AL9">
        <v>0.75111927173311832</v>
      </c>
      <c r="AM9">
        <v>0.41337634386370309</v>
      </c>
      <c r="AN9">
        <v>33.955130847368054</v>
      </c>
      <c r="AO9">
        <v>0.7090583999046004</v>
      </c>
      <c r="AP9">
        <v>33.955130847368054</v>
      </c>
      <c r="AQ9">
        <v>33.955130847368054</v>
      </c>
      <c r="AR9">
        <v>0.7090583999046004</v>
      </c>
      <c r="AS9">
        <v>74.835538455150441</v>
      </c>
      <c r="AT9">
        <v>0.41806588305152909</v>
      </c>
      <c r="AU9">
        <v>0.8</v>
      </c>
      <c r="AV9" t="s">
        <v>93</v>
      </c>
      <c r="AW9">
        <v>6.2183031689843869E-2</v>
      </c>
      <c r="AX9">
        <v>0.54847078985013209</v>
      </c>
      <c r="AY9">
        <v>6.2183031689843869E-2</v>
      </c>
      <c r="AZ9">
        <v>6.2183031689843869E-2</v>
      </c>
      <c r="BA9">
        <v>0.54847078985013209</v>
      </c>
      <c r="BB9">
        <v>0.13523487950704929</v>
      </c>
      <c r="BC9">
        <v>1.8019921687034261E-2</v>
      </c>
      <c r="BD9">
        <v>4.171215388951837E-2</v>
      </c>
      <c r="BE9">
        <v>0.85547629573852246</v>
      </c>
      <c r="BF9">
        <v>4.171215388951837E-2</v>
      </c>
      <c r="BG9">
        <v>4.171215388951837E-2</v>
      </c>
      <c r="BH9">
        <v>0.85547629573852246</v>
      </c>
      <c r="BI9">
        <v>7.5377545423312653E-2</v>
      </c>
      <c r="BJ9">
        <v>0.7388329043959444</v>
      </c>
      <c r="BK9">
        <v>4.5226168068207111E-2</v>
      </c>
      <c r="BL9">
        <v>0.81843124032925707</v>
      </c>
      <c r="BM9">
        <v>4.5226168068207111E-2</v>
      </c>
      <c r="BN9">
        <v>4.5226168068207111E-2</v>
      </c>
      <c r="BO9">
        <v>0.81843124032925707</v>
      </c>
      <c r="BP9">
        <v>5.8130020220660598E-2</v>
      </c>
      <c r="BQ9">
        <v>0.76662635545017199</v>
      </c>
      <c r="BR9">
        <v>135.6714020358242</v>
      </c>
      <c r="BS9">
        <v>0.61385527370049409</v>
      </c>
      <c r="BT9">
        <v>135.6714020358242</v>
      </c>
      <c r="BU9">
        <v>135.6714020358242</v>
      </c>
      <c r="BV9">
        <v>0.61385527370049409</v>
      </c>
      <c r="BW9">
        <v>299.07341137545109</v>
      </c>
      <c r="BX9">
        <v>0.14878435067296639</v>
      </c>
      <c r="BY9" t="str">
        <f t="shared" si="0"/>
        <v>[[sv,wv],[yr],[ya]]</v>
      </c>
      <c r="BZ9" t="str">
        <f>SUBSTITUTE(TRIM(MID(SUBSTITUTE(SUBSTITUTE(SUBSTITUTE(Tabla1[[#This Row],[map]],"[",""),"]",""),",",REPT(" ",100)),901,200))," ",", ")</f>
        <v>2, 3</v>
      </c>
      <c r="CA9" t="str">
        <f>SUBSTITUTE(TRIM(MID(SUBSTITUTE(SUBSTITUTE(SUBSTITUTE(Tabla1[[#This Row],[map]],"[",""),"]",""),",",REPT(" ",100)),1501,200))," ",", ")</f>
        <v>3, 2</v>
      </c>
      <c r="CB9" t="str">
        <f>SUBSTITUTE(TRIM(MID(SUBSTITUTE(SUBSTITUTE(SUBSTITUTE(Tabla1[[#This Row],[map]],"[",""),"]",""),",",REPT(" ",100)),601,300))," ",", ")</f>
        <v>4, 0, 1</v>
      </c>
      <c r="CC9" t="str">
        <f>SUBSTITUTE(TRIM(MID(SUBSTITUTE(SUBSTITUTE(SUBSTITUTE(Tabla1[[#This Row],[map]],"[",""),"]",""),",",REPT(" ",100)),1201,300))," ",", ")</f>
        <v>0, 1, 4</v>
      </c>
      <c r="CD9" t="str">
        <f>SUBSTITUTE(TRIM(MID(SUBSTITUTE(SUBSTITUTE(SUBSTITUTE(Tabla1[[#This Row],[map]],"[",""),"]",""),",",REPT(" ",100)),1,300))," ",", ")</f>
        <v>2, 3, 4</v>
      </c>
      <c r="CE9" t="str">
        <f>SUBSTITUTE(TRIM(MID(SUBSTITUTE(SUBSTITUTE(SUBSTITUTE(Tabla1[[#This Row],[map]],"[",""),"]",""),",",REPT(" ",100)),1,600))," ",", ")</f>
        <v>2, 3, 4, 0, 1, -1</v>
      </c>
      <c r="CF9" t="str">
        <f>SUBSTITUTE(TRIM(MID(SUBSTITUTE(SUBSTITUTE(SUBSTITUTE(Tabla1[[#This Row],[map]],"[",""),"]",""),",",REPT(" ",100)),601,600))," ",", ")</f>
        <v>4, 0, 1, 2, 3, -1</v>
      </c>
      <c r="CG9" t="str">
        <f>SUBSTITUTE(TRIM(MID(SUBSTITUTE(SUBSTITUTE(SUBSTITUTE(Tabla1[[#This Row],[map]],"[",""),"]",""),",",REPT(" ",100)),1201,600))," ",", ")</f>
        <v>0, 1, 4, 3, 2, -1</v>
      </c>
    </row>
    <row r="10" spans="1:85" x14ac:dyDescent="0.3">
      <c r="A10" s="1">
        <v>46093.742604166669</v>
      </c>
      <c r="B10" t="s">
        <v>104</v>
      </c>
      <c r="C10">
        <v>1</v>
      </c>
      <c r="D10" t="s">
        <v>96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105</v>
      </c>
      <c r="R10">
        <v>3</v>
      </c>
      <c r="S10" t="s">
        <v>86</v>
      </c>
      <c r="T10" t="s">
        <v>87</v>
      </c>
      <c r="U10" t="s">
        <v>88</v>
      </c>
      <c r="V10">
        <v>1</v>
      </c>
      <c r="W10" t="s">
        <v>106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180</v>
      </c>
      <c r="AH10">
        <v>60</v>
      </c>
      <c r="AI10">
        <v>120</v>
      </c>
      <c r="AJ10">
        <v>0.1202546011562</v>
      </c>
      <c r="AK10">
        <v>34.055857237739701</v>
      </c>
      <c r="AL10">
        <v>0.70057777915733277</v>
      </c>
      <c r="AM10">
        <v>-0.12346053153400351</v>
      </c>
      <c r="AN10">
        <v>37.923621537247882</v>
      </c>
      <c r="AO10">
        <v>0.64464653885675283</v>
      </c>
      <c r="AP10">
        <v>37.923621537247882</v>
      </c>
      <c r="AQ10">
        <v>37.923621537247882</v>
      </c>
      <c r="AR10">
        <v>0.64464653885675283</v>
      </c>
      <c r="AS10">
        <v>95.9726220670358</v>
      </c>
      <c r="AT10">
        <v>-5.7923630106210287E-2</v>
      </c>
      <c r="AU10">
        <v>0.8</v>
      </c>
      <c r="AV10" t="s">
        <v>93</v>
      </c>
      <c r="AW10">
        <v>6.1948332927113728E-2</v>
      </c>
      <c r="AX10">
        <v>0.5501750063233215</v>
      </c>
      <c r="AY10">
        <v>6.1948332927113728E-2</v>
      </c>
      <c r="AZ10">
        <v>6.1948332927113728E-2</v>
      </c>
      <c r="BA10">
        <v>0.5501750063233215</v>
      </c>
      <c r="BB10">
        <v>0.25293274168325408</v>
      </c>
      <c r="BC10">
        <v>-0.83661873616775195</v>
      </c>
      <c r="BD10">
        <v>8.8068819068574514E-2</v>
      </c>
      <c r="BE10">
        <v>0.6948603518428571</v>
      </c>
      <c r="BF10">
        <v>8.8068819068574514E-2</v>
      </c>
      <c r="BG10">
        <v>8.8068819068574514E-2</v>
      </c>
      <c r="BH10">
        <v>0.6948603518428571</v>
      </c>
      <c r="BI10">
        <v>0.1797622231428346</v>
      </c>
      <c r="BJ10">
        <v>0.37716229078716768</v>
      </c>
      <c r="BK10">
        <v>5.8608288219827068E-2</v>
      </c>
      <c r="BL10">
        <v>0.76470626071059777</v>
      </c>
      <c r="BM10">
        <v>5.8608288219827068E-2</v>
      </c>
      <c r="BN10">
        <v>5.8608288219827068E-2</v>
      </c>
      <c r="BO10">
        <v>0.76470626071059777</v>
      </c>
      <c r="BP10">
        <v>0.16971016293655</v>
      </c>
      <c r="BQ10">
        <v>0.31866737545755941</v>
      </c>
      <c r="BR10">
        <v>151.4858607087769</v>
      </c>
      <c r="BS10">
        <v>0.56884453655023093</v>
      </c>
      <c r="BT10">
        <v>151.4858607087769</v>
      </c>
      <c r="BU10">
        <v>151.4858607087769</v>
      </c>
      <c r="BV10">
        <v>0.56884453655023093</v>
      </c>
      <c r="BW10">
        <v>383.28808314038019</v>
      </c>
      <c r="BX10">
        <v>-9.0905450501820528E-2</v>
      </c>
      <c r="BY10" t="str">
        <f t="shared" si="0"/>
        <v>[[sv,wv],[yr],[ya]]</v>
      </c>
      <c r="BZ10" t="str">
        <f>SUBSTITUTE(TRIM(MID(SUBSTITUTE(SUBSTITUTE(SUBSTITUTE(Tabla1[[#This Row],[map]],"[",""),"]",""),",",REPT(" ",100)),901,200))," ",", ")</f>
        <v>2, 4</v>
      </c>
      <c r="CA10" t="str">
        <f>SUBSTITUTE(TRIM(MID(SUBSTITUTE(SUBSTITUTE(SUBSTITUTE(Tabla1[[#This Row],[map]],"[",""),"]",""),",",REPT(" ",100)),1501,200))," ",", ")</f>
        <v>3, 2</v>
      </c>
      <c r="CB10" t="str">
        <f>SUBSTITUTE(TRIM(MID(SUBSTITUTE(SUBSTITUTE(SUBSTITUTE(Tabla1[[#This Row],[map]],"[",""),"]",""),",",REPT(" ",100)),601,300))," ",", ")</f>
        <v>0, 1, 3</v>
      </c>
      <c r="CC10" t="str">
        <f>SUBSTITUTE(TRIM(MID(SUBSTITUTE(SUBSTITUTE(SUBSTITUTE(Tabla1[[#This Row],[map]],"[",""),"]",""),",",REPT(" ",100)),1201,300))," ",", ")</f>
        <v>0, 1, 4</v>
      </c>
      <c r="CD10" t="str">
        <f>SUBSTITUTE(TRIM(MID(SUBSTITUTE(SUBSTITUTE(SUBSTITUTE(Tabla1[[#This Row],[map]],"[",""),"]",""),",",REPT(" ",100)),1,300))," ",", ")</f>
        <v>2, 3, 4</v>
      </c>
      <c r="CE10" t="str">
        <f>SUBSTITUTE(TRIM(MID(SUBSTITUTE(SUBSTITUTE(SUBSTITUTE(Tabla1[[#This Row],[map]],"[",""),"]",""),",",REPT(" ",100)),1,600))," ",", ")</f>
        <v>2, 3, 4, 0, 1, -1</v>
      </c>
      <c r="CF10" t="str">
        <f>SUBSTITUTE(TRIM(MID(SUBSTITUTE(SUBSTITUTE(SUBSTITUTE(Tabla1[[#This Row],[map]],"[",""),"]",""),",",REPT(" ",100)),601,600))," ",", ")</f>
        <v>0, 1, 3, 2, 4, -1</v>
      </c>
      <c r="CG10" t="str">
        <f>SUBSTITUTE(TRIM(MID(SUBSTITUTE(SUBSTITUTE(SUBSTITUTE(Tabla1[[#This Row],[map]],"[",""),"]",""),",",REPT(" ",100)),1201,600))," ",", ")</f>
        <v>0, 1, 4, 3, 2, -1</v>
      </c>
    </row>
    <row r="11" spans="1:85" x14ac:dyDescent="0.3">
      <c r="A11" s="1">
        <v>46093.742650462962</v>
      </c>
      <c r="B11" t="s">
        <v>107</v>
      </c>
      <c r="C11">
        <v>0</v>
      </c>
      <c r="D11" t="s">
        <v>77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105</v>
      </c>
      <c r="R11">
        <v>3</v>
      </c>
      <c r="S11" t="s">
        <v>86</v>
      </c>
      <c r="T11" t="s">
        <v>87</v>
      </c>
      <c r="U11" t="s">
        <v>88</v>
      </c>
      <c r="V11">
        <v>1</v>
      </c>
      <c r="W11" t="s">
        <v>106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180</v>
      </c>
      <c r="AH11">
        <v>60</v>
      </c>
      <c r="AI11">
        <v>120</v>
      </c>
      <c r="AJ11">
        <v>9.9234597691781043E-2</v>
      </c>
      <c r="AK11">
        <v>13.91751538487404</v>
      </c>
      <c r="AL11">
        <v>0.76675807356279846</v>
      </c>
      <c r="AM11">
        <v>0.34708642872169049</v>
      </c>
      <c r="AN11">
        <v>18.02215489987238</v>
      </c>
      <c r="AO11">
        <v>0.73051298756676153</v>
      </c>
      <c r="AP11">
        <v>18.02215489987238</v>
      </c>
      <c r="AQ11">
        <v>18.02215489987238</v>
      </c>
      <c r="AR11">
        <v>0.73051298756676153</v>
      </c>
      <c r="AS11">
        <v>72.877201372304725</v>
      </c>
      <c r="AT11">
        <v>0.1861110598138522</v>
      </c>
      <c r="AU11">
        <v>0.8</v>
      </c>
      <c r="AV11" t="s">
        <v>93</v>
      </c>
      <c r="AW11">
        <v>5.3490335211332597E-2</v>
      </c>
      <c r="AX11">
        <v>0.61159100558023438</v>
      </c>
      <c r="AY11">
        <v>5.3490335211332597E-2</v>
      </c>
      <c r="AZ11">
        <v>5.3490335211332597E-2</v>
      </c>
      <c r="BA11">
        <v>0.61159100558023438</v>
      </c>
      <c r="BB11">
        <v>0.15086437946663139</v>
      </c>
      <c r="BC11">
        <v>-9.5470456314913799E-2</v>
      </c>
      <c r="BD11">
        <v>6.1428761789976291E-2</v>
      </c>
      <c r="BE11">
        <v>0.78716246047619787</v>
      </c>
      <c r="BF11">
        <v>6.1428761789976291E-2</v>
      </c>
      <c r="BG11">
        <v>6.1428761789976291E-2</v>
      </c>
      <c r="BH11">
        <v>0.78716246047619787</v>
      </c>
      <c r="BI11">
        <v>0.22586731122031531</v>
      </c>
      <c r="BJ11">
        <v>0.2174180078161182</v>
      </c>
      <c r="BK11">
        <v>6.7762384489203145E-2</v>
      </c>
      <c r="BL11">
        <v>0.72795545964713981</v>
      </c>
      <c r="BM11">
        <v>6.7762384489203145E-2</v>
      </c>
      <c r="BN11">
        <v>6.7762384489203145E-2</v>
      </c>
      <c r="BO11">
        <v>0.72795545964713981</v>
      </c>
      <c r="BP11">
        <v>0.13681763196391661</v>
      </c>
      <c r="BQ11">
        <v>0.45072048334248088</v>
      </c>
      <c r="BR11">
        <v>71.905938117999327</v>
      </c>
      <c r="BS11">
        <v>0.79534302456347883</v>
      </c>
      <c r="BT11">
        <v>71.905938117999327</v>
      </c>
      <c r="BU11">
        <v>71.905938117999327</v>
      </c>
      <c r="BV11">
        <v>0.79534302456347883</v>
      </c>
      <c r="BW11">
        <v>290.99525616656842</v>
      </c>
      <c r="BX11">
        <v>0.17177620441171729</v>
      </c>
      <c r="BY11" t="str">
        <f t="shared" si="0"/>
        <v>[[sv,wv],[yr],[ya]]</v>
      </c>
      <c r="BZ11" t="str">
        <f>SUBSTITUTE(TRIM(MID(SUBSTITUTE(SUBSTITUTE(SUBSTITUTE(Tabla1[[#This Row],[map]],"[",""),"]",""),",",REPT(" ",100)),901,200))," ",", ")</f>
        <v>2, 4</v>
      </c>
      <c r="CA11" t="str">
        <f>SUBSTITUTE(TRIM(MID(SUBSTITUTE(SUBSTITUTE(SUBSTITUTE(Tabla1[[#This Row],[map]],"[",""),"]",""),",",REPT(" ",100)),1501,200))," ",", ")</f>
        <v>3, 2</v>
      </c>
      <c r="CB11" t="str">
        <f>SUBSTITUTE(TRIM(MID(SUBSTITUTE(SUBSTITUTE(SUBSTITUTE(Tabla1[[#This Row],[map]],"[",""),"]",""),",",REPT(" ",100)),601,300))," ",", ")</f>
        <v>0, 1, 3</v>
      </c>
      <c r="CC11" t="str">
        <f>SUBSTITUTE(TRIM(MID(SUBSTITUTE(SUBSTITUTE(SUBSTITUTE(Tabla1[[#This Row],[map]],"[",""),"]",""),",",REPT(" ",100)),1201,300))," ",", ")</f>
        <v>0, 1, 4</v>
      </c>
      <c r="CD11" t="str">
        <f>SUBSTITUTE(TRIM(MID(SUBSTITUTE(SUBSTITUTE(SUBSTITUTE(Tabla1[[#This Row],[map]],"[",""),"]",""),",",REPT(" ",100)),1,300))," ",", ")</f>
        <v>2, 3, 4</v>
      </c>
      <c r="CE11" t="str">
        <f>SUBSTITUTE(TRIM(MID(SUBSTITUTE(SUBSTITUTE(SUBSTITUTE(Tabla1[[#This Row],[map]],"[",""),"]",""),",",REPT(" ",100)),1,600))," ",", ")</f>
        <v>2, 3, 4, 0, 1, -1</v>
      </c>
      <c r="CF11" t="str">
        <f>SUBSTITUTE(TRIM(MID(SUBSTITUTE(SUBSTITUTE(SUBSTITUTE(Tabla1[[#This Row],[map]],"[",""),"]",""),",",REPT(" ",100)),601,600))," ",", ")</f>
        <v>0, 1, 3, 2, 4, -1</v>
      </c>
      <c r="CG11" t="str">
        <f>SUBSTITUTE(TRIM(MID(SUBSTITUTE(SUBSTITUTE(SUBSTITUTE(Tabla1[[#This Row],[map]],"[",""),"]",""),",",REPT(" ",100)),1201,600))," ",", ")</f>
        <v>0, 1, 4, 3, 2, -1</v>
      </c>
    </row>
    <row r="12" spans="1:85" x14ac:dyDescent="0.3">
      <c r="A12" s="1">
        <v>46093.746030092603</v>
      </c>
      <c r="B12" t="s">
        <v>108</v>
      </c>
      <c r="C12">
        <v>3</v>
      </c>
      <c r="D12" t="s">
        <v>77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105</v>
      </c>
      <c r="R12">
        <v>3</v>
      </c>
      <c r="S12" t="s">
        <v>86</v>
      </c>
      <c r="T12" t="s">
        <v>87</v>
      </c>
      <c r="U12" t="s">
        <v>88</v>
      </c>
      <c r="V12">
        <v>1</v>
      </c>
      <c r="W12" t="s">
        <v>106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180</v>
      </c>
      <c r="AH12">
        <v>60</v>
      </c>
      <c r="AI12">
        <v>120</v>
      </c>
      <c r="AJ12">
        <v>9.4211078974809681E-2</v>
      </c>
      <c r="AK12">
        <v>16.823278654985419</v>
      </c>
      <c r="AL12">
        <v>0.77395250132810789</v>
      </c>
      <c r="AM12">
        <v>0.27906436019868319</v>
      </c>
      <c r="AN12">
        <v>24.51959078665481</v>
      </c>
      <c r="AO12">
        <v>0.71686583986786645</v>
      </c>
      <c r="AP12">
        <v>24.51959078665481</v>
      </c>
      <c r="AQ12">
        <v>24.51959078665481</v>
      </c>
      <c r="AR12">
        <v>0.71686583986786645</v>
      </c>
      <c r="AS12">
        <v>76.679664793619779</v>
      </c>
      <c r="AT12">
        <v>0.19438821587332111</v>
      </c>
      <c r="AU12">
        <v>0.8</v>
      </c>
      <c r="AV12" t="s">
        <v>93</v>
      </c>
      <c r="AW12">
        <v>6.1264424973635531E-2</v>
      </c>
      <c r="AX12">
        <v>0.55514106233019933</v>
      </c>
      <c r="AY12">
        <v>6.1264424973635531E-2</v>
      </c>
      <c r="AZ12">
        <v>6.1264424973635531E-2</v>
      </c>
      <c r="BA12">
        <v>0.55514106233019933</v>
      </c>
      <c r="BB12">
        <v>0.1591487600880005</v>
      </c>
      <c r="BC12">
        <v>-0.15562577098669131</v>
      </c>
      <c r="BD12">
        <v>5.081932786346624E-2</v>
      </c>
      <c r="BE12">
        <v>0.82392188304732339</v>
      </c>
      <c r="BF12">
        <v>5.081932786346624E-2</v>
      </c>
      <c r="BG12">
        <v>5.081932786346624E-2</v>
      </c>
      <c r="BH12">
        <v>0.82392188304732339</v>
      </c>
      <c r="BI12">
        <v>0.1849983898607018</v>
      </c>
      <c r="BJ12">
        <v>0.35902009146077452</v>
      </c>
      <c r="BK12">
        <v>5.8020865507486863E-2</v>
      </c>
      <c r="BL12">
        <v>0.7670645770977208</v>
      </c>
      <c r="BM12">
        <v>5.8020865507486863E-2</v>
      </c>
      <c r="BN12">
        <v>5.8020865507486863E-2</v>
      </c>
      <c r="BO12">
        <v>0.7670645770977208</v>
      </c>
      <c r="BP12">
        <v>0.13805284614828239</v>
      </c>
      <c r="BQ12">
        <v>0.44576148909285179</v>
      </c>
      <c r="BR12">
        <v>97.908258528274516</v>
      </c>
      <c r="BS12">
        <v>0.72133583699622328</v>
      </c>
      <c r="BT12">
        <v>97.908258528274516</v>
      </c>
      <c r="BU12">
        <v>97.908258528274516</v>
      </c>
      <c r="BV12">
        <v>0.72133583699622328</v>
      </c>
      <c r="BW12">
        <v>306.23645917838257</v>
      </c>
      <c r="BX12">
        <v>0.12839705392635431</v>
      </c>
      <c r="BY12" t="str">
        <f t="shared" si="0"/>
        <v>[[sv,wv],[yr],[ya]]</v>
      </c>
      <c r="BZ12" t="str">
        <f>SUBSTITUTE(TRIM(MID(SUBSTITUTE(SUBSTITUTE(SUBSTITUTE(Tabla1[[#This Row],[map]],"[",""),"]",""),",",REPT(" ",100)),901,200))," ",", ")</f>
        <v>2, 4</v>
      </c>
      <c r="CA12" t="str">
        <f>SUBSTITUTE(TRIM(MID(SUBSTITUTE(SUBSTITUTE(SUBSTITUTE(Tabla1[[#This Row],[map]],"[",""),"]",""),",",REPT(" ",100)),1501,200))," ",", ")</f>
        <v>3, 2</v>
      </c>
      <c r="CB12" t="str">
        <f>SUBSTITUTE(TRIM(MID(SUBSTITUTE(SUBSTITUTE(SUBSTITUTE(Tabla1[[#This Row],[map]],"[",""),"]",""),",",REPT(" ",100)),601,300))," ",", ")</f>
        <v>0, 1, 3</v>
      </c>
      <c r="CC12" t="str">
        <f>SUBSTITUTE(TRIM(MID(SUBSTITUTE(SUBSTITUTE(SUBSTITUTE(Tabla1[[#This Row],[map]],"[",""),"]",""),",",REPT(" ",100)),1201,300))," ",", ")</f>
        <v>0, 1, 4</v>
      </c>
      <c r="CD12" t="str">
        <f>SUBSTITUTE(TRIM(MID(SUBSTITUTE(SUBSTITUTE(SUBSTITUTE(Tabla1[[#This Row],[map]],"[",""),"]",""),",",REPT(" ",100)),1,300))," ",", ")</f>
        <v>2, 3, 4</v>
      </c>
      <c r="CE12" t="str">
        <f>SUBSTITUTE(TRIM(MID(SUBSTITUTE(SUBSTITUTE(SUBSTITUTE(Tabla1[[#This Row],[map]],"[",""),"]",""),",",REPT(" ",100)),1,600))," ",", ")</f>
        <v>2, 3, 4, 0, 1, -1</v>
      </c>
      <c r="CF12" t="str">
        <f>SUBSTITUTE(TRIM(MID(SUBSTITUTE(SUBSTITUTE(SUBSTITUTE(Tabla1[[#This Row],[map]],"[",""),"]",""),",",REPT(" ",100)),601,600))," ",", ")</f>
        <v>0, 1, 3, 2, 4, -1</v>
      </c>
      <c r="CG12" t="str">
        <f>SUBSTITUTE(TRIM(MID(SUBSTITUTE(SUBSTITUTE(SUBSTITUTE(Tabla1[[#This Row],[map]],"[",""),"]",""),",",REPT(" ",100)),1201,600))," ",", ")</f>
        <v>0, 1, 4, 3, 2, -1</v>
      </c>
    </row>
    <row r="13" spans="1:85" x14ac:dyDescent="0.3">
      <c r="A13" s="1">
        <v>46093.745000000003</v>
      </c>
      <c r="B13" t="s">
        <v>109</v>
      </c>
      <c r="C13">
        <v>2</v>
      </c>
      <c r="D13" t="s">
        <v>96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105</v>
      </c>
      <c r="R13">
        <v>3</v>
      </c>
      <c r="S13" t="s">
        <v>86</v>
      </c>
      <c r="T13" t="s">
        <v>87</v>
      </c>
      <c r="U13" t="s">
        <v>88</v>
      </c>
      <c r="V13">
        <v>1</v>
      </c>
      <c r="W13" t="s">
        <v>106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180</v>
      </c>
      <c r="AH13">
        <v>60</v>
      </c>
      <c r="AI13">
        <v>120</v>
      </c>
      <c r="AJ13">
        <v>9.821270329244737E-2</v>
      </c>
      <c r="AK13">
        <v>18.853964933729941</v>
      </c>
      <c r="AL13">
        <v>0.73910509024728699</v>
      </c>
      <c r="AM13">
        <v>-0.11914764587911</v>
      </c>
      <c r="AN13">
        <v>25.708416398778141</v>
      </c>
      <c r="AO13">
        <v>0.68372360606576921</v>
      </c>
      <c r="AP13">
        <v>25.708416398778141</v>
      </c>
      <c r="AQ13">
        <v>25.708416398778141</v>
      </c>
      <c r="AR13">
        <v>0.68372360606576921</v>
      </c>
      <c r="AS13">
        <v>131.9577132891485</v>
      </c>
      <c r="AT13">
        <v>-0.10685237207688141</v>
      </c>
      <c r="AU13">
        <v>0.8</v>
      </c>
      <c r="AV13" t="s">
        <v>93</v>
      </c>
      <c r="AW13">
        <v>5.3442874176015273E-2</v>
      </c>
      <c r="AX13">
        <v>0.61193563406178897</v>
      </c>
      <c r="AY13">
        <v>5.3442874176015273E-2</v>
      </c>
      <c r="AZ13">
        <v>5.3442874176015273E-2</v>
      </c>
      <c r="BA13">
        <v>0.61193563406178897</v>
      </c>
      <c r="BB13">
        <v>0.13681735927699279</v>
      </c>
      <c r="BC13">
        <v>6.5290724765183494E-3</v>
      </c>
      <c r="BD13">
        <v>8.0370758414086099E-2</v>
      </c>
      <c r="BE13">
        <v>0.72153248784338553</v>
      </c>
      <c r="BF13">
        <v>8.0370758414086099E-2</v>
      </c>
      <c r="BG13">
        <v>8.0370758414086099E-2</v>
      </c>
      <c r="BH13">
        <v>0.72153248784338553</v>
      </c>
      <c r="BI13">
        <v>0.30824292824656302</v>
      </c>
      <c r="BJ13">
        <v>-6.7995911229902672E-2</v>
      </c>
      <c r="BK13">
        <v>7.6342028658603373E-2</v>
      </c>
      <c r="BL13">
        <v>0.6935109020647916</v>
      </c>
      <c r="BM13">
        <v>7.6342028658603373E-2</v>
      </c>
      <c r="BN13">
        <v>7.6342028658603373E-2</v>
      </c>
      <c r="BO13">
        <v>0.6935109020647916</v>
      </c>
      <c r="BP13">
        <v>0.21558941780898591</v>
      </c>
      <c r="BQ13">
        <v>0.1344766788404381</v>
      </c>
      <c r="BR13">
        <v>102.623509933864</v>
      </c>
      <c r="BS13">
        <v>0.70791540029310784</v>
      </c>
      <c r="BT13">
        <v>102.623509933864</v>
      </c>
      <c r="BU13">
        <v>102.623509933864</v>
      </c>
      <c r="BV13">
        <v>0.70791540029310784</v>
      </c>
      <c r="BW13">
        <v>527.17020345126082</v>
      </c>
      <c r="BX13">
        <v>-0.50041932839457703</v>
      </c>
      <c r="BY13" t="str">
        <f t="shared" si="0"/>
        <v>[[sv,wv],[yr],[ya]]</v>
      </c>
      <c r="BZ13" t="str">
        <f>SUBSTITUTE(TRIM(MID(SUBSTITUTE(SUBSTITUTE(SUBSTITUTE(Tabla1[[#This Row],[map]],"[",""),"]",""),",",REPT(" ",100)),901,200))," ",", ")</f>
        <v>2, 4</v>
      </c>
      <c r="CA13" t="str">
        <f>SUBSTITUTE(TRIM(MID(SUBSTITUTE(SUBSTITUTE(SUBSTITUTE(Tabla1[[#This Row],[map]],"[",""),"]",""),",",REPT(" ",100)),1501,200))," ",", ")</f>
        <v>3, 2</v>
      </c>
      <c r="CB13" t="str">
        <f>SUBSTITUTE(TRIM(MID(SUBSTITUTE(SUBSTITUTE(SUBSTITUTE(Tabla1[[#This Row],[map]],"[",""),"]",""),",",REPT(" ",100)),601,300))," ",", ")</f>
        <v>0, 1, 3</v>
      </c>
      <c r="CC13" t="str">
        <f>SUBSTITUTE(TRIM(MID(SUBSTITUTE(SUBSTITUTE(SUBSTITUTE(Tabla1[[#This Row],[map]],"[",""),"]",""),",",REPT(" ",100)),1201,300))," ",", ")</f>
        <v>0, 1, 4</v>
      </c>
      <c r="CD13" t="str">
        <f>SUBSTITUTE(TRIM(MID(SUBSTITUTE(SUBSTITUTE(SUBSTITUTE(Tabla1[[#This Row],[map]],"[",""),"]",""),",",REPT(" ",100)),1,300))," ",", ")</f>
        <v>2, 3, 4</v>
      </c>
      <c r="CE13" t="str">
        <f>SUBSTITUTE(TRIM(MID(SUBSTITUTE(SUBSTITUTE(SUBSTITUTE(Tabla1[[#This Row],[map]],"[",""),"]",""),",",REPT(" ",100)),1,600))," ",", ")</f>
        <v>2, 3, 4, 0, 1, -1</v>
      </c>
      <c r="CF13" t="str">
        <f>SUBSTITUTE(TRIM(MID(SUBSTITUTE(SUBSTITUTE(SUBSTITUTE(Tabla1[[#This Row],[map]],"[",""),"]",""),",",REPT(" ",100)),601,600))," ",", ")</f>
        <v>0, 1, 3, 2, 4, -1</v>
      </c>
      <c r="CG13" t="str">
        <f>SUBSTITUTE(TRIM(MID(SUBSTITUTE(SUBSTITUTE(SUBSTITUTE(Tabla1[[#This Row],[map]],"[",""),"]",""),",",REPT(" ",100)),1201,600))," ",", ")</f>
        <v>0, 1, 4, 3, 2, -1</v>
      </c>
    </row>
    <row r="14" spans="1:85" x14ac:dyDescent="0.3">
      <c r="A14" s="1">
        <v>46093.886064814818</v>
      </c>
      <c r="B14" t="s">
        <v>110</v>
      </c>
      <c r="C14">
        <v>1</v>
      </c>
      <c r="D14" t="s">
        <v>96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111</v>
      </c>
      <c r="R14">
        <v>3</v>
      </c>
      <c r="S14" t="s">
        <v>86</v>
      </c>
      <c r="T14" t="s">
        <v>87</v>
      </c>
      <c r="U14" t="s">
        <v>88</v>
      </c>
      <c r="V14">
        <v>1</v>
      </c>
      <c r="W14" t="s">
        <v>112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180</v>
      </c>
      <c r="AH14">
        <v>60</v>
      </c>
      <c r="AI14">
        <v>120</v>
      </c>
      <c r="AJ14">
        <v>0.1098711914476046</v>
      </c>
      <c r="AK14">
        <v>21.41505663570738</v>
      </c>
      <c r="AL14">
        <v>0.75155401673030342</v>
      </c>
      <c r="AM14">
        <v>-0.22465139732041761</v>
      </c>
      <c r="AN14">
        <v>25.72758153684082</v>
      </c>
      <c r="AO14">
        <v>0.67513756097676114</v>
      </c>
      <c r="AP14">
        <v>25.72758153684082</v>
      </c>
      <c r="AQ14">
        <v>25.72758153684082</v>
      </c>
      <c r="AR14">
        <v>0.67513756097676114</v>
      </c>
      <c r="AS14">
        <v>99.546094421068133</v>
      </c>
      <c r="AT14">
        <v>-0.3777744056670026</v>
      </c>
      <c r="AU14">
        <v>0.8</v>
      </c>
      <c r="AV14" t="s">
        <v>93</v>
      </c>
      <c r="AW14">
        <v>6.3142427771246873E-2</v>
      </c>
      <c r="AX14">
        <v>0.54150433383979379</v>
      </c>
      <c r="AY14">
        <v>6.3142427771246873E-2</v>
      </c>
      <c r="AZ14">
        <v>6.3142427771246873E-2</v>
      </c>
      <c r="BA14">
        <v>0.54150433383979379</v>
      </c>
      <c r="BB14">
        <v>0.26473953275712381</v>
      </c>
      <c r="BC14">
        <v>-0.92235130505534424</v>
      </c>
      <c r="BD14">
        <v>7.7776959144385052E-2</v>
      </c>
      <c r="BE14">
        <v>0.73051944832403592</v>
      </c>
      <c r="BF14">
        <v>7.7776959144385052E-2</v>
      </c>
      <c r="BG14">
        <v>7.7776959144385052E-2</v>
      </c>
      <c r="BH14">
        <v>0.73051944832403592</v>
      </c>
      <c r="BI14">
        <v>0.30397506629683219</v>
      </c>
      <c r="BJ14">
        <v>-5.3208681112622447E-2</v>
      </c>
      <c r="BK14">
        <v>6.953763429994303E-2</v>
      </c>
      <c r="BL14">
        <v>0.72082839317191594</v>
      </c>
      <c r="BM14">
        <v>6.953763429994303E-2</v>
      </c>
      <c r="BN14">
        <v>6.953763429994303E-2</v>
      </c>
      <c r="BO14">
        <v>0.72082839317191594</v>
      </c>
      <c r="BP14">
        <v>0.3499277725433208</v>
      </c>
      <c r="BQ14">
        <v>-0.40484932394042072</v>
      </c>
      <c r="BR14">
        <v>102.6998691261475</v>
      </c>
      <c r="BS14">
        <v>0.70769806857129813</v>
      </c>
      <c r="BT14">
        <v>102.6998691261475</v>
      </c>
      <c r="BU14">
        <v>102.6998691261475</v>
      </c>
      <c r="BV14">
        <v>0.70769806857129813</v>
      </c>
      <c r="BW14">
        <v>397.26573531267672</v>
      </c>
      <c r="BX14">
        <v>-0.13068831255963251</v>
      </c>
      <c r="BY14" t="str">
        <f t="shared" si="0"/>
        <v>[[sv,wv],[yr],[ya]]</v>
      </c>
      <c r="BZ14" t="str">
        <f>SUBSTITUTE(TRIM(MID(SUBSTITUTE(SUBSTITUTE(SUBSTITUTE(Tabla1[[#This Row],[map]],"[",""),"]",""),",",REPT(" ",100)),901,200))," ",", ")</f>
        <v>2, 4</v>
      </c>
      <c r="CA14" t="str">
        <f>SUBSTITUTE(TRIM(MID(SUBSTITUTE(SUBSTITUTE(SUBSTITUTE(Tabla1[[#This Row],[map]],"[",""),"]",""),",",REPT(" ",100)),1501,200))," ",", ")</f>
        <v>3, 2</v>
      </c>
      <c r="CB14" t="str">
        <f>SUBSTITUTE(TRIM(MID(SUBSTITUTE(SUBSTITUTE(SUBSTITUTE(Tabla1[[#This Row],[map]],"[",""),"]",""),",",REPT(" ",100)),601,300))," ",", ")</f>
        <v>3, 0, 1</v>
      </c>
      <c r="CC14" t="str">
        <f>SUBSTITUTE(TRIM(MID(SUBSTITUTE(SUBSTITUTE(SUBSTITUTE(Tabla1[[#This Row],[map]],"[",""),"]",""),",",REPT(" ",100)),1201,300))," ",", ")</f>
        <v>0, 1, 4</v>
      </c>
      <c r="CD14" t="str">
        <f>SUBSTITUTE(TRIM(MID(SUBSTITUTE(SUBSTITUTE(SUBSTITUTE(Tabla1[[#This Row],[map]],"[",""),"]",""),",",REPT(" ",100)),1,300))," ",", ")</f>
        <v>2, 3, 4</v>
      </c>
      <c r="CE14" t="str">
        <f>SUBSTITUTE(TRIM(MID(SUBSTITUTE(SUBSTITUTE(SUBSTITUTE(Tabla1[[#This Row],[map]],"[",""),"]",""),",",REPT(" ",100)),1,600))," ",", ")</f>
        <v>2, 3, 4, 0, 1, -1</v>
      </c>
      <c r="CF14" t="str">
        <f>SUBSTITUTE(TRIM(MID(SUBSTITUTE(SUBSTITUTE(SUBSTITUTE(Tabla1[[#This Row],[map]],"[",""),"]",""),",",REPT(" ",100)),601,600))," ",", ")</f>
        <v>3, 0, 1, 2, 4, -1</v>
      </c>
      <c r="CG14" t="str">
        <f>SUBSTITUTE(TRIM(MID(SUBSTITUTE(SUBSTITUTE(SUBSTITUTE(Tabla1[[#This Row],[map]],"[",""),"]",""),",",REPT(" ",100)),1201,600))," ",", ")</f>
        <v>0, 1, 4, 3, 2, -1</v>
      </c>
    </row>
    <row r="15" spans="1:85" x14ac:dyDescent="0.3">
      <c r="A15" s="1">
        <v>46093.888310185182</v>
      </c>
      <c r="B15" t="s">
        <v>113</v>
      </c>
      <c r="C15">
        <v>3</v>
      </c>
      <c r="D15" t="s">
        <v>96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111</v>
      </c>
      <c r="R15">
        <v>3</v>
      </c>
      <c r="S15" t="s">
        <v>86</v>
      </c>
      <c r="T15" t="s">
        <v>87</v>
      </c>
      <c r="U15" t="s">
        <v>88</v>
      </c>
      <c r="V15">
        <v>1</v>
      </c>
      <c r="W15" t="s">
        <v>112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180</v>
      </c>
      <c r="AH15">
        <v>60</v>
      </c>
      <c r="AI15">
        <v>120</v>
      </c>
      <c r="AJ15">
        <v>0.10197402461202761</v>
      </c>
      <c r="AK15">
        <v>21.461745238896189</v>
      </c>
      <c r="AL15">
        <v>0.75128448277710036</v>
      </c>
      <c r="AM15">
        <v>-0.28970478126193461</v>
      </c>
      <c r="AN15">
        <v>28.42680313028195</v>
      </c>
      <c r="AO15">
        <v>0.69305341764251072</v>
      </c>
      <c r="AP15">
        <v>28.42680313028195</v>
      </c>
      <c r="AQ15">
        <v>28.42680313028195</v>
      </c>
      <c r="AR15">
        <v>0.69305341764251072</v>
      </c>
      <c r="AS15">
        <v>107.97230592890109</v>
      </c>
      <c r="AT15">
        <v>-0.2467334793661296</v>
      </c>
      <c r="AU15">
        <v>0.8</v>
      </c>
      <c r="AV15" t="s">
        <v>93</v>
      </c>
      <c r="AW15">
        <v>6.1865077477480782E-2</v>
      </c>
      <c r="AX15">
        <v>0.55077954853350097</v>
      </c>
      <c r="AY15">
        <v>6.1865077477480782E-2</v>
      </c>
      <c r="AZ15">
        <v>6.1865077477480782E-2</v>
      </c>
      <c r="BA15">
        <v>0.55077954853350097</v>
      </c>
      <c r="BB15">
        <v>0.16013772765080581</v>
      </c>
      <c r="BC15">
        <v>-0.16280695418670971</v>
      </c>
      <c r="BD15">
        <v>5.6122502761707299E-2</v>
      </c>
      <c r="BE15">
        <v>0.80554751468767671</v>
      </c>
      <c r="BF15">
        <v>5.6122502761707299E-2</v>
      </c>
      <c r="BG15">
        <v>5.6122502761707299E-2</v>
      </c>
      <c r="BH15">
        <v>0.80554751468767671</v>
      </c>
      <c r="BI15">
        <v>0.35810496982675522</v>
      </c>
      <c r="BJ15">
        <v>-0.24075723567016391</v>
      </c>
      <c r="BK15">
        <v>6.5012212878440195E-2</v>
      </c>
      <c r="BL15">
        <v>0.73899652877983402</v>
      </c>
      <c r="BM15">
        <v>6.5012212878440195E-2</v>
      </c>
      <c r="BN15">
        <v>6.5012212878440195E-2</v>
      </c>
      <c r="BO15">
        <v>0.73899652877983402</v>
      </c>
      <c r="BP15">
        <v>0.33790298493855497</v>
      </c>
      <c r="BQ15">
        <v>-0.35657360517051079</v>
      </c>
      <c r="BR15">
        <v>113.5242127280101</v>
      </c>
      <c r="BS15">
        <v>0.67689007856903238</v>
      </c>
      <c r="BT15">
        <v>113.5242127280101</v>
      </c>
      <c r="BU15">
        <v>113.5242127280101</v>
      </c>
      <c r="BV15">
        <v>0.67689007856903238</v>
      </c>
      <c r="BW15">
        <v>431.033078033187</v>
      </c>
      <c r="BX15">
        <v>-0.22679612243713379</v>
      </c>
      <c r="BY15" t="str">
        <f t="shared" si="0"/>
        <v>[[sv,wv],[yr],[ya]]</v>
      </c>
      <c r="BZ15" t="str">
        <f>SUBSTITUTE(TRIM(MID(SUBSTITUTE(SUBSTITUTE(SUBSTITUTE(Tabla1[[#This Row],[map]],"[",""),"]",""),",",REPT(" ",100)),901,200))," ",", ")</f>
        <v>2, 4</v>
      </c>
      <c r="CA15" t="str">
        <f>SUBSTITUTE(TRIM(MID(SUBSTITUTE(SUBSTITUTE(SUBSTITUTE(Tabla1[[#This Row],[map]],"[",""),"]",""),",",REPT(" ",100)),1501,200))," ",", ")</f>
        <v>3, 2</v>
      </c>
      <c r="CB15" t="str">
        <f>SUBSTITUTE(TRIM(MID(SUBSTITUTE(SUBSTITUTE(SUBSTITUTE(Tabla1[[#This Row],[map]],"[",""),"]",""),",",REPT(" ",100)),601,300))," ",", ")</f>
        <v>3, 0, 1</v>
      </c>
      <c r="CC15" t="str">
        <f>SUBSTITUTE(TRIM(MID(SUBSTITUTE(SUBSTITUTE(SUBSTITUTE(Tabla1[[#This Row],[map]],"[",""),"]",""),",",REPT(" ",100)),1201,300))," ",", ")</f>
        <v>0, 1, 4</v>
      </c>
      <c r="CD15" t="str">
        <f>SUBSTITUTE(TRIM(MID(SUBSTITUTE(SUBSTITUTE(SUBSTITUTE(Tabla1[[#This Row],[map]],"[",""),"]",""),",",REPT(" ",100)),1,300))," ",", ")</f>
        <v>2, 3, 4</v>
      </c>
      <c r="CE15" t="str">
        <f>SUBSTITUTE(TRIM(MID(SUBSTITUTE(SUBSTITUTE(SUBSTITUTE(Tabla1[[#This Row],[map]],"[",""),"]",""),",",REPT(" ",100)),1,600))," ",", ")</f>
        <v>2, 3, 4, 0, 1, -1</v>
      </c>
      <c r="CF15" t="str">
        <f>SUBSTITUTE(TRIM(MID(SUBSTITUTE(SUBSTITUTE(SUBSTITUTE(Tabla1[[#This Row],[map]],"[",""),"]",""),",",REPT(" ",100)),601,600))," ",", ")</f>
        <v>3, 0, 1, 2, 4, -1</v>
      </c>
      <c r="CG15" t="str">
        <f>SUBSTITUTE(TRIM(MID(SUBSTITUTE(SUBSTITUTE(SUBSTITUTE(Tabla1[[#This Row],[map]],"[",""),"]",""),",",REPT(" ",100)),1201,600))," ",", ")</f>
        <v>0, 1, 4, 3, 2, -1</v>
      </c>
    </row>
    <row r="16" spans="1:85" x14ac:dyDescent="0.3">
      <c r="A16" s="1">
        <v>46093.887164351851</v>
      </c>
      <c r="B16" t="s">
        <v>114</v>
      </c>
      <c r="C16">
        <v>0</v>
      </c>
      <c r="D16" t="s">
        <v>96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111</v>
      </c>
      <c r="R16">
        <v>3</v>
      </c>
      <c r="S16" t="s">
        <v>86</v>
      </c>
      <c r="T16" t="s">
        <v>87</v>
      </c>
      <c r="U16" t="s">
        <v>88</v>
      </c>
      <c r="V16">
        <v>1</v>
      </c>
      <c r="W16" t="s">
        <v>112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180</v>
      </c>
      <c r="AH16">
        <v>60</v>
      </c>
      <c r="AI16">
        <v>120</v>
      </c>
      <c r="AJ16">
        <v>0.1128872621022769</v>
      </c>
      <c r="AK16">
        <v>19.30118091093782</v>
      </c>
      <c r="AL16">
        <v>0.70507793498226812</v>
      </c>
      <c r="AM16">
        <v>-0.17684999909332949</v>
      </c>
      <c r="AN16">
        <v>24.067712003484552</v>
      </c>
      <c r="AO16">
        <v>0.64194214553961992</v>
      </c>
      <c r="AP16">
        <v>24.067712003484552</v>
      </c>
      <c r="AQ16">
        <v>24.067712003484552</v>
      </c>
      <c r="AR16">
        <v>0.64194214553961992</v>
      </c>
      <c r="AS16">
        <v>104.4598326566225</v>
      </c>
      <c r="AT16">
        <v>-0.1850506948650549</v>
      </c>
      <c r="AU16">
        <v>0.8</v>
      </c>
      <c r="AV16" t="s">
        <v>93</v>
      </c>
      <c r="AW16">
        <v>6.0872280132182183E-2</v>
      </c>
      <c r="AX16">
        <v>0.55798854090617067</v>
      </c>
      <c r="AY16">
        <v>6.0872280132182183E-2</v>
      </c>
      <c r="AZ16">
        <v>6.0872280132182183E-2</v>
      </c>
      <c r="BA16">
        <v>0.55798854090617067</v>
      </c>
      <c r="BB16">
        <v>0.1589462380317245</v>
      </c>
      <c r="BC16">
        <v>-0.15415519900550631</v>
      </c>
      <c r="BD16">
        <v>6.1437280017025309E-2</v>
      </c>
      <c r="BE16">
        <v>0.78713294663881306</v>
      </c>
      <c r="BF16">
        <v>6.1437280017025309E-2</v>
      </c>
      <c r="BG16">
        <v>6.1437280017025309E-2</v>
      </c>
      <c r="BH16">
        <v>0.78713294663881306</v>
      </c>
      <c r="BI16">
        <v>0.31955470548122827</v>
      </c>
      <c r="BJ16">
        <v>-0.10718880335589009</v>
      </c>
      <c r="BK16">
        <v>0.12555274563801011</v>
      </c>
      <c r="BL16">
        <v>0.49594543883599262</v>
      </c>
      <c r="BM16">
        <v>0.12555274563801011</v>
      </c>
      <c r="BN16">
        <v>0.12555274563801011</v>
      </c>
      <c r="BO16">
        <v>0.49594543883599262</v>
      </c>
      <c r="BP16">
        <v>0.32179176663693898</v>
      </c>
      <c r="BQ16">
        <v>-0.29189215969856058</v>
      </c>
      <c r="BR16">
        <v>96.02298570815023</v>
      </c>
      <c r="BS16">
        <v>0.72670165577750612</v>
      </c>
      <c r="BT16">
        <v>96.02298570815023</v>
      </c>
      <c r="BU16">
        <v>96.02298570815023</v>
      </c>
      <c r="BV16">
        <v>0.72670165577750612</v>
      </c>
      <c r="BW16">
        <v>417.03903791633951</v>
      </c>
      <c r="BX16">
        <v>-0.1869666174002691</v>
      </c>
      <c r="BY16" t="str">
        <f t="shared" si="0"/>
        <v>[[sv,wv],[yr],[ya]]</v>
      </c>
      <c r="BZ16" t="str">
        <f>SUBSTITUTE(TRIM(MID(SUBSTITUTE(SUBSTITUTE(SUBSTITUTE(Tabla1[[#This Row],[map]],"[",""),"]",""),",",REPT(" ",100)),901,200))," ",", ")</f>
        <v>2, 4</v>
      </c>
      <c r="CA16" t="str">
        <f>SUBSTITUTE(TRIM(MID(SUBSTITUTE(SUBSTITUTE(SUBSTITUTE(Tabla1[[#This Row],[map]],"[",""),"]",""),",",REPT(" ",100)),1501,200))," ",", ")</f>
        <v>3, 2</v>
      </c>
      <c r="CB16" t="str">
        <f>SUBSTITUTE(TRIM(MID(SUBSTITUTE(SUBSTITUTE(SUBSTITUTE(Tabla1[[#This Row],[map]],"[",""),"]",""),",",REPT(" ",100)),601,300))," ",", ")</f>
        <v>3, 0, 1</v>
      </c>
      <c r="CC16" t="str">
        <f>SUBSTITUTE(TRIM(MID(SUBSTITUTE(SUBSTITUTE(SUBSTITUTE(Tabla1[[#This Row],[map]],"[",""),"]",""),",",REPT(" ",100)),1201,300))," ",", ")</f>
        <v>0, 1, 4</v>
      </c>
      <c r="CD16" t="str">
        <f>SUBSTITUTE(TRIM(MID(SUBSTITUTE(SUBSTITUTE(SUBSTITUTE(Tabla1[[#This Row],[map]],"[",""),"]",""),",",REPT(" ",100)),1,300))," ",", ")</f>
        <v>2, 3, 4</v>
      </c>
      <c r="CE16" t="str">
        <f>SUBSTITUTE(TRIM(MID(SUBSTITUTE(SUBSTITUTE(SUBSTITUTE(Tabla1[[#This Row],[map]],"[",""),"]",""),",",REPT(" ",100)),1,600))," ",", ")</f>
        <v>2, 3, 4, 0, 1, -1</v>
      </c>
      <c r="CF16" t="str">
        <f>SUBSTITUTE(TRIM(MID(SUBSTITUTE(SUBSTITUTE(SUBSTITUTE(Tabla1[[#This Row],[map]],"[",""),"]",""),",",REPT(" ",100)),601,600))," ",", ")</f>
        <v>3, 0, 1, 2, 4, -1</v>
      </c>
      <c r="CG16" t="str">
        <f>SUBSTITUTE(TRIM(MID(SUBSTITUTE(SUBSTITUTE(SUBSTITUTE(Tabla1[[#This Row],[map]],"[",""),"]",""),",",REPT(" ",100)),1201,600))," ",", ")</f>
        <v>0, 1, 4, 3, 2, -1</v>
      </c>
    </row>
    <row r="17" spans="1:85" x14ac:dyDescent="0.3">
      <c r="A17" s="1">
        <v>46093.889513888891</v>
      </c>
      <c r="B17" t="s">
        <v>115</v>
      </c>
      <c r="C17">
        <v>2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111</v>
      </c>
      <c r="R17">
        <v>3</v>
      </c>
      <c r="S17" t="s">
        <v>86</v>
      </c>
      <c r="T17" t="s">
        <v>87</v>
      </c>
      <c r="U17" t="s">
        <v>88</v>
      </c>
      <c r="V17">
        <v>1</v>
      </c>
      <c r="W17" t="s">
        <v>112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180</v>
      </c>
      <c r="AH17">
        <v>60</v>
      </c>
      <c r="AI17">
        <v>120</v>
      </c>
      <c r="AJ17">
        <v>0.1003715412608423</v>
      </c>
      <c r="AK17">
        <v>20.18177743199902</v>
      </c>
      <c r="AL17">
        <v>0.7355726652014134</v>
      </c>
      <c r="AM17">
        <v>-0.41705872643624248</v>
      </c>
      <c r="AN17">
        <v>27.44964695998301</v>
      </c>
      <c r="AO17">
        <v>0.67597587743146637</v>
      </c>
      <c r="AP17">
        <v>27.44964695998301</v>
      </c>
      <c r="AQ17">
        <v>27.44964695998301</v>
      </c>
      <c r="AR17">
        <v>0.67597587743146637</v>
      </c>
      <c r="AS17">
        <v>133.3115486015277</v>
      </c>
      <c r="AT17">
        <v>-0.35457782703623902</v>
      </c>
      <c r="AU17">
        <v>0.8</v>
      </c>
      <c r="AV17" t="s">
        <v>93</v>
      </c>
      <c r="AW17">
        <v>5.5188031207889933E-2</v>
      </c>
      <c r="AX17">
        <v>0.5992635375946983</v>
      </c>
      <c r="AY17">
        <v>5.5188031207889933E-2</v>
      </c>
      <c r="AZ17">
        <v>5.5188031207889933E-2</v>
      </c>
      <c r="BA17">
        <v>0.5992635375946983</v>
      </c>
      <c r="BB17">
        <v>0.1763949249268873</v>
      </c>
      <c r="BC17">
        <v>-0.28085522629304699</v>
      </c>
      <c r="BD17">
        <v>8.3618919125410363E-2</v>
      </c>
      <c r="BE17">
        <v>0.7102783047273431</v>
      </c>
      <c r="BF17">
        <v>8.3618919125410363E-2</v>
      </c>
      <c r="BG17">
        <v>8.3618919125410363E-2</v>
      </c>
      <c r="BH17">
        <v>0.7102783047273431</v>
      </c>
      <c r="BI17">
        <v>0.36220428993753029</v>
      </c>
      <c r="BJ17">
        <v>-0.25496050431296752</v>
      </c>
      <c r="BK17">
        <v>7.3165292413222532E-2</v>
      </c>
      <c r="BL17">
        <v>0.70626449328227014</v>
      </c>
      <c r="BM17">
        <v>7.3165292413222532E-2</v>
      </c>
      <c r="BN17">
        <v>7.3165292413222532E-2</v>
      </c>
      <c r="BO17">
        <v>0.70626449328227014</v>
      </c>
      <c r="BP17">
        <v>0.34057108461975638</v>
      </c>
      <c r="BQ17">
        <v>-0.36728518146552308</v>
      </c>
      <c r="BR17">
        <v>109.5866155971851</v>
      </c>
      <c r="BS17">
        <v>0.68809717412155491</v>
      </c>
      <c r="BT17">
        <v>109.5866155971851</v>
      </c>
      <c r="BU17">
        <v>109.5866155971851</v>
      </c>
      <c r="BV17">
        <v>0.68809717412155491</v>
      </c>
      <c r="BW17">
        <v>532.3670241066261</v>
      </c>
      <c r="BX17">
        <v>-0.51521039607340691</v>
      </c>
      <c r="BY17" t="str">
        <f t="shared" si="0"/>
        <v>[[sv,wv],[yr],[ya]]</v>
      </c>
      <c r="BZ17" t="str">
        <f>SUBSTITUTE(TRIM(MID(SUBSTITUTE(SUBSTITUTE(SUBSTITUTE(Tabla1[[#This Row],[map]],"[",""),"]",""),",",REPT(" ",100)),901,200))," ",", ")</f>
        <v>2, 4</v>
      </c>
      <c r="CA17" t="str">
        <f>SUBSTITUTE(TRIM(MID(SUBSTITUTE(SUBSTITUTE(SUBSTITUTE(Tabla1[[#This Row],[map]],"[",""),"]",""),",",REPT(" ",100)),1501,200))," ",", ")</f>
        <v>3, 2</v>
      </c>
      <c r="CB17" t="str">
        <f>SUBSTITUTE(TRIM(MID(SUBSTITUTE(SUBSTITUTE(SUBSTITUTE(Tabla1[[#This Row],[map]],"[",""),"]",""),",",REPT(" ",100)),601,300))," ",", ")</f>
        <v>3, 0, 1</v>
      </c>
      <c r="CC17" t="str">
        <f>SUBSTITUTE(TRIM(MID(SUBSTITUTE(SUBSTITUTE(SUBSTITUTE(Tabla1[[#This Row],[map]],"[",""),"]",""),",",REPT(" ",100)),1201,300))," ",", ")</f>
        <v>0, 1, 4</v>
      </c>
      <c r="CD17" t="str">
        <f>SUBSTITUTE(TRIM(MID(SUBSTITUTE(SUBSTITUTE(SUBSTITUTE(Tabla1[[#This Row],[map]],"[",""),"]",""),",",REPT(" ",100)),1,300))," ",", ")</f>
        <v>2, 3, 4</v>
      </c>
      <c r="CE17" t="str">
        <f>SUBSTITUTE(TRIM(MID(SUBSTITUTE(SUBSTITUTE(SUBSTITUTE(Tabla1[[#This Row],[map]],"[",""),"]",""),",",REPT(" ",100)),1,600))," ",", ")</f>
        <v>2, 3, 4, 0, 1, -1</v>
      </c>
      <c r="CF17" t="str">
        <f>SUBSTITUTE(TRIM(MID(SUBSTITUTE(SUBSTITUTE(SUBSTITUTE(Tabla1[[#This Row],[map]],"[",""),"]",""),",",REPT(" ",100)),601,600))," ",", ")</f>
        <v>3, 0, 1, 2, 4, -1</v>
      </c>
      <c r="CG17" t="str">
        <f>SUBSTITUTE(TRIM(MID(SUBSTITUTE(SUBSTITUTE(SUBSTITUTE(Tabla1[[#This Row],[map]],"[",""),"]",""),",",REPT(" ",100)),1201,600))," ",", ")</f>
        <v>0, 1, 4, 3, 2, -1</v>
      </c>
    </row>
    <row r="18" spans="1:85" x14ac:dyDescent="0.3">
      <c r="A18" s="1">
        <v>46094.032349537039</v>
      </c>
      <c r="B18" t="s">
        <v>116</v>
      </c>
      <c r="C18">
        <v>0</v>
      </c>
      <c r="D18" t="s">
        <v>96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117</v>
      </c>
      <c r="R18">
        <v>3</v>
      </c>
      <c r="S18" t="s">
        <v>86</v>
      </c>
      <c r="T18" t="s">
        <v>87</v>
      </c>
      <c r="U18" t="s">
        <v>88</v>
      </c>
      <c r="V18">
        <v>1</v>
      </c>
      <c r="W18" t="s">
        <v>118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180</v>
      </c>
      <c r="AH18">
        <v>60</v>
      </c>
      <c r="AI18">
        <v>120</v>
      </c>
      <c r="AJ18">
        <v>0.130908920817978</v>
      </c>
      <c r="AK18">
        <v>53.491141814485779</v>
      </c>
      <c r="AL18">
        <v>0.62000049105703614</v>
      </c>
      <c r="AM18">
        <v>-0.45471537592996292</v>
      </c>
      <c r="AN18">
        <v>56.698975505613767</v>
      </c>
      <c r="AO18">
        <v>0.5708313684800872</v>
      </c>
      <c r="AP18">
        <v>56.698975505613767</v>
      </c>
      <c r="AQ18">
        <v>56.698975505613767</v>
      </c>
      <c r="AR18">
        <v>0.5708313684800872</v>
      </c>
      <c r="AS18">
        <v>122.3627221372458</v>
      </c>
      <c r="AT18">
        <v>-0.48050644040467572</v>
      </c>
      <c r="AU18">
        <v>0.8</v>
      </c>
      <c r="AV18" t="s">
        <v>93</v>
      </c>
      <c r="AW18">
        <v>6.736000203657283E-2</v>
      </c>
      <c r="AX18">
        <v>0.51087929152488076</v>
      </c>
      <c r="AY18">
        <v>6.736000203657283E-2</v>
      </c>
      <c r="AZ18">
        <v>6.736000203657283E-2</v>
      </c>
      <c r="BA18">
        <v>0.51087929152488076</v>
      </c>
      <c r="BB18">
        <v>0.13797043540194759</v>
      </c>
      <c r="BC18">
        <v>-1.843751070272015E-3</v>
      </c>
      <c r="BD18">
        <v>4.7261129596429773E-2</v>
      </c>
      <c r="BE18">
        <v>0.83625028007546398</v>
      </c>
      <c r="BF18">
        <v>4.7261129596429773E-2</v>
      </c>
      <c r="BG18">
        <v>4.7261129596429773E-2</v>
      </c>
      <c r="BH18">
        <v>0.83625028007546398</v>
      </c>
      <c r="BI18">
        <v>0.52975699799058806</v>
      </c>
      <c r="BJ18">
        <v>-0.83549485147250691</v>
      </c>
      <c r="BK18">
        <v>0.1043484963422146</v>
      </c>
      <c r="BL18">
        <v>0.58107379281416893</v>
      </c>
      <c r="BM18">
        <v>0.1043484963422146</v>
      </c>
      <c r="BN18">
        <v>0.1043484963422146</v>
      </c>
      <c r="BO18">
        <v>0.58107379281416893</v>
      </c>
      <c r="BP18">
        <v>0.42213178146262231</v>
      </c>
      <c r="BQ18">
        <v>-0.69472558148585772</v>
      </c>
      <c r="BR18">
        <v>226.5769323944794</v>
      </c>
      <c r="BS18">
        <v>0.35512210950583623</v>
      </c>
      <c r="BT18">
        <v>226.5769323944794</v>
      </c>
      <c r="BU18">
        <v>226.5769323944794</v>
      </c>
      <c r="BV18">
        <v>0.35512210950583623</v>
      </c>
      <c r="BW18">
        <v>488.36102933412758</v>
      </c>
      <c r="BX18">
        <v>-0.38996157759007638</v>
      </c>
      <c r="BY18" t="str">
        <f t="shared" si="0"/>
        <v>[[sv,wv],[yr],[ya]]</v>
      </c>
      <c r="BZ18" t="str">
        <f>SUBSTITUTE(TRIM(MID(SUBSTITUTE(SUBSTITUTE(SUBSTITUTE(Tabla1[[#This Row],[map]],"[",""),"]",""),",",REPT(" ",100)),901,200))," ",", ")</f>
        <v>2, 3</v>
      </c>
      <c r="CA18" t="str">
        <f>SUBSTITUTE(TRIM(MID(SUBSTITUTE(SUBSTITUTE(SUBSTITUTE(Tabla1[[#This Row],[map]],"[",""),"]",""),",",REPT(" ",100)),1501,200))," ",", ")</f>
        <v>3, 2</v>
      </c>
      <c r="CB18" t="str">
        <f>SUBSTITUTE(TRIM(MID(SUBSTITUTE(SUBSTITUTE(SUBSTITUTE(Tabla1[[#This Row],[map]],"[",""),"]",""),",",REPT(" ",100)),601,300))," ",", ")</f>
        <v>0, 1, 4</v>
      </c>
      <c r="CC18" t="str">
        <f>SUBSTITUTE(TRIM(MID(SUBSTITUTE(SUBSTITUTE(SUBSTITUTE(Tabla1[[#This Row],[map]],"[",""),"]",""),",",REPT(" ",100)),1201,300))," ",", ")</f>
        <v>4, 0, 1</v>
      </c>
      <c r="CD18" t="str">
        <f>SUBSTITUTE(TRIM(MID(SUBSTITUTE(SUBSTITUTE(SUBSTITUTE(Tabla1[[#This Row],[map]],"[",""),"]",""),",",REPT(" ",100)),1,300))," ",", ")</f>
        <v>2, 3, 4</v>
      </c>
      <c r="CE18" t="str">
        <f>SUBSTITUTE(TRIM(MID(SUBSTITUTE(SUBSTITUTE(SUBSTITUTE(Tabla1[[#This Row],[map]],"[",""),"]",""),",",REPT(" ",100)),1,600))," ",", ")</f>
        <v>2, 3, 4, 0, 1, -1</v>
      </c>
      <c r="CF18" t="str">
        <f>SUBSTITUTE(TRIM(MID(SUBSTITUTE(SUBSTITUTE(SUBSTITUTE(Tabla1[[#This Row],[map]],"[",""),"]",""),",",REPT(" ",100)),601,600))," ",", ")</f>
        <v>0, 1, 4, 2, 3, -1</v>
      </c>
      <c r="CG18" t="str">
        <f>SUBSTITUTE(TRIM(MID(SUBSTITUTE(SUBSTITUTE(SUBSTITUTE(Tabla1[[#This Row],[map]],"[",""),"]",""),",",REPT(" ",100)),1201,600))," ",", ")</f>
        <v>4, 0, 1, 3, 2, -1</v>
      </c>
    </row>
    <row r="19" spans="1:85" x14ac:dyDescent="0.3">
      <c r="A19" s="1">
        <v>46094.030300925922</v>
      </c>
      <c r="B19" t="s">
        <v>119</v>
      </c>
      <c r="C19">
        <v>1</v>
      </c>
      <c r="D19" t="s">
        <v>77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117</v>
      </c>
      <c r="R19">
        <v>3</v>
      </c>
      <c r="S19" t="s">
        <v>86</v>
      </c>
      <c r="T19" t="s">
        <v>87</v>
      </c>
      <c r="U19" t="s">
        <v>88</v>
      </c>
      <c r="V19">
        <v>1</v>
      </c>
      <c r="W19" t="s">
        <v>118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180</v>
      </c>
      <c r="AH19">
        <v>60</v>
      </c>
      <c r="AI19">
        <v>120</v>
      </c>
      <c r="AJ19">
        <v>0.13374928835505431</v>
      </c>
      <c r="AK19">
        <v>41.937279574135033</v>
      </c>
      <c r="AL19">
        <v>0.63063919480934949</v>
      </c>
      <c r="AM19">
        <v>-0.44308286093091592</v>
      </c>
      <c r="AN19">
        <v>45.635917583487533</v>
      </c>
      <c r="AO19">
        <v>0.58120244029507728</v>
      </c>
      <c r="AP19">
        <v>45.635917583487533</v>
      </c>
      <c r="AQ19">
        <v>45.635917583487533</v>
      </c>
      <c r="AR19">
        <v>0.58120244029507728</v>
      </c>
      <c r="AS19">
        <v>127.55049825700389</v>
      </c>
      <c r="AT19">
        <v>-0.48318481565171922</v>
      </c>
      <c r="AU19">
        <v>0.8</v>
      </c>
      <c r="AV19" t="s">
        <v>93</v>
      </c>
      <c r="AW19">
        <v>6.1171842094467938E-2</v>
      </c>
      <c r="AX19">
        <v>0.55581333373877984</v>
      </c>
      <c r="AY19">
        <v>6.1171842094467938E-2</v>
      </c>
      <c r="AZ19">
        <v>6.1171842094467938E-2</v>
      </c>
      <c r="BA19">
        <v>0.55581333373877984</v>
      </c>
      <c r="BB19">
        <v>0.17917108924770739</v>
      </c>
      <c r="BC19">
        <v>-0.30101376872755597</v>
      </c>
      <c r="BD19">
        <v>8.3284397330513557E-2</v>
      </c>
      <c r="BE19">
        <v>0.71143735129882291</v>
      </c>
      <c r="BF19">
        <v>8.3284397330513557E-2</v>
      </c>
      <c r="BG19">
        <v>8.3284397330513557E-2</v>
      </c>
      <c r="BH19">
        <v>0.71143735129882291</v>
      </c>
      <c r="BI19">
        <v>0.44974603210737291</v>
      </c>
      <c r="BJ19">
        <v>-0.55827394359014804</v>
      </c>
      <c r="BK19">
        <v>0.1055128990082829</v>
      </c>
      <c r="BL19">
        <v>0.57639908441268561</v>
      </c>
      <c r="BM19">
        <v>0.1055128990082829</v>
      </c>
      <c r="BN19">
        <v>0.1055128990082829</v>
      </c>
      <c r="BO19">
        <v>0.57639908441268561</v>
      </c>
      <c r="BP19">
        <v>0.40458187553100883</v>
      </c>
      <c r="BQ19">
        <v>-0.62426826023910564</v>
      </c>
      <c r="BR19">
        <v>182.29370119551649</v>
      </c>
      <c r="BS19">
        <v>0.48115999173002122</v>
      </c>
      <c r="BT19">
        <v>182.29370119551649</v>
      </c>
      <c r="BU19">
        <v>182.29370119551649</v>
      </c>
      <c r="BV19">
        <v>0.48115999173002122</v>
      </c>
      <c r="BW19">
        <v>509.16849403113088</v>
      </c>
      <c r="BX19">
        <v>-0.44918329005007868</v>
      </c>
      <c r="BY19" t="str">
        <f t="shared" si="0"/>
        <v>[[sv,wv],[yr],[ya]]</v>
      </c>
      <c r="BZ19" t="str">
        <f>SUBSTITUTE(TRIM(MID(SUBSTITUTE(SUBSTITUTE(SUBSTITUTE(Tabla1[[#This Row],[map]],"[",""),"]",""),",",REPT(" ",100)),901,200))," ",", ")</f>
        <v>2, 3</v>
      </c>
      <c r="CA19" t="str">
        <f>SUBSTITUTE(TRIM(MID(SUBSTITUTE(SUBSTITUTE(SUBSTITUTE(Tabla1[[#This Row],[map]],"[",""),"]",""),",",REPT(" ",100)),1501,200))," ",", ")</f>
        <v>3, 2</v>
      </c>
      <c r="CB19" t="str">
        <f>SUBSTITUTE(TRIM(MID(SUBSTITUTE(SUBSTITUTE(SUBSTITUTE(Tabla1[[#This Row],[map]],"[",""),"]",""),",",REPT(" ",100)),601,300))," ",", ")</f>
        <v>0, 1, 4</v>
      </c>
      <c r="CC19" t="str">
        <f>SUBSTITUTE(TRIM(MID(SUBSTITUTE(SUBSTITUTE(SUBSTITUTE(Tabla1[[#This Row],[map]],"[",""),"]",""),",",REPT(" ",100)),1201,300))," ",", ")</f>
        <v>4, 0, 1</v>
      </c>
      <c r="CD19" t="str">
        <f>SUBSTITUTE(TRIM(MID(SUBSTITUTE(SUBSTITUTE(SUBSTITUTE(Tabla1[[#This Row],[map]],"[",""),"]",""),",",REPT(" ",100)),1,300))," ",", ")</f>
        <v>2, 3, 4</v>
      </c>
      <c r="CE19" t="str">
        <f>SUBSTITUTE(TRIM(MID(SUBSTITUTE(SUBSTITUTE(SUBSTITUTE(Tabla1[[#This Row],[map]],"[",""),"]",""),",",REPT(" ",100)),1,600))," ",", ")</f>
        <v>2, 3, 4, 0, 1, -1</v>
      </c>
      <c r="CF19" t="str">
        <f>SUBSTITUTE(TRIM(MID(SUBSTITUTE(SUBSTITUTE(SUBSTITUTE(Tabla1[[#This Row],[map]],"[",""),"]",""),",",REPT(" ",100)),601,600))," ",", ")</f>
        <v>0, 1, 4, 2, 3, -1</v>
      </c>
      <c r="CG19" t="str">
        <f>SUBSTITUTE(TRIM(MID(SUBSTITUTE(SUBSTITUTE(SUBSTITUTE(Tabla1[[#This Row],[map]],"[",""),"]",""),",",REPT(" ",100)),1201,600))," ",", ")</f>
        <v>4, 0, 1, 3, 2, -1</v>
      </c>
    </row>
    <row r="20" spans="1:85" x14ac:dyDescent="0.3">
      <c r="A20" s="1">
        <v>46094.032187500001</v>
      </c>
      <c r="B20" t="s">
        <v>120</v>
      </c>
      <c r="C20">
        <v>3</v>
      </c>
      <c r="D20" t="s">
        <v>96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117</v>
      </c>
      <c r="R20">
        <v>3</v>
      </c>
      <c r="S20" t="s">
        <v>86</v>
      </c>
      <c r="T20" t="s">
        <v>87</v>
      </c>
      <c r="U20" t="s">
        <v>88</v>
      </c>
      <c r="V20">
        <v>1</v>
      </c>
      <c r="W20" t="s">
        <v>118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180</v>
      </c>
      <c r="AH20">
        <v>60</v>
      </c>
      <c r="AI20">
        <v>120</v>
      </c>
      <c r="AJ20">
        <v>0.12723088926806869</v>
      </c>
      <c r="AK20">
        <v>52.410908379041892</v>
      </c>
      <c r="AL20">
        <v>0.63183036754484856</v>
      </c>
      <c r="AM20">
        <v>-1.1519068981676721</v>
      </c>
      <c r="AN20">
        <v>58.034154754673807</v>
      </c>
      <c r="AO20">
        <v>0.578362666800457</v>
      </c>
      <c r="AP20">
        <v>58.034154754673807</v>
      </c>
      <c r="AQ20">
        <v>58.034154754673807</v>
      </c>
      <c r="AR20">
        <v>0.578362666800457</v>
      </c>
      <c r="AS20">
        <v>127.96922754850191</v>
      </c>
      <c r="AT20">
        <v>-1.1467382140724669</v>
      </c>
      <c r="AU20">
        <v>0.8</v>
      </c>
      <c r="AV20" t="s">
        <v>93</v>
      </c>
      <c r="AW20">
        <v>7.0812232178269444E-2</v>
      </c>
      <c r="AX20">
        <v>0.48581163710573438</v>
      </c>
      <c r="AY20">
        <v>7.0812232178269444E-2</v>
      </c>
      <c r="AZ20">
        <v>7.0812232178269444E-2</v>
      </c>
      <c r="BA20">
        <v>0.48581163710573438</v>
      </c>
      <c r="BB20">
        <v>0.1588623847000058</v>
      </c>
      <c r="BC20">
        <v>-0.1535463153983474</v>
      </c>
      <c r="BD20">
        <v>6.2746981045838188E-2</v>
      </c>
      <c r="BE20">
        <v>0.78259511230255585</v>
      </c>
      <c r="BF20">
        <v>6.2746981045838188E-2</v>
      </c>
      <c r="BG20">
        <v>6.2746981045838188E-2</v>
      </c>
      <c r="BH20">
        <v>0.78259511230255585</v>
      </c>
      <c r="BI20">
        <v>0.8509487826713662</v>
      </c>
      <c r="BJ20">
        <v>-1.9483557846041699</v>
      </c>
      <c r="BK20">
        <v>7.3441278462220705E-2</v>
      </c>
      <c r="BL20">
        <v>0.70515649659045554</v>
      </c>
      <c r="BM20">
        <v>7.3441278462220705E-2</v>
      </c>
      <c r="BN20">
        <v>7.3441278462220705E-2</v>
      </c>
      <c r="BO20">
        <v>0.70515649659045554</v>
      </c>
      <c r="BP20">
        <v>0.75552235615438468</v>
      </c>
      <c r="BQ20">
        <v>-2.0331832867994528</v>
      </c>
      <c r="BR20">
        <v>231.9296185270089</v>
      </c>
      <c r="BS20">
        <v>0.33988742120308701</v>
      </c>
      <c r="BT20">
        <v>231.9296185270089</v>
      </c>
      <c r="BU20">
        <v>231.9296185270089</v>
      </c>
      <c r="BV20">
        <v>0.33988742120308701</v>
      </c>
      <c r="BW20">
        <v>510.11157667048082</v>
      </c>
      <c r="BX20">
        <v>-0.4518674694879341</v>
      </c>
      <c r="BY20" t="str">
        <f t="shared" si="0"/>
        <v>[[sv,wv],[yr],[ya]]</v>
      </c>
      <c r="BZ20" t="str">
        <f>SUBSTITUTE(TRIM(MID(SUBSTITUTE(SUBSTITUTE(SUBSTITUTE(Tabla1[[#This Row],[map]],"[",""),"]",""),",",REPT(" ",100)),901,200))," ",", ")</f>
        <v>2, 3</v>
      </c>
      <c r="CA20" t="str">
        <f>SUBSTITUTE(TRIM(MID(SUBSTITUTE(SUBSTITUTE(SUBSTITUTE(Tabla1[[#This Row],[map]],"[",""),"]",""),",",REPT(" ",100)),1501,200))," ",", ")</f>
        <v>3, 2</v>
      </c>
      <c r="CB20" t="str">
        <f>SUBSTITUTE(TRIM(MID(SUBSTITUTE(SUBSTITUTE(SUBSTITUTE(Tabla1[[#This Row],[map]],"[",""),"]",""),",",REPT(" ",100)),601,300))," ",", ")</f>
        <v>0, 1, 4</v>
      </c>
      <c r="CC20" t="str">
        <f>SUBSTITUTE(TRIM(MID(SUBSTITUTE(SUBSTITUTE(SUBSTITUTE(Tabla1[[#This Row],[map]],"[",""),"]",""),",",REPT(" ",100)),1201,300))," ",", ")</f>
        <v>4, 0, 1</v>
      </c>
      <c r="CD20" t="str">
        <f>SUBSTITUTE(TRIM(MID(SUBSTITUTE(SUBSTITUTE(SUBSTITUTE(Tabla1[[#This Row],[map]],"[",""),"]",""),",",REPT(" ",100)),1,300))," ",", ")</f>
        <v>2, 3, 4</v>
      </c>
      <c r="CE20" t="str">
        <f>SUBSTITUTE(TRIM(MID(SUBSTITUTE(SUBSTITUTE(SUBSTITUTE(Tabla1[[#This Row],[map]],"[",""),"]",""),",",REPT(" ",100)),1,600))," ",", ")</f>
        <v>2, 3, 4, 0, 1, -1</v>
      </c>
      <c r="CF20" t="str">
        <f>SUBSTITUTE(TRIM(MID(SUBSTITUTE(SUBSTITUTE(SUBSTITUTE(Tabla1[[#This Row],[map]],"[",""),"]",""),",",REPT(" ",100)),601,600))," ",", ")</f>
        <v>0, 1, 4, 2, 3, -1</v>
      </c>
      <c r="CG20" t="str">
        <f>SUBSTITUTE(TRIM(MID(SUBSTITUTE(SUBSTITUTE(SUBSTITUTE(Tabla1[[#This Row],[map]],"[",""),"]",""),",",REPT(" ",100)),1201,600))," ",", ")</f>
        <v>4, 0, 1, 3, 2, -1</v>
      </c>
    </row>
    <row r="21" spans="1:85" x14ac:dyDescent="0.3">
      <c r="A21" s="1">
        <v>46094.034074074072</v>
      </c>
      <c r="B21" t="s">
        <v>121</v>
      </c>
      <c r="C21">
        <v>2</v>
      </c>
      <c r="D21" t="s">
        <v>77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117</v>
      </c>
      <c r="R21">
        <v>3</v>
      </c>
      <c r="S21" t="s">
        <v>86</v>
      </c>
      <c r="T21" t="s">
        <v>87</v>
      </c>
      <c r="U21" t="s">
        <v>88</v>
      </c>
      <c r="V21">
        <v>1</v>
      </c>
      <c r="W21" t="s">
        <v>118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180</v>
      </c>
      <c r="AH21">
        <v>60</v>
      </c>
      <c r="AI21">
        <v>120</v>
      </c>
      <c r="AJ21">
        <v>0.13057091190828429</v>
      </c>
      <c r="AK21">
        <v>44.420535861118097</v>
      </c>
      <c r="AL21">
        <v>0.6095347071524595</v>
      </c>
      <c r="AM21">
        <v>-0.56680668708076665</v>
      </c>
      <c r="AN21">
        <v>53.260738265140731</v>
      </c>
      <c r="AO21">
        <v>0.54571625480790698</v>
      </c>
      <c r="AP21">
        <v>53.260738265140731</v>
      </c>
      <c r="AQ21">
        <v>53.260738265140731</v>
      </c>
      <c r="AR21">
        <v>0.54571625480790698</v>
      </c>
      <c r="AS21">
        <v>120.780491047737</v>
      </c>
      <c r="AT21">
        <v>-0.54429048476377839</v>
      </c>
      <c r="AU21">
        <v>0.8</v>
      </c>
      <c r="AV21" t="s">
        <v>93</v>
      </c>
      <c r="AW21">
        <v>5.6829116101866577E-2</v>
      </c>
      <c r="AX21">
        <v>0.58734713940970629</v>
      </c>
      <c r="AY21">
        <v>5.6829116101866577E-2</v>
      </c>
      <c r="AZ21">
        <v>5.6829116101866577E-2</v>
      </c>
      <c r="BA21">
        <v>0.58734713940970629</v>
      </c>
      <c r="BB21">
        <v>0.17186148310383831</v>
      </c>
      <c r="BC21">
        <v>-0.24793657710540981</v>
      </c>
      <c r="BD21">
        <v>7.7825747460193939E-2</v>
      </c>
      <c r="BE21">
        <v>0.73035040723006461</v>
      </c>
      <c r="BF21">
        <v>7.7825747460193939E-2</v>
      </c>
      <c r="BG21">
        <v>7.7825747460193939E-2</v>
      </c>
      <c r="BH21">
        <v>0.73035040723006461</v>
      </c>
      <c r="BI21">
        <v>0.48325301454253899</v>
      </c>
      <c r="BJ21">
        <v>-0.67436848123931359</v>
      </c>
      <c r="BK21">
        <v>0.13182437635274791</v>
      </c>
      <c r="BL21">
        <v>0.47076682524506219</v>
      </c>
      <c r="BM21">
        <v>0.13182437635274791</v>
      </c>
      <c r="BN21">
        <v>0.13182437635274791</v>
      </c>
      <c r="BO21">
        <v>0.47076682524506219</v>
      </c>
      <c r="BP21">
        <v>0.46902975685576048</v>
      </c>
      <c r="BQ21">
        <v>-0.88300611877035773</v>
      </c>
      <c r="BR21">
        <v>212.77647382064859</v>
      </c>
      <c r="BS21">
        <v>0.39440064734679142</v>
      </c>
      <c r="BT21">
        <v>212.77647382064859</v>
      </c>
      <c r="BU21">
        <v>212.77647382064859</v>
      </c>
      <c r="BV21">
        <v>0.39440064734679142</v>
      </c>
      <c r="BW21">
        <v>481.99781993644592</v>
      </c>
      <c r="BX21">
        <v>-0.37185076194002931</v>
      </c>
      <c r="BY21" t="str">
        <f t="shared" si="0"/>
        <v>[[sv,wv],[yr],[ya]]</v>
      </c>
      <c r="BZ21" t="str">
        <f>SUBSTITUTE(TRIM(MID(SUBSTITUTE(SUBSTITUTE(SUBSTITUTE(Tabla1[[#This Row],[map]],"[",""),"]",""),",",REPT(" ",100)),901,200))," ",", ")</f>
        <v>2, 3</v>
      </c>
      <c r="CA21" t="str">
        <f>SUBSTITUTE(TRIM(MID(SUBSTITUTE(SUBSTITUTE(SUBSTITUTE(Tabla1[[#This Row],[map]],"[",""),"]",""),",",REPT(" ",100)),1501,200))," ",", ")</f>
        <v>3, 2</v>
      </c>
      <c r="CB21" t="str">
        <f>SUBSTITUTE(TRIM(MID(SUBSTITUTE(SUBSTITUTE(SUBSTITUTE(Tabla1[[#This Row],[map]],"[",""),"]",""),",",REPT(" ",100)),601,300))," ",", ")</f>
        <v>0, 1, 4</v>
      </c>
      <c r="CC21" t="str">
        <f>SUBSTITUTE(TRIM(MID(SUBSTITUTE(SUBSTITUTE(SUBSTITUTE(Tabla1[[#This Row],[map]],"[",""),"]",""),",",REPT(" ",100)),1201,300))," ",", ")</f>
        <v>4, 0, 1</v>
      </c>
      <c r="CD21" t="str">
        <f>SUBSTITUTE(TRIM(MID(SUBSTITUTE(SUBSTITUTE(SUBSTITUTE(Tabla1[[#This Row],[map]],"[",""),"]",""),",",REPT(" ",100)),1,300))," ",", ")</f>
        <v>2, 3, 4</v>
      </c>
      <c r="CE21" t="str">
        <f>SUBSTITUTE(TRIM(MID(SUBSTITUTE(SUBSTITUTE(SUBSTITUTE(Tabla1[[#This Row],[map]],"[",""),"]",""),",",REPT(" ",100)),1,600))," ",", ")</f>
        <v>2, 3, 4, 0, 1, -1</v>
      </c>
      <c r="CF21" t="str">
        <f>SUBSTITUTE(TRIM(MID(SUBSTITUTE(SUBSTITUTE(SUBSTITUTE(Tabla1[[#This Row],[map]],"[",""),"]",""),",",REPT(" ",100)),601,600))," ",", ")</f>
        <v>0, 1, 4, 2, 3, -1</v>
      </c>
      <c r="CG21" t="str">
        <f>SUBSTITUTE(TRIM(MID(SUBSTITUTE(SUBSTITUTE(SUBSTITUTE(Tabla1[[#This Row],[map]],"[",""),"]",""),",",REPT(" ",100)),1201,600))," ",", ")</f>
        <v>4, 0, 1, 3, 2, -1</v>
      </c>
    </row>
    <row r="22" spans="1:85" x14ac:dyDescent="0.3">
      <c r="A22" s="1">
        <v>46094.175416666672</v>
      </c>
      <c r="B22" t="s">
        <v>122</v>
      </c>
      <c r="C22">
        <v>0</v>
      </c>
      <c r="D22" t="s">
        <v>96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123</v>
      </c>
      <c r="R22">
        <v>3</v>
      </c>
      <c r="S22" t="s">
        <v>86</v>
      </c>
      <c r="T22" t="s">
        <v>87</v>
      </c>
      <c r="U22" t="s">
        <v>88</v>
      </c>
      <c r="V22">
        <v>1</v>
      </c>
      <c r="W22" t="s">
        <v>124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180</v>
      </c>
      <c r="AH22">
        <v>60</v>
      </c>
      <c r="AI22">
        <v>120</v>
      </c>
      <c r="AJ22">
        <v>0.11015472571900869</v>
      </c>
      <c r="AK22">
        <v>14.68514173513555</v>
      </c>
      <c r="AL22">
        <v>0.72445507508084761</v>
      </c>
      <c r="AM22">
        <v>-0.34360729945109542</v>
      </c>
      <c r="AN22">
        <v>16.29250651742981</v>
      </c>
      <c r="AO22">
        <v>0.69757276734275475</v>
      </c>
      <c r="AP22">
        <v>16.29250651742981</v>
      </c>
      <c r="AQ22">
        <v>16.29250651742981</v>
      </c>
      <c r="AR22">
        <v>0.69757276734275475</v>
      </c>
      <c r="AS22">
        <v>127.5170543071917</v>
      </c>
      <c r="AT22">
        <v>-0.37704851201262057</v>
      </c>
      <c r="AU22">
        <v>0.8</v>
      </c>
      <c r="AV22" t="s">
        <v>93</v>
      </c>
      <c r="AW22">
        <v>5.4915053691454788E-2</v>
      </c>
      <c r="AX22">
        <v>0.60124570731262739</v>
      </c>
      <c r="AY22">
        <v>5.4915053691454788E-2</v>
      </c>
      <c r="AZ22">
        <v>5.4915053691454788E-2</v>
      </c>
      <c r="BA22">
        <v>0.60124570731262739</v>
      </c>
      <c r="BB22">
        <v>0.1513432001726232</v>
      </c>
      <c r="BC22">
        <v>-9.8947313735733511E-2</v>
      </c>
      <c r="BD22">
        <v>6.2050098976466572E-2</v>
      </c>
      <c r="BE22">
        <v>0.78500965983145476</v>
      </c>
      <c r="BF22">
        <v>6.2050098976466572E-2</v>
      </c>
      <c r="BG22">
        <v>6.2050098976466572E-2</v>
      </c>
      <c r="BH22">
        <v>0.78500965983145476</v>
      </c>
      <c r="BI22">
        <v>0.42452071796896701</v>
      </c>
      <c r="BJ22">
        <v>-0.47087361777388881</v>
      </c>
      <c r="BK22">
        <v>0.1023999144130931</v>
      </c>
      <c r="BL22">
        <v>0.58889673291941569</v>
      </c>
      <c r="BM22">
        <v>0.1023999144130931</v>
      </c>
      <c r="BN22">
        <v>0.1023999144130931</v>
      </c>
      <c r="BO22">
        <v>0.58889673291941569</v>
      </c>
      <c r="BP22">
        <v>0.37096917753988268</v>
      </c>
      <c r="BQ22">
        <v>-0.48932390956513577</v>
      </c>
      <c r="BR22">
        <v>64.950661002638327</v>
      </c>
      <c r="BS22">
        <v>0.81513896930752383</v>
      </c>
      <c r="BT22">
        <v>64.950661002638327</v>
      </c>
      <c r="BU22">
        <v>64.950661002638327</v>
      </c>
      <c r="BV22">
        <v>0.81513896930752383</v>
      </c>
      <c r="BW22">
        <v>509.12138413308429</v>
      </c>
      <c r="BX22">
        <v>-0.44904920697572259</v>
      </c>
      <c r="BY22" t="str">
        <f t="shared" si="0"/>
        <v>[[sv,wv],[yr],[ya]]</v>
      </c>
      <c r="BZ22" t="str">
        <f>SUBSTITUTE(TRIM(MID(SUBSTITUTE(SUBSTITUTE(SUBSTITUTE(Tabla1[[#This Row],[map]],"[",""),"]",""),",",REPT(" ",100)),901,200))," ",", ")</f>
        <v>2, 3</v>
      </c>
      <c r="CA22" t="str">
        <f>SUBSTITUTE(TRIM(MID(SUBSTITUTE(SUBSTITUTE(SUBSTITUTE(Tabla1[[#This Row],[map]],"[",""),"]",""),",",REPT(" ",100)),1501,200))," ",", ")</f>
        <v>3, 4</v>
      </c>
      <c r="CB22" t="str">
        <f>SUBSTITUTE(TRIM(MID(SUBSTITUTE(SUBSTITUTE(SUBSTITUTE(Tabla1[[#This Row],[map]],"[",""),"]",""),",",REPT(" ",100)),601,300))," ",", ")</f>
        <v>0, 1, 4</v>
      </c>
      <c r="CC22" t="str">
        <f>SUBSTITUTE(TRIM(MID(SUBSTITUTE(SUBSTITUTE(SUBSTITUTE(Tabla1[[#This Row],[map]],"[",""),"]",""),",",REPT(" ",100)),1201,300))," ",", ")</f>
        <v>0, 1, 2</v>
      </c>
      <c r="CD22" t="str">
        <f>SUBSTITUTE(TRIM(MID(SUBSTITUTE(SUBSTITUTE(SUBSTITUTE(Tabla1[[#This Row],[map]],"[",""),"]",""),",",REPT(" ",100)),1,300))," ",", ")</f>
        <v>2, 3, 4</v>
      </c>
      <c r="CE22" t="str">
        <f>SUBSTITUTE(TRIM(MID(SUBSTITUTE(SUBSTITUTE(SUBSTITUTE(Tabla1[[#This Row],[map]],"[",""),"]",""),",",REPT(" ",100)),1,600))," ",", ")</f>
        <v>2, 3, 4, 0, 1, -1</v>
      </c>
      <c r="CF22" t="str">
        <f>SUBSTITUTE(TRIM(MID(SUBSTITUTE(SUBSTITUTE(SUBSTITUTE(Tabla1[[#This Row],[map]],"[",""),"]",""),",",REPT(" ",100)),601,600))," ",", ")</f>
        <v>0, 1, 4, 2, 3, -1</v>
      </c>
      <c r="CG22" t="str">
        <f>SUBSTITUTE(TRIM(MID(SUBSTITUTE(SUBSTITUTE(SUBSTITUTE(Tabla1[[#This Row],[map]],"[",""),"]",""),",",REPT(" ",100)),1201,600))," ",", ")</f>
        <v>0, 1, 2, 3, 4, -1</v>
      </c>
    </row>
    <row r="23" spans="1:85" x14ac:dyDescent="0.3">
      <c r="A23" s="1">
        <v>46094.175439814811</v>
      </c>
      <c r="B23" t="s">
        <v>125</v>
      </c>
      <c r="C23">
        <v>1</v>
      </c>
      <c r="D23" t="s">
        <v>77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123</v>
      </c>
      <c r="R23">
        <v>3</v>
      </c>
      <c r="S23" t="s">
        <v>86</v>
      </c>
      <c r="T23" t="s">
        <v>87</v>
      </c>
      <c r="U23" t="s">
        <v>88</v>
      </c>
      <c r="V23">
        <v>1</v>
      </c>
      <c r="W23" t="s">
        <v>124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180</v>
      </c>
      <c r="AH23">
        <v>60</v>
      </c>
      <c r="AI23">
        <v>120</v>
      </c>
      <c r="AJ23">
        <v>0.12724837363434319</v>
      </c>
      <c r="AK23">
        <v>34.589987728223157</v>
      </c>
      <c r="AL23">
        <v>0.67327818513969873</v>
      </c>
      <c r="AM23">
        <v>-0.63246535715412455</v>
      </c>
      <c r="AN23">
        <v>38.015342679936687</v>
      </c>
      <c r="AO23">
        <v>0.62201302375345047</v>
      </c>
      <c r="AP23">
        <v>38.015342679936687</v>
      </c>
      <c r="AQ23">
        <v>38.015342679936687</v>
      </c>
      <c r="AR23">
        <v>0.62201302375345047</v>
      </c>
      <c r="AS23">
        <v>110.60647454497141</v>
      </c>
      <c r="AT23">
        <v>-0.57395608476279758</v>
      </c>
      <c r="AU23">
        <v>0.8</v>
      </c>
      <c r="AV23" t="s">
        <v>93</v>
      </c>
      <c r="AW23">
        <v>5.9210419643722041E-2</v>
      </c>
      <c r="AX23">
        <v>0.57005579676909501</v>
      </c>
      <c r="AY23">
        <v>5.9210419643722041E-2</v>
      </c>
      <c r="AZ23">
        <v>5.9210419643722041E-2</v>
      </c>
      <c r="BA23">
        <v>0.57005579676909501</v>
      </c>
      <c r="BB23">
        <v>0.20843332964501271</v>
      </c>
      <c r="BC23">
        <v>-0.51349546887548847</v>
      </c>
      <c r="BD23">
        <v>6.6313754471286956E-2</v>
      </c>
      <c r="BE23">
        <v>0.77023700418201613</v>
      </c>
      <c r="BF23">
        <v>6.6313754471286956E-2</v>
      </c>
      <c r="BG23">
        <v>6.6313754471286956E-2</v>
      </c>
      <c r="BH23">
        <v>0.77023700418201613</v>
      </c>
      <c r="BI23">
        <v>0.67374398451381246</v>
      </c>
      <c r="BJ23">
        <v>-1.3343790067453649</v>
      </c>
      <c r="BK23">
        <v>0.10464145200041169</v>
      </c>
      <c r="BL23">
        <v>0.57989766850894009</v>
      </c>
      <c r="BM23">
        <v>0.10464145200041169</v>
      </c>
      <c r="BN23">
        <v>0.10464145200041169</v>
      </c>
      <c r="BO23">
        <v>0.57989766850894009</v>
      </c>
      <c r="BP23">
        <v>0.29693091811465577</v>
      </c>
      <c r="BQ23">
        <v>-0.19208371641533711</v>
      </c>
      <c r="BR23">
        <v>151.8312050936315</v>
      </c>
      <c r="BS23">
        <v>0.56786162555375164</v>
      </c>
      <c r="BT23">
        <v>151.8312050936315</v>
      </c>
      <c r="BU23">
        <v>151.8312050936315</v>
      </c>
      <c r="BV23">
        <v>0.56786162555375164</v>
      </c>
      <c r="BW23">
        <v>441.24678994761149</v>
      </c>
      <c r="BX23">
        <v>-0.25586614701501847</v>
      </c>
      <c r="BY23" t="str">
        <f t="shared" si="0"/>
        <v>[[sv,wv],[yr],[ya]]</v>
      </c>
      <c r="BZ23" t="str">
        <f>SUBSTITUTE(TRIM(MID(SUBSTITUTE(SUBSTITUTE(SUBSTITUTE(Tabla1[[#This Row],[map]],"[",""),"]",""),",",REPT(" ",100)),901,200))," ",", ")</f>
        <v>2, 3</v>
      </c>
      <c r="CA23" t="str">
        <f>SUBSTITUTE(TRIM(MID(SUBSTITUTE(SUBSTITUTE(SUBSTITUTE(Tabla1[[#This Row],[map]],"[",""),"]",""),",",REPT(" ",100)),1501,200))," ",", ")</f>
        <v>3, 4</v>
      </c>
      <c r="CB23" t="str">
        <f>SUBSTITUTE(TRIM(MID(SUBSTITUTE(SUBSTITUTE(SUBSTITUTE(Tabla1[[#This Row],[map]],"[",""),"]",""),",",REPT(" ",100)),601,300))," ",", ")</f>
        <v>0, 1, 4</v>
      </c>
      <c r="CC23" t="str">
        <f>SUBSTITUTE(TRIM(MID(SUBSTITUTE(SUBSTITUTE(SUBSTITUTE(Tabla1[[#This Row],[map]],"[",""),"]",""),",",REPT(" ",100)),1201,300))," ",", ")</f>
        <v>0, 1, 2</v>
      </c>
      <c r="CD23" t="str">
        <f>SUBSTITUTE(TRIM(MID(SUBSTITUTE(SUBSTITUTE(SUBSTITUTE(Tabla1[[#This Row],[map]],"[",""),"]",""),",",REPT(" ",100)),1,300))," ",", ")</f>
        <v>2, 3, 4</v>
      </c>
      <c r="CE23" t="str">
        <f>SUBSTITUTE(TRIM(MID(SUBSTITUTE(SUBSTITUTE(SUBSTITUTE(Tabla1[[#This Row],[map]],"[",""),"]",""),",",REPT(" ",100)),1,600))," ",", ")</f>
        <v>2, 3, 4, 0, 1, -1</v>
      </c>
      <c r="CF23" t="str">
        <f>SUBSTITUTE(TRIM(MID(SUBSTITUTE(SUBSTITUTE(SUBSTITUTE(Tabla1[[#This Row],[map]],"[",""),"]",""),",",REPT(" ",100)),601,600))," ",", ")</f>
        <v>0, 1, 4, 2, 3, -1</v>
      </c>
      <c r="CG23" t="str">
        <f>SUBSTITUTE(TRIM(MID(SUBSTITUTE(SUBSTITUTE(SUBSTITUTE(Tabla1[[#This Row],[map]],"[",""),"]",""),",",REPT(" ",100)),1201,600))," ",", ")</f>
        <v>0, 1, 2, 3, 4, -1</v>
      </c>
    </row>
    <row r="24" spans="1:85" x14ac:dyDescent="0.3">
      <c r="A24" s="1">
        <v>46094.176215277781</v>
      </c>
      <c r="B24" t="s">
        <v>126</v>
      </c>
      <c r="C24">
        <v>3</v>
      </c>
      <c r="D24" t="s">
        <v>96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123</v>
      </c>
      <c r="R24">
        <v>3</v>
      </c>
      <c r="S24" t="s">
        <v>86</v>
      </c>
      <c r="T24" t="s">
        <v>87</v>
      </c>
      <c r="U24" t="s">
        <v>88</v>
      </c>
      <c r="V24">
        <v>1</v>
      </c>
      <c r="W24" t="s">
        <v>124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180</v>
      </c>
      <c r="AH24">
        <v>60</v>
      </c>
      <c r="AI24">
        <v>120</v>
      </c>
      <c r="AJ24">
        <v>0.1080887882921457</v>
      </c>
      <c r="AK24">
        <v>23.423659961236151</v>
      </c>
      <c r="AL24">
        <v>0.72643841285440902</v>
      </c>
      <c r="AM24">
        <v>-0.48231438896221229</v>
      </c>
      <c r="AN24">
        <v>24.78689789474873</v>
      </c>
      <c r="AO24">
        <v>0.68237231282100252</v>
      </c>
      <c r="AP24">
        <v>24.78689789474873</v>
      </c>
      <c r="AQ24">
        <v>24.78689789474873</v>
      </c>
      <c r="AR24">
        <v>0.68237231282100252</v>
      </c>
      <c r="AS24">
        <v>141.65340486339781</v>
      </c>
      <c r="AT24">
        <v>-0.43896266775083448</v>
      </c>
      <c r="AU24">
        <v>0.8</v>
      </c>
      <c r="AV24" t="s">
        <v>93</v>
      </c>
      <c r="AW24">
        <v>6.7310008402059168E-2</v>
      </c>
      <c r="AX24">
        <v>0.51124230995114639</v>
      </c>
      <c r="AY24">
        <v>6.7310008402059168E-2</v>
      </c>
      <c r="AZ24">
        <v>6.7310008402059168E-2</v>
      </c>
      <c r="BA24">
        <v>0.51124230995114639</v>
      </c>
      <c r="BB24">
        <v>0.15681586872182321</v>
      </c>
      <c r="BC24">
        <v>-0.13868596333643901</v>
      </c>
      <c r="BD24">
        <v>5.8779467310275967E-2</v>
      </c>
      <c r="BE24">
        <v>0.79634170000671722</v>
      </c>
      <c r="BF24">
        <v>5.8779467310275967E-2</v>
      </c>
      <c r="BG24">
        <v>5.8779467310275967E-2</v>
      </c>
      <c r="BH24">
        <v>0.79634170000671722</v>
      </c>
      <c r="BI24">
        <v>0.43851214621610668</v>
      </c>
      <c r="BJ24">
        <v>-0.51935092833284879</v>
      </c>
      <c r="BK24">
        <v>7.3846985727218484E-2</v>
      </c>
      <c r="BL24">
        <v>0.70352771024747018</v>
      </c>
      <c r="BM24">
        <v>7.3846985727218484E-2</v>
      </c>
      <c r="BN24">
        <v>7.3846985727218484E-2</v>
      </c>
      <c r="BO24">
        <v>0.70352771024747018</v>
      </c>
      <c r="BP24">
        <v>0.37060971096547612</v>
      </c>
      <c r="BQ24">
        <v>-0.48788076496885568</v>
      </c>
      <c r="BR24">
        <v>98.947655117555357</v>
      </c>
      <c r="BS24">
        <v>0.71837753107867619</v>
      </c>
      <c r="BT24">
        <v>98.947655117555357</v>
      </c>
      <c r="BU24">
        <v>98.947655117555357</v>
      </c>
      <c r="BV24">
        <v>0.71837753107867619</v>
      </c>
      <c r="BW24">
        <v>565.64768172768572</v>
      </c>
      <c r="BX24">
        <v>-0.60993301436519909</v>
      </c>
      <c r="BY24" t="str">
        <f t="shared" si="0"/>
        <v>[[sv,wv],[yr],[ya]]</v>
      </c>
      <c r="BZ24" t="str">
        <f>SUBSTITUTE(TRIM(MID(SUBSTITUTE(SUBSTITUTE(SUBSTITUTE(Tabla1[[#This Row],[map]],"[",""),"]",""),",",REPT(" ",100)),901,200))," ",", ")</f>
        <v>2, 3</v>
      </c>
      <c r="CA24" t="str">
        <f>SUBSTITUTE(TRIM(MID(SUBSTITUTE(SUBSTITUTE(SUBSTITUTE(Tabla1[[#This Row],[map]],"[",""),"]",""),",",REPT(" ",100)),1501,200))," ",", ")</f>
        <v>3, 4</v>
      </c>
      <c r="CB24" t="str">
        <f>SUBSTITUTE(TRIM(MID(SUBSTITUTE(SUBSTITUTE(SUBSTITUTE(Tabla1[[#This Row],[map]],"[",""),"]",""),",",REPT(" ",100)),601,300))," ",", ")</f>
        <v>0, 1, 4</v>
      </c>
      <c r="CC24" t="str">
        <f>SUBSTITUTE(TRIM(MID(SUBSTITUTE(SUBSTITUTE(SUBSTITUTE(Tabla1[[#This Row],[map]],"[",""),"]",""),",",REPT(" ",100)),1201,300))," ",", ")</f>
        <v>0, 1, 2</v>
      </c>
      <c r="CD24" t="str">
        <f>SUBSTITUTE(TRIM(MID(SUBSTITUTE(SUBSTITUTE(SUBSTITUTE(Tabla1[[#This Row],[map]],"[",""),"]",""),",",REPT(" ",100)),1,300))," ",", ")</f>
        <v>2, 3, 4</v>
      </c>
      <c r="CE24" t="str">
        <f>SUBSTITUTE(TRIM(MID(SUBSTITUTE(SUBSTITUTE(SUBSTITUTE(Tabla1[[#This Row],[map]],"[",""),"]",""),",",REPT(" ",100)),1,600))," ",", ")</f>
        <v>2, 3, 4, 0, 1, -1</v>
      </c>
      <c r="CF24" t="str">
        <f>SUBSTITUTE(TRIM(MID(SUBSTITUTE(SUBSTITUTE(SUBSTITUTE(Tabla1[[#This Row],[map]],"[",""),"]",""),",",REPT(" ",100)),601,600))," ",", ")</f>
        <v>0, 1, 4, 2, 3, -1</v>
      </c>
      <c r="CG24" t="str">
        <f>SUBSTITUTE(TRIM(MID(SUBSTITUTE(SUBSTITUTE(SUBSTITUTE(Tabla1[[#This Row],[map]],"[",""),"]",""),",",REPT(" ",100)),1201,600))," ",", ")</f>
        <v>0, 1, 2, 3, 4, -1</v>
      </c>
    </row>
    <row r="25" spans="1:85" x14ac:dyDescent="0.3">
      <c r="A25" s="1">
        <v>46094.178425925929</v>
      </c>
      <c r="B25" t="s">
        <v>127</v>
      </c>
      <c r="C25">
        <v>2</v>
      </c>
      <c r="D25" t="s">
        <v>96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123</v>
      </c>
      <c r="R25">
        <v>3</v>
      </c>
      <c r="S25" t="s">
        <v>86</v>
      </c>
      <c r="T25" t="s">
        <v>87</v>
      </c>
      <c r="U25" t="s">
        <v>88</v>
      </c>
      <c r="V25">
        <v>1</v>
      </c>
      <c r="W25" t="s">
        <v>124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180</v>
      </c>
      <c r="AH25">
        <v>60</v>
      </c>
      <c r="AI25">
        <v>120</v>
      </c>
      <c r="AJ25">
        <v>0.1118409992777513</v>
      </c>
      <c r="AK25">
        <v>19.38186904759776</v>
      </c>
      <c r="AL25">
        <v>0.68772719010243044</v>
      </c>
      <c r="AM25">
        <v>-0.34287045968296642</v>
      </c>
      <c r="AN25">
        <v>25.644849586422819</v>
      </c>
      <c r="AO25">
        <v>0.63266956190370471</v>
      </c>
      <c r="AP25">
        <v>25.644849586422819</v>
      </c>
      <c r="AQ25">
        <v>25.644849586422819</v>
      </c>
      <c r="AR25">
        <v>0.63266956190370471</v>
      </c>
      <c r="AS25">
        <v>119.93404018216999</v>
      </c>
      <c r="AT25">
        <v>-0.60706979782032633</v>
      </c>
      <c r="AU25">
        <v>0.8</v>
      </c>
      <c r="AV25" t="s">
        <v>93</v>
      </c>
      <c r="AW25">
        <v>5.2716243873553531E-2</v>
      </c>
      <c r="AX25">
        <v>0.61721190956051308</v>
      </c>
      <c r="AY25">
        <v>5.2716243873553531E-2</v>
      </c>
      <c r="AZ25">
        <v>5.2716243873553531E-2</v>
      </c>
      <c r="BA25">
        <v>0.61721190956051308</v>
      </c>
      <c r="BB25">
        <v>0.23915078353456751</v>
      </c>
      <c r="BC25">
        <v>-0.73654390050785956</v>
      </c>
      <c r="BD25">
        <v>8.1868531788084259E-2</v>
      </c>
      <c r="BE25">
        <v>0.7163430229999308</v>
      </c>
      <c r="BF25">
        <v>8.1868531788084259E-2</v>
      </c>
      <c r="BG25">
        <v>8.1868531788084259E-2</v>
      </c>
      <c r="BH25">
        <v>0.7163430229999308</v>
      </c>
      <c r="BI25">
        <v>0.4506793856966741</v>
      </c>
      <c r="BJ25">
        <v>-0.56150781442954023</v>
      </c>
      <c r="BK25">
        <v>0.12744800451423721</v>
      </c>
      <c r="BL25">
        <v>0.48833657392193391</v>
      </c>
      <c r="BM25">
        <v>0.12744800451423721</v>
      </c>
      <c r="BN25">
        <v>0.12744800451423721</v>
      </c>
      <c r="BO25">
        <v>0.48833657392193391</v>
      </c>
      <c r="BP25">
        <v>0.44039100882100352</v>
      </c>
      <c r="BQ25">
        <v>-0.76803060390136402</v>
      </c>
      <c r="BR25">
        <v>102.3173655655156</v>
      </c>
      <c r="BS25">
        <v>0.70878674113244555</v>
      </c>
      <c r="BT25">
        <v>102.3173655655156</v>
      </c>
      <c r="BU25">
        <v>102.3173655655156</v>
      </c>
      <c r="BV25">
        <v>0.70878674113244555</v>
      </c>
      <c r="BW25">
        <v>478.60593955062768</v>
      </c>
      <c r="BX25">
        <v>-0.36219687244254639</v>
      </c>
      <c r="BY25" t="str">
        <f t="shared" si="0"/>
        <v>[[sv,wv],[yr],[ya]]</v>
      </c>
      <c r="BZ25" t="str">
        <f>SUBSTITUTE(TRIM(MID(SUBSTITUTE(SUBSTITUTE(SUBSTITUTE(Tabla1[[#This Row],[map]],"[",""),"]",""),",",REPT(" ",100)),901,200))," ",", ")</f>
        <v>2, 3</v>
      </c>
      <c r="CA25" t="str">
        <f>SUBSTITUTE(TRIM(MID(SUBSTITUTE(SUBSTITUTE(SUBSTITUTE(Tabla1[[#This Row],[map]],"[",""),"]",""),",",REPT(" ",100)),1501,200))," ",", ")</f>
        <v>3, 4</v>
      </c>
      <c r="CB25" t="str">
        <f>SUBSTITUTE(TRIM(MID(SUBSTITUTE(SUBSTITUTE(SUBSTITUTE(Tabla1[[#This Row],[map]],"[",""),"]",""),",",REPT(" ",100)),601,300))," ",", ")</f>
        <v>0, 1, 4</v>
      </c>
      <c r="CC25" t="str">
        <f>SUBSTITUTE(TRIM(MID(SUBSTITUTE(SUBSTITUTE(SUBSTITUTE(Tabla1[[#This Row],[map]],"[",""),"]",""),",",REPT(" ",100)),1201,300))," ",", ")</f>
        <v>0, 1, 2</v>
      </c>
      <c r="CD25" t="str">
        <f>SUBSTITUTE(TRIM(MID(SUBSTITUTE(SUBSTITUTE(SUBSTITUTE(Tabla1[[#This Row],[map]],"[",""),"]",""),",",REPT(" ",100)),1,300))," ",", ")</f>
        <v>2, 3, 4</v>
      </c>
      <c r="CE25" t="str">
        <f>SUBSTITUTE(TRIM(MID(SUBSTITUTE(SUBSTITUTE(SUBSTITUTE(Tabla1[[#This Row],[map]],"[",""),"]",""),",",REPT(" ",100)),1,600))," ",", ")</f>
        <v>2, 3, 4, 0, 1, -1</v>
      </c>
      <c r="CF25" t="str">
        <f>SUBSTITUTE(TRIM(MID(SUBSTITUTE(SUBSTITUTE(SUBSTITUTE(Tabla1[[#This Row],[map]],"[",""),"]",""),",",REPT(" ",100)),601,600))," ",", ")</f>
        <v>0, 1, 4, 2, 3, -1</v>
      </c>
      <c r="CG25" t="str">
        <f>SUBSTITUTE(TRIM(MID(SUBSTITUTE(SUBSTITUTE(SUBSTITUTE(Tabla1[[#This Row],[map]],"[",""),"]",""),",",REPT(" ",100)),1201,600))," ",", ")</f>
        <v>0, 1, 2, 3, 4, -1</v>
      </c>
    </row>
    <row r="26" spans="1:85" x14ac:dyDescent="0.3">
      <c r="A26" s="1">
        <v>46094.318877314807</v>
      </c>
      <c r="B26" t="s">
        <v>128</v>
      </c>
      <c r="C26">
        <v>0</v>
      </c>
      <c r="D26" t="s">
        <v>96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129</v>
      </c>
      <c r="R26">
        <v>3</v>
      </c>
      <c r="S26" t="s">
        <v>86</v>
      </c>
      <c r="T26" t="s">
        <v>87</v>
      </c>
      <c r="U26" t="s">
        <v>88</v>
      </c>
      <c r="V26">
        <v>1</v>
      </c>
      <c r="W26" t="s">
        <v>130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180</v>
      </c>
      <c r="AH26">
        <v>60</v>
      </c>
      <c r="AI26">
        <v>120</v>
      </c>
      <c r="AJ26">
        <v>0.102056713105243</v>
      </c>
      <c r="AK26">
        <v>12.57406528467263</v>
      </c>
      <c r="AL26">
        <v>0.75408562703914872</v>
      </c>
      <c r="AM26">
        <v>-0.64686306651112213</v>
      </c>
      <c r="AN26">
        <v>15.11613562738375</v>
      </c>
      <c r="AO26">
        <v>0.70961502226013518</v>
      </c>
      <c r="AP26">
        <v>15.11613562738375</v>
      </c>
      <c r="AQ26">
        <v>15.11613562738375</v>
      </c>
      <c r="AR26">
        <v>0.70961502226013518</v>
      </c>
      <c r="AS26">
        <v>129.81012366844689</v>
      </c>
      <c r="AT26">
        <v>-0.64262483090662958</v>
      </c>
      <c r="AU26">
        <v>0.8</v>
      </c>
      <c r="AV26" t="s">
        <v>93</v>
      </c>
      <c r="AW26">
        <v>6.3820967297522888E-2</v>
      </c>
      <c r="AX26">
        <v>0.53657725955555757</v>
      </c>
      <c r="AY26">
        <v>6.3820967297522888E-2</v>
      </c>
      <c r="AZ26">
        <v>6.3820967297522888E-2</v>
      </c>
      <c r="BA26">
        <v>0.53657725955555757</v>
      </c>
      <c r="BB26">
        <v>0.1684667399529976</v>
      </c>
      <c r="BC26">
        <v>-0.223286352568173</v>
      </c>
      <c r="BD26">
        <v>5.8440451557891127E-2</v>
      </c>
      <c r="BE26">
        <v>0.79751631718106464</v>
      </c>
      <c r="BF26">
        <v>5.8440451557891127E-2</v>
      </c>
      <c r="BG26">
        <v>5.8440451557891127E-2</v>
      </c>
      <c r="BH26">
        <v>0.79751631718106464</v>
      </c>
      <c r="BI26">
        <v>0.63597881967638825</v>
      </c>
      <c r="BJ26">
        <v>-1.203530776543535</v>
      </c>
      <c r="BK26">
        <v>8.0733259219832196E-2</v>
      </c>
      <c r="BL26">
        <v>0.67588150031604899</v>
      </c>
      <c r="BM26">
        <v>8.0733259219832196E-2</v>
      </c>
      <c r="BN26">
        <v>8.0733259219832196E-2</v>
      </c>
      <c r="BO26">
        <v>0.67588150031604899</v>
      </c>
      <c r="BP26">
        <v>0.41579994203312398</v>
      </c>
      <c r="BQ26">
        <v>-0.66930524894929477</v>
      </c>
      <c r="BR26">
        <v>60.261547831460163</v>
      </c>
      <c r="BS26">
        <v>0.82848501198786617</v>
      </c>
      <c r="BT26">
        <v>60.261547831460163</v>
      </c>
      <c r="BU26">
        <v>60.261547831460163</v>
      </c>
      <c r="BV26">
        <v>0.82848501198786617</v>
      </c>
      <c r="BW26">
        <v>518.02024917212452</v>
      </c>
      <c r="BX26">
        <v>-0.47437694556553311</v>
      </c>
      <c r="BY26" t="str">
        <f t="shared" si="0"/>
        <v>[[sv,wv],[yr],[ya]]</v>
      </c>
      <c r="BZ26" t="str">
        <f>SUBSTITUTE(TRIM(MID(SUBSTITUTE(SUBSTITUTE(SUBSTITUTE(Tabla1[[#This Row],[map]],"[",""),"]",""),",",REPT(" ",100)),901,200))," ",", ")</f>
        <v>2, 3</v>
      </c>
      <c r="CA26" t="str">
        <f>SUBSTITUTE(TRIM(MID(SUBSTITUTE(SUBSTITUTE(SUBSTITUTE(Tabla1[[#This Row],[map]],"[",""),"]",""),",",REPT(" ",100)),1501,200))," ",", ")</f>
        <v>3, 4</v>
      </c>
      <c r="CB26" t="str">
        <f>SUBSTITUTE(TRIM(MID(SUBSTITUTE(SUBSTITUTE(SUBSTITUTE(Tabla1[[#This Row],[map]],"[",""),"]",""),",",REPT(" ",100)),601,300))," ",", ")</f>
        <v>0, 1, 4</v>
      </c>
      <c r="CC26" t="str">
        <f>SUBSTITUTE(TRIM(MID(SUBSTITUTE(SUBSTITUTE(SUBSTITUTE(Tabla1[[#This Row],[map]],"[",""),"]",""),",",REPT(" ",100)),1201,300))," ",", ")</f>
        <v>2, 0, 1</v>
      </c>
      <c r="CD26" t="str">
        <f>SUBSTITUTE(TRIM(MID(SUBSTITUTE(SUBSTITUTE(SUBSTITUTE(Tabla1[[#This Row],[map]],"[",""),"]",""),",",REPT(" ",100)),1,300))," ",", ")</f>
        <v>2, 3, 4</v>
      </c>
      <c r="CE26" t="str">
        <f>SUBSTITUTE(TRIM(MID(SUBSTITUTE(SUBSTITUTE(SUBSTITUTE(Tabla1[[#This Row],[map]],"[",""),"]",""),",",REPT(" ",100)),1,600))," ",", ")</f>
        <v>2, 3, 4, 0, 1, -1</v>
      </c>
      <c r="CF26" t="str">
        <f>SUBSTITUTE(TRIM(MID(SUBSTITUTE(SUBSTITUTE(SUBSTITUTE(Tabla1[[#This Row],[map]],"[",""),"]",""),",",REPT(" ",100)),601,600))," ",", ")</f>
        <v>0, 1, 4, 2, 3, -1</v>
      </c>
      <c r="CG26" t="str">
        <f>SUBSTITUTE(TRIM(MID(SUBSTITUTE(SUBSTITUTE(SUBSTITUTE(Tabla1[[#This Row],[map]],"[",""),"]",""),",",REPT(" ",100)),1201,600))," ",", ")</f>
        <v>2, 0, 1, 3, 4, -1</v>
      </c>
    </row>
    <row r="27" spans="1:85" x14ac:dyDescent="0.3">
      <c r="A27" s="1">
        <v>46094.319560185177</v>
      </c>
      <c r="B27" t="s">
        <v>131</v>
      </c>
      <c r="C27">
        <v>1</v>
      </c>
      <c r="D27" t="s">
        <v>77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129</v>
      </c>
      <c r="R27">
        <v>3</v>
      </c>
      <c r="S27" t="s">
        <v>86</v>
      </c>
      <c r="T27" t="s">
        <v>87</v>
      </c>
      <c r="U27" t="s">
        <v>88</v>
      </c>
      <c r="V27">
        <v>1</v>
      </c>
      <c r="W27" t="s">
        <v>130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180</v>
      </c>
      <c r="AH27">
        <v>60</v>
      </c>
      <c r="AI27">
        <v>120</v>
      </c>
      <c r="AJ27">
        <v>0.124824139955026</v>
      </c>
      <c r="AK27">
        <v>27.578352832234611</v>
      </c>
      <c r="AL27">
        <v>0.67411213800950609</v>
      </c>
      <c r="AM27">
        <v>-0.91789094117254955</v>
      </c>
      <c r="AN27">
        <v>35.432708103530373</v>
      </c>
      <c r="AO27">
        <v>0.61011746638555264</v>
      </c>
      <c r="AP27">
        <v>35.432708103530373</v>
      </c>
      <c r="AQ27">
        <v>35.432708103530373</v>
      </c>
      <c r="AR27">
        <v>0.61011746638555264</v>
      </c>
      <c r="AS27">
        <v>218.32486954680061</v>
      </c>
      <c r="AT27">
        <v>-0.72186270791129514</v>
      </c>
      <c r="AU27">
        <v>0.8</v>
      </c>
      <c r="AV27" t="s">
        <v>93</v>
      </c>
      <c r="AW27">
        <v>5.8839851688249893E-2</v>
      </c>
      <c r="AX27">
        <v>0.57274659925482396</v>
      </c>
      <c r="AY27">
        <v>5.8839851688249893E-2</v>
      </c>
      <c r="AZ27">
        <v>5.8839851688249893E-2</v>
      </c>
      <c r="BA27">
        <v>0.57274659925482396</v>
      </c>
      <c r="BB27">
        <v>0.23818285064807279</v>
      </c>
      <c r="BC27">
        <v>-0.7295154562548205</v>
      </c>
      <c r="BD27">
        <v>8.0555633036388574E-2</v>
      </c>
      <c r="BE27">
        <v>0.7208919367630009</v>
      </c>
      <c r="BF27">
        <v>8.0555633036388574E-2</v>
      </c>
      <c r="BG27">
        <v>8.0555633036388574E-2</v>
      </c>
      <c r="BH27">
        <v>0.7208919367630009</v>
      </c>
      <c r="BI27">
        <v>0.32996885547424909</v>
      </c>
      <c r="BJ27">
        <v>-0.14327160880661061</v>
      </c>
      <c r="BK27">
        <v>0.1122115436728047</v>
      </c>
      <c r="BL27">
        <v>0.54950614487869776</v>
      </c>
      <c r="BM27">
        <v>0.1122115436728047</v>
      </c>
      <c r="BN27">
        <v>0.1122115436728047</v>
      </c>
      <c r="BO27">
        <v>0.54950614487869776</v>
      </c>
      <c r="BP27">
        <v>0.38154999008139068</v>
      </c>
      <c r="BQ27">
        <v>-0.53180252518812865</v>
      </c>
      <c r="BR27">
        <v>141.47922538572411</v>
      </c>
      <c r="BS27">
        <v>0.59732518464568507</v>
      </c>
      <c r="BT27">
        <v>141.47922538572411</v>
      </c>
      <c r="BU27">
        <v>141.47922538572411</v>
      </c>
      <c r="BV27">
        <v>0.59732518464568507</v>
      </c>
      <c r="BW27">
        <v>872.34977649100222</v>
      </c>
      <c r="BX27">
        <v>-1.482861241395639</v>
      </c>
      <c r="BY27" t="str">
        <f t="shared" si="0"/>
        <v>[[sv,wv],[yr],[ya]]</v>
      </c>
      <c r="BZ27" t="str">
        <f>SUBSTITUTE(TRIM(MID(SUBSTITUTE(SUBSTITUTE(SUBSTITUTE(Tabla1[[#This Row],[map]],"[",""),"]",""),",",REPT(" ",100)),901,200))," ",", ")</f>
        <v>2, 3</v>
      </c>
      <c r="CA27" t="str">
        <f>SUBSTITUTE(TRIM(MID(SUBSTITUTE(SUBSTITUTE(SUBSTITUTE(Tabla1[[#This Row],[map]],"[",""),"]",""),",",REPT(" ",100)),1501,200))," ",", ")</f>
        <v>3, 4</v>
      </c>
      <c r="CB27" t="str">
        <f>SUBSTITUTE(TRIM(MID(SUBSTITUTE(SUBSTITUTE(SUBSTITUTE(Tabla1[[#This Row],[map]],"[",""),"]",""),",",REPT(" ",100)),601,300))," ",", ")</f>
        <v>0, 1, 4</v>
      </c>
      <c r="CC27" t="str">
        <f>SUBSTITUTE(TRIM(MID(SUBSTITUTE(SUBSTITUTE(SUBSTITUTE(Tabla1[[#This Row],[map]],"[",""),"]",""),",",REPT(" ",100)),1201,300))," ",", ")</f>
        <v>2, 0, 1</v>
      </c>
      <c r="CD27" t="str">
        <f>SUBSTITUTE(TRIM(MID(SUBSTITUTE(SUBSTITUTE(SUBSTITUTE(Tabla1[[#This Row],[map]],"[",""),"]",""),",",REPT(" ",100)),1,300))," ",", ")</f>
        <v>2, 3, 4</v>
      </c>
      <c r="CE27" t="str">
        <f>SUBSTITUTE(TRIM(MID(SUBSTITUTE(SUBSTITUTE(SUBSTITUTE(Tabla1[[#This Row],[map]],"[",""),"]",""),",",REPT(" ",100)),1,600))," ",", ")</f>
        <v>2, 3, 4, 0, 1, -1</v>
      </c>
      <c r="CF27" t="str">
        <f>SUBSTITUTE(TRIM(MID(SUBSTITUTE(SUBSTITUTE(SUBSTITUTE(Tabla1[[#This Row],[map]],"[",""),"]",""),",",REPT(" ",100)),601,600))," ",", ")</f>
        <v>0, 1, 4, 2, 3, -1</v>
      </c>
      <c r="CG27" t="str">
        <f>SUBSTITUTE(TRIM(MID(SUBSTITUTE(SUBSTITUTE(SUBSTITUTE(Tabla1[[#This Row],[map]],"[",""),"]",""),",",REPT(" ",100)),1201,600))," ",", ")</f>
        <v>2, 0, 1, 3, 4, -1</v>
      </c>
    </row>
    <row r="28" spans="1:85" x14ac:dyDescent="0.3">
      <c r="A28" s="1">
        <v>46094.319675925923</v>
      </c>
      <c r="B28" t="s">
        <v>132</v>
      </c>
      <c r="C28">
        <v>3</v>
      </c>
      <c r="D28" t="s">
        <v>96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129</v>
      </c>
      <c r="R28">
        <v>3</v>
      </c>
      <c r="S28" t="s">
        <v>86</v>
      </c>
      <c r="T28" t="s">
        <v>87</v>
      </c>
      <c r="U28" t="s">
        <v>88</v>
      </c>
      <c r="V28">
        <v>1</v>
      </c>
      <c r="W28" t="s">
        <v>130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180</v>
      </c>
      <c r="AH28">
        <v>60</v>
      </c>
      <c r="AI28">
        <v>120</v>
      </c>
      <c r="AJ28">
        <v>0.1178468952772333</v>
      </c>
      <c r="AK28">
        <v>19.184019052432468</v>
      </c>
      <c r="AL28">
        <v>0.69592058780354915</v>
      </c>
      <c r="AM28">
        <v>-0.39805017854384761</v>
      </c>
      <c r="AN28">
        <v>22.543995045812871</v>
      </c>
      <c r="AO28">
        <v>0.6638156520201608</v>
      </c>
      <c r="AP28">
        <v>22.543995045812871</v>
      </c>
      <c r="AQ28">
        <v>22.543995045812871</v>
      </c>
      <c r="AR28">
        <v>0.6638156520201608</v>
      </c>
      <c r="AS28">
        <v>146.23021866503939</v>
      </c>
      <c r="AT28">
        <v>-0.38247794262890422</v>
      </c>
      <c r="AU28">
        <v>0.8</v>
      </c>
      <c r="AV28" t="s">
        <v>93</v>
      </c>
      <c r="AW28">
        <v>8.2109059917206878E-2</v>
      </c>
      <c r="AX28">
        <v>0.40378206139119682</v>
      </c>
      <c r="AY28">
        <v>8.2109059917206878E-2</v>
      </c>
      <c r="AZ28">
        <v>8.2109059917206878E-2</v>
      </c>
      <c r="BA28">
        <v>0.40378206139119682</v>
      </c>
      <c r="BB28">
        <v>0.14063883822083489</v>
      </c>
      <c r="BC28">
        <v>-2.1219805669595582E-2</v>
      </c>
      <c r="BD28">
        <v>5.6900725259366847E-2</v>
      </c>
      <c r="BE28">
        <v>0.80285113994761226</v>
      </c>
      <c r="BF28">
        <v>5.6900725259366847E-2</v>
      </c>
      <c r="BG28">
        <v>5.6900725259366847E-2</v>
      </c>
      <c r="BH28">
        <v>0.80285113994761226</v>
      </c>
      <c r="BI28">
        <v>0.44060366266846668</v>
      </c>
      <c r="BJ28">
        <v>-0.52659758612998675</v>
      </c>
      <c r="BK28">
        <v>7.3559684861614127E-2</v>
      </c>
      <c r="BL28">
        <v>0.70468113234906049</v>
      </c>
      <c r="BM28">
        <v>7.3559684861614127E-2</v>
      </c>
      <c r="BN28">
        <v>7.3559684861614127E-2</v>
      </c>
      <c r="BO28">
        <v>0.70468113234906049</v>
      </c>
      <c r="BP28">
        <v>0.32876724723772532</v>
      </c>
      <c r="BQ28">
        <v>-0.31989650795291608</v>
      </c>
      <c r="BR28">
        <v>89.963410713213108</v>
      </c>
      <c r="BS28">
        <v>0.74394827439277977</v>
      </c>
      <c r="BT28">
        <v>89.963410713213108</v>
      </c>
      <c r="BU28">
        <v>89.963410713213108</v>
      </c>
      <c r="BV28">
        <v>0.74394827439277977</v>
      </c>
      <c r="BW28">
        <v>584.01086491203091</v>
      </c>
      <c r="BX28">
        <v>-0.66219787076311798</v>
      </c>
      <c r="BY28" t="str">
        <f t="shared" si="0"/>
        <v>[[sv,wv],[yr],[ya]]</v>
      </c>
      <c r="BZ28" t="str">
        <f>SUBSTITUTE(TRIM(MID(SUBSTITUTE(SUBSTITUTE(SUBSTITUTE(Tabla1[[#This Row],[map]],"[",""),"]",""),",",REPT(" ",100)),901,200))," ",", ")</f>
        <v>2, 3</v>
      </c>
      <c r="CA28" t="str">
        <f>SUBSTITUTE(TRIM(MID(SUBSTITUTE(SUBSTITUTE(SUBSTITUTE(Tabla1[[#This Row],[map]],"[",""),"]",""),",",REPT(" ",100)),1501,200))," ",", ")</f>
        <v>3, 4</v>
      </c>
      <c r="CB28" t="str">
        <f>SUBSTITUTE(TRIM(MID(SUBSTITUTE(SUBSTITUTE(SUBSTITUTE(Tabla1[[#This Row],[map]],"[",""),"]",""),",",REPT(" ",100)),601,300))," ",", ")</f>
        <v>0, 1, 4</v>
      </c>
      <c r="CC28" t="str">
        <f>SUBSTITUTE(TRIM(MID(SUBSTITUTE(SUBSTITUTE(SUBSTITUTE(Tabla1[[#This Row],[map]],"[",""),"]",""),",",REPT(" ",100)),1201,300))," ",", ")</f>
        <v>2, 0, 1</v>
      </c>
      <c r="CD28" t="str">
        <f>SUBSTITUTE(TRIM(MID(SUBSTITUTE(SUBSTITUTE(SUBSTITUTE(Tabla1[[#This Row],[map]],"[",""),"]",""),",",REPT(" ",100)),1,300))," ",", ")</f>
        <v>2, 3, 4</v>
      </c>
      <c r="CE28" t="str">
        <f>SUBSTITUTE(TRIM(MID(SUBSTITUTE(SUBSTITUTE(SUBSTITUTE(Tabla1[[#This Row],[map]],"[",""),"]",""),",",REPT(" ",100)),1,600))," ",", ")</f>
        <v>2, 3, 4, 0, 1, -1</v>
      </c>
      <c r="CF28" t="str">
        <f>SUBSTITUTE(TRIM(MID(SUBSTITUTE(SUBSTITUTE(SUBSTITUTE(Tabla1[[#This Row],[map]],"[",""),"]",""),",",REPT(" ",100)),601,600))," ",", ")</f>
        <v>0, 1, 4, 2, 3, -1</v>
      </c>
      <c r="CG28" t="str">
        <f>SUBSTITUTE(TRIM(MID(SUBSTITUTE(SUBSTITUTE(SUBSTITUTE(Tabla1[[#This Row],[map]],"[",""),"]",""),",",REPT(" ",100)),1201,600))," ",", ")</f>
        <v>2, 0, 1, 3, 4, -1</v>
      </c>
    </row>
    <row r="29" spans="1:85" x14ac:dyDescent="0.3">
      <c r="A29" s="1">
        <v>46094.322662037041</v>
      </c>
      <c r="B29" t="s">
        <v>133</v>
      </c>
      <c r="C29">
        <v>2</v>
      </c>
      <c r="D29" t="s">
        <v>96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129</v>
      </c>
      <c r="R29">
        <v>3</v>
      </c>
      <c r="S29" t="s">
        <v>86</v>
      </c>
      <c r="T29" t="s">
        <v>87</v>
      </c>
      <c r="U29" t="s">
        <v>88</v>
      </c>
      <c r="V29">
        <v>1</v>
      </c>
      <c r="W29" t="s">
        <v>130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180</v>
      </c>
      <c r="AH29">
        <v>60</v>
      </c>
      <c r="AI29">
        <v>120</v>
      </c>
      <c r="AJ29">
        <v>0.12219120583993</v>
      </c>
      <c r="AK29">
        <v>25.681658374910711</v>
      </c>
      <c r="AL29">
        <v>0.66643190196812818</v>
      </c>
      <c r="AM29">
        <v>-0.55139346537210332</v>
      </c>
      <c r="AN29">
        <v>30.060206662335709</v>
      </c>
      <c r="AO29">
        <v>0.59864489023046852</v>
      </c>
      <c r="AP29">
        <v>30.060206662335709</v>
      </c>
      <c r="AQ29">
        <v>30.060206662335709</v>
      </c>
      <c r="AR29">
        <v>0.59864489023046852</v>
      </c>
      <c r="AS29">
        <v>125.0588051183946</v>
      </c>
      <c r="AT29">
        <v>-0.45115975164592181</v>
      </c>
      <c r="AU29">
        <v>0.8</v>
      </c>
      <c r="AV29" t="s">
        <v>93</v>
      </c>
      <c r="AW29">
        <v>6.0512356464049108E-2</v>
      </c>
      <c r="AX29">
        <v>0.56060205210319558</v>
      </c>
      <c r="AY29">
        <v>6.0512356464049108E-2</v>
      </c>
      <c r="AZ29">
        <v>6.0512356464049108E-2</v>
      </c>
      <c r="BA29">
        <v>0.56060205210319558</v>
      </c>
      <c r="BB29">
        <v>0.19325125786586539</v>
      </c>
      <c r="BC29">
        <v>-0.40325399796958239</v>
      </c>
      <c r="BD29">
        <v>7.8953274998107323E-2</v>
      </c>
      <c r="BE29">
        <v>0.72644376513079356</v>
      </c>
      <c r="BF29">
        <v>7.8953274998107323E-2</v>
      </c>
      <c r="BG29">
        <v>7.8953274998107323E-2</v>
      </c>
      <c r="BH29">
        <v>0.72644376513079356</v>
      </c>
      <c r="BI29">
        <v>0.52044561550974866</v>
      </c>
      <c r="BJ29">
        <v>-0.80323289992019209</v>
      </c>
      <c r="BK29">
        <v>0.1372529691037129</v>
      </c>
      <c r="BL29">
        <v>0.44897274242416541</v>
      </c>
      <c r="BM29">
        <v>0.1372529691037129</v>
      </c>
      <c r="BN29">
        <v>0.1372529691037129</v>
      </c>
      <c r="BO29">
        <v>0.44897274242416541</v>
      </c>
      <c r="BP29">
        <v>0.29323864455067128</v>
      </c>
      <c r="BQ29">
        <v>-0.17726040592910081</v>
      </c>
      <c r="BR29">
        <v>119.96410804877721</v>
      </c>
      <c r="BS29">
        <v>0.65856100126371775</v>
      </c>
      <c r="BT29">
        <v>119.96410804877721</v>
      </c>
      <c r="BU29">
        <v>119.96410804877721</v>
      </c>
      <c r="BV29">
        <v>0.65856100126371775</v>
      </c>
      <c r="BW29">
        <v>499.22828495565022</v>
      </c>
      <c r="BX29">
        <v>-0.42089170276480958</v>
      </c>
      <c r="BY29" t="str">
        <f t="shared" si="0"/>
        <v>[[sv,wv],[yr],[ya]]</v>
      </c>
      <c r="BZ29" t="str">
        <f>SUBSTITUTE(TRIM(MID(SUBSTITUTE(SUBSTITUTE(SUBSTITUTE(Tabla1[[#This Row],[map]],"[",""),"]",""),",",REPT(" ",100)),901,200))," ",", ")</f>
        <v>2, 3</v>
      </c>
      <c r="CA29" t="str">
        <f>SUBSTITUTE(TRIM(MID(SUBSTITUTE(SUBSTITUTE(SUBSTITUTE(Tabla1[[#This Row],[map]],"[",""),"]",""),",",REPT(" ",100)),1501,200))," ",", ")</f>
        <v>3, 4</v>
      </c>
      <c r="CB29" t="str">
        <f>SUBSTITUTE(TRIM(MID(SUBSTITUTE(SUBSTITUTE(SUBSTITUTE(Tabla1[[#This Row],[map]],"[",""),"]",""),",",REPT(" ",100)),601,300))," ",", ")</f>
        <v>0, 1, 4</v>
      </c>
      <c r="CC29" t="str">
        <f>SUBSTITUTE(TRIM(MID(SUBSTITUTE(SUBSTITUTE(SUBSTITUTE(Tabla1[[#This Row],[map]],"[",""),"]",""),",",REPT(" ",100)),1201,300))," ",", ")</f>
        <v>2, 0, 1</v>
      </c>
      <c r="CD29" t="str">
        <f>SUBSTITUTE(TRIM(MID(SUBSTITUTE(SUBSTITUTE(SUBSTITUTE(Tabla1[[#This Row],[map]],"[",""),"]",""),",",REPT(" ",100)),1,300))," ",", ")</f>
        <v>2, 3, 4</v>
      </c>
      <c r="CE29" t="str">
        <f>SUBSTITUTE(TRIM(MID(SUBSTITUTE(SUBSTITUTE(SUBSTITUTE(Tabla1[[#This Row],[map]],"[",""),"]",""),",",REPT(" ",100)),1,600))," ",", ")</f>
        <v>2, 3, 4, 0, 1, -1</v>
      </c>
      <c r="CF29" t="str">
        <f>SUBSTITUTE(TRIM(MID(SUBSTITUTE(SUBSTITUTE(SUBSTITUTE(Tabla1[[#This Row],[map]],"[",""),"]",""),",",REPT(" ",100)),601,600))," ",", ")</f>
        <v>0, 1, 4, 2, 3, -1</v>
      </c>
      <c r="CG29" t="str">
        <f>SUBSTITUTE(TRIM(MID(SUBSTITUTE(SUBSTITUTE(SUBSTITUTE(Tabla1[[#This Row],[map]],"[",""),"]",""),",",REPT(" ",100)),1201,600))," ",", ")</f>
        <v>2, 0, 1, 3, 4, -1</v>
      </c>
    </row>
    <row r="30" spans="1:85" x14ac:dyDescent="0.3">
      <c r="A30" s="1">
        <v>46094.477187500001</v>
      </c>
      <c r="B30" t="s">
        <v>134</v>
      </c>
      <c r="C30">
        <v>0</v>
      </c>
      <c r="D30" t="s">
        <v>77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135</v>
      </c>
      <c r="R30">
        <v>3</v>
      </c>
      <c r="S30" t="s">
        <v>86</v>
      </c>
      <c r="T30" t="s">
        <v>87</v>
      </c>
      <c r="U30" t="s">
        <v>88</v>
      </c>
      <c r="V30">
        <v>1</v>
      </c>
      <c r="W30" t="s">
        <v>136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180</v>
      </c>
      <c r="AH30">
        <v>60</v>
      </c>
      <c r="AI30">
        <v>120</v>
      </c>
      <c r="AJ30">
        <v>0.11251971950149731</v>
      </c>
      <c r="AK30">
        <v>48.974712099923323</v>
      </c>
      <c r="AL30">
        <v>0.68746766271290416</v>
      </c>
      <c r="AM30">
        <v>-0.1531378235902868</v>
      </c>
      <c r="AN30">
        <v>51.46971452467443</v>
      </c>
      <c r="AO30">
        <v>0.63059576635023373</v>
      </c>
      <c r="AP30">
        <v>51.46971452467443</v>
      </c>
      <c r="AQ30">
        <v>51.46971452467443</v>
      </c>
      <c r="AR30">
        <v>0.63059576635023373</v>
      </c>
      <c r="AS30">
        <v>90.41693778353698</v>
      </c>
      <c r="AT30">
        <v>-0.1448133331733073</v>
      </c>
      <c r="AU30">
        <v>0.8</v>
      </c>
      <c r="AV30" t="s">
        <v>93</v>
      </c>
      <c r="AW30">
        <v>6.9853750145910401E-2</v>
      </c>
      <c r="AX30">
        <v>0.49277145593818611</v>
      </c>
      <c r="AY30">
        <v>6.9853750145910401E-2</v>
      </c>
      <c r="AZ30">
        <v>6.9853750145910401E-2</v>
      </c>
      <c r="BA30">
        <v>0.49277145593818611</v>
      </c>
      <c r="BB30">
        <v>0.14510203453315901</v>
      </c>
      <c r="BC30">
        <v>-5.362838162483663E-2</v>
      </c>
      <c r="BD30">
        <v>4.7512318006087517E-2</v>
      </c>
      <c r="BE30">
        <v>0.83537996588532559</v>
      </c>
      <c r="BF30">
        <v>4.7512318006087517E-2</v>
      </c>
      <c r="BG30">
        <v>4.7512318006087517E-2</v>
      </c>
      <c r="BH30">
        <v>0.83537996588532559</v>
      </c>
      <c r="BI30">
        <v>0.35740960167958757</v>
      </c>
      <c r="BJ30">
        <v>-0.2383479335583554</v>
      </c>
      <c r="BK30">
        <v>5.4871334480869997E-2</v>
      </c>
      <c r="BL30">
        <v>0.77970894796692447</v>
      </c>
      <c r="BM30">
        <v>5.4871334480869997E-2</v>
      </c>
      <c r="BN30">
        <v>5.4871334480869997E-2</v>
      </c>
      <c r="BO30">
        <v>0.77970894796692447</v>
      </c>
      <c r="BP30">
        <v>0.31390530473217448</v>
      </c>
      <c r="BQ30">
        <v>-0.26023050965385403</v>
      </c>
      <c r="BR30">
        <v>205.70662069606419</v>
      </c>
      <c r="BS30">
        <v>0.41452269561050359</v>
      </c>
      <c r="BT30">
        <v>205.70662069606419</v>
      </c>
      <c r="BU30">
        <v>205.70662069606419</v>
      </c>
      <c r="BV30">
        <v>0.41452269561050359</v>
      </c>
      <c r="BW30">
        <v>360.85133419320448</v>
      </c>
      <c r="BX30">
        <v>-2.704650785619056E-2</v>
      </c>
      <c r="BY30" t="str">
        <f t="shared" si="0"/>
        <v>[[sv,wv],[yr],[ya]]</v>
      </c>
      <c r="BZ30" t="str">
        <f>SUBSTITUTE(TRIM(MID(SUBSTITUTE(SUBSTITUTE(SUBSTITUTE(Tabla1[[#This Row],[map]],"[",""),"]",""),",",REPT(" ",100)),901,200))," ",", ")</f>
        <v>2, 3</v>
      </c>
      <c r="CA30" t="str">
        <f>SUBSTITUTE(TRIM(MID(SUBSTITUTE(SUBSTITUTE(SUBSTITUTE(Tabla1[[#This Row],[map]],"[",""),"]",""),",",REPT(" ",100)),1501,200))," ",", ")</f>
        <v>3, 2</v>
      </c>
      <c r="CB30" t="str">
        <f>SUBSTITUTE(TRIM(MID(SUBSTITUTE(SUBSTITUTE(SUBSTITUTE(Tabla1[[#This Row],[map]],"[",""),"]",""),",",REPT(" ",100)),601,300))," ",", ")</f>
        <v>4, 0, 1</v>
      </c>
      <c r="CC30" t="str">
        <f>SUBSTITUTE(TRIM(MID(SUBSTITUTE(SUBSTITUTE(SUBSTITUTE(Tabla1[[#This Row],[map]],"[",""),"]",""),",",REPT(" ",100)),1201,300))," ",", ")</f>
        <v>4, 0, 1</v>
      </c>
      <c r="CD30" t="str">
        <f>SUBSTITUTE(TRIM(MID(SUBSTITUTE(SUBSTITUTE(SUBSTITUTE(Tabla1[[#This Row],[map]],"[",""),"]",""),",",REPT(" ",100)),1,300))," ",", ")</f>
        <v>2, 3, 4</v>
      </c>
      <c r="CE30" t="str">
        <f>SUBSTITUTE(TRIM(MID(SUBSTITUTE(SUBSTITUTE(SUBSTITUTE(Tabla1[[#This Row],[map]],"[",""),"]",""),",",REPT(" ",100)),1,600))," ",", ")</f>
        <v>2, 3, 4, 0, 1, -1</v>
      </c>
      <c r="CF30" t="str">
        <f>SUBSTITUTE(TRIM(MID(SUBSTITUTE(SUBSTITUTE(SUBSTITUTE(Tabla1[[#This Row],[map]],"[",""),"]",""),",",REPT(" ",100)),601,600))," ",", ")</f>
        <v>4, 0, 1, 2, 3, -1</v>
      </c>
      <c r="CG30" t="str">
        <f>SUBSTITUTE(TRIM(MID(SUBSTITUTE(SUBSTITUTE(SUBSTITUTE(Tabla1[[#This Row],[map]],"[",""),"]",""),",",REPT(" ",100)),1201,600))," ",", ")</f>
        <v>4, 0, 1, 3, 2, -1</v>
      </c>
    </row>
    <row r="31" spans="1:85" x14ac:dyDescent="0.3">
      <c r="A31" s="1">
        <v>46094.479884259257</v>
      </c>
      <c r="B31" t="s">
        <v>137</v>
      </c>
      <c r="C31">
        <v>1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135</v>
      </c>
      <c r="R31">
        <v>3</v>
      </c>
      <c r="S31" t="s">
        <v>86</v>
      </c>
      <c r="T31" t="s">
        <v>87</v>
      </c>
      <c r="U31" t="s">
        <v>88</v>
      </c>
      <c r="V31">
        <v>1</v>
      </c>
      <c r="W31" t="s">
        <v>136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180</v>
      </c>
      <c r="AH31">
        <v>60</v>
      </c>
      <c r="AI31">
        <v>120</v>
      </c>
      <c r="AJ31">
        <v>0.12739533938183409</v>
      </c>
      <c r="AK31">
        <v>44.695098844356998</v>
      </c>
      <c r="AL31">
        <v>0.66238861923126369</v>
      </c>
      <c r="AM31">
        <v>-0.1003341027525835</v>
      </c>
      <c r="AN31">
        <v>48.192402820417961</v>
      </c>
      <c r="AO31">
        <v>0.62241719340081003</v>
      </c>
      <c r="AP31">
        <v>48.192402820417961</v>
      </c>
      <c r="AQ31">
        <v>48.192402820417961</v>
      </c>
      <c r="AR31">
        <v>0.62241719340081003</v>
      </c>
      <c r="AS31">
        <v>124.25700729616941</v>
      </c>
      <c r="AT31">
        <v>-0.23824515459571821</v>
      </c>
      <c r="AU31">
        <v>0.8</v>
      </c>
      <c r="AV31" t="s">
        <v>93</v>
      </c>
      <c r="AW31">
        <v>6.2018004163103838E-2</v>
      </c>
      <c r="AX31">
        <v>0.54966910306801409</v>
      </c>
      <c r="AY31">
        <v>6.2018004163103838E-2</v>
      </c>
      <c r="AZ31">
        <v>6.2018004163103838E-2</v>
      </c>
      <c r="BA31">
        <v>0.54966910306801409</v>
      </c>
      <c r="BB31">
        <v>0.30604672235637032</v>
      </c>
      <c r="BC31">
        <v>-1.2222949100292539</v>
      </c>
      <c r="BD31">
        <v>8.4302446114197654E-2</v>
      </c>
      <c r="BE31">
        <v>0.70791002970026384</v>
      </c>
      <c r="BF31">
        <v>8.4302446114197654E-2</v>
      </c>
      <c r="BG31">
        <v>8.4302446114197654E-2</v>
      </c>
      <c r="BH31">
        <v>0.70791002970026384</v>
      </c>
      <c r="BI31">
        <v>0.1838082837014714</v>
      </c>
      <c r="BJ31">
        <v>0.36314355511724139</v>
      </c>
      <c r="BK31">
        <v>5.4755586860264292E-2</v>
      </c>
      <c r="BL31">
        <v>0.78017363805246343</v>
      </c>
      <c r="BM31">
        <v>5.4755586860264292E-2</v>
      </c>
      <c r="BN31">
        <v>5.4755586860264292E-2</v>
      </c>
      <c r="BO31">
        <v>0.78017363805246343</v>
      </c>
      <c r="BP31">
        <v>0.16964647408781841</v>
      </c>
      <c r="BQ31">
        <v>0.31892306604031251</v>
      </c>
      <c r="BR31">
        <v>192.56853524453379</v>
      </c>
      <c r="BS31">
        <v>0.45191600278249811</v>
      </c>
      <c r="BT31">
        <v>192.56853524453379</v>
      </c>
      <c r="BU31">
        <v>192.56853524453379</v>
      </c>
      <c r="BV31">
        <v>0.45191600278249811</v>
      </c>
      <c r="BW31">
        <v>496.36852770453402</v>
      </c>
      <c r="BX31">
        <v>-0.4127523295111617</v>
      </c>
      <c r="BY31" t="str">
        <f t="shared" si="0"/>
        <v>[[sv,wv],[yr],[ya]]</v>
      </c>
      <c r="BZ31" t="str">
        <f>SUBSTITUTE(TRIM(MID(SUBSTITUTE(SUBSTITUTE(SUBSTITUTE(Tabla1[[#This Row],[map]],"[",""),"]",""),",",REPT(" ",100)),901,200))," ",", ")</f>
        <v>2, 3</v>
      </c>
      <c r="CA31" t="str">
        <f>SUBSTITUTE(TRIM(MID(SUBSTITUTE(SUBSTITUTE(SUBSTITUTE(Tabla1[[#This Row],[map]],"[",""),"]",""),",",REPT(" ",100)),1501,200))," ",", ")</f>
        <v>3, 2</v>
      </c>
      <c r="CB31" t="str">
        <f>SUBSTITUTE(TRIM(MID(SUBSTITUTE(SUBSTITUTE(SUBSTITUTE(Tabla1[[#This Row],[map]],"[",""),"]",""),",",REPT(" ",100)),601,300))," ",", ")</f>
        <v>4, 0, 1</v>
      </c>
      <c r="CC31" t="str">
        <f>SUBSTITUTE(TRIM(MID(SUBSTITUTE(SUBSTITUTE(SUBSTITUTE(Tabla1[[#This Row],[map]],"[",""),"]",""),",",REPT(" ",100)),1201,300))," ",", ")</f>
        <v>4, 0, 1</v>
      </c>
      <c r="CD31" t="str">
        <f>SUBSTITUTE(TRIM(MID(SUBSTITUTE(SUBSTITUTE(SUBSTITUTE(Tabla1[[#This Row],[map]],"[",""),"]",""),",",REPT(" ",100)),1,300))," ",", ")</f>
        <v>2, 3, 4</v>
      </c>
      <c r="CE31" t="str">
        <f>SUBSTITUTE(TRIM(MID(SUBSTITUTE(SUBSTITUTE(SUBSTITUTE(Tabla1[[#This Row],[map]],"[",""),"]",""),",",REPT(" ",100)),1,600))," ",", ")</f>
        <v>2, 3, 4, 0, 1, -1</v>
      </c>
      <c r="CF31" t="str">
        <f>SUBSTITUTE(TRIM(MID(SUBSTITUTE(SUBSTITUTE(SUBSTITUTE(Tabla1[[#This Row],[map]],"[",""),"]",""),",",REPT(" ",100)),601,600))," ",", ")</f>
        <v>4, 0, 1, 2, 3, -1</v>
      </c>
      <c r="CG31" t="str">
        <f>SUBSTITUTE(TRIM(MID(SUBSTITUTE(SUBSTITUTE(SUBSTITUTE(Tabla1[[#This Row],[map]],"[",""),"]",""),",",REPT(" ",100)),1201,600))," ",", ")</f>
        <v>4, 0, 1, 3, 2, -1</v>
      </c>
    </row>
    <row r="32" spans="1:85" x14ac:dyDescent="0.3">
      <c r="A32" s="1">
        <v>46094.482800925929</v>
      </c>
      <c r="B32" t="s">
        <v>138</v>
      </c>
      <c r="C32">
        <v>2</v>
      </c>
      <c r="D32" t="s">
        <v>96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s">
        <v>82</v>
      </c>
      <c r="N32" t="s">
        <v>83</v>
      </c>
      <c r="O32" t="s">
        <v>83</v>
      </c>
      <c r="P32" t="s">
        <v>84</v>
      </c>
      <c r="Q32" t="s">
        <v>135</v>
      </c>
      <c r="R32">
        <v>3</v>
      </c>
      <c r="S32" t="s">
        <v>86</v>
      </c>
      <c r="T32" t="s">
        <v>87</v>
      </c>
      <c r="U32" t="s">
        <v>88</v>
      </c>
      <c r="V32">
        <v>1</v>
      </c>
      <c r="W32" t="s">
        <v>136</v>
      </c>
      <c r="X32" t="s">
        <v>83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180</v>
      </c>
      <c r="AH32">
        <v>60</v>
      </c>
      <c r="AI32">
        <v>120</v>
      </c>
      <c r="AJ32">
        <v>0.1169712419616897</v>
      </c>
      <c r="AK32">
        <v>50.200681260203282</v>
      </c>
      <c r="AL32">
        <v>0.65639445120181183</v>
      </c>
      <c r="AM32">
        <v>-0.4486282435453986</v>
      </c>
      <c r="AN32">
        <v>59.917248236691343</v>
      </c>
      <c r="AO32">
        <v>0.5919876571737096</v>
      </c>
      <c r="AP32">
        <v>59.917248236691343</v>
      </c>
      <c r="AQ32">
        <v>59.917248236691343</v>
      </c>
      <c r="AR32">
        <v>0.5919876571737096</v>
      </c>
      <c r="AS32">
        <v>100.89542809072</v>
      </c>
      <c r="AT32">
        <v>-0.37844974863341352</v>
      </c>
      <c r="AU32">
        <v>0.8</v>
      </c>
      <c r="AV32" t="s">
        <v>93</v>
      </c>
      <c r="AW32">
        <v>5.7025181670957908E-2</v>
      </c>
      <c r="AX32">
        <v>0.58592344987345213</v>
      </c>
      <c r="AY32">
        <v>5.7025181670957908E-2</v>
      </c>
      <c r="AZ32">
        <v>5.7025181670957908E-2</v>
      </c>
      <c r="BA32">
        <v>0.58592344987345213</v>
      </c>
      <c r="BB32">
        <v>0.17699797326612779</v>
      </c>
      <c r="BC32">
        <v>-0.28523413695243027</v>
      </c>
      <c r="BD32">
        <v>7.3021498861996659E-2</v>
      </c>
      <c r="BE32">
        <v>0.7469961025217422</v>
      </c>
      <c r="BF32">
        <v>7.3021498861996659E-2</v>
      </c>
      <c r="BG32">
        <v>7.3021498861996659E-2</v>
      </c>
      <c r="BH32">
        <v>0.7469961025217422</v>
      </c>
      <c r="BI32">
        <v>0.50521864712680054</v>
      </c>
      <c r="BJ32">
        <v>-0.75047470667980298</v>
      </c>
      <c r="BK32">
        <v>7.0590809136238011E-2</v>
      </c>
      <c r="BL32">
        <v>0.71660022932539846</v>
      </c>
      <c r="BM32">
        <v>7.0590809136238011E-2</v>
      </c>
      <c r="BN32">
        <v>7.0590809136238011E-2</v>
      </c>
      <c r="BO32">
        <v>0.71660022932539846</v>
      </c>
      <c r="BP32">
        <v>0.33185969167534762</v>
      </c>
      <c r="BQ32">
        <v>-0.33231169422390372</v>
      </c>
      <c r="BR32">
        <v>239.46835545709641</v>
      </c>
      <c r="BS32">
        <v>0.31843084697424562</v>
      </c>
      <c r="BT32">
        <v>239.46835545709641</v>
      </c>
      <c r="BU32">
        <v>239.46835545709641</v>
      </c>
      <c r="BV32">
        <v>0.31843084697424562</v>
      </c>
      <c r="BW32">
        <v>402.56763605081233</v>
      </c>
      <c r="BX32">
        <v>-0.1457784566775058</v>
      </c>
      <c r="BY32" t="str">
        <f t="shared" si="0"/>
        <v>[[sv,wv],[yr],[ya]]</v>
      </c>
      <c r="BZ32" t="str">
        <f>SUBSTITUTE(TRIM(MID(SUBSTITUTE(SUBSTITUTE(SUBSTITUTE(Tabla1[[#This Row],[map]],"[",""),"]",""),",",REPT(" ",100)),901,200))," ",", ")</f>
        <v>2, 3</v>
      </c>
      <c r="CA32" t="str">
        <f>SUBSTITUTE(TRIM(MID(SUBSTITUTE(SUBSTITUTE(SUBSTITUTE(Tabla1[[#This Row],[map]],"[",""),"]",""),",",REPT(" ",100)),1501,200))," ",", ")</f>
        <v>3, 2</v>
      </c>
      <c r="CB32" t="str">
        <f>SUBSTITUTE(TRIM(MID(SUBSTITUTE(SUBSTITUTE(SUBSTITUTE(Tabla1[[#This Row],[map]],"[",""),"]",""),",",REPT(" ",100)),601,300))," ",", ")</f>
        <v>4, 0, 1</v>
      </c>
      <c r="CC32" t="str">
        <f>SUBSTITUTE(TRIM(MID(SUBSTITUTE(SUBSTITUTE(SUBSTITUTE(Tabla1[[#This Row],[map]],"[",""),"]",""),",",REPT(" ",100)),1201,300))," ",", ")</f>
        <v>4, 0, 1</v>
      </c>
      <c r="CD32" t="str">
        <f>SUBSTITUTE(TRIM(MID(SUBSTITUTE(SUBSTITUTE(SUBSTITUTE(Tabla1[[#This Row],[map]],"[",""),"]",""),",",REPT(" ",100)),1,300))," ",", ")</f>
        <v>2, 3, 4</v>
      </c>
      <c r="CE32" t="str">
        <f>SUBSTITUTE(TRIM(MID(SUBSTITUTE(SUBSTITUTE(SUBSTITUTE(Tabla1[[#This Row],[map]],"[",""),"]",""),",",REPT(" ",100)),1,600))," ",", ")</f>
        <v>2, 3, 4, 0, 1, -1</v>
      </c>
      <c r="CF32" t="str">
        <f>SUBSTITUTE(TRIM(MID(SUBSTITUTE(SUBSTITUTE(SUBSTITUTE(Tabla1[[#This Row],[map]],"[",""),"]",""),",",REPT(" ",100)),601,600))," ",", ")</f>
        <v>4, 0, 1, 2, 3, -1</v>
      </c>
      <c r="CG32" t="str">
        <f>SUBSTITUTE(TRIM(MID(SUBSTITUTE(SUBSTITUTE(SUBSTITUTE(Tabla1[[#This Row],[map]],"[",""),"]",""),",",REPT(" ",100)),1201,600))," ",", ")</f>
        <v>4, 0, 1, 3, 2, -1</v>
      </c>
    </row>
    <row r="33" spans="1:85" x14ac:dyDescent="0.3">
      <c r="A33" s="1">
        <v>46094.481620370367</v>
      </c>
      <c r="B33" t="s">
        <v>139</v>
      </c>
      <c r="C33">
        <v>3</v>
      </c>
      <c r="D33" t="s">
        <v>96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s">
        <v>82</v>
      </c>
      <c r="N33" t="s">
        <v>83</v>
      </c>
      <c r="O33" t="s">
        <v>83</v>
      </c>
      <c r="P33" t="s">
        <v>84</v>
      </c>
      <c r="Q33" t="s">
        <v>135</v>
      </c>
      <c r="R33">
        <v>3</v>
      </c>
      <c r="S33" t="s">
        <v>86</v>
      </c>
      <c r="T33" t="s">
        <v>87</v>
      </c>
      <c r="U33" t="s">
        <v>88</v>
      </c>
      <c r="V33">
        <v>1</v>
      </c>
      <c r="W33" t="s">
        <v>136</v>
      </c>
      <c r="X33" t="s">
        <v>83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180</v>
      </c>
      <c r="AH33">
        <v>60</v>
      </c>
      <c r="AI33">
        <v>120</v>
      </c>
      <c r="AJ33">
        <v>0.11804576770283449</v>
      </c>
      <c r="AK33">
        <v>43.456761640968892</v>
      </c>
      <c r="AL33">
        <v>0.68233555013795233</v>
      </c>
      <c r="AM33">
        <v>-0.45431571932766801</v>
      </c>
      <c r="AN33">
        <v>48.95536794557529</v>
      </c>
      <c r="AO33">
        <v>0.64262199265817632</v>
      </c>
      <c r="AP33">
        <v>48.95536794557529</v>
      </c>
      <c r="AQ33">
        <v>48.95536794557529</v>
      </c>
      <c r="AR33">
        <v>0.64262199265817632</v>
      </c>
      <c r="AS33">
        <v>97.584034295271721</v>
      </c>
      <c r="AT33">
        <v>-0.40808330299969042</v>
      </c>
      <c r="AU33">
        <v>0.8</v>
      </c>
      <c r="AV33" t="s">
        <v>93</v>
      </c>
      <c r="AW33">
        <v>6.3960618701621869E-2</v>
      </c>
      <c r="AX33">
        <v>0.53556320979832384</v>
      </c>
      <c r="AY33">
        <v>6.3960618701621869E-2</v>
      </c>
      <c r="AZ33">
        <v>6.3960618701621869E-2</v>
      </c>
      <c r="BA33">
        <v>0.53556320979832384</v>
      </c>
      <c r="BB33">
        <v>0.2422916765193224</v>
      </c>
      <c r="BC33">
        <v>-0.75935084462157443</v>
      </c>
      <c r="BD33">
        <v>5.7024233076760029E-2</v>
      </c>
      <c r="BE33">
        <v>0.80242321173939291</v>
      </c>
      <c r="BF33">
        <v>5.7024233076760029E-2</v>
      </c>
      <c r="BG33">
        <v>5.7024233076760029E-2</v>
      </c>
      <c r="BH33">
        <v>0.80242321173939291</v>
      </c>
      <c r="BI33">
        <v>0.41955843461813819</v>
      </c>
      <c r="BJ33">
        <v>-0.45368036581772347</v>
      </c>
      <c r="BK33">
        <v>5.2469813631589167E-2</v>
      </c>
      <c r="BL33">
        <v>0.78935029457116779</v>
      </c>
      <c r="BM33">
        <v>5.2469813631589167E-2</v>
      </c>
      <c r="BN33">
        <v>5.2469813631589167E-2</v>
      </c>
      <c r="BO33">
        <v>0.78935029457116779</v>
      </c>
      <c r="BP33">
        <v>0.32658857239149641</v>
      </c>
      <c r="BQ33">
        <v>-0.31114981756431132</v>
      </c>
      <c r="BR33">
        <v>195.64801711689171</v>
      </c>
      <c r="BS33">
        <v>0.44315125452381959</v>
      </c>
      <c r="BT33">
        <v>195.64801711689171</v>
      </c>
      <c r="BU33">
        <v>195.64801711689171</v>
      </c>
      <c r="BV33">
        <v>0.44315125452381959</v>
      </c>
      <c r="BW33">
        <v>389.34769849755719</v>
      </c>
      <c r="BX33">
        <v>-0.1081521839951438</v>
      </c>
      <c r="BY33" t="str">
        <f t="shared" si="0"/>
        <v>[[sv,wv],[yr],[ya]]</v>
      </c>
      <c r="BZ33" t="str">
        <f>SUBSTITUTE(TRIM(MID(SUBSTITUTE(SUBSTITUTE(SUBSTITUTE(Tabla1[[#This Row],[map]],"[",""),"]",""),",",REPT(" ",100)),901,200))," ",", ")</f>
        <v>2, 3</v>
      </c>
      <c r="CA33" t="str">
        <f>SUBSTITUTE(TRIM(MID(SUBSTITUTE(SUBSTITUTE(SUBSTITUTE(Tabla1[[#This Row],[map]],"[",""),"]",""),",",REPT(" ",100)),1501,200))," ",", ")</f>
        <v>3, 2</v>
      </c>
      <c r="CB33" t="str">
        <f>SUBSTITUTE(TRIM(MID(SUBSTITUTE(SUBSTITUTE(SUBSTITUTE(Tabla1[[#This Row],[map]],"[",""),"]",""),",",REPT(" ",100)),601,300))," ",", ")</f>
        <v>4, 0, 1</v>
      </c>
      <c r="CC33" t="str">
        <f>SUBSTITUTE(TRIM(MID(SUBSTITUTE(SUBSTITUTE(SUBSTITUTE(Tabla1[[#This Row],[map]],"[",""),"]",""),",",REPT(" ",100)),1201,300))," ",", ")</f>
        <v>4, 0, 1</v>
      </c>
      <c r="CD33" t="str">
        <f>SUBSTITUTE(TRIM(MID(SUBSTITUTE(SUBSTITUTE(SUBSTITUTE(Tabla1[[#This Row],[map]],"[",""),"]",""),",",REPT(" ",100)),1,300))," ",", ")</f>
        <v>2, 3, 4</v>
      </c>
      <c r="CE33" t="str">
        <f>SUBSTITUTE(TRIM(MID(SUBSTITUTE(SUBSTITUTE(SUBSTITUTE(Tabla1[[#This Row],[map]],"[",""),"]",""),",",REPT(" ",100)),1,600))," ",", ")</f>
        <v>2, 3, 4, 0, 1, -1</v>
      </c>
      <c r="CF33" t="str">
        <f>SUBSTITUTE(TRIM(MID(SUBSTITUTE(SUBSTITUTE(SUBSTITUTE(Tabla1[[#This Row],[map]],"[",""),"]",""),",",REPT(" ",100)),601,600))," ",", ")</f>
        <v>4, 0, 1, 2, 3, -1</v>
      </c>
      <c r="CG33" t="str">
        <f>SUBSTITUTE(TRIM(MID(SUBSTITUTE(SUBSTITUTE(SUBSTITUTE(Tabla1[[#This Row],[map]],"[",""),"]",""),",",REPT(" ",100)),1201,600))," ",", ")</f>
        <v>4, 0, 1, 3, 2, -1</v>
      </c>
    </row>
    <row r="34" spans="1:85" x14ac:dyDescent="0.3">
      <c r="A34" s="1">
        <v>46094.65452546296</v>
      </c>
      <c r="B34" t="s">
        <v>140</v>
      </c>
      <c r="C34">
        <v>0</v>
      </c>
      <c r="D34" t="s">
        <v>96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s">
        <v>82</v>
      </c>
      <c r="N34" t="s">
        <v>83</v>
      </c>
      <c r="O34" t="s">
        <v>83</v>
      </c>
      <c r="P34" t="s">
        <v>84</v>
      </c>
      <c r="Q34" t="s">
        <v>141</v>
      </c>
      <c r="R34">
        <v>3</v>
      </c>
      <c r="S34" t="s">
        <v>86</v>
      </c>
      <c r="T34" t="s">
        <v>87</v>
      </c>
      <c r="U34" t="s">
        <v>88</v>
      </c>
      <c r="V34">
        <v>1</v>
      </c>
      <c r="W34" t="s">
        <v>142</v>
      </c>
      <c r="X34" t="s">
        <v>83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180</v>
      </c>
      <c r="AH34">
        <v>60</v>
      </c>
      <c r="AI34">
        <v>120</v>
      </c>
      <c r="AJ34">
        <v>9.2411158444254821E-2</v>
      </c>
      <c r="AK34">
        <v>15.38344667774221</v>
      </c>
      <c r="AL34">
        <v>0.78064377644589866</v>
      </c>
      <c r="AM34">
        <v>0.49243618812403239</v>
      </c>
      <c r="AN34">
        <v>17.155341251981891</v>
      </c>
      <c r="AO34">
        <v>0.76481186202913687</v>
      </c>
      <c r="AP34">
        <v>17.155341251981891</v>
      </c>
      <c r="AQ34">
        <v>17.155341251981891</v>
      </c>
      <c r="AR34">
        <v>0.76481186202913687</v>
      </c>
      <c r="AS34">
        <v>41.809682562778988</v>
      </c>
      <c r="AT34">
        <v>0.49296529317696131</v>
      </c>
      <c r="AU34">
        <v>0.8</v>
      </c>
      <c r="AV34" t="s">
        <v>93</v>
      </c>
      <c r="AW34">
        <v>4.8559036677522122E-2</v>
      </c>
      <c r="AX34">
        <v>0.64739860890022993</v>
      </c>
      <c r="AY34">
        <v>4.8559036677522122E-2</v>
      </c>
      <c r="AZ34">
        <v>4.8559036677522122E-2</v>
      </c>
      <c r="BA34">
        <v>0.64739860890022993</v>
      </c>
      <c r="BB34">
        <v>0.14162637085353211</v>
      </c>
      <c r="BC34">
        <v>-2.839056942172347E-2</v>
      </c>
      <c r="BD34">
        <v>5.843224212413918E-2</v>
      </c>
      <c r="BE34">
        <v>0.79754476111562778</v>
      </c>
      <c r="BF34">
        <v>5.843224212413918E-2</v>
      </c>
      <c r="BG34">
        <v>5.843224212413918E-2</v>
      </c>
      <c r="BH34">
        <v>0.79754476111562778</v>
      </c>
      <c r="BI34">
        <v>6.5000405696689453E-2</v>
      </c>
      <c r="BJ34">
        <v>0.7747874771783243</v>
      </c>
      <c r="BK34">
        <v>4.753231793170145E-2</v>
      </c>
      <c r="BL34">
        <v>0.809172778066922</v>
      </c>
      <c r="BM34">
        <v>4.753231793170145E-2</v>
      </c>
      <c r="BN34">
        <v>4.753231793170145E-2</v>
      </c>
      <c r="BO34">
        <v>0.809172778066922</v>
      </c>
      <c r="BP34">
        <v>7.4562572032115179E-2</v>
      </c>
      <c r="BQ34">
        <v>0.7006548575746212</v>
      </c>
      <c r="BR34">
        <v>68.466841411194082</v>
      </c>
      <c r="BS34">
        <v>0.80513130003376687</v>
      </c>
      <c r="BT34">
        <v>68.466841411194082</v>
      </c>
      <c r="BU34">
        <v>68.466841411194082</v>
      </c>
      <c r="BV34">
        <v>0.80513130003376687</v>
      </c>
      <c r="BW34">
        <v>166.95754090253391</v>
      </c>
      <c r="BX34">
        <v>0.52480940737662463</v>
      </c>
      <c r="BY34" t="str">
        <f t="shared" ref="BY34:BY65" si="1">_xlfn.LET(_xlpm.TextoConfig, Q34,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34" t="str">
        <f>SUBSTITUTE(TRIM(MID(SUBSTITUTE(SUBSTITUTE(SUBSTITUTE(Tabla1[[#This Row],[map]],"[",""),"]",""),",",REPT(" ",100)),901,200))," ",", ")</f>
        <v>2, 3</v>
      </c>
      <c r="CA34" t="str">
        <f>SUBSTITUTE(TRIM(MID(SUBSTITUTE(SUBSTITUTE(SUBSTITUTE(Tabla1[[#This Row],[map]],"[",""),"]",""),",",REPT(" ",100)),1501,200))," ",", ")</f>
        <v>3, 4</v>
      </c>
      <c r="CB34" t="str">
        <f>SUBSTITUTE(TRIM(MID(SUBSTITUTE(SUBSTITUTE(SUBSTITUTE(Tabla1[[#This Row],[map]],"[",""),"]",""),",",REPT(" ",100)),601,300))," ",", ")</f>
        <v>4, 0, 1</v>
      </c>
      <c r="CC34" t="str">
        <f>SUBSTITUTE(TRIM(MID(SUBSTITUTE(SUBSTITUTE(SUBSTITUTE(Tabla1[[#This Row],[map]],"[",""),"]",""),",",REPT(" ",100)),1201,300))," ",", ")</f>
        <v>0, 1, 2</v>
      </c>
      <c r="CD34" t="str">
        <f>SUBSTITUTE(TRIM(MID(SUBSTITUTE(SUBSTITUTE(SUBSTITUTE(Tabla1[[#This Row],[map]],"[",""),"]",""),",",REPT(" ",100)),1,300))," ",", ")</f>
        <v>2, 3, 4</v>
      </c>
      <c r="CE34" t="str">
        <f>SUBSTITUTE(TRIM(MID(SUBSTITUTE(SUBSTITUTE(SUBSTITUTE(Tabla1[[#This Row],[map]],"[",""),"]",""),",",REPT(" ",100)),1,600))," ",", ")</f>
        <v>2, 3, 4, 0, 1, -1</v>
      </c>
      <c r="CF34" t="str">
        <f>SUBSTITUTE(TRIM(MID(SUBSTITUTE(SUBSTITUTE(SUBSTITUTE(Tabla1[[#This Row],[map]],"[",""),"]",""),",",REPT(" ",100)),601,600))," ",", ")</f>
        <v>4, 0, 1, 2, 3, -1</v>
      </c>
      <c r="CG34" t="str">
        <f>SUBSTITUTE(TRIM(MID(SUBSTITUTE(SUBSTITUTE(SUBSTITUTE(Tabla1[[#This Row],[map]],"[",""),"]",""),",",REPT(" ",100)),1201,600))," ",", ")</f>
        <v>0, 1, 2, 3, 4, -1</v>
      </c>
    </row>
    <row r="35" spans="1:85" x14ac:dyDescent="0.3">
      <c r="A35" s="1">
        <v>46094.657488425917</v>
      </c>
      <c r="B35" t="s">
        <v>143</v>
      </c>
      <c r="C35">
        <v>1</v>
      </c>
      <c r="D35" t="s">
        <v>77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s">
        <v>82</v>
      </c>
      <c r="N35" t="s">
        <v>83</v>
      </c>
      <c r="O35" t="s">
        <v>83</v>
      </c>
      <c r="P35" t="s">
        <v>84</v>
      </c>
      <c r="Q35" t="s">
        <v>141</v>
      </c>
      <c r="R35">
        <v>3</v>
      </c>
      <c r="S35" t="s">
        <v>86</v>
      </c>
      <c r="T35" t="s">
        <v>87</v>
      </c>
      <c r="U35" t="s">
        <v>88</v>
      </c>
      <c r="V35">
        <v>1</v>
      </c>
      <c r="W35" t="s">
        <v>142</v>
      </c>
      <c r="X35" t="s">
        <v>83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180</v>
      </c>
      <c r="AH35">
        <v>60</v>
      </c>
      <c r="AI35">
        <v>120</v>
      </c>
      <c r="AJ35">
        <v>0.11747690501245051</v>
      </c>
      <c r="AK35">
        <v>35.238312974873573</v>
      </c>
      <c r="AL35">
        <v>0.7031030688206088</v>
      </c>
      <c r="AM35">
        <v>-0.48099438683892493</v>
      </c>
      <c r="AN35">
        <v>38.826509631991478</v>
      </c>
      <c r="AO35">
        <v>0.65725220187839883</v>
      </c>
      <c r="AP35">
        <v>38.826509631991478</v>
      </c>
      <c r="AQ35">
        <v>38.826509631991478</v>
      </c>
      <c r="AR35">
        <v>0.65725220187839883</v>
      </c>
      <c r="AS35">
        <v>121.0910590181703</v>
      </c>
      <c r="AT35">
        <v>-0.44469984849849942</v>
      </c>
      <c r="AU35">
        <v>0.8</v>
      </c>
      <c r="AV35" t="s">
        <v>93</v>
      </c>
      <c r="AW35">
        <v>6.2402811952347051E-2</v>
      </c>
      <c r="AX35">
        <v>0.54687490097759262</v>
      </c>
      <c r="AY35">
        <v>6.2402811952347051E-2</v>
      </c>
      <c r="AZ35">
        <v>6.2402811952347051E-2</v>
      </c>
      <c r="BA35">
        <v>0.54687490097759262</v>
      </c>
      <c r="BB35">
        <v>0.21307557155692811</v>
      </c>
      <c r="BC35">
        <v>-0.5472041473822995</v>
      </c>
      <c r="BD35">
        <v>7.8634834597980832E-2</v>
      </c>
      <c r="BE35">
        <v>0.72754709310409094</v>
      </c>
      <c r="BF35">
        <v>7.8634834597980832E-2</v>
      </c>
      <c r="BG35">
        <v>7.8634834597980832E-2</v>
      </c>
      <c r="BH35">
        <v>0.72754709310409094</v>
      </c>
      <c r="BI35">
        <v>0.48029711660278263</v>
      </c>
      <c r="BJ35">
        <v>-0.66412692620468317</v>
      </c>
      <c r="BK35">
        <v>5.0796235022317907E-2</v>
      </c>
      <c r="BL35">
        <v>0.79606918333128984</v>
      </c>
      <c r="BM35">
        <v>5.0796235022317907E-2</v>
      </c>
      <c r="BN35">
        <v>5.0796235022317907E-2</v>
      </c>
      <c r="BO35">
        <v>0.79606918333128984</v>
      </c>
      <c r="BP35">
        <v>0.29683549630678002</v>
      </c>
      <c r="BQ35">
        <v>-0.1917006280388156</v>
      </c>
      <c r="BR35">
        <v>155.11420464639301</v>
      </c>
      <c r="BS35">
        <v>0.55851763010062183</v>
      </c>
      <c r="BT35">
        <v>155.11420464639301</v>
      </c>
      <c r="BU35">
        <v>155.11420464639301</v>
      </c>
      <c r="BV35">
        <v>0.55851763010062183</v>
      </c>
      <c r="BW35">
        <v>483.37402788821299</v>
      </c>
      <c r="BX35">
        <v>-0.37576769236819718</v>
      </c>
      <c r="BY35" t="str">
        <f t="shared" si="1"/>
        <v>[[sv,wv],[yr],[ya]]</v>
      </c>
      <c r="BZ35" t="str">
        <f>SUBSTITUTE(TRIM(MID(SUBSTITUTE(SUBSTITUTE(SUBSTITUTE(Tabla1[[#This Row],[map]],"[",""),"]",""),",",REPT(" ",100)),901,200))," ",", ")</f>
        <v>2, 3</v>
      </c>
      <c r="CA35" t="str">
        <f>SUBSTITUTE(TRIM(MID(SUBSTITUTE(SUBSTITUTE(SUBSTITUTE(Tabla1[[#This Row],[map]],"[",""),"]",""),",",REPT(" ",100)),1501,200))," ",", ")</f>
        <v>3, 4</v>
      </c>
      <c r="CB35" t="str">
        <f>SUBSTITUTE(TRIM(MID(SUBSTITUTE(SUBSTITUTE(SUBSTITUTE(Tabla1[[#This Row],[map]],"[",""),"]",""),",",REPT(" ",100)),601,300))," ",", ")</f>
        <v>4, 0, 1</v>
      </c>
      <c r="CC35" t="str">
        <f>SUBSTITUTE(TRIM(MID(SUBSTITUTE(SUBSTITUTE(SUBSTITUTE(Tabla1[[#This Row],[map]],"[",""),"]",""),",",REPT(" ",100)),1201,300))," ",", ")</f>
        <v>0, 1, 2</v>
      </c>
      <c r="CD35" t="str">
        <f>SUBSTITUTE(TRIM(MID(SUBSTITUTE(SUBSTITUTE(SUBSTITUTE(Tabla1[[#This Row],[map]],"[",""),"]",""),",",REPT(" ",100)),1,300))," ",", ")</f>
        <v>2, 3, 4</v>
      </c>
      <c r="CE35" t="str">
        <f>SUBSTITUTE(TRIM(MID(SUBSTITUTE(SUBSTITUTE(SUBSTITUTE(Tabla1[[#This Row],[map]],"[",""),"]",""),",",REPT(" ",100)),1,600))," ",", ")</f>
        <v>2, 3, 4, 0, 1, -1</v>
      </c>
      <c r="CF35" t="str">
        <f>SUBSTITUTE(TRIM(MID(SUBSTITUTE(SUBSTITUTE(SUBSTITUTE(Tabla1[[#This Row],[map]],"[",""),"]",""),",",REPT(" ",100)),601,600))," ",", ")</f>
        <v>4, 0, 1, 2, 3, -1</v>
      </c>
      <c r="CG35" t="str">
        <f>SUBSTITUTE(TRIM(MID(SUBSTITUTE(SUBSTITUTE(SUBSTITUTE(Tabla1[[#This Row],[map]],"[",""),"]",""),",",REPT(" ",100)),1201,600))," ",", ")</f>
        <v>0, 1, 2, 3, 4, -1</v>
      </c>
    </row>
    <row r="36" spans="1:85" x14ac:dyDescent="0.3">
      <c r="A36" s="1">
        <v>46094.661030092589</v>
      </c>
      <c r="B36" t="s">
        <v>144</v>
      </c>
      <c r="C36">
        <v>2</v>
      </c>
      <c r="D36" t="s">
        <v>77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s">
        <v>82</v>
      </c>
      <c r="N36" t="s">
        <v>83</v>
      </c>
      <c r="O36" t="s">
        <v>83</v>
      </c>
      <c r="P36" t="s">
        <v>84</v>
      </c>
      <c r="Q36" t="s">
        <v>141</v>
      </c>
      <c r="R36">
        <v>3</v>
      </c>
      <c r="S36" t="s">
        <v>86</v>
      </c>
      <c r="T36" t="s">
        <v>87</v>
      </c>
      <c r="U36" t="s">
        <v>88</v>
      </c>
      <c r="V36">
        <v>1</v>
      </c>
      <c r="W36" t="s">
        <v>142</v>
      </c>
      <c r="X36" t="s">
        <v>83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180</v>
      </c>
      <c r="AH36">
        <v>60</v>
      </c>
      <c r="AI36">
        <v>120</v>
      </c>
      <c r="AJ36">
        <v>9.6631657699351656E-2</v>
      </c>
      <c r="AK36">
        <v>19.712041874945989</v>
      </c>
      <c r="AL36">
        <v>0.7422797146130462</v>
      </c>
      <c r="AM36">
        <v>-0.35436542962629192</v>
      </c>
      <c r="AN36">
        <v>24.561843563620229</v>
      </c>
      <c r="AO36">
        <v>0.6871153384501385</v>
      </c>
      <c r="AP36">
        <v>24.561843563620229</v>
      </c>
      <c r="AQ36">
        <v>24.561843563620229</v>
      </c>
      <c r="AR36">
        <v>0.6871153384501385</v>
      </c>
      <c r="AS36">
        <v>115.8457552857728</v>
      </c>
      <c r="AT36">
        <v>-0.26045093871762948</v>
      </c>
      <c r="AU36">
        <v>0.8</v>
      </c>
      <c r="AV36" t="s">
        <v>93</v>
      </c>
      <c r="AW36">
        <v>5.9697525561216581E-2</v>
      </c>
      <c r="AX36">
        <v>0.5665187780003309</v>
      </c>
      <c r="AY36">
        <v>5.9697525561216581E-2</v>
      </c>
      <c r="AZ36">
        <v>5.9697525561216581E-2</v>
      </c>
      <c r="BA36">
        <v>0.5665187780003309</v>
      </c>
      <c r="BB36">
        <v>0.19370560353919369</v>
      </c>
      <c r="BC36">
        <v>-0.40655313500806239</v>
      </c>
      <c r="BD36">
        <v>7.9907131702464176E-2</v>
      </c>
      <c r="BE36">
        <v>0.72313885537683009</v>
      </c>
      <c r="BF36">
        <v>7.9907131702464176E-2</v>
      </c>
      <c r="BG36">
        <v>7.9907131702464176E-2</v>
      </c>
      <c r="BH36">
        <v>0.72313885537683009</v>
      </c>
      <c r="BI36">
        <v>0.32021955742153552</v>
      </c>
      <c r="BJ36">
        <v>-0.10949237332864011</v>
      </c>
      <c r="BK36">
        <v>6.529782711198362E-2</v>
      </c>
      <c r="BL36">
        <v>0.73784987797248336</v>
      </c>
      <c r="BM36">
        <v>6.529782711198362E-2</v>
      </c>
      <c r="BN36">
        <v>6.529782711198362E-2</v>
      </c>
      <c r="BO36">
        <v>0.73784987797248336</v>
      </c>
      <c r="BP36">
        <v>0.30119644636691539</v>
      </c>
      <c r="BQ36">
        <v>-0.2092084631534481</v>
      </c>
      <c r="BR36">
        <v>98.042471770105408</v>
      </c>
      <c r="BS36">
        <v>0.72095384245091099</v>
      </c>
      <c r="BT36">
        <v>98.042471770105408</v>
      </c>
      <c r="BU36">
        <v>98.042471770105408</v>
      </c>
      <c r="BV36">
        <v>0.72095384245091099</v>
      </c>
      <c r="BW36">
        <v>462.56789953576441</v>
      </c>
      <c r="BX36">
        <v>-0.31654978338036738</v>
      </c>
      <c r="BY36" t="str">
        <f t="shared" si="1"/>
        <v>[[sv,wv],[yr],[ya]]</v>
      </c>
      <c r="BZ36" t="str">
        <f>SUBSTITUTE(TRIM(MID(SUBSTITUTE(SUBSTITUTE(SUBSTITUTE(Tabla1[[#This Row],[map]],"[",""),"]",""),",",REPT(" ",100)),901,200))," ",", ")</f>
        <v>2, 3</v>
      </c>
      <c r="CA36" t="str">
        <f>SUBSTITUTE(TRIM(MID(SUBSTITUTE(SUBSTITUTE(SUBSTITUTE(Tabla1[[#This Row],[map]],"[",""),"]",""),",",REPT(" ",100)),1501,200))," ",", ")</f>
        <v>3, 4</v>
      </c>
      <c r="CB36" t="str">
        <f>SUBSTITUTE(TRIM(MID(SUBSTITUTE(SUBSTITUTE(SUBSTITUTE(Tabla1[[#This Row],[map]],"[",""),"]",""),",",REPT(" ",100)),601,300))," ",", ")</f>
        <v>4, 0, 1</v>
      </c>
      <c r="CC36" t="str">
        <f>SUBSTITUTE(TRIM(MID(SUBSTITUTE(SUBSTITUTE(SUBSTITUTE(Tabla1[[#This Row],[map]],"[",""),"]",""),",",REPT(" ",100)),1201,300))," ",", ")</f>
        <v>0, 1, 2</v>
      </c>
      <c r="CD36" t="str">
        <f>SUBSTITUTE(TRIM(MID(SUBSTITUTE(SUBSTITUTE(SUBSTITUTE(Tabla1[[#This Row],[map]],"[",""),"]",""),",",REPT(" ",100)),1,300))," ",", ")</f>
        <v>2, 3, 4</v>
      </c>
      <c r="CE36" t="str">
        <f>SUBSTITUTE(TRIM(MID(SUBSTITUTE(SUBSTITUTE(SUBSTITUTE(Tabla1[[#This Row],[map]],"[",""),"]",""),",",REPT(" ",100)),1,600))," ",", ")</f>
        <v>2, 3, 4, 0, 1, -1</v>
      </c>
      <c r="CF36" t="str">
        <f>SUBSTITUTE(TRIM(MID(SUBSTITUTE(SUBSTITUTE(SUBSTITUTE(Tabla1[[#This Row],[map]],"[",""),"]",""),",",REPT(" ",100)),601,600))," ",", ")</f>
        <v>4, 0, 1, 2, 3, -1</v>
      </c>
      <c r="CG36" t="str">
        <f>SUBSTITUTE(TRIM(MID(SUBSTITUTE(SUBSTITUTE(SUBSTITUTE(Tabla1[[#This Row],[map]],"[",""),"]",""),",",REPT(" ",100)),1201,600))," ",", ")</f>
        <v>0, 1, 2, 3, 4, -1</v>
      </c>
    </row>
    <row r="37" spans="1:85" x14ac:dyDescent="0.3">
      <c r="A37" s="1">
        <v>46094.66306712963</v>
      </c>
      <c r="B37" t="s">
        <v>145</v>
      </c>
      <c r="C37">
        <v>3</v>
      </c>
      <c r="D37" t="s">
        <v>77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s">
        <v>82</v>
      </c>
      <c r="N37" t="s">
        <v>83</v>
      </c>
      <c r="O37" t="s">
        <v>83</v>
      </c>
      <c r="P37" t="s">
        <v>84</v>
      </c>
      <c r="Q37" t="s">
        <v>141</v>
      </c>
      <c r="R37">
        <v>3</v>
      </c>
      <c r="S37" t="s">
        <v>86</v>
      </c>
      <c r="T37" t="s">
        <v>87</v>
      </c>
      <c r="U37" t="s">
        <v>88</v>
      </c>
      <c r="V37">
        <v>1</v>
      </c>
      <c r="W37" t="s">
        <v>142</v>
      </c>
      <c r="X37" t="s">
        <v>83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180</v>
      </c>
      <c r="AH37">
        <v>60</v>
      </c>
      <c r="AI37">
        <v>120</v>
      </c>
      <c r="AJ37">
        <v>0.1169536188344111</v>
      </c>
      <c r="AK37">
        <v>47.383048275366399</v>
      </c>
      <c r="AL37">
        <v>0.68939647099084422</v>
      </c>
      <c r="AM37">
        <v>0.1572321557234603</v>
      </c>
      <c r="AN37">
        <v>49.728399199179627</v>
      </c>
      <c r="AO37">
        <v>0.65843702470160081</v>
      </c>
      <c r="AP37">
        <v>49.728399199179627</v>
      </c>
      <c r="AQ37">
        <v>49.728399199179627</v>
      </c>
      <c r="AR37">
        <v>0.65843702470160081</v>
      </c>
      <c r="AS37">
        <v>106.77533652118019</v>
      </c>
      <c r="AT37">
        <v>-3.30051358290121E-2</v>
      </c>
      <c r="AU37">
        <v>0.8</v>
      </c>
      <c r="AV37" t="s">
        <v>93</v>
      </c>
      <c r="AW37">
        <v>6.4758035388768259E-2</v>
      </c>
      <c r="AX37">
        <v>0.52977293362292899</v>
      </c>
      <c r="AY37">
        <v>6.4758035388768259E-2</v>
      </c>
      <c r="AZ37">
        <v>6.4758035388768259E-2</v>
      </c>
      <c r="BA37">
        <v>0.52977293362292899</v>
      </c>
      <c r="BB37">
        <v>0.2000491906006403</v>
      </c>
      <c r="BC37">
        <v>-0.45261577906920308</v>
      </c>
      <c r="BD37">
        <v>4.434701143636037E-2</v>
      </c>
      <c r="BE37">
        <v>0.84634707709688806</v>
      </c>
      <c r="BF37">
        <v>4.434701143636037E-2</v>
      </c>
      <c r="BG37">
        <v>4.434701143636037E-2</v>
      </c>
      <c r="BH37">
        <v>0.84634707709688806</v>
      </c>
      <c r="BI37">
        <v>0.2272247068754692</v>
      </c>
      <c r="BJ37">
        <v>0.21271492178630341</v>
      </c>
      <c r="BK37">
        <v>4.4004594465634241E-2</v>
      </c>
      <c r="BL37">
        <v>0.82333547195752976</v>
      </c>
      <c r="BM37">
        <v>4.4004594465634241E-2</v>
      </c>
      <c r="BN37">
        <v>4.4004594465634241E-2</v>
      </c>
      <c r="BO37">
        <v>0.82333547195752976</v>
      </c>
      <c r="BP37">
        <v>0.1689325798844499</v>
      </c>
      <c r="BQ37">
        <v>0.32178912546074079</v>
      </c>
      <c r="BR37">
        <v>198.76048715542751</v>
      </c>
      <c r="BS37">
        <v>0.43429261612905712</v>
      </c>
      <c r="BT37">
        <v>198.76048715542751</v>
      </c>
      <c r="BU37">
        <v>198.76048715542751</v>
      </c>
      <c r="BV37">
        <v>0.43429261612905712</v>
      </c>
      <c r="BW37">
        <v>426.50513960736038</v>
      </c>
      <c r="BX37">
        <v>-0.2139088114938876</v>
      </c>
      <c r="BY37" t="str">
        <f t="shared" si="1"/>
        <v>[[sv,wv],[yr],[ya]]</v>
      </c>
      <c r="BZ37" t="str">
        <f>SUBSTITUTE(TRIM(MID(SUBSTITUTE(SUBSTITUTE(SUBSTITUTE(Tabla1[[#This Row],[map]],"[",""),"]",""),",",REPT(" ",100)),901,200))," ",", ")</f>
        <v>2, 3</v>
      </c>
      <c r="CA37" t="str">
        <f>SUBSTITUTE(TRIM(MID(SUBSTITUTE(SUBSTITUTE(SUBSTITUTE(Tabla1[[#This Row],[map]],"[",""),"]",""),",",REPT(" ",100)),1501,200))," ",", ")</f>
        <v>3, 4</v>
      </c>
      <c r="CB37" t="str">
        <f>SUBSTITUTE(TRIM(MID(SUBSTITUTE(SUBSTITUTE(SUBSTITUTE(Tabla1[[#This Row],[map]],"[",""),"]",""),",",REPT(" ",100)),601,300))," ",", ")</f>
        <v>4, 0, 1</v>
      </c>
      <c r="CC37" t="str">
        <f>SUBSTITUTE(TRIM(MID(SUBSTITUTE(SUBSTITUTE(SUBSTITUTE(Tabla1[[#This Row],[map]],"[",""),"]",""),",",REPT(" ",100)),1201,300))," ",", ")</f>
        <v>0, 1, 2</v>
      </c>
      <c r="CD37" t="str">
        <f>SUBSTITUTE(TRIM(MID(SUBSTITUTE(SUBSTITUTE(SUBSTITUTE(Tabla1[[#This Row],[map]],"[",""),"]",""),",",REPT(" ",100)),1,300))," ",", ")</f>
        <v>2, 3, 4</v>
      </c>
      <c r="CE37" t="str">
        <f>SUBSTITUTE(TRIM(MID(SUBSTITUTE(SUBSTITUTE(SUBSTITUTE(Tabla1[[#This Row],[map]],"[",""),"]",""),",",REPT(" ",100)),1,600))," ",", ")</f>
        <v>2, 3, 4, 0, 1, -1</v>
      </c>
      <c r="CF37" t="str">
        <f>SUBSTITUTE(TRIM(MID(SUBSTITUTE(SUBSTITUTE(SUBSTITUTE(Tabla1[[#This Row],[map]],"[",""),"]",""),",",REPT(" ",100)),601,600))," ",", ")</f>
        <v>4, 0, 1, 2, 3, -1</v>
      </c>
      <c r="CG37" t="str">
        <f>SUBSTITUTE(TRIM(MID(SUBSTITUTE(SUBSTITUTE(SUBSTITUTE(Tabla1[[#This Row],[map]],"[",""),"]",""),",",REPT(" ",100)),1201,600))," ",", ")</f>
        <v>0, 1, 2, 3, 4, -1</v>
      </c>
    </row>
    <row r="38" spans="1:85" x14ac:dyDescent="0.3">
      <c r="A38" s="1">
        <v>46094.81521990741</v>
      </c>
      <c r="B38" t="s">
        <v>146</v>
      </c>
      <c r="C38">
        <v>0</v>
      </c>
      <c r="D38" t="s">
        <v>96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s">
        <v>82</v>
      </c>
      <c r="N38" t="s">
        <v>83</v>
      </c>
      <c r="O38" t="s">
        <v>83</v>
      </c>
      <c r="P38" t="s">
        <v>84</v>
      </c>
      <c r="Q38" t="s">
        <v>147</v>
      </c>
      <c r="R38">
        <v>3</v>
      </c>
      <c r="S38" t="s">
        <v>86</v>
      </c>
      <c r="T38" t="s">
        <v>87</v>
      </c>
      <c r="U38" t="s">
        <v>88</v>
      </c>
      <c r="V38">
        <v>1</v>
      </c>
      <c r="W38" t="s">
        <v>148</v>
      </c>
      <c r="X38" t="s">
        <v>83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180</v>
      </c>
      <c r="AH38">
        <v>60</v>
      </c>
      <c r="AI38">
        <v>120</v>
      </c>
      <c r="AJ38">
        <v>9.2443937285295125E-2</v>
      </c>
      <c r="AK38">
        <v>13.20858644045536</v>
      </c>
      <c r="AL38">
        <v>0.78415903088423056</v>
      </c>
      <c r="AM38">
        <v>0.2220434732201931</v>
      </c>
      <c r="AN38">
        <v>15.49787569092388</v>
      </c>
      <c r="AO38">
        <v>0.7541757944342119</v>
      </c>
      <c r="AP38">
        <v>15.49787569092388</v>
      </c>
      <c r="AQ38">
        <v>15.49787569092388</v>
      </c>
      <c r="AR38">
        <v>0.7541757944342119</v>
      </c>
      <c r="AS38">
        <v>90.204960974046344</v>
      </c>
      <c r="AT38">
        <v>0.23632745133451011</v>
      </c>
      <c r="AU38">
        <v>0.8</v>
      </c>
      <c r="AV38" t="s">
        <v>93</v>
      </c>
      <c r="AW38">
        <v>5.6561583834698087E-2</v>
      </c>
      <c r="AX38">
        <v>0.58928976957747792</v>
      </c>
      <c r="AY38">
        <v>5.6561583834698087E-2</v>
      </c>
      <c r="AZ38">
        <v>5.6561583834698087E-2</v>
      </c>
      <c r="BA38">
        <v>0.58928976957747792</v>
      </c>
      <c r="BB38">
        <v>0.1710237322763197</v>
      </c>
      <c r="BC38">
        <v>-0.24185342292054129</v>
      </c>
      <c r="BD38">
        <v>6.2584358833120413E-2</v>
      </c>
      <c r="BE38">
        <v>0.78315856353644375</v>
      </c>
      <c r="BF38">
        <v>6.2584358833120413E-2</v>
      </c>
      <c r="BG38">
        <v>6.2584358833120413E-2</v>
      </c>
      <c r="BH38">
        <v>0.78315856353644375</v>
      </c>
      <c r="BI38">
        <v>0.12281606471891331</v>
      </c>
      <c r="BJ38">
        <v>0.57446856705102989</v>
      </c>
      <c r="BK38">
        <v>4.4778862566325031E-2</v>
      </c>
      <c r="BL38">
        <v>0.82022703043573131</v>
      </c>
      <c r="BM38">
        <v>4.4778862566325031E-2</v>
      </c>
      <c r="BN38">
        <v>4.4778862566325031E-2</v>
      </c>
      <c r="BO38">
        <v>0.82022703043573131</v>
      </c>
      <c r="BP38">
        <v>9.0029762114952686E-2</v>
      </c>
      <c r="BQ38">
        <v>0.63855898169371428</v>
      </c>
      <c r="BR38">
        <v>61.827577958461212</v>
      </c>
      <c r="BS38">
        <v>0.82402781418719839</v>
      </c>
      <c r="BT38">
        <v>61.827577958461212</v>
      </c>
      <c r="BU38">
        <v>61.827577958461212</v>
      </c>
      <c r="BV38">
        <v>0.82402781418719839</v>
      </c>
      <c r="BW38">
        <v>360.43597433707657</v>
      </c>
      <c r="BX38">
        <v>-2.5864320486165941E-2</v>
      </c>
      <c r="BY38" t="str">
        <f t="shared" si="1"/>
        <v>[[sv,wv],[yr],[ya]]</v>
      </c>
      <c r="BZ38" t="str">
        <f>SUBSTITUTE(TRIM(MID(SUBSTITUTE(SUBSTITUTE(SUBSTITUTE(Tabla1[[#This Row],[map]],"[",""),"]",""),",",REPT(" ",100)),901,200))," ",", ")</f>
        <v>2, 3</v>
      </c>
      <c r="CA38" t="str">
        <f>SUBSTITUTE(TRIM(MID(SUBSTITUTE(SUBSTITUTE(SUBSTITUTE(Tabla1[[#This Row],[map]],"[",""),"]",""),",",REPT(" ",100)),1501,200))," ",", ")</f>
        <v>3, 4</v>
      </c>
      <c r="CB38" t="str">
        <f>SUBSTITUTE(TRIM(MID(SUBSTITUTE(SUBSTITUTE(SUBSTITUTE(Tabla1[[#This Row],[map]],"[",""),"]",""),",",REPT(" ",100)),601,300))," ",", ")</f>
        <v>4, 0, 1</v>
      </c>
      <c r="CC38" t="str">
        <f>SUBSTITUTE(TRIM(MID(SUBSTITUTE(SUBSTITUTE(SUBSTITUTE(Tabla1[[#This Row],[map]],"[",""),"]",""),",",REPT(" ",100)),1201,300))," ",", ")</f>
        <v>2, 0, 1</v>
      </c>
      <c r="CD38" t="str">
        <f>SUBSTITUTE(TRIM(MID(SUBSTITUTE(SUBSTITUTE(SUBSTITUTE(Tabla1[[#This Row],[map]],"[",""),"]",""),",",REPT(" ",100)),1,300))," ",", ")</f>
        <v>2, 3, 4</v>
      </c>
      <c r="CE38" t="str">
        <f>SUBSTITUTE(TRIM(MID(SUBSTITUTE(SUBSTITUTE(SUBSTITUTE(Tabla1[[#This Row],[map]],"[",""),"]",""),",",REPT(" ",100)),1,600))," ",", ")</f>
        <v>2, 3, 4, 0, 1, -1</v>
      </c>
      <c r="CF38" t="str">
        <f>SUBSTITUTE(TRIM(MID(SUBSTITUTE(SUBSTITUTE(SUBSTITUTE(Tabla1[[#This Row],[map]],"[",""),"]",""),",",REPT(" ",100)),601,600))," ",", ")</f>
        <v>4, 0, 1, 2, 3, -1</v>
      </c>
      <c r="CG38" t="str">
        <f>SUBSTITUTE(TRIM(MID(SUBSTITUTE(SUBSTITUTE(SUBSTITUTE(Tabla1[[#This Row],[map]],"[",""),"]",""),",",REPT(" ",100)),1201,600))," ",", ")</f>
        <v>2, 0, 1, 3, 4, -1</v>
      </c>
    </row>
    <row r="39" spans="1:85" x14ac:dyDescent="0.3">
      <c r="A39" s="1">
        <v>46094.819305555553</v>
      </c>
      <c r="B39" t="s">
        <v>149</v>
      </c>
      <c r="C39">
        <v>1</v>
      </c>
      <c r="D39" t="s">
        <v>77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s">
        <v>82</v>
      </c>
      <c r="N39" t="s">
        <v>83</v>
      </c>
      <c r="O39" t="s">
        <v>83</v>
      </c>
      <c r="P39" t="s">
        <v>84</v>
      </c>
      <c r="Q39" t="s">
        <v>147</v>
      </c>
      <c r="R39">
        <v>3</v>
      </c>
      <c r="S39" t="s">
        <v>86</v>
      </c>
      <c r="T39" t="s">
        <v>87</v>
      </c>
      <c r="U39" t="s">
        <v>88</v>
      </c>
      <c r="V39">
        <v>1</v>
      </c>
      <c r="W39" t="s">
        <v>148</v>
      </c>
      <c r="X39" t="s">
        <v>83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180</v>
      </c>
      <c r="AH39">
        <v>60</v>
      </c>
      <c r="AI39">
        <v>120</v>
      </c>
      <c r="AJ39">
        <v>0.10978109778786729</v>
      </c>
      <c r="AK39">
        <v>29.088991747998541</v>
      </c>
      <c r="AL39">
        <v>0.72432792341928609</v>
      </c>
      <c r="AM39">
        <v>-0.10438193023368809</v>
      </c>
      <c r="AN39">
        <v>37.867981972281328</v>
      </c>
      <c r="AO39">
        <v>0.66252248269160385</v>
      </c>
      <c r="AP39">
        <v>37.867981972281328</v>
      </c>
      <c r="AQ39">
        <v>37.867981972281328</v>
      </c>
      <c r="AR39">
        <v>0.66252248269160385</v>
      </c>
      <c r="AS39">
        <v>110.1674869261284</v>
      </c>
      <c r="AT39">
        <v>-0.1516637000973079</v>
      </c>
      <c r="AU39">
        <v>0.8</v>
      </c>
      <c r="AV39" t="s">
        <v>93</v>
      </c>
      <c r="AW39">
        <v>5.9864633780663638E-2</v>
      </c>
      <c r="AX39">
        <v>0.56530535626314649</v>
      </c>
      <c r="AY39">
        <v>5.9864633780663638E-2</v>
      </c>
      <c r="AZ39">
        <v>5.9864633780663638E-2</v>
      </c>
      <c r="BA39">
        <v>0.56530535626314649</v>
      </c>
      <c r="BB39">
        <v>0.1717857366856228</v>
      </c>
      <c r="BC39">
        <v>-0.24738656017218741</v>
      </c>
      <c r="BD39">
        <v>8.4675589512237304E-2</v>
      </c>
      <c r="BE39">
        <v>0.7066171675227737</v>
      </c>
      <c r="BF39">
        <v>8.4675589512237304E-2</v>
      </c>
      <c r="BG39">
        <v>8.4675589512237304E-2</v>
      </c>
      <c r="BH39">
        <v>0.7066171675227737</v>
      </c>
      <c r="BI39">
        <v>0.32110321027411293</v>
      </c>
      <c r="BJ39">
        <v>-0.1125540417304676</v>
      </c>
      <c r="BK39">
        <v>4.7641054939590748E-2</v>
      </c>
      <c r="BL39">
        <v>0.80873623337396916</v>
      </c>
      <c r="BM39">
        <v>4.7641054939590748E-2</v>
      </c>
      <c r="BN39">
        <v>4.7641054939590748E-2</v>
      </c>
      <c r="BO39">
        <v>0.80873623337396916</v>
      </c>
      <c r="BP39">
        <v>0.2477400167892391</v>
      </c>
      <c r="BQ39">
        <v>5.4021932304207931E-3</v>
      </c>
      <c r="BR39">
        <v>151.2797466108926</v>
      </c>
      <c r="BS39">
        <v>0.56943117360652806</v>
      </c>
      <c r="BT39">
        <v>151.2797466108926</v>
      </c>
      <c r="BU39">
        <v>151.2797466108926</v>
      </c>
      <c r="BV39">
        <v>0.56943117360652806</v>
      </c>
      <c r="BW39">
        <v>439.92931874076328</v>
      </c>
      <c r="BX39">
        <v>-0.25211639171698202</v>
      </c>
      <c r="BY39" t="str">
        <f t="shared" si="1"/>
        <v>[[sv,wv],[yr],[ya]]</v>
      </c>
      <c r="BZ39" t="str">
        <f>SUBSTITUTE(TRIM(MID(SUBSTITUTE(SUBSTITUTE(SUBSTITUTE(Tabla1[[#This Row],[map]],"[",""),"]",""),",",REPT(" ",100)),901,200))," ",", ")</f>
        <v>2, 3</v>
      </c>
      <c r="CA39" t="str">
        <f>SUBSTITUTE(TRIM(MID(SUBSTITUTE(SUBSTITUTE(SUBSTITUTE(Tabla1[[#This Row],[map]],"[",""),"]",""),",",REPT(" ",100)),1501,200))," ",", ")</f>
        <v>3, 4</v>
      </c>
      <c r="CB39" t="str">
        <f>SUBSTITUTE(TRIM(MID(SUBSTITUTE(SUBSTITUTE(SUBSTITUTE(Tabla1[[#This Row],[map]],"[",""),"]",""),",",REPT(" ",100)),601,300))," ",", ")</f>
        <v>4, 0, 1</v>
      </c>
      <c r="CC39" t="str">
        <f>SUBSTITUTE(TRIM(MID(SUBSTITUTE(SUBSTITUTE(SUBSTITUTE(Tabla1[[#This Row],[map]],"[",""),"]",""),",",REPT(" ",100)),1201,300))," ",", ")</f>
        <v>2, 0, 1</v>
      </c>
      <c r="CD39" t="str">
        <f>SUBSTITUTE(TRIM(MID(SUBSTITUTE(SUBSTITUTE(SUBSTITUTE(Tabla1[[#This Row],[map]],"[",""),"]",""),",",REPT(" ",100)),1,300))," ",", ")</f>
        <v>2, 3, 4</v>
      </c>
      <c r="CE39" t="str">
        <f>SUBSTITUTE(TRIM(MID(SUBSTITUTE(SUBSTITUTE(SUBSTITUTE(Tabla1[[#This Row],[map]],"[",""),"]",""),",",REPT(" ",100)),1,600))," ",", ")</f>
        <v>2, 3, 4, 0, 1, -1</v>
      </c>
      <c r="CF39" t="str">
        <f>SUBSTITUTE(TRIM(MID(SUBSTITUTE(SUBSTITUTE(SUBSTITUTE(Tabla1[[#This Row],[map]],"[",""),"]",""),",",REPT(" ",100)),601,600))," ",", ")</f>
        <v>4, 0, 1, 2, 3, -1</v>
      </c>
      <c r="CG39" t="str">
        <f>SUBSTITUTE(TRIM(MID(SUBSTITUTE(SUBSTITUTE(SUBSTITUTE(Tabla1[[#This Row],[map]],"[",""),"]",""),",",REPT(" ",100)),1201,600))," ",", ")</f>
        <v>2, 0, 1, 3, 4, -1</v>
      </c>
    </row>
    <row r="40" spans="1:85" x14ac:dyDescent="0.3">
      <c r="A40" s="1">
        <v>46094.822592592587</v>
      </c>
      <c r="B40" t="s">
        <v>150</v>
      </c>
      <c r="C40">
        <v>2</v>
      </c>
      <c r="D40" t="s">
        <v>96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147</v>
      </c>
      <c r="R40">
        <v>3</v>
      </c>
      <c r="S40" t="s">
        <v>86</v>
      </c>
      <c r="T40" t="s">
        <v>87</v>
      </c>
      <c r="U40" t="s">
        <v>88</v>
      </c>
      <c r="V40">
        <v>1</v>
      </c>
      <c r="W40" t="s">
        <v>148</v>
      </c>
      <c r="X40" t="s">
        <v>83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180</v>
      </c>
      <c r="AH40">
        <v>60</v>
      </c>
      <c r="AI40">
        <v>120</v>
      </c>
      <c r="AJ40">
        <v>0.10724607725430189</v>
      </c>
      <c r="AK40">
        <v>23.517881698015501</v>
      </c>
      <c r="AL40">
        <v>0.73787293537478771</v>
      </c>
      <c r="AM40">
        <v>-0.52329347053401998</v>
      </c>
      <c r="AN40">
        <v>28.35273246671504</v>
      </c>
      <c r="AO40">
        <v>0.66648014408312861</v>
      </c>
      <c r="AP40">
        <v>28.35273246671504</v>
      </c>
      <c r="AQ40">
        <v>28.35273246671504</v>
      </c>
      <c r="AR40">
        <v>0.66648014408312861</v>
      </c>
      <c r="AS40">
        <v>136.10970534765909</v>
      </c>
      <c r="AT40">
        <v>-0.4164671457332445</v>
      </c>
      <c r="AU40">
        <v>0.8</v>
      </c>
      <c r="AV40" t="s">
        <v>93</v>
      </c>
      <c r="AW40">
        <v>5.871584216117659E-2</v>
      </c>
      <c r="AX40">
        <v>0.5736470687605526</v>
      </c>
      <c r="AY40">
        <v>5.871584216117659E-2</v>
      </c>
      <c r="AZ40">
        <v>5.871584216117659E-2</v>
      </c>
      <c r="BA40">
        <v>0.5736470687605526</v>
      </c>
      <c r="BB40">
        <v>0.1344251551898499</v>
      </c>
      <c r="BC40">
        <v>2.389956716986907E-2</v>
      </c>
      <c r="BD40">
        <v>7.7858342150342402E-2</v>
      </c>
      <c r="BE40">
        <v>0.73023747359033964</v>
      </c>
      <c r="BF40">
        <v>7.7858342150342402E-2</v>
      </c>
      <c r="BG40">
        <v>7.7858342150342402E-2</v>
      </c>
      <c r="BH40">
        <v>0.73023747359033964</v>
      </c>
      <c r="BI40">
        <v>0.63597359699358846</v>
      </c>
      <c r="BJ40">
        <v>-1.2035126810631049</v>
      </c>
      <c r="BK40">
        <v>7.8658514974129706E-2</v>
      </c>
      <c r="BL40">
        <v>0.68421094221698753</v>
      </c>
      <c r="BM40">
        <v>7.8658514974129706E-2</v>
      </c>
      <c r="BN40">
        <v>7.8658514974129706E-2</v>
      </c>
      <c r="BO40">
        <v>0.68421094221698753</v>
      </c>
      <c r="BP40">
        <v>0.23402724946683351</v>
      </c>
      <c r="BQ40">
        <v>6.0454616655454707E-2</v>
      </c>
      <c r="BR40">
        <v>113.1956971675742</v>
      </c>
      <c r="BS40">
        <v>0.67782509176463701</v>
      </c>
      <c r="BT40">
        <v>113.1956971675742</v>
      </c>
      <c r="BU40">
        <v>113.1956971675742</v>
      </c>
      <c r="BV40">
        <v>0.67782509176463701</v>
      </c>
      <c r="BW40">
        <v>543.43439538898724</v>
      </c>
      <c r="BX40">
        <v>-0.54671008569520296</v>
      </c>
      <c r="BY40" t="str">
        <f t="shared" si="1"/>
        <v>[[sv,wv],[yr],[ya]]</v>
      </c>
      <c r="BZ40" t="str">
        <f>SUBSTITUTE(TRIM(MID(SUBSTITUTE(SUBSTITUTE(SUBSTITUTE(Tabla1[[#This Row],[map]],"[",""),"]",""),",",REPT(" ",100)),901,200))," ",", ")</f>
        <v>2, 3</v>
      </c>
      <c r="CA40" t="str">
        <f>SUBSTITUTE(TRIM(MID(SUBSTITUTE(SUBSTITUTE(SUBSTITUTE(Tabla1[[#This Row],[map]],"[",""),"]",""),",",REPT(" ",100)),1501,200))," ",", ")</f>
        <v>3, 4</v>
      </c>
      <c r="CB40" t="str">
        <f>SUBSTITUTE(TRIM(MID(SUBSTITUTE(SUBSTITUTE(SUBSTITUTE(Tabla1[[#This Row],[map]],"[",""),"]",""),",",REPT(" ",100)),601,300))," ",", ")</f>
        <v>4, 0, 1</v>
      </c>
      <c r="CC40" t="str">
        <f>SUBSTITUTE(TRIM(MID(SUBSTITUTE(SUBSTITUTE(SUBSTITUTE(Tabla1[[#This Row],[map]],"[",""),"]",""),",",REPT(" ",100)),1201,300))," ",", ")</f>
        <v>2, 0, 1</v>
      </c>
      <c r="CD40" t="str">
        <f>SUBSTITUTE(TRIM(MID(SUBSTITUTE(SUBSTITUTE(SUBSTITUTE(Tabla1[[#This Row],[map]],"[",""),"]",""),",",REPT(" ",100)),1,300))," ",", ")</f>
        <v>2, 3, 4</v>
      </c>
      <c r="CE40" t="str">
        <f>SUBSTITUTE(TRIM(MID(SUBSTITUTE(SUBSTITUTE(SUBSTITUTE(Tabla1[[#This Row],[map]],"[",""),"]",""),",",REPT(" ",100)),1,600))," ",", ")</f>
        <v>2, 3, 4, 0, 1, -1</v>
      </c>
      <c r="CF40" t="str">
        <f>SUBSTITUTE(TRIM(MID(SUBSTITUTE(SUBSTITUTE(SUBSTITUTE(Tabla1[[#This Row],[map]],"[",""),"]",""),",",REPT(" ",100)),601,600))," ",", ")</f>
        <v>4, 0, 1, 2, 3, -1</v>
      </c>
      <c r="CG40" t="str">
        <f>SUBSTITUTE(TRIM(MID(SUBSTITUTE(SUBSTITUTE(SUBSTITUTE(Tabla1[[#This Row],[map]],"[",""),"]",""),",",REPT(" ",100)),1201,600))," ",", ")</f>
        <v>2, 0, 1, 3, 4, -1</v>
      </c>
    </row>
    <row r="41" spans="1:85" x14ac:dyDescent="0.3">
      <c r="A41" s="1">
        <v>46094.828229166669</v>
      </c>
      <c r="B41" t="s">
        <v>151</v>
      </c>
      <c r="C41">
        <v>3</v>
      </c>
      <c r="D41" t="s">
        <v>96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s">
        <v>82</v>
      </c>
      <c r="N41" t="s">
        <v>83</v>
      </c>
      <c r="O41" t="s">
        <v>83</v>
      </c>
      <c r="P41" t="s">
        <v>84</v>
      </c>
      <c r="Q41" t="s">
        <v>147</v>
      </c>
      <c r="R41">
        <v>3</v>
      </c>
      <c r="S41" t="s">
        <v>86</v>
      </c>
      <c r="T41" t="s">
        <v>87</v>
      </c>
      <c r="U41" t="s">
        <v>88</v>
      </c>
      <c r="V41">
        <v>1</v>
      </c>
      <c r="W41" t="s">
        <v>148</v>
      </c>
      <c r="X41" t="s">
        <v>83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180</v>
      </c>
      <c r="AH41">
        <v>60</v>
      </c>
      <c r="AI41">
        <v>120</v>
      </c>
      <c r="AJ41">
        <v>0.1029245878197282</v>
      </c>
      <c r="AK41">
        <v>17.108309992377631</v>
      </c>
      <c r="AL41">
        <v>0.68000249175201588</v>
      </c>
      <c r="AM41">
        <v>0.37406191020182261</v>
      </c>
      <c r="AN41">
        <v>20.781499486335299</v>
      </c>
      <c r="AO41">
        <v>0.65382646213693985</v>
      </c>
      <c r="AP41">
        <v>20.781499486335299</v>
      </c>
      <c r="AQ41">
        <v>20.781499486335299</v>
      </c>
      <c r="AR41">
        <v>0.65382646213693985</v>
      </c>
      <c r="AS41">
        <v>76.675907282677159</v>
      </c>
      <c r="AT41">
        <v>0.37204774199968649</v>
      </c>
      <c r="AU41">
        <v>0.8</v>
      </c>
      <c r="AV41" t="s">
        <v>93</v>
      </c>
      <c r="AW41">
        <v>0.11242104193492219</v>
      </c>
      <c r="AX41">
        <v>0.1836778798066985</v>
      </c>
      <c r="AY41">
        <v>0.11242104193492219</v>
      </c>
      <c r="AZ41">
        <v>0.11242104193492219</v>
      </c>
      <c r="BA41">
        <v>0.1836778798066985</v>
      </c>
      <c r="BB41">
        <v>0.1499541448252513</v>
      </c>
      <c r="BC41">
        <v>-8.8860975922845364E-2</v>
      </c>
      <c r="BD41">
        <v>4.4950131390534387E-2</v>
      </c>
      <c r="BE41">
        <v>0.84425739527124777</v>
      </c>
      <c r="BF41">
        <v>4.4950131390534387E-2</v>
      </c>
      <c r="BG41">
        <v>4.4950131390534387E-2</v>
      </c>
      <c r="BH41">
        <v>0.84425739527124777</v>
      </c>
      <c r="BI41">
        <v>7.8917937025323778E-2</v>
      </c>
      <c r="BJ41">
        <v>0.72656620365893332</v>
      </c>
      <c r="BK41">
        <v>4.3991335166964671E-2</v>
      </c>
      <c r="BL41">
        <v>0.82338870384774665</v>
      </c>
      <c r="BM41">
        <v>4.3991335166964671E-2</v>
      </c>
      <c r="BN41">
        <v>4.3991335166964671E-2</v>
      </c>
      <c r="BO41">
        <v>0.82338870384774665</v>
      </c>
      <c r="BP41">
        <v>6.9103764648922594E-2</v>
      </c>
      <c r="BQ41">
        <v>0.72257024258696601</v>
      </c>
      <c r="BR41">
        <v>82.924635436848703</v>
      </c>
      <c r="BS41">
        <v>0.76398186962206605</v>
      </c>
      <c r="BT41">
        <v>82.924635436848703</v>
      </c>
      <c r="BU41">
        <v>82.924635436848703</v>
      </c>
      <c r="BV41">
        <v>0.76398186962206605</v>
      </c>
      <c r="BW41">
        <v>306.40565328420888</v>
      </c>
      <c r="BX41">
        <v>0.12791549767569699</v>
      </c>
      <c r="BY41" t="str">
        <f t="shared" si="1"/>
        <v>[[sv,wv],[yr],[ya]]</v>
      </c>
      <c r="BZ41" t="str">
        <f>SUBSTITUTE(TRIM(MID(SUBSTITUTE(SUBSTITUTE(SUBSTITUTE(Tabla1[[#This Row],[map]],"[",""),"]",""),",",REPT(" ",100)),901,200))," ",", ")</f>
        <v>2, 3</v>
      </c>
      <c r="CA41" t="str">
        <f>SUBSTITUTE(TRIM(MID(SUBSTITUTE(SUBSTITUTE(SUBSTITUTE(Tabla1[[#This Row],[map]],"[",""),"]",""),",",REPT(" ",100)),1501,200))," ",", ")</f>
        <v>3, 4</v>
      </c>
      <c r="CB41" t="str">
        <f>SUBSTITUTE(TRIM(MID(SUBSTITUTE(SUBSTITUTE(SUBSTITUTE(Tabla1[[#This Row],[map]],"[",""),"]",""),",",REPT(" ",100)),601,300))," ",", ")</f>
        <v>4, 0, 1</v>
      </c>
      <c r="CC41" t="str">
        <f>SUBSTITUTE(TRIM(MID(SUBSTITUTE(SUBSTITUTE(SUBSTITUTE(Tabla1[[#This Row],[map]],"[",""),"]",""),",",REPT(" ",100)),1201,300))," ",", ")</f>
        <v>2, 0, 1</v>
      </c>
      <c r="CD41" t="str">
        <f>SUBSTITUTE(TRIM(MID(SUBSTITUTE(SUBSTITUTE(SUBSTITUTE(Tabla1[[#This Row],[map]],"[",""),"]",""),",",REPT(" ",100)),1,300))," ",", ")</f>
        <v>2, 3, 4</v>
      </c>
      <c r="CE41" t="str">
        <f>SUBSTITUTE(TRIM(MID(SUBSTITUTE(SUBSTITUTE(SUBSTITUTE(Tabla1[[#This Row],[map]],"[",""),"]",""),",",REPT(" ",100)),1,600))," ",", ")</f>
        <v>2, 3, 4, 0, 1, -1</v>
      </c>
      <c r="CF41" t="str">
        <f>SUBSTITUTE(TRIM(MID(SUBSTITUTE(SUBSTITUTE(SUBSTITUTE(Tabla1[[#This Row],[map]],"[",""),"]",""),",",REPT(" ",100)),601,600))," ",", ")</f>
        <v>4, 0, 1, 2, 3, -1</v>
      </c>
      <c r="CG41" t="str">
        <f>SUBSTITUTE(TRIM(MID(SUBSTITUTE(SUBSTITUTE(SUBSTITUTE(Tabla1[[#This Row],[map]],"[",""),"]",""),",",REPT(" ",100)),1201,600))," ",", ")</f>
        <v>2, 0, 1, 3, 4, -1</v>
      </c>
    </row>
    <row r="42" spans="1:85" x14ac:dyDescent="0.3">
      <c r="A42" s="1">
        <v>46094.980439814812</v>
      </c>
      <c r="B42" t="s">
        <v>152</v>
      </c>
      <c r="C42">
        <v>0</v>
      </c>
      <c r="D42" t="s">
        <v>77</v>
      </c>
      <c r="E42" t="s">
        <v>78</v>
      </c>
      <c r="F42">
        <v>16590</v>
      </c>
      <c r="G42">
        <v>4.5</v>
      </c>
      <c r="H42" t="s">
        <v>79</v>
      </c>
      <c r="I42" t="s">
        <v>80</v>
      </c>
      <c r="J42">
        <v>5</v>
      </c>
      <c r="K42">
        <v>5</v>
      </c>
      <c r="L42" t="s">
        <v>81</v>
      </c>
      <c r="M42" t="s">
        <v>82</v>
      </c>
      <c r="N42" t="s">
        <v>83</v>
      </c>
      <c r="O42" t="s">
        <v>83</v>
      </c>
      <c r="P42" t="s">
        <v>84</v>
      </c>
      <c r="Q42" t="s">
        <v>153</v>
      </c>
      <c r="R42">
        <v>3</v>
      </c>
      <c r="S42" t="s">
        <v>86</v>
      </c>
      <c r="T42" t="s">
        <v>87</v>
      </c>
      <c r="U42" t="s">
        <v>88</v>
      </c>
      <c r="V42">
        <v>1</v>
      </c>
      <c r="W42" t="s">
        <v>154</v>
      </c>
      <c r="X42" t="s">
        <v>83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180</v>
      </c>
      <c r="AH42">
        <v>60</v>
      </c>
      <c r="AI42">
        <v>120</v>
      </c>
      <c r="AJ42">
        <v>0.1257634622523377</v>
      </c>
      <c r="AK42">
        <v>52.739258083898058</v>
      </c>
      <c r="AL42">
        <v>0.64300221610969444</v>
      </c>
      <c r="AM42">
        <v>5.3727809374766733E-2</v>
      </c>
      <c r="AN42">
        <v>56.021967664712093</v>
      </c>
      <c r="AO42">
        <v>0.57839763284648726</v>
      </c>
      <c r="AP42">
        <v>56.021967664712093</v>
      </c>
      <c r="AQ42">
        <v>56.021967664712093</v>
      </c>
      <c r="AR42">
        <v>0.57839763284648726</v>
      </c>
      <c r="AS42">
        <v>97.410334241382927</v>
      </c>
      <c r="AT42">
        <v>3.0207207626299439E-2</v>
      </c>
      <c r="AU42">
        <v>0.8</v>
      </c>
      <c r="AV42" t="s">
        <v>93</v>
      </c>
      <c r="AW42">
        <v>6.7577609982302736E-2</v>
      </c>
      <c r="AX42">
        <v>0.50929917648083078</v>
      </c>
      <c r="AY42">
        <v>6.7577609982302736E-2</v>
      </c>
      <c r="AZ42">
        <v>6.7577609982302736E-2</v>
      </c>
      <c r="BA42">
        <v>0.50929917648083078</v>
      </c>
      <c r="BB42">
        <v>0.13548131668829461</v>
      </c>
      <c r="BC42">
        <v>1.6230469118136082E-2</v>
      </c>
      <c r="BD42">
        <v>4.6861631443641923E-2</v>
      </c>
      <c r="BE42">
        <v>0.83763445584925511</v>
      </c>
      <c r="BF42">
        <v>4.6861631443641923E-2</v>
      </c>
      <c r="BG42">
        <v>4.6861631443641923E-2</v>
      </c>
      <c r="BH42">
        <v>0.83763445584925511</v>
      </c>
      <c r="BI42">
        <v>0.29079272165344972</v>
      </c>
      <c r="BJ42">
        <v>-7.5346724349782956E-3</v>
      </c>
      <c r="BK42">
        <v>9.8676786141561973E-2</v>
      </c>
      <c r="BL42">
        <v>0.60384391529704895</v>
      </c>
      <c r="BM42">
        <v>9.8676786141561973E-2</v>
      </c>
      <c r="BN42">
        <v>9.8676786141561973E-2</v>
      </c>
      <c r="BO42">
        <v>0.60384391529704895</v>
      </c>
      <c r="BP42">
        <v>0.1944476270923374</v>
      </c>
      <c r="BQ42">
        <v>0.21935428137910659</v>
      </c>
      <c r="BR42">
        <v>223.8747546312816</v>
      </c>
      <c r="BS42">
        <v>0.36281298375881321</v>
      </c>
      <c r="BT42">
        <v>223.8747546312816</v>
      </c>
      <c r="BU42">
        <v>223.8747546312816</v>
      </c>
      <c r="BV42">
        <v>0.36281298375881321</v>
      </c>
      <c r="BW42">
        <v>389.02061530009502</v>
      </c>
      <c r="BX42">
        <v>-0.1072212475570589</v>
      </c>
      <c r="BY42" t="str">
        <f t="shared" si="1"/>
        <v>[[sv,wv],[yr],[ya]]</v>
      </c>
      <c r="BZ42" t="str">
        <f>SUBSTITUTE(TRIM(MID(SUBSTITUTE(SUBSTITUTE(SUBSTITUTE(Tabla1[[#This Row],[map]],"[",""),"]",""),",",REPT(" ",100)),901,200))," ",", ")</f>
        <v>2, 4</v>
      </c>
      <c r="CA42" t="str">
        <f>SUBSTITUTE(TRIM(MID(SUBSTITUTE(SUBSTITUTE(SUBSTITUTE(Tabla1[[#This Row],[map]],"[",""),"]",""),",",REPT(" ",100)),1501,200))," ",", ")</f>
        <v>3, 2</v>
      </c>
      <c r="CB42" t="str">
        <f>SUBSTITUTE(TRIM(MID(SUBSTITUTE(SUBSTITUTE(SUBSTITUTE(Tabla1[[#This Row],[map]],"[",""),"]",""),",",REPT(" ",100)),601,300))," ",", ")</f>
        <v>0, 1, 3</v>
      </c>
      <c r="CC42" t="str">
        <f>SUBSTITUTE(TRIM(MID(SUBSTITUTE(SUBSTITUTE(SUBSTITUTE(Tabla1[[#This Row],[map]],"[",""),"]",""),",",REPT(" ",100)),1201,300))," ",", ")</f>
        <v>4, 0, 1</v>
      </c>
      <c r="CD42" t="str">
        <f>SUBSTITUTE(TRIM(MID(SUBSTITUTE(SUBSTITUTE(SUBSTITUTE(Tabla1[[#This Row],[map]],"[",""),"]",""),",",REPT(" ",100)),1,300))," ",", ")</f>
        <v>2, 3, 4</v>
      </c>
      <c r="CE42" t="str">
        <f>SUBSTITUTE(TRIM(MID(SUBSTITUTE(SUBSTITUTE(SUBSTITUTE(Tabla1[[#This Row],[map]],"[",""),"]",""),",",REPT(" ",100)),1,600))," ",", ")</f>
        <v>2, 3, 4, 0, 1, -1</v>
      </c>
      <c r="CF42" t="str">
        <f>SUBSTITUTE(TRIM(MID(SUBSTITUTE(SUBSTITUTE(SUBSTITUTE(Tabla1[[#This Row],[map]],"[",""),"]",""),",",REPT(" ",100)),601,600))," ",", ")</f>
        <v>0, 1, 3, 2, 4, -1</v>
      </c>
      <c r="CG42" t="str">
        <f>SUBSTITUTE(TRIM(MID(SUBSTITUTE(SUBSTITUTE(SUBSTITUTE(Tabla1[[#This Row],[map]],"[",""),"]",""),",",REPT(" ",100)),1201,600))," ",", ")</f>
        <v>4, 0, 1, 3, 2, -1</v>
      </c>
    </row>
    <row r="43" spans="1:85" x14ac:dyDescent="0.3">
      <c r="A43" s="1">
        <v>46094.985335648147</v>
      </c>
      <c r="B43" t="s">
        <v>155</v>
      </c>
      <c r="C43">
        <v>1</v>
      </c>
      <c r="D43" t="s">
        <v>96</v>
      </c>
      <c r="E43" t="s">
        <v>78</v>
      </c>
      <c r="F43">
        <v>16590</v>
      </c>
      <c r="G43">
        <v>4.5</v>
      </c>
      <c r="H43" t="s">
        <v>79</v>
      </c>
      <c r="I43" t="s">
        <v>80</v>
      </c>
      <c r="J43">
        <v>5</v>
      </c>
      <c r="K43">
        <v>5</v>
      </c>
      <c r="L43" t="s">
        <v>81</v>
      </c>
      <c r="M43" t="s">
        <v>82</v>
      </c>
      <c r="N43" t="s">
        <v>83</v>
      </c>
      <c r="O43" t="s">
        <v>83</v>
      </c>
      <c r="P43" t="s">
        <v>84</v>
      </c>
      <c r="Q43" t="s">
        <v>153</v>
      </c>
      <c r="R43">
        <v>3</v>
      </c>
      <c r="S43" t="s">
        <v>86</v>
      </c>
      <c r="T43" t="s">
        <v>87</v>
      </c>
      <c r="U43" t="s">
        <v>88</v>
      </c>
      <c r="V43">
        <v>1</v>
      </c>
      <c r="W43" t="s">
        <v>154</v>
      </c>
      <c r="X43" t="s">
        <v>83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180</v>
      </c>
      <c r="AH43">
        <v>60</v>
      </c>
      <c r="AI43">
        <v>120</v>
      </c>
      <c r="AJ43">
        <v>0.1155692009096094</v>
      </c>
      <c r="AK43">
        <v>40.768731264924163</v>
      </c>
      <c r="AL43">
        <v>0.68059013155289738</v>
      </c>
      <c r="AM43">
        <v>-2.647693843225624E-2</v>
      </c>
      <c r="AN43">
        <v>45.37193919692713</v>
      </c>
      <c r="AO43">
        <v>0.62177494814057277</v>
      </c>
      <c r="AP43">
        <v>45.37193919692713</v>
      </c>
      <c r="AQ43">
        <v>45.37193919692713</v>
      </c>
      <c r="AR43">
        <v>0.62177494814057277</v>
      </c>
      <c r="AS43">
        <v>97.673459090003959</v>
      </c>
      <c r="AT43">
        <v>-3.8974762948176922E-2</v>
      </c>
      <c r="AU43">
        <v>0.8</v>
      </c>
      <c r="AV43" t="s">
        <v>93</v>
      </c>
      <c r="AW43">
        <v>6.1466734366326083E-2</v>
      </c>
      <c r="AX43">
        <v>0.55367203456160985</v>
      </c>
      <c r="AY43">
        <v>6.1466734366326083E-2</v>
      </c>
      <c r="AZ43">
        <v>6.1466734366326083E-2</v>
      </c>
      <c r="BA43">
        <v>0.55367203456160985</v>
      </c>
      <c r="BB43">
        <v>0.21710492588504651</v>
      </c>
      <c r="BC43">
        <v>-0.57646246959251135</v>
      </c>
      <c r="BD43">
        <v>8.9831216313295492E-2</v>
      </c>
      <c r="BE43">
        <v>0.68875402180624645</v>
      </c>
      <c r="BF43">
        <v>8.9831216313295492E-2</v>
      </c>
      <c r="BG43">
        <v>8.9831216313295492E-2</v>
      </c>
      <c r="BH43">
        <v>0.68875402180624645</v>
      </c>
      <c r="BI43">
        <v>0.20571199453155881</v>
      </c>
      <c r="BJ43">
        <v>0.28725187532959212</v>
      </c>
      <c r="BK43">
        <v>5.962622731588732E-2</v>
      </c>
      <c r="BL43">
        <v>0.76061955721599095</v>
      </c>
      <c r="BM43">
        <v>5.962622731588732E-2</v>
      </c>
      <c r="BN43">
        <v>5.962622731588732E-2</v>
      </c>
      <c r="BO43">
        <v>0.76061955721599095</v>
      </c>
      <c r="BP43">
        <v>0.1884194799167303</v>
      </c>
      <c r="BQ43">
        <v>0.24355538557473461</v>
      </c>
      <c r="BR43">
        <v>181.27683260971341</v>
      </c>
      <c r="BS43">
        <v>0.48405417897844227</v>
      </c>
      <c r="BT43">
        <v>181.27683260971341</v>
      </c>
      <c r="BU43">
        <v>181.27683260971341</v>
      </c>
      <c r="BV43">
        <v>0.48405417897844227</v>
      </c>
      <c r="BW43">
        <v>390.08259995968132</v>
      </c>
      <c r="BX43">
        <v>-0.1102438431045123</v>
      </c>
      <c r="BY43" t="str">
        <f t="shared" si="1"/>
        <v>[[sv,wv],[yr],[ya]]</v>
      </c>
      <c r="BZ43" t="str">
        <f>SUBSTITUTE(TRIM(MID(SUBSTITUTE(SUBSTITUTE(SUBSTITUTE(Tabla1[[#This Row],[map]],"[",""),"]",""),",",REPT(" ",100)),901,200))," ",", ")</f>
        <v>2, 4</v>
      </c>
      <c r="CA43" t="str">
        <f>SUBSTITUTE(TRIM(MID(SUBSTITUTE(SUBSTITUTE(SUBSTITUTE(Tabla1[[#This Row],[map]],"[",""),"]",""),",",REPT(" ",100)),1501,200))," ",", ")</f>
        <v>3, 2</v>
      </c>
      <c r="CB43" t="str">
        <f>SUBSTITUTE(TRIM(MID(SUBSTITUTE(SUBSTITUTE(SUBSTITUTE(Tabla1[[#This Row],[map]],"[",""),"]",""),",",REPT(" ",100)),601,300))," ",", ")</f>
        <v>0, 1, 3</v>
      </c>
      <c r="CC43" t="str">
        <f>SUBSTITUTE(TRIM(MID(SUBSTITUTE(SUBSTITUTE(SUBSTITUTE(Tabla1[[#This Row],[map]],"[",""),"]",""),",",REPT(" ",100)),1201,300))," ",", ")</f>
        <v>4, 0, 1</v>
      </c>
      <c r="CD43" t="str">
        <f>SUBSTITUTE(TRIM(MID(SUBSTITUTE(SUBSTITUTE(SUBSTITUTE(Tabla1[[#This Row],[map]],"[",""),"]",""),",",REPT(" ",100)),1,300))," ",", ")</f>
        <v>2, 3, 4</v>
      </c>
      <c r="CE43" t="str">
        <f>SUBSTITUTE(TRIM(MID(SUBSTITUTE(SUBSTITUTE(SUBSTITUTE(Tabla1[[#This Row],[map]],"[",""),"]",""),",",REPT(" ",100)),1,600))," ",", ")</f>
        <v>2, 3, 4, 0, 1, -1</v>
      </c>
      <c r="CF43" t="str">
        <f>SUBSTITUTE(TRIM(MID(SUBSTITUTE(SUBSTITUTE(SUBSTITUTE(Tabla1[[#This Row],[map]],"[",""),"]",""),",",REPT(" ",100)),601,600))," ",", ")</f>
        <v>0, 1, 3, 2, 4, -1</v>
      </c>
      <c r="CG43" t="str">
        <f>SUBSTITUTE(TRIM(MID(SUBSTITUTE(SUBSTITUTE(SUBSTITUTE(Tabla1[[#This Row],[map]],"[",""),"]",""),",",REPT(" ",100)),1201,600))," ",", ")</f>
        <v>4, 0, 1, 3, 2, -1</v>
      </c>
    </row>
    <row r="44" spans="1:85" x14ac:dyDescent="0.3">
      <c r="A44" s="1">
        <v>46094.987951388888</v>
      </c>
      <c r="B44" t="s">
        <v>156</v>
      </c>
      <c r="C44">
        <v>2</v>
      </c>
      <c r="D44" t="s">
        <v>77</v>
      </c>
      <c r="E44" t="s">
        <v>78</v>
      </c>
      <c r="F44">
        <v>16590</v>
      </c>
      <c r="G44">
        <v>4.5</v>
      </c>
      <c r="H44" t="s">
        <v>79</v>
      </c>
      <c r="I44" t="s">
        <v>80</v>
      </c>
      <c r="J44">
        <v>5</v>
      </c>
      <c r="K44">
        <v>5</v>
      </c>
      <c r="L44" t="s">
        <v>81</v>
      </c>
      <c r="M44" t="s">
        <v>82</v>
      </c>
      <c r="N44" t="s">
        <v>83</v>
      </c>
      <c r="O44" t="s">
        <v>83</v>
      </c>
      <c r="P44" t="s">
        <v>84</v>
      </c>
      <c r="Q44" t="s">
        <v>153</v>
      </c>
      <c r="R44">
        <v>3</v>
      </c>
      <c r="S44" t="s">
        <v>86</v>
      </c>
      <c r="T44" t="s">
        <v>87</v>
      </c>
      <c r="U44" t="s">
        <v>88</v>
      </c>
      <c r="V44">
        <v>1</v>
      </c>
      <c r="W44" t="s">
        <v>154</v>
      </c>
      <c r="X44" t="s">
        <v>83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180</v>
      </c>
      <c r="AH44">
        <v>60</v>
      </c>
      <c r="AI44">
        <v>120</v>
      </c>
      <c r="AJ44">
        <v>0.11564047253165009</v>
      </c>
      <c r="AK44">
        <v>42.287425034427713</v>
      </c>
      <c r="AL44">
        <v>0.66942168822000481</v>
      </c>
      <c r="AM44">
        <v>0.23873217560885021</v>
      </c>
      <c r="AN44">
        <v>51.798692555141137</v>
      </c>
      <c r="AO44">
        <v>0.6142505525041041</v>
      </c>
      <c r="AP44">
        <v>51.798692555141137</v>
      </c>
      <c r="AQ44">
        <v>51.798692555141137</v>
      </c>
      <c r="AR44">
        <v>0.6142505525041041</v>
      </c>
      <c r="AS44">
        <v>101.1378306568012</v>
      </c>
      <c r="AT44">
        <v>6.9726151499043154E-2</v>
      </c>
      <c r="AU44">
        <v>0.8</v>
      </c>
      <c r="AV44" t="s">
        <v>93</v>
      </c>
      <c r="AW44">
        <v>5.348732432222833E-2</v>
      </c>
      <c r="AX44">
        <v>0.61161286852808616</v>
      </c>
      <c r="AY44">
        <v>5.348732432222833E-2</v>
      </c>
      <c r="AZ44">
        <v>5.348732432222833E-2</v>
      </c>
      <c r="BA44">
        <v>0.61161286852808616</v>
      </c>
      <c r="BB44">
        <v>0.13876375529522619</v>
      </c>
      <c r="BC44">
        <v>-7.6042792252024594E-3</v>
      </c>
      <c r="BD44">
        <v>7.6211090568851336E-2</v>
      </c>
      <c r="BE44">
        <v>0.73594484849690112</v>
      </c>
      <c r="BF44">
        <v>7.6211090568851336E-2</v>
      </c>
      <c r="BG44">
        <v>7.6211090568851336E-2</v>
      </c>
      <c r="BH44">
        <v>0.73594484849690112</v>
      </c>
      <c r="BI44">
        <v>0.24869755064010041</v>
      </c>
      <c r="BJ44">
        <v>0.13831610435500591</v>
      </c>
      <c r="BK44">
        <v>7.5080760289002707E-2</v>
      </c>
      <c r="BL44">
        <v>0.69857449562715046</v>
      </c>
      <c r="BM44">
        <v>7.5080760289002707E-2</v>
      </c>
      <c r="BN44">
        <v>7.5080760289002707E-2</v>
      </c>
      <c r="BO44">
        <v>0.69857449562715046</v>
      </c>
      <c r="BP44">
        <v>0.17485394663663709</v>
      </c>
      <c r="BQ44">
        <v>0.29801671089029202</v>
      </c>
      <c r="BR44">
        <v>206.98999104538461</v>
      </c>
      <c r="BS44">
        <v>0.41086999736427798</v>
      </c>
      <c r="BT44">
        <v>206.98999104538461</v>
      </c>
      <c r="BU44">
        <v>206.98999104538461</v>
      </c>
      <c r="BV44">
        <v>0.41086999736427798</v>
      </c>
      <c r="BW44">
        <v>403.98900737463202</v>
      </c>
      <c r="BX44">
        <v>-0.14982393002391811</v>
      </c>
      <c r="BY44" t="str">
        <f t="shared" si="1"/>
        <v>[[sv,wv],[yr],[ya]]</v>
      </c>
      <c r="BZ44" t="str">
        <f>SUBSTITUTE(TRIM(MID(SUBSTITUTE(SUBSTITUTE(SUBSTITUTE(Tabla1[[#This Row],[map]],"[",""),"]",""),",",REPT(" ",100)),901,200))," ",", ")</f>
        <v>2, 4</v>
      </c>
      <c r="CA44" t="str">
        <f>SUBSTITUTE(TRIM(MID(SUBSTITUTE(SUBSTITUTE(SUBSTITUTE(Tabla1[[#This Row],[map]],"[",""),"]",""),",",REPT(" ",100)),1501,200))," ",", ")</f>
        <v>3, 2</v>
      </c>
      <c r="CB44" t="str">
        <f>SUBSTITUTE(TRIM(MID(SUBSTITUTE(SUBSTITUTE(SUBSTITUTE(Tabla1[[#This Row],[map]],"[",""),"]",""),",",REPT(" ",100)),601,300))," ",", ")</f>
        <v>0, 1, 3</v>
      </c>
      <c r="CC44" t="str">
        <f>SUBSTITUTE(TRIM(MID(SUBSTITUTE(SUBSTITUTE(SUBSTITUTE(Tabla1[[#This Row],[map]],"[",""),"]",""),",",REPT(" ",100)),1201,300))," ",", ")</f>
        <v>4, 0, 1</v>
      </c>
      <c r="CD44" t="str">
        <f>SUBSTITUTE(TRIM(MID(SUBSTITUTE(SUBSTITUTE(SUBSTITUTE(Tabla1[[#This Row],[map]],"[",""),"]",""),",",REPT(" ",100)),1,300))," ",", ")</f>
        <v>2, 3, 4</v>
      </c>
      <c r="CE44" t="str">
        <f>SUBSTITUTE(TRIM(MID(SUBSTITUTE(SUBSTITUTE(SUBSTITUTE(Tabla1[[#This Row],[map]],"[",""),"]",""),",",REPT(" ",100)),1,600))," ",", ")</f>
        <v>2, 3, 4, 0, 1, -1</v>
      </c>
      <c r="CF44" t="str">
        <f>SUBSTITUTE(TRIM(MID(SUBSTITUTE(SUBSTITUTE(SUBSTITUTE(Tabla1[[#This Row],[map]],"[",""),"]",""),",",REPT(" ",100)),601,600))," ",", ")</f>
        <v>0, 1, 3, 2, 4, -1</v>
      </c>
      <c r="CG44" t="str">
        <f>SUBSTITUTE(TRIM(MID(SUBSTITUTE(SUBSTITUTE(SUBSTITUTE(Tabla1[[#This Row],[map]],"[",""),"]",""),",",REPT(" ",100)),1201,600))," ",", ")</f>
        <v>4, 0, 1, 3, 2, -1</v>
      </c>
    </row>
    <row r="45" spans="1:85" x14ac:dyDescent="0.3">
      <c r="A45" s="1">
        <v>46094.993842592587</v>
      </c>
      <c r="B45" t="s">
        <v>157</v>
      </c>
      <c r="C45">
        <v>3</v>
      </c>
      <c r="D45" t="s">
        <v>77</v>
      </c>
      <c r="E45" t="s">
        <v>78</v>
      </c>
      <c r="F45">
        <v>16590</v>
      </c>
      <c r="G45">
        <v>4.5</v>
      </c>
      <c r="H45" t="s">
        <v>79</v>
      </c>
      <c r="I45" t="s">
        <v>80</v>
      </c>
      <c r="J45">
        <v>5</v>
      </c>
      <c r="K45">
        <v>5</v>
      </c>
      <c r="L45" t="s">
        <v>81</v>
      </c>
      <c r="M45" t="s">
        <v>82</v>
      </c>
      <c r="N45" t="s">
        <v>83</v>
      </c>
      <c r="O45" t="s">
        <v>83</v>
      </c>
      <c r="P45" t="s">
        <v>84</v>
      </c>
      <c r="Q45" t="s">
        <v>153</v>
      </c>
      <c r="R45">
        <v>3</v>
      </c>
      <c r="S45" t="s">
        <v>86</v>
      </c>
      <c r="T45" t="s">
        <v>87</v>
      </c>
      <c r="U45" t="s">
        <v>88</v>
      </c>
      <c r="V45">
        <v>1</v>
      </c>
      <c r="W45" t="s">
        <v>154</v>
      </c>
      <c r="X45" t="s">
        <v>83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180</v>
      </c>
      <c r="AH45">
        <v>60</v>
      </c>
      <c r="AI45">
        <v>120</v>
      </c>
      <c r="AJ45">
        <v>0.12026560668609711</v>
      </c>
      <c r="AK45">
        <v>47.08574140077468</v>
      </c>
      <c r="AL45">
        <v>0.66274925362171389</v>
      </c>
      <c r="AM45">
        <v>0.25350334334757868</v>
      </c>
      <c r="AN45">
        <v>53.698174527969243</v>
      </c>
      <c r="AO45">
        <v>0.61229996627402217</v>
      </c>
      <c r="AP45">
        <v>53.698174527969243</v>
      </c>
      <c r="AQ45">
        <v>53.698174527969243</v>
      </c>
      <c r="AR45">
        <v>0.61229996627402217</v>
      </c>
      <c r="AS45">
        <v>95.471896248770406</v>
      </c>
      <c r="AT45">
        <v>0.1629578806027295</v>
      </c>
      <c r="AU45">
        <v>0.8</v>
      </c>
      <c r="AV45" t="s">
        <v>93</v>
      </c>
      <c r="AW45">
        <v>6.7166854065504572E-2</v>
      </c>
      <c r="AX45">
        <v>0.51228179552715414</v>
      </c>
      <c r="AY45">
        <v>6.7166854065504572E-2</v>
      </c>
      <c r="AZ45">
        <v>6.7166854065504572E-2</v>
      </c>
      <c r="BA45">
        <v>0.51228179552715414</v>
      </c>
      <c r="BB45">
        <v>0.17587765434707289</v>
      </c>
      <c r="BC45">
        <v>-0.27709917307418319</v>
      </c>
      <c r="BD45">
        <v>6.2625244366665514E-2</v>
      </c>
      <c r="BE45">
        <v>0.78301690389512446</v>
      </c>
      <c r="BF45">
        <v>6.2625244366665514E-2</v>
      </c>
      <c r="BG45">
        <v>6.2625244366665514E-2</v>
      </c>
      <c r="BH45">
        <v>0.78301690389512446</v>
      </c>
      <c r="BI45">
        <v>0.14398964376025081</v>
      </c>
      <c r="BJ45">
        <v>0.50110663796838373</v>
      </c>
      <c r="BK45">
        <v>5.860914402293544E-2</v>
      </c>
      <c r="BL45">
        <v>0.76470282493180974</v>
      </c>
      <c r="BM45">
        <v>5.860914402293544E-2</v>
      </c>
      <c r="BN45">
        <v>5.860914402293544E-2</v>
      </c>
      <c r="BO45">
        <v>0.76470282493180974</v>
      </c>
      <c r="BP45">
        <v>0.1211831118920236</v>
      </c>
      <c r="BQ45">
        <v>0.51348813620265121</v>
      </c>
      <c r="BR45">
        <v>214.60429686942169</v>
      </c>
      <c r="BS45">
        <v>0.38919834074199899</v>
      </c>
      <c r="BT45">
        <v>214.60429686942169</v>
      </c>
      <c r="BU45">
        <v>214.60429686942169</v>
      </c>
      <c r="BV45">
        <v>0.38919834074199899</v>
      </c>
      <c r="BW45">
        <v>381.44653458508259</v>
      </c>
      <c r="BX45">
        <v>-8.5664078685931955E-2</v>
      </c>
      <c r="BY45" t="str">
        <f t="shared" si="1"/>
        <v>[[sv,wv],[yr],[ya]]</v>
      </c>
      <c r="BZ45" t="str">
        <f>SUBSTITUTE(TRIM(MID(SUBSTITUTE(SUBSTITUTE(SUBSTITUTE(Tabla1[[#This Row],[map]],"[",""),"]",""),",",REPT(" ",100)),901,200))," ",", ")</f>
        <v>2, 4</v>
      </c>
      <c r="CA45" t="str">
        <f>SUBSTITUTE(TRIM(MID(SUBSTITUTE(SUBSTITUTE(SUBSTITUTE(Tabla1[[#This Row],[map]],"[",""),"]",""),",",REPT(" ",100)),1501,200))," ",", ")</f>
        <v>3, 2</v>
      </c>
      <c r="CB45" t="str">
        <f>SUBSTITUTE(TRIM(MID(SUBSTITUTE(SUBSTITUTE(SUBSTITUTE(Tabla1[[#This Row],[map]],"[",""),"]",""),",",REPT(" ",100)),601,300))," ",", ")</f>
        <v>0, 1, 3</v>
      </c>
      <c r="CC45" t="str">
        <f>SUBSTITUTE(TRIM(MID(SUBSTITUTE(SUBSTITUTE(SUBSTITUTE(Tabla1[[#This Row],[map]],"[",""),"]",""),",",REPT(" ",100)),1201,300))," ",", ")</f>
        <v>4, 0, 1</v>
      </c>
      <c r="CD45" t="str">
        <f>SUBSTITUTE(TRIM(MID(SUBSTITUTE(SUBSTITUTE(SUBSTITUTE(Tabla1[[#This Row],[map]],"[",""),"]",""),",",REPT(" ",100)),1,300))," ",", ")</f>
        <v>2, 3, 4</v>
      </c>
      <c r="CE45" t="str">
        <f>SUBSTITUTE(TRIM(MID(SUBSTITUTE(SUBSTITUTE(SUBSTITUTE(Tabla1[[#This Row],[map]],"[",""),"]",""),",",REPT(" ",100)),1,600))," ",", ")</f>
        <v>2, 3, 4, 0, 1, -1</v>
      </c>
      <c r="CF45" t="str">
        <f>SUBSTITUTE(TRIM(MID(SUBSTITUTE(SUBSTITUTE(SUBSTITUTE(Tabla1[[#This Row],[map]],"[",""),"]",""),",",REPT(" ",100)),601,600))," ",", ")</f>
        <v>0, 1, 3, 2, 4, -1</v>
      </c>
      <c r="CG45" t="str">
        <f>SUBSTITUTE(TRIM(MID(SUBSTITUTE(SUBSTITUTE(SUBSTITUTE(Tabla1[[#This Row],[map]],"[",""),"]",""),",",REPT(" ",100)),1201,600))," ",", ")</f>
        <v>4, 0, 1, 3, 2, -1</v>
      </c>
    </row>
    <row r="46" spans="1:85" x14ac:dyDescent="0.3">
      <c r="A46" s="1">
        <v>46095.124803240738</v>
      </c>
      <c r="B46" t="s">
        <v>158</v>
      </c>
      <c r="C46">
        <v>0</v>
      </c>
      <c r="D46" t="s">
        <v>96</v>
      </c>
      <c r="E46" t="s">
        <v>78</v>
      </c>
      <c r="F46">
        <v>16590</v>
      </c>
      <c r="G46">
        <v>4.5</v>
      </c>
      <c r="H46" t="s">
        <v>79</v>
      </c>
      <c r="I46" t="s">
        <v>80</v>
      </c>
      <c r="J46">
        <v>5</v>
      </c>
      <c r="K46">
        <v>5</v>
      </c>
      <c r="L46" t="s">
        <v>81</v>
      </c>
      <c r="M46" t="s">
        <v>82</v>
      </c>
      <c r="N46" t="s">
        <v>83</v>
      </c>
      <c r="O46" t="s">
        <v>83</v>
      </c>
      <c r="P46" t="s">
        <v>84</v>
      </c>
      <c r="Q46" t="s">
        <v>159</v>
      </c>
      <c r="R46">
        <v>3</v>
      </c>
      <c r="S46" t="s">
        <v>86</v>
      </c>
      <c r="T46" t="s">
        <v>87</v>
      </c>
      <c r="U46" t="s">
        <v>88</v>
      </c>
      <c r="V46">
        <v>1</v>
      </c>
      <c r="W46" t="s">
        <v>160</v>
      </c>
      <c r="X46" t="s">
        <v>83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180</v>
      </c>
      <c r="AH46">
        <v>60</v>
      </c>
      <c r="AI46">
        <v>120</v>
      </c>
      <c r="AJ46">
        <v>0.1000672019706329</v>
      </c>
      <c r="AK46">
        <v>14.38698594740476</v>
      </c>
      <c r="AL46">
        <v>0.76377023218081841</v>
      </c>
      <c r="AM46">
        <v>0.22507076937077389</v>
      </c>
      <c r="AN46">
        <v>15.993612601905269</v>
      </c>
      <c r="AO46">
        <v>0.73641261981029338</v>
      </c>
      <c r="AP46">
        <v>15.993612601905269</v>
      </c>
      <c r="AQ46">
        <v>15.993612601905269</v>
      </c>
      <c r="AR46">
        <v>0.73641261981029338</v>
      </c>
      <c r="AS46">
        <v>67.537658873718613</v>
      </c>
      <c r="AT46">
        <v>0.2385114685943287</v>
      </c>
      <c r="AU46">
        <v>0.8</v>
      </c>
      <c r="AV46" t="s">
        <v>93</v>
      </c>
      <c r="AW46">
        <v>5.2001254669714538E-2</v>
      </c>
      <c r="AX46">
        <v>0.62240365563177824</v>
      </c>
      <c r="AY46">
        <v>5.2001254669714538E-2</v>
      </c>
      <c r="AZ46">
        <v>5.2001254669714538E-2</v>
      </c>
      <c r="BA46">
        <v>0.62240365563177824</v>
      </c>
      <c r="BB46">
        <v>0.14196428536201719</v>
      </c>
      <c r="BC46">
        <v>-3.084426566277387E-2</v>
      </c>
      <c r="BD46">
        <v>6.2145448066103642E-2</v>
      </c>
      <c r="BE46">
        <v>0.78467929560071259</v>
      </c>
      <c r="BF46">
        <v>6.2145448066103642E-2</v>
      </c>
      <c r="BG46">
        <v>6.2145448066103642E-2</v>
      </c>
      <c r="BH46">
        <v>0.78467929560071259</v>
      </c>
      <c r="BI46">
        <v>0.18670365943489439</v>
      </c>
      <c r="BJ46">
        <v>0.35311169660110198</v>
      </c>
      <c r="BK46">
        <v>6.9712392103423365E-2</v>
      </c>
      <c r="BL46">
        <v>0.72012679586716855</v>
      </c>
      <c r="BM46">
        <v>6.9712392103423365E-2</v>
      </c>
      <c r="BN46">
        <v>6.9712392103423365E-2</v>
      </c>
      <c r="BO46">
        <v>0.72012679586716855</v>
      </c>
      <c r="BP46">
        <v>0.14962237865586661</v>
      </c>
      <c r="BQ46">
        <v>0.39931347554007152</v>
      </c>
      <c r="BR46">
        <v>63.790591312781793</v>
      </c>
      <c r="BS46">
        <v>0.8184407321415198</v>
      </c>
      <c r="BT46">
        <v>63.790591312781793</v>
      </c>
      <c r="BU46">
        <v>63.790591312781793</v>
      </c>
      <c r="BV46">
        <v>0.8184407321415198</v>
      </c>
      <c r="BW46">
        <v>269.67234517142208</v>
      </c>
      <c r="BX46">
        <v>0.23246496789892129</v>
      </c>
      <c r="BY46" t="str">
        <f t="shared" si="1"/>
        <v>[[sv,wv],[yr],[ya]]</v>
      </c>
      <c r="BZ46" t="str">
        <f>SUBSTITUTE(TRIM(MID(SUBSTITUTE(SUBSTITUTE(SUBSTITUTE(Tabla1[[#This Row],[map]],"[",""),"]",""),",",REPT(" ",100)),901,200))," ",", ")</f>
        <v>2, 4</v>
      </c>
      <c r="CA46" t="str">
        <f>SUBSTITUTE(TRIM(MID(SUBSTITUTE(SUBSTITUTE(SUBSTITUTE(Tabla1[[#This Row],[map]],"[",""),"]",""),",",REPT(" ",100)),1501,200))," ",", ")</f>
        <v>3, 4</v>
      </c>
      <c r="CB46" t="str">
        <f>SUBSTITUTE(TRIM(MID(SUBSTITUTE(SUBSTITUTE(SUBSTITUTE(Tabla1[[#This Row],[map]],"[",""),"]",""),",",REPT(" ",100)),601,300))," ",", ")</f>
        <v>0, 1, 3</v>
      </c>
      <c r="CC46" t="str">
        <f>SUBSTITUTE(TRIM(MID(SUBSTITUTE(SUBSTITUTE(SUBSTITUTE(Tabla1[[#This Row],[map]],"[",""),"]",""),",",REPT(" ",100)),1201,300))," ",", ")</f>
        <v>0, 1, 2</v>
      </c>
      <c r="CD46" t="str">
        <f>SUBSTITUTE(TRIM(MID(SUBSTITUTE(SUBSTITUTE(SUBSTITUTE(Tabla1[[#This Row],[map]],"[",""),"]",""),",",REPT(" ",100)),1,300))," ",", ")</f>
        <v>2, 3, 4</v>
      </c>
      <c r="CE46" t="str">
        <f>SUBSTITUTE(TRIM(MID(SUBSTITUTE(SUBSTITUTE(SUBSTITUTE(Tabla1[[#This Row],[map]],"[",""),"]",""),",",REPT(" ",100)),1,600))," ",", ")</f>
        <v>2, 3, 4, 0, 1, -1</v>
      </c>
      <c r="CF46" t="str">
        <f>SUBSTITUTE(TRIM(MID(SUBSTITUTE(SUBSTITUTE(SUBSTITUTE(Tabla1[[#This Row],[map]],"[",""),"]",""),",",REPT(" ",100)),601,600))," ",", ")</f>
        <v>0, 1, 3, 2, 4, -1</v>
      </c>
      <c r="CG46" t="str">
        <f>SUBSTITUTE(TRIM(MID(SUBSTITUTE(SUBSTITUTE(SUBSTITUTE(Tabla1[[#This Row],[map]],"[",""),"]",""),",",REPT(" ",100)),1201,600))," ",", ")</f>
        <v>0, 1, 2, 3, 4, -1</v>
      </c>
    </row>
    <row r="47" spans="1:85" x14ac:dyDescent="0.3">
      <c r="A47" s="1">
        <v>46095.129537037043</v>
      </c>
      <c r="B47" t="s">
        <v>161</v>
      </c>
      <c r="C47">
        <v>1</v>
      </c>
      <c r="D47" t="s">
        <v>96</v>
      </c>
      <c r="E47" t="s">
        <v>78</v>
      </c>
      <c r="F47">
        <v>16590</v>
      </c>
      <c r="G47">
        <v>4.5</v>
      </c>
      <c r="H47" t="s">
        <v>79</v>
      </c>
      <c r="I47" t="s">
        <v>80</v>
      </c>
      <c r="J47">
        <v>5</v>
      </c>
      <c r="K47">
        <v>5</v>
      </c>
      <c r="L47" t="s">
        <v>81</v>
      </c>
      <c r="M47" t="s">
        <v>82</v>
      </c>
      <c r="N47" t="s">
        <v>83</v>
      </c>
      <c r="O47" t="s">
        <v>83</v>
      </c>
      <c r="P47" t="s">
        <v>84</v>
      </c>
      <c r="Q47" t="s">
        <v>159</v>
      </c>
      <c r="R47">
        <v>3</v>
      </c>
      <c r="S47" t="s">
        <v>86</v>
      </c>
      <c r="T47" t="s">
        <v>87</v>
      </c>
      <c r="U47" t="s">
        <v>88</v>
      </c>
      <c r="V47">
        <v>1</v>
      </c>
      <c r="W47" t="s">
        <v>160</v>
      </c>
      <c r="X47" t="s">
        <v>83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180</v>
      </c>
      <c r="AH47">
        <v>60</v>
      </c>
      <c r="AI47">
        <v>120</v>
      </c>
      <c r="AJ47">
        <v>0.1169275177688915</v>
      </c>
      <c r="AK47">
        <v>33.834015520257928</v>
      </c>
      <c r="AL47">
        <v>0.70608035951464299</v>
      </c>
      <c r="AM47">
        <v>-0.20722920170868819</v>
      </c>
      <c r="AN47">
        <v>36.875682238747608</v>
      </c>
      <c r="AO47">
        <v>0.65274330300896577</v>
      </c>
      <c r="AP47">
        <v>36.875682238747608</v>
      </c>
      <c r="AQ47">
        <v>36.875682238747608</v>
      </c>
      <c r="AR47">
        <v>0.65274330300896577</v>
      </c>
      <c r="AS47">
        <v>84.70652568303926</v>
      </c>
      <c r="AT47">
        <v>-0.1029327531643128</v>
      </c>
      <c r="AU47">
        <v>0.8</v>
      </c>
      <c r="AV47" t="s">
        <v>93</v>
      </c>
      <c r="AW47">
        <v>6.1807962340585977E-2</v>
      </c>
      <c r="AX47">
        <v>0.551194278274861</v>
      </c>
      <c r="AY47">
        <v>6.1807962340585977E-2</v>
      </c>
      <c r="AZ47">
        <v>6.1807962340585977E-2</v>
      </c>
      <c r="BA47">
        <v>0.551194278274861</v>
      </c>
      <c r="BB47">
        <v>0.22959030039997669</v>
      </c>
      <c r="BC47">
        <v>-0.66712243164245577</v>
      </c>
      <c r="BD47">
        <v>8.3031911713036255E-2</v>
      </c>
      <c r="BE47">
        <v>0.71231216003699593</v>
      </c>
      <c r="BF47">
        <v>8.3031911713036255E-2</v>
      </c>
      <c r="BG47">
        <v>8.3031911713036255E-2</v>
      </c>
      <c r="BH47">
        <v>0.71231216003699593</v>
      </c>
      <c r="BI47">
        <v>0.29585680754431509</v>
      </c>
      <c r="BJ47">
        <v>-2.508064844917968E-2</v>
      </c>
      <c r="BK47">
        <v>5.8109705711835158E-2</v>
      </c>
      <c r="BL47">
        <v>0.76670791177758824</v>
      </c>
      <c r="BM47">
        <v>5.8109705711835158E-2</v>
      </c>
      <c r="BN47">
        <v>5.8109705711835158E-2</v>
      </c>
      <c r="BO47">
        <v>0.76670791177758824</v>
      </c>
      <c r="BP47">
        <v>0.18860799497178979</v>
      </c>
      <c r="BQ47">
        <v>0.24279855725634181</v>
      </c>
      <c r="BR47">
        <v>147.2997793752246</v>
      </c>
      <c r="BS47">
        <v>0.58075886194642001</v>
      </c>
      <c r="BT47">
        <v>147.2997793752246</v>
      </c>
      <c r="BU47">
        <v>147.2997793752246</v>
      </c>
      <c r="BV47">
        <v>0.58075886194642001</v>
      </c>
      <c r="BW47">
        <v>338.11204762924058</v>
      </c>
      <c r="BX47">
        <v>3.7673510178039771E-2</v>
      </c>
      <c r="BY47" t="str">
        <f t="shared" si="1"/>
        <v>[[sv,wv],[yr],[ya]]</v>
      </c>
      <c r="BZ47" t="str">
        <f>SUBSTITUTE(TRIM(MID(SUBSTITUTE(SUBSTITUTE(SUBSTITUTE(Tabla1[[#This Row],[map]],"[",""),"]",""),",",REPT(" ",100)),901,200))," ",", ")</f>
        <v>2, 4</v>
      </c>
      <c r="CA47" t="str">
        <f>SUBSTITUTE(TRIM(MID(SUBSTITUTE(SUBSTITUTE(SUBSTITUTE(Tabla1[[#This Row],[map]],"[",""),"]",""),",",REPT(" ",100)),1501,200))," ",", ")</f>
        <v>3, 4</v>
      </c>
      <c r="CB47" t="str">
        <f>SUBSTITUTE(TRIM(MID(SUBSTITUTE(SUBSTITUTE(SUBSTITUTE(Tabla1[[#This Row],[map]],"[",""),"]",""),",",REPT(" ",100)),601,300))," ",", ")</f>
        <v>0, 1, 3</v>
      </c>
      <c r="CC47" t="str">
        <f>SUBSTITUTE(TRIM(MID(SUBSTITUTE(SUBSTITUTE(SUBSTITUTE(Tabla1[[#This Row],[map]],"[",""),"]",""),",",REPT(" ",100)),1201,300))," ",", ")</f>
        <v>0, 1, 2</v>
      </c>
      <c r="CD47" t="str">
        <f>SUBSTITUTE(TRIM(MID(SUBSTITUTE(SUBSTITUTE(SUBSTITUTE(Tabla1[[#This Row],[map]],"[",""),"]",""),",",REPT(" ",100)),1,300))," ",", ")</f>
        <v>2, 3, 4</v>
      </c>
      <c r="CE47" t="str">
        <f>SUBSTITUTE(TRIM(MID(SUBSTITUTE(SUBSTITUTE(SUBSTITUTE(Tabla1[[#This Row],[map]],"[",""),"]",""),",",REPT(" ",100)),1,600))," ",", ")</f>
        <v>2, 3, 4, 0, 1, -1</v>
      </c>
      <c r="CF47" t="str">
        <f>SUBSTITUTE(TRIM(MID(SUBSTITUTE(SUBSTITUTE(SUBSTITUTE(Tabla1[[#This Row],[map]],"[",""),"]",""),",",REPT(" ",100)),601,600))," ",", ")</f>
        <v>0, 1, 3, 2, 4, -1</v>
      </c>
      <c r="CG47" t="str">
        <f>SUBSTITUTE(TRIM(MID(SUBSTITUTE(SUBSTITUTE(SUBSTITUTE(Tabla1[[#This Row],[map]],"[",""),"]",""),",",REPT(" ",100)),1201,600))," ",", ")</f>
        <v>0, 1, 2, 3, 4, -1</v>
      </c>
    </row>
    <row r="48" spans="1:85" x14ac:dyDescent="0.3">
      <c r="A48" s="1">
        <v>46095.132881944453</v>
      </c>
      <c r="B48" t="s">
        <v>162</v>
      </c>
      <c r="C48">
        <v>2</v>
      </c>
      <c r="D48" t="s">
        <v>77</v>
      </c>
      <c r="E48" t="s">
        <v>78</v>
      </c>
      <c r="F48">
        <v>16590</v>
      </c>
      <c r="G48">
        <v>4.5</v>
      </c>
      <c r="H48" t="s">
        <v>79</v>
      </c>
      <c r="I48" t="s">
        <v>80</v>
      </c>
      <c r="J48">
        <v>5</v>
      </c>
      <c r="K48">
        <v>5</v>
      </c>
      <c r="L48" t="s">
        <v>81</v>
      </c>
      <c r="M48" t="s">
        <v>82</v>
      </c>
      <c r="N48" t="s">
        <v>83</v>
      </c>
      <c r="O48" t="s">
        <v>83</v>
      </c>
      <c r="P48" t="s">
        <v>84</v>
      </c>
      <c r="Q48" t="s">
        <v>159</v>
      </c>
      <c r="R48">
        <v>3</v>
      </c>
      <c r="S48" t="s">
        <v>86</v>
      </c>
      <c r="T48" t="s">
        <v>87</v>
      </c>
      <c r="U48" t="s">
        <v>88</v>
      </c>
      <c r="V48">
        <v>1</v>
      </c>
      <c r="W48" t="s">
        <v>160</v>
      </c>
      <c r="X48" t="s">
        <v>83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180</v>
      </c>
      <c r="AH48">
        <v>60</v>
      </c>
      <c r="AI48">
        <v>120</v>
      </c>
      <c r="AJ48">
        <v>9.8551158099050962E-2</v>
      </c>
      <c r="AK48">
        <v>20.29875807033163</v>
      </c>
      <c r="AL48">
        <v>0.73583512502234327</v>
      </c>
      <c r="AM48">
        <v>0.1291034399763682</v>
      </c>
      <c r="AN48">
        <v>25.940339290107691</v>
      </c>
      <c r="AO48">
        <v>0.68474607268496723</v>
      </c>
      <c r="AP48">
        <v>25.940339290107691</v>
      </c>
      <c r="AQ48">
        <v>25.940339290107691</v>
      </c>
      <c r="AR48">
        <v>0.68474607268496723</v>
      </c>
      <c r="AS48">
        <v>116.7336347448643</v>
      </c>
      <c r="AT48">
        <v>-3.7643873723845339E-2</v>
      </c>
      <c r="AU48">
        <v>0.8</v>
      </c>
      <c r="AV48" t="s">
        <v>93</v>
      </c>
      <c r="AW48">
        <v>5.2279757997083953E-2</v>
      </c>
      <c r="AX48">
        <v>0.62038136138182187</v>
      </c>
      <c r="AY48">
        <v>5.2279757997083953E-2</v>
      </c>
      <c r="AZ48">
        <v>5.2279757997083953E-2</v>
      </c>
      <c r="BA48">
        <v>0.62038136138182187</v>
      </c>
      <c r="BB48">
        <v>0.1372430840534738</v>
      </c>
      <c r="BC48">
        <v>3.437760154782477E-3</v>
      </c>
      <c r="BD48">
        <v>8.027364546924709E-2</v>
      </c>
      <c r="BE48">
        <v>0.72186896345567453</v>
      </c>
      <c r="BF48">
        <v>8.027364546924709E-2</v>
      </c>
      <c r="BG48">
        <v>8.027364546924709E-2</v>
      </c>
      <c r="BH48">
        <v>0.72186896345567453</v>
      </c>
      <c r="BI48">
        <v>0.27613066217600429</v>
      </c>
      <c r="BJ48">
        <v>4.3266232102223801E-2</v>
      </c>
      <c r="BK48">
        <v>7.6852611622674344E-2</v>
      </c>
      <c r="BL48">
        <v>0.69146107296241077</v>
      </c>
      <c r="BM48">
        <v>7.6852611622674344E-2</v>
      </c>
      <c r="BN48">
        <v>7.6852611622674344E-2</v>
      </c>
      <c r="BO48">
        <v>0.69146107296241077</v>
      </c>
      <c r="BP48">
        <v>0.2167281222105237</v>
      </c>
      <c r="BQ48">
        <v>0.12990514084263541</v>
      </c>
      <c r="BR48">
        <v>103.5519511453418</v>
      </c>
      <c r="BS48">
        <v>0.70527289293996187</v>
      </c>
      <c r="BT48">
        <v>103.5519511453418</v>
      </c>
      <c r="BU48">
        <v>103.5519511453418</v>
      </c>
      <c r="BV48">
        <v>0.70527289293996187</v>
      </c>
      <c r="BW48">
        <v>466.30443711101708</v>
      </c>
      <c r="BX48">
        <v>-0.32718462799502551</v>
      </c>
      <c r="BY48" t="str">
        <f t="shared" si="1"/>
        <v>[[sv,wv],[yr],[ya]]</v>
      </c>
      <c r="BZ48" t="str">
        <f>SUBSTITUTE(TRIM(MID(SUBSTITUTE(SUBSTITUTE(SUBSTITUTE(Tabla1[[#This Row],[map]],"[",""),"]",""),",",REPT(" ",100)),901,200))," ",", ")</f>
        <v>2, 4</v>
      </c>
      <c r="CA48" t="str">
        <f>SUBSTITUTE(TRIM(MID(SUBSTITUTE(SUBSTITUTE(SUBSTITUTE(Tabla1[[#This Row],[map]],"[",""),"]",""),",",REPT(" ",100)),1501,200))," ",", ")</f>
        <v>3, 4</v>
      </c>
      <c r="CB48" t="str">
        <f>SUBSTITUTE(TRIM(MID(SUBSTITUTE(SUBSTITUTE(SUBSTITUTE(Tabla1[[#This Row],[map]],"[",""),"]",""),",",REPT(" ",100)),601,300))," ",", ")</f>
        <v>0, 1, 3</v>
      </c>
      <c r="CC48" t="str">
        <f>SUBSTITUTE(TRIM(MID(SUBSTITUTE(SUBSTITUTE(SUBSTITUTE(Tabla1[[#This Row],[map]],"[",""),"]",""),",",REPT(" ",100)),1201,300))," ",", ")</f>
        <v>0, 1, 2</v>
      </c>
      <c r="CD48" t="str">
        <f>SUBSTITUTE(TRIM(MID(SUBSTITUTE(SUBSTITUTE(SUBSTITUTE(Tabla1[[#This Row],[map]],"[",""),"]",""),",",REPT(" ",100)),1,300))," ",", ")</f>
        <v>2, 3, 4</v>
      </c>
      <c r="CE48" t="str">
        <f>SUBSTITUTE(TRIM(MID(SUBSTITUTE(SUBSTITUTE(SUBSTITUTE(Tabla1[[#This Row],[map]],"[",""),"]",""),",",REPT(" ",100)),1,600))," ",", ")</f>
        <v>2, 3, 4, 0, 1, -1</v>
      </c>
      <c r="CF48" t="str">
        <f>SUBSTITUTE(TRIM(MID(SUBSTITUTE(SUBSTITUTE(SUBSTITUTE(Tabla1[[#This Row],[map]],"[",""),"]",""),",",REPT(" ",100)),601,600))," ",", ")</f>
        <v>0, 1, 3, 2, 4, -1</v>
      </c>
      <c r="CG48" t="str">
        <f>SUBSTITUTE(TRIM(MID(SUBSTITUTE(SUBSTITUTE(SUBSTITUTE(Tabla1[[#This Row],[map]],"[",""),"]",""),",",REPT(" ",100)),1201,600))," ",", ")</f>
        <v>0, 1, 2, 3, 4, -1</v>
      </c>
    </row>
    <row r="49" spans="1:85" x14ac:dyDescent="0.3">
      <c r="A49" s="1">
        <v>46095.138310185182</v>
      </c>
      <c r="B49" t="s">
        <v>163</v>
      </c>
      <c r="C49">
        <v>3</v>
      </c>
      <c r="D49" t="s">
        <v>96</v>
      </c>
      <c r="E49" t="s">
        <v>78</v>
      </c>
      <c r="F49">
        <v>16590</v>
      </c>
      <c r="G49">
        <v>4.5</v>
      </c>
      <c r="H49" t="s">
        <v>79</v>
      </c>
      <c r="I49" t="s">
        <v>80</v>
      </c>
      <c r="J49">
        <v>5</v>
      </c>
      <c r="K49">
        <v>5</v>
      </c>
      <c r="L49" t="s">
        <v>81</v>
      </c>
      <c r="M49" t="s">
        <v>82</v>
      </c>
      <c r="N49" t="s">
        <v>83</v>
      </c>
      <c r="O49" t="s">
        <v>83</v>
      </c>
      <c r="P49" t="s">
        <v>84</v>
      </c>
      <c r="Q49" t="s">
        <v>159</v>
      </c>
      <c r="R49">
        <v>3</v>
      </c>
      <c r="S49" t="s">
        <v>86</v>
      </c>
      <c r="T49" t="s">
        <v>87</v>
      </c>
      <c r="U49" t="s">
        <v>88</v>
      </c>
      <c r="V49">
        <v>1</v>
      </c>
      <c r="W49" t="s">
        <v>160</v>
      </c>
      <c r="X49" t="s">
        <v>83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180</v>
      </c>
      <c r="AH49">
        <v>60</v>
      </c>
      <c r="AI49">
        <v>120</v>
      </c>
      <c r="AJ49">
        <v>0.10283931156312</v>
      </c>
      <c r="AK49">
        <v>27.719783597859308</v>
      </c>
      <c r="AL49">
        <v>0.73831010946547226</v>
      </c>
      <c r="AM49">
        <v>0.3115828636801069</v>
      </c>
      <c r="AN49">
        <v>29.139921752182008</v>
      </c>
      <c r="AO49">
        <v>0.69784969482004877</v>
      </c>
      <c r="AP49">
        <v>29.139921752182008</v>
      </c>
      <c r="AQ49">
        <v>29.139921752182008</v>
      </c>
      <c r="AR49">
        <v>0.69784969482004877</v>
      </c>
      <c r="AS49">
        <v>66.567248903338196</v>
      </c>
      <c r="AT49">
        <v>0.25670786661812028</v>
      </c>
      <c r="AU49">
        <v>0.8</v>
      </c>
      <c r="AV49" t="s">
        <v>93</v>
      </c>
      <c r="AW49">
        <v>6.3428439047259491E-2</v>
      </c>
      <c r="AX49">
        <v>0.53942752217522139</v>
      </c>
      <c r="AY49">
        <v>6.3428439047259491E-2</v>
      </c>
      <c r="AZ49">
        <v>6.3428439047259491E-2</v>
      </c>
      <c r="BA49">
        <v>0.53942752217522139</v>
      </c>
      <c r="BB49">
        <v>0.15712345096295219</v>
      </c>
      <c r="BC49">
        <v>-0.14091940809811981</v>
      </c>
      <c r="BD49">
        <v>5.4119209200541307E-2</v>
      </c>
      <c r="BE49">
        <v>0.81248849900964981</v>
      </c>
      <c r="BF49">
        <v>5.4119209200541307E-2</v>
      </c>
      <c r="BG49">
        <v>5.4119209200541307E-2</v>
      </c>
      <c r="BH49">
        <v>0.81248849900964981</v>
      </c>
      <c r="BI49">
        <v>0.1690299874058534</v>
      </c>
      <c r="BJ49">
        <v>0.4143471954033181</v>
      </c>
      <c r="BK49">
        <v>5.7106596580952081E-2</v>
      </c>
      <c r="BL49">
        <v>0.77073507765275495</v>
      </c>
      <c r="BM49">
        <v>5.7106596580952081E-2</v>
      </c>
      <c r="BN49">
        <v>5.7106596580952081E-2</v>
      </c>
      <c r="BO49">
        <v>0.77073507765275495</v>
      </c>
      <c r="BP49">
        <v>0.1220578124194157</v>
      </c>
      <c r="BQ49">
        <v>0.50997649025461489</v>
      </c>
      <c r="BR49">
        <v>116.38503276389859</v>
      </c>
      <c r="BS49">
        <v>0.6687476804425756</v>
      </c>
      <c r="BT49">
        <v>116.38503276389859</v>
      </c>
      <c r="BU49">
        <v>116.38503276389859</v>
      </c>
      <c r="BV49">
        <v>0.6687476804425756</v>
      </c>
      <c r="BW49">
        <v>265.82078436256359</v>
      </c>
      <c r="BX49">
        <v>0.24342718891267509</v>
      </c>
      <c r="BY49" t="str">
        <f t="shared" si="1"/>
        <v>[[sv,wv],[yr],[ya]]</v>
      </c>
      <c r="BZ49" t="str">
        <f>SUBSTITUTE(TRIM(MID(SUBSTITUTE(SUBSTITUTE(SUBSTITUTE(Tabla1[[#This Row],[map]],"[",""),"]",""),",",REPT(" ",100)),901,200))," ",", ")</f>
        <v>2, 4</v>
      </c>
      <c r="CA49" t="str">
        <f>SUBSTITUTE(TRIM(MID(SUBSTITUTE(SUBSTITUTE(SUBSTITUTE(Tabla1[[#This Row],[map]],"[",""),"]",""),",",REPT(" ",100)),1501,200))," ",", ")</f>
        <v>3, 4</v>
      </c>
      <c r="CB49" t="str">
        <f>SUBSTITUTE(TRIM(MID(SUBSTITUTE(SUBSTITUTE(SUBSTITUTE(Tabla1[[#This Row],[map]],"[",""),"]",""),",",REPT(" ",100)),601,300))," ",", ")</f>
        <v>0, 1, 3</v>
      </c>
      <c r="CC49" t="str">
        <f>SUBSTITUTE(TRIM(MID(SUBSTITUTE(SUBSTITUTE(SUBSTITUTE(Tabla1[[#This Row],[map]],"[",""),"]",""),",",REPT(" ",100)),1201,300))," ",", ")</f>
        <v>0, 1, 2</v>
      </c>
      <c r="CD49" t="str">
        <f>SUBSTITUTE(TRIM(MID(SUBSTITUTE(SUBSTITUTE(SUBSTITUTE(Tabla1[[#This Row],[map]],"[",""),"]",""),",",REPT(" ",100)),1,300))," ",", ")</f>
        <v>2, 3, 4</v>
      </c>
      <c r="CE49" t="str">
        <f>SUBSTITUTE(TRIM(MID(SUBSTITUTE(SUBSTITUTE(SUBSTITUTE(Tabla1[[#This Row],[map]],"[",""),"]",""),",",REPT(" ",100)),1,600))," ",", ")</f>
        <v>2, 3, 4, 0, 1, -1</v>
      </c>
      <c r="CF49" t="str">
        <f>SUBSTITUTE(TRIM(MID(SUBSTITUTE(SUBSTITUTE(SUBSTITUTE(Tabla1[[#This Row],[map]],"[",""),"]",""),",",REPT(" ",100)),601,600))," ",", ")</f>
        <v>0, 1, 3, 2, 4, -1</v>
      </c>
      <c r="CG49" t="str">
        <f>SUBSTITUTE(TRIM(MID(SUBSTITUTE(SUBSTITUTE(SUBSTITUTE(Tabla1[[#This Row],[map]],"[",""),"]",""),",",REPT(" ",100)),1201,600))," ",", ")</f>
        <v>0, 1, 2, 3, 4, -1</v>
      </c>
    </row>
    <row r="50" spans="1:85" x14ac:dyDescent="0.3">
      <c r="A50" s="1">
        <v>46095.268703703703</v>
      </c>
      <c r="B50" t="s">
        <v>164</v>
      </c>
      <c r="C50">
        <v>0</v>
      </c>
      <c r="D50" t="s">
        <v>96</v>
      </c>
      <c r="E50" t="s">
        <v>78</v>
      </c>
      <c r="F50">
        <v>16590</v>
      </c>
      <c r="G50">
        <v>4.5</v>
      </c>
      <c r="H50" t="s">
        <v>79</v>
      </c>
      <c r="I50" t="s">
        <v>80</v>
      </c>
      <c r="J50">
        <v>5</v>
      </c>
      <c r="K50">
        <v>5</v>
      </c>
      <c r="L50" t="s">
        <v>81</v>
      </c>
      <c r="M50" t="s">
        <v>82</v>
      </c>
      <c r="N50" t="s">
        <v>83</v>
      </c>
      <c r="O50" t="s">
        <v>83</v>
      </c>
      <c r="P50" t="s">
        <v>84</v>
      </c>
      <c r="Q50" t="s">
        <v>165</v>
      </c>
      <c r="R50">
        <v>3</v>
      </c>
      <c r="S50" t="s">
        <v>86</v>
      </c>
      <c r="T50" t="s">
        <v>87</v>
      </c>
      <c r="U50" t="s">
        <v>88</v>
      </c>
      <c r="V50">
        <v>1</v>
      </c>
      <c r="W50" t="s">
        <v>166</v>
      </c>
      <c r="X50" t="s">
        <v>83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180</v>
      </c>
      <c r="AH50">
        <v>60</v>
      </c>
      <c r="AI50">
        <v>120</v>
      </c>
      <c r="AJ50">
        <v>0.1005656820582473</v>
      </c>
      <c r="AK50">
        <v>13.36558330839828</v>
      </c>
      <c r="AL50">
        <v>0.75854455704923074</v>
      </c>
      <c r="AM50">
        <v>-0.30334151115836061</v>
      </c>
      <c r="AN50">
        <v>15.97681984326252</v>
      </c>
      <c r="AO50">
        <v>0.71744413507533988</v>
      </c>
      <c r="AP50">
        <v>15.97681984326252</v>
      </c>
      <c r="AQ50">
        <v>15.97681984326252</v>
      </c>
      <c r="AR50">
        <v>0.71744413507533988</v>
      </c>
      <c r="AS50">
        <v>209.50862124532199</v>
      </c>
      <c r="AT50">
        <v>-0.49131853885267368</v>
      </c>
      <c r="AU50">
        <v>0.8</v>
      </c>
      <c r="AV50" t="s">
        <v>93</v>
      </c>
      <c r="AW50">
        <v>6.3873704371490481E-2</v>
      </c>
      <c r="AX50">
        <v>0.53619432021170277</v>
      </c>
      <c r="AY50">
        <v>6.3873704371490481E-2</v>
      </c>
      <c r="AZ50">
        <v>6.3873704371490481E-2</v>
      </c>
      <c r="BA50">
        <v>0.53619432021170277</v>
      </c>
      <c r="BB50">
        <v>0.15214248254805901</v>
      </c>
      <c r="BC50">
        <v>-0.1047511372203669</v>
      </c>
      <c r="BD50">
        <v>5.7001259335734203E-2</v>
      </c>
      <c r="BE50">
        <v>0.80250281084526964</v>
      </c>
      <c r="BF50">
        <v>5.7001259335734203E-2</v>
      </c>
      <c r="BG50">
        <v>5.7001259335734203E-2</v>
      </c>
      <c r="BH50">
        <v>0.80250281084526964</v>
      </c>
      <c r="BI50">
        <v>0.33604344781717571</v>
      </c>
      <c r="BJ50">
        <v>-0.1643187738512035</v>
      </c>
      <c r="BK50">
        <v>7.1631325545890467E-2</v>
      </c>
      <c r="BL50">
        <v>0.71242288505796625</v>
      </c>
      <c r="BM50">
        <v>7.1631325545890467E-2</v>
      </c>
      <c r="BN50">
        <v>7.1631325545890467E-2</v>
      </c>
      <c r="BO50">
        <v>0.71242288505796625</v>
      </c>
      <c r="BP50">
        <v>0.32713185111455811</v>
      </c>
      <c r="BQ50">
        <v>-0.31333090979730871</v>
      </c>
      <c r="BR50">
        <v>63.714773083796807</v>
      </c>
      <c r="BS50">
        <v>0.81865652418642099</v>
      </c>
      <c r="BT50">
        <v>63.714773083796807</v>
      </c>
      <c r="BU50">
        <v>63.714773083796807</v>
      </c>
      <c r="BV50">
        <v>0.81865652418642099</v>
      </c>
      <c r="BW50">
        <v>837.21916719980811</v>
      </c>
      <c r="BX50">
        <v>-1.382873334541834</v>
      </c>
      <c r="BY50" t="str">
        <f t="shared" si="1"/>
        <v>[[sv,wv],[yr],[ya]]</v>
      </c>
      <c r="BZ50" t="str">
        <f>SUBSTITUTE(TRIM(MID(SUBSTITUTE(SUBSTITUTE(SUBSTITUTE(Tabla1[[#This Row],[map]],"[",""),"]",""),",",REPT(" ",100)),901,200))," ",", ")</f>
        <v>2, 4</v>
      </c>
      <c r="CA50" t="str">
        <f>SUBSTITUTE(TRIM(MID(SUBSTITUTE(SUBSTITUTE(SUBSTITUTE(Tabla1[[#This Row],[map]],"[",""),"]",""),",",REPT(" ",100)),1501,200))," ",", ")</f>
        <v>3, 4</v>
      </c>
      <c r="CB50" t="str">
        <f>SUBSTITUTE(TRIM(MID(SUBSTITUTE(SUBSTITUTE(SUBSTITUTE(Tabla1[[#This Row],[map]],"[",""),"]",""),",",REPT(" ",100)),601,300))," ",", ")</f>
        <v>0, 1, 3</v>
      </c>
      <c r="CC50" t="str">
        <f>SUBSTITUTE(TRIM(MID(SUBSTITUTE(SUBSTITUTE(SUBSTITUTE(Tabla1[[#This Row],[map]],"[",""),"]",""),",",REPT(" ",100)),1201,300))," ",", ")</f>
        <v>2, 0, 1</v>
      </c>
      <c r="CD50" t="str">
        <f>SUBSTITUTE(TRIM(MID(SUBSTITUTE(SUBSTITUTE(SUBSTITUTE(Tabla1[[#This Row],[map]],"[",""),"]",""),",",REPT(" ",100)),1,300))," ",", ")</f>
        <v>2, 3, 4</v>
      </c>
      <c r="CE50" t="str">
        <f>SUBSTITUTE(TRIM(MID(SUBSTITUTE(SUBSTITUTE(SUBSTITUTE(Tabla1[[#This Row],[map]],"[",""),"]",""),",",REPT(" ",100)),1,600))," ",", ")</f>
        <v>2, 3, 4, 0, 1, -1</v>
      </c>
      <c r="CF50" t="str">
        <f>SUBSTITUTE(TRIM(MID(SUBSTITUTE(SUBSTITUTE(SUBSTITUTE(Tabla1[[#This Row],[map]],"[",""),"]",""),",",REPT(" ",100)),601,600))," ",", ")</f>
        <v>0, 1, 3, 2, 4, -1</v>
      </c>
      <c r="CG50" t="str">
        <f>SUBSTITUTE(TRIM(MID(SUBSTITUTE(SUBSTITUTE(SUBSTITUTE(Tabla1[[#This Row],[map]],"[",""),"]",""),",",REPT(" ",100)),1201,600))," ",", ")</f>
        <v>2, 0, 1, 3, 4, -1</v>
      </c>
    </row>
    <row r="51" spans="1:85" x14ac:dyDescent="0.3">
      <c r="A51" s="1">
        <v>46095.274548611109</v>
      </c>
      <c r="B51" t="s">
        <v>167</v>
      </c>
      <c r="C51">
        <v>1</v>
      </c>
      <c r="D51" t="s">
        <v>77</v>
      </c>
      <c r="E51" t="s">
        <v>78</v>
      </c>
      <c r="F51">
        <v>16590</v>
      </c>
      <c r="G51">
        <v>4.5</v>
      </c>
      <c r="H51" t="s">
        <v>79</v>
      </c>
      <c r="I51" t="s">
        <v>80</v>
      </c>
      <c r="J51">
        <v>5</v>
      </c>
      <c r="K51">
        <v>5</v>
      </c>
      <c r="L51" t="s">
        <v>81</v>
      </c>
      <c r="M51" t="s">
        <v>82</v>
      </c>
      <c r="N51" t="s">
        <v>83</v>
      </c>
      <c r="O51" t="s">
        <v>83</v>
      </c>
      <c r="P51" t="s">
        <v>84</v>
      </c>
      <c r="Q51" t="s">
        <v>165</v>
      </c>
      <c r="R51">
        <v>3</v>
      </c>
      <c r="S51" t="s">
        <v>86</v>
      </c>
      <c r="T51" t="s">
        <v>87</v>
      </c>
      <c r="U51" t="s">
        <v>88</v>
      </c>
      <c r="V51">
        <v>1</v>
      </c>
      <c r="W51" t="s">
        <v>166</v>
      </c>
      <c r="X51" t="s">
        <v>83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180</v>
      </c>
      <c r="AH51">
        <v>60</v>
      </c>
      <c r="AI51">
        <v>120</v>
      </c>
      <c r="AJ51">
        <v>0.1090391991381806</v>
      </c>
      <c r="AK51">
        <v>25.369767700211899</v>
      </c>
      <c r="AL51">
        <v>0.72996368508740828</v>
      </c>
      <c r="AM51">
        <v>-0.10391441979416099</v>
      </c>
      <c r="AN51">
        <v>34.36282026634602</v>
      </c>
      <c r="AO51">
        <v>0.65914429112581008</v>
      </c>
      <c r="AP51">
        <v>34.36282026634602</v>
      </c>
      <c r="AQ51">
        <v>34.36282026634602</v>
      </c>
      <c r="AR51">
        <v>0.65914429112581008</v>
      </c>
      <c r="AS51">
        <v>130.97979098983049</v>
      </c>
      <c r="AT51">
        <v>-0.14847928489195281</v>
      </c>
      <c r="AU51">
        <v>0.8</v>
      </c>
      <c r="AV51" t="s">
        <v>93</v>
      </c>
      <c r="AW51">
        <v>5.9013567222721629E-2</v>
      </c>
      <c r="AX51">
        <v>0.57148519986757607</v>
      </c>
      <c r="AY51">
        <v>5.9013567222721629E-2</v>
      </c>
      <c r="AZ51">
        <v>5.9013567222721629E-2</v>
      </c>
      <c r="BA51">
        <v>0.57148519986757607</v>
      </c>
      <c r="BB51">
        <v>0.27416366815471033</v>
      </c>
      <c r="BC51">
        <v>-0.99078271305812615</v>
      </c>
      <c r="BD51">
        <v>9.006451088259225E-2</v>
      </c>
      <c r="BE51">
        <v>0.68794570595115634</v>
      </c>
      <c r="BF51">
        <v>9.006451088259225E-2</v>
      </c>
      <c r="BG51">
        <v>9.006451088259225E-2</v>
      </c>
      <c r="BH51">
        <v>0.68794570595115634</v>
      </c>
      <c r="BI51">
        <v>0.15379816230974391</v>
      </c>
      <c r="BJ51">
        <v>0.46712221611750487</v>
      </c>
      <c r="BK51">
        <v>5.7845679634135887E-2</v>
      </c>
      <c r="BL51">
        <v>0.76776789296759951</v>
      </c>
      <c r="BM51">
        <v>5.7845679634135887E-2</v>
      </c>
      <c r="BN51">
        <v>5.7845679634135887E-2</v>
      </c>
      <c r="BO51">
        <v>0.76776789296759951</v>
      </c>
      <c r="BP51">
        <v>0.14464902862431561</v>
      </c>
      <c r="BQ51">
        <v>0.41927990283666022</v>
      </c>
      <c r="BR51">
        <v>137.24435730764489</v>
      </c>
      <c r="BS51">
        <v>0.60937836571690751</v>
      </c>
      <c r="BT51">
        <v>137.24435730764489</v>
      </c>
      <c r="BU51">
        <v>137.24435730764489</v>
      </c>
      <c r="BV51">
        <v>0.60937836571690751</v>
      </c>
      <c r="BW51">
        <v>523.34655310023425</v>
      </c>
      <c r="BX51">
        <v>-0.48953654546385811</v>
      </c>
      <c r="BY51" t="str">
        <f t="shared" si="1"/>
        <v>[[sv,wv],[yr],[ya]]</v>
      </c>
      <c r="BZ51" t="str">
        <f>SUBSTITUTE(TRIM(MID(SUBSTITUTE(SUBSTITUTE(SUBSTITUTE(Tabla1[[#This Row],[map]],"[",""),"]",""),",",REPT(" ",100)),901,200))," ",", ")</f>
        <v>2, 4</v>
      </c>
      <c r="CA51" t="str">
        <f>SUBSTITUTE(TRIM(MID(SUBSTITUTE(SUBSTITUTE(SUBSTITUTE(Tabla1[[#This Row],[map]],"[",""),"]",""),",",REPT(" ",100)),1501,200))," ",", ")</f>
        <v>3, 4</v>
      </c>
      <c r="CB51" t="str">
        <f>SUBSTITUTE(TRIM(MID(SUBSTITUTE(SUBSTITUTE(SUBSTITUTE(Tabla1[[#This Row],[map]],"[",""),"]",""),",",REPT(" ",100)),601,300))," ",", ")</f>
        <v>0, 1, 3</v>
      </c>
      <c r="CC51" t="str">
        <f>SUBSTITUTE(TRIM(MID(SUBSTITUTE(SUBSTITUTE(SUBSTITUTE(Tabla1[[#This Row],[map]],"[",""),"]",""),",",REPT(" ",100)),1201,300))," ",", ")</f>
        <v>2, 0, 1</v>
      </c>
      <c r="CD51" t="str">
        <f>SUBSTITUTE(TRIM(MID(SUBSTITUTE(SUBSTITUTE(SUBSTITUTE(Tabla1[[#This Row],[map]],"[",""),"]",""),",",REPT(" ",100)),1,300))," ",", ")</f>
        <v>2, 3, 4</v>
      </c>
      <c r="CE51" t="str">
        <f>SUBSTITUTE(TRIM(MID(SUBSTITUTE(SUBSTITUTE(SUBSTITUTE(Tabla1[[#This Row],[map]],"[",""),"]",""),",",REPT(" ",100)),1,600))," ",", ")</f>
        <v>2, 3, 4, 0, 1, -1</v>
      </c>
      <c r="CF51" t="str">
        <f>SUBSTITUTE(TRIM(MID(SUBSTITUTE(SUBSTITUTE(SUBSTITUTE(Tabla1[[#This Row],[map]],"[",""),"]",""),",",REPT(" ",100)),601,600))," ",", ")</f>
        <v>0, 1, 3, 2, 4, -1</v>
      </c>
      <c r="CG51" t="str">
        <f>SUBSTITUTE(TRIM(MID(SUBSTITUTE(SUBSTITUTE(SUBSTITUTE(Tabla1[[#This Row],[map]],"[",""),"]",""),",",REPT(" ",100)),1201,600))," ",", ")</f>
        <v>2, 0, 1, 3, 4, -1</v>
      </c>
    </row>
    <row r="52" spans="1:85" x14ac:dyDescent="0.3">
      <c r="A52" s="1">
        <v>46095.278124999997</v>
      </c>
      <c r="B52" t="s">
        <v>168</v>
      </c>
      <c r="C52">
        <v>2</v>
      </c>
      <c r="D52" t="s">
        <v>96</v>
      </c>
      <c r="E52" t="s">
        <v>78</v>
      </c>
      <c r="F52">
        <v>16590</v>
      </c>
      <c r="G52">
        <v>4.5</v>
      </c>
      <c r="H52" t="s">
        <v>79</v>
      </c>
      <c r="I52" t="s">
        <v>80</v>
      </c>
      <c r="J52">
        <v>5</v>
      </c>
      <c r="K52">
        <v>5</v>
      </c>
      <c r="L52" t="s">
        <v>81</v>
      </c>
      <c r="M52" t="s">
        <v>82</v>
      </c>
      <c r="N52" t="s">
        <v>83</v>
      </c>
      <c r="O52" t="s">
        <v>83</v>
      </c>
      <c r="P52" t="s">
        <v>84</v>
      </c>
      <c r="Q52" t="s">
        <v>165</v>
      </c>
      <c r="R52">
        <v>3</v>
      </c>
      <c r="S52" t="s">
        <v>86</v>
      </c>
      <c r="T52" t="s">
        <v>87</v>
      </c>
      <c r="U52" t="s">
        <v>88</v>
      </c>
      <c r="V52">
        <v>1</v>
      </c>
      <c r="W52" t="s">
        <v>166</v>
      </c>
      <c r="X52" t="s">
        <v>83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180</v>
      </c>
      <c r="AH52">
        <v>60</v>
      </c>
      <c r="AI52">
        <v>120</v>
      </c>
      <c r="AJ52">
        <v>0.1073790452354389</v>
      </c>
      <c r="AK52">
        <v>25.65580214526652</v>
      </c>
      <c r="AL52">
        <v>0.72399190049120143</v>
      </c>
      <c r="AM52">
        <v>0.15192780580098081</v>
      </c>
      <c r="AN52">
        <v>28.76840950227421</v>
      </c>
      <c r="AO52">
        <v>0.66460588315660174</v>
      </c>
      <c r="AP52">
        <v>28.76840950227421</v>
      </c>
      <c r="AQ52">
        <v>28.76840950227421</v>
      </c>
      <c r="AR52">
        <v>0.66460588315660174</v>
      </c>
      <c r="AS52">
        <v>111.0693196500217</v>
      </c>
      <c r="AT52">
        <v>2.8496976873328639E-2</v>
      </c>
      <c r="AU52">
        <v>0.8</v>
      </c>
      <c r="AV52" t="s">
        <v>93</v>
      </c>
      <c r="AW52">
        <v>5.9498581490870027E-2</v>
      </c>
      <c r="AX52">
        <v>0.56796336917748069</v>
      </c>
      <c r="AY52">
        <v>5.9498581490870027E-2</v>
      </c>
      <c r="AZ52">
        <v>5.9498581490870027E-2</v>
      </c>
      <c r="BA52">
        <v>0.56796336917748069</v>
      </c>
      <c r="BB52">
        <v>0.1413781198891588</v>
      </c>
      <c r="BC52">
        <v>-2.6587946442169889E-2</v>
      </c>
      <c r="BD52">
        <v>8.0587729002372127E-2</v>
      </c>
      <c r="BE52">
        <v>0.72078073109598895</v>
      </c>
      <c r="BF52">
        <v>8.0587729002372127E-2</v>
      </c>
      <c r="BG52">
        <v>8.0587729002372127E-2</v>
      </c>
      <c r="BH52">
        <v>0.72078073109598895</v>
      </c>
      <c r="BI52">
        <v>0.24120584065770259</v>
      </c>
      <c r="BJ52">
        <v>0.1642732793495314</v>
      </c>
      <c r="BK52">
        <v>7.5576196049638167E-2</v>
      </c>
      <c r="BL52">
        <v>0.69658547775547386</v>
      </c>
      <c r="BM52">
        <v>7.5576196049638167E-2</v>
      </c>
      <c r="BN52">
        <v>7.5576196049638167E-2</v>
      </c>
      <c r="BO52">
        <v>0.69658547775547386</v>
      </c>
      <c r="BP52">
        <v>0.1895128780115857</v>
      </c>
      <c r="BQ52">
        <v>0.23916573806779051</v>
      </c>
      <c r="BR52">
        <v>114.8579755025536</v>
      </c>
      <c r="BS52">
        <v>0.67309395459746368</v>
      </c>
      <c r="BT52">
        <v>114.8579755025536</v>
      </c>
      <c r="BU52">
        <v>114.8579755025536</v>
      </c>
      <c r="BV52">
        <v>0.67309395459746368</v>
      </c>
      <c r="BW52">
        <v>443.70518176152979</v>
      </c>
      <c r="BX52">
        <v>-0.26286316348184718</v>
      </c>
      <c r="BY52" t="str">
        <f t="shared" si="1"/>
        <v>[[sv,wv],[yr],[ya]]</v>
      </c>
      <c r="BZ52" t="str">
        <f>SUBSTITUTE(TRIM(MID(SUBSTITUTE(SUBSTITUTE(SUBSTITUTE(Tabla1[[#This Row],[map]],"[",""),"]",""),",",REPT(" ",100)),901,200))," ",", ")</f>
        <v>2, 4</v>
      </c>
      <c r="CA52" t="str">
        <f>SUBSTITUTE(TRIM(MID(SUBSTITUTE(SUBSTITUTE(SUBSTITUTE(Tabla1[[#This Row],[map]],"[",""),"]",""),",",REPT(" ",100)),1501,200))," ",", ")</f>
        <v>3, 4</v>
      </c>
      <c r="CB52" t="str">
        <f>SUBSTITUTE(TRIM(MID(SUBSTITUTE(SUBSTITUTE(SUBSTITUTE(Tabla1[[#This Row],[map]],"[",""),"]",""),",",REPT(" ",100)),601,300))," ",", ")</f>
        <v>0, 1, 3</v>
      </c>
      <c r="CC52" t="str">
        <f>SUBSTITUTE(TRIM(MID(SUBSTITUTE(SUBSTITUTE(SUBSTITUTE(Tabla1[[#This Row],[map]],"[",""),"]",""),",",REPT(" ",100)),1201,300))," ",", ")</f>
        <v>2, 0, 1</v>
      </c>
      <c r="CD52" t="str">
        <f>SUBSTITUTE(TRIM(MID(SUBSTITUTE(SUBSTITUTE(SUBSTITUTE(Tabla1[[#This Row],[map]],"[",""),"]",""),",",REPT(" ",100)),1,300))," ",", ")</f>
        <v>2, 3, 4</v>
      </c>
      <c r="CE52" t="str">
        <f>SUBSTITUTE(TRIM(MID(SUBSTITUTE(SUBSTITUTE(SUBSTITUTE(Tabla1[[#This Row],[map]],"[",""),"]",""),",",REPT(" ",100)),1,600))," ",", ")</f>
        <v>2, 3, 4, 0, 1, -1</v>
      </c>
      <c r="CF52" t="str">
        <f>SUBSTITUTE(TRIM(MID(SUBSTITUTE(SUBSTITUTE(SUBSTITUTE(Tabla1[[#This Row],[map]],"[",""),"]",""),",",REPT(" ",100)),601,600))," ",", ")</f>
        <v>0, 1, 3, 2, 4, -1</v>
      </c>
      <c r="CG52" t="str">
        <f>SUBSTITUTE(TRIM(MID(SUBSTITUTE(SUBSTITUTE(SUBSTITUTE(Tabla1[[#This Row],[map]],"[",""),"]",""),",",REPT(" ",100)),1201,600))," ",", ")</f>
        <v>2, 0, 1, 3, 4, -1</v>
      </c>
    </row>
    <row r="53" spans="1:85" x14ac:dyDescent="0.3">
      <c r="A53" s="1">
        <v>46095.283472222232</v>
      </c>
      <c r="B53" t="s">
        <v>169</v>
      </c>
      <c r="C53">
        <v>3</v>
      </c>
      <c r="D53" t="s">
        <v>77</v>
      </c>
      <c r="E53" t="s">
        <v>78</v>
      </c>
      <c r="F53">
        <v>16590</v>
      </c>
      <c r="G53">
        <v>4.5</v>
      </c>
      <c r="H53" t="s">
        <v>79</v>
      </c>
      <c r="I53" t="s">
        <v>80</v>
      </c>
      <c r="J53">
        <v>5</v>
      </c>
      <c r="K53">
        <v>5</v>
      </c>
      <c r="L53" t="s">
        <v>81</v>
      </c>
      <c r="M53" t="s">
        <v>82</v>
      </c>
      <c r="N53" t="s">
        <v>83</v>
      </c>
      <c r="O53" t="s">
        <v>83</v>
      </c>
      <c r="P53" t="s">
        <v>84</v>
      </c>
      <c r="Q53" t="s">
        <v>165</v>
      </c>
      <c r="R53">
        <v>3</v>
      </c>
      <c r="S53" t="s">
        <v>86</v>
      </c>
      <c r="T53" t="s">
        <v>87</v>
      </c>
      <c r="U53" t="s">
        <v>88</v>
      </c>
      <c r="V53">
        <v>1</v>
      </c>
      <c r="W53" t="s">
        <v>166</v>
      </c>
      <c r="X53" t="s">
        <v>83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180</v>
      </c>
      <c r="AH53">
        <v>60</v>
      </c>
      <c r="AI53">
        <v>120</v>
      </c>
      <c r="AJ53">
        <v>0.1106950069226962</v>
      </c>
      <c r="AK53">
        <v>20.166334674770631</v>
      </c>
      <c r="AL53">
        <v>0.70997112262024897</v>
      </c>
      <c r="AM53">
        <v>0.14437297173899619</v>
      </c>
      <c r="AN53">
        <v>22.808899019230729</v>
      </c>
      <c r="AO53">
        <v>0.68563778813586329</v>
      </c>
      <c r="AP53">
        <v>22.808899019230729</v>
      </c>
      <c r="AQ53">
        <v>22.808899019230729</v>
      </c>
      <c r="AR53">
        <v>0.68563778813586329</v>
      </c>
      <c r="AS53">
        <v>107.994316111413</v>
      </c>
      <c r="AT53">
        <v>0.1405164205247075</v>
      </c>
      <c r="AU53">
        <v>0.8</v>
      </c>
      <c r="AV53" t="s">
        <v>93</v>
      </c>
      <c r="AW53">
        <v>8.082627683078418E-2</v>
      </c>
      <c r="AX53">
        <v>0.41309672518396662</v>
      </c>
      <c r="AY53">
        <v>8.082627683078418E-2</v>
      </c>
      <c r="AZ53">
        <v>8.082627683078418E-2</v>
      </c>
      <c r="BA53">
        <v>0.41309672518396662</v>
      </c>
      <c r="BB53">
        <v>0.1279710254447945</v>
      </c>
      <c r="BC53">
        <v>7.0764894041116189E-2</v>
      </c>
      <c r="BD53">
        <v>5.1059086797656673E-2</v>
      </c>
      <c r="BE53">
        <v>0.82309116954854888</v>
      </c>
      <c r="BF53">
        <v>5.1059086797656673E-2</v>
      </c>
      <c r="BG53">
        <v>5.1059086797656673E-2</v>
      </c>
      <c r="BH53">
        <v>0.82309116954854888</v>
      </c>
      <c r="BI53">
        <v>0.222840890599834</v>
      </c>
      <c r="BJ53">
        <v>0.22790390887708409</v>
      </c>
      <c r="BK53">
        <v>5.8412017060922153E-2</v>
      </c>
      <c r="BL53">
        <v>0.76549422733265959</v>
      </c>
      <c r="BM53">
        <v>5.8412017060922153E-2</v>
      </c>
      <c r="BN53">
        <v>5.8412017060922153E-2</v>
      </c>
      <c r="BO53">
        <v>0.76549422733265959</v>
      </c>
      <c r="BP53">
        <v>0.1266547179945712</v>
      </c>
      <c r="BQ53">
        <v>0.49152136838035532</v>
      </c>
      <c r="BR53">
        <v>91.045298696233502</v>
      </c>
      <c r="BS53">
        <v>0.74086903047828245</v>
      </c>
      <c r="BT53">
        <v>91.045298696233502</v>
      </c>
      <c r="BU53">
        <v>91.045298696233502</v>
      </c>
      <c r="BV53">
        <v>0.74086903047828245</v>
      </c>
      <c r="BW53">
        <v>431.49979781161193</v>
      </c>
      <c r="BX53">
        <v>-0.2281244891997245</v>
      </c>
      <c r="BY53" t="str">
        <f t="shared" si="1"/>
        <v>[[sv,wv],[yr],[ya]]</v>
      </c>
      <c r="BZ53" t="str">
        <f>SUBSTITUTE(TRIM(MID(SUBSTITUTE(SUBSTITUTE(SUBSTITUTE(Tabla1[[#This Row],[map]],"[",""),"]",""),",",REPT(" ",100)),901,200))," ",", ")</f>
        <v>2, 4</v>
      </c>
      <c r="CA53" t="str">
        <f>SUBSTITUTE(TRIM(MID(SUBSTITUTE(SUBSTITUTE(SUBSTITUTE(Tabla1[[#This Row],[map]],"[",""),"]",""),",",REPT(" ",100)),1501,200))," ",", ")</f>
        <v>3, 4</v>
      </c>
      <c r="CB53" t="str">
        <f>SUBSTITUTE(TRIM(MID(SUBSTITUTE(SUBSTITUTE(SUBSTITUTE(Tabla1[[#This Row],[map]],"[",""),"]",""),",",REPT(" ",100)),601,300))," ",", ")</f>
        <v>0, 1, 3</v>
      </c>
      <c r="CC53" t="str">
        <f>SUBSTITUTE(TRIM(MID(SUBSTITUTE(SUBSTITUTE(SUBSTITUTE(Tabla1[[#This Row],[map]],"[",""),"]",""),",",REPT(" ",100)),1201,300))," ",", ")</f>
        <v>2, 0, 1</v>
      </c>
      <c r="CD53" t="str">
        <f>SUBSTITUTE(TRIM(MID(SUBSTITUTE(SUBSTITUTE(SUBSTITUTE(Tabla1[[#This Row],[map]],"[",""),"]",""),",",REPT(" ",100)),1,300))," ",", ")</f>
        <v>2, 3, 4</v>
      </c>
      <c r="CE53" t="str">
        <f>SUBSTITUTE(TRIM(MID(SUBSTITUTE(SUBSTITUTE(SUBSTITUTE(Tabla1[[#This Row],[map]],"[",""),"]",""),",",REPT(" ",100)),1,600))," ",", ")</f>
        <v>2, 3, 4, 0, 1, -1</v>
      </c>
      <c r="CF53" t="str">
        <f>SUBSTITUTE(TRIM(MID(SUBSTITUTE(SUBSTITUTE(SUBSTITUTE(Tabla1[[#This Row],[map]],"[",""),"]",""),",",REPT(" ",100)),601,600))," ",", ")</f>
        <v>0, 1, 3, 2, 4, -1</v>
      </c>
      <c r="CG53" t="str">
        <f>SUBSTITUTE(TRIM(MID(SUBSTITUTE(SUBSTITUTE(SUBSTITUTE(Tabla1[[#This Row],[map]],"[",""),"]",""),",",REPT(" ",100)),1201,600))," ",", ")</f>
        <v>2, 0, 1, 3, 4, -1</v>
      </c>
    </row>
    <row r="54" spans="1:85" x14ac:dyDescent="0.3">
      <c r="A54" s="1">
        <v>46095.41233796296</v>
      </c>
      <c r="B54" t="s">
        <v>170</v>
      </c>
      <c r="C54">
        <v>0</v>
      </c>
      <c r="D54" t="s">
        <v>77</v>
      </c>
      <c r="E54" t="s">
        <v>78</v>
      </c>
      <c r="F54">
        <v>16590</v>
      </c>
      <c r="G54">
        <v>4.5</v>
      </c>
      <c r="H54" t="s">
        <v>79</v>
      </c>
      <c r="I54" t="s">
        <v>80</v>
      </c>
      <c r="J54">
        <v>5</v>
      </c>
      <c r="K54">
        <v>5</v>
      </c>
      <c r="L54" t="s">
        <v>81</v>
      </c>
      <c r="M54" t="s">
        <v>82</v>
      </c>
      <c r="N54" t="s">
        <v>83</v>
      </c>
      <c r="O54" t="s">
        <v>83</v>
      </c>
      <c r="P54" t="s">
        <v>84</v>
      </c>
      <c r="Q54" t="s">
        <v>171</v>
      </c>
      <c r="R54">
        <v>3</v>
      </c>
      <c r="S54" t="s">
        <v>86</v>
      </c>
      <c r="T54" t="s">
        <v>87</v>
      </c>
      <c r="U54" t="s">
        <v>88</v>
      </c>
      <c r="V54">
        <v>1</v>
      </c>
      <c r="W54" t="s">
        <v>172</v>
      </c>
      <c r="X54" t="s">
        <v>83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180</v>
      </c>
      <c r="AH54">
        <v>60</v>
      </c>
      <c r="AI54">
        <v>120</v>
      </c>
      <c r="AJ54">
        <v>0.1284109724517877</v>
      </c>
      <c r="AK54">
        <v>51.560873355705212</v>
      </c>
      <c r="AL54">
        <v>0.62991258083696133</v>
      </c>
      <c r="AM54">
        <v>-1.4153529891887779</v>
      </c>
      <c r="AN54">
        <v>54.979471785281611</v>
      </c>
      <c r="AO54">
        <v>0.5640495578457918</v>
      </c>
      <c r="AP54">
        <v>54.979471785281611</v>
      </c>
      <c r="AQ54">
        <v>54.979471785281611</v>
      </c>
      <c r="AR54">
        <v>0.5640495578457918</v>
      </c>
      <c r="AS54">
        <v>118.8440658521863</v>
      </c>
      <c r="AT54">
        <v>-1.3009412908546969</v>
      </c>
      <c r="AU54">
        <v>0.8</v>
      </c>
      <c r="AV54" t="s">
        <v>93</v>
      </c>
      <c r="AW54">
        <v>6.5765274573221302E-2</v>
      </c>
      <c r="AX54">
        <v>0.52245907482529885</v>
      </c>
      <c r="AY54">
        <v>6.5765274573221302E-2</v>
      </c>
      <c r="AZ54">
        <v>6.5765274573221302E-2</v>
      </c>
      <c r="BA54">
        <v>0.52245907482529885</v>
      </c>
      <c r="BB54">
        <v>0.25435141787954019</v>
      </c>
      <c r="BC54">
        <v>-0.84692015964228617</v>
      </c>
      <c r="BD54">
        <v>4.8467415406795597E-2</v>
      </c>
      <c r="BE54">
        <v>0.83207075738349545</v>
      </c>
      <c r="BF54">
        <v>4.8467415406795597E-2</v>
      </c>
      <c r="BG54">
        <v>4.8467415406795597E-2</v>
      </c>
      <c r="BH54">
        <v>0.83207075738349545</v>
      </c>
      <c r="BI54">
        <v>0.79578839594821504</v>
      </c>
      <c r="BJ54">
        <v>-1.757236825874765</v>
      </c>
      <c r="BK54">
        <v>0.1178341971175436</v>
      </c>
      <c r="BL54">
        <v>0.52693296975406612</v>
      </c>
      <c r="BM54">
        <v>0.1178341971175436</v>
      </c>
      <c r="BN54">
        <v>0.1178341971175436</v>
      </c>
      <c r="BO54">
        <v>0.52693296975406612</v>
      </c>
      <c r="BP54">
        <v>0.81000100289280352</v>
      </c>
      <c r="BQ54">
        <v>-2.2518978217544681</v>
      </c>
      <c r="BR54">
        <v>219.6858202540285</v>
      </c>
      <c r="BS54">
        <v>0.37473542942030857</v>
      </c>
      <c r="BT54">
        <v>219.6858202540285</v>
      </c>
      <c r="BU54">
        <v>219.6858202540285</v>
      </c>
      <c r="BV54">
        <v>0.37473542942030857</v>
      </c>
      <c r="BW54">
        <v>473.51612259202437</v>
      </c>
      <c r="BX54">
        <v>-0.34771035614727358</v>
      </c>
      <c r="BY54" t="str">
        <f t="shared" si="1"/>
        <v>[[sv,wv],[yr],[ya]]</v>
      </c>
      <c r="BZ54" t="str">
        <f>SUBSTITUTE(TRIM(MID(SUBSTITUTE(SUBSTITUTE(SUBSTITUTE(Tabla1[[#This Row],[map]],"[",""),"]",""),",",REPT(" ",100)),901,200))," ",", ")</f>
        <v>2, 4</v>
      </c>
      <c r="CA54" t="str">
        <f>SUBSTITUTE(TRIM(MID(SUBSTITUTE(SUBSTITUTE(SUBSTITUTE(Tabla1[[#This Row],[map]],"[",""),"]",""),",",REPT(" ",100)),1501,200))," ",", ")</f>
        <v>3, 2</v>
      </c>
      <c r="CB54" t="str">
        <f>SUBSTITUTE(TRIM(MID(SUBSTITUTE(SUBSTITUTE(SUBSTITUTE(Tabla1[[#This Row],[map]],"[",""),"]",""),",",REPT(" ",100)),601,300))," ",", ")</f>
        <v>3, 0, 1</v>
      </c>
      <c r="CC54" t="str">
        <f>SUBSTITUTE(TRIM(MID(SUBSTITUTE(SUBSTITUTE(SUBSTITUTE(Tabla1[[#This Row],[map]],"[",""),"]",""),",",REPT(" ",100)),1201,300))," ",", ")</f>
        <v>4, 0, 1</v>
      </c>
      <c r="CD54" t="str">
        <f>SUBSTITUTE(TRIM(MID(SUBSTITUTE(SUBSTITUTE(SUBSTITUTE(Tabla1[[#This Row],[map]],"[",""),"]",""),",",REPT(" ",100)),1,300))," ",", ")</f>
        <v>2, 3, 4</v>
      </c>
      <c r="CE54" t="str">
        <f>SUBSTITUTE(TRIM(MID(SUBSTITUTE(SUBSTITUTE(SUBSTITUTE(Tabla1[[#This Row],[map]],"[",""),"]",""),",",REPT(" ",100)),1,600))," ",", ")</f>
        <v>2, 3, 4, 0, 1, -1</v>
      </c>
      <c r="CF54" t="str">
        <f>SUBSTITUTE(TRIM(MID(SUBSTITUTE(SUBSTITUTE(SUBSTITUTE(Tabla1[[#This Row],[map]],"[",""),"]",""),",",REPT(" ",100)),601,600))," ",", ")</f>
        <v>3, 0, 1, 2, 4, -1</v>
      </c>
      <c r="CG54" t="str">
        <f>SUBSTITUTE(TRIM(MID(SUBSTITUTE(SUBSTITUTE(SUBSTITUTE(Tabla1[[#This Row],[map]],"[",""),"]",""),",",REPT(" ",100)),1201,600))," ",", ")</f>
        <v>4, 0, 1, 3, 2, -1</v>
      </c>
    </row>
    <row r="55" spans="1:85" x14ac:dyDescent="0.3">
      <c r="A55" s="1">
        <v>46095.419293981482</v>
      </c>
      <c r="B55" t="s">
        <v>173</v>
      </c>
      <c r="C55">
        <v>1</v>
      </c>
      <c r="D55" t="s">
        <v>96</v>
      </c>
      <c r="E55" t="s">
        <v>78</v>
      </c>
      <c r="F55">
        <v>16590</v>
      </c>
      <c r="G55">
        <v>4.5</v>
      </c>
      <c r="H55" t="s">
        <v>79</v>
      </c>
      <c r="I55" t="s">
        <v>80</v>
      </c>
      <c r="J55">
        <v>5</v>
      </c>
      <c r="K55">
        <v>5</v>
      </c>
      <c r="L55" t="s">
        <v>81</v>
      </c>
      <c r="M55" t="s">
        <v>82</v>
      </c>
      <c r="N55" t="s">
        <v>83</v>
      </c>
      <c r="O55" t="s">
        <v>83</v>
      </c>
      <c r="P55" t="s">
        <v>84</v>
      </c>
      <c r="Q55" t="s">
        <v>171</v>
      </c>
      <c r="R55">
        <v>3</v>
      </c>
      <c r="S55" t="s">
        <v>86</v>
      </c>
      <c r="T55" t="s">
        <v>87</v>
      </c>
      <c r="U55" t="s">
        <v>88</v>
      </c>
      <c r="V55">
        <v>1</v>
      </c>
      <c r="W55" t="s">
        <v>172</v>
      </c>
      <c r="X55" t="s">
        <v>83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180</v>
      </c>
      <c r="AH55">
        <v>60</v>
      </c>
      <c r="AI55">
        <v>120</v>
      </c>
      <c r="AJ55">
        <v>0.1184219717810302</v>
      </c>
      <c r="AK55">
        <v>38.779202697688703</v>
      </c>
      <c r="AL55">
        <v>0.68664400354093447</v>
      </c>
      <c r="AM55">
        <v>-0.86163097915173859</v>
      </c>
      <c r="AN55">
        <v>43.467370173414047</v>
      </c>
      <c r="AO55">
        <v>0.6152789399634685</v>
      </c>
      <c r="AP55">
        <v>43.467370173414047</v>
      </c>
      <c r="AQ55">
        <v>43.467370173414047</v>
      </c>
      <c r="AR55">
        <v>0.6152789399634685</v>
      </c>
      <c r="AS55">
        <v>114.2221567623552</v>
      </c>
      <c r="AT55">
        <v>-0.78434753996835949</v>
      </c>
      <c r="AU55">
        <v>0.8</v>
      </c>
      <c r="AV55" t="s">
        <v>93</v>
      </c>
      <c r="AW55">
        <v>6.3669531550662198E-2</v>
      </c>
      <c r="AX55">
        <v>0.5376768788779076</v>
      </c>
      <c r="AY55">
        <v>6.3669531550662198E-2</v>
      </c>
      <c r="AZ55">
        <v>6.3669531550662198E-2</v>
      </c>
      <c r="BA55">
        <v>0.5376768788779076</v>
      </c>
      <c r="BB55">
        <v>0.19406948134706381</v>
      </c>
      <c r="BC55">
        <v>-0.40919535837211679</v>
      </c>
      <c r="BD55">
        <v>8.4683233510342112E-2</v>
      </c>
      <c r="BE55">
        <v>0.70659068270196101</v>
      </c>
      <c r="BF55">
        <v>8.4683233510342112E-2</v>
      </c>
      <c r="BG55">
        <v>8.4683233510342112E-2</v>
      </c>
      <c r="BH55">
        <v>0.70659068270196101</v>
      </c>
      <c r="BI55">
        <v>0.66248213507313369</v>
      </c>
      <c r="BJ55">
        <v>-1.2953591037618619</v>
      </c>
      <c r="BK55">
        <v>7.1964740988097034E-2</v>
      </c>
      <c r="BL55">
        <v>0.71108432751744632</v>
      </c>
      <c r="BM55">
        <v>7.1964740988097034E-2</v>
      </c>
      <c r="BN55">
        <v>7.1964740988097034E-2</v>
      </c>
      <c r="BO55">
        <v>0.71108432751744632</v>
      </c>
      <c r="BP55">
        <v>0.53214717951043145</v>
      </c>
      <c r="BQ55">
        <v>-1.136402606567847</v>
      </c>
      <c r="BR55">
        <v>173.64916318760751</v>
      </c>
      <c r="BS55">
        <v>0.50576387075655549</v>
      </c>
      <c r="BT55">
        <v>173.64916318760751</v>
      </c>
      <c r="BU55">
        <v>173.64916318760751</v>
      </c>
      <c r="BV55">
        <v>0.50576387075655549</v>
      </c>
      <c r="BW55">
        <v>455.49992825348988</v>
      </c>
      <c r="BX55">
        <v>-0.29643309117159999</v>
      </c>
      <c r="BY55" t="str">
        <f t="shared" si="1"/>
        <v>[[sv,wv],[yr],[ya]]</v>
      </c>
      <c r="BZ55" t="str">
        <f>SUBSTITUTE(TRIM(MID(SUBSTITUTE(SUBSTITUTE(SUBSTITUTE(Tabla1[[#This Row],[map]],"[",""),"]",""),",",REPT(" ",100)),901,200))," ",", ")</f>
        <v>2, 4</v>
      </c>
      <c r="CA55" t="str">
        <f>SUBSTITUTE(TRIM(MID(SUBSTITUTE(SUBSTITUTE(SUBSTITUTE(Tabla1[[#This Row],[map]],"[",""),"]",""),",",REPT(" ",100)),1501,200))," ",", ")</f>
        <v>3, 2</v>
      </c>
      <c r="CB55" t="str">
        <f>SUBSTITUTE(TRIM(MID(SUBSTITUTE(SUBSTITUTE(SUBSTITUTE(Tabla1[[#This Row],[map]],"[",""),"]",""),",",REPT(" ",100)),601,300))," ",", ")</f>
        <v>3, 0, 1</v>
      </c>
      <c r="CC55" t="str">
        <f>SUBSTITUTE(TRIM(MID(SUBSTITUTE(SUBSTITUTE(SUBSTITUTE(Tabla1[[#This Row],[map]],"[",""),"]",""),",",REPT(" ",100)),1201,300))," ",", ")</f>
        <v>4, 0, 1</v>
      </c>
      <c r="CD55" t="str">
        <f>SUBSTITUTE(TRIM(MID(SUBSTITUTE(SUBSTITUTE(SUBSTITUTE(Tabla1[[#This Row],[map]],"[",""),"]",""),",",REPT(" ",100)),1,300))," ",", ")</f>
        <v>2, 3, 4</v>
      </c>
      <c r="CE55" t="str">
        <f>SUBSTITUTE(TRIM(MID(SUBSTITUTE(SUBSTITUTE(SUBSTITUTE(Tabla1[[#This Row],[map]],"[",""),"]",""),",",REPT(" ",100)),1,600))," ",", ")</f>
        <v>2, 3, 4, 0, 1, -1</v>
      </c>
      <c r="CF55" t="str">
        <f>SUBSTITUTE(TRIM(MID(SUBSTITUTE(SUBSTITUTE(SUBSTITUTE(Tabla1[[#This Row],[map]],"[",""),"]",""),",",REPT(" ",100)),601,600))," ",", ")</f>
        <v>3, 0, 1, 2, 4, -1</v>
      </c>
      <c r="CG55" t="str">
        <f>SUBSTITUTE(TRIM(MID(SUBSTITUTE(SUBSTITUTE(SUBSTITUTE(Tabla1[[#This Row],[map]],"[",""),"]",""),",",REPT(" ",100)),1201,600))," ",", ")</f>
        <v>4, 0, 1, 3, 2, -1</v>
      </c>
    </row>
    <row r="56" spans="1:85" x14ac:dyDescent="0.3">
      <c r="A56" s="1">
        <v>46095.423530092587</v>
      </c>
      <c r="B56" t="s">
        <v>174</v>
      </c>
      <c r="C56">
        <v>2</v>
      </c>
      <c r="D56" t="s">
        <v>96</v>
      </c>
      <c r="E56" t="s">
        <v>78</v>
      </c>
      <c r="F56">
        <v>16590</v>
      </c>
      <c r="G56">
        <v>4.5</v>
      </c>
      <c r="H56" t="s">
        <v>79</v>
      </c>
      <c r="I56" t="s">
        <v>80</v>
      </c>
      <c r="J56">
        <v>5</v>
      </c>
      <c r="K56">
        <v>5</v>
      </c>
      <c r="L56" t="s">
        <v>81</v>
      </c>
      <c r="M56" t="s">
        <v>82</v>
      </c>
      <c r="N56" t="s">
        <v>83</v>
      </c>
      <c r="O56" t="s">
        <v>83</v>
      </c>
      <c r="P56" t="s">
        <v>84</v>
      </c>
      <c r="Q56" t="s">
        <v>171</v>
      </c>
      <c r="R56">
        <v>3</v>
      </c>
      <c r="S56" t="s">
        <v>86</v>
      </c>
      <c r="T56" t="s">
        <v>87</v>
      </c>
      <c r="U56" t="s">
        <v>88</v>
      </c>
      <c r="V56">
        <v>1</v>
      </c>
      <c r="W56" t="s">
        <v>172</v>
      </c>
      <c r="X56" t="s">
        <v>83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180</v>
      </c>
      <c r="AH56">
        <v>60</v>
      </c>
      <c r="AI56">
        <v>120</v>
      </c>
      <c r="AJ56">
        <v>0.1125724794496941</v>
      </c>
      <c r="AK56">
        <v>40.201964530737087</v>
      </c>
      <c r="AL56">
        <v>0.68308464872112873</v>
      </c>
      <c r="AM56">
        <v>4.1618429319300182E-2</v>
      </c>
      <c r="AN56">
        <v>48.913583930994712</v>
      </c>
      <c r="AO56">
        <v>0.62625203460148127</v>
      </c>
      <c r="AP56">
        <v>48.913583930994712</v>
      </c>
      <c r="AQ56">
        <v>48.913583930994712</v>
      </c>
      <c r="AR56">
        <v>0.62625203460148127</v>
      </c>
      <c r="AS56">
        <v>93.058833209436358</v>
      </c>
      <c r="AT56">
        <v>-1.814188511189049E-2</v>
      </c>
      <c r="AU56">
        <v>0.8</v>
      </c>
      <c r="AV56" t="s">
        <v>93</v>
      </c>
      <c r="AW56">
        <v>5.386218017044473E-2</v>
      </c>
      <c r="AX56">
        <v>0.60889093039696651</v>
      </c>
      <c r="AY56">
        <v>5.386218017044473E-2</v>
      </c>
      <c r="AZ56">
        <v>5.386218017044473E-2</v>
      </c>
      <c r="BA56">
        <v>0.60889093039696651</v>
      </c>
      <c r="BB56">
        <v>0.121751382913656</v>
      </c>
      <c r="BC56">
        <v>0.1159275405570812</v>
      </c>
      <c r="BD56">
        <v>7.6600499964598945E-2</v>
      </c>
      <c r="BE56">
        <v>0.73459562811147749</v>
      </c>
      <c r="BF56">
        <v>7.6600499964598945E-2</v>
      </c>
      <c r="BG56">
        <v>7.6600499964598945E-2</v>
      </c>
      <c r="BH56">
        <v>0.73459562811147749</v>
      </c>
      <c r="BI56">
        <v>0.29552556521834189</v>
      </c>
      <c r="BJ56">
        <v>-2.393296453708427E-2</v>
      </c>
      <c r="BK56">
        <v>7.0287744458478851E-2</v>
      </c>
      <c r="BL56">
        <v>0.71781693814666658</v>
      </c>
      <c r="BM56">
        <v>7.0287744458478851E-2</v>
      </c>
      <c r="BN56">
        <v>7.0287744458478851E-2</v>
      </c>
      <c r="BO56">
        <v>0.71781693814666658</v>
      </c>
      <c r="BP56">
        <v>0.27575951903281842</v>
      </c>
      <c r="BQ56">
        <v>-0.10708724565561779</v>
      </c>
      <c r="BR56">
        <v>195.45358529938491</v>
      </c>
      <c r="BS56">
        <v>0.44370464175081448</v>
      </c>
      <c r="BT56">
        <v>195.45358529938491</v>
      </c>
      <c r="BU56">
        <v>195.45358529938491</v>
      </c>
      <c r="BV56">
        <v>0.44370464175081448</v>
      </c>
      <c r="BW56">
        <v>371.54229637057921</v>
      </c>
      <c r="BX56">
        <v>-5.7474870811934357E-2</v>
      </c>
      <c r="BY56" t="str">
        <f t="shared" si="1"/>
        <v>[[sv,wv],[yr],[ya]]</v>
      </c>
      <c r="BZ56" t="str">
        <f>SUBSTITUTE(TRIM(MID(SUBSTITUTE(SUBSTITUTE(SUBSTITUTE(Tabla1[[#This Row],[map]],"[",""),"]",""),",",REPT(" ",100)),901,200))," ",", ")</f>
        <v>2, 4</v>
      </c>
      <c r="CA56" t="str">
        <f>SUBSTITUTE(TRIM(MID(SUBSTITUTE(SUBSTITUTE(SUBSTITUTE(Tabla1[[#This Row],[map]],"[",""),"]",""),",",REPT(" ",100)),1501,200))," ",", ")</f>
        <v>3, 2</v>
      </c>
      <c r="CB56" t="str">
        <f>SUBSTITUTE(TRIM(MID(SUBSTITUTE(SUBSTITUTE(SUBSTITUTE(Tabla1[[#This Row],[map]],"[",""),"]",""),",",REPT(" ",100)),601,300))," ",", ")</f>
        <v>3, 0, 1</v>
      </c>
      <c r="CC56" t="str">
        <f>SUBSTITUTE(TRIM(MID(SUBSTITUTE(SUBSTITUTE(SUBSTITUTE(Tabla1[[#This Row],[map]],"[",""),"]",""),",",REPT(" ",100)),1201,300))," ",", ")</f>
        <v>4, 0, 1</v>
      </c>
      <c r="CD56" t="str">
        <f>SUBSTITUTE(TRIM(MID(SUBSTITUTE(SUBSTITUTE(SUBSTITUTE(Tabla1[[#This Row],[map]],"[",""),"]",""),",",REPT(" ",100)),1,300))," ",", ")</f>
        <v>2, 3, 4</v>
      </c>
      <c r="CE56" t="str">
        <f>SUBSTITUTE(TRIM(MID(SUBSTITUTE(SUBSTITUTE(SUBSTITUTE(Tabla1[[#This Row],[map]],"[",""),"]",""),",",REPT(" ",100)),1,600))," ",", ")</f>
        <v>2, 3, 4, 0, 1, -1</v>
      </c>
      <c r="CF56" t="str">
        <f>SUBSTITUTE(TRIM(MID(SUBSTITUTE(SUBSTITUTE(SUBSTITUTE(Tabla1[[#This Row],[map]],"[",""),"]",""),",",REPT(" ",100)),601,600))," ",", ")</f>
        <v>3, 0, 1, 2, 4, -1</v>
      </c>
      <c r="CG56" t="str">
        <f>SUBSTITUTE(TRIM(MID(SUBSTITUTE(SUBSTITUTE(SUBSTITUTE(Tabla1[[#This Row],[map]],"[",""),"]",""),",",REPT(" ",100)),1201,600))," ",", ")</f>
        <v>4, 0, 1, 3, 2, -1</v>
      </c>
    </row>
    <row r="57" spans="1:85" x14ac:dyDescent="0.3">
      <c r="A57" s="1">
        <v>46095.428391203714</v>
      </c>
      <c r="B57" t="s">
        <v>175</v>
      </c>
      <c r="C57">
        <v>3</v>
      </c>
      <c r="D57" t="s">
        <v>96</v>
      </c>
      <c r="E57" t="s">
        <v>78</v>
      </c>
      <c r="F57">
        <v>16590</v>
      </c>
      <c r="G57">
        <v>4.5</v>
      </c>
      <c r="H57" t="s">
        <v>79</v>
      </c>
      <c r="I57" t="s">
        <v>80</v>
      </c>
      <c r="J57">
        <v>5</v>
      </c>
      <c r="K57">
        <v>5</v>
      </c>
      <c r="L57" t="s">
        <v>81</v>
      </c>
      <c r="M57" t="s">
        <v>82</v>
      </c>
      <c r="N57" t="s">
        <v>83</v>
      </c>
      <c r="O57" t="s">
        <v>83</v>
      </c>
      <c r="P57" t="s">
        <v>84</v>
      </c>
      <c r="Q57" t="s">
        <v>171</v>
      </c>
      <c r="R57">
        <v>3</v>
      </c>
      <c r="S57" t="s">
        <v>86</v>
      </c>
      <c r="T57" t="s">
        <v>87</v>
      </c>
      <c r="U57" t="s">
        <v>88</v>
      </c>
      <c r="V57">
        <v>1</v>
      </c>
      <c r="W57" t="s">
        <v>172</v>
      </c>
      <c r="X57" t="s">
        <v>83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180</v>
      </c>
      <c r="AH57">
        <v>60</v>
      </c>
      <c r="AI57">
        <v>120</v>
      </c>
      <c r="AJ57">
        <v>0.13579535344292029</v>
      </c>
      <c r="AK57">
        <v>54.789367766230768</v>
      </c>
      <c r="AL57">
        <v>0.59438291354255146</v>
      </c>
      <c r="AM57">
        <v>4.4578541921015263E-2</v>
      </c>
      <c r="AN57">
        <v>60.110371528024928</v>
      </c>
      <c r="AO57">
        <v>0.54003240924289275</v>
      </c>
      <c r="AP57">
        <v>60.110371528024928</v>
      </c>
      <c r="AQ57">
        <v>60.110371528024928</v>
      </c>
      <c r="AR57">
        <v>0.54003240924289275</v>
      </c>
      <c r="AS57">
        <v>90.747415175746752</v>
      </c>
      <c r="AT57">
        <v>4.4858364907230143E-2</v>
      </c>
      <c r="AU57">
        <v>0.8</v>
      </c>
      <c r="AV57" t="s">
        <v>93</v>
      </c>
      <c r="AW57">
        <v>7.6316085721489804E-2</v>
      </c>
      <c r="AX57">
        <v>0.44584654412753633</v>
      </c>
      <c r="AY57">
        <v>7.6316085721489804E-2</v>
      </c>
      <c r="AZ57">
        <v>7.6316085721489804E-2</v>
      </c>
      <c r="BA57">
        <v>0.44584654412753633</v>
      </c>
      <c r="BB57">
        <v>0.13922083823290721</v>
      </c>
      <c r="BC57">
        <v>-1.092329234205169E-2</v>
      </c>
      <c r="BD57">
        <v>6.4037492881704225E-2</v>
      </c>
      <c r="BE57">
        <v>0.77812376442139286</v>
      </c>
      <c r="BF57">
        <v>6.4037492881704225E-2</v>
      </c>
      <c r="BG57">
        <v>6.4037492881704225E-2</v>
      </c>
      <c r="BH57">
        <v>0.77812376442139286</v>
      </c>
      <c r="BI57">
        <v>0.26083432079704061</v>
      </c>
      <c r="BJ57">
        <v>9.6264787956982789E-2</v>
      </c>
      <c r="BK57">
        <v>9.4695083269126012E-2</v>
      </c>
      <c r="BL57">
        <v>0.6198291929096762</v>
      </c>
      <c r="BM57">
        <v>9.4695083269126012E-2</v>
      </c>
      <c r="BN57">
        <v>9.4695083269126012E-2</v>
      </c>
      <c r="BO57">
        <v>0.6198291929096762</v>
      </c>
      <c r="BP57">
        <v>0.2178338720577741</v>
      </c>
      <c r="BQ57">
        <v>0.12546590495670801</v>
      </c>
      <c r="BR57">
        <v>240.20643745022869</v>
      </c>
      <c r="BS57">
        <v>0.31633013551296513</v>
      </c>
      <c r="BT57">
        <v>240.20643745022869</v>
      </c>
      <c r="BU57">
        <v>240.20643745022869</v>
      </c>
      <c r="BV57">
        <v>0.31633013551296513</v>
      </c>
      <c r="BW57">
        <v>362.37177167189901</v>
      </c>
      <c r="BX57">
        <v>-3.13739409427225E-2</v>
      </c>
      <c r="BY57" t="str">
        <f t="shared" si="1"/>
        <v>[[sv,wv],[yr],[ya]]</v>
      </c>
      <c r="BZ57" t="str">
        <f>SUBSTITUTE(TRIM(MID(SUBSTITUTE(SUBSTITUTE(SUBSTITUTE(Tabla1[[#This Row],[map]],"[",""),"]",""),",",REPT(" ",100)),901,200))," ",", ")</f>
        <v>2, 4</v>
      </c>
      <c r="CA57" t="str">
        <f>SUBSTITUTE(TRIM(MID(SUBSTITUTE(SUBSTITUTE(SUBSTITUTE(Tabla1[[#This Row],[map]],"[",""),"]",""),",",REPT(" ",100)),1501,200))," ",", ")</f>
        <v>3, 2</v>
      </c>
      <c r="CB57" t="str">
        <f>SUBSTITUTE(TRIM(MID(SUBSTITUTE(SUBSTITUTE(SUBSTITUTE(Tabla1[[#This Row],[map]],"[",""),"]",""),",",REPT(" ",100)),601,300))," ",", ")</f>
        <v>3, 0, 1</v>
      </c>
      <c r="CC57" t="str">
        <f>SUBSTITUTE(TRIM(MID(SUBSTITUTE(SUBSTITUTE(SUBSTITUTE(Tabla1[[#This Row],[map]],"[",""),"]",""),",",REPT(" ",100)),1201,300))," ",", ")</f>
        <v>4, 0, 1</v>
      </c>
      <c r="CD57" t="str">
        <f>SUBSTITUTE(TRIM(MID(SUBSTITUTE(SUBSTITUTE(SUBSTITUTE(Tabla1[[#This Row],[map]],"[",""),"]",""),",",REPT(" ",100)),1,300))," ",", ")</f>
        <v>2, 3, 4</v>
      </c>
      <c r="CE57" t="str">
        <f>SUBSTITUTE(TRIM(MID(SUBSTITUTE(SUBSTITUTE(SUBSTITUTE(Tabla1[[#This Row],[map]],"[",""),"]",""),",",REPT(" ",100)),1,600))," ",", ")</f>
        <v>2, 3, 4, 0, 1, -1</v>
      </c>
      <c r="CF57" t="str">
        <f>SUBSTITUTE(TRIM(MID(SUBSTITUTE(SUBSTITUTE(SUBSTITUTE(Tabla1[[#This Row],[map]],"[",""),"]",""),",",REPT(" ",100)),601,600))," ",", ")</f>
        <v>3, 0, 1, 2, 4, -1</v>
      </c>
      <c r="CG57" t="str">
        <f>SUBSTITUTE(TRIM(MID(SUBSTITUTE(SUBSTITUTE(SUBSTITUTE(Tabla1[[#This Row],[map]],"[",""),"]",""),",",REPT(" ",100)),1201,600))," ",", ")</f>
        <v>4, 0, 1, 3, 2, -1</v>
      </c>
    </row>
    <row r="58" spans="1:85" x14ac:dyDescent="0.3">
      <c r="A58" s="1">
        <v>46095.557314814818</v>
      </c>
      <c r="B58" t="s">
        <v>176</v>
      </c>
      <c r="C58">
        <v>0</v>
      </c>
      <c r="D58" t="s">
        <v>96</v>
      </c>
      <c r="E58" t="s">
        <v>78</v>
      </c>
      <c r="F58">
        <v>16590</v>
      </c>
      <c r="G58">
        <v>4.5</v>
      </c>
      <c r="H58" t="s">
        <v>79</v>
      </c>
      <c r="I58" t="s">
        <v>80</v>
      </c>
      <c r="J58">
        <v>5</v>
      </c>
      <c r="K58">
        <v>5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177</v>
      </c>
      <c r="R58">
        <v>3</v>
      </c>
      <c r="S58" t="s">
        <v>86</v>
      </c>
      <c r="T58" t="s">
        <v>87</v>
      </c>
      <c r="U58" t="s">
        <v>88</v>
      </c>
      <c r="V58">
        <v>1</v>
      </c>
      <c r="W58" t="s">
        <v>178</v>
      </c>
      <c r="X58" t="s">
        <v>83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180</v>
      </c>
      <c r="AH58">
        <v>60</v>
      </c>
      <c r="AI58">
        <v>120</v>
      </c>
      <c r="AJ58">
        <v>0.11374170177377101</v>
      </c>
      <c r="AK58">
        <v>19.770409738525519</v>
      </c>
      <c r="AL58">
        <v>0.70313414026650978</v>
      </c>
      <c r="AM58">
        <v>-0.28083623645757883</v>
      </c>
      <c r="AN58">
        <v>21.955466922655539</v>
      </c>
      <c r="AO58">
        <v>0.64999339860313732</v>
      </c>
      <c r="AP58">
        <v>21.955466922655539</v>
      </c>
      <c r="AQ58">
        <v>21.955466922655539</v>
      </c>
      <c r="AR58">
        <v>0.64999339860313732</v>
      </c>
      <c r="AS58">
        <v>122.00943541395451</v>
      </c>
      <c r="AT58">
        <v>-0.2601225081706845</v>
      </c>
      <c r="AU58">
        <v>0.8</v>
      </c>
      <c r="AV58" t="s">
        <v>93</v>
      </c>
      <c r="AW58">
        <v>5.9266513668335262E-2</v>
      </c>
      <c r="AX58">
        <v>0.56964848162315518</v>
      </c>
      <c r="AY58">
        <v>5.9266513668335262E-2</v>
      </c>
      <c r="AZ58">
        <v>5.9266513668335262E-2</v>
      </c>
      <c r="BA58">
        <v>0.56964848162315518</v>
      </c>
      <c r="BB58">
        <v>0.15291187339766851</v>
      </c>
      <c r="BC58">
        <v>-0.11033790957899831</v>
      </c>
      <c r="BD58">
        <v>6.2295600158305597E-2</v>
      </c>
      <c r="BE58">
        <v>0.78415905067101854</v>
      </c>
      <c r="BF58">
        <v>6.2295600158305597E-2</v>
      </c>
      <c r="BG58">
        <v>6.2295600158305597E-2</v>
      </c>
      <c r="BH58">
        <v>0.78415905067101854</v>
      </c>
      <c r="BI58">
        <v>0.35875023124539568</v>
      </c>
      <c r="BJ58">
        <v>-0.2429929286695218</v>
      </c>
      <c r="BK58">
        <v>0.12568390561435749</v>
      </c>
      <c r="BL58">
        <v>0.49541887301710852</v>
      </c>
      <c r="BM58">
        <v>0.12568390561435749</v>
      </c>
      <c r="BN58">
        <v>0.12568390561435749</v>
      </c>
      <c r="BO58">
        <v>0.49541887301710852</v>
      </c>
      <c r="BP58">
        <v>0.32393486128096349</v>
      </c>
      <c r="BQ58">
        <v>-0.3004960068294007</v>
      </c>
      <c r="BR58">
        <v>87.574621671181191</v>
      </c>
      <c r="BS58">
        <v>0.7507471891012687</v>
      </c>
      <c r="BT58">
        <v>87.574621671181191</v>
      </c>
      <c r="BU58">
        <v>87.574621671181191</v>
      </c>
      <c r="BV58">
        <v>0.7507471891012687</v>
      </c>
      <c r="BW58">
        <v>487.20214468989508</v>
      </c>
      <c r="BX58">
        <v>-0.38666318760482588</v>
      </c>
      <c r="BY58" t="str">
        <f t="shared" si="1"/>
        <v>[[sv,wv],[yr],[ya]]</v>
      </c>
      <c r="BZ58" t="str">
        <f>SUBSTITUTE(TRIM(MID(SUBSTITUTE(SUBSTITUTE(SUBSTITUTE(Tabla1[[#This Row],[map]],"[",""),"]",""),",",REPT(" ",100)),901,200))," ",", ")</f>
        <v>2, 4</v>
      </c>
      <c r="CA58" t="str">
        <f>SUBSTITUTE(TRIM(MID(SUBSTITUTE(SUBSTITUTE(SUBSTITUTE(Tabla1[[#This Row],[map]],"[",""),"]",""),",",REPT(" ",100)),1501,200))," ",", ")</f>
        <v>3, 4</v>
      </c>
      <c r="CB58" t="str">
        <f>SUBSTITUTE(TRIM(MID(SUBSTITUTE(SUBSTITUTE(SUBSTITUTE(Tabla1[[#This Row],[map]],"[",""),"]",""),",",REPT(" ",100)),601,300))," ",", ")</f>
        <v>3, 0, 1</v>
      </c>
      <c r="CC58" t="str">
        <f>SUBSTITUTE(TRIM(MID(SUBSTITUTE(SUBSTITUTE(SUBSTITUTE(Tabla1[[#This Row],[map]],"[",""),"]",""),",",REPT(" ",100)),1201,300))," ",", ")</f>
        <v>0, 1, 2</v>
      </c>
      <c r="CD58" t="str">
        <f>SUBSTITUTE(TRIM(MID(SUBSTITUTE(SUBSTITUTE(SUBSTITUTE(Tabla1[[#This Row],[map]],"[",""),"]",""),",",REPT(" ",100)),1,300))," ",", ")</f>
        <v>2, 3, 4</v>
      </c>
      <c r="CE58" t="str">
        <f>SUBSTITUTE(TRIM(MID(SUBSTITUTE(SUBSTITUTE(SUBSTITUTE(Tabla1[[#This Row],[map]],"[",""),"]",""),",",REPT(" ",100)),1,600))," ",", ")</f>
        <v>2, 3, 4, 0, 1, -1</v>
      </c>
      <c r="CF58" t="str">
        <f>SUBSTITUTE(TRIM(MID(SUBSTITUTE(SUBSTITUTE(SUBSTITUTE(Tabla1[[#This Row],[map]],"[",""),"]",""),",",REPT(" ",100)),601,600))," ",", ")</f>
        <v>3, 0, 1, 2, 4, -1</v>
      </c>
      <c r="CG58" t="str">
        <f>SUBSTITUTE(TRIM(MID(SUBSTITUTE(SUBSTITUTE(SUBSTITUTE(Tabla1[[#This Row],[map]],"[",""),"]",""),",",REPT(" ",100)),1201,600))," ",", ")</f>
        <v>0, 1, 2, 3, 4, -1</v>
      </c>
    </row>
    <row r="59" spans="1:85" x14ac:dyDescent="0.3">
      <c r="A59" s="1">
        <v>46095.564166666663</v>
      </c>
      <c r="B59" t="s">
        <v>179</v>
      </c>
      <c r="C59">
        <v>1</v>
      </c>
      <c r="D59" t="s">
        <v>77</v>
      </c>
      <c r="E59" t="s">
        <v>78</v>
      </c>
      <c r="F59">
        <v>16590</v>
      </c>
      <c r="G59">
        <v>4.5</v>
      </c>
      <c r="H59" t="s">
        <v>79</v>
      </c>
      <c r="I59" t="s">
        <v>80</v>
      </c>
      <c r="J59">
        <v>5</v>
      </c>
      <c r="K59">
        <v>5</v>
      </c>
      <c r="L59" t="s">
        <v>81</v>
      </c>
      <c r="M59" t="s">
        <v>82</v>
      </c>
      <c r="N59" t="s">
        <v>83</v>
      </c>
      <c r="O59" t="s">
        <v>83</v>
      </c>
      <c r="P59" t="s">
        <v>84</v>
      </c>
      <c r="Q59" t="s">
        <v>177</v>
      </c>
      <c r="R59">
        <v>3</v>
      </c>
      <c r="S59" t="s">
        <v>86</v>
      </c>
      <c r="T59" t="s">
        <v>87</v>
      </c>
      <c r="U59" t="s">
        <v>88</v>
      </c>
      <c r="V59">
        <v>1</v>
      </c>
      <c r="W59" t="s">
        <v>178</v>
      </c>
      <c r="X59" t="s">
        <v>83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180</v>
      </c>
      <c r="AH59">
        <v>60</v>
      </c>
      <c r="AI59">
        <v>120</v>
      </c>
      <c r="AJ59">
        <v>0.1140911456638742</v>
      </c>
      <c r="AK59">
        <v>27.559139954291659</v>
      </c>
      <c r="AL59">
        <v>0.73608146042678024</v>
      </c>
      <c r="AM59">
        <v>-0.77896245213445625</v>
      </c>
      <c r="AN59">
        <v>33.222008152172258</v>
      </c>
      <c r="AO59">
        <v>0.6564272606790742</v>
      </c>
      <c r="AP59">
        <v>33.222008152172258</v>
      </c>
      <c r="AQ59">
        <v>33.222008152172258</v>
      </c>
      <c r="AR59">
        <v>0.6564272606790742</v>
      </c>
      <c r="AS59">
        <v>121.9540810074766</v>
      </c>
      <c r="AT59">
        <v>-0.60608643446192567</v>
      </c>
      <c r="AU59">
        <v>0.8</v>
      </c>
      <c r="AV59" t="s">
        <v>93</v>
      </c>
      <c r="AW59">
        <v>6.2400776776267382E-2</v>
      </c>
      <c r="AX59">
        <v>0.54688967898732921</v>
      </c>
      <c r="AY59">
        <v>6.2400776776267382E-2</v>
      </c>
      <c r="AZ59">
        <v>6.2400776776267382E-2</v>
      </c>
      <c r="BA59">
        <v>0.54688967898732921</v>
      </c>
      <c r="BB59">
        <v>0.23508198208901751</v>
      </c>
      <c r="BC59">
        <v>-0.70699914122160679</v>
      </c>
      <c r="BD59">
        <v>7.4755760623460552E-2</v>
      </c>
      <c r="BE59">
        <v>0.74098725592538406</v>
      </c>
      <c r="BF59">
        <v>7.4755760623460552E-2</v>
      </c>
      <c r="BG59">
        <v>7.4755760623460552E-2</v>
      </c>
      <c r="BH59">
        <v>0.74098725592538406</v>
      </c>
      <c r="BI59">
        <v>0.54185970278050266</v>
      </c>
      <c r="BJ59">
        <v>-0.87742813864953551</v>
      </c>
      <c r="BK59">
        <v>7.0874130887673997E-2</v>
      </c>
      <c r="BL59">
        <v>0.7154627821085926</v>
      </c>
      <c r="BM59">
        <v>7.0874130887673997E-2</v>
      </c>
      <c r="BN59">
        <v>7.0874130887673997E-2</v>
      </c>
      <c r="BO59">
        <v>0.7154627821085926</v>
      </c>
      <c r="BP59">
        <v>0.36235727713095811</v>
      </c>
      <c r="BQ59">
        <v>-0.45474985338380702</v>
      </c>
      <c r="BR59">
        <v>132.68000194040181</v>
      </c>
      <c r="BS59">
        <v>0.62236932569499015</v>
      </c>
      <c r="BT59">
        <v>132.68000194040181</v>
      </c>
      <c r="BU59">
        <v>132.68000194040181</v>
      </c>
      <c r="BV59">
        <v>0.62236932569499015</v>
      </c>
      <c r="BW59">
        <v>486.6770250679055</v>
      </c>
      <c r="BX59">
        <v>-0.38516860459274688</v>
      </c>
      <c r="BY59" t="str">
        <f t="shared" si="1"/>
        <v>[[sv,wv],[yr],[ya]]</v>
      </c>
      <c r="BZ59" t="str">
        <f>SUBSTITUTE(TRIM(MID(SUBSTITUTE(SUBSTITUTE(SUBSTITUTE(Tabla1[[#This Row],[map]],"[",""),"]",""),",",REPT(" ",100)),901,200))," ",", ")</f>
        <v>2, 4</v>
      </c>
      <c r="CA59" t="str">
        <f>SUBSTITUTE(TRIM(MID(SUBSTITUTE(SUBSTITUTE(SUBSTITUTE(Tabla1[[#This Row],[map]],"[",""),"]",""),",",REPT(" ",100)),1501,200))," ",", ")</f>
        <v>3, 4</v>
      </c>
      <c r="CB59" t="str">
        <f>SUBSTITUTE(TRIM(MID(SUBSTITUTE(SUBSTITUTE(SUBSTITUTE(Tabla1[[#This Row],[map]],"[",""),"]",""),",",REPT(" ",100)),601,300))," ",", ")</f>
        <v>3, 0, 1</v>
      </c>
      <c r="CC59" t="str">
        <f>SUBSTITUTE(TRIM(MID(SUBSTITUTE(SUBSTITUTE(SUBSTITUTE(Tabla1[[#This Row],[map]],"[",""),"]",""),",",REPT(" ",100)),1201,300))," ",", ")</f>
        <v>0, 1, 2</v>
      </c>
      <c r="CD59" t="str">
        <f>SUBSTITUTE(TRIM(MID(SUBSTITUTE(SUBSTITUTE(SUBSTITUTE(Tabla1[[#This Row],[map]],"[",""),"]",""),",",REPT(" ",100)),1,300))," ",", ")</f>
        <v>2, 3, 4</v>
      </c>
      <c r="CE59" t="str">
        <f>SUBSTITUTE(TRIM(MID(SUBSTITUTE(SUBSTITUTE(SUBSTITUTE(Tabla1[[#This Row],[map]],"[",""),"]",""),",",REPT(" ",100)),1,600))," ",", ")</f>
        <v>2, 3, 4, 0, 1, -1</v>
      </c>
      <c r="CF59" t="str">
        <f>SUBSTITUTE(TRIM(MID(SUBSTITUTE(SUBSTITUTE(SUBSTITUTE(Tabla1[[#This Row],[map]],"[",""),"]",""),",",REPT(" ",100)),601,600))," ",", ")</f>
        <v>3, 0, 1, 2, 4, -1</v>
      </c>
      <c r="CG59" t="str">
        <f>SUBSTITUTE(TRIM(MID(SUBSTITUTE(SUBSTITUTE(SUBSTITUTE(Tabla1[[#This Row],[map]],"[",""),"]",""),",",REPT(" ",100)),1201,600))," ",", ")</f>
        <v>0, 1, 2, 3, 4, -1</v>
      </c>
    </row>
    <row r="60" spans="1:85" x14ac:dyDescent="0.3">
      <c r="A60" s="1">
        <v>46095.569490740738</v>
      </c>
      <c r="B60" t="s">
        <v>180</v>
      </c>
      <c r="C60">
        <v>2</v>
      </c>
      <c r="D60" t="s">
        <v>77</v>
      </c>
      <c r="E60" t="s">
        <v>78</v>
      </c>
      <c r="F60">
        <v>16590</v>
      </c>
      <c r="G60">
        <v>4.5</v>
      </c>
      <c r="H60" t="s">
        <v>79</v>
      </c>
      <c r="I60" t="s">
        <v>80</v>
      </c>
      <c r="J60">
        <v>5</v>
      </c>
      <c r="K60">
        <v>5</v>
      </c>
      <c r="L60" t="s">
        <v>81</v>
      </c>
      <c r="M60" t="s">
        <v>82</v>
      </c>
      <c r="N60" t="s">
        <v>83</v>
      </c>
      <c r="O60" t="s">
        <v>83</v>
      </c>
      <c r="P60" t="s">
        <v>84</v>
      </c>
      <c r="Q60" t="s">
        <v>177</v>
      </c>
      <c r="R60">
        <v>3</v>
      </c>
      <c r="S60" t="s">
        <v>86</v>
      </c>
      <c r="T60" t="s">
        <v>87</v>
      </c>
      <c r="U60" t="s">
        <v>88</v>
      </c>
      <c r="V60">
        <v>1</v>
      </c>
      <c r="W60" t="s">
        <v>178</v>
      </c>
      <c r="X60" t="s">
        <v>83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180</v>
      </c>
      <c r="AH60">
        <v>60</v>
      </c>
      <c r="AI60">
        <v>120</v>
      </c>
      <c r="AJ60">
        <v>9.9590445534814456E-2</v>
      </c>
      <c r="AK60">
        <v>20.646029372454919</v>
      </c>
      <c r="AL60">
        <v>0.73505729922090879</v>
      </c>
      <c r="AM60">
        <v>-0.33845529525220291</v>
      </c>
      <c r="AN60">
        <v>27.269079489686579</v>
      </c>
      <c r="AO60">
        <v>0.67867633407468198</v>
      </c>
      <c r="AP60">
        <v>27.269079489686579</v>
      </c>
      <c r="AQ60">
        <v>27.269079489686579</v>
      </c>
      <c r="AR60">
        <v>0.67867633407468198</v>
      </c>
      <c r="AS60">
        <v>120.4282733638278</v>
      </c>
      <c r="AT60">
        <v>-0.27495058032390601</v>
      </c>
      <c r="AU60">
        <v>0.8</v>
      </c>
      <c r="AV60" t="s">
        <v>93</v>
      </c>
      <c r="AW60">
        <v>5.4020866742041998E-2</v>
      </c>
      <c r="AX60">
        <v>0.60773866071201299</v>
      </c>
      <c r="AY60">
        <v>5.4020866742041998E-2</v>
      </c>
      <c r="AZ60">
        <v>5.4020866742041998E-2</v>
      </c>
      <c r="BA60">
        <v>0.60773866071201299</v>
      </c>
      <c r="BB60">
        <v>0.1729018462167258</v>
      </c>
      <c r="BC60">
        <v>-0.25549095845133979</v>
      </c>
      <c r="BD60">
        <v>8.3666862807391218E-2</v>
      </c>
      <c r="BE60">
        <v>0.71011219010918736</v>
      </c>
      <c r="BF60">
        <v>8.3666862807391218E-2</v>
      </c>
      <c r="BG60">
        <v>8.3666862807391218E-2</v>
      </c>
      <c r="BH60">
        <v>0.71011219010918736</v>
      </c>
      <c r="BI60">
        <v>0.33812015350597791</v>
      </c>
      <c r="BJ60">
        <v>-0.1715141155159263</v>
      </c>
      <c r="BK60">
        <v>7.3055543160509509E-2</v>
      </c>
      <c r="BL60">
        <v>0.70670510181801527</v>
      </c>
      <c r="BM60">
        <v>7.3055543160509509E-2</v>
      </c>
      <c r="BN60">
        <v>7.3055543160509509E-2</v>
      </c>
      <c r="BO60">
        <v>0.70670510181801527</v>
      </c>
      <c r="BP60">
        <v>0.32484150186853672</v>
      </c>
      <c r="BQ60">
        <v>-0.30413588201636221</v>
      </c>
      <c r="BR60">
        <v>108.86557468603679</v>
      </c>
      <c r="BS60">
        <v>0.69014938365951317</v>
      </c>
      <c r="BT60">
        <v>108.86557468603679</v>
      </c>
      <c r="BU60">
        <v>108.86557468603679</v>
      </c>
      <c r="BV60">
        <v>0.69014938365951317</v>
      </c>
      <c r="BW60">
        <v>480.87722995372047</v>
      </c>
      <c r="BX60">
        <v>-0.368661365311997</v>
      </c>
      <c r="BY60" t="str">
        <f t="shared" si="1"/>
        <v>[[sv,wv],[yr],[ya]]</v>
      </c>
      <c r="BZ60" t="str">
        <f>SUBSTITUTE(TRIM(MID(SUBSTITUTE(SUBSTITUTE(SUBSTITUTE(Tabla1[[#This Row],[map]],"[",""),"]",""),",",REPT(" ",100)),901,200))," ",", ")</f>
        <v>2, 4</v>
      </c>
      <c r="CA60" t="str">
        <f>SUBSTITUTE(TRIM(MID(SUBSTITUTE(SUBSTITUTE(SUBSTITUTE(Tabla1[[#This Row],[map]],"[",""),"]",""),",",REPT(" ",100)),1501,200))," ",", ")</f>
        <v>3, 4</v>
      </c>
      <c r="CB60" t="str">
        <f>SUBSTITUTE(TRIM(MID(SUBSTITUTE(SUBSTITUTE(SUBSTITUTE(Tabla1[[#This Row],[map]],"[",""),"]",""),",",REPT(" ",100)),601,300))," ",", ")</f>
        <v>3, 0, 1</v>
      </c>
      <c r="CC60" t="str">
        <f>SUBSTITUTE(TRIM(MID(SUBSTITUTE(SUBSTITUTE(SUBSTITUTE(Tabla1[[#This Row],[map]],"[",""),"]",""),",",REPT(" ",100)),1201,300))," ",", ")</f>
        <v>0, 1, 2</v>
      </c>
      <c r="CD60" t="str">
        <f>SUBSTITUTE(TRIM(MID(SUBSTITUTE(SUBSTITUTE(SUBSTITUTE(Tabla1[[#This Row],[map]],"[",""),"]",""),",",REPT(" ",100)),1,300))," ",", ")</f>
        <v>2, 3, 4</v>
      </c>
      <c r="CE60" t="str">
        <f>SUBSTITUTE(TRIM(MID(SUBSTITUTE(SUBSTITUTE(SUBSTITUTE(Tabla1[[#This Row],[map]],"[",""),"]",""),",",REPT(" ",100)),1,600))," ",", ")</f>
        <v>2, 3, 4, 0, 1, -1</v>
      </c>
      <c r="CF60" t="str">
        <f>SUBSTITUTE(TRIM(MID(SUBSTITUTE(SUBSTITUTE(SUBSTITUTE(Tabla1[[#This Row],[map]],"[",""),"]",""),",",REPT(" ",100)),601,600))," ",", ")</f>
        <v>3, 0, 1, 2, 4, -1</v>
      </c>
      <c r="CG60" t="str">
        <f>SUBSTITUTE(TRIM(MID(SUBSTITUTE(SUBSTITUTE(SUBSTITUTE(Tabla1[[#This Row],[map]],"[",""),"]",""),",",REPT(" ",100)),1201,600))," ",", ")</f>
        <v>0, 1, 2, 3, 4, -1</v>
      </c>
    </row>
    <row r="61" spans="1:85" x14ac:dyDescent="0.3">
      <c r="A61" s="1">
        <v>46095.57402777778</v>
      </c>
      <c r="B61" t="s">
        <v>181</v>
      </c>
      <c r="C61">
        <v>3</v>
      </c>
      <c r="D61" t="s">
        <v>77</v>
      </c>
      <c r="E61" t="s">
        <v>78</v>
      </c>
      <c r="F61">
        <v>16590</v>
      </c>
      <c r="G61">
        <v>4.5</v>
      </c>
      <c r="H61" t="s">
        <v>79</v>
      </c>
      <c r="I61" t="s">
        <v>80</v>
      </c>
      <c r="J61">
        <v>5</v>
      </c>
      <c r="K61">
        <v>5</v>
      </c>
      <c r="L61" t="s">
        <v>81</v>
      </c>
      <c r="M61" t="s">
        <v>82</v>
      </c>
      <c r="N61" t="s">
        <v>83</v>
      </c>
      <c r="O61" t="s">
        <v>83</v>
      </c>
      <c r="P61" t="s">
        <v>84</v>
      </c>
      <c r="Q61" t="s">
        <v>177</v>
      </c>
      <c r="R61">
        <v>3</v>
      </c>
      <c r="S61" t="s">
        <v>86</v>
      </c>
      <c r="T61" t="s">
        <v>87</v>
      </c>
      <c r="U61" t="s">
        <v>88</v>
      </c>
      <c r="V61">
        <v>1</v>
      </c>
      <c r="W61" t="s">
        <v>178</v>
      </c>
      <c r="X61" t="s">
        <v>83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180</v>
      </c>
      <c r="AH61">
        <v>60</v>
      </c>
      <c r="AI61">
        <v>120</v>
      </c>
      <c r="AJ61">
        <v>0.106679868096981</v>
      </c>
      <c r="AK61">
        <v>21.74062835066492</v>
      </c>
      <c r="AL61">
        <v>0.73633787976172593</v>
      </c>
      <c r="AM61">
        <v>-0.2476485840944781</v>
      </c>
      <c r="AN61">
        <v>26.144304869027241</v>
      </c>
      <c r="AO61">
        <v>0.68107573036468039</v>
      </c>
      <c r="AP61">
        <v>26.144304869027241</v>
      </c>
      <c r="AQ61">
        <v>26.144304869027241</v>
      </c>
      <c r="AR61">
        <v>0.68107573036468039</v>
      </c>
      <c r="AS61">
        <v>104.3978467364787</v>
      </c>
      <c r="AT61">
        <v>-0.20755434198192249</v>
      </c>
      <c r="AU61">
        <v>0.8</v>
      </c>
      <c r="AV61" t="s">
        <v>93</v>
      </c>
      <c r="AW61">
        <v>6.640092913267738E-2</v>
      </c>
      <c r="AX61">
        <v>0.51784340084865921</v>
      </c>
      <c r="AY61">
        <v>6.640092913267738E-2</v>
      </c>
      <c r="AZ61">
        <v>6.640092913267738E-2</v>
      </c>
      <c r="BA61">
        <v>0.51784340084865921</v>
      </c>
      <c r="BB61">
        <v>0.16390079748226091</v>
      </c>
      <c r="BC61">
        <v>-0.19013170665633311</v>
      </c>
      <c r="BD61">
        <v>6.0491193529928849E-2</v>
      </c>
      <c r="BE61">
        <v>0.790410934249548</v>
      </c>
      <c r="BF61">
        <v>6.0491193529928849E-2</v>
      </c>
      <c r="BG61">
        <v>6.0491193529928849E-2</v>
      </c>
      <c r="BH61">
        <v>0.790410934249548</v>
      </c>
      <c r="BI61">
        <v>0.35440857113016022</v>
      </c>
      <c r="BJ61">
        <v>-0.22795000367072871</v>
      </c>
      <c r="BK61">
        <v>7.1455378730298585E-2</v>
      </c>
      <c r="BL61">
        <v>0.71312925587025466</v>
      </c>
      <c r="BM61">
        <v>7.1455378730298585E-2</v>
      </c>
      <c r="BN61">
        <v>7.1455378730298585E-2</v>
      </c>
      <c r="BO61">
        <v>0.71312925587025466</v>
      </c>
      <c r="BP61">
        <v>0.30536435004236329</v>
      </c>
      <c r="BQ61">
        <v>-0.2259412780944996</v>
      </c>
      <c r="BR61">
        <v>104.3788719747164</v>
      </c>
      <c r="BS61">
        <v>0.7029193304902579</v>
      </c>
      <c r="BT61">
        <v>104.3788719747164</v>
      </c>
      <c r="BU61">
        <v>104.3788719747164</v>
      </c>
      <c r="BV61">
        <v>0.7029193304902579</v>
      </c>
      <c r="BW61">
        <v>416.76771322725938</v>
      </c>
      <c r="BX61">
        <v>-0.18619437950612891</v>
      </c>
      <c r="BY61" t="str">
        <f t="shared" si="1"/>
        <v>[[sv,wv],[yr],[ya]]</v>
      </c>
      <c r="BZ61" t="str">
        <f>SUBSTITUTE(TRIM(MID(SUBSTITUTE(SUBSTITUTE(SUBSTITUTE(Tabla1[[#This Row],[map]],"[",""),"]",""),",",REPT(" ",100)),901,200))," ",", ")</f>
        <v>2, 4</v>
      </c>
      <c r="CA61" t="str">
        <f>SUBSTITUTE(TRIM(MID(SUBSTITUTE(SUBSTITUTE(SUBSTITUTE(Tabla1[[#This Row],[map]],"[",""),"]",""),",",REPT(" ",100)),1501,200))," ",", ")</f>
        <v>3, 4</v>
      </c>
      <c r="CB61" t="str">
        <f>SUBSTITUTE(TRIM(MID(SUBSTITUTE(SUBSTITUTE(SUBSTITUTE(Tabla1[[#This Row],[map]],"[",""),"]",""),",",REPT(" ",100)),601,300))," ",", ")</f>
        <v>3, 0, 1</v>
      </c>
      <c r="CC61" t="str">
        <f>SUBSTITUTE(TRIM(MID(SUBSTITUTE(SUBSTITUTE(SUBSTITUTE(Tabla1[[#This Row],[map]],"[",""),"]",""),",",REPT(" ",100)),1201,300))," ",", ")</f>
        <v>0, 1, 2</v>
      </c>
      <c r="CD61" t="str">
        <f>SUBSTITUTE(TRIM(MID(SUBSTITUTE(SUBSTITUTE(SUBSTITUTE(Tabla1[[#This Row],[map]],"[",""),"]",""),",",REPT(" ",100)),1,300))," ",", ")</f>
        <v>2, 3, 4</v>
      </c>
      <c r="CE61" t="str">
        <f>SUBSTITUTE(TRIM(MID(SUBSTITUTE(SUBSTITUTE(SUBSTITUTE(Tabla1[[#This Row],[map]],"[",""),"]",""),",",REPT(" ",100)),1,600))," ",", ")</f>
        <v>2, 3, 4, 0, 1, -1</v>
      </c>
      <c r="CF61" t="str">
        <f>SUBSTITUTE(TRIM(MID(SUBSTITUTE(SUBSTITUTE(SUBSTITUTE(Tabla1[[#This Row],[map]],"[",""),"]",""),",",REPT(" ",100)),601,600))," ",", ")</f>
        <v>3, 0, 1, 2, 4, -1</v>
      </c>
      <c r="CG61" t="str">
        <f>SUBSTITUTE(TRIM(MID(SUBSTITUTE(SUBSTITUTE(SUBSTITUTE(Tabla1[[#This Row],[map]],"[",""),"]",""),",",REPT(" ",100)),1201,600))," ",", ")</f>
        <v>0, 1, 2, 3, 4, -1</v>
      </c>
    </row>
    <row r="62" spans="1:85" x14ac:dyDescent="0.3">
      <c r="A62" s="1">
        <v>46095.701527777783</v>
      </c>
      <c r="B62" t="s">
        <v>182</v>
      </c>
      <c r="C62">
        <v>0</v>
      </c>
      <c r="D62" t="s">
        <v>77</v>
      </c>
      <c r="E62" t="s">
        <v>78</v>
      </c>
      <c r="F62">
        <v>16590</v>
      </c>
      <c r="G62">
        <v>4.5</v>
      </c>
      <c r="H62" t="s">
        <v>79</v>
      </c>
      <c r="I62" t="s">
        <v>80</v>
      </c>
      <c r="J62">
        <v>5</v>
      </c>
      <c r="K62">
        <v>5</v>
      </c>
      <c r="L62" t="s">
        <v>81</v>
      </c>
      <c r="M62" t="s">
        <v>82</v>
      </c>
      <c r="N62" t="s">
        <v>83</v>
      </c>
      <c r="O62" t="s">
        <v>83</v>
      </c>
      <c r="P62" t="s">
        <v>84</v>
      </c>
      <c r="Q62" t="s">
        <v>183</v>
      </c>
      <c r="R62">
        <v>3</v>
      </c>
      <c r="S62" t="s">
        <v>86</v>
      </c>
      <c r="T62" t="s">
        <v>87</v>
      </c>
      <c r="U62" t="s">
        <v>88</v>
      </c>
      <c r="V62">
        <v>1</v>
      </c>
      <c r="W62" t="s">
        <v>184</v>
      </c>
      <c r="X62" t="s">
        <v>83</v>
      </c>
      <c r="Y62" t="s">
        <v>90</v>
      </c>
      <c r="Z62">
        <v>4000</v>
      </c>
      <c r="AA62">
        <v>4000</v>
      </c>
      <c r="AC62">
        <v>256</v>
      </c>
      <c r="AD62" t="s">
        <v>91</v>
      </c>
      <c r="AE62">
        <v>0.15</v>
      </c>
      <c r="AF62" t="s">
        <v>92</v>
      </c>
      <c r="AG62">
        <v>180</v>
      </c>
      <c r="AH62">
        <v>60</v>
      </c>
      <c r="AI62">
        <v>120</v>
      </c>
      <c r="AJ62">
        <v>0.1118948728069611</v>
      </c>
      <c r="AK62">
        <v>12.766641885953261</v>
      </c>
      <c r="AL62">
        <v>0.7285006446319422</v>
      </c>
      <c r="AM62">
        <v>-0.13724236416819091</v>
      </c>
      <c r="AN62">
        <v>15.60522991926717</v>
      </c>
      <c r="AO62">
        <v>0.66234501434293591</v>
      </c>
      <c r="AP62">
        <v>15.60522991926717</v>
      </c>
      <c r="AQ62">
        <v>15.60522991926717</v>
      </c>
      <c r="AR62">
        <v>0.66234501434293591</v>
      </c>
      <c r="AS62">
        <v>117.9305395491092</v>
      </c>
      <c r="AT62">
        <v>-0.13744705944477939</v>
      </c>
      <c r="AU62">
        <v>0.8</v>
      </c>
      <c r="AV62" t="s">
        <v>93</v>
      </c>
      <c r="AW62">
        <v>6.533977458968114E-2</v>
      </c>
      <c r="AX62">
        <v>0.52554875485963604</v>
      </c>
      <c r="AY62">
        <v>6.533977458968114E-2</v>
      </c>
      <c r="AZ62">
        <v>6.533977458968114E-2</v>
      </c>
      <c r="BA62">
        <v>0.52554875485963604</v>
      </c>
      <c r="BB62">
        <v>0.1486145210733342</v>
      </c>
      <c r="BC62">
        <v>-7.9133575405962553E-2</v>
      </c>
      <c r="BD62">
        <v>5.69991174799983E-2</v>
      </c>
      <c r="BE62">
        <v>0.80251023191793269</v>
      </c>
      <c r="BF62">
        <v>5.69991174799983E-2</v>
      </c>
      <c r="BG62">
        <v>5.69991174799983E-2</v>
      </c>
      <c r="BH62">
        <v>0.80251023191793269</v>
      </c>
      <c r="BI62">
        <v>0.28753547370978472</v>
      </c>
      <c r="BJ62">
        <v>3.7509960002549692E-3</v>
      </c>
      <c r="BK62">
        <v>0.1249717078007687</v>
      </c>
      <c r="BL62">
        <v>0.49827812196914212</v>
      </c>
      <c r="BM62">
        <v>0.1249717078007687</v>
      </c>
      <c r="BN62">
        <v>0.1249717078007687</v>
      </c>
      <c r="BO62">
        <v>0.49827812196914212</v>
      </c>
      <c r="BP62">
        <v>0.28242484765238718</v>
      </c>
      <c r="BQ62">
        <v>-0.13384643180704761</v>
      </c>
      <c r="BR62">
        <v>62.173609077197668</v>
      </c>
      <c r="BS62">
        <v>0.82304294862503424</v>
      </c>
      <c r="BT62">
        <v>62.173609077197668</v>
      </c>
      <c r="BU62">
        <v>62.173609077197668</v>
      </c>
      <c r="BV62">
        <v>0.82304294862503424</v>
      </c>
      <c r="BW62">
        <v>471.00358335400119</v>
      </c>
      <c r="BX62">
        <v>-0.34055922656635368</v>
      </c>
      <c r="BY62" t="str">
        <f t="shared" si="1"/>
        <v>[[sv,wv],[yr],[ya]]</v>
      </c>
      <c r="BZ62" t="str">
        <f>SUBSTITUTE(TRIM(MID(SUBSTITUTE(SUBSTITUTE(SUBSTITUTE(Tabla1[[#This Row],[map]],"[",""),"]",""),",",REPT(" ",100)),901,200))," ",", ")</f>
        <v>2, 4</v>
      </c>
      <c r="CA62" t="str">
        <f>SUBSTITUTE(TRIM(MID(SUBSTITUTE(SUBSTITUTE(SUBSTITUTE(Tabla1[[#This Row],[map]],"[",""),"]",""),",",REPT(" ",100)),1501,200))," ",", ")</f>
        <v>3, 4</v>
      </c>
      <c r="CB62" t="str">
        <f>SUBSTITUTE(TRIM(MID(SUBSTITUTE(SUBSTITUTE(SUBSTITUTE(Tabla1[[#This Row],[map]],"[",""),"]",""),",",REPT(" ",100)),601,300))," ",", ")</f>
        <v>3, 0, 1</v>
      </c>
      <c r="CC62" t="str">
        <f>SUBSTITUTE(TRIM(MID(SUBSTITUTE(SUBSTITUTE(SUBSTITUTE(Tabla1[[#This Row],[map]],"[",""),"]",""),",",REPT(" ",100)),1201,300))," ",", ")</f>
        <v>2, 0, 1</v>
      </c>
      <c r="CD62" t="str">
        <f>SUBSTITUTE(TRIM(MID(SUBSTITUTE(SUBSTITUTE(SUBSTITUTE(Tabla1[[#This Row],[map]],"[",""),"]",""),",",REPT(" ",100)),1,300))," ",", ")</f>
        <v>2, 3, 4</v>
      </c>
      <c r="CE62" t="str">
        <f>SUBSTITUTE(TRIM(MID(SUBSTITUTE(SUBSTITUTE(SUBSTITUTE(Tabla1[[#This Row],[map]],"[",""),"]",""),",",REPT(" ",100)),1,600))," ",", ")</f>
        <v>2, 3, 4, 0, 1, -1</v>
      </c>
      <c r="CF62" t="str">
        <f>SUBSTITUTE(TRIM(MID(SUBSTITUTE(SUBSTITUTE(SUBSTITUTE(Tabla1[[#This Row],[map]],"[",""),"]",""),",",REPT(" ",100)),601,600))," ",", ")</f>
        <v>3, 0, 1, 2, 4, -1</v>
      </c>
      <c r="CG62" t="str">
        <f>SUBSTITUTE(TRIM(MID(SUBSTITUTE(SUBSTITUTE(SUBSTITUTE(Tabla1[[#This Row],[map]],"[",""),"]",""),",",REPT(" ",100)),1201,600))," ",", ")</f>
        <v>2, 0, 1, 3, 4, -1</v>
      </c>
    </row>
    <row r="63" spans="1:85" x14ac:dyDescent="0.3">
      <c r="A63" s="1">
        <v>46095.708171296297</v>
      </c>
      <c r="B63" t="s">
        <v>185</v>
      </c>
      <c r="C63">
        <v>1</v>
      </c>
      <c r="D63" t="s">
        <v>96</v>
      </c>
      <c r="E63" t="s">
        <v>78</v>
      </c>
      <c r="F63">
        <v>16590</v>
      </c>
      <c r="G63">
        <v>4.5</v>
      </c>
      <c r="H63" t="s">
        <v>79</v>
      </c>
      <c r="I63" t="s">
        <v>80</v>
      </c>
      <c r="J63">
        <v>5</v>
      </c>
      <c r="K63">
        <v>5</v>
      </c>
      <c r="L63" t="s">
        <v>81</v>
      </c>
      <c r="M63" t="s">
        <v>82</v>
      </c>
      <c r="N63" t="s">
        <v>83</v>
      </c>
      <c r="O63" t="s">
        <v>83</v>
      </c>
      <c r="P63" t="s">
        <v>84</v>
      </c>
      <c r="Q63" t="s">
        <v>183</v>
      </c>
      <c r="R63">
        <v>3</v>
      </c>
      <c r="S63" t="s">
        <v>86</v>
      </c>
      <c r="T63" t="s">
        <v>87</v>
      </c>
      <c r="U63" t="s">
        <v>88</v>
      </c>
      <c r="V63">
        <v>1</v>
      </c>
      <c r="W63" t="s">
        <v>184</v>
      </c>
      <c r="X63" t="s">
        <v>83</v>
      </c>
      <c r="Y63" t="s">
        <v>90</v>
      </c>
      <c r="Z63">
        <v>4000</v>
      </c>
      <c r="AA63">
        <v>4000</v>
      </c>
      <c r="AC63">
        <v>256</v>
      </c>
      <c r="AD63" t="s">
        <v>91</v>
      </c>
      <c r="AE63">
        <v>0.15</v>
      </c>
      <c r="AF63" t="s">
        <v>92</v>
      </c>
      <c r="AG63">
        <v>180</v>
      </c>
      <c r="AH63">
        <v>60</v>
      </c>
      <c r="AI63">
        <v>120</v>
      </c>
      <c r="AJ63">
        <v>0.1136850081179865</v>
      </c>
      <c r="AK63">
        <v>30.61464957232991</v>
      </c>
      <c r="AL63">
        <v>0.71583658726647248</v>
      </c>
      <c r="AM63">
        <v>-0.40871917035716931</v>
      </c>
      <c r="AN63">
        <v>38.668268541114948</v>
      </c>
      <c r="AO63">
        <v>0.63594932632045309</v>
      </c>
      <c r="AP63">
        <v>38.668268541114948</v>
      </c>
      <c r="AQ63">
        <v>38.668268541114948</v>
      </c>
      <c r="AR63">
        <v>0.63594932632045309</v>
      </c>
      <c r="AS63">
        <v>98.375236551644164</v>
      </c>
      <c r="AT63">
        <v>-0.32360791962761021</v>
      </c>
      <c r="AU63">
        <v>0.8</v>
      </c>
      <c r="AV63" t="s">
        <v>93</v>
      </c>
      <c r="AW63">
        <v>6.2215887050770927E-2</v>
      </c>
      <c r="AX63">
        <v>0.54823221744918227</v>
      </c>
      <c r="AY63">
        <v>6.2215887050770927E-2</v>
      </c>
      <c r="AZ63">
        <v>6.2215887050770927E-2</v>
      </c>
      <c r="BA63">
        <v>0.54823221744918227</v>
      </c>
      <c r="BB63">
        <v>0.2290087978004598</v>
      </c>
      <c r="BC63">
        <v>-0.66289997091121333</v>
      </c>
      <c r="BD63">
        <v>8.4455212014894684E-2</v>
      </c>
      <c r="BE63">
        <v>0.70738072848239697</v>
      </c>
      <c r="BF63">
        <v>8.4455212014894684E-2</v>
      </c>
      <c r="BG63">
        <v>8.4455212014894684E-2</v>
      </c>
      <c r="BH63">
        <v>0.70738072848239697</v>
      </c>
      <c r="BI63">
        <v>0.40658257851731527</v>
      </c>
      <c r="BJ63">
        <v>-0.40872179583781071</v>
      </c>
      <c r="BK63">
        <v>6.78009157121265E-2</v>
      </c>
      <c r="BL63">
        <v>0.72780076897460177</v>
      </c>
      <c r="BM63">
        <v>6.78009157121265E-2</v>
      </c>
      <c r="BN63">
        <v>6.78009157121265E-2</v>
      </c>
      <c r="BO63">
        <v>0.72780076897460177</v>
      </c>
      <c r="BP63">
        <v>0.27534660906514269</v>
      </c>
      <c r="BQ63">
        <v>-0.10542954273960919</v>
      </c>
      <c r="BR63">
        <v>154.4586021496832</v>
      </c>
      <c r="BS63">
        <v>0.56038359037562824</v>
      </c>
      <c r="BT63">
        <v>154.4586021496832</v>
      </c>
      <c r="BU63">
        <v>154.4586021496832</v>
      </c>
      <c r="BV63">
        <v>0.56038359037562824</v>
      </c>
      <c r="BW63">
        <v>392.59000822119441</v>
      </c>
      <c r="BX63">
        <v>-0.1173803690217976</v>
      </c>
      <c r="BY63" t="str">
        <f t="shared" si="1"/>
        <v>[[sv,wv],[yr],[ya]]</v>
      </c>
      <c r="BZ63" t="str">
        <f>SUBSTITUTE(TRIM(MID(SUBSTITUTE(SUBSTITUTE(SUBSTITUTE(Tabla1[[#This Row],[map]],"[",""),"]",""),",",REPT(" ",100)),901,200))," ",", ")</f>
        <v>2, 4</v>
      </c>
      <c r="CA63" t="str">
        <f>SUBSTITUTE(TRIM(MID(SUBSTITUTE(SUBSTITUTE(SUBSTITUTE(Tabla1[[#This Row],[map]],"[",""),"]",""),",",REPT(" ",100)),1501,200))," ",", ")</f>
        <v>3, 4</v>
      </c>
      <c r="CB63" t="str">
        <f>SUBSTITUTE(TRIM(MID(SUBSTITUTE(SUBSTITUTE(SUBSTITUTE(Tabla1[[#This Row],[map]],"[",""),"]",""),",",REPT(" ",100)),601,300))," ",", ")</f>
        <v>3, 0, 1</v>
      </c>
      <c r="CC63" t="str">
        <f>SUBSTITUTE(TRIM(MID(SUBSTITUTE(SUBSTITUTE(SUBSTITUTE(Tabla1[[#This Row],[map]],"[",""),"]",""),",",REPT(" ",100)),1201,300))," ",", ")</f>
        <v>2, 0, 1</v>
      </c>
      <c r="CD63" t="str">
        <f>SUBSTITUTE(TRIM(MID(SUBSTITUTE(SUBSTITUTE(SUBSTITUTE(Tabla1[[#This Row],[map]],"[",""),"]",""),",",REPT(" ",100)),1,300))," ",", ")</f>
        <v>2, 3, 4</v>
      </c>
      <c r="CE63" t="str">
        <f>SUBSTITUTE(TRIM(MID(SUBSTITUTE(SUBSTITUTE(SUBSTITUTE(Tabla1[[#This Row],[map]],"[",""),"]",""),",",REPT(" ",100)),1,600))," ",", ")</f>
        <v>2, 3, 4, 0, 1, -1</v>
      </c>
      <c r="CF63" t="str">
        <f>SUBSTITUTE(TRIM(MID(SUBSTITUTE(SUBSTITUTE(SUBSTITUTE(Tabla1[[#This Row],[map]],"[",""),"]",""),",",REPT(" ",100)),601,600))," ",", ")</f>
        <v>3, 0, 1, 2, 4, -1</v>
      </c>
      <c r="CG63" t="str">
        <f>SUBSTITUTE(TRIM(MID(SUBSTITUTE(SUBSTITUTE(SUBSTITUTE(Tabla1[[#This Row],[map]],"[",""),"]",""),",",REPT(" ",100)),1201,600))," ",", ")</f>
        <v>2, 0, 1, 3, 4, -1</v>
      </c>
    </row>
    <row r="64" spans="1:85" x14ac:dyDescent="0.3">
      <c r="A64" s="1">
        <v>46095.714317129627</v>
      </c>
      <c r="B64" t="s">
        <v>186</v>
      </c>
      <c r="C64">
        <v>2</v>
      </c>
      <c r="D64" t="s">
        <v>96</v>
      </c>
      <c r="E64" t="s">
        <v>78</v>
      </c>
      <c r="F64">
        <v>16590</v>
      </c>
      <c r="G64">
        <v>4.5</v>
      </c>
      <c r="H64" t="s">
        <v>79</v>
      </c>
      <c r="I64" t="s">
        <v>80</v>
      </c>
      <c r="J64">
        <v>5</v>
      </c>
      <c r="K64">
        <v>5</v>
      </c>
      <c r="L64" t="s">
        <v>81</v>
      </c>
      <c r="M64" t="s">
        <v>82</v>
      </c>
      <c r="N64" t="s">
        <v>83</v>
      </c>
      <c r="O64" t="s">
        <v>83</v>
      </c>
      <c r="P64" t="s">
        <v>84</v>
      </c>
      <c r="Q64" t="s">
        <v>183</v>
      </c>
      <c r="R64">
        <v>3</v>
      </c>
      <c r="S64" t="s">
        <v>86</v>
      </c>
      <c r="T64" t="s">
        <v>87</v>
      </c>
      <c r="U64" t="s">
        <v>88</v>
      </c>
      <c r="V64">
        <v>1</v>
      </c>
      <c r="W64" t="s">
        <v>184</v>
      </c>
      <c r="X64" t="s">
        <v>83</v>
      </c>
      <c r="Y64" t="s">
        <v>90</v>
      </c>
      <c r="Z64">
        <v>4000</v>
      </c>
      <c r="AA64">
        <v>4000</v>
      </c>
      <c r="AC64">
        <v>256</v>
      </c>
      <c r="AD64" t="s">
        <v>91</v>
      </c>
      <c r="AE64">
        <v>0.15</v>
      </c>
      <c r="AF64" t="s">
        <v>92</v>
      </c>
      <c r="AG64">
        <v>180</v>
      </c>
      <c r="AH64">
        <v>60</v>
      </c>
      <c r="AI64">
        <v>120</v>
      </c>
      <c r="AJ64">
        <v>0.10740456201534079</v>
      </c>
      <c r="AK64">
        <v>29.180680509796069</v>
      </c>
      <c r="AL64">
        <v>0.71371955207441118</v>
      </c>
      <c r="AM64">
        <v>-0.52079929277443915</v>
      </c>
      <c r="AN64">
        <v>34.101250123790933</v>
      </c>
      <c r="AO64">
        <v>0.65236551040996671</v>
      </c>
      <c r="AP64">
        <v>34.101250123790933</v>
      </c>
      <c r="AQ64">
        <v>34.101250123790933</v>
      </c>
      <c r="AR64">
        <v>0.65236551040996671</v>
      </c>
      <c r="AS64">
        <v>115.8205303653325</v>
      </c>
      <c r="AT64">
        <v>-0.43492310604041751</v>
      </c>
      <c r="AU64">
        <v>0.8</v>
      </c>
      <c r="AV64" t="s">
        <v>93</v>
      </c>
      <c r="AW64">
        <v>5.8255732035626499E-2</v>
      </c>
      <c r="AX64">
        <v>0.57698806317536055</v>
      </c>
      <c r="AY64">
        <v>5.8255732035626499E-2</v>
      </c>
      <c r="AZ64">
        <v>5.8255732035626499E-2</v>
      </c>
      <c r="BA64">
        <v>0.57698806317536055</v>
      </c>
      <c r="BB64">
        <v>0.18692212264756319</v>
      </c>
      <c r="BC64">
        <v>-0.3572962929753043</v>
      </c>
      <c r="BD64">
        <v>8.3448883921353703E-2</v>
      </c>
      <c r="BE64">
        <v>0.7108674403929387</v>
      </c>
      <c r="BF64">
        <v>8.3448883921353703E-2</v>
      </c>
      <c r="BG64">
        <v>8.3448883921353703E-2</v>
      </c>
      <c r="BH64">
        <v>0.7108674403929387</v>
      </c>
      <c r="BI64">
        <v>0.47440447218352472</v>
      </c>
      <c r="BJ64">
        <v>-0.64371017185479884</v>
      </c>
      <c r="BK64">
        <v>7.2426687230427417E-2</v>
      </c>
      <c r="BL64">
        <v>0.70922975946896627</v>
      </c>
      <c r="BM64">
        <v>7.2426687230427417E-2</v>
      </c>
      <c r="BN64">
        <v>7.2426687230427417E-2</v>
      </c>
      <c r="BO64">
        <v>0.70922975946896627</v>
      </c>
      <c r="BP64">
        <v>0.35444746173869429</v>
      </c>
      <c r="BQ64">
        <v>-0.42299444647354328</v>
      </c>
      <c r="BR64">
        <v>136.19086919197591</v>
      </c>
      <c r="BS64">
        <v>0.61237677860260442</v>
      </c>
      <c r="BT64">
        <v>136.19086919197591</v>
      </c>
      <c r="BU64">
        <v>136.19086919197591</v>
      </c>
      <c r="BV64">
        <v>0.61237677860260442</v>
      </c>
      <c r="BW64">
        <v>462.26634740475941</v>
      </c>
      <c r="BX64">
        <v>-0.3156915128580271</v>
      </c>
      <c r="BY64" t="str">
        <f t="shared" si="1"/>
        <v>[[sv,wv],[yr],[ya]]</v>
      </c>
      <c r="BZ64" t="str">
        <f>SUBSTITUTE(TRIM(MID(SUBSTITUTE(SUBSTITUTE(SUBSTITUTE(Tabla1[[#This Row],[map]],"[",""),"]",""),",",REPT(" ",100)),901,200))," ",", ")</f>
        <v>2, 4</v>
      </c>
      <c r="CA64" t="str">
        <f>SUBSTITUTE(TRIM(MID(SUBSTITUTE(SUBSTITUTE(SUBSTITUTE(Tabla1[[#This Row],[map]],"[",""),"]",""),",",REPT(" ",100)),1501,200))," ",", ")</f>
        <v>3, 4</v>
      </c>
      <c r="CB64" t="str">
        <f>SUBSTITUTE(TRIM(MID(SUBSTITUTE(SUBSTITUTE(SUBSTITUTE(Tabla1[[#This Row],[map]],"[",""),"]",""),",",REPT(" ",100)),601,300))," ",", ")</f>
        <v>3, 0, 1</v>
      </c>
      <c r="CC64" t="str">
        <f>SUBSTITUTE(TRIM(MID(SUBSTITUTE(SUBSTITUTE(SUBSTITUTE(Tabla1[[#This Row],[map]],"[",""),"]",""),",",REPT(" ",100)),1201,300))," ",", ")</f>
        <v>2, 0, 1</v>
      </c>
      <c r="CD64" t="str">
        <f>SUBSTITUTE(TRIM(MID(SUBSTITUTE(SUBSTITUTE(SUBSTITUTE(Tabla1[[#This Row],[map]],"[",""),"]",""),",",REPT(" ",100)),1,300))," ",", ")</f>
        <v>2, 3, 4</v>
      </c>
      <c r="CE64" t="str">
        <f>SUBSTITUTE(TRIM(MID(SUBSTITUTE(SUBSTITUTE(SUBSTITUTE(Tabla1[[#This Row],[map]],"[",""),"]",""),",",REPT(" ",100)),1,600))," ",", ")</f>
        <v>2, 3, 4, 0, 1, -1</v>
      </c>
      <c r="CF64" t="str">
        <f>SUBSTITUTE(TRIM(MID(SUBSTITUTE(SUBSTITUTE(SUBSTITUTE(Tabla1[[#This Row],[map]],"[",""),"]",""),",",REPT(" ",100)),601,600))," ",", ")</f>
        <v>3, 0, 1, 2, 4, -1</v>
      </c>
      <c r="CG64" t="str">
        <f>SUBSTITUTE(TRIM(MID(SUBSTITUTE(SUBSTITUTE(SUBSTITUTE(Tabla1[[#This Row],[map]],"[",""),"]",""),",",REPT(" ",100)),1201,600))," ",", ")</f>
        <v>2, 0, 1, 3, 4, -1</v>
      </c>
    </row>
    <row r="65" spans="1:85" x14ac:dyDescent="0.3">
      <c r="A65" s="1">
        <v>46095.718217592592</v>
      </c>
      <c r="B65" t="s">
        <v>187</v>
      </c>
      <c r="C65">
        <v>3</v>
      </c>
      <c r="D65" t="s">
        <v>77</v>
      </c>
      <c r="E65" t="s">
        <v>78</v>
      </c>
      <c r="F65">
        <v>16590</v>
      </c>
      <c r="G65">
        <v>4.5</v>
      </c>
      <c r="H65" t="s">
        <v>79</v>
      </c>
      <c r="I65" t="s">
        <v>80</v>
      </c>
      <c r="J65">
        <v>5</v>
      </c>
      <c r="K65">
        <v>5</v>
      </c>
      <c r="L65" t="s">
        <v>81</v>
      </c>
      <c r="M65" t="s">
        <v>82</v>
      </c>
      <c r="N65" t="s">
        <v>83</v>
      </c>
      <c r="O65" t="s">
        <v>83</v>
      </c>
      <c r="P65" t="s">
        <v>84</v>
      </c>
      <c r="Q65" t="s">
        <v>183</v>
      </c>
      <c r="R65">
        <v>3</v>
      </c>
      <c r="S65" t="s">
        <v>86</v>
      </c>
      <c r="T65" t="s">
        <v>87</v>
      </c>
      <c r="U65" t="s">
        <v>88</v>
      </c>
      <c r="V65">
        <v>1</v>
      </c>
      <c r="W65" t="s">
        <v>184</v>
      </c>
      <c r="X65" t="s">
        <v>83</v>
      </c>
      <c r="Y65" t="s">
        <v>90</v>
      </c>
      <c r="Z65">
        <v>4000</v>
      </c>
      <c r="AA65">
        <v>4000</v>
      </c>
      <c r="AC65">
        <v>256</v>
      </c>
      <c r="AD65" t="s">
        <v>91</v>
      </c>
      <c r="AE65">
        <v>0.15</v>
      </c>
      <c r="AF65" t="s">
        <v>92</v>
      </c>
      <c r="AG65">
        <v>180</v>
      </c>
      <c r="AH65">
        <v>60</v>
      </c>
      <c r="AI65">
        <v>120</v>
      </c>
      <c r="AJ65">
        <v>0.1327892866364514</v>
      </c>
      <c r="AK65">
        <v>19.05853146089505</v>
      </c>
      <c r="AL65">
        <v>0.59247338257339455</v>
      </c>
      <c r="AM65">
        <v>-0.35534701230065979</v>
      </c>
      <c r="AN65">
        <v>22.10604991625706</v>
      </c>
      <c r="AO65">
        <v>0.5555029646683125</v>
      </c>
      <c r="AP65">
        <v>22.10604991625706</v>
      </c>
      <c r="AQ65">
        <v>22.10604991625706</v>
      </c>
      <c r="AR65">
        <v>0.5555029646683125</v>
      </c>
      <c r="AS65">
        <v>165.92739196174759</v>
      </c>
      <c r="AT65">
        <v>-0.34736631484230629</v>
      </c>
      <c r="AU65">
        <v>0.8</v>
      </c>
      <c r="AV65" t="s">
        <v>93</v>
      </c>
      <c r="AW65">
        <v>0.1198980734232301</v>
      </c>
      <c r="AX65">
        <v>0.12938496370989849</v>
      </c>
      <c r="AY65">
        <v>0.1198980734232301</v>
      </c>
      <c r="AZ65">
        <v>0.1198980734232301</v>
      </c>
      <c r="BA65">
        <v>0.12938496370989849</v>
      </c>
      <c r="BB65">
        <v>0.15087097122851739</v>
      </c>
      <c r="BC65">
        <v>-9.5518321029081532E-2</v>
      </c>
      <c r="BD65">
        <v>7.0535969178479804E-2</v>
      </c>
      <c r="BE65">
        <v>0.75560793201070031</v>
      </c>
      <c r="BF65">
        <v>7.0535969178479804E-2</v>
      </c>
      <c r="BG65">
        <v>7.0535969178479804E-2</v>
      </c>
      <c r="BH65">
        <v>0.75560793201070031</v>
      </c>
      <c r="BI65">
        <v>0.32305078313702412</v>
      </c>
      <c r="BJ65">
        <v>-0.11930196573392669</v>
      </c>
      <c r="BK65">
        <v>0.1026592388226457</v>
      </c>
      <c r="BL65">
        <v>0.58785562743986675</v>
      </c>
      <c r="BM65">
        <v>0.1026592388226457</v>
      </c>
      <c r="BN65">
        <v>0.1026592388226457</v>
      </c>
      <c r="BO65">
        <v>0.58785562743986675</v>
      </c>
      <c r="BP65">
        <v>0.32079051105365491</v>
      </c>
      <c r="BQ65">
        <v>-0.28787243523072292</v>
      </c>
      <c r="BR65">
        <v>88.131106383604148</v>
      </c>
      <c r="BS65">
        <v>0.74916333551278957</v>
      </c>
      <c r="BT65">
        <v>88.131106383604148</v>
      </c>
      <c r="BU65">
        <v>88.131106383604148</v>
      </c>
      <c r="BV65">
        <v>0.74916333551278957</v>
      </c>
      <c r="BW65">
        <v>662.91485558157069</v>
      </c>
      <c r="BX65">
        <v>-0.88677253737548911</v>
      </c>
      <c r="BY65" t="str">
        <f t="shared" si="1"/>
        <v>[[sv,wv],[yr],[ya]]</v>
      </c>
      <c r="BZ65" t="str">
        <f>SUBSTITUTE(TRIM(MID(SUBSTITUTE(SUBSTITUTE(SUBSTITUTE(Tabla1[[#This Row],[map]],"[",""),"]",""),",",REPT(" ",100)),901,200))," ",", ")</f>
        <v>2, 4</v>
      </c>
      <c r="CA65" t="str">
        <f>SUBSTITUTE(TRIM(MID(SUBSTITUTE(SUBSTITUTE(SUBSTITUTE(Tabla1[[#This Row],[map]],"[",""),"]",""),",",REPT(" ",100)),1501,200))," ",", ")</f>
        <v>3, 4</v>
      </c>
      <c r="CB65" t="str">
        <f>SUBSTITUTE(TRIM(MID(SUBSTITUTE(SUBSTITUTE(SUBSTITUTE(Tabla1[[#This Row],[map]],"[",""),"]",""),",",REPT(" ",100)),601,300))," ",", ")</f>
        <v>3, 0, 1</v>
      </c>
      <c r="CC65" t="str">
        <f>SUBSTITUTE(TRIM(MID(SUBSTITUTE(SUBSTITUTE(SUBSTITUTE(Tabla1[[#This Row],[map]],"[",""),"]",""),",",REPT(" ",100)),1201,300))," ",", ")</f>
        <v>2, 0, 1</v>
      </c>
      <c r="CD65" t="str">
        <f>SUBSTITUTE(TRIM(MID(SUBSTITUTE(SUBSTITUTE(SUBSTITUTE(Tabla1[[#This Row],[map]],"[",""),"]",""),",",REPT(" ",100)),1,300))," ",", ")</f>
        <v>2, 3, 4</v>
      </c>
      <c r="CE65" t="str">
        <f>SUBSTITUTE(TRIM(MID(SUBSTITUTE(SUBSTITUTE(SUBSTITUTE(Tabla1[[#This Row],[map]],"[",""),"]",""),",",REPT(" ",100)),1,600))," ",", ")</f>
        <v>2, 3, 4, 0, 1, -1</v>
      </c>
      <c r="CF65" t="str">
        <f>SUBSTITUTE(TRIM(MID(SUBSTITUTE(SUBSTITUTE(SUBSTITUTE(Tabla1[[#This Row],[map]],"[",""),"]",""),",",REPT(" ",100)),601,600))," ",", ")</f>
        <v>3, 0, 1, 2, 4, -1</v>
      </c>
      <c r="CG65" t="str">
        <f>SUBSTITUTE(TRIM(MID(SUBSTITUTE(SUBSTITUTE(SUBSTITUTE(Tabla1[[#This Row],[map]],"[",""),"]",""),",",REPT(" ",100)),1201,600))," ",", ")</f>
        <v>2, 0, 1, 3, 4, -1</v>
      </c>
    </row>
    <row r="66" spans="1:85" x14ac:dyDescent="0.3">
      <c r="A66" s="1">
        <v>46095.846724537027</v>
      </c>
      <c r="B66" t="s">
        <v>188</v>
      </c>
      <c r="C66">
        <v>0</v>
      </c>
      <c r="D66" t="s">
        <v>77</v>
      </c>
      <c r="E66" t="s">
        <v>78</v>
      </c>
      <c r="F66">
        <v>16590</v>
      </c>
      <c r="G66">
        <v>4.5</v>
      </c>
      <c r="H66" t="s">
        <v>79</v>
      </c>
      <c r="I66" t="s">
        <v>80</v>
      </c>
      <c r="J66">
        <v>5</v>
      </c>
      <c r="K66">
        <v>5</v>
      </c>
      <c r="L66" t="s">
        <v>81</v>
      </c>
      <c r="M66" t="s">
        <v>82</v>
      </c>
      <c r="N66" t="s">
        <v>83</v>
      </c>
      <c r="O66" t="s">
        <v>83</v>
      </c>
      <c r="P66" t="s">
        <v>84</v>
      </c>
      <c r="Q66" t="s">
        <v>189</v>
      </c>
      <c r="R66">
        <v>3</v>
      </c>
      <c r="S66" t="s">
        <v>86</v>
      </c>
      <c r="T66" t="s">
        <v>87</v>
      </c>
      <c r="U66" t="s">
        <v>88</v>
      </c>
      <c r="V66">
        <v>1</v>
      </c>
      <c r="W66" t="s">
        <v>190</v>
      </c>
      <c r="X66" t="s">
        <v>83</v>
      </c>
      <c r="Y66" t="s">
        <v>90</v>
      </c>
      <c r="Z66">
        <v>4000</v>
      </c>
      <c r="AA66">
        <v>4000</v>
      </c>
      <c r="AC66">
        <v>256</v>
      </c>
      <c r="AD66" t="s">
        <v>91</v>
      </c>
      <c r="AE66">
        <v>0.15</v>
      </c>
      <c r="AF66" t="s">
        <v>92</v>
      </c>
      <c r="AG66">
        <v>180</v>
      </c>
      <c r="AH66">
        <v>60</v>
      </c>
      <c r="AI66">
        <v>120</v>
      </c>
      <c r="AJ66">
        <v>0.11777771769031831</v>
      </c>
      <c r="AK66">
        <v>13.45361262283644</v>
      </c>
      <c r="AL66">
        <v>0.68917566284073317</v>
      </c>
      <c r="AM66">
        <v>0.1883260662149697</v>
      </c>
      <c r="AN66">
        <v>17.895009861709148</v>
      </c>
      <c r="AO66">
        <v>0.63166696400826916</v>
      </c>
      <c r="AP66">
        <v>17.895009861709148</v>
      </c>
      <c r="AQ66">
        <v>17.895009861709148</v>
      </c>
      <c r="AR66">
        <v>0.63166696400826916</v>
      </c>
      <c r="AS66">
        <v>112.0734252899838</v>
      </c>
      <c r="AT66">
        <v>0.1060574678313931</v>
      </c>
      <c r="AU66">
        <v>0.8</v>
      </c>
      <c r="AV66" t="s">
        <v>93</v>
      </c>
      <c r="AW66">
        <v>7.3605465966264758E-2</v>
      </c>
      <c r="AX66">
        <v>0.46552914826941982</v>
      </c>
      <c r="AY66">
        <v>7.3605465966264758E-2</v>
      </c>
      <c r="AZ66">
        <v>7.3605465966264758E-2</v>
      </c>
      <c r="BA66">
        <v>0.46552914826941982</v>
      </c>
      <c r="BB66">
        <v>7.533956182799946E-2</v>
      </c>
      <c r="BC66">
        <v>0.45293737019917968</v>
      </c>
      <c r="BD66">
        <v>8.848297224606741E-2</v>
      </c>
      <c r="BE66">
        <v>0.69342539953851268</v>
      </c>
      <c r="BF66">
        <v>8.848297224606741E-2</v>
      </c>
      <c r="BG66">
        <v>8.848297224606741E-2</v>
      </c>
      <c r="BH66">
        <v>0.69342539953851268</v>
      </c>
      <c r="BI66">
        <v>0.24905999441317619</v>
      </c>
      <c r="BJ66">
        <v>0.13706031409276789</v>
      </c>
      <c r="BK66">
        <v>0.10693818265094079</v>
      </c>
      <c r="BL66">
        <v>0.57067702140734566</v>
      </c>
      <c r="BM66">
        <v>0.10693818265094079</v>
      </c>
      <c r="BN66">
        <v>0.10693818265094079</v>
      </c>
      <c r="BO66">
        <v>0.57067702140734566</v>
      </c>
      <c r="BP66">
        <v>0.22203496724192379</v>
      </c>
      <c r="BQ66">
        <v>0.10859983660675609</v>
      </c>
      <c r="BR66">
        <v>71.311012825973592</v>
      </c>
      <c r="BS66">
        <v>0.79703628681779881</v>
      </c>
      <c r="BT66">
        <v>71.311012825973592</v>
      </c>
      <c r="BU66">
        <v>71.311012825973592</v>
      </c>
      <c r="BV66">
        <v>0.79703628681779881</v>
      </c>
      <c r="BW66">
        <v>447.74726663644992</v>
      </c>
      <c r="BX66">
        <v>-0.27436764957312582</v>
      </c>
      <c r="BY66" t="str">
        <f t="shared" ref="BY66:BY97" si="2">_xlfn.LET(_xlpm.TextoConfig, Q66,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66" t="str">
        <f>SUBSTITUTE(TRIM(MID(SUBSTITUTE(SUBSTITUTE(SUBSTITUTE(Tabla1[[#This Row],[map]],"[",""),"]",""),",",REPT(" ",100)),901,200))," ",", ")</f>
        <v>2, 3</v>
      </c>
      <c r="CA66" t="str">
        <f>SUBSTITUTE(TRIM(MID(SUBSTITUTE(SUBSTITUTE(SUBSTITUTE(Tabla1[[#This Row],[map]],"[",""),"]",""),",",REPT(" ",100)),1501,200))," ",", ")</f>
        <v>3, 2</v>
      </c>
      <c r="CB66" t="str">
        <f>SUBSTITUTE(TRIM(MID(SUBSTITUTE(SUBSTITUTE(SUBSTITUTE(Tabla1[[#This Row],[map]],"[",""),"]",""),",",REPT(" ",100)),601,300))," ",", ")</f>
        <v>0, 1, 4</v>
      </c>
      <c r="CC66" t="str">
        <f>SUBSTITUTE(TRIM(MID(SUBSTITUTE(SUBSTITUTE(SUBSTITUTE(Tabla1[[#This Row],[map]],"[",""),"]",""),",",REPT(" ",100)),1201,300))," ",", ")</f>
        <v>0, 1, 4</v>
      </c>
      <c r="CD66" t="str">
        <f>SUBSTITUTE(TRIM(MID(SUBSTITUTE(SUBSTITUTE(SUBSTITUTE(Tabla1[[#This Row],[map]],"[",""),"]",""),",",REPT(" ",100)),1,300))," ",", ")</f>
        <v>4, 2, 3</v>
      </c>
      <c r="CE66" t="str">
        <f>SUBSTITUTE(TRIM(MID(SUBSTITUTE(SUBSTITUTE(SUBSTITUTE(Tabla1[[#This Row],[map]],"[",""),"]",""),",",REPT(" ",100)),1,600))," ",", ")</f>
        <v>4, 2, 3, 0, 1, -1</v>
      </c>
      <c r="CF66" t="str">
        <f>SUBSTITUTE(TRIM(MID(SUBSTITUTE(SUBSTITUTE(SUBSTITUTE(Tabla1[[#This Row],[map]],"[",""),"]",""),",",REPT(" ",100)),601,600))," ",", ")</f>
        <v>0, 1, 4, 2, 3, -1</v>
      </c>
      <c r="CG66" t="str">
        <f>SUBSTITUTE(TRIM(MID(SUBSTITUTE(SUBSTITUTE(SUBSTITUTE(Tabla1[[#This Row],[map]],"[",""),"]",""),",",REPT(" ",100)),1201,600))," ",", ")</f>
        <v>0, 1, 4, 3, 2, -1</v>
      </c>
    </row>
    <row r="67" spans="1:85" x14ac:dyDescent="0.3">
      <c r="A67" s="1">
        <v>46095.853935185187</v>
      </c>
      <c r="B67" t="s">
        <v>191</v>
      </c>
      <c r="C67">
        <v>1</v>
      </c>
      <c r="D67" t="s">
        <v>96</v>
      </c>
      <c r="E67" t="s">
        <v>78</v>
      </c>
      <c r="F67">
        <v>16590</v>
      </c>
      <c r="G67">
        <v>4.5</v>
      </c>
      <c r="H67" t="s">
        <v>79</v>
      </c>
      <c r="I67" t="s">
        <v>80</v>
      </c>
      <c r="J67">
        <v>5</v>
      </c>
      <c r="K67">
        <v>5</v>
      </c>
      <c r="L67" t="s">
        <v>81</v>
      </c>
      <c r="M67" t="s">
        <v>82</v>
      </c>
      <c r="N67" t="s">
        <v>83</v>
      </c>
      <c r="O67" t="s">
        <v>83</v>
      </c>
      <c r="P67" t="s">
        <v>84</v>
      </c>
      <c r="Q67" t="s">
        <v>189</v>
      </c>
      <c r="R67">
        <v>3</v>
      </c>
      <c r="S67" t="s">
        <v>86</v>
      </c>
      <c r="T67" t="s">
        <v>87</v>
      </c>
      <c r="U67" t="s">
        <v>88</v>
      </c>
      <c r="V67">
        <v>1</v>
      </c>
      <c r="W67" t="s">
        <v>190</v>
      </c>
      <c r="X67" t="s">
        <v>83</v>
      </c>
      <c r="Y67" t="s">
        <v>90</v>
      </c>
      <c r="Z67">
        <v>4000</v>
      </c>
      <c r="AA67">
        <v>4000</v>
      </c>
      <c r="AC67">
        <v>256</v>
      </c>
      <c r="AD67" t="s">
        <v>91</v>
      </c>
      <c r="AE67">
        <v>0.15</v>
      </c>
      <c r="AF67" t="s">
        <v>92</v>
      </c>
      <c r="AG67">
        <v>180</v>
      </c>
      <c r="AH67">
        <v>60</v>
      </c>
      <c r="AI67">
        <v>120</v>
      </c>
      <c r="AJ67">
        <v>0.1323292749394929</v>
      </c>
      <c r="AK67">
        <v>24.191089095631131</v>
      </c>
      <c r="AL67">
        <v>0.64097711077072694</v>
      </c>
      <c r="AM67">
        <v>-0.28303304251538469</v>
      </c>
      <c r="AN67">
        <v>29.277747954068261</v>
      </c>
      <c r="AO67">
        <v>0.57925509364909367</v>
      </c>
      <c r="AP67">
        <v>29.277747954068261</v>
      </c>
      <c r="AQ67">
        <v>29.277747954068261</v>
      </c>
      <c r="AR67">
        <v>0.57925509364909367</v>
      </c>
      <c r="AS67">
        <v>165.75723846591001</v>
      </c>
      <c r="AT67">
        <v>-0.29335970181362769</v>
      </c>
      <c r="AU67">
        <v>0.8</v>
      </c>
      <c r="AV67" t="s">
        <v>93</v>
      </c>
      <c r="AW67">
        <v>7.5432345509596654E-2</v>
      </c>
      <c r="AX67">
        <v>0.45226364070533098</v>
      </c>
      <c r="AY67">
        <v>7.5432345509596654E-2</v>
      </c>
      <c r="AZ67">
        <v>7.5432345509596654E-2</v>
      </c>
      <c r="BA67">
        <v>0.45226364070533098</v>
      </c>
      <c r="BB67">
        <v>0.15300639532155599</v>
      </c>
      <c r="BC67">
        <v>-0.1110242609593499</v>
      </c>
      <c r="BD67">
        <v>0.1044304239657266</v>
      </c>
      <c r="BE67">
        <v>0.63817088541869949</v>
      </c>
      <c r="BF67">
        <v>0.1044304239657266</v>
      </c>
      <c r="BG67">
        <v>0.1044304239657266</v>
      </c>
      <c r="BH67">
        <v>0.63817088541869949</v>
      </c>
      <c r="BI67">
        <v>0.21930982852942241</v>
      </c>
      <c r="BJ67">
        <v>0.2401382847797229</v>
      </c>
      <c r="BK67">
        <v>0.1098268669375366</v>
      </c>
      <c r="BL67">
        <v>0.55907986769300566</v>
      </c>
      <c r="BM67">
        <v>0.1098268669375366</v>
      </c>
      <c r="BN67">
        <v>0.1098268669375366</v>
      </c>
      <c r="BO67">
        <v>0.55907986769300566</v>
      </c>
      <c r="BP67">
        <v>0.3530838972858576</v>
      </c>
      <c r="BQ67">
        <v>-0.41752016649343798</v>
      </c>
      <c r="BR67">
        <v>116.8213021798598</v>
      </c>
      <c r="BS67">
        <v>0.66750598077933532</v>
      </c>
      <c r="BT67">
        <v>116.8213021798598</v>
      </c>
      <c r="BU67">
        <v>116.8213021798598</v>
      </c>
      <c r="BV67">
        <v>0.66750598077933532</v>
      </c>
      <c r="BW67">
        <v>662.30355374250314</v>
      </c>
      <c r="BX67">
        <v>-0.88503266458143637</v>
      </c>
      <c r="BY67" t="str">
        <f t="shared" si="2"/>
        <v>[[sv,wv],[yr],[ya]]</v>
      </c>
      <c r="BZ67" t="str">
        <f>SUBSTITUTE(TRIM(MID(SUBSTITUTE(SUBSTITUTE(SUBSTITUTE(Tabla1[[#This Row],[map]],"[",""),"]",""),",",REPT(" ",100)),901,200))," ",", ")</f>
        <v>2, 3</v>
      </c>
      <c r="CA67" t="str">
        <f>SUBSTITUTE(TRIM(MID(SUBSTITUTE(SUBSTITUTE(SUBSTITUTE(Tabla1[[#This Row],[map]],"[",""),"]",""),",",REPT(" ",100)),1501,200))," ",", ")</f>
        <v>3, 2</v>
      </c>
      <c r="CB67" t="str">
        <f>SUBSTITUTE(TRIM(MID(SUBSTITUTE(SUBSTITUTE(SUBSTITUTE(Tabla1[[#This Row],[map]],"[",""),"]",""),",",REPT(" ",100)),601,300))," ",", ")</f>
        <v>0, 1, 4</v>
      </c>
      <c r="CC67" t="str">
        <f>SUBSTITUTE(TRIM(MID(SUBSTITUTE(SUBSTITUTE(SUBSTITUTE(Tabla1[[#This Row],[map]],"[",""),"]",""),",",REPT(" ",100)),1201,300))," ",", ")</f>
        <v>0, 1, 4</v>
      </c>
      <c r="CD67" t="str">
        <f>SUBSTITUTE(TRIM(MID(SUBSTITUTE(SUBSTITUTE(SUBSTITUTE(Tabla1[[#This Row],[map]],"[",""),"]",""),",",REPT(" ",100)),1,300))," ",", ")</f>
        <v>4, 2, 3</v>
      </c>
      <c r="CE67" t="str">
        <f>SUBSTITUTE(TRIM(MID(SUBSTITUTE(SUBSTITUTE(SUBSTITUTE(Tabla1[[#This Row],[map]],"[",""),"]",""),",",REPT(" ",100)),1,600))," ",", ")</f>
        <v>4, 2, 3, 0, 1, -1</v>
      </c>
      <c r="CF67" t="str">
        <f>SUBSTITUTE(TRIM(MID(SUBSTITUTE(SUBSTITUTE(SUBSTITUTE(Tabla1[[#This Row],[map]],"[",""),"]",""),",",REPT(" ",100)),601,600))," ",", ")</f>
        <v>0, 1, 4, 2, 3, -1</v>
      </c>
      <c r="CG67" t="str">
        <f>SUBSTITUTE(TRIM(MID(SUBSTITUTE(SUBSTITUTE(SUBSTITUTE(Tabla1[[#This Row],[map]],"[",""),"]",""),",",REPT(" ",100)),1201,600))," ",", ")</f>
        <v>0, 1, 4, 3, 2, -1</v>
      </c>
    </row>
    <row r="68" spans="1:85" x14ac:dyDescent="0.3">
      <c r="A68" s="1">
        <v>46095.859120370369</v>
      </c>
      <c r="B68" t="s">
        <v>192</v>
      </c>
      <c r="C68">
        <v>2</v>
      </c>
      <c r="D68" t="s">
        <v>77</v>
      </c>
      <c r="E68" t="s">
        <v>78</v>
      </c>
      <c r="F68">
        <v>16590</v>
      </c>
      <c r="G68">
        <v>4.5</v>
      </c>
      <c r="H68" t="s">
        <v>79</v>
      </c>
      <c r="I68" t="s">
        <v>80</v>
      </c>
      <c r="J68">
        <v>5</v>
      </c>
      <c r="K68">
        <v>5</v>
      </c>
      <c r="L68" t="s">
        <v>81</v>
      </c>
      <c r="M68" t="s">
        <v>82</v>
      </c>
      <c r="N68" t="s">
        <v>83</v>
      </c>
      <c r="O68" t="s">
        <v>83</v>
      </c>
      <c r="P68" t="s">
        <v>84</v>
      </c>
      <c r="Q68" t="s">
        <v>189</v>
      </c>
      <c r="R68">
        <v>3</v>
      </c>
      <c r="S68" t="s">
        <v>86</v>
      </c>
      <c r="T68" t="s">
        <v>87</v>
      </c>
      <c r="U68" t="s">
        <v>88</v>
      </c>
      <c r="V68">
        <v>1</v>
      </c>
      <c r="W68" t="s">
        <v>190</v>
      </c>
      <c r="X68" t="s">
        <v>83</v>
      </c>
      <c r="Y68" t="s">
        <v>90</v>
      </c>
      <c r="Z68">
        <v>4000</v>
      </c>
      <c r="AA68">
        <v>4000</v>
      </c>
      <c r="AC68">
        <v>256</v>
      </c>
      <c r="AD68" t="s">
        <v>91</v>
      </c>
      <c r="AE68">
        <v>0.15</v>
      </c>
      <c r="AF68" t="s">
        <v>92</v>
      </c>
      <c r="AG68">
        <v>180</v>
      </c>
      <c r="AH68">
        <v>60</v>
      </c>
      <c r="AI68">
        <v>120</v>
      </c>
      <c r="AJ68">
        <v>0.1302733583379585</v>
      </c>
      <c r="AK68">
        <v>22.05002548576385</v>
      </c>
      <c r="AL68">
        <v>0.63819102807735706</v>
      </c>
      <c r="AM68">
        <v>-0.34731831601495311</v>
      </c>
      <c r="AN68">
        <v>30.014037914688711</v>
      </c>
      <c r="AO68">
        <v>0.57352667593278717</v>
      </c>
      <c r="AP68">
        <v>30.014037914688711</v>
      </c>
      <c r="AQ68">
        <v>30.014037914688711</v>
      </c>
      <c r="AR68">
        <v>0.57352667593278717</v>
      </c>
      <c r="AS68">
        <v>158.90497970307251</v>
      </c>
      <c r="AT68">
        <v>-0.28307049360657721</v>
      </c>
      <c r="AU68">
        <v>0.8</v>
      </c>
      <c r="AV68" t="s">
        <v>93</v>
      </c>
      <c r="AW68">
        <v>7.0572751413084819E-2</v>
      </c>
      <c r="AX68">
        <v>0.4875505770996742</v>
      </c>
      <c r="AY68">
        <v>7.0572751413084819E-2</v>
      </c>
      <c r="AZ68">
        <v>7.0572751413084819E-2</v>
      </c>
      <c r="BA68">
        <v>0.4875505770996742</v>
      </c>
      <c r="BB68">
        <v>0.1084915647841161</v>
      </c>
      <c r="BC68">
        <v>0.21221096457257391</v>
      </c>
      <c r="BD68">
        <v>0.1001157189286071</v>
      </c>
      <c r="BE68">
        <v>0.65312041682894062</v>
      </c>
      <c r="BF68">
        <v>0.1001157189286071</v>
      </c>
      <c r="BG68">
        <v>0.1001157189286071</v>
      </c>
      <c r="BH68">
        <v>0.65312041682894062</v>
      </c>
      <c r="BI68">
        <v>0.35243001189934631</v>
      </c>
      <c r="BJ68">
        <v>-0.2210947185206176</v>
      </c>
      <c r="BK68">
        <v>0.12596450525458369</v>
      </c>
      <c r="BL68">
        <v>0.49429235421580092</v>
      </c>
      <c r="BM68">
        <v>0.12596450525458369</v>
      </c>
      <c r="BN68">
        <v>0.12596450525458369</v>
      </c>
      <c r="BO68">
        <v>0.49429235421580092</v>
      </c>
      <c r="BP68">
        <v>0.32793545142193908</v>
      </c>
      <c r="BQ68">
        <v>-0.3165571108511358</v>
      </c>
      <c r="BR68">
        <v>119.7594986831588</v>
      </c>
      <c r="BS68">
        <v>0.65914335558673232</v>
      </c>
      <c r="BT68">
        <v>119.7594986831588</v>
      </c>
      <c r="BU68">
        <v>119.7594986831588</v>
      </c>
      <c r="BV68">
        <v>0.65914335558673232</v>
      </c>
      <c r="BW68">
        <v>634.83106178418416</v>
      </c>
      <c r="BX68">
        <v>-0.80684110962714106</v>
      </c>
      <c r="BY68" t="str">
        <f t="shared" si="2"/>
        <v>[[sv,wv],[yr],[ya]]</v>
      </c>
      <c r="BZ68" t="str">
        <f>SUBSTITUTE(TRIM(MID(SUBSTITUTE(SUBSTITUTE(SUBSTITUTE(Tabla1[[#This Row],[map]],"[",""),"]",""),",",REPT(" ",100)),901,200))," ",", ")</f>
        <v>2, 3</v>
      </c>
      <c r="CA68" t="str">
        <f>SUBSTITUTE(TRIM(MID(SUBSTITUTE(SUBSTITUTE(SUBSTITUTE(Tabla1[[#This Row],[map]],"[",""),"]",""),",",REPT(" ",100)),1501,200))," ",", ")</f>
        <v>3, 2</v>
      </c>
      <c r="CB68" t="str">
        <f>SUBSTITUTE(TRIM(MID(SUBSTITUTE(SUBSTITUTE(SUBSTITUTE(Tabla1[[#This Row],[map]],"[",""),"]",""),",",REPT(" ",100)),601,300))," ",", ")</f>
        <v>0, 1, 4</v>
      </c>
      <c r="CC68" t="str">
        <f>SUBSTITUTE(TRIM(MID(SUBSTITUTE(SUBSTITUTE(SUBSTITUTE(Tabla1[[#This Row],[map]],"[",""),"]",""),",",REPT(" ",100)),1201,300))," ",", ")</f>
        <v>0, 1, 4</v>
      </c>
      <c r="CD68" t="str">
        <f>SUBSTITUTE(TRIM(MID(SUBSTITUTE(SUBSTITUTE(SUBSTITUTE(Tabla1[[#This Row],[map]],"[",""),"]",""),",",REPT(" ",100)),1,300))," ",", ")</f>
        <v>4, 2, 3</v>
      </c>
      <c r="CE68" t="str">
        <f>SUBSTITUTE(TRIM(MID(SUBSTITUTE(SUBSTITUTE(SUBSTITUTE(Tabla1[[#This Row],[map]],"[",""),"]",""),",",REPT(" ",100)),1,600))," ",", ")</f>
        <v>4, 2, 3, 0, 1, -1</v>
      </c>
      <c r="CF68" t="str">
        <f>SUBSTITUTE(TRIM(MID(SUBSTITUTE(SUBSTITUTE(SUBSTITUTE(Tabla1[[#This Row],[map]],"[",""),"]",""),",",REPT(" ",100)),601,600))," ",", ")</f>
        <v>0, 1, 4, 2, 3, -1</v>
      </c>
      <c r="CG68" t="str">
        <f>SUBSTITUTE(TRIM(MID(SUBSTITUTE(SUBSTITUTE(SUBSTITUTE(Tabla1[[#This Row],[map]],"[",""),"]",""),",",REPT(" ",100)),1201,600))," ",", ")</f>
        <v>0, 1, 4, 3, 2, -1</v>
      </c>
    </row>
    <row r="69" spans="1:85" x14ac:dyDescent="0.3">
      <c r="A69" s="1">
        <v>46095.863310185188</v>
      </c>
      <c r="B69" t="s">
        <v>193</v>
      </c>
      <c r="C69">
        <v>3</v>
      </c>
      <c r="D69" t="s">
        <v>77</v>
      </c>
      <c r="E69" t="s">
        <v>78</v>
      </c>
      <c r="F69">
        <v>16590</v>
      </c>
      <c r="G69">
        <v>4.5</v>
      </c>
      <c r="H69" t="s">
        <v>79</v>
      </c>
      <c r="I69" t="s">
        <v>80</v>
      </c>
      <c r="J69">
        <v>5</v>
      </c>
      <c r="K69">
        <v>5</v>
      </c>
      <c r="L69" t="s">
        <v>81</v>
      </c>
      <c r="M69" t="s">
        <v>82</v>
      </c>
      <c r="N69" t="s">
        <v>83</v>
      </c>
      <c r="O69" t="s">
        <v>83</v>
      </c>
      <c r="P69" t="s">
        <v>84</v>
      </c>
      <c r="Q69" t="s">
        <v>189</v>
      </c>
      <c r="R69">
        <v>3</v>
      </c>
      <c r="S69" t="s">
        <v>86</v>
      </c>
      <c r="T69" t="s">
        <v>87</v>
      </c>
      <c r="U69" t="s">
        <v>88</v>
      </c>
      <c r="V69">
        <v>1</v>
      </c>
      <c r="W69" t="s">
        <v>190</v>
      </c>
      <c r="X69" t="s">
        <v>83</v>
      </c>
      <c r="Y69" t="s">
        <v>90</v>
      </c>
      <c r="Z69">
        <v>4000</v>
      </c>
      <c r="AA69">
        <v>4000</v>
      </c>
      <c r="AC69">
        <v>256</v>
      </c>
      <c r="AD69" t="s">
        <v>91</v>
      </c>
      <c r="AE69">
        <v>0.15</v>
      </c>
      <c r="AF69" t="s">
        <v>92</v>
      </c>
      <c r="AG69">
        <v>180</v>
      </c>
      <c r="AH69">
        <v>60</v>
      </c>
      <c r="AI69">
        <v>120</v>
      </c>
      <c r="AJ69">
        <v>0.12473288062135569</v>
      </c>
      <c r="AK69">
        <v>16.354063830287419</v>
      </c>
      <c r="AL69">
        <v>0.61687444222504628</v>
      </c>
      <c r="AM69">
        <v>0.20665403312906541</v>
      </c>
      <c r="AN69">
        <v>23.305355913413251</v>
      </c>
      <c r="AO69">
        <v>0.59478382904772431</v>
      </c>
      <c r="AP69">
        <v>23.305355913413251</v>
      </c>
      <c r="AQ69">
        <v>23.305355913413251</v>
      </c>
      <c r="AR69">
        <v>0.59478382904772431</v>
      </c>
      <c r="AS69">
        <v>77.817849972072963</v>
      </c>
      <c r="AT69">
        <v>0.20455869341403241</v>
      </c>
      <c r="AU69">
        <v>0.8</v>
      </c>
      <c r="AV69" t="s">
        <v>93</v>
      </c>
      <c r="AW69">
        <v>9.0673750653227136E-2</v>
      </c>
      <c r="AX69">
        <v>0.34159133285769661</v>
      </c>
      <c r="AY69">
        <v>9.0673750653227136E-2</v>
      </c>
      <c r="AZ69">
        <v>9.0673750653227136E-2</v>
      </c>
      <c r="BA69">
        <v>0.34159133285769661</v>
      </c>
      <c r="BB69">
        <v>0.13462088730195779</v>
      </c>
      <c r="BC69">
        <v>2.2478298962460341E-2</v>
      </c>
      <c r="BD69">
        <v>8.3912813169577258E-2</v>
      </c>
      <c r="BE69">
        <v>0.70926002463478577</v>
      </c>
      <c r="BF69">
        <v>8.3912813169577258E-2</v>
      </c>
      <c r="BG69">
        <v>8.3912813169577258E-2</v>
      </c>
      <c r="BH69">
        <v>0.70926002463478577</v>
      </c>
      <c r="BI69">
        <v>0.1216331400061007</v>
      </c>
      <c r="BJ69">
        <v>0.57856714852948676</v>
      </c>
      <c r="BK69">
        <v>0.1014219390662382</v>
      </c>
      <c r="BL69">
        <v>0.59282299460157306</v>
      </c>
      <c r="BM69">
        <v>0.1014219390662382</v>
      </c>
      <c r="BN69">
        <v>0.1014219390662382</v>
      </c>
      <c r="BO69">
        <v>0.59282299460157306</v>
      </c>
      <c r="BP69">
        <v>0.22373955530285961</v>
      </c>
      <c r="BQ69">
        <v>0.1017564547065493</v>
      </c>
      <c r="BR69">
        <v>92.945415150764092</v>
      </c>
      <c r="BS69">
        <v>0.7354609640968488</v>
      </c>
      <c r="BT69">
        <v>92.945415150764092</v>
      </c>
      <c r="BU69">
        <v>92.945415150764092</v>
      </c>
      <c r="BV69">
        <v>0.7354609640968488</v>
      </c>
      <c r="BW69">
        <v>310.7914063056806</v>
      </c>
      <c r="BX69">
        <v>0.1154328714576365</v>
      </c>
      <c r="BY69" t="str">
        <f t="shared" si="2"/>
        <v>[[sv,wv],[yr],[ya]]</v>
      </c>
      <c r="BZ69" t="str">
        <f>SUBSTITUTE(TRIM(MID(SUBSTITUTE(SUBSTITUTE(SUBSTITUTE(Tabla1[[#This Row],[map]],"[",""),"]",""),",",REPT(" ",100)),901,200))," ",", ")</f>
        <v>2, 3</v>
      </c>
      <c r="CA69" t="str">
        <f>SUBSTITUTE(TRIM(MID(SUBSTITUTE(SUBSTITUTE(SUBSTITUTE(Tabla1[[#This Row],[map]],"[",""),"]",""),",",REPT(" ",100)),1501,200))," ",", ")</f>
        <v>3, 2</v>
      </c>
      <c r="CB69" t="str">
        <f>SUBSTITUTE(TRIM(MID(SUBSTITUTE(SUBSTITUTE(SUBSTITUTE(Tabla1[[#This Row],[map]],"[",""),"]",""),",",REPT(" ",100)),601,300))," ",", ")</f>
        <v>0, 1, 4</v>
      </c>
      <c r="CC69" t="str">
        <f>SUBSTITUTE(TRIM(MID(SUBSTITUTE(SUBSTITUTE(SUBSTITUTE(Tabla1[[#This Row],[map]],"[",""),"]",""),",",REPT(" ",100)),1201,300))," ",", ")</f>
        <v>0, 1, 4</v>
      </c>
      <c r="CD69" t="str">
        <f>SUBSTITUTE(TRIM(MID(SUBSTITUTE(SUBSTITUTE(SUBSTITUTE(Tabla1[[#This Row],[map]],"[",""),"]",""),",",REPT(" ",100)),1,300))," ",", ")</f>
        <v>4, 2, 3</v>
      </c>
      <c r="CE69" t="str">
        <f>SUBSTITUTE(TRIM(MID(SUBSTITUTE(SUBSTITUTE(SUBSTITUTE(Tabla1[[#This Row],[map]],"[",""),"]",""),",",REPT(" ",100)),1,600))," ",", ")</f>
        <v>4, 2, 3, 0, 1, -1</v>
      </c>
      <c r="CF69" t="str">
        <f>SUBSTITUTE(TRIM(MID(SUBSTITUTE(SUBSTITUTE(SUBSTITUTE(Tabla1[[#This Row],[map]],"[",""),"]",""),",",REPT(" ",100)),601,600))," ",", ")</f>
        <v>0, 1, 4, 2, 3, -1</v>
      </c>
      <c r="CG69" t="str">
        <f>SUBSTITUTE(TRIM(MID(SUBSTITUTE(SUBSTITUTE(SUBSTITUTE(Tabla1[[#This Row],[map]],"[",""),"]",""),",",REPT(" ",100)),1201,600))," ",", ")</f>
        <v>0, 1, 4, 3, 2, -1</v>
      </c>
    </row>
    <row r="70" spans="1:85" x14ac:dyDescent="0.3">
      <c r="A70" s="1">
        <v>46095.989212962973</v>
      </c>
      <c r="B70" t="s">
        <v>194</v>
      </c>
      <c r="C70">
        <v>0</v>
      </c>
      <c r="D70" t="s">
        <v>77</v>
      </c>
      <c r="E70" t="s">
        <v>78</v>
      </c>
      <c r="F70">
        <v>16590</v>
      </c>
      <c r="G70">
        <v>4.5</v>
      </c>
      <c r="H70" t="s">
        <v>79</v>
      </c>
      <c r="I70" t="s">
        <v>80</v>
      </c>
      <c r="J70">
        <v>5</v>
      </c>
      <c r="K70">
        <v>5</v>
      </c>
      <c r="L70" t="s">
        <v>81</v>
      </c>
      <c r="M70" t="s">
        <v>82</v>
      </c>
      <c r="N70" t="s">
        <v>83</v>
      </c>
      <c r="O70" t="s">
        <v>83</v>
      </c>
      <c r="P70" t="s">
        <v>84</v>
      </c>
      <c r="Q70" t="s">
        <v>195</v>
      </c>
      <c r="R70">
        <v>3</v>
      </c>
      <c r="S70" t="s">
        <v>86</v>
      </c>
      <c r="T70" t="s">
        <v>87</v>
      </c>
      <c r="U70" t="s">
        <v>88</v>
      </c>
      <c r="V70">
        <v>1</v>
      </c>
      <c r="W70" t="s">
        <v>196</v>
      </c>
      <c r="X70" t="s">
        <v>83</v>
      </c>
      <c r="Y70" t="s">
        <v>90</v>
      </c>
      <c r="Z70">
        <v>4000</v>
      </c>
      <c r="AA70">
        <v>4000</v>
      </c>
      <c r="AC70">
        <v>256</v>
      </c>
      <c r="AD70" t="s">
        <v>91</v>
      </c>
      <c r="AE70">
        <v>0.15</v>
      </c>
      <c r="AF70" t="s">
        <v>92</v>
      </c>
      <c r="AG70">
        <v>180</v>
      </c>
      <c r="AH70">
        <v>60</v>
      </c>
      <c r="AI70">
        <v>120</v>
      </c>
      <c r="AJ70">
        <v>0.1033346285260528</v>
      </c>
      <c r="AK70">
        <v>14.795379492222679</v>
      </c>
      <c r="AL70">
        <v>0.7313496396468786</v>
      </c>
      <c r="AM70">
        <v>0.35057291815497738</v>
      </c>
      <c r="AN70">
        <v>19.554515354509149</v>
      </c>
      <c r="AO70">
        <v>0.6811236536683215</v>
      </c>
      <c r="AP70">
        <v>19.554515354509149</v>
      </c>
      <c r="AQ70">
        <v>19.554515354509149</v>
      </c>
      <c r="AR70">
        <v>0.6811236536683215</v>
      </c>
      <c r="AS70">
        <v>74.575027932190764</v>
      </c>
      <c r="AT70">
        <v>0.35782150346730862</v>
      </c>
      <c r="AU70">
        <v>0.8</v>
      </c>
      <c r="AV70" t="s">
        <v>93</v>
      </c>
      <c r="AW70">
        <v>7.5717885720255479E-2</v>
      </c>
      <c r="AX70">
        <v>0.45019024958429521</v>
      </c>
      <c r="AY70">
        <v>7.5717885720255479E-2</v>
      </c>
      <c r="AZ70">
        <v>7.5717885720255479E-2</v>
      </c>
      <c r="BA70">
        <v>0.45019024958429521</v>
      </c>
      <c r="BB70">
        <v>0.1196097646518431</v>
      </c>
      <c r="BC70">
        <v>0.1314784581614549</v>
      </c>
      <c r="BD70">
        <v>8.642315861195192E-2</v>
      </c>
      <c r="BE70">
        <v>0.70056221384158501</v>
      </c>
      <c r="BF70">
        <v>8.642315861195192E-2</v>
      </c>
      <c r="BG70">
        <v>8.642315861195192E-2</v>
      </c>
      <c r="BH70">
        <v>0.70056221384158501</v>
      </c>
      <c r="BI70">
        <v>0.15404289992487949</v>
      </c>
      <c r="BJ70">
        <v>0.46627425255261212</v>
      </c>
      <c r="BK70">
        <v>5.0873680349678943E-2</v>
      </c>
      <c r="BL70">
        <v>0.79575826483803991</v>
      </c>
      <c r="BM70">
        <v>5.0873680349678943E-2</v>
      </c>
      <c r="BN70">
        <v>5.0873680349678943E-2</v>
      </c>
      <c r="BO70">
        <v>0.79575826483803991</v>
      </c>
      <c r="BP70">
        <v>7.932296774771147E-2</v>
      </c>
      <c r="BQ70">
        <v>0.6815433744987347</v>
      </c>
      <c r="BR70">
        <v>78.005046693354501</v>
      </c>
      <c r="BS70">
        <v>0.77798388640937022</v>
      </c>
      <c r="BT70">
        <v>78.005046693354501</v>
      </c>
      <c r="BU70">
        <v>78.005046693354501</v>
      </c>
      <c r="BV70">
        <v>0.77798388640937022</v>
      </c>
      <c r="BW70">
        <v>297.94713609643878</v>
      </c>
      <c r="BX70">
        <v>0.1519899286564331</v>
      </c>
      <c r="BY70" t="str">
        <f t="shared" si="2"/>
        <v>[[sv,wv],[yr],[ya]]</v>
      </c>
      <c r="BZ70" t="str">
        <f>SUBSTITUTE(TRIM(MID(SUBSTITUTE(SUBSTITUTE(SUBSTITUTE(Tabla1[[#This Row],[map]],"[",""),"]",""),",",REPT(" ",100)),901,200))," ",", ")</f>
        <v>2, 3</v>
      </c>
      <c r="CA70" t="str">
        <f>SUBSTITUTE(TRIM(MID(SUBSTITUTE(SUBSTITUTE(SUBSTITUTE(Tabla1[[#This Row],[map]],"[",""),"]",""),",",REPT(" ",100)),1501,200))," ",", ")</f>
        <v>3, 2</v>
      </c>
      <c r="CB70" t="str">
        <f>SUBSTITUTE(TRIM(MID(SUBSTITUTE(SUBSTITUTE(SUBSTITUTE(Tabla1[[#This Row],[map]],"[",""),"]",""),",",REPT(" ",100)),601,300))," ",", ")</f>
        <v>4, 0, 1</v>
      </c>
      <c r="CC70" t="str">
        <f>SUBSTITUTE(TRIM(MID(SUBSTITUTE(SUBSTITUTE(SUBSTITUTE(Tabla1[[#This Row],[map]],"[",""),"]",""),",",REPT(" ",100)),1201,300))," ",", ")</f>
        <v>0, 1, 4</v>
      </c>
      <c r="CD70" t="str">
        <f>SUBSTITUTE(TRIM(MID(SUBSTITUTE(SUBSTITUTE(SUBSTITUTE(Tabla1[[#This Row],[map]],"[",""),"]",""),",",REPT(" ",100)),1,300))," ",", ")</f>
        <v>4, 2, 3</v>
      </c>
      <c r="CE70" t="str">
        <f>SUBSTITUTE(TRIM(MID(SUBSTITUTE(SUBSTITUTE(SUBSTITUTE(Tabla1[[#This Row],[map]],"[",""),"]",""),",",REPT(" ",100)),1,600))," ",", ")</f>
        <v>4, 2, 3, 0, 1, -1</v>
      </c>
      <c r="CF70" t="str">
        <f>SUBSTITUTE(TRIM(MID(SUBSTITUTE(SUBSTITUTE(SUBSTITUTE(Tabla1[[#This Row],[map]],"[",""),"]",""),",",REPT(" ",100)),601,600))," ",", ")</f>
        <v>4, 0, 1, 2, 3, -1</v>
      </c>
      <c r="CG70" t="str">
        <f>SUBSTITUTE(TRIM(MID(SUBSTITUTE(SUBSTITUTE(SUBSTITUTE(Tabla1[[#This Row],[map]],"[",""),"]",""),",",REPT(" ",100)),1201,600))," ",", ")</f>
        <v>0, 1, 4, 3, 2, -1</v>
      </c>
    </row>
    <row r="71" spans="1:85" x14ac:dyDescent="0.3">
      <c r="A71" s="1">
        <v>46095.997025462973</v>
      </c>
      <c r="B71" t="s">
        <v>197</v>
      </c>
      <c r="C71">
        <v>1</v>
      </c>
      <c r="D71" t="s">
        <v>77</v>
      </c>
      <c r="E71" t="s">
        <v>78</v>
      </c>
      <c r="F71">
        <v>16590</v>
      </c>
      <c r="G71">
        <v>4.5</v>
      </c>
      <c r="H71" t="s">
        <v>79</v>
      </c>
      <c r="I71" t="s">
        <v>80</v>
      </c>
      <c r="J71">
        <v>5</v>
      </c>
      <c r="K71">
        <v>5</v>
      </c>
      <c r="L71" t="s">
        <v>81</v>
      </c>
      <c r="M71" t="s">
        <v>82</v>
      </c>
      <c r="N71" t="s">
        <v>83</v>
      </c>
      <c r="O71" t="s">
        <v>83</v>
      </c>
      <c r="P71" t="s">
        <v>84</v>
      </c>
      <c r="Q71" t="s">
        <v>195</v>
      </c>
      <c r="R71">
        <v>3</v>
      </c>
      <c r="S71" t="s">
        <v>86</v>
      </c>
      <c r="T71" t="s">
        <v>87</v>
      </c>
      <c r="U71" t="s">
        <v>88</v>
      </c>
      <c r="V71">
        <v>1</v>
      </c>
      <c r="W71" t="s">
        <v>196</v>
      </c>
      <c r="X71" t="s">
        <v>83</v>
      </c>
      <c r="Y71" t="s">
        <v>90</v>
      </c>
      <c r="Z71">
        <v>4000</v>
      </c>
      <c r="AA71">
        <v>4000</v>
      </c>
      <c r="AC71">
        <v>256</v>
      </c>
      <c r="AD71" t="s">
        <v>91</v>
      </c>
      <c r="AE71">
        <v>0.15</v>
      </c>
      <c r="AF71" t="s">
        <v>92</v>
      </c>
      <c r="AG71">
        <v>180</v>
      </c>
      <c r="AH71">
        <v>60</v>
      </c>
      <c r="AI71">
        <v>120</v>
      </c>
      <c r="AJ71">
        <v>0.1176940052227459</v>
      </c>
      <c r="AK71">
        <v>19.024442973571531</v>
      </c>
      <c r="AL71">
        <v>0.68905739312609571</v>
      </c>
      <c r="AM71">
        <v>0.26020266450987078</v>
      </c>
      <c r="AN71">
        <v>24.502470256279029</v>
      </c>
      <c r="AO71">
        <v>0.63616794965789125</v>
      </c>
      <c r="AP71">
        <v>24.502470256279029</v>
      </c>
      <c r="AQ71">
        <v>24.502470256279029</v>
      </c>
      <c r="AR71">
        <v>0.63616794965789125</v>
      </c>
      <c r="AS71">
        <v>98.316367169597868</v>
      </c>
      <c r="AT71">
        <v>0.24894956539693269</v>
      </c>
      <c r="AU71">
        <v>0.8</v>
      </c>
      <c r="AV71" t="s">
        <v>93</v>
      </c>
      <c r="AW71">
        <v>7.9984012558964979E-2</v>
      </c>
      <c r="AX71">
        <v>0.41921265281015357</v>
      </c>
      <c r="AY71">
        <v>7.9984012558964979E-2</v>
      </c>
      <c r="AZ71">
        <v>7.9984012558964979E-2</v>
      </c>
      <c r="BA71">
        <v>0.41921265281015357</v>
      </c>
      <c r="BB71">
        <v>0.1172602381750605</v>
      </c>
      <c r="BC71">
        <v>0.14853905822320981</v>
      </c>
      <c r="BD71">
        <v>0.1022472648084051</v>
      </c>
      <c r="BE71">
        <v>0.64573506561529559</v>
      </c>
      <c r="BF71">
        <v>0.1022472648084051</v>
      </c>
      <c r="BG71">
        <v>0.1022472648084051</v>
      </c>
      <c r="BH71">
        <v>0.64573506561529559</v>
      </c>
      <c r="BI71">
        <v>0.19900564400110299</v>
      </c>
      <c r="BJ71">
        <v>0.31048794756178971</v>
      </c>
      <c r="BK71">
        <v>6.0281898824190161E-2</v>
      </c>
      <c r="BL71">
        <v>0.75798724350030211</v>
      </c>
      <c r="BM71">
        <v>6.0281898824190161E-2</v>
      </c>
      <c r="BN71">
        <v>6.0281898824190161E-2</v>
      </c>
      <c r="BO71">
        <v>0.75798724350030211</v>
      </c>
      <c r="BP71">
        <v>8.5952145923453169E-2</v>
      </c>
      <c r="BQ71">
        <v>0.65492932094481637</v>
      </c>
      <c r="BR71">
        <v>97.767367848924863</v>
      </c>
      <c r="BS71">
        <v>0.72173683670581035</v>
      </c>
      <c r="BT71">
        <v>97.767367848924863</v>
      </c>
      <c r="BU71">
        <v>97.767367848924863</v>
      </c>
      <c r="BV71">
        <v>0.72173683670581035</v>
      </c>
      <c r="BW71">
        <v>392.8632506502924</v>
      </c>
      <c r="BX71">
        <v>-0.11815806514208679</v>
      </c>
      <c r="BY71" t="str">
        <f t="shared" si="2"/>
        <v>[[sv,wv],[yr],[ya]]</v>
      </c>
      <c r="BZ71" t="str">
        <f>SUBSTITUTE(TRIM(MID(SUBSTITUTE(SUBSTITUTE(SUBSTITUTE(Tabla1[[#This Row],[map]],"[",""),"]",""),",",REPT(" ",100)),901,200))," ",", ")</f>
        <v>2, 3</v>
      </c>
      <c r="CA71" t="str">
        <f>SUBSTITUTE(TRIM(MID(SUBSTITUTE(SUBSTITUTE(SUBSTITUTE(Tabla1[[#This Row],[map]],"[",""),"]",""),",",REPT(" ",100)),1501,200))," ",", ")</f>
        <v>3, 2</v>
      </c>
      <c r="CB71" t="str">
        <f>SUBSTITUTE(TRIM(MID(SUBSTITUTE(SUBSTITUTE(SUBSTITUTE(Tabla1[[#This Row],[map]],"[",""),"]",""),",",REPT(" ",100)),601,300))," ",", ")</f>
        <v>4, 0, 1</v>
      </c>
      <c r="CC71" t="str">
        <f>SUBSTITUTE(TRIM(MID(SUBSTITUTE(SUBSTITUTE(SUBSTITUTE(Tabla1[[#This Row],[map]],"[",""),"]",""),",",REPT(" ",100)),1201,300))," ",", ")</f>
        <v>0, 1, 4</v>
      </c>
      <c r="CD71" t="str">
        <f>SUBSTITUTE(TRIM(MID(SUBSTITUTE(SUBSTITUTE(SUBSTITUTE(Tabla1[[#This Row],[map]],"[",""),"]",""),",",REPT(" ",100)),1,300))," ",", ")</f>
        <v>4, 2, 3</v>
      </c>
      <c r="CE71" t="str">
        <f>SUBSTITUTE(TRIM(MID(SUBSTITUTE(SUBSTITUTE(SUBSTITUTE(Tabla1[[#This Row],[map]],"[",""),"]",""),",",REPT(" ",100)),1,600))," ",", ")</f>
        <v>4, 2, 3, 0, 1, -1</v>
      </c>
      <c r="CF71" t="str">
        <f>SUBSTITUTE(TRIM(MID(SUBSTITUTE(SUBSTITUTE(SUBSTITUTE(Tabla1[[#This Row],[map]],"[",""),"]",""),",",REPT(" ",100)),601,600))," ",", ")</f>
        <v>4, 0, 1, 2, 3, -1</v>
      </c>
      <c r="CG71" t="str">
        <f>SUBSTITUTE(TRIM(MID(SUBSTITUTE(SUBSTITUTE(SUBSTITUTE(Tabla1[[#This Row],[map]],"[",""),"]",""),",",REPT(" ",100)),1201,600))," ",", ")</f>
        <v>0, 1, 4, 3, 2, -1</v>
      </c>
    </row>
    <row r="72" spans="1:85" x14ac:dyDescent="0.3">
      <c r="A72" s="1">
        <v>46096.001307870371</v>
      </c>
      <c r="B72" t="s">
        <v>198</v>
      </c>
      <c r="C72">
        <v>2</v>
      </c>
      <c r="D72" t="s">
        <v>77</v>
      </c>
      <c r="E72" t="s">
        <v>78</v>
      </c>
      <c r="F72">
        <v>16590</v>
      </c>
      <c r="G72">
        <v>4.5</v>
      </c>
      <c r="H72" t="s">
        <v>79</v>
      </c>
      <c r="I72" t="s">
        <v>80</v>
      </c>
      <c r="J72">
        <v>5</v>
      </c>
      <c r="K72">
        <v>5</v>
      </c>
      <c r="L72" t="s">
        <v>81</v>
      </c>
      <c r="M72" t="s">
        <v>82</v>
      </c>
      <c r="N72" t="s">
        <v>83</v>
      </c>
      <c r="O72" t="s">
        <v>83</v>
      </c>
      <c r="P72" t="s">
        <v>84</v>
      </c>
      <c r="Q72" t="s">
        <v>195</v>
      </c>
      <c r="R72">
        <v>3</v>
      </c>
      <c r="S72" t="s">
        <v>86</v>
      </c>
      <c r="T72" t="s">
        <v>87</v>
      </c>
      <c r="U72" t="s">
        <v>88</v>
      </c>
      <c r="V72">
        <v>1</v>
      </c>
      <c r="W72" t="s">
        <v>196</v>
      </c>
      <c r="X72" t="s">
        <v>83</v>
      </c>
      <c r="Y72" t="s">
        <v>90</v>
      </c>
      <c r="Z72">
        <v>4000</v>
      </c>
      <c r="AA72">
        <v>4000</v>
      </c>
      <c r="AC72">
        <v>256</v>
      </c>
      <c r="AD72" t="s">
        <v>91</v>
      </c>
      <c r="AE72">
        <v>0.15</v>
      </c>
      <c r="AF72" t="s">
        <v>92</v>
      </c>
      <c r="AG72">
        <v>180</v>
      </c>
      <c r="AH72">
        <v>60</v>
      </c>
      <c r="AI72">
        <v>120</v>
      </c>
      <c r="AJ72">
        <v>0.1213460600692093</v>
      </c>
      <c r="AK72">
        <v>20.0582943824474</v>
      </c>
      <c r="AL72">
        <v>0.67755583669337005</v>
      </c>
      <c r="AM72">
        <v>0.18502919732465181</v>
      </c>
      <c r="AN72">
        <v>27.37878320304095</v>
      </c>
      <c r="AO72">
        <v>0.61930877075876412</v>
      </c>
      <c r="AP72">
        <v>27.37878320304095</v>
      </c>
      <c r="AQ72">
        <v>27.37878320304095</v>
      </c>
      <c r="AR72">
        <v>0.61930877075876412</v>
      </c>
      <c r="AS72">
        <v>99.587472206311332</v>
      </c>
      <c r="AT72">
        <v>0.15204145352975981</v>
      </c>
      <c r="AU72">
        <v>0.8</v>
      </c>
      <c r="AV72" t="s">
        <v>93</v>
      </c>
      <c r="AW72">
        <v>7.4385780794697307E-2</v>
      </c>
      <c r="AX72">
        <v>0.45986305370028152</v>
      </c>
      <c r="AY72">
        <v>7.4385780794697307E-2</v>
      </c>
      <c r="AZ72">
        <v>7.4385780794697307E-2</v>
      </c>
      <c r="BA72">
        <v>0.45986305370028152</v>
      </c>
      <c r="BB72">
        <v>8.883733178202935E-2</v>
      </c>
      <c r="BC72">
        <v>0.3549261082760472</v>
      </c>
      <c r="BD72">
        <v>9.9030556710468787E-2</v>
      </c>
      <c r="BE72">
        <v>0.65688027214366129</v>
      </c>
      <c r="BF72">
        <v>9.9030556710468787E-2</v>
      </c>
      <c r="BG72">
        <v>9.9030556710468787E-2</v>
      </c>
      <c r="BH72">
        <v>0.65688027214366129</v>
      </c>
      <c r="BI72">
        <v>0.27006214537346729</v>
      </c>
      <c r="BJ72">
        <v>6.4292346696992908E-2</v>
      </c>
      <c r="BK72">
        <v>8.1833434484482312E-2</v>
      </c>
      <c r="BL72">
        <v>0.67146464461601063</v>
      </c>
      <c r="BM72">
        <v>8.1833434484482312E-2</v>
      </c>
      <c r="BN72">
        <v>8.1833434484482312E-2</v>
      </c>
      <c r="BO72">
        <v>0.67146464461601063</v>
      </c>
      <c r="BP72">
        <v>0.16907467557537101</v>
      </c>
      <c r="BQ72">
        <v>0.32121865620683021</v>
      </c>
      <c r="BR72">
        <v>109.2598830401741</v>
      </c>
      <c r="BS72">
        <v>0.68902711257510463</v>
      </c>
      <c r="BT72">
        <v>109.2598830401741</v>
      </c>
      <c r="BU72">
        <v>109.2598830401741</v>
      </c>
      <c r="BV72">
        <v>0.68902711257510463</v>
      </c>
      <c r="BW72">
        <v>397.82191467251442</v>
      </c>
      <c r="BX72">
        <v>-0.13227129706082619</v>
      </c>
      <c r="BY72" t="str">
        <f t="shared" si="2"/>
        <v>[[sv,wv],[yr],[ya]]</v>
      </c>
      <c r="BZ72" t="str">
        <f>SUBSTITUTE(TRIM(MID(SUBSTITUTE(SUBSTITUTE(SUBSTITUTE(Tabla1[[#This Row],[map]],"[",""),"]",""),",",REPT(" ",100)),901,200))," ",", ")</f>
        <v>2, 3</v>
      </c>
      <c r="CA72" t="str">
        <f>SUBSTITUTE(TRIM(MID(SUBSTITUTE(SUBSTITUTE(SUBSTITUTE(Tabla1[[#This Row],[map]],"[",""),"]",""),",",REPT(" ",100)),1501,200))," ",", ")</f>
        <v>3, 2</v>
      </c>
      <c r="CB72" t="str">
        <f>SUBSTITUTE(TRIM(MID(SUBSTITUTE(SUBSTITUTE(SUBSTITUTE(Tabla1[[#This Row],[map]],"[",""),"]",""),",",REPT(" ",100)),601,300))," ",", ")</f>
        <v>4, 0, 1</v>
      </c>
      <c r="CC72" t="str">
        <f>SUBSTITUTE(TRIM(MID(SUBSTITUTE(SUBSTITUTE(SUBSTITUTE(Tabla1[[#This Row],[map]],"[",""),"]",""),",",REPT(" ",100)),1201,300))," ",", ")</f>
        <v>0, 1, 4</v>
      </c>
      <c r="CD72" t="str">
        <f>SUBSTITUTE(TRIM(MID(SUBSTITUTE(SUBSTITUTE(SUBSTITUTE(Tabla1[[#This Row],[map]],"[",""),"]",""),",",REPT(" ",100)),1,300))," ",", ")</f>
        <v>4, 2, 3</v>
      </c>
      <c r="CE72" t="str">
        <f>SUBSTITUTE(TRIM(MID(SUBSTITUTE(SUBSTITUTE(SUBSTITUTE(Tabla1[[#This Row],[map]],"[",""),"]",""),",",REPT(" ",100)),1,600))," ",", ")</f>
        <v>4, 2, 3, 0, 1, -1</v>
      </c>
      <c r="CF72" t="str">
        <f>SUBSTITUTE(TRIM(MID(SUBSTITUTE(SUBSTITUTE(SUBSTITUTE(Tabla1[[#This Row],[map]],"[",""),"]",""),",",REPT(" ",100)),601,600))," ",", ")</f>
        <v>4, 0, 1, 2, 3, -1</v>
      </c>
      <c r="CG72" t="str">
        <f>SUBSTITUTE(TRIM(MID(SUBSTITUTE(SUBSTITUTE(SUBSTITUTE(Tabla1[[#This Row],[map]],"[",""),"]",""),",",REPT(" ",100)),1201,600))," ",", ")</f>
        <v>0, 1, 4, 3, 2, -1</v>
      </c>
    </row>
    <row r="73" spans="1:85" x14ac:dyDescent="0.3">
      <c r="A73" s="1">
        <v>46096.005671296298</v>
      </c>
      <c r="B73" t="s">
        <v>199</v>
      </c>
      <c r="C73">
        <v>3</v>
      </c>
      <c r="D73" t="s">
        <v>96</v>
      </c>
      <c r="E73" t="s">
        <v>78</v>
      </c>
      <c r="F73">
        <v>16590</v>
      </c>
      <c r="G73">
        <v>4.5</v>
      </c>
      <c r="H73" t="s">
        <v>79</v>
      </c>
      <c r="I73" t="s">
        <v>80</v>
      </c>
      <c r="J73">
        <v>5</v>
      </c>
      <c r="K73">
        <v>5</v>
      </c>
      <c r="L73" t="s">
        <v>81</v>
      </c>
      <c r="M73" t="s">
        <v>82</v>
      </c>
      <c r="N73" t="s">
        <v>83</v>
      </c>
      <c r="O73" t="s">
        <v>83</v>
      </c>
      <c r="P73" t="s">
        <v>84</v>
      </c>
      <c r="Q73" t="s">
        <v>195</v>
      </c>
      <c r="R73">
        <v>3</v>
      </c>
      <c r="S73" t="s">
        <v>86</v>
      </c>
      <c r="T73" t="s">
        <v>87</v>
      </c>
      <c r="U73" t="s">
        <v>88</v>
      </c>
      <c r="V73">
        <v>1</v>
      </c>
      <c r="W73" t="s">
        <v>196</v>
      </c>
      <c r="X73" t="s">
        <v>83</v>
      </c>
      <c r="Y73" t="s">
        <v>90</v>
      </c>
      <c r="Z73">
        <v>4000</v>
      </c>
      <c r="AA73">
        <v>4000</v>
      </c>
      <c r="AC73">
        <v>256</v>
      </c>
      <c r="AD73" t="s">
        <v>91</v>
      </c>
      <c r="AE73">
        <v>0.15</v>
      </c>
      <c r="AF73" t="s">
        <v>92</v>
      </c>
      <c r="AG73">
        <v>180</v>
      </c>
      <c r="AH73">
        <v>60</v>
      </c>
      <c r="AI73">
        <v>120</v>
      </c>
      <c r="AJ73">
        <v>0.11292906756394371</v>
      </c>
      <c r="AK73">
        <v>22.565968745669661</v>
      </c>
      <c r="AL73">
        <v>0.67853104242649354</v>
      </c>
      <c r="AM73">
        <v>0.32611064937035028</v>
      </c>
      <c r="AN73">
        <v>30.17947788099675</v>
      </c>
      <c r="AO73">
        <v>0.6498149042540865</v>
      </c>
      <c r="AP73">
        <v>30.17947788099675</v>
      </c>
      <c r="AQ73">
        <v>30.17947788099675</v>
      </c>
      <c r="AR73">
        <v>0.6498149042540865</v>
      </c>
      <c r="AS73">
        <v>91.471028780339054</v>
      </c>
      <c r="AT73">
        <v>0.33120534286205661</v>
      </c>
      <c r="AU73">
        <v>0.8</v>
      </c>
      <c r="AV73" t="s">
        <v>93</v>
      </c>
      <c r="AW73">
        <v>7.8535697427696505E-2</v>
      </c>
      <c r="AX73">
        <v>0.4297292932745741</v>
      </c>
      <c r="AY73">
        <v>7.8535697427696505E-2</v>
      </c>
      <c r="AZ73">
        <v>7.8535697427696505E-2</v>
      </c>
      <c r="BA73">
        <v>0.4297292932745741</v>
      </c>
      <c r="BB73">
        <v>0.12671137671016061</v>
      </c>
      <c r="BC73">
        <v>7.991157252814185E-2</v>
      </c>
      <c r="BD73">
        <v>8.9676102889959808E-2</v>
      </c>
      <c r="BE73">
        <v>0.68929145668866765</v>
      </c>
      <c r="BF73">
        <v>8.9676102889959808E-2</v>
      </c>
      <c r="BG73">
        <v>8.9676102889959808E-2</v>
      </c>
      <c r="BH73">
        <v>0.68929145668866765</v>
      </c>
      <c r="BI73">
        <v>0.13227835303986571</v>
      </c>
      <c r="BJ73">
        <v>0.54168375899349663</v>
      </c>
      <c r="BK73">
        <v>4.40335472499482E-2</v>
      </c>
      <c r="BL73">
        <v>0.82321923568633004</v>
      </c>
      <c r="BM73">
        <v>4.40335472499482E-2</v>
      </c>
      <c r="BN73">
        <v>4.40335472499482E-2</v>
      </c>
      <c r="BO73">
        <v>0.82321923568633004</v>
      </c>
      <c r="BP73">
        <v>6.3846155172424313E-2</v>
      </c>
      <c r="BQ73">
        <v>0.74367788164321424</v>
      </c>
      <c r="BR73">
        <v>120.50566617641989</v>
      </c>
      <c r="BS73">
        <v>0.65701963136677621</v>
      </c>
      <c r="BT73">
        <v>120.50566617641989</v>
      </c>
      <c r="BU73">
        <v>120.50566617641989</v>
      </c>
      <c r="BV73">
        <v>0.65701963136677621</v>
      </c>
      <c r="BW73">
        <v>365.56127923643379</v>
      </c>
      <c r="BX73">
        <v>-4.0451841716625303E-2</v>
      </c>
      <c r="BY73" t="str">
        <f t="shared" si="2"/>
        <v>[[sv,wv],[yr],[ya]]</v>
      </c>
      <c r="BZ73" t="str">
        <f>SUBSTITUTE(TRIM(MID(SUBSTITUTE(SUBSTITUTE(SUBSTITUTE(Tabla1[[#This Row],[map]],"[",""),"]",""),",",REPT(" ",100)),901,200))," ",", ")</f>
        <v>2, 3</v>
      </c>
      <c r="CA73" t="str">
        <f>SUBSTITUTE(TRIM(MID(SUBSTITUTE(SUBSTITUTE(SUBSTITUTE(Tabla1[[#This Row],[map]],"[",""),"]",""),",",REPT(" ",100)),1501,200))," ",", ")</f>
        <v>3, 2</v>
      </c>
      <c r="CB73" t="str">
        <f>SUBSTITUTE(TRIM(MID(SUBSTITUTE(SUBSTITUTE(SUBSTITUTE(Tabla1[[#This Row],[map]],"[",""),"]",""),",",REPT(" ",100)),601,300))," ",", ")</f>
        <v>4, 0, 1</v>
      </c>
      <c r="CC73" t="str">
        <f>SUBSTITUTE(TRIM(MID(SUBSTITUTE(SUBSTITUTE(SUBSTITUTE(Tabla1[[#This Row],[map]],"[",""),"]",""),",",REPT(" ",100)),1201,300))," ",", ")</f>
        <v>0, 1, 4</v>
      </c>
      <c r="CD73" t="str">
        <f>SUBSTITUTE(TRIM(MID(SUBSTITUTE(SUBSTITUTE(SUBSTITUTE(Tabla1[[#This Row],[map]],"[",""),"]",""),",",REPT(" ",100)),1,300))," ",", ")</f>
        <v>4, 2, 3</v>
      </c>
      <c r="CE73" t="str">
        <f>SUBSTITUTE(TRIM(MID(SUBSTITUTE(SUBSTITUTE(SUBSTITUTE(Tabla1[[#This Row],[map]],"[",""),"]",""),",",REPT(" ",100)),1,600))," ",", ")</f>
        <v>4, 2, 3, 0, 1, -1</v>
      </c>
      <c r="CF73" t="str">
        <f>SUBSTITUTE(TRIM(MID(SUBSTITUTE(SUBSTITUTE(SUBSTITUTE(Tabla1[[#This Row],[map]],"[",""),"]",""),",",REPT(" ",100)),601,600))," ",", ")</f>
        <v>4, 0, 1, 2, 3, -1</v>
      </c>
      <c r="CG73" t="str">
        <f>SUBSTITUTE(TRIM(MID(SUBSTITUTE(SUBSTITUTE(SUBSTITUTE(Tabla1[[#This Row],[map]],"[",""),"]",""),",",REPT(" ",100)),1201,600))," ",", ")</f>
        <v>0, 1, 4, 3, 2, -1</v>
      </c>
    </row>
    <row r="74" spans="1:85" x14ac:dyDescent="0.3">
      <c r="A74" s="1">
        <v>46096.133946759262</v>
      </c>
      <c r="B74" t="s">
        <v>200</v>
      </c>
      <c r="C74">
        <v>0</v>
      </c>
      <c r="D74" t="s">
        <v>77</v>
      </c>
      <c r="E74" t="s">
        <v>78</v>
      </c>
      <c r="F74">
        <v>16590</v>
      </c>
      <c r="G74">
        <v>4.5</v>
      </c>
      <c r="H74" t="s">
        <v>79</v>
      </c>
      <c r="I74" t="s">
        <v>80</v>
      </c>
      <c r="J74">
        <v>5</v>
      </c>
      <c r="K74">
        <v>5</v>
      </c>
      <c r="L74" t="s">
        <v>81</v>
      </c>
      <c r="M74" t="s">
        <v>82</v>
      </c>
      <c r="N74" t="s">
        <v>83</v>
      </c>
      <c r="O74" t="s">
        <v>83</v>
      </c>
      <c r="P74" t="s">
        <v>84</v>
      </c>
      <c r="Q74" t="s">
        <v>201</v>
      </c>
      <c r="R74">
        <v>3</v>
      </c>
      <c r="S74" t="s">
        <v>86</v>
      </c>
      <c r="T74" t="s">
        <v>87</v>
      </c>
      <c r="U74" t="s">
        <v>88</v>
      </c>
      <c r="V74">
        <v>1</v>
      </c>
      <c r="W74" t="s">
        <v>202</v>
      </c>
      <c r="X74" t="s">
        <v>83</v>
      </c>
      <c r="Y74" t="s">
        <v>90</v>
      </c>
      <c r="Z74">
        <v>4000</v>
      </c>
      <c r="AA74">
        <v>4000</v>
      </c>
      <c r="AC74">
        <v>256</v>
      </c>
      <c r="AD74" t="s">
        <v>91</v>
      </c>
      <c r="AE74">
        <v>0.15</v>
      </c>
      <c r="AF74" t="s">
        <v>92</v>
      </c>
      <c r="AG74">
        <v>180</v>
      </c>
      <c r="AH74">
        <v>60</v>
      </c>
      <c r="AI74">
        <v>120</v>
      </c>
      <c r="AJ74">
        <v>0.1078023645447745</v>
      </c>
      <c r="AK74">
        <v>13.461914282337769</v>
      </c>
      <c r="AL74">
        <v>0.71868836536348646</v>
      </c>
      <c r="AM74">
        <v>0.111190391432997</v>
      </c>
      <c r="AN74">
        <v>18.00262144106971</v>
      </c>
      <c r="AO74">
        <v>0.65752565504376115</v>
      </c>
      <c r="AP74">
        <v>18.00262144106971</v>
      </c>
      <c r="AQ74">
        <v>18.00262144106971</v>
      </c>
      <c r="AR74">
        <v>0.65752565504376115</v>
      </c>
      <c r="AS74">
        <v>113.71573377055191</v>
      </c>
      <c r="AT74">
        <v>0.15060237122937811</v>
      </c>
      <c r="AU74">
        <v>0.8</v>
      </c>
      <c r="AV74" t="s">
        <v>93</v>
      </c>
      <c r="AW74">
        <v>7.8079777336856865E-2</v>
      </c>
      <c r="AX74">
        <v>0.43303986261984301</v>
      </c>
      <c r="AY74">
        <v>7.8079777336856865E-2</v>
      </c>
      <c r="AZ74">
        <v>7.8079777336856865E-2</v>
      </c>
      <c r="BA74">
        <v>0.43303986261984301</v>
      </c>
      <c r="BB74">
        <v>0.1152091550865703</v>
      </c>
      <c r="BC74">
        <v>0.16343257341103551</v>
      </c>
      <c r="BD74">
        <v>9.7422902740755962E-2</v>
      </c>
      <c r="BE74">
        <v>0.66245044978274858</v>
      </c>
      <c r="BF74">
        <v>9.7422902740755962E-2</v>
      </c>
      <c r="BG74">
        <v>9.7422902740755962E-2</v>
      </c>
      <c r="BH74">
        <v>0.66245044978274858</v>
      </c>
      <c r="BI74">
        <v>0.13505699108268229</v>
      </c>
      <c r="BJ74">
        <v>0.53205637164223729</v>
      </c>
      <c r="BK74">
        <v>6.5040686694375516E-2</v>
      </c>
      <c r="BL74">
        <v>0.73888221541517596</v>
      </c>
      <c r="BM74">
        <v>6.5040686694375516E-2</v>
      </c>
      <c r="BN74">
        <v>6.5040686694375516E-2</v>
      </c>
      <c r="BO74">
        <v>0.73888221541517596</v>
      </c>
      <c r="BP74">
        <v>0.19920339770532711</v>
      </c>
      <c r="BQ74">
        <v>0.2002613666272566</v>
      </c>
      <c r="BR74">
        <v>71.769942397506895</v>
      </c>
      <c r="BS74">
        <v>0.79573009235727654</v>
      </c>
      <c r="BT74">
        <v>71.769942397506895</v>
      </c>
      <c r="BU74">
        <v>71.769942397506895</v>
      </c>
      <c r="BV74">
        <v>0.79573009235727654</v>
      </c>
      <c r="BW74">
        <v>454.41346553833142</v>
      </c>
      <c r="BX74">
        <v>-0.29334082676300549</v>
      </c>
      <c r="BY74" t="str">
        <f t="shared" si="2"/>
        <v>[[sv,wv],[yr],[ya]]</v>
      </c>
      <c r="BZ74" t="str">
        <f>SUBSTITUTE(TRIM(MID(SUBSTITUTE(SUBSTITUTE(SUBSTITUTE(Tabla1[[#This Row],[map]],"[",""),"]",""),",",REPT(" ",100)),901,200))," ",", ")</f>
        <v>2, 4</v>
      </c>
      <c r="CA74" t="str">
        <f>SUBSTITUTE(TRIM(MID(SUBSTITUTE(SUBSTITUTE(SUBSTITUTE(Tabla1[[#This Row],[map]],"[",""),"]",""),",",REPT(" ",100)),1501,200))," ",", ")</f>
        <v>3, 2</v>
      </c>
      <c r="CB74" t="str">
        <f>SUBSTITUTE(TRIM(MID(SUBSTITUTE(SUBSTITUTE(SUBSTITUTE(Tabla1[[#This Row],[map]],"[",""),"]",""),",",REPT(" ",100)),601,300))," ",", ")</f>
        <v>0, 1, 3</v>
      </c>
      <c r="CC74" t="str">
        <f>SUBSTITUTE(TRIM(MID(SUBSTITUTE(SUBSTITUTE(SUBSTITUTE(Tabla1[[#This Row],[map]],"[",""),"]",""),",",REPT(" ",100)),1201,300))," ",", ")</f>
        <v>0, 1, 4</v>
      </c>
      <c r="CD74" t="str">
        <f>SUBSTITUTE(TRIM(MID(SUBSTITUTE(SUBSTITUTE(SUBSTITUTE(Tabla1[[#This Row],[map]],"[",""),"]",""),",",REPT(" ",100)),1,300))," ",", ")</f>
        <v>4, 2, 3</v>
      </c>
      <c r="CE74" t="str">
        <f>SUBSTITUTE(TRIM(MID(SUBSTITUTE(SUBSTITUTE(SUBSTITUTE(Tabla1[[#This Row],[map]],"[",""),"]",""),",",REPT(" ",100)),1,600))," ",", ")</f>
        <v>4, 2, 3, 0, 1, -1</v>
      </c>
      <c r="CF74" t="str">
        <f>SUBSTITUTE(TRIM(MID(SUBSTITUTE(SUBSTITUTE(SUBSTITUTE(Tabla1[[#This Row],[map]],"[",""),"]",""),",",REPT(" ",100)),601,600))," ",", ")</f>
        <v>0, 1, 3, 2, 4, -1</v>
      </c>
      <c r="CG74" t="str">
        <f>SUBSTITUTE(TRIM(MID(SUBSTITUTE(SUBSTITUTE(SUBSTITUTE(Tabla1[[#This Row],[map]],"[",""),"]",""),",",REPT(" ",100)),1201,600))," ",", ")</f>
        <v>0, 1, 4, 3, 2, -1</v>
      </c>
    </row>
    <row r="75" spans="1:85" x14ac:dyDescent="0.3">
      <c r="A75" s="1">
        <v>46096.141655092593</v>
      </c>
      <c r="B75" t="s">
        <v>203</v>
      </c>
      <c r="C75">
        <v>1</v>
      </c>
      <c r="D75" t="s">
        <v>77</v>
      </c>
      <c r="E75" t="s">
        <v>78</v>
      </c>
      <c r="F75">
        <v>16590</v>
      </c>
      <c r="G75">
        <v>4.5</v>
      </c>
      <c r="H75" t="s">
        <v>79</v>
      </c>
      <c r="I75" t="s">
        <v>80</v>
      </c>
      <c r="J75">
        <v>5</v>
      </c>
      <c r="K75">
        <v>5</v>
      </c>
      <c r="L75" t="s">
        <v>81</v>
      </c>
      <c r="M75" t="s">
        <v>82</v>
      </c>
      <c r="N75" t="s">
        <v>83</v>
      </c>
      <c r="O75" t="s">
        <v>83</v>
      </c>
      <c r="P75" t="s">
        <v>84</v>
      </c>
      <c r="Q75" t="s">
        <v>201</v>
      </c>
      <c r="R75">
        <v>3</v>
      </c>
      <c r="S75" t="s">
        <v>86</v>
      </c>
      <c r="T75" t="s">
        <v>87</v>
      </c>
      <c r="U75" t="s">
        <v>88</v>
      </c>
      <c r="V75">
        <v>1</v>
      </c>
      <c r="W75" t="s">
        <v>202</v>
      </c>
      <c r="X75" t="s">
        <v>83</v>
      </c>
      <c r="Y75" t="s">
        <v>90</v>
      </c>
      <c r="Z75">
        <v>4000</v>
      </c>
      <c r="AA75">
        <v>4000</v>
      </c>
      <c r="AC75">
        <v>256</v>
      </c>
      <c r="AD75" t="s">
        <v>91</v>
      </c>
      <c r="AE75">
        <v>0.15</v>
      </c>
      <c r="AF75" t="s">
        <v>92</v>
      </c>
      <c r="AG75">
        <v>180</v>
      </c>
      <c r="AH75">
        <v>60</v>
      </c>
      <c r="AI75">
        <v>120</v>
      </c>
      <c r="AJ75">
        <v>0.1243697149004709</v>
      </c>
      <c r="AK75">
        <v>28.438371583631209</v>
      </c>
      <c r="AL75">
        <v>0.66826849659761745</v>
      </c>
      <c r="AM75">
        <v>7.9226370119696965E-2</v>
      </c>
      <c r="AN75">
        <v>33.312753204399868</v>
      </c>
      <c r="AO75">
        <v>0.6127840314576507</v>
      </c>
      <c r="AP75">
        <v>33.312753204399868</v>
      </c>
      <c r="AQ75">
        <v>33.312753204399868</v>
      </c>
      <c r="AR75">
        <v>0.6127840314576507</v>
      </c>
      <c r="AS75">
        <v>133.09888073091659</v>
      </c>
      <c r="AT75">
        <v>-3.7669756995262478E-3</v>
      </c>
      <c r="AU75">
        <v>0.8</v>
      </c>
      <c r="AV75" t="s">
        <v>93</v>
      </c>
      <c r="AW75">
        <v>7.8695449612945029E-2</v>
      </c>
      <c r="AX75">
        <v>0.42856928585671838</v>
      </c>
      <c r="AY75">
        <v>7.8695449612945029E-2</v>
      </c>
      <c r="AZ75">
        <v>7.8695449612945029E-2</v>
      </c>
      <c r="BA75">
        <v>0.42856928585671838</v>
      </c>
      <c r="BB75">
        <v>0.1520023350227831</v>
      </c>
      <c r="BC75">
        <v>-0.1037334849819251</v>
      </c>
      <c r="BD75">
        <v>0.10614818146047469</v>
      </c>
      <c r="BE75">
        <v>0.6322192225814971</v>
      </c>
      <c r="BF75">
        <v>0.10614818146047469</v>
      </c>
      <c r="BG75">
        <v>0.10614818146047469</v>
      </c>
      <c r="BH75">
        <v>0.6322192225814971</v>
      </c>
      <c r="BI75">
        <v>0.1855426911164601</v>
      </c>
      <c r="BJ75">
        <v>0.35713420386252881</v>
      </c>
      <c r="BK75">
        <v>5.7560309207688683E-2</v>
      </c>
      <c r="BL75">
        <v>0.76891356496657559</v>
      </c>
      <c r="BM75">
        <v>5.7560309207688683E-2</v>
      </c>
      <c r="BN75">
        <v>5.7560309207688683E-2</v>
      </c>
      <c r="BO75">
        <v>0.76891356496657559</v>
      </c>
      <c r="BP75">
        <v>0.1879781575136352</v>
      </c>
      <c r="BQ75">
        <v>0.245327155432045</v>
      </c>
      <c r="BR75">
        <v>133.00860887731861</v>
      </c>
      <c r="BS75">
        <v>0.62143405242581329</v>
      </c>
      <c r="BT75">
        <v>133.00860887731861</v>
      </c>
      <c r="BU75">
        <v>133.00860887731861</v>
      </c>
      <c r="BV75">
        <v>0.62143405242581329</v>
      </c>
      <c r="BW75">
        <v>531.86999974001321</v>
      </c>
      <c r="BX75">
        <v>-0.51379577711075153</v>
      </c>
      <c r="BY75" t="str">
        <f t="shared" si="2"/>
        <v>[[sv,wv],[yr],[ya]]</v>
      </c>
      <c r="BZ75" t="str">
        <f>SUBSTITUTE(TRIM(MID(SUBSTITUTE(SUBSTITUTE(SUBSTITUTE(Tabla1[[#This Row],[map]],"[",""),"]",""),",",REPT(" ",100)),901,200))," ",", ")</f>
        <v>2, 4</v>
      </c>
      <c r="CA75" t="str">
        <f>SUBSTITUTE(TRIM(MID(SUBSTITUTE(SUBSTITUTE(SUBSTITUTE(Tabla1[[#This Row],[map]],"[",""),"]",""),",",REPT(" ",100)),1501,200))," ",", ")</f>
        <v>3, 2</v>
      </c>
      <c r="CB75" t="str">
        <f>SUBSTITUTE(TRIM(MID(SUBSTITUTE(SUBSTITUTE(SUBSTITUTE(Tabla1[[#This Row],[map]],"[",""),"]",""),",",REPT(" ",100)),601,300))," ",", ")</f>
        <v>0, 1, 3</v>
      </c>
      <c r="CC75" t="str">
        <f>SUBSTITUTE(TRIM(MID(SUBSTITUTE(SUBSTITUTE(SUBSTITUTE(Tabla1[[#This Row],[map]],"[",""),"]",""),",",REPT(" ",100)),1201,300))," ",", ")</f>
        <v>0, 1, 4</v>
      </c>
      <c r="CD75" t="str">
        <f>SUBSTITUTE(TRIM(MID(SUBSTITUTE(SUBSTITUTE(SUBSTITUTE(Tabla1[[#This Row],[map]],"[",""),"]",""),",",REPT(" ",100)),1,300))," ",", ")</f>
        <v>4, 2, 3</v>
      </c>
      <c r="CE75" t="str">
        <f>SUBSTITUTE(TRIM(MID(SUBSTITUTE(SUBSTITUTE(SUBSTITUTE(Tabla1[[#This Row],[map]],"[",""),"]",""),",",REPT(" ",100)),1,600))," ",", ")</f>
        <v>4, 2, 3, 0, 1, -1</v>
      </c>
      <c r="CF75" t="str">
        <f>SUBSTITUTE(TRIM(MID(SUBSTITUTE(SUBSTITUTE(SUBSTITUTE(Tabla1[[#This Row],[map]],"[",""),"]",""),",",REPT(" ",100)),601,600))," ",", ")</f>
        <v>0, 1, 3, 2, 4, -1</v>
      </c>
      <c r="CG75" t="str">
        <f>SUBSTITUTE(TRIM(MID(SUBSTITUTE(SUBSTITUTE(SUBSTITUTE(Tabla1[[#This Row],[map]],"[",""),"]",""),",",REPT(" ",100)),1201,600))," ",", ")</f>
        <v>0, 1, 4, 3, 2, -1</v>
      </c>
    </row>
    <row r="76" spans="1:85" x14ac:dyDescent="0.3">
      <c r="A76" s="1">
        <v>46096.145960648151</v>
      </c>
      <c r="B76" t="s">
        <v>204</v>
      </c>
      <c r="C76">
        <v>2</v>
      </c>
      <c r="D76" t="s">
        <v>77</v>
      </c>
      <c r="E76" t="s">
        <v>78</v>
      </c>
      <c r="F76">
        <v>16590</v>
      </c>
      <c r="G76">
        <v>4.5</v>
      </c>
      <c r="H76" t="s">
        <v>79</v>
      </c>
      <c r="I76" t="s">
        <v>80</v>
      </c>
      <c r="J76">
        <v>5</v>
      </c>
      <c r="K76">
        <v>5</v>
      </c>
      <c r="L76" t="s">
        <v>81</v>
      </c>
      <c r="M76" t="s">
        <v>82</v>
      </c>
      <c r="N76" t="s">
        <v>83</v>
      </c>
      <c r="O76" t="s">
        <v>83</v>
      </c>
      <c r="P76" t="s">
        <v>84</v>
      </c>
      <c r="Q76" t="s">
        <v>201</v>
      </c>
      <c r="R76">
        <v>3</v>
      </c>
      <c r="S76" t="s">
        <v>86</v>
      </c>
      <c r="T76" t="s">
        <v>87</v>
      </c>
      <c r="U76" t="s">
        <v>88</v>
      </c>
      <c r="V76">
        <v>1</v>
      </c>
      <c r="W76" t="s">
        <v>202</v>
      </c>
      <c r="X76" t="s">
        <v>83</v>
      </c>
      <c r="Y76" t="s">
        <v>90</v>
      </c>
      <c r="Z76">
        <v>4000</v>
      </c>
      <c r="AA76">
        <v>4000</v>
      </c>
      <c r="AC76">
        <v>256</v>
      </c>
      <c r="AD76" t="s">
        <v>91</v>
      </c>
      <c r="AE76">
        <v>0.15</v>
      </c>
      <c r="AF76" t="s">
        <v>92</v>
      </c>
      <c r="AG76">
        <v>180</v>
      </c>
      <c r="AH76">
        <v>60</v>
      </c>
      <c r="AI76">
        <v>120</v>
      </c>
      <c r="AJ76">
        <v>0.11628822598627769</v>
      </c>
      <c r="AK76">
        <v>24.7010833557963</v>
      </c>
      <c r="AL76">
        <v>0.67232829395889193</v>
      </c>
      <c r="AM76">
        <v>-0.12119680294012521</v>
      </c>
      <c r="AN76">
        <v>33.445685171067318</v>
      </c>
      <c r="AO76">
        <v>0.60485820803251267</v>
      </c>
      <c r="AP76">
        <v>33.445685171067318</v>
      </c>
      <c r="AQ76">
        <v>33.445685171067318</v>
      </c>
      <c r="AR76">
        <v>0.60485820803251267</v>
      </c>
      <c r="AS76">
        <v>133.93217030374279</v>
      </c>
      <c r="AT76">
        <v>-9.9059604581366756E-2</v>
      </c>
      <c r="AU76">
        <v>0.8</v>
      </c>
      <c r="AV76" t="s">
        <v>93</v>
      </c>
      <c r="AW76">
        <v>7.3215711804672415E-2</v>
      </c>
      <c r="AX76">
        <v>0.46835926741855038</v>
      </c>
      <c r="AY76">
        <v>7.3215711804672415E-2</v>
      </c>
      <c r="AZ76">
        <v>7.3215711804672415E-2</v>
      </c>
      <c r="BA76">
        <v>0.46835926741855038</v>
      </c>
      <c r="BB76">
        <v>0.1113397457551928</v>
      </c>
      <c r="BC76">
        <v>0.19152948814265899</v>
      </c>
      <c r="BD76">
        <v>9.99162345558334E-2</v>
      </c>
      <c r="BE76">
        <v>0.653811587574328</v>
      </c>
      <c r="BF76">
        <v>9.99162345558334E-2</v>
      </c>
      <c r="BG76">
        <v>9.99162345558334E-2</v>
      </c>
      <c r="BH76">
        <v>0.653811587574328</v>
      </c>
      <c r="BI76">
        <v>0.32134117294691522</v>
      </c>
      <c r="BJ76">
        <v>-0.1133785315671816</v>
      </c>
      <c r="BK76">
        <v>8.0377513293569181E-2</v>
      </c>
      <c r="BL76">
        <v>0.67730970768688081</v>
      </c>
      <c r="BM76">
        <v>8.0377513293569181E-2</v>
      </c>
      <c r="BN76">
        <v>8.0377513293569181E-2</v>
      </c>
      <c r="BO76">
        <v>0.67730970768688081</v>
      </c>
      <c r="BP76">
        <v>0.23700924853074859</v>
      </c>
      <c r="BQ76">
        <v>4.8482833625819621E-2</v>
      </c>
      <c r="BR76">
        <v>133.52923122461539</v>
      </c>
      <c r="BS76">
        <v>0.61995226945028792</v>
      </c>
      <c r="BT76">
        <v>133.52923122461539</v>
      </c>
      <c r="BU76">
        <v>133.52923122461539</v>
      </c>
      <c r="BV76">
        <v>0.61995226945028792</v>
      </c>
      <c r="BW76">
        <v>535.05899104773812</v>
      </c>
      <c r="BX76">
        <v>-0.52287220852676786</v>
      </c>
      <c r="BY76" t="str">
        <f t="shared" si="2"/>
        <v>[[sv,wv],[yr],[ya]]</v>
      </c>
      <c r="BZ76" t="str">
        <f>SUBSTITUTE(TRIM(MID(SUBSTITUTE(SUBSTITUTE(SUBSTITUTE(Tabla1[[#This Row],[map]],"[",""),"]",""),",",REPT(" ",100)),901,200))," ",", ")</f>
        <v>2, 4</v>
      </c>
      <c r="CA76" t="str">
        <f>SUBSTITUTE(TRIM(MID(SUBSTITUTE(SUBSTITUTE(SUBSTITUTE(Tabla1[[#This Row],[map]],"[",""),"]",""),",",REPT(" ",100)),1501,200))," ",", ")</f>
        <v>3, 2</v>
      </c>
      <c r="CB76" t="str">
        <f>SUBSTITUTE(TRIM(MID(SUBSTITUTE(SUBSTITUTE(SUBSTITUTE(Tabla1[[#This Row],[map]],"[",""),"]",""),",",REPT(" ",100)),601,300))," ",", ")</f>
        <v>0, 1, 3</v>
      </c>
      <c r="CC76" t="str">
        <f>SUBSTITUTE(TRIM(MID(SUBSTITUTE(SUBSTITUTE(SUBSTITUTE(Tabla1[[#This Row],[map]],"[",""),"]",""),",",REPT(" ",100)),1201,300))," ",", ")</f>
        <v>0, 1, 4</v>
      </c>
      <c r="CD76" t="str">
        <f>SUBSTITUTE(TRIM(MID(SUBSTITUTE(SUBSTITUTE(SUBSTITUTE(Tabla1[[#This Row],[map]],"[",""),"]",""),",",REPT(" ",100)),1,300))," ",", ")</f>
        <v>4, 2, 3</v>
      </c>
      <c r="CE76" t="str">
        <f>SUBSTITUTE(TRIM(MID(SUBSTITUTE(SUBSTITUTE(SUBSTITUTE(Tabla1[[#This Row],[map]],"[",""),"]",""),",",REPT(" ",100)),1,600))," ",", ")</f>
        <v>4, 2, 3, 0, 1, -1</v>
      </c>
      <c r="CF76" t="str">
        <f>SUBSTITUTE(TRIM(MID(SUBSTITUTE(SUBSTITUTE(SUBSTITUTE(Tabla1[[#This Row],[map]],"[",""),"]",""),",",REPT(" ",100)),601,600))," ",", ")</f>
        <v>0, 1, 3, 2, 4, -1</v>
      </c>
      <c r="CG76" t="str">
        <f>SUBSTITUTE(TRIM(MID(SUBSTITUTE(SUBSTITUTE(SUBSTITUTE(Tabla1[[#This Row],[map]],"[",""),"]",""),",",REPT(" ",100)),1201,600))," ",", ")</f>
        <v>0, 1, 4, 3, 2, -1</v>
      </c>
    </row>
    <row r="77" spans="1:85" x14ac:dyDescent="0.3">
      <c r="A77" s="1">
        <v>46096.151284722233</v>
      </c>
      <c r="B77" t="s">
        <v>205</v>
      </c>
      <c r="C77">
        <v>3</v>
      </c>
      <c r="D77" t="s">
        <v>77</v>
      </c>
      <c r="E77" t="s">
        <v>78</v>
      </c>
      <c r="F77">
        <v>16590</v>
      </c>
      <c r="G77">
        <v>4.5</v>
      </c>
      <c r="H77" t="s">
        <v>79</v>
      </c>
      <c r="I77" t="s">
        <v>80</v>
      </c>
      <c r="J77">
        <v>5</v>
      </c>
      <c r="K77">
        <v>5</v>
      </c>
      <c r="L77" t="s">
        <v>81</v>
      </c>
      <c r="M77" t="s">
        <v>82</v>
      </c>
      <c r="N77" t="s">
        <v>83</v>
      </c>
      <c r="O77" t="s">
        <v>83</v>
      </c>
      <c r="P77" t="s">
        <v>84</v>
      </c>
      <c r="Q77" t="s">
        <v>201</v>
      </c>
      <c r="R77">
        <v>3</v>
      </c>
      <c r="S77" t="s">
        <v>86</v>
      </c>
      <c r="T77" t="s">
        <v>87</v>
      </c>
      <c r="U77" t="s">
        <v>88</v>
      </c>
      <c r="V77">
        <v>1</v>
      </c>
      <c r="W77" t="s">
        <v>202</v>
      </c>
      <c r="X77" t="s">
        <v>83</v>
      </c>
      <c r="Y77" t="s">
        <v>90</v>
      </c>
      <c r="Z77">
        <v>4000</v>
      </c>
      <c r="AA77">
        <v>4000</v>
      </c>
      <c r="AC77">
        <v>256</v>
      </c>
      <c r="AD77" t="s">
        <v>91</v>
      </c>
      <c r="AE77">
        <v>0.15</v>
      </c>
      <c r="AF77" t="s">
        <v>92</v>
      </c>
      <c r="AG77">
        <v>180</v>
      </c>
      <c r="AH77">
        <v>60</v>
      </c>
      <c r="AI77">
        <v>120</v>
      </c>
      <c r="AJ77">
        <v>0.10838142148100539</v>
      </c>
      <c r="AK77">
        <v>17.383175680943349</v>
      </c>
      <c r="AL77">
        <v>0.67325034582194998</v>
      </c>
      <c r="AM77">
        <v>0.28418357295751351</v>
      </c>
      <c r="AN77">
        <v>24.00900816542666</v>
      </c>
      <c r="AO77">
        <v>0.64674217332899775</v>
      </c>
      <c r="AP77">
        <v>24.00900816542666</v>
      </c>
      <c r="AQ77">
        <v>24.00900816542666</v>
      </c>
      <c r="AR77">
        <v>0.64674217332899775</v>
      </c>
      <c r="AS77">
        <v>78.102300748163131</v>
      </c>
      <c r="AT77">
        <v>0.27102219470423489</v>
      </c>
      <c r="AU77">
        <v>0.8</v>
      </c>
      <c r="AV77" t="s">
        <v>93</v>
      </c>
      <c r="AW77">
        <v>8.5081634671316062E-2</v>
      </c>
      <c r="AX77">
        <v>0.38219732526046268</v>
      </c>
      <c r="AY77">
        <v>8.5081634671316062E-2</v>
      </c>
      <c r="AZ77">
        <v>8.5081634671316062E-2</v>
      </c>
      <c r="BA77">
        <v>0.38219732526046268</v>
      </c>
      <c r="BB77">
        <v>0.13409277899805511</v>
      </c>
      <c r="BC77">
        <v>2.631304807093415E-2</v>
      </c>
      <c r="BD77">
        <v>8.5598825288446118E-2</v>
      </c>
      <c r="BE77">
        <v>0.70341835274476372</v>
      </c>
      <c r="BF77">
        <v>8.5598825288446118E-2</v>
      </c>
      <c r="BG77">
        <v>8.5598825288446118E-2</v>
      </c>
      <c r="BH77">
        <v>0.70341835274476372</v>
      </c>
      <c r="BI77">
        <v>0.1283966834929805</v>
      </c>
      <c r="BJ77">
        <v>0.55513291491866656</v>
      </c>
      <c r="BK77">
        <v>5.6282761200000073E-2</v>
      </c>
      <c r="BL77">
        <v>0.77404251612657704</v>
      </c>
      <c r="BM77">
        <v>5.6282761200000073E-2</v>
      </c>
      <c r="BN77">
        <v>5.6282761200000073E-2</v>
      </c>
      <c r="BO77">
        <v>0.77404251612657704</v>
      </c>
      <c r="BP77">
        <v>0.1517839665851658</v>
      </c>
      <c r="BQ77">
        <v>0.39063538371831441</v>
      </c>
      <c r="BR77">
        <v>95.809069440547177</v>
      </c>
      <c r="BS77">
        <v>0.72731049918418644</v>
      </c>
      <c r="BT77">
        <v>95.809069440547177</v>
      </c>
      <c r="BU77">
        <v>95.809069440547177</v>
      </c>
      <c r="BV77">
        <v>0.72731049918418644</v>
      </c>
      <c r="BW77">
        <v>311.9949295635775</v>
      </c>
      <c r="BX77">
        <v>0.1120074321090184</v>
      </c>
      <c r="BY77" t="str">
        <f t="shared" si="2"/>
        <v>[[sv,wv],[yr],[ya]]</v>
      </c>
      <c r="BZ77" t="str">
        <f>SUBSTITUTE(TRIM(MID(SUBSTITUTE(SUBSTITUTE(SUBSTITUTE(Tabla1[[#This Row],[map]],"[",""),"]",""),",",REPT(" ",100)),901,200))," ",", ")</f>
        <v>2, 4</v>
      </c>
      <c r="CA77" t="str">
        <f>SUBSTITUTE(TRIM(MID(SUBSTITUTE(SUBSTITUTE(SUBSTITUTE(Tabla1[[#This Row],[map]],"[",""),"]",""),",",REPT(" ",100)),1501,200))," ",", ")</f>
        <v>3, 2</v>
      </c>
      <c r="CB77" t="str">
        <f>SUBSTITUTE(TRIM(MID(SUBSTITUTE(SUBSTITUTE(SUBSTITUTE(Tabla1[[#This Row],[map]],"[",""),"]",""),",",REPT(" ",100)),601,300))," ",", ")</f>
        <v>0, 1, 3</v>
      </c>
      <c r="CC77" t="str">
        <f>SUBSTITUTE(TRIM(MID(SUBSTITUTE(SUBSTITUTE(SUBSTITUTE(Tabla1[[#This Row],[map]],"[",""),"]",""),",",REPT(" ",100)),1201,300))," ",", ")</f>
        <v>0, 1, 4</v>
      </c>
      <c r="CD77" t="str">
        <f>SUBSTITUTE(TRIM(MID(SUBSTITUTE(SUBSTITUTE(SUBSTITUTE(Tabla1[[#This Row],[map]],"[",""),"]",""),",",REPT(" ",100)),1,300))," ",", ")</f>
        <v>4, 2, 3</v>
      </c>
      <c r="CE77" t="str">
        <f>SUBSTITUTE(TRIM(MID(SUBSTITUTE(SUBSTITUTE(SUBSTITUTE(Tabla1[[#This Row],[map]],"[",""),"]",""),",",REPT(" ",100)),1,600))," ",", ")</f>
        <v>4, 2, 3, 0, 1, -1</v>
      </c>
      <c r="CF77" t="str">
        <f>SUBSTITUTE(TRIM(MID(SUBSTITUTE(SUBSTITUTE(SUBSTITUTE(Tabla1[[#This Row],[map]],"[",""),"]",""),",",REPT(" ",100)),601,600))," ",", ")</f>
        <v>0, 1, 3, 2, 4, -1</v>
      </c>
      <c r="CG77" t="str">
        <f>SUBSTITUTE(TRIM(MID(SUBSTITUTE(SUBSTITUTE(SUBSTITUTE(Tabla1[[#This Row],[map]],"[",""),"]",""),",",REPT(" ",100)),1201,600))," ",", ")</f>
        <v>0, 1, 4, 3, 2, -1</v>
      </c>
    </row>
    <row r="78" spans="1:85" x14ac:dyDescent="0.3">
      <c r="A78" s="1">
        <v>46096.2815625</v>
      </c>
      <c r="B78" t="s">
        <v>206</v>
      </c>
      <c r="C78">
        <v>0</v>
      </c>
      <c r="D78" t="s">
        <v>96</v>
      </c>
      <c r="E78" t="s">
        <v>78</v>
      </c>
      <c r="F78">
        <v>16590</v>
      </c>
      <c r="G78">
        <v>4.5</v>
      </c>
      <c r="H78" t="s">
        <v>79</v>
      </c>
      <c r="I78" t="s">
        <v>80</v>
      </c>
      <c r="J78">
        <v>5</v>
      </c>
      <c r="K78">
        <v>5</v>
      </c>
      <c r="L78" t="s">
        <v>81</v>
      </c>
      <c r="M78" t="s">
        <v>82</v>
      </c>
      <c r="N78" t="s">
        <v>83</v>
      </c>
      <c r="O78" t="s">
        <v>83</v>
      </c>
      <c r="P78" t="s">
        <v>84</v>
      </c>
      <c r="Q78" t="s">
        <v>207</v>
      </c>
      <c r="R78">
        <v>3</v>
      </c>
      <c r="S78" t="s">
        <v>86</v>
      </c>
      <c r="T78" t="s">
        <v>87</v>
      </c>
      <c r="U78" t="s">
        <v>88</v>
      </c>
      <c r="V78">
        <v>1</v>
      </c>
      <c r="W78" t="s">
        <v>208</v>
      </c>
      <c r="X78" t="s">
        <v>83</v>
      </c>
      <c r="Y78" t="s">
        <v>90</v>
      </c>
      <c r="Z78">
        <v>4000</v>
      </c>
      <c r="AA78">
        <v>4000</v>
      </c>
      <c r="AC78">
        <v>256</v>
      </c>
      <c r="AD78" t="s">
        <v>91</v>
      </c>
      <c r="AE78">
        <v>0.15</v>
      </c>
      <c r="AF78" t="s">
        <v>92</v>
      </c>
      <c r="AG78">
        <v>180</v>
      </c>
      <c r="AH78">
        <v>60</v>
      </c>
      <c r="AI78">
        <v>120</v>
      </c>
      <c r="AJ78">
        <v>0.1213973576511192</v>
      </c>
      <c r="AK78">
        <v>19.845291570626902</v>
      </c>
      <c r="AL78">
        <v>0.67554474059379588</v>
      </c>
      <c r="AM78">
        <v>-3.8237537594424359E-2</v>
      </c>
      <c r="AN78">
        <v>24.970983862220521</v>
      </c>
      <c r="AO78">
        <v>0.60448403955614394</v>
      </c>
      <c r="AP78">
        <v>24.970983862220521</v>
      </c>
      <c r="AQ78">
        <v>24.970983862220521</v>
      </c>
      <c r="AR78">
        <v>0.60448403955614394</v>
      </c>
      <c r="AS78">
        <v>107.0710535948773</v>
      </c>
      <c r="AT78">
        <v>-4.803493123624461E-2</v>
      </c>
      <c r="AU78">
        <v>0.8</v>
      </c>
      <c r="AV78" t="s">
        <v>93</v>
      </c>
      <c r="AW78">
        <v>6.8227443352730871E-2</v>
      </c>
      <c r="AX78">
        <v>0.50458054600391944</v>
      </c>
      <c r="AY78">
        <v>6.8227443352730871E-2</v>
      </c>
      <c r="AZ78">
        <v>6.8227443352730871E-2</v>
      </c>
      <c r="BA78">
        <v>0.50458054600391944</v>
      </c>
      <c r="BB78">
        <v>8.5882670127615121E-2</v>
      </c>
      <c r="BC78">
        <v>0.37638077214210081</v>
      </c>
      <c r="BD78">
        <v>8.4538979162391767E-2</v>
      </c>
      <c r="BE78">
        <v>0.7070904932074753</v>
      </c>
      <c r="BF78">
        <v>8.4538979162391767E-2</v>
      </c>
      <c r="BG78">
        <v>8.4538979162391767E-2</v>
      </c>
      <c r="BH78">
        <v>0.7070904932074753</v>
      </c>
      <c r="BI78">
        <v>0.18074867895281371</v>
      </c>
      <c r="BJ78">
        <v>0.37374443209480551</v>
      </c>
      <c r="BK78">
        <v>0.12709447742856891</v>
      </c>
      <c r="BL78">
        <v>0.48975587334960152</v>
      </c>
      <c r="BM78">
        <v>0.12709447742856891</v>
      </c>
      <c r="BN78">
        <v>0.12709447742856891</v>
      </c>
      <c r="BO78">
        <v>0.48975587334960152</v>
      </c>
      <c r="BP78">
        <v>0.42974109188568771</v>
      </c>
      <c r="BQ78">
        <v>-0.72527455599508417</v>
      </c>
      <c r="BR78">
        <v>99.604074548938272</v>
      </c>
      <c r="BS78">
        <v>0.7165092456635811</v>
      </c>
      <c r="BT78">
        <v>99.604074548938272</v>
      </c>
      <c r="BU78">
        <v>99.604074548938272</v>
      </c>
      <c r="BV78">
        <v>0.7165092456635811</v>
      </c>
      <c r="BW78">
        <v>427.58784193854171</v>
      </c>
      <c r="BX78">
        <v>-0.21699037318680389</v>
      </c>
      <c r="BY78" t="str">
        <f t="shared" si="2"/>
        <v>[[sv,wv],[yr],[ya]]</v>
      </c>
      <c r="BZ78" t="str">
        <f>SUBSTITUTE(TRIM(MID(SUBSTITUTE(SUBSTITUTE(SUBSTITUTE(Tabla1[[#This Row],[map]],"[",""),"]",""),",",REPT(" ",100)),901,200))," ",", ")</f>
        <v>2, 4</v>
      </c>
      <c r="CA78" t="str">
        <f>SUBSTITUTE(TRIM(MID(SUBSTITUTE(SUBSTITUTE(SUBSTITUTE(Tabla1[[#This Row],[map]],"[",""),"]",""),",",REPT(" ",100)),1501,200))," ",", ")</f>
        <v>3, 2</v>
      </c>
      <c r="CB78" t="str">
        <f>SUBSTITUTE(TRIM(MID(SUBSTITUTE(SUBSTITUTE(SUBSTITUTE(Tabla1[[#This Row],[map]],"[",""),"]",""),",",REPT(" ",100)),601,300))," ",", ")</f>
        <v>3, 0, 1</v>
      </c>
      <c r="CC78" t="str">
        <f>SUBSTITUTE(TRIM(MID(SUBSTITUTE(SUBSTITUTE(SUBSTITUTE(Tabla1[[#This Row],[map]],"[",""),"]",""),",",REPT(" ",100)),1201,300))," ",", ")</f>
        <v>0, 1, 4</v>
      </c>
      <c r="CD78" t="str">
        <f>SUBSTITUTE(TRIM(MID(SUBSTITUTE(SUBSTITUTE(SUBSTITUTE(Tabla1[[#This Row],[map]],"[",""),"]",""),",",REPT(" ",100)),1,300))," ",", ")</f>
        <v>4, 2, 3</v>
      </c>
      <c r="CE78" t="str">
        <f>SUBSTITUTE(TRIM(MID(SUBSTITUTE(SUBSTITUTE(SUBSTITUTE(Tabla1[[#This Row],[map]],"[",""),"]",""),",",REPT(" ",100)),1,600))," ",", ")</f>
        <v>4, 2, 3, 0, 1, -1</v>
      </c>
      <c r="CF78" t="str">
        <f>SUBSTITUTE(TRIM(MID(SUBSTITUTE(SUBSTITUTE(SUBSTITUTE(Tabla1[[#This Row],[map]],"[",""),"]",""),",",REPT(" ",100)),601,600))," ",", ")</f>
        <v>3, 0, 1, 2, 4, -1</v>
      </c>
      <c r="CG78" t="str">
        <f>SUBSTITUTE(TRIM(MID(SUBSTITUTE(SUBSTITUTE(SUBSTITUTE(Tabla1[[#This Row],[map]],"[",""),"]",""),",",REPT(" ",100)),1201,600))," ",", ")</f>
        <v>0, 1, 4, 3, 2, -1</v>
      </c>
    </row>
    <row r="79" spans="1:85" x14ac:dyDescent="0.3">
      <c r="A79" s="1">
        <v>46096.287604166668</v>
      </c>
      <c r="B79" t="s">
        <v>209</v>
      </c>
      <c r="C79">
        <v>1</v>
      </c>
      <c r="D79" t="s">
        <v>96</v>
      </c>
      <c r="E79" t="s">
        <v>78</v>
      </c>
      <c r="F79">
        <v>16590</v>
      </c>
      <c r="G79">
        <v>4.5</v>
      </c>
      <c r="H79" t="s">
        <v>79</v>
      </c>
      <c r="I79" t="s">
        <v>80</v>
      </c>
      <c r="J79">
        <v>5</v>
      </c>
      <c r="K79">
        <v>5</v>
      </c>
      <c r="L79" t="s">
        <v>81</v>
      </c>
      <c r="M79" t="s">
        <v>82</v>
      </c>
      <c r="N79" t="s">
        <v>83</v>
      </c>
      <c r="O79" t="s">
        <v>83</v>
      </c>
      <c r="P79" t="s">
        <v>84</v>
      </c>
      <c r="Q79" t="s">
        <v>207</v>
      </c>
      <c r="R79">
        <v>3</v>
      </c>
      <c r="S79" t="s">
        <v>86</v>
      </c>
      <c r="T79" t="s">
        <v>87</v>
      </c>
      <c r="U79" t="s">
        <v>88</v>
      </c>
      <c r="V79">
        <v>1</v>
      </c>
      <c r="W79" t="s">
        <v>208</v>
      </c>
      <c r="X79" t="s">
        <v>83</v>
      </c>
      <c r="Y79" t="s">
        <v>90</v>
      </c>
      <c r="Z79">
        <v>4000</v>
      </c>
      <c r="AA79">
        <v>4000</v>
      </c>
      <c r="AC79">
        <v>256</v>
      </c>
      <c r="AD79" t="s">
        <v>91</v>
      </c>
      <c r="AE79">
        <v>0.15</v>
      </c>
      <c r="AF79" t="s">
        <v>92</v>
      </c>
      <c r="AG79">
        <v>180</v>
      </c>
      <c r="AH79">
        <v>60</v>
      </c>
      <c r="AI79">
        <v>120</v>
      </c>
      <c r="AJ79">
        <v>0.11771800891476721</v>
      </c>
      <c r="AK79">
        <v>19.166601730930399</v>
      </c>
      <c r="AL79">
        <v>0.70745730520781858</v>
      </c>
      <c r="AM79">
        <v>-0.1167532287571387</v>
      </c>
      <c r="AN79">
        <v>23.246911231361729</v>
      </c>
      <c r="AO79">
        <v>0.64266514139701103</v>
      </c>
      <c r="AP79">
        <v>23.246911231361729</v>
      </c>
      <c r="AQ79">
        <v>23.246911231361729</v>
      </c>
      <c r="AR79">
        <v>0.64266514139701103</v>
      </c>
      <c r="AS79">
        <v>95.918875401297043</v>
      </c>
      <c r="AT79">
        <v>-0.1211106341564183</v>
      </c>
      <c r="AU79">
        <v>0.8</v>
      </c>
      <c r="AV79" t="s">
        <v>93</v>
      </c>
      <c r="AW79">
        <v>7.5408545137099936E-2</v>
      </c>
      <c r="AX79">
        <v>0.45243646218255201</v>
      </c>
      <c r="AY79">
        <v>7.5408545137099936E-2</v>
      </c>
      <c r="AZ79">
        <v>7.5408545137099936E-2</v>
      </c>
      <c r="BA79">
        <v>0.45243646218255201</v>
      </c>
      <c r="BB79">
        <v>0.1051645648467414</v>
      </c>
      <c r="BC79">
        <v>0.2363692857908819</v>
      </c>
      <c r="BD79">
        <v>0.1023190528622181</v>
      </c>
      <c r="BE79">
        <v>0.6454863353414706</v>
      </c>
      <c r="BF79">
        <v>0.1023190528622181</v>
      </c>
      <c r="BG79">
        <v>0.1023190528622181</v>
      </c>
      <c r="BH79">
        <v>0.6454863353414706</v>
      </c>
      <c r="BI79">
        <v>0.37270061971509311</v>
      </c>
      <c r="BJ79">
        <v>-0.29132804516500221</v>
      </c>
      <c r="BK79">
        <v>6.5583126258918933E-2</v>
      </c>
      <c r="BL79">
        <v>0.73670449213820166</v>
      </c>
      <c r="BM79">
        <v>6.5583126258918933E-2</v>
      </c>
      <c r="BN79">
        <v>6.5583126258918933E-2</v>
      </c>
      <c r="BO79">
        <v>0.73670449213820166</v>
      </c>
      <c r="BP79">
        <v>0.33372133013308142</v>
      </c>
      <c r="BQ79">
        <v>-0.33978558379191443</v>
      </c>
      <c r="BR79">
        <v>92.744334201188479</v>
      </c>
      <c r="BS79">
        <v>0.73603327592581791</v>
      </c>
      <c r="BT79">
        <v>92.744334201188479</v>
      </c>
      <c r="BU79">
        <v>92.744334201188479</v>
      </c>
      <c r="BV79">
        <v>0.73603327592581791</v>
      </c>
      <c r="BW79">
        <v>382.86391509049162</v>
      </c>
      <c r="BX79">
        <v>-8.9698193459647246E-2</v>
      </c>
      <c r="BY79" t="str">
        <f t="shared" si="2"/>
        <v>[[sv,wv],[yr],[ya]]</v>
      </c>
      <c r="BZ79" t="str">
        <f>SUBSTITUTE(TRIM(MID(SUBSTITUTE(SUBSTITUTE(SUBSTITUTE(Tabla1[[#This Row],[map]],"[",""),"]",""),",",REPT(" ",100)),901,200))," ",", ")</f>
        <v>2, 4</v>
      </c>
      <c r="CA79" t="str">
        <f>SUBSTITUTE(TRIM(MID(SUBSTITUTE(SUBSTITUTE(SUBSTITUTE(Tabla1[[#This Row],[map]],"[",""),"]",""),",",REPT(" ",100)),1501,200))," ",", ")</f>
        <v>3, 2</v>
      </c>
      <c r="CB79" t="str">
        <f>SUBSTITUTE(TRIM(MID(SUBSTITUTE(SUBSTITUTE(SUBSTITUTE(Tabla1[[#This Row],[map]],"[",""),"]",""),",",REPT(" ",100)),601,300))," ",", ")</f>
        <v>3, 0, 1</v>
      </c>
      <c r="CC79" t="str">
        <f>SUBSTITUTE(TRIM(MID(SUBSTITUTE(SUBSTITUTE(SUBSTITUTE(Tabla1[[#This Row],[map]],"[",""),"]",""),",",REPT(" ",100)),1201,300))," ",", ")</f>
        <v>0, 1, 4</v>
      </c>
      <c r="CD79" t="str">
        <f>SUBSTITUTE(TRIM(MID(SUBSTITUTE(SUBSTITUTE(SUBSTITUTE(Tabla1[[#This Row],[map]],"[",""),"]",""),",",REPT(" ",100)),1,300))," ",", ")</f>
        <v>4, 2, 3</v>
      </c>
      <c r="CE79" t="str">
        <f>SUBSTITUTE(TRIM(MID(SUBSTITUTE(SUBSTITUTE(SUBSTITUTE(Tabla1[[#This Row],[map]],"[",""),"]",""),",",REPT(" ",100)),1,600))," ",", ")</f>
        <v>4, 2, 3, 0, 1, -1</v>
      </c>
      <c r="CF79" t="str">
        <f>SUBSTITUTE(TRIM(MID(SUBSTITUTE(SUBSTITUTE(SUBSTITUTE(Tabla1[[#This Row],[map]],"[",""),"]",""),",",REPT(" ",100)),601,600))," ",", ")</f>
        <v>3, 0, 1, 2, 4, -1</v>
      </c>
      <c r="CG79" t="str">
        <f>SUBSTITUTE(TRIM(MID(SUBSTITUTE(SUBSTITUTE(SUBSTITUTE(Tabla1[[#This Row],[map]],"[",""),"]",""),",",REPT(" ",100)),1201,600))," ",", ")</f>
        <v>0, 1, 4, 3, 2, -1</v>
      </c>
    </row>
    <row r="80" spans="1:85" x14ac:dyDescent="0.3">
      <c r="A80" s="1">
        <v>46096.291990740741</v>
      </c>
      <c r="B80" t="s">
        <v>210</v>
      </c>
      <c r="C80">
        <v>2</v>
      </c>
      <c r="D80" t="s">
        <v>77</v>
      </c>
      <c r="E80" t="s">
        <v>78</v>
      </c>
      <c r="F80">
        <v>16590</v>
      </c>
      <c r="G80">
        <v>4.5</v>
      </c>
      <c r="H80" t="s">
        <v>79</v>
      </c>
      <c r="I80" t="s">
        <v>80</v>
      </c>
      <c r="J80">
        <v>5</v>
      </c>
      <c r="K80">
        <v>5</v>
      </c>
      <c r="L80" t="s">
        <v>81</v>
      </c>
      <c r="M80" t="s">
        <v>82</v>
      </c>
      <c r="N80" t="s">
        <v>83</v>
      </c>
      <c r="O80" t="s">
        <v>83</v>
      </c>
      <c r="P80" t="s">
        <v>84</v>
      </c>
      <c r="Q80" t="s">
        <v>207</v>
      </c>
      <c r="R80">
        <v>3</v>
      </c>
      <c r="S80" t="s">
        <v>86</v>
      </c>
      <c r="T80" t="s">
        <v>87</v>
      </c>
      <c r="U80" t="s">
        <v>88</v>
      </c>
      <c r="V80">
        <v>1</v>
      </c>
      <c r="W80" t="s">
        <v>208</v>
      </c>
      <c r="X80" t="s">
        <v>83</v>
      </c>
      <c r="Y80" t="s">
        <v>90</v>
      </c>
      <c r="Z80">
        <v>4000</v>
      </c>
      <c r="AA80">
        <v>4000</v>
      </c>
      <c r="AC80">
        <v>256</v>
      </c>
      <c r="AD80" t="s">
        <v>91</v>
      </c>
      <c r="AE80">
        <v>0.15</v>
      </c>
      <c r="AF80" t="s">
        <v>92</v>
      </c>
      <c r="AG80">
        <v>180</v>
      </c>
      <c r="AH80">
        <v>60</v>
      </c>
      <c r="AI80">
        <v>120</v>
      </c>
      <c r="AJ80">
        <v>0.1152427529738726</v>
      </c>
      <c r="AK80">
        <v>20.015740316080219</v>
      </c>
      <c r="AL80">
        <v>0.69493577968119413</v>
      </c>
      <c r="AM80">
        <v>-0.2733919061353598</v>
      </c>
      <c r="AN80">
        <v>27.55093896565106</v>
      </c>
      <c r="AO80">
        <v>0.62252899301606091</v>
      </c>
      <c r="AP80">
        <v>27.55093896565106</v>
      </c>
      <c r="AQ80">
        <v>27.55093896565106</v>
      </c>
      <c r="AR80">
        <v>0.62252899301606091</v>
      </c>
      <c r="AS80">
        <v>133.48770292807481</v>
      </c>
      <c r="AT80">
        <v>-0.32168802032366678</v>
      </c>
      <c r="AU80">
        <v>0.8</v>
      </c>
      <c r="AV80" t="s">
        <v>93</v>
      </c>
      <c r="AW80">
        <v>7.8186822627981795E-2</v>
      </c>
      <c r="AX80">
        <v>0.4322625754011532</v>
      </c>
      <c r="AY80">
        <v>7.8186822627981795E-2</v>
      </c>
      <c r="AZ80">
        <v>7.8186822627981795E-2</v>
      </c>
      <c r="BA80">
        <v>0.4322625754011532</v>
      </c>
      <c r="BB80">
        <v>0.12292422295747781</v>
      </c>
      <c r="BC80">
        <v>0.10741120540538961</v>
      </c>
      <c r="BD80">
        <v>9.8633859580708125E-2</v>
      </c>
      <c r="BE80">
        <v>0.65825474297091124</v>
      </c>
      <c r="BF80">
        <v>9.8633859580708125E-2</v>
      </c>
      <c r="BG80">
        <v>9.8633859580708125E-2</v>
      </c>
      <c r="BH80">
        <v>0.65825474297091124</v>
      </c>
      <c r="BI80">
        <v>0.28053090568281108</v>
      </c>
      <c r="BJ80">
        <v>2.8020328163994249E-2</v>
      </c>
      <c r="BK80">
        <v>7.15994333554648E-2</v>
      </c>
      <c r="BL80">
        <v>0.71255092211496474</v>
      </c>
      <c r="BM80">
        <v>7.15994333554648E-2</v>
      </c>
      <c r="BN80">
        <v>7.15994333554648E-2</v>
      </c>
      <c r="BO80">
        <v>0.71255092211496474</v>
      </c>
      <c r="BP80">
        <v>0.47449922239895642</v>
      </c>
      <c r="BQ80">
        <v>-0.90496429292391944</v>
      </c>
      <c r="BR80">
        <v>109.95533574704039</v>
      </c>
      <c r="BS80">
        <v>0.68704773157721233</v>
      </c>
      <c r="BT80">
        <v>109.95533574704039</v>
      </c>
      <c r="BU80">
        <v>109.95533574704039</v>
      </c>
      <c r="BV80">
        <v>0.68704773157721233</v>
      </c>
      <c r="BW80">
        <v>533.07285736126107</v>
      </c>
      <c r="BX80">
        <v>-0.51721932194012843</v>
      </c>
      <c r="BY80" t="str">
        <f t="shared" si="2"/>
        <v>[[sv,wv],[yr],[ya]]</v>
      </c>
      <c r="BZ80" t="str">
        <f>SUBSTITUTE(TRIM(MID(SUBSTITUTE(SUBSTITUTE(SUBSTITUTE(Tabla1[[#This Row],[map]],"[",""),"]",""),",",REPT(" ",100)),901,200))," ",", ")</f>
        <v>2, 4</v>
      </c>
      <c r="CA80" t="str">
        <f>SUBSTITUTE(TRIM(MID(SUBSTITUTE(SUBSTITUTE(SUBSTITUTE(Tabla1[[#This Row],[map]],"[",""),"]",""),",",REPT(" ",100)),1501,200))," ",", ")</f>
        <v>3, 2</v>
      </c>
      <c r="CB80" t="str">
        <f>SUBSTITUTE(TRIM(MID(SUBSTITUTE(SUBSTITUTE(SUBSTITUTE(Tabla1[[#This Row],[map]],"[",""),"]",""),",",REPT(" ",100)),601,300))," ",", ")</f>
        <v>3, 0, 1</v>
      </c>
      <c r="CC80" t="str">
        <f>SUBSTITUTE(TRIM(MID(SUBSTITUTE(SUBSTITUTE(SUBSTITUTE(Tabla1[[#This Row],[map]],"[",""),"]",""),",",REPT(" ",100)),1201,300))," ",", ")</f>
        <v>0, 1, 4</v>
      </c>
      <c r="CD80" t="str">
        <f>SUBSTITUTE(TRIM(MID(SUBSTITUTE(SUBSTITUTE(SUBSTITUTE(Tabla1[[#This Row],[map]],"[",""),"]",""),",",REPT(" ",100)),1,300))," ",", ")</f>
        <v>4, 2, 3</v>
      </c>
      <c r="CE80" t="str">
        <f>SUBSTITUTE(TRIM(MID(SUBSTITUTE(SUBSTITUTE(SUBSTITUTE(Tabla1[[#This Row],[map]],"[",""),"]",""),",",REPT(" ",100)),1,600))," ",", ")</f>
        <v>4, 2, 3, 0, 1, -1</v>
      </c>
      <c r="CF80" t="str">
        <f>SUBSTITUTE(TRIM(MID(SUBSTITUTE(SUBSTITUTE(SUBSTITUTE(Tabla1[[#This Row],[map]],"[",""),"]",""),",",REPT(" ",100)),601,600))," ",", ")</f>
        <v>3, 0, 1, 2, 4, -1</v>
      </c>
      <c r="CG80" t="str">
        <f>SUBSTITUTE(TRIM(MID(SUBSTITUTE(SUBSTITUTE(SUBSTITUTE(Tabla1[[#This Row],[map]],"[",""),"]",""),",",REPT(" ",100)),1201,600))," ",", ")</f>
        <v>0, 1, 4, 3, 2, -1</v>
      </c>
    </row>
    <row r="81" spans="1:85" x14ac:dyDescent="0.3">
      <c r="A81" s="1">
        <v>46096.298784722218</v>
      </c>
      <c r="B81" t="s">
        <v>211</v>
      </c>
      <c r="C81">
        <v>3</v>
      </c>
      <c r="D81" t="s">
        <v>96</v>
      </c>
      <c r="E81" t="s">
        <v>78</v>
      </c>
      <c r="F81">
        <v>16590</v>
      </c>
      <c r="G81">
        <v>4.5</v>
      </c>
      <c r="H81" t="s">
        <v>79</v>
      </c>
      <c r="I81" t="s">
        <v>80</v>
      </c>
      <c r="J81">
        <v>5</v>
      </c>
      <c r="K81">
        <v>5</v>
      </c>
      <c r="L81" t="s">
        <v>81</v>
      </c>
      <c r="M81" t="s">
        <v>82</v>
      </c>
      <c r="N81" t="s">
        <v>83</v>
      </c>
      <c r="O81" t="s">
        <v>83</v>
      </c>
      <c r="P81" t="s">
        <v>84</v>
      </c>
      <c r="Q81" t="s">
        <v>207</v>
      </c>
      <c r="R81">
        <v>3</v>
      </c>
      <c r="S81" t="s">
        <v>86</v>
      </c>
      <c r="T81" t="s">
        <v>87</v>
      </c>
      <c r="U81" t="s">
        <v>88</v>
      </c>
      <c r="V81">
        <v>1</v>
      </c>
      <c r="W81" t="s">
        <v>208</v>
      </c>
      <c r="X81" t="s">
        <v>83</v>
      </c>
      <c r="Y81" t="s">
        <v>90</v>
      </c>
      <c r="Z81">
        <v>4000</v>
      </c>
      <c r="AA81">
        <v>4000</v>
      </c>
      <c r="AC81">
        <v>256</v>
      </c>
      <c r="AD81" t="s">
        <v>91</v>
      </c>
      <c r="AE81">
        <v>0.15</v>
      </c>
      <c r="AF81" t="s">
        <v>92</v>
      </c>
      <c r="AG81">
        <v>180</v>
      </c>
      <c r="AH81">
        <v>60</v>
      </c>
      <c r="AI81">
        <v>120</v>
      </c>
      <c r="AJ81">
        <v>0.11337385650098659</v>
      </c>
      <c r="AK81">
        <v>26.929133037001328</v>
      </c>
      <c r="AL81">
        <v>0.65971813972933402</v>
      </c>
      <c r="AM81">
        <v>-2.0350742005672499E-2</v>
      </c>
      <c r="AN81">
        <v>33.978079072663071</v>
      </c>
      <c r="AO81">
        <v>0.59594380428126559</v>
      </c>
      <c r="AP81">
        <v>33.978079072663071</v>
      </c>
      <c r="AQ81">
        <v>33.978079072663071</v>
      </c>
      <c r="AR81">
        <v>0.59594380428126559</v>
      </c>
      <c r="AS81">
        <v>89.793637294901217</v>
      </c>
      <c r="AT81">
        <v>-2.148865658329405E-2</v>
      </c>
      <c r="AU81">
        <v>0.8</v>
      </c>
      <c r="AV81" t="s">
        <v>93</v>
      </c>
      <c r="AW81">
        <v>8.0559077932775919E-2</v>
      </c>
      <c r="AX81">
        <v>0.41503693466060249</v>
      </c>
      <c r="AY81">
        <v>8.0559077932775919E-2</v>
      </c>
      <c r="AZ81">
        <v>8.0559077932775919E-2</v>
      </c>
      <c r="BA81">
        <v>0.41503693466060249</v>
      </c>
      <c r="BB81">
        <v>9.1720514065174771E-2</v>
      </c>
      <c r="BC81">
        <v>0.3339904770652683</v>
      </c>
      <c r="BD81">
        <v>7.6465912395667607E-2</v>
      </c>
      <c r="BE81">
        <v>0.73506194529234103</v>
      </c>
      <c r="BF81">
        <v>7.6465912395667607E-2</v>
      </c>
      <c r="BG81">
        <v>7.6465912395667607E-2</v>
      </c>
      <c r="BH81">
        <v>0.73506194529234103</v>
      </c>
      <c r="BI81">
        <v>0.19207084203005331</v>
      </c>
      <c r="BJ81">
        <v>0.3345155552425273</v>
      </c>
      <c r="BK81">
        <v>9.4704775761134341E-2</v>
      </c>
      <c r="BL81">
        <v>0.6197902806200164</v>
      </c>
      <c r="BM81">
        <v>9.4704775761134341E-2</v>
      </c>
      <c r="BN81">
        <v>9.4704775761134341E-2</v>
      </c>
      <c r="BO81">
        <v>0.6197902806200164</v>
      </c>
      <c r="BP81">
        <v>0.43197020998955449</v>
      </c>
      <c r="BQ81">
        <v>-0.73422376010780699</v>
      </c>
      <c r="BR81">
        <v>135.66058652456289</v>
      </c>
      <c r="BS81">
        <v>0.61388605655209805</v>
      </c>
      <c r="BT81">
        <v>135.66058652456289</v>
      </c>
      <c r="BU81">
        <v>135.66058652456289</v>
      </c>
      <c r="BV81">
        <v>0.61388605655209805</v>
      </c>
      <c r="BW81">
        <v>358.4587876135198</v>
      </c>
      <c r="BX81">
        <v>-2.023689853316446E-2</v>
      </c>
      <c r="BY81" t="str">
        <f t="shared" si="2"/>
        <v>[[sv,wv],[yr],[ya]]</v>
      </c>
      <c r="BZ81" t="str">
        <f>SUBSTITUTE(TRIM(MID(SUBSTITUTE(SUBSTITUTE(SUBSTITUTE(Tabla1[[#This Row],[map]],"[",""),"]",""),",",REPT(" ",100)),901,200))," ",", ")</f>
        <v>2, 4</v>
      </c>
      <c r="CA81" t="str">
        <f>SUBSTITUTE(TRIM(MID(SUBSTITUTE(SUBSTITUTE(SUBSTITUTE(Tabla1[[#This Row],[map]],"[",""),"]",""),",",REPT(" ",100)),1501,200))," ",", ")</f>
        <v>3, 2</v>
      </c>
      <c r="CB81" t="str">
        <f>SUBSTITUTE(TRIM(MID(SUBSTITUTE(SUBSTITUTE(SUBSTITUTE(Tabla1[[#This Row],[map]],"[",""),"]",""),",",REPT(" ",100)),601,300))," ",", ")</f>
        <v>3, 0, 1</v>
      </c>
      <c r="CC81" t="str">
        <f>SUBSTITUTE(TRIM(MID(SUBSTITUTE(SUBSTITUTE(SUBSTITUTE(Tabla1[[#This Row],[map]],"[",""),"]",""),",",REPT(" ",100)),1201,300))," ",", ")</f>
        <v>0, 1, 4</v>
      </c>
      <c r="CD81" t="str">
        <f>SUBSTITUTE(TRIM(MID(SUBSTITUTE(SUBSTITUTE(SUBSTITUTE(Tabla1[[#This Row],[map]],"[",""),"]",""),",",REPT(" ",100)),1,300))," ",", ")</f>
        <v>4, 2, 3</v>
      </c>
      <c r="CE81" t="str">
        <f>SUBSTITUTE(TRIM(MID(SUBSTITUTE(SUBSTITUTE(SUBSTITUTE(Tabla1[[#This Row],[map]],"[",""),"]",""),",",REPT(" ",100)),1,600))," ",", ")</f>
        <v>4, 2, 3, 0, 1, -1</v>
      </c>
      <c r="CF81" t="str">
        <f>SUBSTITUTE(TRIM(MID(SUBSTITUTE(SUBSTITUTE(SUBSTITUTE(Tabla1[[#This Row],[map]],"[",""),"]",""),",",REPT(" ",100)),601,600))," ",", ")</f>
        <v>3, 0, 1, 2, 4, -1</v>
      </c>
      <c r="CG81" t="str">
        <f>SUBSTITUTE(TRIM(MID(SUBSTITUTE(SUBSTITUTE(SUBSTITUTE(Tabla1[[#This Row],[map]],"[",""),"]",""),",",REPT(" ",100)),1201,600))," ",", ")</f>
        <v>0, 1, 4, 3, 2, -1</v>
      </c>
    </row>
    <row r="82" spans="1:85" x14ac:dyDescent="0.3">
      <c r="A82" s="1">
        <v>46096.425810185188</v>
      </c>
      <c r="B82" t="s">
        <v>212</v>
      </c>
      <c r="C82">
        <v>0</v>
      </c>
      <c r="D82" t="s">
        <v>96</v>
      </c>
      <c r="E82" t="s">
        <v>78</v>
      </c>
      <c r="F82">
        <v>16590</v>
      </c>
      <c r="G82">
        <v>4.5</v>
      </c>
      <c r="H82" t="s">
        <v>79</v>
      </c>
      <c r="I82" t="s">
        <v>80</v>
      </c>
      <c r="J82">
        <v>5</v>
      </c>
      <c r="K82">
        <v>5</v>
      </c>
      <c r="L82" t="s">
        <v>81</v>
      </c>
      <c r="M82" t="s">
        <v>82</v>
      </c>
      <c r="N82" t="s">
        <v>83</v>
      </c>
      <c r="O82" t="s">
        <v>83</v>
      </c>
      <c r="P82" t="s">
        <v>84</v>
      </c>
      <c r="Q82" t="s">
        <v>213</v>
      </c>
      <c r="R82">
        <v>3</v>
      </c>
      <c r="S82" t="s">
        <v>86</v>
      </c>
      <c r="T82" t="s">
        <v>87</v>
      </c>
      <c r="U82" t="s">
        <v>88</v>
      </c>
      <c r="V82">
        <v>1</v>
      </c>
      <c r="W82" t="s">
        <v>214</v>
      </c>
      <c r="X82" t="s">
        <v>83</v>
      </c>
      <c r="Y82" t="s">
        <v>90</v>
      </c>
      <c r="Z82">
        <v>4000</v>
      </c>
      <c r="AA82">
        <v>4000</v>
      </c>
      <c r="AC82">
        <v>256</v>
      </c>
      <c r="AD82" t="s">
        <v>91</v>
      </c>
      <c r="AE82">
        <v>0.15</v>
      </c>
      <c r="AF82" t="s">
        <v>92</v>
      </c>
      <c r="AG82">
        <v>180</v>
      </c>
      <c r="AH82">
        <v>60</v>
      </c>
      <c r="AI82">
        <v>120</v>
      </c>
      <c r="AJ82">
        <v>0.14473533720191631</v>
      </c>
      <c r="AK82">
        <v>53.656973674424258</v>
      </c>
      <c r="AL82">
        <v>0.565015765314135</v>
      </c>
      <c r="AM82">
        <v>-0.25244525990818462</v>
      </c>
      <c r="AN82">
        <v>56.234154062279742</v>
      </c>
      <c r="AO82">
        <v>0.52371949736760137</v>
      </c>
      <c r="AP82">
        <v>56.234154062279742</v>
      </c>
      <c r="AQ82">
        <v>56.234154062279742</v>
      </c>
      <c r="AR82">
        <v>0.52371949736760137</v>
      </c>
      <c r="AS82">
        <v>114.3438183682525</v>
      </c>
      <c r="AT82">
        <v>-0.25221387908890502</v>
      </c>
      <c r="AU82">
        <v>0.8</v>
      </c>
      <c r="AV82" t="s">
        <v>93</v>
      </c>
      <c r="AW82">
        <v>7.5705706397953695E-2</v>
      </c>
      <c r="AX82">
        <v>0.45027868721156478</v>
      </c>
      <c r="AY82">
        <v>7.5705706397953695E-2</v>
      </c>
      <c r="AZ82">
        <v>7.5705706397953695E-2</v>
      </c>
      <c r="BA82">
        <v>0.45027868721156478</v>
      </c>
      <c r="BB82">
        <v>0.16517832307593569</v>
      </c>
      <c r="BC82">
        <v>-0.19940819425403311</v>
      </c>
      <c r="BD82">
        <v>8.7904945151075123E-2</v>
      </c>
      <c r="BE82">
        <v>0.69542813996647168</v>
      </c>
      <c r="BF82">
        <v>8.7904945151075123E-2</v>
      </c>
      <c r="BG82">
        <v>8.7904945151075123E-2</v>
      </c>
      <c r="BH82">
        <v>0.69542813996647168</v>
      </c>
      <c r="BI82">
        <v>0.16129257705338909</v>
      </c>
      <c r="BJ82">
        <v>0.44115566970294517</v>
      </c>
      <c r="BK82">
        <v>0.10246806822002071</v>
      </c>
      <c r="BL82">
        <v>0.58862311694178016</v>
      </c>
      <c r="BM82">
        <v>0.10246806822002071</v>
      </c>
      <c r="BN82">
        <v>0.10246806822002071</v>
      </c>
      <c r="BO82">
        <v>0.58862311694178016</v>
      </c>
      <c r="BP82">
        <v>0.48600211765370699</v>
      </c>
      <c r="BQ82">
        <v>-0.9511447789840628</v>
      </c>
      <c r="BR82">
        <v>224.67053752934879</v>
      </c>
      <c r="BS82">
        <v>0.36054804535059348</v>
      </c>
      <c r="BT82">
        <v>224.67053752934879</v>
      </c>
      <c r="BU82">
        <v>224.67053752934879</v>
      </c>
      <c r="BV82">
        <v>0.36054804535059348</v>
      </c>
      <c r="BW82">
        <v>456.56280045522749</v>
      </c>
      <c r="BX82">
        <v>-0.29945821282047153</v>
      </c>
      <c r="BY82" t="str">
        <f t="shared" si="2"/>
        <v>[[sv,wv],[yr],[ya]]</v>
      </c>
      <c r="BZ82" t="str">
        <f>SUBSTITUTE(TRIM(MID(SUBSTITUTE(SUBSTITUTE(SUBSTITUTE(Tabla1[[#This Row],[map]],"[",""),"]",""),",",REPT(" ",100)),901,200))," ",", ")</f>
        <v>2, 3</v>
      </c>
      <c r="CA82" t="str">
        <f>SUBSTITUTE(TRIM(MID(SUBSTITUTE(SUBSTITUTE(SUBSTITUTE(Tabla1[[#This Row],[map]],"[",""),"]",""),",",REPT(" ",100)),1501,200))," ",", ")</f>
        <v>3, 2</v>
      </c>
      <c r="CB82" t="str">
        <f>SUBSTITUTE(TRIM(MID(SUBSTITUTE(SUBSTITUTE(SUBSTITUTE(Tabla1[[#This Row],[map]],"[",""),"]",""),",",REPT(" ",100)),601,300))," ",", ")</f>
        <v>0, 1, 4</v>
      </c>
      <c r="CC82" t="str">
        <f>SUBSTITUTE(TRIM(MID(SUBSTITUTE(SUBSTITUTE(SUBSTITUTE(Tabla1[[#This Row],[map]],"[",""),"]",""),",",REPT(" ",100)),1201,300))," ",", ")</f>
        <v>4, 0, 1</v>
      </c>
      <c r="CD82" t="str">
        <f>SUBSTITUTE(TRIM(MID(SUBSTITUTE(SUBSTITUTE(SUBSTITUTE(Tabla1[[#This Row],[map]],"[",""),"]",""),",",REPT(" ",100)),1,300))," ",", ")</f>
        <v>4, 2, 3</v>
      </c>
      <c r="CE82" t="str">
        <f>SUBSTITUTE(TRIM(MID(SUBSTITUTE(SUBSTITUTE(SUBSTITUTE(Tabla1[[#This Row],[map]],"[",""),"]",""),",",REPT(" ",100)),1,600))," ",", ")</f>
        <v>4, 2, 3, 0, 1, -1</v>
      </c>
      <c r="CF82" t="str">
        <f>SUBSTITUTE(TRIM(MID(SUBSTITUTE(SUBSTITUTE(SUBSTITUTE(Tabla1[[#This Row],[map]],"[",""),"]",""),",",REPT(" ",100)),601,600))," ",", ")</f>
        <v>0, 1, 4, 2, 3, -1</v>
      </c>
      <c r="CG82" t="str">
        <f>SUBSTITUTE(TRIM(MID(SUBSTITUTE(SUBSTITUTE(SUBSTITUTE(Tabla1[[#This Row],[map]],"[",""),"]",""),",",REPT(" ",100)),1201,600))," ",", ")</f>
        <v>4, 0, 1, 3, 2, -1</v>
      </c>
    </row>
    <row r="83" spans="1:85" x14ac:dyDescent="0.3">
      <c r="A83" s="1">
        <v>46096.431875000002</v>
      </c>
      <c r="B83" t="s">
        <v>215</v>
      </c>
      <c r="C83">
        <v>1</v>
      </c>
      <c r="D83" t="s">
        <v>77</v>
      </c>
      <c r="E83" t="s">
        <v>78</v>
      </c>
      <c r="F83">
        <v>16590</v>
      </c>
      <c r="G83">
        <v>4.5</v>
      </c>
      <c r="H83" t="s">
        <v>79</v>
      </c>
      <c r="I83" t="s">
        <v>80</v>
      </c>
      <c r="J83">
        <v>5</v>
      </c>
      <c r="K83">
        <v>5</v>
      </c>
      <c r="L83" t="s">
        <v>81</v>
      </c>
      <c r="M83" t="s">
        <v>82</v>
      </c>
      <c r="N83" t="s">
        <v>83</v>
      </c>
      <c r="O83" t="s">
        <v>83</v>
      </c>
      <c r="P83" t="s">
        <v>84</v>
      </c>
      <c r="Q83" t="s">
        <v>213</v>
      </c>
      <c r="R83">
        <v>3</v>
      </c>
      <c r="S83" t="s">
        <v>86</v>
      </c>
      <c r="T83" t="s">
        <v>87</v>
      </c>
      <c r="U83" t="s">
        <v>88</v>
      </c>
      <c r="V83">
        <v>1</v>
      </c>
      <c r="W83" t="s">
        <v>214</v>
      </c>
      <c r="X83" t="s">
        <v>83</v>
      </c>
      <c r="Y83" t="s">
        <v>90</v>
      </c>
      <c r="Z83">
        <v>4000</v>
      </c>
      <c r="AA83">
        <v>4000</v>
      </c>
      <c r="AC83">
        <v>256</v>
      </c>
      <c r="AD83" t="s">
        <v>91</v>
      </c>
      <c r="AE83">
        <v>0.15</v>
      </c>
      <c r="AF83" t="s">
        <v>92</v>
      </c>
      <c r="AG83">
        <v>180</v>
      </c>
      <c r="AH83">
        <v>60</v>
      </c>
      <c r="AI83">
        <v>120</v>
      </c>
      <c r="AJ83">
        <v>0.15712534527793481</v>
      </c>
      <c r="AK83">
        <v>44.204793976120499</v>
      </c>
      <c r="AL83">
        <v>0.54242525306909561</v>
      </c>
      <c r="AM83">
        <v>-2.5556385730745149E-2</v>
      </c>
      <c r="AN83">
        <v>48.099126343518087</v>
      </c>
      <c r="AO83">
        <v>0.5070214878885001</v>
      </c>
      <c r="AP83">
        <v>48.099126343518087</v>
      </c>
      <c r="AQ83">
        <v>48.099126343518087</v>
      </c>
      <c r="AR83">
        <v>0.5070214878885001</v>
      </c>
      <c r="AS83">
        <v>101.1821966857559</v>
      </c>
      <c r="AT83">
        <v>-7.4267827177146029E-3</v>
      </c>
      <c r="AU83">
        <v>0.8</v>
      </c>
      <c r="AV83" t="s">
        <v>93</v>
      </c>
      <c r="AW83">
        <v>7.0188593478346342E-2</v>
      </c>
      <c r="AX83">
        <v>0.4903400604061563</v>
      </c>
      <c r="AY83">
        <v>7.0188593478346342E-2</v>
      </c>
      <c r="AZ83">
        <v>7.0188593478346342E-2</v>
      </c>
      <c r="BA83">
        <v>0.4903400604061563</v>
      </c>
      <c r="BB83">
        <v>0.2152521389796748</v>
      </c>
      <c r="BC83">
        <v>-0.56300884108286864</v>
      </c>
      <c r="BD83">
        <v>0.13472216677236329</v>
      </c>
      <c r="BE83">
        <v>0.5332164663650435</v>
      </c>
      <c r="BF83">
        <v>0.13472216677236329</v>
      </c>
      <c r="BG83">
        <v>0.13472216677236329</v>
      </c>
      <c r="BH83">
        <v>0.5332164663650435</v>
      </c>
      <c r="BI83">
        <v>0.1056122638345051</v>
      </c>
      <c r="BJ83">
        <v>0.63407606269311745</v>
      </c>
      <c r="BK83">
        <v>0.111784042858923</v>
      </c>
      <c r="BL83">
        <v>0.55122242542711142</v>
      </c>
      <c r="BM83">
        <v>0.111784042858923</v>
      </c>
      <c r="BN83">
        <v>0.111784042858923</v>
      </c>
      <c r="BO83">
        <v>0.55122242542711142</v>
      </c>
      <c r="BP83">
        <v>0.23673892859678311</v>
      </c>
      <c r="BQ83">
        <v>4.9568082657980961E-2</v>
      </c>
      <c r="BR83">
        <v>192.07981057096271</v>
      </c>
      <c r="BS83">
        <v>0.45330699935568958</v>
      </c>
      <c r="BT83">
        <v>192.07981057096271</v>
      </c>
      <c r="BU83">
        <v>192.07981057096271</v>
      </c>
      <c r="BV83">
        <v>0.45330699935568958</v>
      </c>
      <c r="BW83">
        <v>404.17118341161199</v>
      </c>
      <c r="BX83">
        <v>-0.15034243513908899</v>
      </c>
      <c r="BY83" t="str">
        <f t="shared" si="2"/>
        <v>[[sv,wv],[yr],[ya]]</v>
      </c>
      <c r="BZ83" t="str">
        <f>SUBSTITUTE(TRIM(MID(SUBSTITUTE(SUBSTITUTE(SUBSTITUTE(Tabla1[[#This Row],[map]],"[",""),"]",""),",",REPT(" ",100)),901,200))," ",", ")</f>
        <v>2, 3</v>
      </c>
      <c r="CA83" t="str">
        <f>SUBSTITUTE(TRIM(MID(SUBSTITUTE(SUBSTITUTE(SUBSTITUTE(Tabla1[[#This Row],[map]],"[",""),"]",""),",",REPT(" ",100)),1501,200))," ",", ")</f>
        <v>3, 2</v>
      </c>
      <c r="CB83" t="str">
        <f>SUBSTITUTE(TRIM(MID(SUBSTITUTE(SUBSTITUTE(SUBSTITUTE(Tabla1[[#This Row],[map]],"[",""),"]",""),",",REPT(" ",100)),601,300))," ",", ")</f>
        <v>0, 1, 4</v>
      </c>
      <c r="CC83" t="str">
        <f>SUBSTITUTE(TRIM(MID(SUBSTITUTE(SUBSTITUTE(SUBSTITUTE(Tabla1[[#This Row],[map]],"[",""),"]",""),",",REPT(" ",100)),1201,300))," ",", ")</f>
        <v>4, 0, 1</v>
      </c>
      <c r="CD83" t="str">
        <f>SUBSTITUTE(TRIM(MID(SUBSTITUTE(SUBSTITUTE(SUBSTITUTE(Tabla1[[#This Row],[map]],"[",""),"]",""),",",REPT(" ",100)),1,300))," ",", ")</f>
        <v>4, 2, 3</v>
      </c>
      <c r="CE83" t="str">
        <f>SUBSTITUTE(TRIM(MID(SUBSTITUTE(SUBSTITUTE(SUBSTITUTE(Tabla1[[#This Row],[map]],"[",""),"]",""),",",REPT(" ",100)),1,600))," ",", ")</f>
        <v>4, 2, 3, 0, 1, -1</v>
      </c>
      <c r="CF83" t="str">
        <f>SUBSTITUTE(TRIM(MID(SUBSTITUTE(SUBSTITUTE(SUBSTITUTE(Tabla1[[#This Row],[map]],"[",""),"]",""),",",REPT(" ",100)),601,600))," ",", ")</f>
        <v>0, 1, 4, 2, 3, -1</v>
      </c>
      <c r="CG83" t="str">
        <f>SUBSTITUTE(TRIM(MID(SUBSTITUTE(SUBSTITUTE(SUBSTITUTE(Tabla1[[#This Row],[map]],"[",""),"]",""),",",REPT(" ",100)),1201,600))," ",", ")</f>
        <v>4, 0, 1, 3, 2, -1</v>
      </c>
    </row>
    <row r="84" spans="1:85" x14ac:dyDescent="0.3">
      <c r="A84" s="1">
        <v>46096.437025462961</v>
      </c>
      <c r="B84" t="s">
        <v>216</v>
      </c>
      <c r="C84">
        <v>2</v>
      </c>
      <c r="D84" t="s">
        <v>96</v>
      </c>
      <c r="E84" t="s">
        <v>78</v>
      </c>
      <c r="F84">
        <v>16590</v>
      </c>
      <c r="G84">
        <v>4.5</v>
      </c>
      <c r="H84" t="s">
        <v>79</v>
      </c>
      <c r="I84" t="s">
        <v>80</v>
      </c>
      <c r="J84">
        <v>5</v>
      </c>
      <c r="K84">
        <v>5</v>
      </c>
      <c r="L84" t="s">
        <v>81</v>
      </c>
      <c r="M84" t="s">
        <v>82</v>
      </c>
      <c r="N84" t="s">
        <v>83</v>
      </c>
      <c r="O84" t="s">
        <v>83</v>
      </c>
      <c r="P84" t="s">
        <v>84</v>
      </c>
      <c r="Q84" t="s">
        <v>213</v>
      </c>
      <c r="R84">
        <v>3</v>
      </c>
      <c r="S84" t="s">
        <v>86</v>
      </c>
      <c r="T84" t="s">
        <v>87</v>
      </c>
      <c r="U84" t="s">
        <v>88</v>
      </c>
      <c r="V84">
        <v>1</v>
      </c>
      <c r="W84" t="s">
        <v>214</v>
      </c>
      <c r="X84" t="s">
        <v>83</v>
      </c>
      <c r="Y84" t="s">
        <v>90</v>
      </c>
      <c r="Z84">
        <v>4000</v>
      </c>
      <c r="AA84">
        <v>4000</v>
      </c>
      <c r="AC84">
        <v>256</v>
      </c>
      <c r="AD84" t="s">
        <v>91</v>
      </c>
      <c r="AE84">
        <v>0.15</v>
      </c>
      <c r="AF84" t="s">
        <v>92</v>
      </c>
      <c r="AG84">
        <v>180</v>
      </c>
      <c r="AH84">
        <v>60</v>
      </c>
      <c r="AI84">
        <v>120</v>
      </c>
      <c r="AJ84">
        <v>0.14836136962833929</v>
      </c>
      <c r="AK84">
        <v>45.582233336703823</v>
      </c>
      <c r="AL84">
        <v>0.57696019641588137</v>
      </c>
      <c r="AM84">
        <v>-4.2026982929339707E-2</v>
      </c>
      <c r="AN84">
        <v>54.055015907019254</v>
      </c>
      <c r="AO84">
        <v>0.50301303457760171</v>
      </c>
      <c r="AP84">
        <v>54.055015907019254</v>
      </c>
      <c r="AQ84">
        <v>54.055015907019254</v>
      </c>
      <c r="AR84">
        <v>0.50301303457760171</v>
      </c>
      <c r="AS84">
        <v>105.25399089849959</v>
      </c>
      <c r="AT84">
        <v>-0.13433070680976711</v>
      </c>
      <c r="AU84">
        <v>0.8</v>
      </c>
      <c r="AV84" t="s">
        <v>93</v>
      </c>
      <c r="AW84">
        <v>6.8546719890583419E-2</v>
      </c>
      <c r="AX84">
        <v>0.50226218552778512</v>
      </c>
      <c r="AY84">
        <v>6.8546719890583419E-2</v>
      </c>
      <c r="AZ84">
        <v>6.8546719890583419E-2</v>
      </c>
      <c r="BA84">
        <v>0.50226218552778512</v>
      </c>
      <c r="BB84">
        <v>0.10554395586969099</v>
      </c>
      <c r="BC84">
        <v>0.23361441642740621</v>
      </c>
      <c r="BD84">
        <v>0.1005237113512352</v>
      </c>
      <c r="BE84">
        <v>0.65170681022437638</v>
      </c>
      <c r="BF84">
        <v>0.1005237113512352</v>
      </c>
      <c r="BG84">
        <v>0.1005237113512352</v>
      </c>
      <c r="BH84">
        <v>0.65170681022437638</v>
      </c>
      <c r="BI84">
        <v>0.3998248351180736</v>
      </c>
      <c r="BJ84">
        <v>-0.38530765829186181</v>
      </c>
      <c r="BK84">
        <v>0.13136066516829939</v>
      </c>
      <c r="BL84">
        <v>0.47262847897789162</v>
      </c>
      <c r="BM84">
        <v>0.13136066516829939</v>
      </c>
      <c r="BN84">
        <v>0.13136066516829939</v>
      </c>
      <c r="BO84">
        <v>0.47262847897789162</v>
      </c>
      <c r="BP84">
        <v>0.2963186566369494</v>
      </c>
      <c r="BQ84">
        <v>-0.1896256802418177</v>
      </c>
      <c r="BR84">
        <v>215.9196325316675</v>
      </c>
      <c r="BS84">
        <v>0.38545466358035391</v>
      </c>
      <c r="BT84">
        <v>215.9196325316675</v>
      </c>
      <c r="BU84">
        <v>215.9196325316675</v>
      </c>
      <c r="BV84">
        <v>0.38545466358035391</v>
      </c>
      <c r="BW84">
        <v>420.21427614637457</v>
      </c>
      <c r="BX84">
        <v>-0.19600390513279259</v>
      </c>
      <c r="BY84" t="str">
        <f t="shared" si="2"/>
        <v>[[sv,wv],[yr],[ya]]</v>
      </c>
      <c r="BZ84" t="str">
        <f>SUBSTITUTE(TRIM(MID(SUBSTITUTE(SUBSTITUTE(SUBSTITUTE(Tabla1[[#This Row],[map]],"[",""),"]",""),",",REPT(" ",100)),901,200))," ",", ")</f>
        <v>2, 3</v>
      </c>
      <c r="CA84" t="str">
        <f>SUBSTITUTE(TRIM(MID(SUBSTITUTE(SUBSTITUTE(SUBSTITUTE(Tabla1[[#This Row],[map]],"[",""),"]",""),",",REPT(" ",100)),1501,200))," ",", ")</f>
        <v>3, 2</v>
      </c>
      <c r="CB84" t="str">
        <f>SUBSTITUTE(TRIM(MID(SUBSTITUTE(SUBSTITUTE(SUBSTITUTE(Tabla1[[#This Row],[map]],"[",""),"]",""),",",REPT(" ",100)),601,300))," ",", ")</f>
        <v>0, 1, 4</v>
      </c>
      <c r="CC84" t="str">
        <f>SUBSTITUTE(TRIM(MID(SUBSTITUTE(SUBSTITUTE(SUBSTITUTE(Tabla1[[#This Row],[map]],"[",""),"]",""),",",REPT(" ",100)),1201,300))," ",", ")</f>
        <v>4, 0, 1</v>
      </c>
      <c r="CD84" t="str">
        <f>SUBSTITUTE(TRIM(MID(SUBSTITUTE(SUBSTITUTE(SUBSTITUTE(Tabla1[[#This Row],[map]],"[",""),"]",""),",",REPT(" ",100)),1,300))," ",", ")</f>
        <v>4, 2, 3</v>
      </c>
      <c r="CE84" t="str">
        <f>SUBSTITUTE(TRIM(MID(SUBSTITUTE(SUBSTITUTE(SUBSTITUTE(Tabla1[[#This Row],[map]],"[",""),"]",""),",",REPT(" ",100)),1,600))," ",", ")</f>
        <v>4, 2, 3, 0, 1, -1</v>
      </c>
      <c r="CF84" t="str">
        <f>SUBSTITUTE(TRIM(MID(SUBSTITUTE(SUBSTITUTE(SUBSTITUTE(Tabla1[[#This Row],[map]],"[",""),"]",""),",",REPT(" ",100)),601,600))," ",", ")</f>
        <v>0, 1, 4, 2, 3, -1</v>
      </c>
      <c r="CG84" t="str">
        <f>SUBSTITUTE(TRIM(MID(SUBSTITUTE(SUBSTITUTE(SUBSTITUTE(Tabla1[[#This Row],[map]],"[",""),"]",""),",",REPT(" ",100)),1201,600))," ",", ")</f>
        <v>4, 0, 1, 3, 2, -1</v>
      </c>
    </row>
    <row r="85" spans="1:85" x14ac:dyDescent="0.3">
      <c r="A85" s="1">
        <v>46096.443865740737</v>
      </c>
      <c r="B85" t="s">
        <v>217</v>
      </c>
      <c r="C85">
        <v>3</v>
      </c>
      <c r="D85" t="s">
        <v>77</v>
      </c>
      <c r="E85" t="s">
        <v>78</v>
      </c>
      <c r="F85">
        <v>16590</v>
      </c>
      <c r="G85">
        <v>4.5</v>
      </c>
      <c r="H85" t="s">
        <v>79</v>
      </c>
      <c r="I85" t="s">
        <v>80</v>
      </c>
      <c r="J85">
        <v>5</v>
      </c>
      <c r="K85">
        <v>5</v>
      </c>
      <c r="L85" t="s">
        <v>81</v>
      </c>
      <c r="M85" t="s">
        <v>82</v>
      </c>
      <c r="N85" t="s">
        <v>83</v>
      </c>
      <c r="O85" t="s">
        <v>83</v>
      </c>
      <c r="P85" t="s">
        <v>84</v>
      </c>
      <c r="Q85" t="s">
        <v>213</v>
      </c>
      <c r="R85">
        <v>3</v>
      </c>
      <c r="S85" t="s">
        <v>86</v>
      </c>
      <c r="T85" t="s">
        <v>87</v>
      </c>
      <c r="U85" t="s">
        <v>88</v>
      </c>
      <c r="V85">
        <v>1</v>
      </c>
      <c r="W85" t="s">
        <v>214</v>
      </c>
      <c r="X85" t="s">
        <v>83</v>
      </c>
      <c r="Y85" t="s">
        <v>90</v>
      </c>
      <c r="Z85">
        <v>4000</v>
      </c>
      <c r="AA85">
        <v>4000</v>
      </c>
      <c r="AC85">
        <v>256</v>
      </c>
      <c r="AD85" t="s">
        <v>91</v>
      </c>
      <c r="AE85">
        <v>0.15</v>
      </c>
      <c r="AF85" t="s">
        <v>92</v>
      </c>
      <c r="AG85">
        <v>180</v>
      </c>
      <c r="AH85">
        <v>60</v>
      </c>
      <c r="AI85">
        <v>120</v>
      </c>
      <c r="AJ85">
        <v>0.14206837856525689</v>
      </c>
      <c r="AK85">
        <v>50.315395137882497</v>
      </c>
      <c r="AL85">
        <v>0.53711981329473679</v>
      </c>
      <c r="AM85">
        <v>0.23294580621740221</v>
      </c>
      <c r="AN85">
        <v>55.302464754332931</v>
      </c>
      <c r="AO85">
        <v>0.51583477364653607</v>
      </c>
      <c r="AP85">
        <v>55.302464754332931</v>
      </c>
      <c r="AQ85">
        <v>55.302464754332931</v>
      </c>
      <c r="AR85">
        <v>0.51583477364653607</v>
      </c>
      <c r="AS85">
        <v>101.77072708617909</v>
      </c>
      <c r="AT85">
        <v>0.134955429232127</v>
      </c>
      <c r="AU85">
        <v>0.8</v>
      </c>
      <c r="AV85" t="s">
        <v>93</v>
      </c>
      <c r="AW85">
        <v>9.5879634311734643E-2</v>
      </c>
      <c r="AX85">
        <v>0.30378988650521982</v>
      </c>
      <c r="AY85">
        <v>9.5879634311734643E-2</v>
      </c>
      <c r="AZ85">
        <v>9.5879634311734643E-2</v>
      </c>
      <c r="BA85">
        <v>0.30378988650521982</v>
      </c>
      <c r="BB85">
        <v>0.13539601225738171</v>
      </c>
      <c r="BC85">
        <v>1.6849889581655671E-2</v>
      </c>
      <c r="BD85">
        <v>8.4609291133018169E-2</v>
      </c>
      <c r="BE85">
        <v>0.70684687724662698</v>
      </c>
      <c r="BF85">
        <v>8.4609291133018169E-2</v>
      </c>
      <c r="BG85">
        <v>8.4609291133018169E-2</v>
      </c>
      <c r="BH85">
        <v>0.70684687724662698</v>
      </c>
      <c r="BI85">
        <v>0.1476648162341119</v>
      </c>
      <c r="BJ85">
        <v>0.48837295029718197</v>
      </c>
      <c r="BK85">
        <v>7.931754892281534E-2</v>
      </c>
      <c r="BL85">
        <v>0.68156512936670799</v>
      </c>
      <c r="BM85">
        <v>7.931754892281534E-2</v>
      </c>
      <c r="BN85">
        <v>7.931754892281534E-2</v>
      </c>
      <c r="BO85">
        <v>0.68156512936670799</v>
      </c>
      <c r="BP85">
        <v>0.20129854262494989</v>
      </c>
      <c r="BQ85">
        <v>0.1918500224733001</v>
      </c>
      <c r="BR85">
        <v>220.95005254296501</v>
      </c>
      <c r="BS85">
        <v>0.371137201467586</v>
      </c>
      <c r="BT85">
        <v>220.95005254296501</v>
      </c>
      <c r="BU85">
        <v>220.95005254296501</v>
      </c>
      <c r="BV85">
        <v>0.371137201467586</v>
      </c>
      <c r="BW85">
        <v>406.59854897360009</v>
      </c>
      <c r="BX85">
        <v>-0.15725114542362811</v>
      </c>
      <c r="BY85" t="str">
        <f t="shared" si="2"/>
        <v>[[sv,wv],[yr],[ya]]</v>
      </c>
      <c r="BZ85" t="str">
        <f>SUBSTITUTE(TRIM(MID(SUBSTITUTE(SUBSTITUTE(SUBSTITUTE(Tabla1[[#This Row],[map]],"[",""),"]",""),",",REPT(" ",100)),901,200))," ",", ")</f>
        <v>2, 3</v>
      </c>
      <c r="CA85" t="str">
        <f>SUBSTITUTE(TRIM(MID(SUBSTITUTE(SUBSTITUTE(SUBSTITUTE(Tabla1[[#This Row],[map]],"[",""),"]",""),",",REPT(" ",100)),1501,200))," ",", ")</f>
        <v>3, 2</v>
      </c>
      <c r="CB85" t="str">
        <f>SUBSTITUTE(TRIM(MID(SUBSTITUTE(SUBSTITUTE(SUBSTITUTE(Tabla1[[#This Row],[map]],"[",""),"]",""),",",REPT(" ",100)),601,300))," ",", ")</f>
        <v>0, 1, 4</v>
      </c>
      <c r="CC85" t="str">
        <f>SUBSTITUTE(TRIM(MID(SUBSTITUTE(SUBSTITUTE(SUBSTITUTE(Tabla1[[#This Row],[map]],"[",""),"]",""),",",REPT(" ",100)),1201,300))," ",", ")</f>
        <v>4, 0, 1</v>
      </c>
      <c r="CD85" t="str">
        <f>SUBSTITUTE(TRIM(MID(SUBSTITUTE(SUBSTITUTE(SUBSTITUTE(Tabla1[[#This Row],[map]],"[",""),"]",""),",",REPT(" ",100)),1,300))," ",", ")</f>
        <v>4, 2, 3</v>
      </c>
      <c r="CE85" t="str">
        <f>SUBSTITUTE(TRIM(MID(SUBSTITUTE(SUBSTITUTE(SUBSTITUTE(Tabla1[[#This Row],[map]],"[",""),"]",""),",",REPT(" ",100)),1,600))," ",", ")</f>
        <v>4, 2, 3, 0, 1, -1</v>
      </c>
      <c r="CF85" t="str">
        <f>SUBSTITUTE(TRIM(MID(SUBSTITUTE(SUBSTITUTE(SUBSTITUTE(Tabla1[[#This Row],[map]],"[",""),"]",""),",",REPT(" ",100)),601,600))," ",", ")</f>
        <v>0, 1, 4, 2, 3, -1</v>
      </c>
      <c r="CG85" t="str">
        <f>SUBSTITUTE(TRIM(MID(SUBSTITUTE(SUBSTITUTE(SUBSTITUTE(Tabla1[[#This Row],[map]],"[",""),"]",""),",",REPT(" ",100)),1201,600))," ",", ")</f>
        <v>4, 0, 1, 3, 2, -1</v>
      </c>
    </row>
    <row r="86" spans="1:85" x14ac:dyDescent="0.3">
      <c r="A86" s="1">
        <v>46096.570775462962</v>
      </c>
      <c r="B86" t="s">
        <v>218</v>
      </c>
      <c r="C86">
        <v>0</v>
      </c>
      <c r="D86" t="s">
        <v>77</v>
      </c>
      <c r="E86" t="s">
        <v>78</v>
      </c>
      <c r="F86">
        <v>16590</v>
      </c>
      <c r="G86">
        <v>4.5</v>
      </c>
      <c r="H86" t="s">
        <v>79</v>
      </c>
      <c r="I86" t="s">
        <v>80</v>
      </c>
      <c r="J86">
        <v>5</v>
      </c>
      <c r="K86">
        <v>5</v>
      </c>
      <c r="L86" t="s">
        <v>81</v>
      </c>
      <c r="M86" t="s">
        <v>82</v>
      </c>
      <c r="N86" t="s">
        <v>83</v>
      </c>
      <c r="O86" t="s">
        <v>83</v>
      </c>
      <c r="P86" t="s">
        <v>84</v>
      </c>
      <c r="Q86" t="s">
        <v>219</v>
      </c>
      <c r="R86">
        <v>3</v>
      </c>
      <c r="S86" t="s">
        <v>86</v>
      </c>
      <c r="T86" t="s">
        <v>87</v>
      </c>
      <c r="U86" t="s">
        <v>88</v>
      </c>
      <c r="V86">
        <v>1</v>
      </c>
      <c r="W86" t="s">
        <v>220</v>
      </c>
      <c r="X86" t="s">
        <v>83</v>
      </c>
      <c r="Y86" t="s">
        <v>90</v>
      </c>
      <c r="Z86">
        <v>4000</v>
      </c>
      <c r="AA86">
        <v>4000</v>
      </c>
      <c r="AC86">
        <v>256</v>
      </c>
      <c r="AD86" t="s">
        <v>91</v>
      </c>
      <c r="AE86">
        <v>0.15</v>
      </c>
      <c r="AF86" t="s">
        <v>92</v>
      </c>
      <c r="AG86">
        <v>180</v>
      </c>
      <c r="AH86">
        <v>60</v>
      </c>
      <c r="AI86">
        <v>120</v>
      </c>
      <c r="AJ86">
        <v>0.11662687896187179</v>
      </c>
      <c r="AK86">
        <v>14.26571678376969</v>
      </c>
      <c r="AL86">
        <v>0.6895562312776562</v>
      </c>
      <c r="AM86">
        <v>0.18081221606734491</v>
      </c>
      <c r="AN86">
        <v>16.32309536059423</v>
      </c>
      <c r="AO86">
        <v>0.63847877503868355</v>
      </c>
      <c r="AP86">
        <v>16.32309536059423</v>
      </c>
      <c r="AQ86">
        <v>16.32309536059423</v>
      </c>
      <c r="AR86">
        <v>0.63847877503868355</v>
      </c>
      <c r="AS86">
        <v>109.3135076882805</v>
      </c>
      <c r="AT86">
        <v>9.8463174076733939E-2</v>
      </c>
      <c r="AU86">
        <v>0.8</v>
      </c>
      <c r="AV86" t="s">
        <v>93</v>
      </c>
      <c r="AW86">
        <v>7.3674407626701091E-2</v>
      </c>
      <c r="AX86">
        <v>0.46502854267594368</v>
      </c>
      <c r="AY86">
        <v>7.3674407626701091E-2</v>
      </c>
      <c r="AZ86">
        <v>7.3674407626701091E-2</v>
      </c>
      <c r="BA86">
        <v>0.46502854267594368</v>
      </c>
      <c r="BB86">
        <v>7.6990129674792837E-2</v>
      </c>
      <c r="BC86">
        <v>0.44095211351567348</v>
      </c>
      <c r="BD86">
        <v>8.9651751553224482E-2</v>
      </c>
      <c r="BE86">
        <v>0.68937582886944804</v>
      </c>
      <c r="BF86">
        <v>8.9651751553224482E-2</v>
      </c>
      <c r="BG86">
        <v>8.9651751553224482E-2</v>
      </c>
      <c r="BH86">
        <v>0.68937582886944804</v>
      </c>
      <c r="BI86">
        <v>0.2487161973203881</v>
      </c>
      <c r="BJ86">
        <v>0.1382514975904042</v>
      </c>
      <c r="BK86">
        <v>0.1034739061268302</v>
      </c>
      <c r="BL86">
        <v>0.58458499589438606</v>
      </c>
      <c r="BM86">
        <v>0.1034739061268302</v>
      </c>
      <c r="BN86">
        <v>0.1034739061268302</v>
      </c>
      <c r="BO86">
        <v>0.58458499589438606</v>
      </c>
      <c r="BP86">
        <v>0.23474925811292899</v>
      </c>
      <c r="BQ86">
        <v>5.755598031409126E-2</v>
      </c>
      <c r="BR86">
        <v>65.02558137707021</v>
      </c>
      <c r="BS86">
        <v>0.81492573271495417</v>
      </c>
      <c r="BT86">
        <v>65.02558137707021</v>
      </c>
      <c r="BU86">
        <v>65.02558137707021</v>
      </c>
      <c r="BV86">
        <v>0.81492573271495417</v>
      </c>
      <c r="BW86">
        <v>436.69357516801222</v>
      </c>
      <c r="BX86">
        <v>-0.24290689511322849</v>
      </c>
      <c r="BY86" t="str">
        <f t="shared" si="2"/>
        <v>[[sv,wv],[yr],[ya]]</v>
      </c>
      <c r="BZ86" t="str">
        <f>SUBSTITUTE(TRIM(MID(SUBSTITUTE(SUBSTITUTE(SUBSTITUTE(Tabla1[[#This Row],[map]],"[",""),"]",""),",",REPT(" ",100)),901,200))," ",", ")</f>
        <v>2, 3</v>
      </c>
      <c r="CA86" t="str">
        <f>SUBSTITUTE(TRIM(MID(SUBSTITUTE(SUBSTITUTE(SUBSTITUTE(Tabla1[[#This Row],[map]],"[",""),"]",""),",",REPT(" ",100)),1501,200))," ",", ")</f>
        <v>3, 4</v>
      </c>
      <c r="CB86" t="str">
        <f>SUBSTITUTE(TRIM(MID(SUBSTITUTE(SUBSTITUTE(SUBSTITUTE(Tabla1[[#This Row],[map]],"[",""),"]",""),",",REPT(" ",100)),601,300))," ",", ")</f>
        <v>0, 1, 4</v>
      </c>
      <c r="CC86" t="str">
        <f>SUBSTITUTE(TRIM(MID(SUBSTITUTE(SUBSTITUTE(SUBSTITUTE(Tabla1[[#This Row],[map]],"[",""),"]",""),",",REPT(" ",100)),1201,300))," ",", ")</f>
        <v>0, 1, 2</v>
      </c>
      <c r="CD86" t="str">
        <f>SUBSTITUTE(TRIM(MID(SUBSTITUTE(SUBSTITUTE(SUBSTITUTE(Tabla1[[#This Row],[map]],"[",""),"]",""),",",REPT(" ",100)),1,300))," ",", ")</f>
        <v>4, 2, 3</v>
      </c>
      <c r="CE86" t="str">
        <f>SUBSTITUTE(TRIM(MID(SUBSTITUTE(SUBSTITUTE(SUBSTITUTE(Tabla1[[#This Row],[map]],"[",""),"]",""),",",REPT(" ",100)),1,600))," ",", ")</f>
        <v>4, 2, 3, 0, 1, -1</v>
      </c>
      <c r="CF86" t="str">
        <f>SUBSTITUTE(TRIM(MID(SUBSTITUTE(SUBSTITUTE(SUBSTITUTE(Tabla1[[#This Row],[map]],"[",""),"]",""),",",REPT(" ",100)),601,600))," ",", ")</f>
        <v>0, 1, 4, 2, 3, -1</v>
      </c>
      <c r="CG86" t="str">
        <f>SUBSTITUTE(TRIM(MID(SUBSTITUTE(SUBSTITUTE(SUBSTITUTE(Tabla1[[#This Row],[map]],"[",""),"]",""),",",REPT(" ",100)),1201,600))," ",", ")</f>
        <v>0, 1, 2, 3, 4, -1</v>
      </c>
    </row>
    <row r="87" spans="1:85" x14ac:dyDescent="0.3">
      <c r="A87" s="1">
        <v>46096.575949074067</v>
      </c>
      <c r="B87" t="s">
        <v>221</v>
      </c>
      <c r="C87">
        <v>1</v>
      </c>
      <c r="D87" t="s">
        <v>77</v>
      </c>
      <c r="E87" t="s">
        <v>78</v>
      </c>
      <c r="F87">
        <v>16590</v>
      </c>
      <c r="G87">
        <v>4.5</v>
      </c>
      <c r="H87" t="s">
        <v>79</v>
      </c>
      <c r="I87" t="s">
        <v>80</v>
      </c>
      <c r="J87">
        <v>5</v>
      </c>
      <c r="K87">
        <v>5</v>
      </c>
      <c r="L87" t="s">
        <v>81</v>
      </c>
      <c r="M87" t="s">
        <v>82</v>
      </c>
      <c r="N87" t="s">
        <v>83</v>
      </c>
      <c r="O87" t="s">
        <v>83</v>
      </c>
      <c r="P87" t="s">
        <v>84</v>
      </c>
      <c r="Q87" t="s">
        <v>219</v>
      </c>
      <c r="R87">
        <v>3</v>
      </c>
      <c r="S87" t="s">
        <v>86</v>
      </c>
      <c r="T87" t="s">
        <v>87</v>
      </c>
      <c r="U87" t="s">
        <v>88</v>
      </c>
      <c r="V87">
        <v>1</v>
      </c>
      <c r="W87" t="s">
        <v>220</v>
      </c>
      <c r="X87" t="s">
        <v>83</v>
      </c>
      <c r="Y87" t="s">
        <v>90</v>
      </c>
      <c r="Z87">
        <v>4000</v>
      </c>
      <c r="AA87">
        <v>4000</v>
      </c>
      <c r="AC87">
        <v>256</v>
      </c>
      <c r="AD87" t="s">
        <v>91</v>
      </c>
      <c r="AE87">
        <v>0.15</v>
      </c>
      <c r="AF87" t="s">
        <v>92</v>
      </c>
      <c r="AG87">
        <v>180</v>
      </c>
      <c r="AH87">
        <v>60</v>
      </c>
      <c r="AI87">
        <v>120</v>
      </c>
      <c r="AJ87">
        <v>0.13611789157764709</v>
      </c>
      <c r="AK87">
        <v>30.376051852904649</v>
      </c>
      <c r="AL87">
        <v>0.62992497967485883</v>
      </c>
      <c r="AM87">
        <v>-0.3834148627278075</v>
      </c>
      <c r="AN87">
        <v>37.694553533489881</v>
      </c>
      <c r="AO87">
        <v>0.55907389471132407</v>
      </c>
      <c r="AP87">
        <v>37.694553533489881</v>
      </c>
      <c r="AQ87">
        <v>37.694553533489881</v>
      </c>
      <c r="AR87">
        <v>0.55907389471132407</v>
      </c>
      <c r="AS87">
        <v>178.7561634587552</v>
      </c>
      <c r="AT87">
        <v>-0.34307344233442011</v>
      </c>
      <c r="AU87">
        <v>0.8</v>
      </c>
      <c r="AV87" t="s">
        <v>93</v>
      </c>
      <c r="AW87">
        <v>7.3753150590492214E-2</v>
      </c>
      <c r="AX87">
        <v>0.46445676694743299</v>
      </c>
      <c r="AY87">
        <v>7.3753150590492214E-2</v>
      </c>
      <c r="AZ87">
        <v>7.3753150590492214E-2</v>
      </c>
      <c r="BA87">
        <v>0.46445676694743299</v>
      </c>
      <c r="BB87">
        <v>0.15265674311663299</v>
      </c>
      <c r="BC87">
        <v>-0.1084853338658065</v>
      </c>
      <c r="BD87">
        <v>0.1047477835071921</v>
      </c>
      <c r="BE87">
        <v>0.63707130238981047</v>
      </c>
      <c r="BF87">
        <v>0.1047477835071921</v>
      </c>
      <c r="BG87">
        <v>0.1047477835071921</v>
      </c>
      <c r="BH87">
        <v>0.63707130238981047</v>
      </c>
      <c r="BI87">
        <v>0.2339448380772286</v>
      </c>
      <c r="BJ87">
        <v>0.18943110247134209</v>
      </c>
      <c r="BK87">
        <v>0.10882772711710691</v>
      </c>
      <c r="BL87">
        <v>0.56309109804220236</v>
      </c>
      <c r="BM87">
        <v>0.10882772711710691</v>
      </c>
      <c r="BN87">
        <v>0.10882772711710691</v>
      </c>
      <c r="BO87">
        <v>0.56309109804220236</v>
      </c>
      <c r="BP87">
        <v>0.3537664866472105</v>
      </c>
      <c r="BQ87">
        <v>-0.42026054687495468</v>
      </c>
      <c r="BR87">
        <v>150.49088547274491</v>
      </c>
      <c r="BS87">
        <v>0.57167641146585157</v>
      </c>
      <c r="BT87">
        <v>150.49088547274491</v>
      </c>
      <c r="BU87">
        <v>150.49088547274491</v>
      </c>
      <c r="BV87">
        <v>0.57167641146585157</v>
      </c>
      <c r="BW87">
        <v>714.28428576717499</v>
      </c>
      <c r="BX87">
        <v>-1.032978991068243</v>
      </c>
      <c r="BY87" t="str">
        <f t="shared" si="2"/>
        <v>[[sv,wv],[yr],[ya]]</v>
      </c>
      <c r="BZ87" t="str">
        <f>SUBSTITUTE(TRIM(MID(SUBSTITUTE(SUBSTITUTE(SUBSTITUTE(Tabla1[[#This Row],[map]],"[",""),"]",""),",",REPT(" ",100)),901,200))," ",", ")</f>
        <v>2, 3</v>
      </c>
      <c r="CA87" t="str">
        <f>SUBSTITUTE(TRIM(MID(SUBSTITUTE(SUBSTITUTE(SUBSTITUTE(Tabla1[[#This Row],[map]],"[",""),"]",""),",",REPT(" ",100)),1501,200))," ",", ")</f>
        <v>3, 4</v>
      </c>
      <c r="CB87" t="str">
        <f>SUBSTITUTE(TRIM(MID(SUBSTITUTE(SUBSTITUTE(SUBSTITUTE(Tabla1[[#This Row],[map]],"[",""),"]",""),",",REPT(" ",100)),601,300))," ",", ")</f>
        <v>0, 1, 4</v>
      </c>
      <c r="CC87" t="str">
        <f>SUBSTITUTE(TRIM(MID(SUBSTITUTE(SUBSTITUTE(SUBSTITUTE(Tabla1[[#This Row],[map]],"[",""),"]",""),",",REPT(" ",100)),1201,300))," ",", ")</f>
        <v>0, 1, 2</v>
      </c>
      <c r="CD87" t="str">
        <f>SUBSTITUTE(TRIM(MID(SUBSTITUTE(SUBSTITUTE(SUBSTITUTE(Tabla1[[#This Row],[map]],"[",""),"]",""),",",REPT(" ",100)),1,300))," ",", ")</f>
        <v>4, 2, 3</v>
      </c>
      <c r="CE87" t="str">
        <f>SUBSTITUTE(TRIM(MID(SUBSTITUTE(SUBSTITUTE(SUBSTITUTE(Tabla1[[#This Row],[map]],"[",""),"]",""),",",REPT(" ",100)),1,600))," ",", ")</f>
        <v>4, 2, 3, 0, 1, -1</v>
      </c>
      <c r="CF87" t="str">
        <f>SUBSTITUTE(TRIM(MID(SUBSTITUTE(SUBSTITUTE(SUBSTITUTE(Tabla1[[#This Row],[map]],"[",""),"]",""),",",REPT(" ",100)),601,600))," ",", ")</f>
        <v>0, 1, 4, 2, 3, -1</v>
      </c>
      <c r="CG87" t="str">
        <f>SUBSTITUTE(TRIM(MID(SUBSTITUTE(SUBSTITUTE(SUBSTITUTE(Tabla1[[#This Row],[map]],"[",""),"]",""),",",REPT(" ",100)),1201,600))," ",", ")</f>
        <v>0, 1, 2, 3, 4, -1</v>
      </c>
    </row>
    <row r="88" spans="1:85" x14ac:dyDescent="0.3">
      <c r="A88" s="1">
        <v>46096.581921296303</v>
      </c>
      <c r="B88" t="s">
        <v>222</v>
      </c>
      <c r="C88">
        <v>2</v>
      </c>
      <c r="D88" t="s">
        <v>96</v>
      </c>
      <c r="E88" t="s">
        <v>78</v>
      </c>
      <c r="F88">
        <v>16590</v>
      </c>
      <c r="G88">
        <v>4.5</v>
      </c>
      <c r="H88" t="s">
        <v>79</v>
      </c>
      <c r="I88" t="s">
        <v>80</v>
      </c>
      <c r="J88">
        <v>5</v>
      </c>
      <c r="K88">
        <v>5</v>
      </c>
      <c r="L88" t="s">
        <v>81</v>
      </c>
      <c r="M88" t="s">
        <v>82</v>
      </c>
      <c r="N88" t="s">
        <v>83</v>
      </c>
      <c r="O88" t="s">
        <v>83</v>
      </c>
      <c r="P88" t="s">
        <v>84</v>
      </c>
      <c r="Q88" t="s">
        <v>219</v>
      </c>
      <c r="R88">
        <v>3</v>
      </c>
      <c r="S88" t="s">
        <v>86</v>
      </c>
      <c r="T88" t="s">
        <v>87</v>
      </c>
      <c r="U88" t="s">
        <v>88</v>
      </c>
      <c r="V88">
        <v>1</v>
      </c>
      <c r="W88" t="s">
        <v>220</v>
      </c>
      <c r="X88" t="s">
        <v>83</v>
      </c>
      <c r="Y88" t="s">
        <v>90</v>
      </c>
      <c r="Z88">
        <v>4000</v>
      </c>
      <c r="AA88">
        <v>4000</v>
      </c>
      <c r="AC88">
        <v>256</v>
      </c>
      <c r="AD88" t="s">
        <v>91</v>
      </c>
      <c r="AE88">
        <v>0.15</v>
      </c>
      <c r="AF88" t="s">
        <v>92</v>
      </c>
      <c r="AG88">
        <v>180</v>
      </c>
      <c r="AH88">
        <v>60</v>
      </c>
      <c r="AI88">
        <v>120</v>
      </c>
      <c r="AJ88">
        <v>0.1311346186523486</v>
      </c>
      <c r="AK88">
        <v>24.128623093364371</v>
      </c>
      <c r="AL88">
        <v>0.62993518882014232</v>
      </c>
      <c r="AM88">
        <v>-0.36097918389062722</v>
      </c>
      <c r="AN88">
        <v>31.510961325605962</v>
      </c>
      <c r="AO88">
        <v>0.56687829400554479</v>
      </c>
      <c r="AP88">
        <v>31.510961325605962</v>
      </c>
      <c r="AQ88">
        <v>31.510961325605962</v>
      </c>
      <c r="AR88">
        <v>0.56687829400554479</v>
      </c>
      <c r="AS88">
        <v>153.3716975740586</v>
      </c>
      <c r="AT88">
        <v>-0.31794314583591232</v>
      </c>
      <c r="AU88">
        <v>0.8</v>
      </c>
      <c r="AV88" t="s">
        <v>93</v>
      </c>
      <c r="AW88">
        <v>7.112126695588275E-2</v>
      </c>
      <c r="AX88">
        <v>0.48356764505110822</v>
      </c>
      <c r="AY88">
        <v>7.112126695588275E-2</v>
      </c>
      <c r="AZ88">
        <v>7.112126695588275E-2</v>
      </c>
      <c r="BA88">
        <v>0.48356764505110822</v>
      </c>
      <c r="BB88">
        <v>0.11076213085736521</v>
      </c>
      <c r="BC88">
        <v>0.19572371913299999</v>
      </c>
      <c r="BD88">
        <v>0.1001497670607476</v>
      </c>
      <c r="BE88">
        <v>0.65300244732314239</v>
      </c>
      <c r="BF88">
        <v>0.1001497670607476</v>
      </c>
      <c r="BG88">
        <v>0.1001497670607476</v>
      </c>
      <c r="BH88">
        <v>0.65300244732314239</v>
      </c>
      <c r="BI88">
        <v>0.36731455770865518</v>
      </c>
      <c r="BJ88">
        <v>-0.27266649067864868</v>
      </c>
      <c r="BK88">
        <v>0.12732354648831429</v>
      </c>
      <c r="BL88">
        <v>0.4888362335297034</v>
      </c>
      <c r="BM88">
        <v>0.12732354648831429</v>
      </c>
      <c r="BN88">
        <v>0.12732354648831429</v>
      </c>
      <c r="BO88">
        <v>0.4888362335297034</v>
      </c>
      <c r="BP88">
        <v>0.3614550549546221</v>
      </c>
      <c r="BQ88">
        <v>-0.45112771672041108</v>
      </c>
      <c r="BR88">
        <v>125.74525072191889</v>
      </c>
      <c r="BS88">
        <v>0.64210685011822244</v>
      </c>
      <c r="BT88">
        <v>125.74525072191889</v>
      </c>
      <c r="BU88">
        <v>125.74525072191889</v>
      </c>
      <c r="BV88">
        <v>0.64210685011822244</v>
      </c>
      <c r="BW88">
        <v>612.64725855271035</v>
      </c>
      <c r="BX88">
        <v>-0.7437020950775779</v>
      </c>
      <c r="BY88" t="str">
        <f t="shared" si="2"/>
        <v>[[sv,wv],[yr],[ya]]</v>
      </c>
      <c r="BZ88" t="str">
        <f>SUBSTITUTE(TRIM(MID(SUBSTITUTE(SUBSTITUTE(SUBSTITUTE(Tabla1[[#This Row],[map]],"[",""),"]",""),",",REPT(" ",100)),901,200))," ",", ")</f>
        <v>2, 3</v>
      </c>
      <c r="CA88" t="str">
        <f>SUBSTITUTE(TRIM(MID(SUBSTITUTE(SUBSTITUTE(SUBSTITUTE(Tabla1[[#This Row],[map]],"[",""),"]",""),",",REPT(" ",100)),1501,200))," ",", ")</f>
        <v>3, 4</v>
      </c>
      <c r="CB88" t="str">
        <f>SUBSTITUTE(TRIM(MID(SUBSTITUTE(SUBSTITUTE(SUBSTITUTE(Tabla1[[#This Row],[map]],"[",""),"]",""),",",REPT(" ",100)),601,300))," ",", ")</f>
        <v>0, 1, 4</v>
      </c>
      <c r="CC88" t="str">
        <f>SUBSTITUTE(TRIM(MID(SUBSTITUTE(SUBSTITUTE(SUBSTITUTE(Tabla1[[#This Row],[map]],"[",""),"]",""),",",REPT(" ",100)),1201,300))," ",", ")</f>
        <v>0, 1, 2</v>
      </c>
      <c r="CD88" t="str">
        <f>SUBSTITUTE(TRIM(MID(SUBSTITUTE(SUBSTITUTE(SUBSTITUTE(Tabla1[[#This Row],[map]],"[",""),"]",""),",",REPT(" ",100)),1,300))," ",", ")</f>
        <v>4, 2, 3</v>
      </c>
      <c r="CE88" t="str">
        <f>SUBSTITUTE(TRIM(MID(SUBSTITUTE(SUBSTITUTE(SUBSTITUTE(Tabla1[[#This Row],[map]],"[",""),"]",""),",",REPT(" ",100)),1,600))," ",", ")</f>
        <v>4, 2, 3, 0, 1, -1</v>
      </c>
      <c r="CF88" t="str">
        <f>SUBSTITUTE(TRIM(MID(SUBSTITUTE(SUBSTITUTE(SUBSTITUTE(Tabla1[[#This Row],[map]],"[",""),"]",""),",",REPT(" ",100)),601,600))," ",", ")</f>
        <v>0, 1, 4, 2, 3, -1</v>
      </c>
      <c r="CG88" t="str">
        <f>SUBSTITUTE(TRIM(MID(SUBSTITUTE(SUBSTITUTE(SUBSTITUTE(Tabla1[[#This Row],[map]],"[",""),"]",""),",",REPT(" ",100)),1201,600))," ",", ")</f>
        <v>0, 1, 2, 3, 4, -1</v>
      </c>
    </row>
    <row r="89" spans="1:85" x14ac:dyDescent="0.3">
      <c r="A89" s="1">
        <v>46096.588472222233</v>
      </c>
      <c r="B89" t="s">
        <v>223</v>
      </c>
      <c r="C89">
        <v>3</v>
      </c>
      <c r="D89" t="s">
        <v>96</v>
      </c>
      <c r="E89" t="s">
        <v>78</v>
      </c>
      <c r="F89">
        <v>16590</v>
      </c>
      <c r="G89">
        <v>4.5</v>
      </c>
      <c r="H89" t="s">
        <v>79</v>
      </c>
      <c r="I89" t="s">
        <v>80</v>
      </c>
      <c r="J89">
        <v>5</v>
      </c>
      <c r="K89">
        <v>5</v>
      </c>
      <c r="L89" t="s">
        <v>81</v>
      </c>
      <c r="M89" t="s">
        <v>82</v>
      </c>
      <c r="N89" t="s">
        <v>83</v>
      </c>
      <c r="O89" t="s">
        <v>83</v>
      </c>
      <c r="P89" t="s">
        <v>84</v>
      </c>
      <c r="Q89" t="s">
        <v>219</v>
      </c>
      <c r="R89">
        <v>3</v>
      </c>
      <c r="S89" t="s">
        <v>86</v>
      </c>
      <c r="T89" t="s">
        <v>87</v>
      </c>
      <c r="U89" t="s">
        <v>88</v>
      </c>
      <c r="V89">
        <v>1</v>
      </c>
      <c r="W89" t="s">
        <v>220</v>
      </c>
      <c r="X89" t="s">
        <v>83</v>
      </c>
      <c r="Y89" t="s">
        <v>90</v>
      </c>
      <c r="Z89">
        <v>4000</v>
      </c>
      <c r="AA89">
        <v>4000</v>
      </c>
      <c r="AC89">
        <v>256</v>
      </c>
      <c r="AD89" t="s">
        <v>91</v>
      </c>
      <c r="AE89">
        <v>0.15</v>
      </c>
      <c r="AF89" t="s">
        <v>92</v>
      </c>
      <c r="AG89">
        <v>180</v>
      </c>
      <c r="AH89">
        <v>60</v>
      </c>
      <c r="AI89">
        <v>120</v>
      </c>
      <c r="AJ89">
        <v>0.1329968412922832</v>
      </c>
      <c r="AK89">
        <v>19.658623053513939</v>
      </c>
      <c r="AL89">
        <v>0.58484423611895486</v>
      </c>
      <c r="AM89">
        <v>0.1428649486030974</v>
      </c>
      <c r="AN89">
        <v>20.36918567201776</v>
      </c>
      <c r="AO89">
        <v>0.58317625426668984</v>
      </c>
      <c r="AP89">
        <v>20.36918567201776</v>
      </c>
      <c r="AQ89">
        <v>20.36918567201776</v>
      </c>
      <c r="AR89">
        <v>0.58317625426668984</v>
      </c>
      <c r="AS89">
        <v>81.711531010449548</v>
      </c>
      <c r="AT89">
        <v>7.334939390032702E-2</v>
      </c>
      <c r="AU89">
        <v>0.8</v>
      </c>
      <c r="AV89" t="s">
        <v>93</v>
      </c>
      <c r="AW89">
        <v>9.1513569929680863E-2</v>
      </c>
      <c r="AX89">
        <v>0.33549315905914051</v>
      </c>
      <c r="AY89">
        <v>9.1513569929680863E-2</v>
      </c>
      <c r="AZ89">
        <v>9.1513569929680863E-2</v>
      </c>
      <c r="BA89">
        <v>0.33549315905914051</v>
      </c>
      <c r="BB89">
        <v>0.13835370946066991</v>
      </c>
      <c r="BC89">
        <v>-4.6268162940616966E-3</v>
      </c>
      <c r="BD89">
        <v>8.7139233019782103E-2</v>
      </c>
      <c r="BE89">
        <v>0.69808116895906536</v>
      </c>
      <c r="BF89">
        <v>8.7139233019782103E-2</v>
      </c>
      <c r="BG89">
        <v>8.7139233019782103E-2</v>
      </c>
      <c r="BH89">
        <v>0.69808116895906536</v>
      </c>
      <c r="BI89">
        <v>0.15081801344556581</v>
      </c>
      <c r="BJ89">
        <v>0.47744779542569538</v>
      </c>
      <c r="BK89">
        <v>0.11702383593244919</v>
      </c>
      <c r="BL89">
        <v>0.53018631359343349</v>
      </c>
      <c r="BM89">
        <v>0.11702383593244919</v>
      </c>
      <c r="BN89">
        <v>0.11702383593244919</v>
      </c>
      <c r="BO89">
        <v>0.53018631359343349</v>
      </c>
      <c r="BP89">
        <v>0.31157412160698961</v>
      </c>
      <c r="BQ89">
        <v>-0.25087154676389961</v>
      </c>
      <c r="BR89">
        <v>81.181066049189369</v>
      </c>
      <c r="BS89">
        <v>0.76894437545512384</v>
      </c>
      <c r="BT89">
        <v>81.181066049189369</v>
      </c>
      <c r="BU89">
        <v>81.181066049189369</v>
      </c>
      <c r="BV89">
        <v>0.76894437545512384</v>
      </c>
      <c r="BW89">
        <v>326.24537819728442</v>
      </c>
      <c r="BX89">
        <v>7.1448143233571182E-2</v>
      </c>
      <c r="BY89" t="str">
        <f t="shared" si="2"/>
        <v>[[sv,wv],[yr],[ya]]</v>
      </c>
      <c r="BZ89" t="str">
        <f>SUBSTITUTE(TRIM(MID(SUBSTITUTE(SUBSTITUTE(SUBSTITUTE(Tabla1[[#This Row],[map]],"[",""),"]",""),",",REPT(" ",100)),901,200))," ",", ")</f>
        <v>2, 3</v>
      </c>
      <c r="CA89" t="str">
        <f>SUBSTITUTE(TRIM(MID(SUBSTITUTE(SUBSTITUTE(SUBSTITUTE(Tabla1[[#This Row],[map]],"[",""),"]",""),",",REPT(" ",100)),1501,200))," ",", ")</f>
        <v>3, 4</v>
      </c>
      <c r="CB89" t="str">
        <f>SUBSTITUTE(TRIM(MID(SUBSTITUTE(SUBSTITUTE(SUBSTITUTE(Tabla1[[#This Row],[map]],"[",""),"]",""),",",REPT(" ",100)),601,300))," ",", ")</f>
        <v>0, 1, 4</v>
      </c>
      <c r="CC89" t="str">
        <f>SUBSTITUTE(TRIM(MID(SUBSTITUTE(SUBSTITUTE(SUBSTITUTE(Tabla1[[#This Row],[map]],"[",""),"]",""),",",REPT(" ",100)),1201,300))," ",", ")</f>
        <v>0, 1, 2</v>
      </c>
      <c r="CD89" t="str">
        <f>SUBSTITUTE(TRIM(MID(SUBSTITUTE(SUBSTITUTE(SUBSTITUTE(Tabla1[[#This Row],[map]],"[",""),"]",""),",",REPT(" ",100)),1,300))," ",", ")</f>
        <v>4, 2, 3</v>
      </c>
      <c r="CE89" t="str">
        <f>SUBSTITUTE(TRIM(MID(SUBSTITUTE(SUBSTITUTE(SUBSTITUTE(Tabla1[[#This Row],[map]],"[",""),"]",""),",",REPT(" ",100)),1,600))," ",", ")</f>
        <v>4, 2, 3, 0, 1, -1</v>
      </c>
      <c r="CF89" t="str">
        <f>SUBSTITUTE(TRIM(MID(SUBSTITUTE(SUBSTITUTE(SUBSTITUTE(Tabla1[[#This Row],[map]],"[",""),"]",""),",",REPT(" ",100)),601,600))," ",", ")</f>
        <v>0, 1, 4, 2, 3, -1</v>
      </c>
      <c r="CG89" t="str">
        <f>SUBSTITUTE(TRIM(MID(SUBSTITUTE(SUBSTITUTE(SUBSTITUTE(Tabla1[[#This Row],[map]],"[",""),"]",""),",",REPT(" ",100)),1201,600))," ",", ")</f>
        <v>0, 1, 2, 3, 4, -1</v>
      </c>
    </row>
    <row r="90" spans="1:85" x14ac:dyDescent="0.3">
      <c r="A90" s="1">
        <v>46096.715231481481</v>
      </c>
      <c r="B90" t="s">
        <v>224</v>
      </c>
      <c r="C90">
        <v>0</v>
      </c>
      <c r="D90" t="s">
        <v>77</v>
      </c>
      <c r="E90" t="s">
        <v>78</v>
      </c>
      <c r="F90">
        <v>16590</v>
      </c>
      <c r="G90">
        <v>4.5</v>
      </c>
      <c r="H90" t="s">
        <v>79</v>
      </c>
      <c r="I90" t="s">
        <v>80</v>
      </c>
      <c r="J90">
        <v>5</v>
      </c>
      <c r="K90">
        <v>5</v>
      </c>
      <c r="L90" t="s">
        <v>81</v>
      </c>
      <c r="M90" t="s">
        <v>82</v>
      </c>
      <c r="N90" t="s">
        <v>83</v>
      </c>
      <c r="O90" t="s">
        <v>83</v>
      </c>
      <c r="P90" t="s">
        <v>84</v>
      </c>
      <c r="Q90" t="s">
        <v>225</v>
      </c>
      <c r="R90">
        <v>3</v>
      </c>
      <c r="S90" t="s">
        <v>86</v>
      </c>
      <c r="T90" t="s">
        <v>87</v>
      </c>
      <c r="U90" t="s">
        <v>88</v>
      </c>
      <c r="V90">
        <v>1</v>
      </c>
      <c r="W90" t="s">
        <v>226</v>
      </c>
      <c r="X90" t="s">
        <v>83</v>
      </c>
      <c r="Y90" t="s">
        <v>90</v>
      </c>
      <c r="Z90">
        <v>4000</v>
      </c>
      <c r="AA90">
        <v>4000</v>
      </c>
      <c r="AC90">
        <v>256</v>
      </c>
      <c r="AD90" t="s">
        <v>91</v>
      </c>
      <c r="AE90">
        <v>0.15</v>
      </c>
      <c r="AF90" t="s">
        <v>92</v>
      </c>
      <c r="AG90">
        <v>180</v>
      </c>
      <c r="AH90">
        <v>60</v>
      </c>
      <c r="AI90">
        <v>120</v>
      </c>
      <c r="AJ90">
        <v>0.1086567357837096</v>
      </c>
      <c r="AK90">
        <v>11.873355142929871</v>
      </c>
      <c r="AL90">
        <v>0.72825126177464972</v>
      </c>
      <c r="AM90">
        <v>0.34479024209088172</v>
      </c>
      <c r="AN90">
        <v>14.56680772111646</v>
      </c>
      <c r="AO90">
        <v>0.6723798437465609</v>
      </c>
      <c r="AP90">
        <v>14.56680772111646</v>
      </c>
      <c r="AQ90">
        <v>14.56680772111646</v>
      </c>
      <c r="AR90">
        <v>0.6723798437465609</v>
      </c>
      <c r="AS90">
        <v>76.554744006048352</v>
      </c>
      <c r="AT90">
        <v>0.29651312107377509</v>
      </c>
      <c r="AU90">
        <v>0.8</v>
      </c>
      <c r="AV90" t="s">
        <v>93</v>
      </c>
      <c r="AW90">
        <v>7.0467467339186032E-2</v>
      </c>
      <c r="AX90">
        <v>0.48831507560412141</v>
      </c>
      <c r="AY90">
        <v>7.0467467339186032E-2</v>
      </c>
      <c r="AZ90">
        <v>7.0467467339186032E-2</v>
      </c>
      <c r="BA90">
        <v>0.48831507560412141</v>
      </c>
      <c r="BB90">
        <v>6.9761163813377339E-2</v>
      </c>
      <c r="BC90">
        <v>0.49344375242266503</v>
      </c>
      <c r="BD90">
        <v>8.4513093145748619E-2</v>
      </c>
      <c r="BE90">
        <v>0.70718018272635641</v>
      </c>
      <c r="BF90">
        <v>8.4513093145748619E-2</v>
      </c>
      <c r="BG90">
        <v>8.4513093145748619E-2</v>
      </c>
      <c r="BH90">
        <v>0.70718018272635641</v>
      </c>
      <c r="BI90">
        <v>0.17243419867125079</v>
      </c>
      <c r="BJ90">
        <v>0.40255233044700339</v>
      </c>
      <c r="BK90">
        <v>8.4893312120388156E-2</v>
      </c>
      <c r="BL90">
        <v>0.65918020375297348</v>
      </c>
      <c r="BM90">
        <v>8.4893312120388156E-2</v>
      </c>
      <c r="BN90">
        <v>8.4893312120388156E-2</v>
      </c>
      <c r="BO90">
        <v>0.65918020375297348</v>
      </c>
      <c r="BP90">
        <v>0.2091509785161228</v>
      </c>
      <c r="BQ90">
        <v>0.16032497611067101</v>
      </c>
      <c r="BR90">
        <v>58.027357011860488</v>
      </c>
      <c r="BS90">
        <v>0.83484391290279436</v>
      </c>
      <c r="BT90">
        <v>58.027357011860488</v>
      </c>
      <c r="BU90">
        <v>58.027357011860488</v>
      </c>
      <c r="BV90">
        <v>0.83484391290279436</v>
      </c>
      <c r="BW90">
        <v>305.76762968319338</v>
      </c>
      <c r="BX90">
        <v>0.1297314253147562</v>
      </c>
      <c r="BY90" t="str">
        <f t="shared" si="2"/>
        <v>[[sv,wv],[yr],[ya]]</v>
      </c>
      <c r="BZ90" t="str">
        <f>SUBSTITUTE(TRIM(MID(SUBSTITUTE(SUBSTITUTE(SUBSTITUTE(Tabla1[[#This Row],[map]],"[",""),"]",""),",",REPT(" ",100)),901,200))," ",", ")</f>
        <v>2, 3</v>
      </c>
      <c r="CA90" t="str">
        <f>SUBSTITUTE(TRIM(MID(SUBSTITUTE(SUBSTITUTE(SUBSTITUTE(Tabla1[[#This Row],[map]],"[",""),"]",""),",",REPT(" ",100)),1501,200))," ",", ")</f>
        <v>3, 4</v>
      </c>
      <c r="CB90" t="str">
        <f>SUBSTITUTE(TRIM(MID(SUBSTITUTE(SUBSTITUTE(SUBSTITUTE(Tabla1[[#This Row],[map]],"[",""),"]",""),",",REPT(" ",100)),601,300))," ",", ")</f>
        <v>0, 1, 4</v>
      </c>
      <c r="CC90" t="str">
        <f>SUBSTITUTE(TRIM(MID(SUBSTITUTE(SUBSTITUTE(SUBSTITUTE(Tabla1[[#This Row],[map]],"[",""),"]",""),",",REPT(" ",100)),1201,300))," ",", ")</f>
        <v>2, 0, 1</v>
      </c>
      <c r="CD90" t="str">
        <f>SUBSTITUTE(TRIM(MID(SUBSTITUTE(SUBSTITUTE(SUBSTITUTE(Tabla1[[#This Row],[map]],"[",""),"]",""),",",REPT(" ",100)),1,300))," ",", ")</f>
        <v>4, 2, 3</v>
      </c>
      <c r="CE90" t="str">
        <f>SUBSTITUTE(TRIM(MID(SUBSTITUTE(SUBSTITUTE(SUBSTITUTE(Tabla1[[#This Row],[map]],"[",""),"]",""),",",REPT(" ",100)),1,600))," ",", ")</f>
        <v>4, 2, 3, 0, 1, -1</v>
      </c>
      <c r="CF90" t="str">
        <f>SUBSTITUTE(TRIM(MID(SUBSTITUTE(SUBSTITUTE(SUBSTITUTE(Tabla1[[#This Row],[map]],"[",""),"]",""),",",REPT(" ",100)),601,600))," ",", ")</f>
        <v>0, 1, 4, 2, 3, -1</v>
      </c>
      <c r="CG90" t="str">
        <f>SUBSTITUTE(TRIM(MID(SUBSTITUTE(SUBSTITUTE(SUBSTITUTE(Tabla1[[#This Row],[map]],"[",""),"]",""),",",REPT(" ",100)),1201,600))," ",", ")</f>
        <v>2, 0, 1, 3, 4, -1</v>
      </c>
    </row>
    <row r="91" spans="1:85" x14ac:dyDescent="0.3">
      <c r="A91" s="1">
        <v>46096.719618055547</v>
      </c>
      <c r="B91" t="s">
        <v>227</v>
      </c>
      <c r="C91">
        <v>1</v>
      </c>
      <c r="D91" t="s">
        <v>77</v>
      </c>
      <c r="E91" t="s">
        <v>78</v>
      </c>
      <c r="F91">
        <v>16590</v>
      </c>
      <c r="G91">
        <v>4.5</v>
      </c>
      <c r="H91" t="s">
        <v>79</v>
      </c>
      <c r="I91" t="s">
        <v>80</v>
      </c>
      <c r="J91">
        <v>5</v>
      </c>
      <c r="K91">
        <v>5</v>
      </c>
      <c r="L91" t="s">
        <v>81</v>
      </c>
      <c r="M91" t="s">
        <v>82</v>
      </c>
      <c r="N91" t="s">
        <v>83</v>
      </c>
      <c r="O91" t="s">
        <v>83</v>
      </c>
      <c r="P91" t="s">
        <v>84</v>
      </c>
      <c r="Q91" t="s">
        <v>225</v>
      </c>
      <c r="R91">
        <v>3</v>
      </c>
      <c r="S91" t="s">
        <v>86</v>
      </c>
      <c r="T91" t="s">
        <v>87</v>
      </c>
      <c r="U91" t="s">
        <v>88</v>
      </c>
      <c r="V91">
        <v>1</v>
      </c>
      <c r="W91" t="s">
        <v>226</v>
      </c>
      <c r="X91" t="s">
        <v>83</v>
      </c>
      <c r="Y91" t="s">
        <v>90</v>
      </c>
      <c r="Z91">
        <v>4000</v>
      </c>
      <c r="AA91">
        <v>4000</v>
      </c>
      <c r="AC91">
        <v>256</v>
      </c>
      <c r="AD91" t="s">
        <v>91</v>
      </c>
      <c r="AE91">
        <v>0.15</v>
      </c>
      <c r="AF91" t="s">
        <v>92</v>
      </c>
      <c r="AG91">
        <v>180</v>
      </c>
      <c r="AH91">
        <v>60</v>
      </c>
      <c r="AI91">
        <v>120</v>
      </c>
      <c r="AJ91">
        <v>0.13909461397292569</v>
      </c>
      <c r="AK91">
        <v>18.887541213426299</v>
      </c>
      <c r="AL91">
        <v>0.62054711505848748</v>
      </c>
      <c r="AM91">
        <v>3.552389885158666E-2</v>
      </c>
      <c r="AN91">
        <v>20.88729799075271</v>
      </c>
      <c r="AO91">
        <v>0.58838895329567598</v>
      </c>
      <c r="AP91">
        <v>20.88729799075271</v>
      </c>
      <c r="AQ91">
        <v>20.88729799075271</v>
      </c>
      <c r="AR91">
        <v>0.58838895329567598</v>
      </c>
      <c r="AS91">
        <v>96.291306313441524</v>
      </c>
      <c r="AT91">
        <v>6.7310154917340992E-2</v>
      </c>
      <c r="AU91">
        <v>0.8</v>
      </c>
      <c r="AV91" t="s">
        <v>93</v>
      </c>
      <c r="AW91">
        <v>6.7872515511782749E-2</v>
      </c>
      <c r="AX91">
        <v>0.50715778103618436</v>
      </c>
      <c r="AY91">
        <v>6.7872515511782749E-2</v>
      </c>
      <c r="AZ91">
        <v>6.7872515511782749E-2</v>
      </c>
      <c r="BA91">
        <v>0.50715778103618436</v>
      </c>
      <c r="BB91">
        <v>0.15596624021536171</v>
      </c>
      <c r="BC91">
        <v>-0.132516561845099</v>
      </c>
      <c r="BD91">
        <v>0.12972723449822771</v>
      </c>
      <c r="BE91">
        <v>0.55052283986724404</v>
      </c>
      <c r="BF91">
        <v>0.12972723449822771</v>
      </c>
      <c r="BG91">
        <v>0.12972723449822771</v>
      </c>
      <c r="BH91">
        <v>0.55052283986724404</v>
      </c>
      <c r="BI91">
        <v>0.1200096636258092</v>
      </c>
      <c r="BJ91">
        <v>0.584192147441847</v>
      </c>
      <c r="BK91">
        <v>0.1163784626259711</v>
      </c>
      <c r="BL91">
        <v>0.53277728328613705</v>
      </c>
      <c r="BM91">
        <v>0.1163784626259711</v>
      </c>
      <c r="BN91">
        <v>0.1163784626259711</v>
      </c>
      <c r="BO91">
        <v>0.53277728328613705</v>
      </c>
      <c r="BP91">
        <v>0.27094126026527038</v>
      </c>
      <c r="BQ91">
        <v>-8.7743460728338718E-2</v>
      </c>
      <c r="BR91">
        <v>83.235213750374768</v>
      </c>
      <c r="BS91">
        <v>0.76309790899313834</v>
      </c>
      <c r="BT91">
        <v>83.235213750374768</v>
      </c>
      <c r="BU91">
        <v>83.235213750374768</v>
      </c>
      <c r="BV91">
        <v>0.76309790899313834</v>
      </c>
      <c r="BW91">
        <v>384.61830808965777</v>
      </c>
      <c r="BX91">
        <v>-9.4691505199036019E-2</v>
      </c>
      <c r="BY91" t="str">
        <f t="shared" si="2"/>
        <v>[[sv,wv],[yr],[ya]]</v>
      </c>
      <c r="BZ91" t="str">
        <f>SUBSTITUTE(TRIM(MID(SUBSTITUTE(SUBSTITUTE(SUBSTITUTE(Tabla1[[#This Row],[map]],"[",""),"]",""),",",REPT(" ",100)),901,200))," ",", ")</f>
        <v>2, 3</v>
      </c>
      <c r="CA91" t="str">
        <f>SUBSTITUTE(TRIM(MID(SUBSTITUTE(SUBSTITUTE(SUBSTITUTE(Tabla1[[#This Row],[map]],"[",""),"]",""),",",REPT(" ",100)),1501,200))," ",", ")</f>
        <v>3, 4</v>
      </c>
      <c r="CB91" t="str">
        <f>SUBSTITUTE(TRIM(MID(SUBSTITUTE(SUBSTITUTE(SUBSTITUTE(Tabla1[[#This Row],[map]],"[",""),"]",""),",",REPT(" ",100)),601,300))," ",", ")</f>
        <v>0, 1, 4</v>
      </c>
      <c r="CC91" t="str">
        <f>SUBSTITUTE(TRIM(MID(SUBSTITUTE(SUBSTITUTE(SUBSTITUTE(Tabla1[[#This Row],[map]],"[",""),"]",""),",",REPT(" ",100)),1201,300))," ",", ")</f>
        <v>2, 0, 1</v>
      </c>
      <c r="CD91" t="str">
        <f>SUBSTITUTE(TRIM(MID(SUBSTITUTE(SUBSTITUTE(SUBSTITUTE(Tabla1[[#This Row],[map]],"[",""),"]",""),",",REPT(" ",100)),1,300))," ",", ")</f>
        <v>4, 2, 3</v>
      </c>
      <c r="CE91" t="str">
        <f>SUBSTITUTE(TRIM(MID(SUBSTITUTE(SUBSTITUTE(SUBSTITUTE(Tabla1[[#This Row],[map]],"[",""),"]",""),",",REPT(" ",100)),1,600))," ",", ")</f>
        <v>4, 2, 3, 0, 1, -1</v>
      </c>
      <c r="CF91" t="str">
        <f>SUBSTITUTE(TRIM(MID(SUBSTITUTE(SUBSTITUTE(SUBSTITUTE(Tabla1[[#This Row],[map]],"[",""),"]",""),",",REPT(" ",100)),601,600))," ",", ")</f>
        <v>0, 1, 4, 2, 3, -1</v>
      </c>
      <c r="CG91" t="str">
        <f>SUBSTITUTE(TRIM(MID(SUBSTITUTE(SUBSTITUTE(SUBSTITUTE(Tabla1[[#This Row],[map]],"[",""),"]",""),",",REPT(" ",100)),1201,600))," ",", ")</f>
        <v>2, 0, 1, 3, 4, -1</v>
      </c>
    </row>
    <row r="92" spans="1:85" x14ac:dyDescent="0.3">
      <c r="A92" s="1">
        <v>46096.726435185177</v>
      </c>
      <c r="B92" t="s">
        <v>228</v>
      </c>
      <c r="C92">
        <v>2</v>
      </c>
      <c r="D92" t="s">
        <v>77</v>
      </c>
      <c r="E92" t="s">
        <v>78</v>
      </c>
      <c r="F92">
        <v>16590</v>
      </c>
      <c r="G92">
        <v>4.5</v>
      </c>
      <c r="H92" t="s">
        <v>79</v>
      </c>
      <c r="I92" t="s">
        <v>80</v>
      </c>
      <c r="J92">
        <v>5</v>
      </c>
      <c r="K92">
        <v>5</v>
      </c>
      <c r="L92" t="s">
        <v>81</v>
      </c>
      <c r="M92" t="s">
        <v>82</v>
      </c>
      <c r="N92" t="s">
        <v>83</v>
      </c>
      <c r="O92" t="s">
        <v>83</v>
      </c>
      <c r="P92" t="s">
        <v>84</v>
      </c>
      <c r="Q92" t="s">
        <v>225</v>
      </c>
      <c r="R92">
        <v>3</v>
      </c>
      <c r="S92" t="s">
        <v>86</v>
      </c>
      <c r="T92" t="s">
        <v>87</v>
      </c>
      <c r="U92" t="s">
        <v>88</v>
      </c>
      <c r="V92">
        <v>1</v>
      </c>
      <c r="W92" t="s">
        <v>226</v>
      </c>
      <c r="X92" t="s">
        <v>83</v>
      </c>
      <c r="Y92" t="s">
        <v>90</v>
      </c>
      <c r="Z92">
        <v>4000</v>
      </c>
      <c r="AA92">
        <v>4000</v>
      </c>
      <c r="AC92">
        <v>256</v>
      </c>
      <c r="AD92" t="s">
        <v>91</v>
      </c>
      <c r="AE92">
        <v>0.15</v>
      </c>
      <c r="AF92" t="s">
        <v>92</v>
      </c>
      <c r="AG92">
        <v>180</v>
      </c>
      <c r="AH92">
        <v>60</v>
      </c>
      <c r="AI92">
        <v>120</v>
      </c>
      <c r="AJ92">
        <v>0.1313525619987177</v>
      </c>
      <c r="AK92">
        <v>20.23087125251617</v>
      </c>
      <c r="AL92">
        <v>0.6481738347902819</v>
      </c>
      <c r="AM92">
        <v>-0.22991458394978739</v>
      </c>
      <c r="AN92">
        <v>25.734320912043199</v>
      </c>
      <c r="AO92">
        <v>0.57985191138442949</v>
      </c>
      <c r="AP92">
        <v>25.734320912043199</v>
      </c>
      <c r="AQ92">
        <v>25.734320912043199</v>
      </c>
      <c r="AR92">
        <v>0.57985191138442949</v>
      </c>
      <c r="AS92">
        <v>142.8105192444537</v>
      </c>
      <c r="AT92">
        <v>-0.15155305548990591</v>
      </c>
      <c r="AU92">
        <v>0.8</v>
      </c>
      <c r="AV92" t="s">
        <v>93</v>
      </c>
      <c r="AW92">
        <v>7.1176118193871055E-2</v>
      </c>
      <c r="AX92">
        <v>0.48316935414293671</v>
      </c>
      <c r="AY92">
        <v>7.1176118193871055E-2</v>
      </c>
      <c r="AZ92">
        <v>7.1176118193871055E-2</v>
      </c>
      <c r="BA92">
        <v>0.48316935414293671</v>
      </c>
      <c r="BB92">
        <v>0.1033516885448225</v>
      </c>
      <c r="BC92">
        <v>0.24953311171670201</v>
      </c>
      <c r="BD92">
        <v>0.1027578141277168</v>
      </c>
      <c r="BE92">
        <v>0.64396612126803099</v>
      </c>
      <c r="BF92">
        <v>0.1027578141277168</v>
      </c>
      <c r="BG92">
        <v>0.1027578141277168</v>
      </c>
      <c r="BH92">
        <v>0.64396612126803099</v>
      </c>
      <c r="BI92">
        <v>0.31218441767160549</v>
      </c>
      <c r="BJ92">
        <v>-8.1652330256437811E-2</v>
      </c>
      <c r="BK92">
        <v>0.12843122850666891</v>
      </c>
      <c r="BL92">
        <v>0.48438924058794203</v>
      </c>
      <c r="BM92">
        <v>0.12843122850666891</v>
      </c>
      <c r="BN92">
        <v>0.12843122850666891</v>
      </c>
      <c r="BO92">
        <v>0.48438924058794203</v>
      </c>
      <c r="BP92">
        <v>0.28650712715891408</v>
      </c>
      <c r="BQ92">
        <v>-0.15023549279296899</v>
      </c>
      <c r="BR92">
        <v>102.6349184873449</v>
      </c>
      <c r="BS92">
        <v>0.70788292953880549</v>
      </c>
      <c r="BT92">
        <v>102.6349184873449</v>
      </c>
      <c r="BU92">
        <v>102.6349184873449</v>
      </c>
      <c r="BV92">
        <v>0.70788292953880549</v>
      </c>
      <c r="BW92">
        <v>570.54003374443948</v>
      </c>
      <c r="BX92">
        <v>-0.62385751062691952</v>
      </c>
      <c r="BY92" t="str">
        <f t="shared" si="2"/>
        <v>[[sv,wv],[yr],[ya]]</v>
      </c>
      <c r="BZ92" t="str">
        <f>SUBSTITUTE(TRIM(MID(SUBSTITUTE(SUBSTITUTE(SUBSTITUTE(Tabla1[[#This Row],[map]],"[",""),"]",""),",",REPT(" ",100)),901,200))," ",", ")</f>
        <v>2, 3</v>
      </c>
      <c r="CA92" t="str">
        <f>SUBSTITUTE(TRIM(MID(SUBSTITUTE(SUBSTITUTE(SUBSTITUTE(Tabla1[[#This Row],[map]],"[",""),"]",""),",",REPT(" ",100)),1501,200))," ",", ")</f>
        <v>3, 4</v>
      </c>
      <c r="CB92" t="str">
        <f>SUBSTITUTE(TRIM(MID(SUBSTITUTE(SUBSTITUTE(SUBSTITUTE(Tabla1[[#This Row],[map]],"[",""),"]",""),",",REPT(" ",100)),601,300))," ",", ")</f>
        <v>0, 1, 4</v>
      </c>
      <c r="CC92" t="str">
        <f>SUBSTITUTE(TRIM(MID(SUBSTITUTE(SUBSTITUTE(SUBSTITUTE(Tabla1[[#This Row],[map]],"[",""),"]",""),",",REPT(" ",100)),1201,300))," ",", ")</f>
        <v>2, 0, 1</v>
      </c>
      <c r="CD92" t="str">
        <f>SUBSTITUTE(TRIM(MID(SUBSTITUTE(SUBSTITUTE(SUBSTITUTE(Tabla1[[#This Row],[map]],"[",""),"]",""),",",REPT(" ",100)),1,300))," ",", ")</f>
        <v>4, 2, 3</v>
      </c>
      <c r="CE92" t="str">
        <f>SUBSTITUTE(TRIM(MID(SUBSTITUTE(SUBSTITUTE(SUBSTITUTE(Tabla1[[#This Row],[map]],"[",""),"]",""),",",REPT(" ",100)),1,600))," ",", ")</f>
        <v>4, 2, 3, 0, 1, -1</v>
      </c>
      <c r="CF92" t="str">
        <f>SUBSTITUTE(TRIM(MID(SUBSTITUTE(SUBSTITUTE(SUBSTITUTE(Tabla1[[#This Row],[map]],"[",""),"]",""),",",REPT(" ",100)),601,600))," ",", ")</f>
        <v>0, 1, 4, 2, 3, -1</v>
      </c>
      <c r="CG92" t="str">
        <f>SUBSTITUTE(TRIM(MID(SUBSTITUTE(SUBSTITUTE(SUBSTITUTE(Tabla1[[#This Row],[map]],"[",""),"]",""),",",REPT(" ",100)),1201,600))," ",", ")</f>
        <v>2, 0, 1, 3, 4, -1</v>
      </c>
    </row>
    <row r="93" spans="1:85" x14ac:dyDescent="0.3">
      <c r="A93" s="1">
        <v>46096.733298611107</v>
      </c>
      <c r="B93" t="s">
        <v>229</v>
      </c>
      <c r="C93">
        <v>3</v>
      </c>
      <c r="D93" t="s">
        <v>96</v>
      </c>
      <c r="E93" t="s">
        <v>78</v>
      </c>
      <c r="F93">
        <v>16590</v>
      </c>
      <c r="G93">
        <v>4.5</v>
      </c>
      <c r="H93" t="s">
        <v>79</v>
      </c>
      <c r="I93" t="s">
        <v>80</v>
      </c>
      <c r="J93">
        <v>5</v>
      </c>
      <c r="K93">
        <v>5</v>
      </c>
      <c r="L93" t="s">
        <v>81</v>
      </c>
      <c r="M93" t="s">
        <v>82</v>
      </c>
      <c r="N93" t="s">
        <v>83</v>
      </c>
      <c r="O93" t="s">
        <v>83</v>
      </c>
      <c r="P93" t="s">
        <v>84</v>
      </c>
      <c r="Q93" t="s">
        <v>225</v>
      </c>
      <c r="R93">
        <v>3</v>
      </c>
      <c r="S93" t="s">
        <v>86</v>
      </c>
      <c r="T93" t="s">
        <v>87</v>
      </c>
      <c r="U93" t="s">
        <v>88</v>
      </c>
      <c r="V93">
        <v>1</v>
      </c>
      <c r="W93" t="s">
        <v>226</v>
      </c>
      <c r="X93" t="s">
        <v>83</v>
      </c>
      <c r="Y93" t="s">
        <v>90</v>
      </c>
      <c r="Z93">
        <v>4000</v>
      </c>
      <c r="AA93">
        <v>4000</v>
      </c>
      <c r="AC93">
        <v>256</v>
      </c>
      <c r="AD93" t="s">
        <v>91</v>
      </c>
      <c r="AE93">
        <v>0.15</v>
      </c>
      <c r="AF93" t="s">
        <v>92</v>
      </c>
      <c r="AG93">
        <v>180</v>
      </c>
      <c r="AH93">
        <v>60</v>
      </c>
      <c r="AI93">
        <v>120</v>
      </c>
      <c r="AJ93">
        <v>0.13522392660358601</v>
      </c>
      <c r="AK93">
        <v>34.354971924958093</v>
      </c>
      <c r="AL93">
        <v>0.4992975150767362</v>
      </c>
      <c r="AM93">
        <v>-9.5488825188063009E-2</v>
      </c>
      <c r="AN93">
        <v>43.593604790454968</v>
      </c>
      <c r="AO93">
        <v>0.47334577169326852</v>
      </c>
      <c r="AP93">
        <v>43.593604790454968</v>
      </c>
      <c r="AQ93">
        <v>43.593604790454968</v>
      </c>
      <c r="AR93">
        <v>0.47334577169326852</v>
      </c>
      <c r="AS93">
        <v>79.169458175061735</v>
      </c>
      <c r="AT93">
        <v>-4.5738303071136521E-2</v>
      </c>
      <c r="AU93">
        <v>0.8</v>
      </c>
      <c r="AV93" t="s">
        <v>93</v>
      </c>
      <c r="AW93">
        <v>0.12028769635362301</v>
      </c>
      <c r="AX93">
        <v>0.12655579746895271</v>
      </c>
      <c r="AY93">
        <v>0.12028769635362301</v>
      </c>
      <c r="AZ93">
        <v>0.12028769635362301</v>
      </c>
      <c r="BA93">
        <v>0.12655579746895271</v>
      </c>
      <c r="BB93">
        <v>0.16558419296241211</v>
      </c>
      <c r="BC93">
        <v>-0.20235533440278569</v>
      </c>
      <c r="BD93">
        <v>8.8191271580683919E-2</v>
      </c>
      <c r="BE93">
        <v>0.69443608004205182</v>
      </c>
      <c r="BF93">
        <v>8.8191271580683919E-2</v>
      </c>
      <c r="BG93">
        <v>8.8191271580683919E-2</v>
      </c>
      <c r="BH93">
        <v>0.69443608004205182</v>
      </c>
      <c r="BI93">
        <v>0.17275644587047731</v>
      </c>
      <c r="BJ93">
        <v>0.40143581272788881</v>
      </c>
      <c r="BK93">
        <v>0.1076568581575815</v>
      </c>
      <c r="BL93">
        <v>0.56779176656661479</v>
      </c>
      <c r="BM93">
        <v>0.1076568581575815</v>
      </c>
      <c r="BN93">
        <v>0.1076568581575815</v>
      </c>
      <c r="BO93">
        <v>0.56779176656661479</v>
      </c>
      <c r="BP93">
        <v>0.36932595697978521</v>
      </c>
      <c r="BQ93">
        <v>-0.48272689877013758</v>
      </c>
      <c r="BR93">
        <v>174.05828333572771</v>
      </c>
      <c r="BS93">
        <v>0.50459944269545387</v>
      </c>
      <c r="BT93">
        <v>174.05828333572771</v>
      </c>
      <c r="BU93">
        <v>174.05828333572771</v>
      </c>
      <c r="BV93">
        <v>0.50459944269545387</v>
      </c>
      <c r="BW93">
        <v>315.97016610443399</v>
      </c>
      <c r="BX93">
        <v>0.1006932081604849</v>
      </c>
      <c r="BY93" t="str">
        <f t="shared" si="2"/>
        <v>[[sv,wv],[yr],[ya]]</v>
      </c>
      <c r="BZ93" t="str">
        <f>SUBSTITUTE(TRIM(MID(SUBSTITUTE(SUBSTITUTE(SUBSTITUTE(Tabla1[[#This Row],[map]],"[",""),"]",""),",",REPT(" ",100)),901,200))," ",", ")</f>
        <v>2, 3</v>
      </c>
      <c r="CA93" t="str">
        <f>SUBSTITUTE(TRIM(MID(SUBSTITUTE(SUBSTITUTE(SUBSTITUTE(Tabla1[[#This Row],[map]],"[",""),"]",""),",",REPT(" ",100)),1501,200))," ",", ")</f>
        <v>3, 4</v>
      </c>
      <c r="CB93" t="str">
        <f>SUBSTITUTE(TRIM(MID(SUBSTITUTE(SUBSTITUTE(SUBSTITUTE(Tabla1[[#This Row],[map]],"[",""),"]",""),",",REPT(" ",100)),601,300))," ",", ")</f>
        <v>0, 1, 4</v>
      </c>
      <c r="CC93" t="str">
        <f>SUBSTITUTE(TRIM(MID(SUBSTITUTE(SUBSTITUTE(SUBSTITUTE(Tabla1[[#This Row],[map]],"[",""),"]",""),",",REPT(" ",100)),1201,300))," ",", ")</f>
        <v>2, 0, 1</v>
      </c>
      <c r="CD93" t="str">
        <f>SUBSTITUTE(TRIM(MID(SUBSTITUTE(SUBSTITUTE(SUBSTITUTE(Tabla1[[#This Row],[map]],"[",""),"]",""),",",REPT(" ",100)),1,300))," ",", ")</f>
        <v>4, 2, 3</v>
      </c>
      <c r="CE93" t="str">
        <f>SUBSTITUTE(TRIM(MID(SUBSTITUTE(SUBSTITUTE(SUBSTITUTE(Tabla1[[#This Row],[map]],"[",""),"]",""),",",REPT(" ",100)),1,600))," ",", ")</f>
        <v>4, 2, 3, 0, 1, -1</v>
      </c>
      <c r="CF93" t="str">
        <f>SUBSTITUTE(TRIM(MID(SUBSTITUTE(SUBSTITUTE(SUBSTITUTE(Tabla1[[#This Row],[map]],"[",""),"]",""),",",REPT(" ",100)),601,600))," ",", ")</f>
        <v>0, 1, 4, 2, 3, -1</v>
      </c>
      <c r="CG93" t="str">
        <f>SUBSTITUTE(TRIM(MID(SUBSTITUTE(SUBSTITUTE(SUBSTITUTE(Tabla1[[#This Row],[map]],"[",""),"]",""),",",REPT(" ",100)),1201,600))," ",", ")</f>
        <v>2, 0, 1, 3, 4, -1</v>
      </c>
    </row>
    <row r="94" spans="1:85" x14ac:dyDescent="0.3">
      <c r="A94" s="1">
        <v>46096.870347222219</v>
      </c>
      <c r="B94" t="s">
        <v>230</v>
      </c>
      <c r="C94">
        <v>0</v>
      </c>
      <c r="D94" t="s">
        <v>96</v>
      </c>
      <c r="E94" t="s">
        <v>78</v>
      </c>
      <c r="F94">
        <v>16590</v>
      </c>
      <c r="G94">
        <v>4.5</v>
      </c>
      <c r="H94" t="s">
        <v>79</v>
      </c>
      <c r="I94" t="s">
        <v>80</v>
      </c>
      <c r="J94">
        <v>5</v>
      </c>
      <c r="K94">
        <v>5</v>
      </c>
      <c r="L94" t="s">
        <v>81</v>
      </c>
      <c r="M94" t="s">
        <v>82</v>
      </c>
      <c r="N94" t="s">
        <v>83</v>
      </c>
      <c r="O94" t="s">
        <v>83</v>
      </c>
      <c r="P94" t="s">
        <v>84</v>
      </c>
      <c r="Q94" t="s">
        <v>231</v>
      </c>
      <c r="R94">
        <v>3</v>
      </c>
      <c r="S94" t="s">
        <v>86</v>
      </c>
      <c r="T94" t="s">
        <v>87</v>
      </c>
      <c r="U94" t="s">
        <v>88</v>
      </c>
      <c r="V94">
        <v>1</v>
      </c>
      <c r="W94" t="s">
        <v>232</v>
      </c>
      <c r="X94" t="s">
        <v>83</v>
      </c>
      <c r="Y94" t="s">
        <v>90</v>
      </c>
      <c r="Z94">
        <v>4000</v>
      </c>
      <c r="AA94">
        <v>4000</v>
      </c>
      <c r="AC94">
        <v>256</v>
      </c>
      <c r="AD94" t="s">
        <v>91</v>
      </c>
      <c r="AE94">
        <v>0.15</v>
      </c>
      <c r="AF94" t="s">
        <v>92</v>
      </c>
      <c r="AG94">
        <v>180</v>
      </c>
      <c r="AH94">
        <v>60</v>
      </c>
      <c r="AI94">
        <v>120</v>
      </c>
      <c r="AJ94">
        <v>0.1221987041843302</v>
      </c>
      <c r="AK94">
        <v>43.790081030491962</v>
      </c>
      <c r="AL94">
        <v>0.65538924077826</v>
      </c>
      <c r="AM94">
        <v>0.1068742277987392</v>
      </c>
      <c r="AN94">
        <v>45.180427146060659</v>
      </c>
      <c r="AO94">
        <v>0.61309783381176797</v>
      </c>
      <c r="AP94">
        <v>45.180427146060659</v>
      </c>
      <c r="AQ94">
        <v>45.180427146060659</v>
      </c>
      <c r="AR94">
        <v>0.61309783381176797</v>
      </c>
      <c r="AS94">
        <v>86.377061289345647</v>
      </c>
      <c r="AT94">
        <v>0.11169468304958741</v>
      </c>
      <c r="AU94">
        <v>0.8</v>
      </c>
      <c r="AV94" t="s">
        <v>93</v>
      </c>
      <c r="AW94">
        <v>7.5132967441671403E-2</v>
      </c>
      <c r="AX94">
        <v>0.45443751256189657</v>
      </c>
      <c r="AY94">
        <v>7.5132967441671403E-2</v>
      </c>
      <c r="AZ94">
        <v>7.5132967441671403E-2</v>
      </c>
      <c r="BA94">
        <v>0.45443751256189657</v>
      </c>
      <c r="BB94">
        <v>0.1230772334291152</v>
      </c>
      <c r="BC94">
        <v>0.1063001515451069</v>
      </c>
      <c r="BD94">
        <v>7.646681809301642E-2</v>
      </c>
      <c r="BE94">
        <v>0.73505880724446793</v>
      </c>
      <c r="BF94">
        <v>7.646681809301642E-2</v>
      </c>
      <c r="BG94">
        <v>7.646681809301642E-2</v>
      </c>
      <c r="BH94">
        <v>0.73505880724446793</v>
      </c>
      <c r="BI94">
        <v>0.13336732417995709</v>
      </c>
      <c r="BJ94">
        <v>0.53791070657772566</v>
      </c>
      <c r="BK94">
        <v>5.5628031512074592E-2</v>
      </c>
      <c r="BL94">
        <v>0.7766710487313504</v>
      </c>
      <c r="BM94">
        <v>5.5628031512074592E-2</v>
      </c>
      <c r="BN94">
        <v>5.5628031512074592E-2</v>
      </c>
      <c r="BO94">
        <v>0.7766710487313504</v>
      </c>
      <c r="BP94">
        <v>0.30280005956113221</v>
      </c>
      <c r="BQ94">
        <v>-0.21564646290232051</v>
      </c>
      <c r="BR94">
        <v>180.51448076719521</v>
      </c>
      <c r="BS94">
        <v>0.48622396670935542</v>
      </c>
      <c r="BT94">
        <v>180.51448076719521</v>
      </c>
      <c r="BU94">
        <v>180.51448076719521</v>
      </c>
      <c r="BV94">
        <v>0.48622396670935542</v>
      </c>
      <c r="BW94">
        <v>344.94900054021161</v>
      </c>
      <c r="BX94">
        <v>1.8214336977836591E-2</v>
      </c>
      <c r="BY94" t="str">
        <f t="shared" si="2"/>
        <v>[[sv,wv],[yr],[ya]]</v>
      </c>
      <c r="BZ94" t="str">
        <f>SUBSTITUTE(TRIM(MID(SUBSTITUTE(SUBSTITUTE(SUBSTITUTE(Tabla1[[#This Row],[map]],"[",""),"]",""),",",REPT(" ",100)),901,200))," ",", ")</f>
        <v>2, 3</v>
      </c>
      <c r="CA94" t="str">
        <f>SUBSTITUTE(TRIM(MID(SUBSTITUTE(SUBSTITUTE(SUBSTITUTE(Tabla1[[#This Row],[map]],"[",""),"]",""),",",REPT(" ",100)),1501,200))," ",", ")</f>
        <v>3, 2</v>
      </c>
      <c r="CB94" t="str">
        <f>SUBSTITUTE(TRIM(MID(SUBSTITUTE(SUBSTITUTE(SUBSTITUTE(Tabla1[[#This Row],[map]],"[",""),"]",""),",",REPT(" ",100)),601,300))," ",", ")</f>
        <v>4, 0, 1</v>
      </c>
      <c r="CC94" t="str">
        <f>SUBSTITUTE(TRIM(MID(SUBSTITUTE(SUBSTITUTE(SUBSTITUTE(Tabla1[[#This Row],[map]],"[",""),"]",""),",",REPT(" ",100)),1201,300))," ",", ")</f>
        <v>4, 0, 1</v>
      </c>
      <c r="CD94" t="str">
        <f>SUBSTITUTE(TRIM(MID(SUBSTITUTE(SUBSTITUTE(SUBSTITUTE(Tabla1[[#This Row],[map]],"[",""),"]",""),",",REPT(" ",100)),1,300))," ",", ")</f>
        <v>4, 2, 3</v>
      </c>
      <c r="CE94" t="str">
        <f>SUBSTITUTE(TRIM(MID(SUBSTITUTE(SUBSTITUTE(SUBSTITUTE(Tabla1[[#This Row],[map]],"[",""),"]",""),",",REPT(" ",100)),1,600))," ",", ")</f>
        <v>4, 2, 3, 0, 1, -1</v>
      </c>
      <c r="CF94" t="str">
        <f>SUBSTITUTE(TRIM(MID(SUBSTITUTE(SUBSTITUTE(SUBSTITUTE(Tabla1[[#This Row],[map]],"[",""),"]",""),",",REPT(" ",100)),601,600))," ",", ")</f>
        <v>4, 0, 1, 2, 3, -1</v>
      </c>
      <c r="CG94" t="str">
        <f>SUBSTITUTE(TRIM(MID(SUBSTITUTE(SUBSTITUTE(SUBSTITUTE(Tabla1[[#This Row],[map]],"[",""),"]",""),",",REPT(" ",100)),1201,600))," ",", ")</f>
        <v>4, 0, 1, 3, 2, -1</v>
      </c>
    </row>
    <row r="95" spans="1:85" x14ac:dyDescent="0.3">
      <c r="A95" s="1">
        <v>46096.874085648153</v>
      </c>
      <c r="B95" t="s">
        <v>233</v>
      </c>
      <c r="C95">
        <v>1</v>
      </c>
      <c r="D95" t="s">
        <v>77</v>
      </c>
      <c r="E95" t="s">
        <v>78</v>
      </c>
      <c r="F95">
        <v>16590</v>
      </c>
      <c r="G95">
        <v>4.5</v>
      </c>
      <c r="H95" t="s">
        <v>79</v>
      </c>
      <c r="I95" t="s">
        <v>80</v>
      </c>
      <c r="J95">
        <v>5</v>
      </c>
      <c r="K95">
        <v>5</v>
      </c>
      <c r="L95" t="s">
        <v>81</v>
      </c>
      <c r="M95" t="s">
        <v>82</v>
      </c>
      <c r="N95" t="s">
        <v>83</v>
      </c>
      <c r="O95" t="s">
        <v>83</v>
      </c>
      <c r="P95" t="s">
        <v>84</v>
      </c>
      <c r="Q95" t="s">
        <v>231</v>
      </c>
      <c r="R95">
        <v>3</v>
      </c>
      <c r="S95" t="s">
        <v>86</v>
      </c>
      <c r="T95" t="s">
        <v>87</v>
      </c>
      <c r="U95" t="s">
        <v>88</v>
      </c>
      <c r="V95">
        <v>1</v>
      </c>
      <c r="W95" t="s">
        <v>232</v>
      </c>
      <c r="X95" t="s">
        <v>83</v>
      </c>
      <c r="Y95" t="s">
        <v>90</v>
      </c>
      <c r="Z95">
        <v>4000</v>
      </c>
      <c r="AA95">
        <v>4000</v>
      </c>
      <c r="AC95">
        <v>256</v>
      </c>
      <c r="AD95" t="s">
        <v>91</v>
      </c>
      <c r="AE95">
        <v>0.15</v>
      </c>
      <c r="AF95" t="s">
        <v>92</v>
      </c>
      <c r="AG95">
        <v>180</v>
      </c>
      <c r="AH95">
        <v>60</v>
      </c>
      <c r="AI95">
        <v>120</v>
      </c>
      <c r="AJ95">
        <v>0.1285292904122832</v>
      </c>
      <c r="AK95">
        <v>45.266198100337597</v>
      </c>
      <c r="AL95">
        <v>0.62532673179090459</v>
      </c>
      <c r="AM95">
        <v>0.21228872679913491</v>
      </c>
      <c r="AN95">
        <v>48.810542268317768</v>
      </c>
      <c r="AO95">
        <v>0.58803489725226021</v>
      </c>
      <c r="AP95">
        <v>48.810542268317768</v>
      </c>
      <c r="AQ95">
        <v>48.810542268317768</v>
      </c>
      <c r="AR95">
        <v>0.58803489725226021</v>
      </c>
      <c r="AS95">
        <v>117.6358822101738</v>
      </c>
      <c r="AT95">
        <v>0.22798905957272761</v>
      </c>
      <c r="AU95">
        <v>0.8</v>
      </c>
      <c r="AV95" t="s">
        <v>93</v>
      </c>
      <c r="AW95">
        <v>7.8531570976465528E-2</v>
      </c>
      <c r="AX95">
        <v>0.42975925664584141</v>
      </c>
      <c r="AY95">
        <v>7.8531570976465528E-2</v>
      </c>
      <c r="AZ95">
        <v>7.8531570976465528E-2</v>
      </c>
      <c r="BA95">
        <v>0.42975925664584141</v>
      </c>
      <c r="BB95">
        <v>0.1546762512274204</v>
      </c>
      <c r="BC95">
        <v>-0.1231495738903723</v>
      </c>
      <c r="BD95">
        <v>0.10573371373314989</v>
      </c>
      <c r="BE95">
        <v>0.63365526473382716</v>
      </c>
      <c r="BF95">
        <v>0.10573371373314989</v>
      </c>
      <c r="BG95">
        <v>0.10573371373314989</v>
      </c>
      <c r="BH95">
        <v>0.63365526473382716</v>
      </c>
      <c r="BI95">
        <v>9.314262808755791E-2</v>
      </c>
      <c r="BJ95">
        <v>0.67728068726641255</v>
      </c>
      <c r="BK95">
        <v>3.8911285066498262E-2</v>
      </c>
      <c r="BL95">
        <v>0.84378349817159592</v>
      </c>
      <c r="BM95">
        <v>3.8911285066498262E-2</v>
      </c>
      <c r="BN95">
        <v>3.8911285066498262E-2</v>
      </c>
      <c r="BO95">
        <v>0.84378349817159592</v>
      </c>
      <c r="BP95">
        <v>7.5683618622828699E-2</v>
      </c>
      <c r="BQ95">
        <v>0.69615421010207845</v>
      </c>
      <c r="BR95">
        <v>195.01899250349501</v>
      </c>
      <c r="BS95">
        <v>0.44494156945777752</v>
      </c>
      <c r="BT95">
        <v>195.01899250349501</v>
      </c>
      <c r="BU95">
        <v>195.01899250349501</v>
      </c>
      <c r="BV95">
        <v>0.44494156945777752</v>
      </c>
      <c r="BW95">
        <v>470.22002634275913</v>
      </c>
      <c r="BX95">
        <v>-0.33832908518721289</v>
      </c>
      <c r="BY95" t="str">
        <f t="shared" si="2"/>
        <v>[[sv,wv],[yr],[ya]]</v>
      </c>
      <c r="BZ95" t="str">
        <f>SUBSTITUTE(TRIM(MID(SUBSTITUTE(SUBSTITUTE(SUBSTITUTE(Tabla1[[#This Row],[map]],"[",""),"]",""),",",REPT(" ",100)),901,200))," ",", ")</f>
        <v>2, 3</v>
      </c>
      <c r="CA95" t="str">
        <f>SUBSTITUTE(TRIM(MID(SUBSTITUTE(SUBSTITUTE(SUBSTITUTE(Tabla1[[#This Row],[map]],"[",""),"]",""),",",REPT(" ",100)),1501,200))," ",", ")</f>
        <v>3, 2</v>
      </c>
      <c r="CB95" t="str">
        <f>SUBSTITUTE(TRIM(MID(SUBSTITUTE(SUBSTITUTE(SUBSTITUTE(Tabla1[[#This Row],[map]],"[",""),"]",""),",",REPT(" ",100)),601,300))," ",", ")</f>
        <v>4, 0, 1</v>
      </c>
      <c r="CC95" t="str">
        <f>SUBSTITUTE(TRIM(MID(SUBSTITUTE(SUBSTITUTE(SUBSTITUTE(Tabla1[[#This Row],[map]],"[",""),"]",""),",",REPT(" ",100)),1201,300))," ",", ")</f>
        <v>4, 0, 1</v>
      </c>
      <c r="CD95" t="str">
        <f>SUBSTITUTE(TRIM(MID(SUBSTITUTE(SUBSTITUTE(SUBSTITUTE(Tabla1[[#This Row],[map]],"[",""),"]",""),",",REPT(" ",100)),1,300))," ",", ")</f>
        <v>4, 2, 3</v>
      </c>
      <c r="CE95" t="str">
        <f>SUBSTITUTE(TRIM(MID(SUBSTITUTE(SUBSTITUTE(SUBSTITUTE(Tabla1[[#This Row],[map]],"[",""),"]",""),",",REPT(" ",100)),1,600))," ",", ")</f>
        <v>4, 2, 3, 0, 1, -1</v>
      </c>
      <c r="CF95" t="str">
        <f>SUBSTITUTE(TRIM(MID(SUBSTITUTE(SUBSTITUTE(SUBSTITUTE(Tabla1[[#This Row],[map]],"[",""),"]",""),",",REPT(" ",100)),601,600))," ",", ")</f>
        <v>4, 0, 1, 2, 3, -1</v>
      </c>
      <c r="CG95" t="str">
        <f>SUBSTITUTE(TRIM(MID(SUBSTITUTE(SUBSTITUTE(SUBSTITUTE(Tabla1[[#This Row],[map]],"[",""),"]",""),",",REPT(" ",100)),1201,600))," ",", ")</f>
        <v>4, 0, 1, 3, 2, -1</v>
      </c>
    </row>
    <row r="96" spans="1:85" x14ac:dyDescent="0.3">
      <c r="A96" s="1">
        <v>46096.880983796298</v>
      </c>
      <c r="B96" t="s">
        <v>234</v>
      </c>
      <c r="C96">
        <v>2</v>
      </c>
      <c r="D96" t="s">
        <v>77</v>
      </c>
      <c r="E96" t="s">
        <v>78</v>
      </c>
      <c r="F96">
        <v>16590</v>
      </c>
      <c r="G96">
        <v>4.5</v>
      </c>
      <c r="H96" t="s">
        <v>79</v>
      </c>
      <c r="I96" t="s">
        <v>80</v>
      </c>
      <c r="J96">
        <v>5</v>
      </c>
      <c r="K96">
        <v>5</v>
      </c>
      <c r="L96" t="s">
        <v>81</v>
      </c>
      <c r="M96" t="s">
        <v>82</v>
      </c>
      <c r="N96" t="s">
        <v>83</v>
      </c>
      <c r="O96" t="s">
        <v>83</v>
      </c>
      <c r="P96" t="s">
        <v>84</v>
      </c>
      <c r="Q96" t="s">
        <v>231</v>
      </c>
      <c r="R96">
        <v>3</v>
      </c>
      <c r="S96" t="s">
        <v>86</v>
      </c>
      <c r="T96" t="s">
        <v>87</v>
      </c>
      <c r="U96" t="s">
        <v>88</v>
      </c>
      <c r="V96">
        <v>1</v>
      </c>
      <c r="W96" t="s">
        <v>232</v>
      </c>
      <c r="X96" t="s">
        <v>83</v>
      </c>
      <c r="Y96" t="s">
        <v>90</v>
      </c>
      <c r="Z96">
        <v>4000</v>
      </c>
      <c r="AA96">
        <v>4000</v>
      </c>
      <c r="AC96">
        <v>256</v>
      </c>
      <c r="AD96" t="s">
        <v>91</v>
      </c>
      <c r="AE96">
        <v>0.15</v>
      </c>
      <c r="AF96" t="s">
        <v>92</v>
      </c>
      <c r="AG96">
        <v>180</v>
      </c>
      <c r="AH96">
        <v>60</v>
      </c>
      <c r="AI96">
        <v>120</v>
      </c>
      <c r="AJ96">
        <v>0.13340934673905031</v>
      </c>
      <c r="AK96">
        <v>42.073159145454241</v>
      </c>
      <c r="AL96">
        <v>0.6140740170618082</v>
      </c>
      <c r="AM96">
        <v>7.5726596281261133E-2</v>
      </c>
      <c r="AN96">
        <v>50.833025404808048</v>
      </c>
      <c r="AO96">
        <v>0.55733775092524118</v>
      </c>
      <c r="AP96">
        <v>50.833025404808048</v>
      </c>
      <c r="AQ96">
        <v>50.833025404808048</v>
      </c>
      <c r="AR96">
        <v>0.55733775092524118</v>
      </c>
      <c r="AS96">
        <v>108.4607875433127</v>
      </c>
      <c r="AT96">
        <v>8.7423778906166039E-2</v>
      </c>
      <c r="AU96">
        <v>0.8</v>
      </c>
      <c r="AV96" t="s">
        <v>93</v>
      </c>
      <c r="AW96">
        <v>7.0960300463114356E-2</v>
      </c>
      <c r="AX96">
        <v>0.48473646991160751</v>
      </c>
      <c r="AY96">
        <v>7.0960300463114356E-2</v>
      </c>
      <c r="AZ96">
        <v>7.0960300463114356E-2</v>
      </c>
      <c r="BA96">
        <v>0.48473646991160751</v>
      </c>
      <c r="BB96">
        <v>7.9580873548173753E-2</v>
      </c>
      <c r="BC96">
        <v>0.42213996327052311</v>
      </c>
      <c r="BD96">
        <v>9.9503933304522965E-2</v>
      </c>
      <c r="BE96">
        <v>0.65524012334998827</v>
      </c>
      <c r="BF96">
        <v>9.9503933304522965E-2</v>
      </c>
      <c r="BG96">
        <v>9.9503933304522965E-2</v>
      </c>
      <c r="BH96">
        <v>0.65524012334998827</v>
      </c>
      <c r="BI96">
        <v>0.36425475028967602</v>
      </c>
      <c r="BJ96">
        <v>-0.26206491149170691</v>
      </c>
      <c r="BK96">
        <v>8.2852746277574663E-2</v>
      </c>
      <c r="BL96">
        <v>0.66737243017700665</v>
      </c>
      <c r="BM96">
        <v>8.2852746277574663E-2</v>
      </c>
      <c r="BN96">
        <v>8.2852746277574663E-2</v>
      </c>
      <c r="BO96">
        <v>0.66737243017700665</v>
      </c>
      <c r="BP96">
        <v>0.1437867521642483</v>
      </c>
      <c r="BQ96">
        <v>0.42274167008414348</v>
      </c>
      <c r="BR96">
        <v>203.07878463918661</v>
      </c>
      <c r="BS96">
        <v>0.42200198026236452</v>
      </c>
      <c r="BT96">
        <v>203.07878463918661</v>
      </c>
      <c r="BU96">
        <v>203.07878463918661</v>
      </c>
      <c r="BV96">
        <v>0.42200198026236452</v>
      </c>
      <c r="BW96">
        <v>433.2555277972487</v>
      </c>
      <c r="BX96">
        <v>-0.2331216062382919</v>
      </c>
      <c r="BY96" t="str">
        <f t="shared" si="2"/>
        <v>[[sv,wv],[yr],[ya]]</v>
      </c>
      <c r="BZ96" t="str">
        <f>SUBSTITUTE(TRIM(MID(SUBSTITUTE(SUBSTITUTE(SUBSTITUTE(Tabla1[[#This Row],[map]],"[",""),"]",""),",",REPT(" ",100)),901,200))," ",", ")</f>
        <v>2, 3</v>
      </c>
      <c r="CA96" t="str">
        <f>SUBSTITUTE(TRIM(MID(SUBSTITUTE(SUBSTITUTE(SUBSTITUTE(Tabla1[[#This Row],[map]],"[",""),"]",""),",",REPT(" ",100)),1501,200))," ",", ")</f>
        <v>3, 2</v>
      </c>
      <c r="CB96" t="str">
        <f>SUBSTITUTE(TRIM(MID(SUBSTITUTE(SUBSTITUTE(SUBSTITUTE(Tabla1[[#This Row],[map]],"[",""),"]",""),",",REPT(" ",100)),601,300))," ",", ")</f>
        <v>4, 0, 1</v>
      </c>
      <c r="CC96" t="str">
        <f>SUBSTITUTE(TRIM(MID(SUBSTITUTE(SUBSTITUTE(SUBSTITUTE(Tabla1[[#This Row],[map]],"[",""),"]",""),",",REPT(" ",100)),1201,300))," ",", ")</f>
        <v>4, 0, 1</v>
      </c>
      <c r="CD96" t="str">
        <f>SUBSTITUTE(TRIM(MID(SUBSTITUTE(SUBSTITUTE(SUBSTITUTE(Tabla1[[#This Row],[map]],"[",""),"]",""),",",REPT(" ",100)),1,300))," ",", ")</f>
        <v>4, 2, 3</v>
      </c>
      <c r="CE96" t="str">
        <f>SUBSTITUTE(TRIM(MID(SUBSTITUTE(SUBSTITUTE(SUBSTITUTE(Tabla1[[#This Row],[map]],"[",""),"]",""),",",REPT(" ",100)),1,600))," ",", ")</f>
        <v>4, 2, 3, 0, 1, -1</v>
      </c>
      <c r="CF96" t="str">
        <f>SUBSTITUTE(TRIM(MID(SUBSTITUTE(SUBSTITUTE(SUBSTITUTE(Tabla1[[#This Row],[map]],"[",""),"]",""),",",REPT(" ",100)),601,600))," ",", ")</f>
        <v>4, 0, 1, 2, 3, -1</v>
      </c>
      <c r="CG96" t="str">
        <f>SUBSTITUTE(TRIM(MID(SUBSTITUTE(SUBSTITUTE(SUBSTITUTE(Tabla1[[#This Row],[map]],"[",""),"]",""),",",REPT(" ",100)),1201,600))," ",", ")</f>
        <v>4, 0, 1, 3, 2, -1</v>
      </c>
    </row>
    <row r="97" spans="1:85" x14ac:dyDescent="0.3">
      <c r="A97" s="1">
        <v>46096.888692129629</v>
      </c>
      <c r="B97" t="s">
        <v>235</v>
      </c>
      <c r="C97">
        <v>3</v>
      </c>
      <c r="D97" t="s">
        <v>77</v>
      </c>
      <c r="E97" t="s">
        <v>78</v>
      </c>
      <c r="F97">
        <v>16590</v>
      </c>
      <c r="G97">
        <v>4.5</v>
      </c>
      <c r="H97" t="s">
        <v>79</v>
      </c>
      <c r="I97" t="s">
        <v>80</v>
      </c>
      <c r="J97">
        <v>5</v>
      </c>
      <c r="K97">
        <v>5</v>
      </c>
      <c r="L97" t="s">
        <v>81</v>
      </c>
      <c r="M97" t="s">
        <v>82</v>
      </c>
      <c r="N97" t="s">
        <v>83</v>
      </c>
      <c r="O97" t="s">
        <v>83</v>
      </c>
      <c r="P97" t="s">
        <v>84</v>
      </c>
      <c r="Q97" t="s">
        <v>231</v>
      </c>
      <c r="R97">
        <v>3</v>
      </c>
      <c r="S97" t="s">
        <v>86</v>
      </c>
      <c r="T97" t="s">
        <v>87</v>
      </c>
      <c r="U97" t="s">
        <v>88</v>
      </c>
      <c r="V97">
        <v>1</v>
      </c>
      <c r="W97" t="s">
        <v>232</v>
      </c>
      <c r="X97" t="s">
        <v>83</v>
      </c>
      <c r="Y97" t="s">
        <v>90</v>
      </c>
      <c r="Z97">
        <v>4000</v>
      </c>
      <c r="AA97">
        <v>4000</v>
      </c>
      <c r="AC97">
        <v>256</v>
      </c>
      <c r="AD97" t="s">
        <v>91</v>
      </c>
      <c r="AE97">
        <v>0.15</v>
      </c>
      <c r="AF97" t="s">
        <v>92</v>
      </c>
      <c r="AG97">
        <v>180</v>
      </c>
      <c r="AH97">
        <v>60</v>
      </c>
      <c r="AI97">
        <v>120</v>
      </c>
      <c r="AJ97">
        <v>0.1267381099153711</v>
      </c>
      <c r="AK97">
        <v>43.28809079893739</v>
      </c>
      <c r="AL97">
        <v>0.60053045680911443</v>
      </c>
      <c r="AM97">
        <v>4.6650466051500167E-2</v>
      </c>
      <c r="AN97">
        <v>48.422070694326678</v>
      </c>
      <c r="AO97">
        <v>0.57471630423241249</v>
      </c>
      <c r="AP97">
        <v>48.422070694326678</v>
      </c>
      <c r="AQ97">
        <v>48.422070694326678</v>
      </c>
      <c r="AR97">
        <v>0.57471630423241249</v>
      </c>
      <c r="AS97">
        <v>101.55181017400341</v>
      </c>
      <c r="AT97">
        <v>6.4039115121414081E-2</v>
      </c>
      <c r="AU97">
        <v>0.8</v>
      </c>
      <c r="AV97" t="s">
        <v>93</v>
      </c>
      <c r="AW97">
        <v>9.0999106714994629E-2</v>
      </c>
      <c r="AX97">
        <v>0.33922882717736741</v>
      </c>
      <c r="AY97">
        <v>9.0999106714994629E-2</v>
      </c>
      <c r="AZ97">
        <v>9.0999106714994629E-2</v>
      </c>
      <c r="BA97">
        <v>0.33922882717736741</v>
      </c>
      <c r="BB97">
        <v>0.13274154089300591</v>
      </c>
      <c r="BC97">
        <v>3.612478380843287E-2</v>
      </c>
      <c r="BD97">
        <v>8.7893332644936803E-2</v>
      </c>
      <c r="BE97">
        <v>0.69546837482001855</v>
      </c>
      <c r="BF97">
        <v>8.7893332644936803E-2</v>
      </c>
      <c r="BG97">
        <v>8.7893332644936803E-2</v>
      </c>
      <c r="BH97">
        <v>0.69546837482001855</v>
      </c>
      <c r="BI97">
        <v>0.14030418868394201</v>
      </c>
      <c r="BJ97">
        <v>0.51387595266088737</v>
      </c>
      <c r="BK97">
        <v>4.6131017867600987E-2</v>
      </c>
      <c r="BL97">
        <v>0.81479855459040584</v>
      </c>
      <c r="BM97">
        <v>4.6131017867600987E-2</v>
      </c>
      <c r="BN97">
        <v>4.6131017867600987E-2</v>
      </c>
      <c r="BO97">
        <v>0.81479855459040584</v>
      </c>
      <c r="BP97">
        <v>0.28378118330706897</v>
      </c>
      <c r="BQ97">
        <v>-0.13929169044904399</v>
      </c>
      <c r="BR97">
        <v>193.46325932007809</v>
      </c>
      <c r="BS97">
        <v>0.4493694603418632</v>
      </c>
      <c r="BT97">
        <v>193.46325932007809</v>
      </c>
      <c r="BU97">
        <v>193.46325932007809</v>
      </c>
      <c r="BV97">
        <v>0.4493694603418632</v>
      </c>
      <c r="BW97">
        <v>405.65041378313128</v>
      </c>
      <c r="BX97">
        <v>-0.15455258553462639</v>
      </c>
      <c r="BY97" t="str">
        <f t="shared" si="2"/>
        <v>[[sv,wv],[yr],[ya]]</v>
      </c>
      <c r="BZ97" t="str">
        <f>SUBSTITUTE(TRIM(MID(SUBSTITUTE(SUBSTITUTE(SUBSTITUTE(Tabla1[[#This Row],[map]],"[",""),"]",""),",",REPT(" ",100)),901,200))," ",", ")</f>
        <v>2, 3</v>
      </c>
      <c r="CA97" t="str">
        <f>SUBSTITUTE(TRIM(MID(SUBSTITUTE(SUBSTITUTE(SUBSTITUTE(Tabla1[[#This Row],[map]],"[",""),"]",""),",",REPT(" ",100)),1501,200))," ",", ")</f>
        <v>3, 2</v>
      </c>
      <c r="CB97" t="str">
        <f>SUBSTITUTE(TRIM(MID(SUBSTITUTE(SUBSTITUTE(SUBSTITUTE(Tabla1[[#This Row],[map]],"[",""),"]",""),",",REPT(" ",100)),601,300))," ",", ")</f>
        <v>4, 0, 1</v>
      </c>
      <c r="CC97" t="str">
        <f>SUBSTITUTE(TRIM(MID(SUBSTITUTE(SUBSTITUTE(SUBSTITUTE(Tabla1[[#This Row],[map]],"[",""),"]",""),",",REPT(" ",100)),1201,300))," ",", ")</f>
        <v>4, 0, 1</v>
      </c>
      <c r="CD97" t="str">
        <f>SUBSTITUTE(TRIM(MID(SUBSTITUTE(SUBSTITUTE(SUBSTITUTE(Tabla1[[#This Row],[map]],"[",""),"]",""),",",REPT(" ",100)),1,300))," ",", ")</f>
        <v>4, 2, 3</v>
      </c>
      <c r="CE97" t="str">
        <f>SUBSTITUTE(TRIM(MID(SUBSTITUTE(SUBSTITUTE(SUBSTITUTE(Tabla1[[#This Row],[map]],"[",""),"]",""),",",REPT(" ",100)),1,600))," ",", ")</f>
        <v>4, 2, 3, 0, 1, -1</v>
      </c>
      <c r="CF97" t="str">
        <f>SUBSTITUTE(TRIM(MID(SUBSTITUTE(SUBSTITUTE(SUBSTITUTE(Tabla1[[#This Row],[map]],"[",""),"]",""),",",REPT(" ",100)),601,600))," ",", ")</f>
        <v>4, 0, 1, 2, 3, -1</v>
      </c>
      <c r="CG97" t="str">
        <f>SUBSTITUTE(TRIM(MID(SUBSTITUTE(SUBSTITUTE(SUBSTITUTE(Tabla1[[#This Row],[map]],"[",""),"]",""),",",REPT(" ",100)),1201,600))," ",", ")</f>
        <v>4, 0, 1, 3, 2, -1</v>
      </c>
    </row>
    <row r="98" spans="1:85" x14ac:dyDescent="0.3">
      <c r="A98" s="1">
        <v>46097.015844907408</v>
      </c>
      <c r="B98" t="s">
        <v>236</v>
      </c>
      <c r="C98">
        <v>0</v>
      </c>
      <c r="D98" t="s">
        <v>96</v>
      </c>
      <c r="E98" t="s">
        <v>78</v>
      </c>
      <c r="F98">
        <v>16590</v>
      </c>
      <c r="G98">
        <v>4.5</v>
      </c>
      <c r="H98" t="s">
        <v>79</v>
      </c>
      <c r="I98" t="s">
        <v>80</v>
      </c>
      <c r="J98">
        <v>5</v>
      </c>
      <c r="K98">
        <v>5</v>
      </c>
      <c r="L98" t="s">
        <v>81</v>
      </c>
      <c r="M98" t="s">
        <v>82</v>
      </c>
      <c r="N98" t="s">
        <v>83</v>
      </c>
      <c r="O98" t="s">
        <v>83</v>
      </c>
      <c r="P98" t="s">
        <v>84</v>
      </c>
      <c r="Q98" t="s">
        <v>237</v>
      </c>
      <c r="R98">
        <v>3</v>
      </c>
      <c r="S98" t="s">
        <v>86</v>
      </c>
      <c r="T98" t="s">
        <v>87</v>
      </c>
      <c r="U98" t="s">
        <v>88</v>
      </c>
      <c r="V98">
        <v>1</v>
      </c>
      <c r="W98" t="s">
        <v>238</v>
      </c>
      <c r="X98" t="s">
        <v>83</v>
      </c>
      <c r="Y98" t="s">
        <v>90</v>
      </c>
      <c r="Z98">
        <v>4000</v>
      </c>
      <c r="AA98">
        <v>4000</v>
      </c>
      <c r="AC98">
        <v>256</v>
      </c>
      <c r="AD98" t="s">
        <v>91</v>
      </c>
      <c r="AE98">
        <v>0.15</v>
      </c>
      <c r="AF98" t="s">
        <v>92</v>
      </c>
      <c r="AG98">
        <v>180</v>
      </c>
      <c r="AH98">
        <v>60</v>
      </c>
      <c r="AI98">
        <v>120</v>
      </c>
      <c r="AJ98">
        <v>0.10321631884984001</v>
      </c>
      <c r="AK98">
        <v>16.202915821381431</v>
      </c>
      <c r="AL98">
        <v>0.72463929032348906</v>
      </c>
      <c r="AM98">
        <v>0.30801730304157998</v>
      </c>
      <c r="AN98">
        <v>18.545194467950338</v>
      </c>
      <c r="AO98">
        <v>0.68427322501597632</v>
      </c>
      <c r="AP98">
        <v>18.545194467950338</v>
      </c>
      <c r="AQ98">
        <v>18.545194467950338</v>
      </c>
      <c r="AR98">
        <v>0.68427322501597632</v>
      </c>
      <c r="AS98">
        <v>84.362039090720032</v>
      </c>
      <c r="AT98">
        <v>0.33237417059843288</v>
      </c>
      <c r="AU98">
        <v>0.8</v>
      </c>
      <c r="AV98" t="s">
        <v>93</v>
      </c>
      <c r="AW98">
        <v>7.592987311871785E-2</v>
      </c>
      <c r="AX98">
        <v>0.44865094698054209</v>
      </c>
      <c r="AY98">
        <v>7.592987311871785E-2</v>
      </c>
      <c r="AZ98">
        <v>7.592987311871785E-2</v>
      </c>
      <c r="BA98">
        <v>0.44865094698054209</v>
      </c>
      <c r="BB98">
        <v>0.1200108461778952</v>
      </c>
      <c r="BC98">
        <v>0.12856608770053429</v>
      </c>
      <c r="BD98">
        <v>8.744325992025509E-2</v>
      </c>
      <c r="BE98">
        <v>0.69702778068360316</v>
      </c>
      <c r="BF98">
        <v>8.744325992025509E-2</v>
      </c>
      <c r="BG98">
        <v>8.744325992025509E-2</v>
      </c>
      <c r="BH98">
        <v>0.69702778068360316</v>
      </c>
      <c r="BI98">
        <v>0.1507707246137257</v>
      </c>
      <c r="BJ98">
        <v>0.47761164112797722</v>
      </c>
      <c r="BK98">
        <v>4.9333813963356003E-2</v>
      </c>
      <c r="BL98">
        <v>0.80194034131645531</v>
      </c>
      <c r="BM98">
        <v>4.9333813963356003E-2</v>
      </c>
      <c r="BN98">
        <v>4.9333813963356003E-2</v>
      </c>
      <c r="BO98">
        <v>0.80194034131645531</v>
      </c>
      <c r="BP98">
        <v>7.9019850267436964E-2</v>
      </c>
      <c r="BQ98">
        <v>0.68276029530540039</v>
      </c>
      <c r="BR98">
        <v>73.968070924798795</v>
      </c>
      <c r="BS98">
        <v>0.78947383108330416</v>
      </c>
      <c r="BT98">
        <v>73.968070924798795</v>
      </c>
      <c r="BU98">
        <v>73.968070924798795</v>
      </c>
      <c r="BV98">
        <v>0.78947383108330416</v>
      </c>
      <c r="BW98">
        <v>337.0983549418205</v>
      </c>
      <c r="BX98">
        <v>4.055865825981686E-2</v>
      </c>
      <c r="BY98" t="str">
        <f t="shared" ref="BY98:BY105" si="3">_xlfn.LET(_xlpm.TextoConfig, Q98,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98" t="str">
        <f>SUBSTITUTE(TRIM(MID(SUBSTITUTE(SUBSTITUTE(SUBSTITUTE(Tabla1[[#This Row],[map]],"[",""),"]",""),",",REPT(" ",100)),901,200))," ",", ")</f>
        <v>2, 3</v>
      </c>
      <c r="CA98" t="str">
        <f>SUBSTITUTE(TRIM(MID(SUBSTITUTE(SUBSTITUTE(SUBSTITUTE(Tabla1[[#This Row],[map]],"[",""),"]",""),",",REPT(" ",100)),1501,200))," ",", ")</f>
        <v>3, 4</v>
      </c>
      <c r="CB98" t="str">
        <f>SUBSTITUTE(TRIM(MID(SUBSTITUTE(SUBSTITUTE(SUBSTITUTE(Tabla1[[#This Row],[map]],"[",""),"]",""),",",REPT(" ",100)),601,300))," ",", ")</f>
        <v>4, 0, 1</v>
      </c>
      <c r="CC98" t="str">
        <f>SUBSTITUTE(TRIM(MID(SUBSTITUTE(SUBSTITUTE(SUBSTITUTE(Tabla1[[#This Row],[map]],"[",""),"]",""),",",REPT(" ",100)),1201,300))," ",", ")</f>
        <v>0, 1, 2</v>
      </c>
      <c r="CD98" t="str">
        <f>SUBSTITUTE(TRIM(MID(SUBSTITUTE(SUBSTITUTE(SUBSTITUTE(Tabla1[[#This Row],[map]],"[",""),"]",""),",",REPT(" ",100)),1,300))," ",", ")</f>
        <v>4, 2, 3</v>
      </c>
      <c r="CE98" t="str">
        <f>SUBSTITUTE(TRIM(MID(SUBSTITUTE(SUBSTITUTE(SUBSTITUTE(Tabla1[[#This Row],[map]],"[",""),"]",""),",",REPT(" ",100)),1,600))," ",", ")</f>
        <v>4, 2, 3, 0, 1, -1</v>
      </c>
      <c r="CF98" t="str">
        <f>SUBSTITUTE(TRIM(MID(SUBSTITUTE(SUBSTITUTE(SUBSTITUTE(Tabla1[[#This Row],[map]],"[",""),"]",""),",",REPT(" ",100)),601,600))," ",", ")</f>
        <v>4, 0, 1, 2, 3, -1</v>
      </c>
      <c r="CG98" t="str">
        <f>SUBSTITUTE(TRIM(MID(SUBSTITUTE(SUBSTITUTE(SUBSTITUTE(Tabla1[[#This Row],[map]],"[",""),"]",""),",",REPT(" ",100)),1201,600))," ",", ")</f>
        <v>0, 1, 2, 3, 4, -1</v>
      </c>
    </row>
    <row r="99" spans="1:85" x14ac:dyDescent="0.3">
      <c r="A99" s="1">
        <v>46097.019548611112</v>
      </c>
      <c r="B99" t="s">
        <v>239</v>
      </c>
      <c r="C99">
        <v>1</v>
      </c>
      <c r="D99" t="s">
        <v>77</v>
      </c>
      <c r="E99" t="s">
        <v>78</v>
      </c>
      <c r="F99">
        <v>16590</v>
      </c>
      <c r="G99">
        <v>4.5</v>
      </c>
      <c r="H99" t="s">
        <v>79</v>
      </c>
      <c r="I99" t="s">
        <v>80</v>
      </c>
      <c r="J99">
        <v>5</v>
      </c>
      <c r="K99">
        <v>5</v>
      </c>
      <c r="L99" t="s">
        <v>81</v>
      </c>
      <c r="M99" t="s">
        <v>82</v>
      </c>
      <c r="N99" t="s">
        <v>83</v>
      </c>
      <c r="O99" t="s">
        <v>83</v>
      </c>
      <c r="P99" t="s">
        <v>84</v>
      </c>
      <c r="Q99" t="s">
        <v>237</v>
      </c>
      <c r="R99">
        <v>3</v>
      </c>
      <c r="S99" t="s">
        <v>86</v>
      </c>
      <c r="T99" t="s">
        <v>87</v>
      </c>
      <c r="U99" t="s">
        <v>88</v>
      </c>
      <c r="V99">
        <v>1</v>
      </c>
      <c r="W99" t="s">
        <v>238</v>
      </c>
      <c r="X99" t="s">
        <v>83</v>
      </c>
      <c r="Y99" t="s">
        <v>90</v>
      </c>
      <c r="Z99">
        <v>4000</v>
      </c>
      <c r="AA99">
        <v>4000</v>
      </c>
      <c r="AC99">
        <v>256</v>
      </c>
      <c r="AD99" t="s">
        <v>91</v>
      </c>
      <c r="AE99">
        <v>0.15</v>
      </c>
      <c r="AF99" t="s">
        <v>92</v>
      </c>
      <c r="AG99">
        <v>180</v>
      </c>
      <c r="AH99">
        <v>60</v>
      </c>
      <c r="AI99">
        <v>120</v>
      </c>
      <c r="AJ99">
        <v>0.119486161001557</v>
      </c>
      <c r="AK99">
        <v>31.558550419790841</v>
      </c>
      <c r="AL99">
        <v>0.67381998371644103</v>
      </c>
      <c r="AM99">
        <v>0.19204351014270349</v>
      </c>
      <c r="AN99">
        <v>36.606752753371573</v>
      </c>
      <c r="AO99">
        <v>0.62458634314847161</v>
      </c>
      <c r="AP99">
        <v>36.606752753371573</v>
      </c>
      <c r="AQ99">
        <v>36.606752753371573</v>
      </c>
      <c r="AR99">
        <v>0.62458634314847161</v>
      </c>
      <c r="AS99">
        <v>107.76950406894041</v>
      </c>
      <c r="AT99">
        <v>0.22261489129117179</v>
      </c>
      <c r="AU99">
        <v>0.8</v>
      </c>
      <c r="AV99" t="s">
        <v>93</v>
      </c>
      <c r="AW99">
        <v>7.9779198517986483E-2</v>
      </c>
      <c r="AX99">
        <v>0.42069986756372002</v>
      </c>
      <c r="AY99">
        <v>7.9779198517986483E-2</v>
      </c>
      <c r="AZ99">
        <v>7.9779198517986483E-2</v>
      </c>
      <c r="BA99">
        <v>0.42069986756372002</v>
      </c>
      <c r="BB99">
        <v>0.1219061491249291</v>
      </c>
      <c r="BC99">
        <v>0.1148037377569445</v>
      </c>
      <c r="BD99">
        <v>0.1014910200557279</v>
      </c>
      <c r="BE99">
        <v>0.64835529216304733</v>
      </c>
      <c r="BF99">
        <v>0.1014910200557279</v>
      </c>
      <c r="BG99">
        <v>0.1014910200557279</v>
      </c>
      <c r="BH99">
        <v>0.64835529216304733</v>
      </c>
      <c r="BI99">
        <v>0.20591142574664989</v>
      </c>
      <c r="BJ99">
        <v>0.28656088876422131</v>
      </c>
      <c r="BK99">
        <v>3.8503211519519832E-2</v>
      </c>
      <c r="BL99">
        <v>0.84542178438827398</v>
      </c>
      <c r="BM99">
        <v>3.8503211519519832E-2</v>
      </c>
      <c r="BN99">
        <v>3.8503211519519832E-2</v>
      </c>
      <c r="BO99">
        <v>0.84542178438827398</v>
      </c>
      <c r="BP99">
        <v>7.1018345537581948E-2</v>
      </c>
      <c r="BQ99">
        <v>0.71488380590458067</v>
      </c>
      <c r="BR99">
        <v>146.20723758339301</v>
      </c>
      <c r="BS99">
        <v>0.58386842847884357</v>
      </c>
      <c r="BT99">
        <v>146.20723758339301</v>
      </c>
      <c r="BU99">
        <v>146.20723758339301</v>
      </c>
      <c r="BV99">
        <v>0.58386842847884357</v>
      </c>
      <c r="BW99">
        <v>430.67918035535132</v>
      </c>
      <c r="BX99">
        <v>-0.2257888672610591</v>
      </c>
      <c r="BY99" t="str">
        <f t="shared" si="3"/>
        <v>[[sv,wv],[yr],[ya]]</v>
      </c>
      <c r="BZ99" t="str">
        <f>SUBSTITUTE(TRIM(MID(SUBSTITUTE(SUBSTITUTE(SUBSTITUTE(Tabla1[[#This Row],[map]],"[",""),"]",""),",",REPT(" ",100)),901,200))," ",", ")</f>
        <v>2, 3</v>
      </c>
      <c r="CA99" t="str">
        <f>SUBSTITUTE(TRIM(MID(SUBSTITUTE(SUBSTITUTE(SUBSTITUTE(Tabla1[[#This Row],[map]],"[",""),"]",""),",",REPT(" ",100)),1501,200))," ",", ")</f>
        <v>3, 4</v>
      </c>
      <c r="CB99" t="str">
        <f>SUBSTITUTE(TRIM(MID(SUBSTITUTE(SUBSTITUTE(SUBSTITUTE(Tabla1[[#This Row],[map]],"[",""),"]",""),",",REPT(" ",100)),601,300))," ",", ")</f>
        <v>4, 0, 1</v>
      </c>
      <c r="CC99" t="str">
        <f>SUBSTITUTE(TRIM(MID(SUBSTITUTE(SUBSTITUTE(SUBSTITUTE(Tabla1[[#This Row],[map]],"[",""),"]",""),",",REPT(" ",100)),1201,300))," ",", ")</f>
        <v>0, 1, 2</v>
      </c>
      <c r="CD99" t="str">
        <f>SUBSTITUTE(TRIM(MID(SUBSTITUTE(SUBSTITUTE(SUBSTITUTE(Tabla1[[#This Row],[map]],"[",""),"]",""),",",REPT(" ",100)),1,300))," ",", ")</f>
        <v>4, 2, 3</v>
      </c>
      <c r="CE99" t="str">
        <f>SUBSTITUTE(TRIM(MID(SUBSTITUTE(SUBSTITUTE(SUBSTITUTE(Tabla1[[#This Row],[map]],"[",""),"]",""),",",REPT(" ",100)),1,600))," ",", ")</f>
        <v>4, 2, 3, 0, 1, -1</v>
      </c>
      <c r="CF99" t="str">
        <f>SUBSTITUTE(TRIM(MID(SUBSTITUTE(SUBSTITUTE(SUBSTITUTE(Tabla1[[#This Row],[map]],"[",""),"]",""),",",REPT(" ",100)),601,600))," ",", ")</f>
        <v>4, 0, 1, 2, 3, -1</v>
      </c>
      <c r="CG99" t="str">
        <f>SUBSTITUTE(TRIM(MID(SUBSTITUTE(SUBSTITUTE(SUBSTITUTE(Tabla1[[#This Row],[map]],"[",""),"]",""),",",REPT(" ",100)),1201,600))," ",", ")</f>
        <v>0, 1, 2, 3, 4, -1</v>
      </c>
    </row>
    <row r="100" spans="1:85" x14ac:dyDescent="0.3">
      <c r="A100" s="1">
        <v>46097.024502314824</v>
      </c>
      <c r="B100" t="s">
        <v>240</v>
      </c>
      <c r="C100">
        <v>2</v>
      </c>
      <c r="D100" t="s">
        <v>77</v>
      </c>
      <c r="E100" t="s">
        <v>78</v>
      </c>
      <c r="F100">
        <v>16590</v>
      </c>
      <c r="G100">
        <v>4.5</v>
      </c>
      <c r="H100" t="s">
        <v>79</v>
      </c>
      <c r="I100" t="s">
        <v>80</v>
      </c>
      <c r="J100">
        <v>5</v>
      </c>
      <c r="K100">
        <v>5</v>
      </c>
      <c r="L100" t="s">
        <v>81</v>
      </c>
      <c r="M100" t="s">
        <v>82</v>
      </c>
      <c r="N100" t="s">
        <v>83</v>
      </c>
      <c r="O100" t="s">
        <v>83</v>
      </c>
      <c r="P100" t="s">
        <v>84</v>
      </c>
      <c r="Q100" t="s">
        <v>237</v>
      </c>
      <c r="R100">
        <v>3</v>
      </c>
      <c r="S100" t="s">
        <v>86</v>
      </c>
      <c r="T100" t="s">
        <v>87</v>
      </c>
      <c r="U100" t="s">
        <v>88</v>
      </c>
      <c r="V100">
        <v>1</v>
      </c>
      <c r="W100" t="s">
        <v>238</v>
      </c>
      <c r="X100" t="s">
        <v>83</v>
      </c>
      <c r="Y100" t="s">
        <v>90</v>
      </c>
      <c r="Z100">
        <v>4000</v>
      </c>
      <c r="AA100">
        <v>4000</v>
      </c>
      <c r="AC100">
        <v>256</v>
      </c>
      <c r="AD100" t="s">
        <v>91</v>
      </c>
      <c r="AE100">
        <v>0.15</v>
      </c>
      <c r="AF100" t="s">
        <v>92</v>
      </c>
      <c r="AG100">
        <v>180</v>
      </c>
      <c r="AH100">
        <v>60</v>
      </c>
      <c r="AI100">
        <v>120</v>
      </c>
      <c r="AJ100">
        <v>0.120473926512479</v>
      </c>
      <c r="AK100">
        <v>21.475015253732622</v>
      </c>
      <c r="AL100">
        <v>0.67161925695247704</v>
      </c>
      <c r="AM100">
        <v>7.0450042714452016E-2</v>
      </c>
      <c r="AN100">
        <v>27.458183890195201</v>
      </c>
      <c r="AO100">
        <v>0.61878155910084476</v>
      </c>
      <c r="AP100">
        <v>27.458183890195201</v>
      </c>
      <c r="AQ100">
        <v>27.458183890195201</v>
      </c>
      <c r="AR100">
        <v>0.61878155910084476</v>
      </c>
      <c r="AS100">
        <v>117.7025171807153</v>
      </c>
      <c r="AT100">
        <v>5.9652267196603603E-2</v>
      </c>
      <c r="AU100">
        <v>0.8</v>
      </c>
      <c r="AV100" t="s">
        <v>93</v>
      </c>
      <c r="AW100">
        <v>7.4941278826801336E-2</v>
      </c>
      <c r="AX100">
        <v>0.4558294197512841</v>
      </c>
      <c r="AY100">
        <v>7.4941278826801336E-2</v>
      </c>
      <c r="AZ100">
        <v>7.4941278826801336E-2</v>
      </c>
      <c r="BA100">
        <v>0.4558294197512841</v>
      </c>
      <c r="BB100">
        <v>8.9616372316448548E-2</v>
      </c>
      <c r="BC100">
        <v>0.34926926672905523</v>
      </c>
      <c r="BD100">
        <v>9.8940780398501876E-2</v>
      </c>
      <c r="BE100">
        <v>0.65719132789002133</v>
      </c>
      <c r="BF100">
        <v>9.8940780398501876E-2</v>
      </c>
      <c r="BG100">
        <v>9.8940780398501876E-2</v>
      </c>
      <c r="BH100">
        <v>0.65719132789002133</v>
      </c>
      <c r="BI100">
        <v>0.29003426152235873</v>
      </c>
      <c r="BJ100">
        <v>-4.9067700741882714E-3</v>
      </c>
      <c r="BK100">
        <v>8.1206200843881998E-2</v>
      </c>
      <c r="BL100">
        <v>0.67398278928782562</v>
      </c>
      <c r="BM100">
        <v>8.1206200843881998E-2</v>
      </c>
      <c r="BN100">
        <v>8.1206200843881998E-2</v>
      </c>
      <c r="BO100">
        <v>0.67398278928782562</v>
      </c>
      <c r="BP100">
        <v>0.19114072454673409</v>
      </c>
      <c r="BQ100">
        <v>0.2326304491201294</v>
      </c>
      <c r="BR100">
        <v>109.5776473007119</v>
      </c>
      <c r="BS100">
        <v>0.68812269947424576</v>
      </c>
      <c r="BT100">
        <v>109.5776473007119</v>
      </c>
      <c r="BU100">
        <v>109.5776473007119</v>
      </c>
      <c r="BV100">
        <v>0.68812269947424576</v>
      </c>
      <c r="BW100">
        <v>470.2392773644757</v>
      </c>
      <c r="BX100">
        <v>-0.33838387698858158</v>
      </c>
      <c r="BY100" t="str">
        <f t="shared" si="3"/>
        <v>[[sv,wv],[yr],[ya]]</v>
      </c>
      <c r="BZ100" t="str">
        <f>SUBSTITUTE(TRIM(MID(SUBSTITUTE(SUBSTITUTE(SUBSTITUTE(Tabla1[[#This Row],[map]],"[",""),"]",""),",",REPT(" ",100)),901,200))," ",", ")</f>
        <v>2, 3</v>
      </c>
      <c r="CA100" t="str">
        <f>SUBSTITUTE(TRIM(MID(SUBSTITUTE(SUBSTITUTE(SUBSTITUTE(Tabla1[[#This Row],[map]],"[",""),"]",""),",",REPT(" ",100)),1501,200))," ",", ")</f>
        <v>3, 4</v>
      </c>
      <c r="CB100" t="str">
        <f>SUBSTITUTE(TRIM(MID(SUBSTITUTE(SUBSTITUTE(SUBSTITUTE(Tabla1[[#This Row],[map]],"[",""),"]",""),",",REPT(" ",100)),601,300))," ",", ")</f>
        <v>4, 0, 1</v>
      </c>
      <c r="CC100" t="str">
        <f>SUBSTITUTE(TRIM(MID(SUBSTITUTE(SUBSTITUTE(SUBSTITUTE(Tabla1[[#This Row],[map]],"[",""),"]",""),",",REPT(" ",100)),1201,300))," ",", ")</f>
        <v>0, 1, 2</v>
      </c>
      <c r="CD100" t="str">
        <f>SUBSTITUTE(TRIM(MID(SUBSTITUTE(SUBSTITUTE(SUBSTITUTE(Tabla1[[#This Row],[map]],"[",""),"]",""),",",REPT(" ",100)),1,300))," ",", ")</f>
        <v>4, 2, 3</v>
      </c>
      <c r="CE100" t="str">
        <f>SUBSTITUTE(TRIM(MID(SUBSTITUTE(SUBSTITUTE(SUBSTITUTE(Tabla1[[#This Row],[map]],"[",""),"]",""),",",REPT(" ",100)),1,600))," ",", ")</f>
        <v>4, 2, 3, 0, 1, -1</v>
      </c>
      <c r="CF100" t="str">
        <f>SUBSTITUTE(TRIM(MID(SUBSTITUTE(SUBSTITUTE(SUBSTITUTE(Tabla1[[#This Row],[map]],"[",""),"]",""),",",REPT(" ",100)),601,600))," ",", ")</f>
        <v>4, 0, 1, 2, 3, -1</v>
      </c>
      <c r="CG100" t="str">
        <f>SUBSTITUTE(TRIM(MID(SUBSTITUTE(SUBSTITUTE(SUBSTITUTE(Tabla1[[#This Row],[map]],"[",""),"]",""),",",REPT(" ",100)),1201,600))," ",", ")</f>
        <v>0, 1, 2, 3, 4, -1</v>
      </c>
    </row>
    <row r="101" spans="1:85" x14ac:dyDescent="0.3">
      <c r="A101" s="1">
        <v>46097.034317129634</v>
      </c>
      <c r="B101" t="s">
        <v>241</v>
      </c>
      <c r="C101">
        <v>3</v>
      </c>
      <c r="D101" t="s">
        <v>96</v>
      </c>
      <c r="E101" t="s">
        <v>78</v>
      </c>
      <c r="F101">
        <v>16590</v>
      </c>
      <c r="G101">
        <v>4.5</v>
      </c>
      <c r="H101" t="s">
        <v>79</v>
      </c>
      <c r="I101" t="s">
        <v>80</v>
      </c>
      <c r="J101">
        <v>5</v>
      </c>
      <c r="K101">
        <v>5</v>
      </c>
      <c r="L101" t="s">
        <v>81</v>
      </c>
      <c r="M101" t="s">
        <v>82</v>
      </c>
      <c r="N101" t="s">
        <v>83</v>
      </c>
      <c r="O101" t="s">
        <v>83</v>
      </c>
      <c r="P101" t="s">
        <v>84</v>
      </c>
      <c r="Q101" t="s">
        <v>237</v>
      </c>
      <c r="R101">
        <v>3</v>
      </c>
      <c r="S101" t="s">
        <v>86</v>
      </c>
      <c r="T101" t="s">
        <v>87</v>
      </c>
      <c r="U101" t="s">
        <v>88</v>
      </c>
      <c r="V101">
        <v>1</v>
      </c>
      <c r="W101" t="s">
        <v>238</v>
      </c>
      <c r="X101" t="s">
        <v>83</v>
      </c>
      <c r="Y101" t="s">
        <v>90</v>
      </c>
      <c r="Z101">
        <v>4000</v>
      </c>
      <c r="AA101">
        <v>4000</v>
      </c>
      <c r="AC101">
        <v>256</v>
      </c>
      <c r="AD101" t="s">
        <v>91</v>
      </c>
      <c r="AE101">
        <v>0.15</v>
      </c>
      <c r="AF101" t="s">
        <v>92</v>
      </c>
      <c r="AG101">
        <v>180</v>
      </c>
      <c r="AH101">
        <v>60</v>
      </c>
      <c r="AI101">
        <v>120</v>
      </c>
      <c r="AJ101">
        <v>0.1205653165342488</v>
      </c>
      <c r="AK101">
        <v>33.920595181115971</v>
      </c>
      <c r="AL101">
        <v>0.63529435641931431</v>
      </c>
      <c r="AM101">
        <v>0.3437087603440695</v>
      </c>
      <c r="AN101">
        <v>35.469212560742108</v>
      </c>
      <c r="AO101">
        <v>0.63124750569027765</v>
      </c>
      <c r="AP101">
        <v>35.469212560742108</v>
      </c>
      <c r="AQ101">
        <v>35.469212560742108</v>
      </c>
      <c r="AR101">
        <v>0.63124750569027765</v>
      </c>
      <c r="AS101">
        <v>83.174323441083459</v>
      </c>
      <c r="AT101">
        <v>0.34577724780404828</v>
      </c>
      <c r="AU101">
        <v>0.8</v>
      </c>
      <c r="AV101" t="s">
        <v>93</v>
      </c>
      <c r="AW101">
        <v>8.1289547621640562E-2</v>
      </c>
      <c r="AX101">
        <v>0.40973278025242588</v>
      </c>
      <c r="AY101">
        <v>8.1289547621640562E-2</v>
      </c>
      <c r="AZ101">
        <v>8.1289547621640562E-2</v>
      </c>
      <c r="BA101">
        <v>0.40973278025242588</v>
      </c>
      <c r="BB101">
        <v>0.13200744629459021</v>
      </c>
      <c r="BC101">
        <v>4.1455259746807971E-2</v>
      </c>
      <c r="BD101">
        <v>8.9177421641559881E-2</v>
      </c>
      <c r="BE101">
        <v>0.6910192807050296</v>
      </c>
      <c r="BF101">
        <v>8.9177421641559881E-2</v>
      </c>
      <c r="BG101">
        <v>8.9177421641559881E-2</v>
      </c>
      <c r="BH101">
        <v>0.6910192807050296</v>
      </c>
      <c r="BI101">
        <v>0.1306652296504329</v>
      </c>
      <c r="BJ101">
        <v>0.54727288700374399</v>
      </c>
      <c r="BK101">
        <v>4.2982969901405182E-2</v>
      </c>
      <c r="BL101">
        <v>0.82743697144111372</v>
      </c>
      <c r="BM101">
        <v>4.2982969901405182E-2</v>
      </c>
      <c r="BN101">
        <v>4.2982969901405182E-2</v>
      </c>
      <c r="BO101">
        <v>0.82743697144111372</v>
      </c>
      <c r="BP101">
        <v>6.4671517989330768E-2</v>
      </c>
      <c r="BQ101">
        <v>0.74036431099716604</v>
      </c>
      <c r="BR101">
        <v>141.6634003038042</v>
      </c>
      <c r="BS101">
        <v>0.59680099036254131</v>
      </c>
      <c r="BT101">
        <v>141.6634003038042</v>
      </c>
      <c r="BU101">
        <v>141.6634003038042</v>
      </c>
      <c r="BV101">
        <v>0.59680099036254131</v>
      </c>
      <c r="BW101">
        <v>332.36994957040059</v>
      </c>
      <c r="BX101">
        <v>5.4016533468461907E-2</v>
      </c>
      <c r="BY101" t="str">
        <f t="shared" si="3"/>
        <v>[[sv,wv],[yr],[ya]]</v>
      </c>
      <c r="BZ101" t="str">
        <f>SUBSTITUTE(TRIM(MID(SUBSTITUTE(SUBSTITUTE(SUBSTITUTE(Tabla1[[#This Row],[map]],"[",""),"]",""),",",REPT(" ",100)),901,200))," ",", ")</f>
        <v>2, 3</v>
      </c>
      <c r="CA101" t="str">
        <f>SUBSTITUTE(TRIM(MID(SUBSTITUTE(SUBSTITUTE(SUBSTITUTE(Tabla1[[#This Row],[map]],"[",""),"]",""),",",REPT(" ",100)),1501,200))," ",", ")</f>
        <v>3, 4</v>
      </c>
      <c r="CB101" t="str">
        <f>SUBSTITUTE(TRIM(MID(SUBSTITUTE(SUBSTITUTE(SUBSTITUTE(Tabla1[[#This Row],[map]],"[",""),"]",""),",",REPT(" ",100)),601,300))," ",", ")</f>
        <v>4, 0, 1</v>
      </c>
      <c r="CC101" t="str">
        <f>SUBSTITUTE(TRIM(MID(SUBSTITUTE(SUBSTITUTE(SUBSTITUTE(Tabla1[[#This Row],[map]],"[",""),"]",""),",",REPT(" ",100)),1201,300))," ",", ")</f>
        <v>0, 1, 2</v>
      </c>
      <c r="CD101" t="str">
        <f>SUBSTITUTE(TRIM(MID(SUBSTITUTE(SUBSTITUTE(SUBSTITUTE(Tabla1[[#This Row],[map]],"[",""),"]",""),",",REPT(" ",100)),1,300))," ",", ")</f>
        <v>4, 2, 3</v>
      </c>
      <c r="CE101" t="str">
        <f>SUBSTITUTE(TRIM(MID(SUBSTITUTE(SUBSTITUTE(SUBSTITUTE(Tabla1[[#This Row],[map]],"[",""),"]",""),",",REPT(" ",100)),1,600))," ",", ")</f>
        <v>4, 2, 3, 0, 1, -1</v>
      </c>
      <c r="CF101" t="str">
        <f>SUBSTITUTE(TRIM(MID(SUBSTITUTE(SUBSTITUTE(SUBSTITUTE(Tabla1[[#This Row],[map]],"[",""),"]",""),",",REPT(" ",100)),601,600))," ",", ")</f>
        <v>4, 0, 1, 2, 3, -1</v>
      </c>
      <c r="CG101" t="str">
        <f>SUBSTITUTE(TRIM(MID(SUBSTITUTE(SUBSTITUTE(SUBSTITUTE(Tabla1[[#This Row],[map]],"[",""),"]",""),",",REPT(" ",100)),1201,600))," ",", ")</f>
        <v>0, 1, 2, 3, 4, -1</v>
      </c>
    </row>
    <row r="102" spans="1:85" x14ac:dyDescent="0.3">
      <c r="A102" s="1">
        <v>46097.161747685182</v>
      </c>
      <c r="B102" t="s">
        <v>242</v>
      </c>
      <c r="C102">
        <v>0</v>
      </c>
      <c r="D102" t="s">
        <v>96</v>
      </c>
      <c r="E102" t="s">
        <v>78</v>
      </c>
      <c r="F102">
        <v>16590</v>
      </c>
      <c r="G102">
        <v>4.5</v>
      </c>
      <c r="H102" t="s">
        <v>79</v>
      </c>
      <c r="I102" t="s">
        <v>80</v>
      </c>
      <c r="J102">
        <v>5</v>
      </c>
      <c r="K102">
        <v>5</v>
      </c>
      <c r="L102" t="s">
        <v>81</v>
      </c>
      <c r="M102" t="s">
        <v>82</v>
      </c>
      <c r="N102" t="s">
        <v>83</v>
      </c>
      <c r="O102" t="s">
        <v>83</v>
      </c>
      <c r="P102" t="s">
        <v>84</v>
      </c>
      <c r="Q102" t="s">
        <v>243</v>
      </c>
      <c r="R102">
        <v>3</v>
      </c>
      <c r="S102" t="s">
        <v>86</v>
      </c>
      <c r="T102" t="s">
        <v>87</v>
      </c>
      <c r="U102" t="s">
        <v>88</v>
      </c>
      <c r="V102">
        <v>1</v>
      </c>
      <c r="W102" t="s">
        <v>244</v>
      </c>
      <c r="X102" t="s">
        <v>83</v>
      </c>
      <c r="Y102" t="s">
        <v>90</v>
      </c>
      <c r="Z102">
        <v>4000</v>
      </c>
      <c r="AA102">
        <v>4000</v>
      </c>
      <c r="AC102">
        <v>256</v>
      </c>
      <c r="AD102" t="s">
        <v>91</v>
      </c>
      <c r="AE102">
        <v>0.15</v>
      </c>
      <c r="AF102" t="s">
        <v>92</v>
      </c>
      <c r="AG102">
        <v>180</v>
      </c>
      <c r="AH102">
        <v>60</v>
      </c>
      <c r="AI102">
        <v>120</v>
      </c>
      <c r="AJ102">
        <v>9.8252176857425239E-2</v>
      </c>
      <c r="AK102">
        <v>11.685349134255389</v>
      </c>
      <c r="AL102">
        <v>0.75446285467245089</v>
      </c>
      <c r="AM102">
        <v>0.27538097186544042</v>
      </c>
      <c r="AN102">
        <v>14.073680961057621</v>
      </c>
      <c r="AO102">
        <v>0.7094366844020733</v>
      </c>
      <c r="AP102">
        <v>14.073680961057621</v>
      </c>
      <c r="AQ102">
        <v>14.073680961057621</v>
      </c>
      <c r="AR102">
        <v>0.7094366844020733</v>
      </c>
      <c r="AS102">
        <v>88.421485820417985</v>
      </c>
      <c r="AT102">
        <v>0.30935296618759411</v>
      </c>
      <c r="AU102">
        <v>0.8</v>
      </c>
      <c r="AV102" t="s">
        <v>93</v>
      </c>
      <c r="AW102">
        <v>7.2575814212658588E-2</v>
      </c>
      <c r="AX102">
        <v>0.47300575129762429</v>
      </c>
      <c r="AY102">
        <v>7.2575814212658588E-2</v>
      </c>
      <c r="AZ102">
        <v>7.2575814212658588E-2</v>
      </c>
      <c r="BA102">
        <v>0.47300575129762429</v>
      </c>
      <c r="BB102">
        <v>0.1169464249409152</v>
      </c>
      <c r="BC102">
        <v>0.15081774805060469</v>
      </c>
      <c r="BD102">
        <v>8.2695185568345778E-2</v>
      </c>
      <c r="BE102">
        <v>0.71347884420970131</v>
      </c>
      <c r="BF102">
        <v>8.2695185568345778E-2</v>
      </c>
      <c r="BG102">
        <v>8.2695185568345778E-2</v>
      </c>
      <c r="BH102">
        <v>0.71347884420970131</v>
      </c>
      <c r="BI102">
        <v>0.16109388383991741</v>
      </c>
      <c r="BJ102">
        <v>0.44184409925032903</v>
      </c>
      <c r="BK102">
        <v>4.709938471681397E-2</v>
      </c>
      <c r="BL102">
        <v>0.81091086798709466</v>
      </c>
      <c r="BM102">
        <v>4.709938471681397E-2</v>
      </c>
      <c r="BN102">
        <v>4.709938471681397E-2</v>
      </c>
      <c r="BO102">
        <v>0.81091086798709466</v>
      </c>
      <c r="BP102">
        <v>8.7089467151358887E-2</v>
      </c>
      <c r="BQ102">
        <v>0.65036333595164564</v>
      </c>
      <c r="BR102">
        <v>56.092353459732557</v>
      </c>
      <c r="BS102">
        <v>0.84035127411387489</v>
      </c>
      <c r="BT102">
        <v>56.092353459732557</v>
      </c>
      <c r="BU102">
        <v>56.092353459732557</v>
      </c>
      <c r="BV102">
        <v>0.84035127411387489</v>
      </c>
      <c r="BW102">
        <v>353.32081350574009</v>
      </c>
      <c r="BX102">
        <v>-5.6133185022111398E-3</v>
      </c>
      <c r="BY102" t="str">
        <f t="shared" si="3"/>
        <v>[[sv,wv],[yr],[ya]]</v>
      </c>
      <c r="BZ102" t="str">
        <f>SUBSTITUTE(TRIM(MID(SUBSTITUTE(SUBSTITUTE(SUBSTITUTE(Tabla1[[#This Row],[map]],"[",""),"]",""),",",REPT(" ",100)),901,200))," ",", ")</f>
        <v>2, 3</v>
      </c>
      <c r="CA102" t="str">
        <f>SUBSTITUTE(TRIM(MID(SUBSTITUTE(SUBSTITUTE(SUBSTITUTE(Tabla1[[#This Row],[map]],"[",""),"]",""),",",REPT(" ",100)),1501,200))," ",", ")</f>
        <v>3, 4</v>
      </c>
      <c r="CB102" t="str">
        <f>SUBSTITUTE(TRIM(MID(SUBSTITUTE(SUBSTITUTE(SUBSTITUTE(Tabla1[[#This Row],[map]],"[",""),"]",""),",",REPT(" ",100)),601,300))," ",", ")</f>
        <v>4, 0, 1</v>
      </c>
      <c r="CC102" t="str">
        <f>SUBSTITUTE(TRIM(MID(SUBSTITUTE(SUBSTITUTE(SUBSTITUTE(Tabla1[[#This Row],[map]],"[",""),"]",""),",",REPT(" ",100)),1201,300))," ",", ")</f>
        <v>2, 0, 1</v>
      </c>
      <c r="CD102" t="str">
        <f>SUBSTITUTE(TRIM(MID(SUBSTITUTE(SUBSTITUTE(SUBSTITUTE(Tabla1[[#This Row],[map]],"[",""),"]",""),",",REPT(" ",100)),1,300))," ",", ")</f>
        <v>4, 2, 3</v>
      </c>
      <c r="CE102" t="str">
        <f>SUBSTITUTE(TRIM(MID(SUBSTITUTE(SUBSTITUTE(SUBSTITUTE(Tabla1[[#This Row],[map]],"[",""),"]",""),",",REPT(" ",100)),1,600))," ",", ")</f>
        <v>4, 2, 3, 0, 1, -1</v>
      </c>
      <c r="CF102" t="str">
        <f>SUBSTITUTE(TRIM(MID(SUBSTITUTE(SUBSTITUTE(SUBSTITUTE(Tabla1[[#This Row],[map]],"[",""),"]",""),",",REPT(" ",100)),601,600))," ",", ")</f>
        <v>4, 0, 1, 2, 3, -1</v>
      </c>
      <c r="CG102" t="str">
        <f>SUBSTITUTE(TRIM(MID(SUBSTITUTE(SUBSTITUTE(SUBSTITUTE(Tabla1[[#This Row],[map]],"[",""),"]",""),",",REPT(" ",100)),1201,600))," ",", ")</f>
        <v>2, 0, 1, 3, 4, -1</v>
      </c>
    </row>
    <row r="103" spans="1:85" x14ac:dyDescent="0.3">
      <c r="A103" s="1">
        <v>46097.165231481478</v>
      </c>
      <c r="B103" t="s">
        <v>245</v>
      </c>
      <c r="C103">
        <v>1</v>
      </c>
      <c r="D103" t="s">
        <v>96</v>
      </c>
      <c r="E103" t="s">
        <v>78</v>
      </c>
      <c r="F103">
        <v>16590</v>
      </c>
      <c r="G103">
        <v>4.5</v>
      </c>
      <c r="H103" t="s">
        <v>79</v>
      </c>
      <c r="I103" t="s">
        <v>80</v>
      </c>
      <c r="J103">
        <v>5</v>
      </c>
      <c r="K103">
        <v>5</v>
      </c>
      <c r="L103" t="s">
        <v>81</v>
      </c>
      <c r="M103" t="s">
        <v>82</v>
      </c>
      <c r="N103" t="s">
        <v>83</v>
      </c>
      <c r="O103" t="s">
        <v>83</v>
      </c>
      <c r="P103" t="s">
        <v>84</v>
      </c>
      <c r="Q103" t="s">
        <v>243</v>
      </c>
      <c r="R103">
        <v>3</v>
      </c>
      <c r="S103" t="s">
        <v>86</v>
      </c>
      <c r="T103" t="s">
        <v>87</v>
      </c>
      <c r="U103" t="s">
        <v>88</v>
      </c>
      <c r="V103">
        <v>1</v>
      </c>
      <c r="W103" t="s">
        <v>244</v>
      </c>
      <c r="X103" t="s">
        <v>83</v>
      </c>
      <c r="Y103" t="s">
        <v>90</v>
      </c>
      <c r="Z103">
        <v>4000</v>
      </c>
      <c r="AA103">
        <v>4000</v>
      </c>
      <c r="AC103">
        <v>256</v>
      </c>
      <c r="AD103" t="s">
        <v>91</v>
      </c>
      <c r="AE103">
        <v>0.15</v>
      </c>
      <c r="AF103" t="s">
        <v>92</v>
      </c>
      <c r="AG103">
        <v>180</v>
      </c>
      <c r="AH103">
        <v>60</v>
      </c>
      <c r="AI103">
        <v>120</v>
      </c>
      <c r="AJ103">
        <v>0.11762475992048391</v>
      </c>
      <c r="AK103">
        <v>19.47062373013382</v>
      </c>
      <c r="AL103">
        <v>0.70420813047975983</v>
      </c>
      <c r="AM103">
        <v>0.1913932869562143</v>
      </c>
      <c r="AN103">
        <v>22.262527340171172</v>
      </c>
      <c r="AO103">
        <v>0.65959873068288133</v>
      </c>
      <c r="AP103">
        <v>22.262527340171172</v>
      </c>
      <c r="AQ103">
        <v>22.262527340171172</v>
      </c>
      <c r="AR103">
        <v>0.65959873068288133</v>
      </c>
      <c r="AS103">
        <v>112.9487959484309</v>
      </c>
      <c r="AT103">
        <v>0.14615159972824371</v>
      </c>
      <c r="AU103">
        <v>0.8</v>
      </c>
      <c r="AV103" t="s">
        <v>93</v>
      </c>
      <c r="AW103">
        <v>7.4906213967978197E-2</v>
      </c>
      <c r="AX103">
        <v>0.45608403596374869</v>
      </c>
      <c r="AY103">
        <v>7.4906213967978197E-2</v>
      </c>
      <c r="AZ103">
        <v>7.4906213967978197E-2</v>
      </c>
      <c r="BA103">
        <v>0.45608403596374869</v>
      </c>
      <c r="BB103">
        <v>9.4372575290574259E-2</v>
      </c>
      <c r="BC103">
        <v>0.31473308356366941</v>
      </c>
      <c r="BD103">
        <v>0.10503410412860301</v>
      </c>
      <c r="BE103">
        <v>0.63607926258955572</v>
      </c>
      <c r="BF103">
        <v>0.10503410412860301</v>
      </c>
      <c r="BG103">
        <v>0.10503410412860301</v>
      </c>
      <c r="BH103">
        <v>0.63607926258955572</v>
      </c>
      <c r="BI103">
        <v>0.1259284190936685</v>
      </c>
      <c r="BJ103">
        <v>0.56368492388540892</v>
      </c>
      <c r="BK103">
        <v>5.0058908825032222E-2</v>
      </c>
      <c r="BL103">
        <v>0.79902931479571127</v>
      </c>
      <c r="BM103">
        <v>5.0058908825032222E-2</v>
      </c>
      <c r="BN103">
        <v>5.0058908825032222E-2</v>
      </c>
      <c r="BO103">
        <v>0.79902931479571127</v>
      </c>
      <c r="BP103">
        <v>0.2513935031387316</v>
      </c>
      <c r="BQ103">
        <v>-9.2653988580997382E-3</v>
      </c>
      <c r="BR103">
        <v>88.82011013376318</v>
      </c>
      <c r="BS103">
        <v>0.74720230938250576</v>
      </c>
      <c r="BT103">
        <v>88.82011013376318</v>
      </c>
      <c r="BU103">
        <v>88.82011013376318</v>
      </c>
      <c r="BV103">
        <v>0.74720230938250576</v>
      </c>
      <c r="BW103">
        <v>451.32348929620002</v>
      </c>
      <c r="BX103">
        <v>-0.28454620967800798</v>
      </c>
      <c r="BY103" t="str">
        <f t="shared" si="3"/>
        <v>[[sv,wv],[yr],[ya]]</v>
      </c>
      <c r="BZ103" t="str">
        <f>SUBSTITUTE(TRIM(MID(SUBSTITUTE(SUBSTITUTE(SUBSTITUTE(Tabla1[[#This Row],[map]],"[",""),"]",""),",",REPT(" ",100)),901,200))," ",", ")</f>
        <v>2, 3</v>
      </c>
      <c r="CA103" t="str">
        <f>SUBSTITUTE(TRIM(MID(SUBSTITUTE(SUBSTITUTE(SUBSTITUTE(Tabla1[[#This Row],[map]],"[",""),"]",""),",",REPT(" ",100)),1501,200))," ",", ")</f>
        <v>3, 4</v>
      </c>
      <c r="CB103" t="str">
        <f>SUBSTITUTE(TRIM(MID(SUBSTITUTE(SUBSTITUTE(SUBSTITUTE(Tabla1[[#This Row],[map]],"[",""),"]",""),",",REPT(" ",100)),601,300))," ",", ")</f>
        <v>4, 0, 1</v>
      </c>
      <c r="CC103" t="str">
        <f>SUBSTITUTE(TRIM(MID(SUBSTITUTE(SUBSTITUTE(SUBSTITUTE(Tabla1[[#This Row],[map]],"[",""),"]",""),",",REPT(" ",100)),1201,300))," ",", ")</f>
        <v>2, 0, 1</v>
      </c>
      <c r="CD103" t="str">
        <f>SUBSTITUTE(TRIM(MID(SUBSTITUTE(SUBSTITUTE(SUBSTITUTE(Tabla1[[#This Row],[map]],"[",""),"]",""),",",REPT(" ",100)),1,300))," ",", ")</f>
        <v>4, 2, 3</v>
      </c>
      <c r="CE103" t="str">
        <f>SUBSTITUTE(TRIM(MID(SUBSTITUTE(SUBSTITUTE(SUBSTITUTE(Tabla1[[#This Row],[map]],"[",""),"]",""),",",REPT(" ",100)),1,600))," ",", ")</f>
        <v>4, 2, 3, 0, 1, -1</v>
      </c>
      <c r="CF103" t="str">
        <f>SUBSTITUTE(TRIM(MID(SUBSTITUTE(SUBSTITUTE(SUBSTITUTE(Tabla1[[#This Row],[map]],"[",""),"]",""),",",REPT(" ",100)),601,600))," ",", ")</f>
        <v>4, 0, 1, 2, 3, -1</v>
      </c>
      <c r="CG103" t="str">
        <f>SUBSTITUTE(TRIM(MID(SUBSTITUTE(SUBSTITUTE(SUBSTITUTE(Tabla1[[#This Row],[map]],"[",""),"]",""),",",REPT(" ",100)),1201,600))," ",", ")</f>
        <v>2, 0, 1, 3, 4, -1</v>
      </c>
    </row>
    <row r="104" spans="1:85" x14ac:dyDescent="0.3">
      <c r="A104" s="1">
        <v>46097.168657407397</v>
      </c>
      <c r="B104" t="s">
        <v>246</v>
      </c>
      <c r="C104">
        <v>2</v>
      </c>
      <c r="D104" t="s">
        <v>96</v>
      </c>
      <c r="E104" t="s">
        <v>78</v>
      </c>
      <c r="F104">
        <v>16590</v>
      </c>
      <c r="G104">
        <v>4.5</v>
      </c>
      <c r="H104" t="s">
        <v>79</v>
      </c>
      <c r="I104" t="s">
        <v>80</v>
      </c>
      <c r="J104">
        <v>5</v>
      </c>
      <c r="K104">
        <v>5</v>
      </c>
      <c r="L104" t="s">
        <v>81</v>
      </c>
      <c r="M104" t="s">
        <v>82</v>
      </c>
      <c r="N104" t="s">
        <v>83</v>
      </c>
      <c r="O104" t="s">
        <v>83</v>
      </c>
      <c r="P104" t="s">
        <v>84</v>
      </c>
      <c r="Q104" t="s">
        <v>243</v>
      </c>
      <c r="R104">
        <v>3</v>
      </c>
      <c r="S104" t="s">
        <v>86</v>
      </c>
      <c r="T104" t="s">
        <v>87</v>
      </c>
      <c r="U104" t="s">
        <v>88</v>
      </c>
      <c r="V104">
        <v>1</v>
      </c>
      <c r="W104" t="s">
        <v>244</v>
      </c>
      <c r="X104" t="s">
        <v>83</v>
      </c>
      <c r="Y104" t="s">
        <v>90</v>
      </c>
      <c r="Z104">
        <v>4000</v>
      </c>
      <c r="AA104">
        <v>4000</v>
      </c>
      <c r="AC104">
        <v>256</v>
      </c>
      <c r="AD104" t="s">
        <v>91</v>
      </c>
      <c r="AE104">
        <v>0.15</v>
      </c>
      <c r="AF104" t="s">
        <v>92</v>
      </c>
      <c r="AG104">
        <v>180</v>
      </c>
      <c r="AH104">
        <v>60</v>
      </c>
      <c r="AI104">
        <v>120</v>
      </c>
      <c r="AJ104">
        <v>0.1211808436182043</v>
      </c>
      <c r="AK104">
        <v>21.146991028256821</v>
      </c>
      <c r="AL104">
        <v>0.68782791838249568</v>
      </c>
      <c r="AM104">
        <v>-2.0511825437585118E-2</v>
      </c>
      <c r="AN104">
        <v>26.67958155819823</v>
      </c>
      <c r="AO104">
        <v>0.62050881962099402</v>
      </c>
      <c r="AP104">
        <v>26.67958155819823</v>
      </c>
      <c r="AQ104">
        <v>26.67958155819823</v>
      </c>
      <c r="AR104">
        <v>0.62050881962099402</v>
      </c>
      <c r="AS104">
        <v>97.33260980930946</v>
      </c>
      <c r="AT104">
        <v>-8.0712886395734318E-3</v>
      </c>
      <c r="AU104">
        <v>0.8</v>
      </c>
      <c r="AV104" t="s">
        <v>93</v>
      </c>
      <c r="AW104">
        <v>7.4181980900876396E-2</v>
      </c>
      <c r="AX104">
        <v>0.46134290443423381</v>
      </c>
      <c r="AY104">
        <v>7.4181980900876396E-2</v>
      </c>
      <c r="AZ104">
        <v>7.4181980900876396E-2</v>
      </c>
      <c r="BA104">
        <v>0.46134290443423381</v>
      </c>
      <c r="BB104">
        <v>8.7466466434313814E-2</v>
      </c>
      <c r="BC104">
        <v>0.36488036317251471</v>
      </c>
      <c r="BD104">
        <v>0.10184197692835439</v>
      </c>
      <c r="BE104">
        <v>0.6471393015574709</v>
      </c>
      <c r="BF104">
        <v>0.10184197692835439</v>
      </c>
      <c r="BG104">
        <v>0.10184197692835439</v>
      </c>
      <c r="BH104">
        <v>0.6471393015574709</v>
      </c>
      <c r="BI104">
        <v>0.3712042759828833</v>
      </c>
      <c r="BJ104">
        <v>-0.28614353372499868</v>
      </c>
      <c r="BK104">
        <v>8.0563769653490089E-2</v>
      </c>
      <c r="BL104">
        <v>0.67656194731503994</v>
      </c>
      <c r="BM104">
        <v>8.0563769653490089E-2</v>
      </c>
      <c r="BN104">
        <v>8.0563769653490089E-2</v>
      </c>
      <c r="BO104">
        <v>0.67656194731503994</v>
      </c>
      <c r="BP104">
        <v>0.2503153169176151</v>
      </c>
      <c r="BQ104">
        <v>-4.9368222126726646E-3</v>
      </c>
      <c r="BR104">
        <v>106.46173850531039</v>
      </c>
      <c r="BS104">
        <v>0.69699112517723072</v>
      </c>
      <c r="BT104">
        <v>106.46173850531039</v>
      </c>
      <c r="BU104">
        <v>106.46173850531039</v>
      </c>
      <c r="BV104">
        <v>0.69699112517723072</v>
      </c>
      <c r="BW104">
        <v>388.62145317790231</v>
      </c>
      <c r="BX104">
        <v>-0.10608516179314439</v>
      </c>
      <c r="BY104" t="str">
        <f t="shared" si="3"/>
        <v>[[sv,wv],[yr],[ya]]</v>
      </c>
      <c r="BZ104" t="str">
        <f>SUBSTITUTE(TRIM(MID(SUBSTITUTE(SUBSTITUTE(SUBSTITUTE(Tabla1[[#This Row],[map]],"[",""),"]",""),",",REPT(" ",100)),901,200))," ",", ")</f>
        <v>2, 3</v>
      </c>
      <c r="CA104" t="str">
        <f>SUBSTITUTE(TRIM(MID(SUBSTITUTE(SUBSTITUTE(SUBSTITUTE(Tabla1[[#This Row],[map]],"[",""),"]",""),",",REPT(" ",100)),1501,200))," ",", ")</f>
        <v>3, 4</v>
      </c>
      <c r="CB104" t="str">
        <f>SUBSTITUTE(TRIM(MID(SUBSTITUTE(SUBSTITUTE(SUBSTITUTE(Tabla1[[#This Row],[map]],"[",""),"]",""),",",REPT(" ",100)),601,300))," ",", ")</f>
        <v>4, 0, 1</v>
      </c>
      <c r="CC104" t="str">
        <f>SUBSTITUTE(TRIM(MID(SUBSTITUTE(SUBSTITUTE(SUBSTITUTE(Tabla1[[#This Row],[map]],"[",""),"]",""),",",REPT(" ",100)),1201,300))," ",", ")</f>
        <v>2, 0, 1</v>
      </c>
      <c r="CD104" t="str">
        <f>SUBSTITUTE(TRIM(MID(SUBSTITUTE(SUBSTITUTE(SUBSTITUTE(Tabla1[[#This Row],[map]],"[",""),"]",""),",",REPT(" ",100)),1,300))," ",", ")</f>
        <v>4, 2, 3</v>
      </c>
      <c r="CE104" t="str">
        <f>SUBSTITUTE(TRIM(MID(SUBSTITUTE(SUBSTITUTE(SUBSTITUTE(Tabla1[[#This Row],[map]],"[",""),"]",""),",",REPT(" ",100)),1,600))," ",", ")</f>
        <v>4, 2, 3, 0, 1, -1</v>
      </c>
      <c r="CF104" t="str">
        <f>SUBSTITUTE(TRIM(MID(SUBSTITUTE(SUBSTITUTE(SUBSTITUTE(Tabla1[[#This Row],[map]],"[",""),"]",""),",",REPT(" ",100)),601,600))," ",", ")</f>
        <v>4, 0, 1, 2, 3, -1</v>
      </c>
      <c r="CG104" t="str">
        <f>SUBSTITUTE(TRIM(MID(SUBSTITUTE(SUBSTITUTE(SUBSTITUTE(Tabla1[[#This Row],[map]],"[",""),"]",""),",",REPT(" ",100)),1201,600))," ",", ")</f>
        <v>2, 0, 1, 3, 4, -1</v>
      </c>
    </row>
    <row r="105" spans="1:85" x14ac:dyDescent="0.3">
      <c r="A105" s="1">
        <v>46097.180706018517</v>
      </c>
      <c r="B105" t="s">
        <v>247</v>
      </c>
      <c r="C105">
        <v>3</v>
      </c>
      <c r="D105" t="s">
        <v>77</v>
      </c>
      <c r="E105" t="s">
        <v>78</v>
      </c>
      <c r="F105">
        <v>16590</v>
      </c>
      <c r="G105">
        <v>4.5</v>
      </c>
      <c r="H105" t="s">
        <v>79</v>
      </c>
      <c r="I105" t="s">
        <v>80</v>
      </c>
      <c r="J105">
        <v>5</v>
      </c>
      <c r="K105">
        <v>5</v>
      </c>
      <c r="L105" t="s">
        <v>81</v>
      </c>
      <c r="M105" t="s">
        <v>82</v>
      </c>
      <c r="N105" t="s">
        <v>83</v>
      </c>
      <c r="O105" t="s">
        <v>83</v>
      </c>
      <c r="P105" t="s">
        <v>84</v>
      </c>
      <c r="Q105" t="s">
        <v>243</v>
      </c>
      <c r="R105">
        <v>3</v>
      </c>
      <c r="S105" t="s">
        <v>86</v>
      </c>
      <c r="T105" t="s">
        <v>87</v>
      </c>
      <c r="U105" t="s">
        <v>88</v>
      </c>
      <c r="V105">
        <v>1</v>
      </c>
      <c r="W105" t="s">
        <v>244</v>
      </c>
      <c r="X105" t="s">
        <v>83</v>
      </c>
      <c r="Y105" t="s">
        <v>90</v>
      </c>
      <c r="Z105">
        <v>4000</v>
      </c>
      <c r="AA105">
        <v>4000</v>
      </c>
      <c r="AC105">
        <v>256</v>
      </c>
      <c r="AD105" t="s">
        <v>91</v>
      </c>
      <c r="AE105">
        <v>0.15</v>
      </c>
      <c r="AF105" t="s">
        <v>92</v>
      </c>
      <c r="AG105">
        <v>180</v>
      </c>
      <c r="AH105">
        <v>60</v>
      </c>
      <c r="AI105">
        <v>120</v>
      </c>
      <c r="AJ105">
        <v>0.11746366576922281</v>
      </c>
      <c r="AK105">
        <v>20.429411413215501</v>
      </c>
      <c r="AL105">
        <v>0.61026027858662224</v>
      </c>
      <c r="AM105">
        <v>0.3048703797889698</v>
      </c>
      <c r="AN105">
        <v>23.80035543339423</v>
      </c>
      <c r="AO105">
        <v>0.59772927376702722</v>
      </c>
      <c r="AP105">
        <v>23.80035543339423</v>
      </c>
      <c r="AQ105">
        <v>23.80035543339423</v>
      </c>
      <c r="AR105">
        <v>0.59772927376702722</v>
      </c>
      <c r="AS105">
        <v>75.710561513998371</v>
      </c>
      <c r="AT105">
        <v>0.3237792606726575</v>
      </c>
      <c r="AU105">
        <v>0.8</v>
      </c>
      <c r="AV105" t="s">
        <v>93</v>
      </c>
      <c r="AW105">
        <v>0.1199618360577225</v>
      </c>
      <c r="AX105">
        <v>0.1289219645410413</v>
      </c>
      <c r="AY105">
        <v>0.1199618360577225</v>
      </c>
      <c r="AZ105">
        <v>0.1199618360577225</v>
      </c>
      <c r="BA105">
        <v>0.1289219645410413</v>
      </c>
      <c r="BB105">
        <v>0.15181764691538191</v>
      </c>
      <c r="BC105">
        <v>-0.10239241052812691</v>
      </c>
      <c r="BD105">
        <v>8.5467557386797025E-2</v>
      </c>
      <c r="BE105">
        <v>0.70387316798751542</v>
      </c>
      <c r="BF105">
        <v>8.5467557386797025E-2</v>
      </c>
      <c r="BG105">
        <v>8.5467557386797025E-2</v>
      </c>
      <c r="BH105">
        <v>0.70387316798751542</v>
      </c>
      <c r="BI105">
        <v>0.1249415810386581</v>
      </c>
      <c r="BJ105">
        <v>0.56710410697516389</v>
      </c>
      <c r="BK105">
        <v>4.2749163312011368E-2</v>
      </c>
      <c r="BL105">
        <v>0.8283756309440603</v>
      </c>
      <c r="BM105">
        <v>4.2749163312011368E-2</v>
      </c>
      <c r="BN105">
        <v>4.2749163312011368E-2</v>
      </c>
      <c r="BO105">
        <v>0.8283756309440603</v>
      </c>
      <c r="BP105">
        <v>7.688246107482774E-2</v>
      </c>
      <c r="BQ105">
        <v>0.6913412368534535</v>
      </c>
      <c r="BR105">
        <v>94.953243176820266</v>
      </c>
      <c r="BS105">
        <v>0.72974633159549662</v>
      </c>
      <c r="BT105">
        <v>94.953243176820266</v>
      </c>
      <c r="BU105">
        <v>94.953243176820266</v>
      </c>
      <c r="BV105">
        <v>0.72974633159549662</v>
      </c>
      <c r="BW105">
        <v>302.48860436696401</v>
      </c>
      <c r="BX105">
        <v>0.13906410939013869</v>
      </c>
      <c r="BY105" t="str">
        <f t="shared" si="3"/>
        <v>[[sv,wv],[yr],[ya]]</v>
      </c>
      <c r="BZ105" t="str">
        <f>SUBSTITUTE(TRIM(MID(SUBSTITUTE(SUBSTITUTE(SUBSTITUTE(Tabla1[[#This Row],[map]],"[",""),"]",""),",",REPT(" ",100)),901,200))," ",", ")</f>
        <v>2, 3</v>
      </c>
      <c r="CA105" t="str">
        <f>SUBSTITUTE(TRIM(MID(SUBSTITUTE(SUBSTITUTE(SUBSTITUTE(Tabla1[[#This Row],[map]],"[",""),"]",""),",",REPT(" ",100)),1501,200))," ",", ")</f>
        <v>3, 4</v>
      </c>
      <c r="CB105" t="str">
        <f>SUBSTITUTE(TRIM(MID(SUBSTITUTE(SUBSTITUTE(SUBSTITUTE(Tabla1[[#This Row],[map]],"[",""),"]",""),",",REPT(" ",100)),601,300))," ",", ")</f>
        <v>4, 0, 1</v>
      </c>
      <c r="CC105" t="str">
        <f>SUBSTITUTE(TRIM(MID(SUBSTITUTE(SUBSTITUTE(SUBSTITUTE(Tabla1[[#This Row],[map]],"[",""),"]",""),",",REPT(" ",100)),1201,300))," ",", ")</f>
        <v>2, 0, 1</v>
      </c>
      <c r="CD105" t="str">
        <f>SUBSTITUTE(TRIM(MID(SUBSTITUTE(SUBSTITUTE(SUBSTITUTE(Tabla1[[#This Row],[map]],"[",""),"]",""),",",REPT(" ",100)),1,300))," ",", ")</f>
        <v>4, 2, 3</v>
      </c>
      <c r="CE105" t="str">
        <f>SUBSTITUTE(TRIM(MID(SUBSTITUTE(SUBSTITUTE(SUBSTITUTE(Tabla1[[#This Row],[map]],"[",""),"]",""),",",REPT(" ",100)),1,600))," ",", ")</f>
        <v>4, 2, 3, 0, 1, -1</v>
      </c>
      <c r="CF105" t="str">
        <f>SUBSTITUTE(TRIM(MID(SUBSTITUTE(SUBSTITUTE(SUBSTITUTE(Tabla1[[#This Row],[map]],"[",""),"]",""),",",REPT(" ",100)),601,600))," ",", ")</f>
        <v>4, 0, 1, 2, 3, -1</v>
      </c>
      <c r="CG105" t="str">
        <f>SUBSTITUTE(TRIM(MID(SUBSTITUTE(SUBSTITUTE(SUBSTITUTE(Tabla1[[#This Row],[map]],"[",""),"]",""),",",REPT(" ",100)),1201,600))," ",", ")</f>
        <v>2, 0, 1, 3, 4, -1</v>
      </c>
    </row>
    <row r="106" spans="1:85" x14ac:dyDescent="0.3">
      <c r="A106" s="1">
        <v>46097.306087962963</v>
      </c>
      <c r="B106" t="s">
        <v>264</v>
      </c>
      <c r="C106">
        <v>0</v>
      </c>
      <c r="D106" t="s">
        <v>96</v>
      </c>
      <c r="E106" t="s">
        <v>78</v>
      </c>
      <c r="F106">
        <v>16590</v>
      </c>
      <c r="G106">
        <v>4.5</v>
      </c>
      <c r="H106" t="s">
        <v>79</v>
      </c>
      <c r="I106" t="s">
        <v>80</v>
      </c>
      <c r="J106">
        <v>5</v>
      </c>
      <c r="K106">
        <v>5</v>
      </c>
      <c r="L106" t="s">
        <v>81</v>
      </c>
      <c r="M106" t="s">
        <v>82</v>
      </c>
      <c r="N106" t="s">
        <v>83</v>
      </c>
      <c r="O106" t="s">
        <v>83</v>
      </c>
      <c r="P106" t="s">
        <v>84</v>
      </c>
      <c r="Q106" t="s">
        <v>265</v>
      </c>
      <c r="R106">
        <v>3</v>
      </c>
      <c r="S106" t="s">
        <v>86</v>
      </c>
      <c r="T106" t="s">
        <v>87</v>
      </c>
      <c r="U106" t="s">
        <v>88</v>
      </c>
      <c r="V106">
        <v>1</v>
      </c>
      <c r="W106" t="s">
        <v>266</v>
      </c>
      <c r="X106" t="s">
        <v>83</v>
      </c>
      <c r="Y106" t="s">
        <v>90</v>
      </c>
      <c r="Z106">
        <v>4000</v>
      </c>
      <c r="AA106">
        <v>4000</v>
      </c>
      <c r="AC106">
        <v>256</v>
      </c>
      <c r="AD106" t="s">
        <v>91</v>
      </c>
      <c r="AE106">
        <v>0.15</v>
      </c>
      <c r="AF106" t="s">
        <v>92</v>
      </c>
      <c r="AG106">
        <v>180</v>
      </c>
      <c r="AH106">
        <v>60</v>
      </c>
      <c r="AI106">
        <v>120</v>
      </c>
      <c r="AJ106">
        <v>0.13987032557649101</v>
      </c>
      <c r="AK106">
        <v>53.090414790523013</v>
      </c>
      <c r="AL106">
        <v>0.59221445000484629</v>
      </c>
      <c r="AM106">
        <v>7.2856731206230041E-3</v>
      </c>
      <c r="AN106">
        <v>55.728666801034663</v>
      </c>
      <c r="AO106">
        <v>0.53913028256453643</v>
      </c>
      <c r="AP106">
        <v>55.728666801034663</v>
      </c>
      <c r="AQ106">
        <v>55.728666801034663</v>
      </c>
      <c r="AR106">
        <v>0.53913028256453643</v>
      </c>
      <c r="AS106">
        <v>100.03487429395879</v>
      </c>
      <c r="AT106">
        <v>-2.8320428400536168E-3</v>
      </c>
      <c r="AU106">
        <v>0.8</v>
      </c>
      <c r="AV106" t="s">
        <v>93</v>
      </c>
      <c r="AW106">
        <v>7.6769386981872786E-2</v>
      </c>
      <c r="AX106">
        <v>0.44255499087742212</v>
      </c>
      <c r="AY106">
        <v>7.6769386981872786E-2</v>
      </c>
      <c r="AZ106">
        <v>7.6769386981872786E-2</v>
      </c>
      <c r="BA106">
        <v>0.44255499087742212</v>
      </c>
      <c r="BB106">
        <v>0.14383908074968749</v>
      </c>
      <c r="BC106">
        <v>-4.4457704209958981E-2</v>
      </c>
      <c r="BD106">
        <v>9.0013256234169517E-2</v>
      </c>
      <c r="BE106">
        <v>0.68812329236087022</v>
      </c>
      <c r="BF106">
        <v>9.0013256234169517E-2</v>
      </c>
      <c r="BG106">
        <v>9.0013256234169517E-2</v>
      </c>
      <c r="BH106">
        <v>0.68812329236087022</v>
      </c>
      <c r="BI106">
        <v>0.1177351853283856</v>
      </c>
      <c r="BJ106">
        <v>0.59207272895477137</v>
      </c>
      <c r="BK106">
        <v>8.4793415923161322E-2</v>
      </c>
      <c r="BL106">
        <v>0.6595812553874818</v>
      </c>
      <c r="BM106">
        <v>8.4793415923161322E-2</v>
      </c>
      <c r="BN106">
        <v>8.4793415923161322E-2</v>
      </c>
      <c r="BO106">
        <v>0.6595812553874818</v>
      </c>
      <c r="BP106">
        <v>0.35415694913926588</v>
      </c>
      <c r="BQ106">
        <v>-0.42182813027652721</v>
      </c>
      <c r="BR106">
        <v>222.66309114499941</v>
      </c>
      <c r="BS106">
        <v>0.36626159163237237</v>
      </c>
      <c r="BT106">
        <v>222.66309114499941</v>
      </c>
      <c r="BU106">
        <v>222.66309114499941</v>
      </c>
      <c r="BV106">
        <v>0.36626159163237237</v>
      </c>
      <c r="BW106">
        <v>399.52376596061822</v>
      </c>
      <c r="BX106">
        <v>-0.13711506582849761</v>
      </c>
      <c r="BY106" t="str">
        <f t="shared" ref="BY106:BY109" si="4">_xlfn.LET(_xlpm.TextoConfig, Q106,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06" t="str">
        <f>SUBSTITUTE(TRIM(MID(SUBSTITUTE(SUBSTITUTE(SUBSTITUTE(Tabla1[[#This Row],[map]],"[",""),"]",""),",",REPT(" ",100)),901,200))," ",", ")</f>
        <v>2, 4</v>
      </c>
      <c r="CA106" t="str">
        <f>SUBSTITUTE(TRIM(MID(SUBSTITUTE(SUBSTITUTE(SUBSTITUTE(Tabla1[[#This Row],[map]],"[",""),"]",""),",",REPT(" ",100)),1501,200))," ",", ")</f>
        <v>3, 2</v>
      </c>
      <c r="CB106" t="str">
        <f>SUBSTITUTE(TRIM(MID(SUBSTITUTE(SUBSTITUTE(SUBSTITUTE(Tabla1[[#This Row],[map]],"[",""),"]",""),",",REPT(" ",100)),601,300))," ",", ")</f>
        <v>0, 1, 3</v>
      </c>
      <c r="CC106" t="str">
        <f>SUBSTITUTE(TRIM(MID(SUBSTITUTE(SUBSTITUTE(SUBSTITUTE(Tabla1[[#This Row],[map]],"[",""),"]",""),",",REPT(" ",100)),1201,300))," ",", ")</f>
        <v>4, 0, 1</v>
      </c>
      <c r="CD106" t="str">
        <f>SUBSTITUTE(TRIM(MID(SUBSTITUTE(SUBSTITUTE(SUBSTITUTE(Tabla1[[#This Row],[map]],"[",""),"]",""),",",REPT(" ",100)),1,300))," ",", ")</f>
        <v>4, 2, 3</v>
      </c>
      <c r="CE106" t="str">
        <f>SUBSTITUTE(TRIM(MID(SUBSTITUTE(SUBSTITUTE(SUBSTITUTE(Tabla1[[#This Row],[map]],"[",""),"]",""),",",REPT(" ",100)),1,600))," ",", ")</f>
        <v>4, 2, 3, 0, 1, -1</v>
      </c>
      <c r="CF106" t="str">
        <f>SUBSTITUTE(TRIM(MID(SUBSTITUTE(SUBSTITUTE(SUBSTITUTE(Tabla1[[#This Row],[map]],"[",""),"]",""),",",REPT(" ",100)),601,600))," ",", ")</f>
        <v>0, 1, 3, 2, 4, -1</v>
      </c>
      <c r="CG106" t="str">
        <f>SUBSTITUTE(TRIM(MID(SUBSTITUTE(SUBSTITUTE(SUBSTITUTE(Tabla1[[#This Row],[map]],"[",""),"]",""),",",REPT(" ",100)),1201,600))," ",", ")</f>
        <v>4, 0, 1, 3, 2, -1</v>
      </c>
    </row>
    <row r="107" spans="1:85" x14ac:dyDescent="0.3">
      <c r="A107" s="1">
        <v>46097.311111111107</v>
      </c>
      <c r="B107" t="s">
        <v>267</v>
      </c>
      <c r="C107">
        <v>2</v>
      </c>
      <c r="D107" t="s">
        <v>96</v>
      </c>
      <c r="E107" t="s">
        <v>78</v>
      </c>
      <c r="F107">
        <v>16590</v>
      </c>
      <c r="G107">
        <v>4.5</v>
      </c>
      <c r="H107" t="s">
        <v>79</v>
      </c>
      <c r="I107" t="s">
        <v>80</v>
      </c>
      <c r="J107">
        <v>5</v>
      </c>
      <c r="K107">
        <v>5</v>
      </c>
      <c r="L107" t="s">
        <v>81</v>
      </c>
      <c r="M107" t="s">
        <v>82</v>
      </c>
      <c r="N107" t="s">
        <v>83</v>
      </c>
      <c r="O107" t="s">
        <v>83</v>
      </c>
      <c r="P107" t="s">
        <v>84</v>
      </c>
      <c r="Q107" t="s">
        <v>265</v>
      </c>
      <c r="R107">
        <v>3</v>
      </c>
      <c r="S107" t="s">
        <v>86</v>
      </c>
      <c r="T107" t="s">
        <v>87</v>
      </c>
      <c r="U107" t="s">
        <v>88</v>
      </c>
      <c r="V107">
        <v>1</v>
      </c>
      <c r="W107" t="s">
        <v>266</v>
      </c>
      <c r="X107" t="s">
        <v>83</v>
      </c>
      <c r="Y107" t="s">
        <v>90</v>
      </c>
      <c r="Z107">
        <v>4000</v>
      </c>
      <c r="AA107">
        <v>4000</v>
      </c>
      <c r="AC107">
        <v>256</v>
      </c>
      <c r="AD107" t="s">
        <v>91</v>
      </c>
      <c r="AE107">
        <v>0.15</v>
      </c>
      <c r="AF107" t="s">
        <v>92</v>
      </c>
      <c r="AG107">
        <v>180</v>
      </c>
      <c r="AH107">
        <v>60</v>
      </c>
      <c r="AI107">
        <v>120</v>
      </c>
      <c r="AJ107">
        <v>0.13214846410605491</v>
      </c>
      <c r="AK107">
        <v>46.057692220309796</v>
      </c>
      <c r="AL107">
        <v>0.6166466239585936</v>
      </c>
      <c r="AM107">
        <v>-2.5763806917410759E-2</v>
      </c>
      <c r="AN107">
        <v>54.609552694814731</v>
      </c>
      <c r="AO107">
        <v>0.55509946068543892</v>
      </c>
      <c r="AP107">
        <v>54.609552694814731</v>
      </c>
      <c r="AQ107">
        <v>54.609552694814731</v>
      </c>
      <c r="AR107">
        <v>0.55509946068543892</v>
      </c>
      <c r="AS107">
        <v>98.531711030847333</v>
      </c>
      <c r="AT107">
        <v>-3.2173403878423878E-2</v>
      </c>
      <c r="AU107">
        <v>0.8</v>
      </c>
      <c r="AV107" t="s">
        <v>93</v>
      </c>
      <c r="AW107">
        <v>6.8404497967180136E-2</v>
      </c>
      <c r="AX107">
        <v>0.50329490057874271</v>
      </c>
      <c r="AY107">
        <v>6.8404497967180136E-2</v>
      </c>
      <c r="AZ107">
        <v>6.8404497967180136E-2</v>
      </c>
      <c r="BA107">
        <v>0.50329490057874271</v>
      </c>
      <c r="BB107">
        <v>0.1115486059443159</v>
      </c>
      <c r="BC107">
        <v>0.19001289312206121</v>
      </c>
      <c r="BD107">
        <v>0.1015322131203366</v>
      </c>
      <c r="BE107">
        <v>0.64821256699227581</v>
      </c>
      <c r="BF107">
        <v>0.1015322131203366</v>
      </c>
      <c r="BG107">
        <v>0.1015322131203366</v>
      </c>
      <c r="BH107">
        <v>0.64821256699227581</v>
      </c>
      <c r="BI107">
        <v>0.34161994232125259</v>
      </c>
      <c r="BJ107">
        <v>-0.18364013626892081</v>
      </c>
      <c r="BK107">
        <v>7.724132368122795E-2</v>
      </c>
      <c r="BL107">
        <v>0.68990051699768262</v>
      </c>
      <c r="BM107">
        <v>7.724132368122795E-2</v>
      </c>
      <c r="BN107">
        <v>7.724132368122795E-2</v>
      </c>
      <c r="BO107">
        <v>0.68990051699768262</v>
      </c>
      <c r="BP107">
        <v>0.25290199054923868</v>
      </c>
      <c r="BQ107">
        <v>-1.532149867384458E-2</v>
      </c>
      <c r="BR107">
        <v>218.19103274449</v>
      </c>
      <c r="BS107">
        <v>0.37898985817305508</v>
      </c>
      <c r="BT107">
        <v>218.19103274449</v>
      </c>
      <c r="BU107">
        <v>218.19103274449</v>
      </c>
      <c r="BV107">
        <v>0.37898985817305508</v>
      </c>
      <c r="BW107">
        <v>393.42077358457487</v>
      </c>
      <c r="BX107">
        <v>-0.11974487369299559</v>
      </c>
      <c r="BY107" t="str">
        <f t="shared" si="4"/>
        <v>[[sv,wv],[yr],[ya]]</v>
      </c>
      <c r="BZ107" t="str">
        <f>SUBSTITUTE(TRIM(MID(SUBSTITUTE(SUBSTITUTE(SUBSTITUTE(Tabla1[[#This Row],[map]],"[",""),"]",""),",",REPT(" ",100)),901,200))," ",", ")</f>
        <v>2, 4</v>
      </c>
      <c r="CA107" t="str">
        <f>SUBSTITUTE(TRIM(MID(SUBSTITUTE(SUBSTITUTE(SUBSTITUTE(Tabla1[[#This Row],[map]],"[",""),"]",""),",",REPT(" ",100)),1501,200))," ",", ")</f>
        <v>3, 2</v>
      </c>
      <c r="CB107" t="str">
        <f>SUBSTITUTE(TRIM(MID(SUBSTITUTE(SUBSTITUTE(SUBSTITUTE(Tabla1[[#This Row],[map]],"[",""),"]",""),",",REPT(" ",100)),601,300))," ",", ")</f>
        <v>0, 1, 3</v>
      </c>
      <c r="CC107" t="str">
        <f>SUBSTITUTE(TRIM(MID(SUBSTITUTE(SUBSTITUTE(SUBSTITUTE(Tabla1[[#This Row],[map]],"[",""),"]",""),",",REPT(" ",100)),1201,300))," ",", ")</f>
        <v>4, 0, 1</v>
      </c>
      <c r="CD107" t="str">
        <f>SUBSTITUTE(TRIM(MID(SUBSTITUTE(SUBSTITUTE(SUBSTITUTE(Tabla1[[#This Row],[map]],"[",""),"]",""),",",REPT(" ",100)),1,300))," ",", ")</f>
        <v>4, 2, 3</v>
      </c>
      <c r="CE107" t="str">
        <f>SUBSTITUTE(TRIM(MID(SUBSTITUTE(SUBSTITUTE(SUBSTITUTE(Tabla1[[#This Row],[map]],"[",""),"]",""),",",REPT(" ",100)),1,600))," ",", ")</f>
        <v>4, 2, 3, 0, 1, -1</v>
      </c>
      <c r="CF107" t="str">
        <f>SUBSTITUTE(TRIM(MID(SUBSTITUTE(SUBSTITUTE(SUBSTITUTE(Tabla1[[#This Row],[map]],"[",""),"]",""),",",REPT(" ",100)),601,600))," ",", ")</f>
        <v>0, 1, 3, 2, 4, -1</v>
      </c>
      <c r="CG107" t="str">
        <f>SUBSTITUTE(TRIM(MID(SUBSTITUTE(SUBSTITUTE(SUBSTITUTE(Tabla1[[#This Row],[map]],"[",""),"]",""),",",REPT(" ",100)),1201,600))," ",", ")</f>
        <v>4, 0, 1, 3, 2, -1</v>
      </c>
    </row>
    <row r="108" spans="1:85" x14ac:dyDescent="0.3">
      <c r="A108" s="1">
        <v>46097.309837962966</v>
      </c>
      <c r="B108" t="s">
        <v>268</v>
      </c>
      <c r="C108">
        <v>1</v>
      </c>
      <c r="D108" t="s">
        <v>77</v>
      </c>
      <c r="E108" t="s">
        <v>78</v>
      </c>
      <c r="F108">
        <v>16590</v>
      </c>
      <c r="G108">
        <v>4.5</v>
      </c>
      <c r="H108" t="s">
        <v>79</v>
      </c>
      <c r="I108" t="s">
        <v>80</v>
      </c>
      <c r="J108">
        <v>5</v>
      </c>
      <c r="K108">
        <v>5</v>
      </c>
      <c r="L108" t="s">
        <v>81</v>
      </c>
      <c r="M108" t="s">
        <v>82</v>
      </c>
      <c r="N108" t="s">
        <v>83</v>
      </c>
      <c r="O108" t="s">
        <v>83</v>
      </c>
      <c r="P108" t="s">
        <v>84</v>
      </c>
      <c r="Q108" t="s">
        <v>265</v>
      </c>
      <c r="R108">
        <v>3</v>
      </c>
      <c r="S108" t="s">
        <v>86</v>
      </c>
      <c r="T108" t="s">
        <v>87</v>
      </c>
      <c r="U108" t="s">
        <v>88</v>
      </c>
      <c r="V108">
        <v>1</v>
      </c>
      <c r="W108" t="s">
        <v>266</v>
      </c>
      <c r="X108" t="s">
        <v>83</v>
      </c>
      <c r="Y108" t="s">
        <v>90</v>
      </c>
      <c r="Z108">
        <v>4000</v>
      </c>
      <c r="AA108">
        <v>4000</v>
      </c>
      <c r="AC108">
        <v>256</v>
      </c>
      <c r="AD108" t="s">
        <v>91</v>
      </c>
      <c r="AE108">
        <v>0.15</v>
      </c>
      <c r="AF108" t="s">
        <v>92</v>
      </c>
      <c r="AG108">
        <v>180</v>
      </c>
      <c r="AH108">
        <v>60</v>
      </c>
      <c r="AI108">
        <v>120</v>
      </c>
      <c r="AJ108">
        <v>0.1368704099884831</v>
      </c>
      <c r="AK108">
        <v>43.235349037038077</v>
      </c>
      <c r="AL108">
        <v>0.595255897725815</v>
      </c>
      <c r="AM108">
        <v>-6.3582854739555911E-2</v>
      </c>
      <c r="AN108">
        <v>47.428643987337971</v>
      </c>
      <c r="AO108">
        <v>0.56276142704732135</v>
      </c>
      <c r="AP108">
        <v>47.428643987337971</v>
      </c>
      <c r="AQ108">
        <v>47.428643987337971</v>
      </c>
      <c r="AR108">
        <v>0.56276142704732135</v>
      </c>
      <c r="AS108">
        <v>100.0562081364255</v>
      </c>
      <c r="AT108">
        <v>-4.844545652391602E-2</v>
      </c>
      <c r="AU108">
        <v>0.8</v>
      </c>
      <c r="AV108" t="s">
        <v>93</v>
      </c>
      <c r="AW108">
        <v>7.0170664161783552E-2</v>
      </c>
      <c r="AX108">
        <v>0.49047025042626502</v>
      </c>
      <c r="AY108">
        <v>7.0170664161783552E-2</v>
      </c>
      <c r="AZ108">
        <v>7.0170664161783552E-2</v>
      </c>
      <c r="BA108">
        <v>0.49047025042626502</v>
      </c>
      <c r="BB108">
        <v>0.20142239727218819</v>
      </c>
      <c r="BC108">
        <v>-0.46258703500392778</v>
      </c>
      <c r="BD108">
        <v>0.1338750651704346</v>
      </c>
      <c r="BE108">
        <v>0.536151492490063</v>
      </c>
      <c r="BF108">
        <v>0.1338750651704346</v>
      </c>
      <c r="BG108">
        <v>0.1338750651704346</v>
      </c>
      <c r="BH108">
        <v>0.536151492490063</v>
      </c>
      <c r="BI108">
        <v>0.1279684827714774</v>
      </c>
      <c r="BJ108">
        <v>0.5566165389627038</v>
      </c>
      <c r="BK108">
        <v>5.8874682134793313E-2</v>
      </c>
      <c r="BL108">
        <v>0.76363677340291103</v>
      </c>
      <c r="BM108">
        <v>5.8874682134793313E-2</v>
      </c>
      <c r="BN108">
        <v>5.8874682134793313E-2</v>
      </c>
      <c r="BO108">
        <v>0.76363677340291103</v>
      </c>
      <c r="BP108">
        <v>0.28656155773982478</v>
      </c>
      <c r="BQ108">
        <v>-0.1504540143588293</v>
      </c>
      <c r="BR108">
        <v>189.4516555378853</v>
      </c>
      <c r="BS108">
        <v>0.46078719187004402</v>
      </c>
      <c r="BT108">
        <v>189.4516555378853</v>
      </c>
      <c r="BU108">
        <v>189.4516555378853</v>
      </c>
      <c r="BV108">
        <v>0.46078719187004402</v>
      </c>
      <c r="BW108">
        <v>399.60888010791899</v>
      </c>
      <c r="BX108">
        <v>-0.1373573156956065</v>
      </c>
      <c r="BY108" t="str">
        <f t="shared" si="4"/>
        <v>[[sv,wv],[yr],[ya]]</v>
      </c>
      <c r="BZ108" t="str">
        <f>SUBSTITUTE(TRIM(MID(SUBSTITUTE(SUBSTITUTE(SUBSTITUTE(Tabla1[[#This Row],[map]],"[",""),"]",""),",",REPT(" ",100)),901,200))," ",", ")</f>
        <v>2, 4</v>
      </c>
      <c r="CA108" t="str">
        <f>SUBSTITUTE(TRIM(MID(SUBSTITUTE(SUBSTITUTE(SUBSTITUTE(Tabla1[[#This Row],[map]],"[",""),"]",""),",",REPT(" ",100)),1501,200))," ",", ")</f>
        <v>3, 2</v>
      </c>
      <c r="CB108" t="str">
        <f>SUBSTITUTE(TRIM(MID(SUBSTITUTE(SUBSTITUTE(SUBSTITUTE(Tabla1[[#This Row],[map]],"[",""),"]",""),",",REPT(" ",100)),601,300))," ",", ")</f>
        <v>0, 1, 3</v>
      </c>
      <c r="CC108" t="str">
        <f>SUBSTITUTE(TRIM(MID(SUBSTITUTE(SUBSTITUTE(SUBSTITUTE(Tabla1[[#This Row],[map]],"[",""),"]",""),",",REPT(" ",100)),1201,300))," ",", ")</f>
        <v>4, 0, 1</v>
      </c>
      <c r="CD108" t="str">
        <f>SUBSTITUTE(TRIM(MID(SUBSTITUTE(SUBSTITUTE(SUBSTITUTE(Tabla1[[#This Row],[map]],"[",""),"]",""),",",REPT(" ",100)),1,300))," ",", ")</f>
        <v>4, 2, 3</v>
      </c>
      <c r="CE108" t="str">
        <f>SUBSTITUTE(TRIM(MID(SUBSTITUTE(SUBSTITUTE(SUBSTITUTE(Tabla1[[#This Row],[map]],"[",""),"]",""),",",REPT(" ",100)),1,600))," ",", ")</f>
        <v>4, 2, 3, 0, 1, -1</v>
      </c>
      <c r="CF108" t="str">
        <f>SUBSTITUTE(TRIM(MID(SUBSTITUTE(SUBSTITUTE(SUBSTITUTE(Tabla1[[#This Row],[map]],"[",""),"]",""),",",REPT(" ",100)),601,600))," ",", ")</f>
        <v>0, 1, 3, 2, 4, -1</v>
      </c>
      <c r="CG108" t="str">
        <f>SUBSTITUTE(TRIM(MID(SUBSTITUTE(SUBSTITUTE(SUBSTITUTE(Tabla1[[#This Row],[map]],"[",""),"]",""),",",REPT(" ",100)),1201,600))," ",", ")</f>
        <v>4, 0, 1, 3, 2, -1</v>
      </c>
    </row>
    <row r="109" spans="1:85" x14ac:dyDescent="0.3">
      <c r="A109" s="1">
        <v>46097.325844907413</v>
      </c>
      <c r="B109" t="s">
        <v>269</v>
      </c>
      <c r="C109">
        <v>3</v>
      </c>
      <c r="D109" t="s">
        <v>77</v>
      </c>
      <c r="E109" t="s">
        <v>78</v>
      </c>
      <c r="F109">
        <v>16590</v>
      </c>
      <c r="G109">
        <v>4.5</v>
      </c>
      <c r="H109" t="s">
        <v>79</v>
      </c>
      <c r="I109" t="s">
        <v>80</v>
      </c>
      <c r="J109">
        <v>5</v>
      </c>
      <c r="K109">
        <v>5</v>
      </c>
      <c r="L109" t="s">
        <v>81</v>
      </c>
      <c r="M109" t="s">
        <v>82</v>
      </c>
      <c r="N109" t="s">
        <v>83</v>
      </c>
      <c r="O109" t="s">
        <v>83</v>
      </c>
      <c r="P109" t="s">
        <v>84</v>
      </c>
      <c r="Q109" t="s">
        <v>265</v>
      </c>
      <c r="R109">
        <v>3</v>
      </c>
      <c r="S109" t="s">
        <v>86</v>
      </c>
      <c r="T109" t="s">
        <v>87</v>
      </c>
      <c r="U109" t="s">
        <v>88</v>
      </c>
      <c r="V109">
        <v>1</v>
      </c>
      <c r="W109" t="s">
        <v>266</v>
      </c>
      <c r="X109" t="s">
        <v>83</v>
      </c>
      <c r="Y109" t="s">
        <v>90</v>
      </c>
      <c r="Z109">
        <v>4000</v>
      </c>
      <c r="AA109">
        <v>4000</v>
      </c>
      <c r="AC109">
        <v>256</v>
      </c>
      <c r="AD109" t="s">
        <v>91</v>
      </c>
      <c r="AE109">
        <v>0.15</v>
      </c>
      <c r="AF109" t="s">
        <v>92</v>
      </c>
      <c r="AG109">
        <v>180</v>
      </c>
      <c r="AH109">
        <v>60</v>
      </c>
      <c r="AI109">
        <v>120</v>
      </c>
      <c r="AJ109">
        <v>0.13017737614471711</v>
      </c>
      <c r="AK109">
        <v>46.228617065360382</v>
      </c>
      <c r="AL109">
        <v>0.58728291935281607</v>
      </c>
      <c r="AM109">
        <v>0.13213937683337951</v>
      </c>
      <c r="AN109">
        <v>52.360101488838517</v>
      </c>
      <c r="AO109">
        <v>0.55762594468873172</v>
      </c>
      <c r="AP109">
        <v>52.360101488838517</v>
      </c>
      <c r="AQ109">
        <v>52.360101488838517</v>
      </c>
      <c r="AR109">
        <v>0.55762594468873172</v>
      </c>
      <c r="AS109">
        <v>100.7180923727865</v>
      </c>
      <c r="AT109">
        <v>0.1204511003149282</v>
      </c>
      <c r="AU109">
        <v>0.8</v>
      </c>
      <c r="AV109" t="s">
        <v>93</v>
      </c>
      <c r="AW109">
        <v>9.0026368966711331E-2</v>
      </c>
      <c r="AX109">
        <v>0.34629216093947879</v>
      </c>
      <c r="AY109">
        <v>9.0026368966711331E-2</v>
      </c>
      <c r="AZ109">
        <v>9.0026368966711331E-2</v>
      </c>
      <c r="BA109">
        <v>0.34629216093947879</v>
      </c>
      <c r="BB109">
        <v>0.1214314823041511</v>
      </c>
      <c r="BC109">
        <v>0.1182504326003103</v>
      </c>
      <c r="BD109">
        <v>8.5341842687027922E-2</v>
      </c>
      <c r="BE109">
        <v>0.70430874257181708</v>
      </c>
      <c r="BF109">
        <v>8.5341842687027922E-2</v>
      </c>
      <c r="BG109">
        <v>8.5341842687027922E-2</v>
      </c>
      <c r="BH109">
        <v>0.70430874257181708</v>
      </c>
      <c r="BI109">
        <v>0.1427322850125379</v>
      </c>
      <c r="BJ109">
        <v>0.50546311747999906</v>
      </c>
      <c r="BK109">
        <v>5.5957385350750129E-2</v>
      </c>
      <c r="BL109">
        <v>0.7753487972443146</v>
      </c>
      <c r="BM109">
        <v>5.5957385350750129E-2</v>
      </c>
      <c r="BN109">
        <v>5.5957385350750129E-2</v>
      </c>
      <c r="BO109">
        <v>0.7753487972443146</v>
      </c>
      <c r="BP109">
        <v>0.24826908325323771</v>
      </c>
      <c r="BQ109">
        <v>3.2781587221969439E-3</v>
      </c>
      <c r="BR109">
        <v>209.20908035835009</v>
      </c>
      <c r="BS109">
        <v>0.40455407799931847</v>
      </c>
      <c r="BT109">
        <v>209.20908035835009</v>
      </c>
      <c r="BU109">
        <v>209.20908035835009</v>
      </c>
      <c r="BV109">
        <v>0.40455407799931847</v>
      </c>
      <c r="BW109">
        <v>402.35993664057833</v>
      </c>
      <c r="BX109">
        <v>-0.14518730754280301</v>
      </c>
      <c r="BY109" t="str">
        <f t="shared" si="4"/>
        <v>[[sv,wv],[yr],[ya]]</v>
      </c>
      <c r="BZ109" t="str">
        <f>SUBSTITUTE(TRIM(MID(SUBSTITUTE(SUBSTITUTE(SUBSTITUTE(Tabla1[[#This Row],[map]],"[",""),"]",""),",",REPT(" ",100)),901,200))," ",", ")</f>
        <v>2, 4</v>
      </c>
      <c r="CA109" t="str">
        <f>SUBSTITUTE(TRIM(MID(SUBSTITUTE(SUBSTITUTE(SUBSTITUTE(Tabla1[[#This Row],[map]],"[",""),"]",""),",",REPT(" ",100)),1501,200))," ",", ")</f>
        <v>3, 2</v>
      </c>
      <c r="CB109" t="str">
        <f>SUBSTITUTE(TRIM(MID(SUBSTITUTE(SUBSTITUTE(SUBSTITUTE(Tabla1[[#This Row],[map]],"[",""),"]",""),",",REPT(" ",100)),601,300))," ",", ")</f>
        <v>0, 1, 3</v>
      </c>
      <c r="CC109" t="str">
        <f>SUBSTITUTE(TRIM(MID(SUBSTITUTE(SUBSTITUTE(SUBSTITUTE(Tabla1[[#This Row],[map]],"[",""),"]",""),",",REPT(" ",100)),1201,300))," ",", ")</f>
        <v>4, 0, 1</v>
      </c>
      <c r="CD109" t="str">
        <f>SUBSTITUTE(TRIM(MID(SUBSTITUTE(SUBSTITUTE(SUBSTITUTE(Tabla1[[#This Row],[map]],"[",""),"]",""),",",REPT(" ",100)),1,300))," ",", ")</f>
        <v>4, 2, 3</v>
      </c>
      <c r="CE109" t="str">
        <f>SUBSTITUTE(TRIM(MID(SUBSTITUTE(SUBSTITUTE(SUBSTITUTE(Tabla1[[#This Row],[map]],"[",""),"]",""),",",REPT(" ",100)),1,600))," ",", ")</f>
        <v>4, 2, 3, 0, 1, -1</v>
      </c>
      <c r="CF109" t="str">
        <f>SUBSTITUTE(TRIM(MID(SUBSTITUTE(SUBSTITUTE(SUBSTITUTE(Tabla1[[#This Row],[map]],"[",""),"]",""),",",REPT(" ",100)),601,600))," ",", ")</f>
        <v>0, 1, 3, 2, 4, -1</v>
      </c>
      <c r="CG109" t="str">
        <f>SUBSTITUTE(TRIM(MID(SUBSTITUTE(SUBSTITUTE(SUBSTITUTE(Tabla1[[#This Row],[map]],"[",""),"]",""),",",REPT(" ",100)),1201,600))," ",", ")</f>
        <v>4, 0, 1, 3, 2, -1</v>
      </c>
    </row>
    <row r="110" spans="1:85" x14ac:dyDescent="0.3">
      <c r="A110" s="1">
        <v>46097.475949074083</v>
      </c>
      <c r="B110" t="s">
        <v>270</v>
      </c>
      <c r="C110">
        <v>0</v>
      </c>
      <c r="D110" t="s">
        <v>77</v>
      </c>
      <c r="E110" t="s">
        <v>78</v>
      </c>
      <c r="F110">
        <v>16590</v>
      </c>
      <c r="G110">
        <v>4.5</v>
      </c>
      <c r="H110" t="s">
        <v>79</v>
      </c>
      <c r="I110" t="s">
        <v>80</v>
      </c>
      <c r="J110">
        <v>5</v>
      </c>
      <c r="K110">
        <v>5</v>
      </c>
      <c r="L110" t="s">
        <v>81</v>
      </c>
      <c r="M110" t="s">
        <v>82</v>
      </c>
      <c r="N110" t="s">
        <v>83</v>
      </c>
      <c r="O110" t="s">
        <v>83</v>
      </c>
      <c r="P110" t="s">
        <v>84</v>
      </c>
      <c r="Q110" t="s">
        <v>271</v>
      </c>
      <c r="R110">
        <v>3</v>
      </c>
      <c r="S110" t="s">
        <v>86</v>
      </c>
      <c r="T110" t="s">
        <v>87</v>
      </c>
      <c r="U110" t="s">
        <v>88</v>
      </c>
      <c r="V110">
        <v>1</v>
      </c>
      <c r="W110" t="s">
        <v>272</v>
      </c>
      <c r="X110" t="s">
        <v>83</v>
      </c>
      <c r="Y110" t="s">
        <v>90</v>
      </c>
      <c r="Z110">
        <v>4000</v>
      </c>
      <c r="AA110">
        <v>4000</v>
      </c>
      <c r="AC110">
        <v>256</v>
      </c>
      <c r="AD110" t="s">
        <v>91</v>
      </c>
      <c r="AE110">
        <v>0.15</v>
      </c>
      <c r="AF110" t="s">
        <v>92</v>
      </c>
      <c r="AG110">
        <v>180</v>
      </c>
      <c r="AH110">
        <v>60</v>
      </c>
      <c r="AI110">
        <v>120</v>
      </c>
      <c r="AJ110">
        <v>0.10875562290517859</v>
      </c>
      <c r="AK110">
        <v>14.21200539593999</v>
      </c>
      <c r="AL110">
        <v>0.71189156863698688</v>
      </c>
      <c r="AM110">
        <v>0.27637960973197628</v>
      </c>
      <c r="AN110">
        <v>16.134717016537351</v>
      </c>
      <c r="AO110">
        <v>0.6613210814355075</v>
      </c>
      <c r="AP110">
        <v>16.134717016537351</v>
      </c>
      <c r="AQ110">
        <v>16.134717016537351</v>
      </c>
      <c r="AR110">
        <v>0.6613210814355075</v>
      </c>
      <c r="AS110">
        <v>62.7019018635986</v>
      </c>
      <c r="AT110">
        <v>0.29659880830631308</v>
      </c>
      <c r="AU110">
        <v>0.8</v>
      </c>
      <c r="AV110" t="s">
        <v>93</v>
      </c>
      <c r="AW110">
        <v>7.830493365107187E-2</v>
      </c>
      <c r="AX110">
        <v>0.43140493666086382</v>
      </c>
      <c r="AY110">
        <v>7.830493365107187E-2</v>
      </c>
      <c r="AZ110">
        <v>7.830493365107187E-2</v>
      </c>
      <c r="BA110">
        <v>0.43140493666086382</v>
      </c>
      <c r="BB110">
        <v>0.11975832347289141</v>
      </c>
      <c r="BC110">
        <v>0.13039972904024841</v>
      </c>
      <c r="BD110">
        <v>9.8588340094150517E-2</v>
      </c>
      <c r="BE110">
        <v>0.65841245826968986</v>
      </c>
      <c r="BF110">
        <v>9.8588340094150517E-2</v>
      </c>
      <c r="BG110">
        <v>9.8588340094150517E-2</v>
      </c>
      <c r="BH110">
        <v>0.65841245826968986</v>
      </c>
      <c r="BI110">
        <v>0.12973076071141129</v>
      </c>
      <c r="BJ110">
        <v>0.55051062229169867</v>
      </c>
      <c r="BK110">
        <v>6.5144099630808985E-2</v>
      </c>
      <c r="BL110">
        <v>0.73846704518510431</v>
      </c>
      <c r="BM110">
        <v>6.5144099630808985E-2</v>
      </c>
      <c r="BN110">
        <v>6.5144099630808985E-2</v>
      </c>
      <c r="BO110">
        <v>0.73846704518510431</v>
      </c>
      <c r="BP110">
        <v>0.19476923995098139</v>
      </c>
      <c r="BQ110">
        <v>0.21806310747841079</v>
      </c>
      <c r="BR110">
        <v>64.296830692773469</v>
      </c>
      <c r="BS110">
        <v>0.81699988562636916</v>
      </c>
      <c r="BT110">
        <v>64.296830692773469</v>
      </c>
      <c r="BU110">
        <v>64.296830692773469</v>
      </c>
      <c r="BV110">
        <v>0.81699988562636916</v>
      </c>
      <c r="BW110">
        <v>250.36334913025939</v>
      </c>
      <c r="BX110">
        <v>0.28742177441489009</v>
      </c>
      <c r="BY110" t="str">
        <f t="shared" ref="BY110:BY141" si="5">_xlfn.LET(_xlpm.TextoConfig, Q110,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10" t="str">
        <f>SUBSTITUTE(TRIM(MID(SUBSTITUTE(SUBSTITUTE(SUBSTITUTE(Tabla1[[#This Row],[map]],"[",""),"]",""),",",REPT(" ",100)),901,200))," ",", ")</f>
        <v>2, 4</v>
      </c>
      <c r="CA110" t="str">
        <f>SUBSTITUTE(TRIM(MID(SUBSTITUTE(SUBSTITUTE(SUBSTITUTE(Tabla1[[#This Row],[map]],"[",""),"]",""),",",REPT(" ",100)),1501,200))," ",", ")</f>
        <v>3, 4</v>
      </c>
      <c r="CB110" t="str">
        <f>SUBSTITUTE(TRIM(MID(SUBSTITUTE(SUBSTITUTE(SUBSTITUTE(Tabla1[[#This Row],[map]],"[",""),"]",""),",",REPT(" ",100)),601,300))," ",", ")</f>
        <v>0, 1, 3</v>
      </c>
      <c r="CC110" t="str">
        <f>SUBSTITUTE(TRIM(MID(SUBSTITUTE(SUBSTITUTE(SUBSTITUTE(Tabla1[[#This Row],[map]],"[",""),"]",""),",",REPT(" ",100)),1201,300))," ",", ")</f>
        <v>0, 1, 2</v>
      </c>
      <c r="CD110" t="str">
        <f>SUBSTITUTE(TRIM(MID(SUBSTITUTE(SUBSTITUTE(SUBSTITUTE(Tabla1[[#This Row],[map]],"[",""),"]",""),",",REPT(" ",100)),1,300))," ",", ")</f>
        <v>4, 2, 3</v>
      </c>
      <c r="CE110" t="str">
        <f>SUBSTITUTE(TRIM(MID(SUBSTITUTE(SUBSTITUTE(SUBSTITUTE(Tabla1[[#This Row],[map]],"[",""),"]",""),",",REPT(" ",100)),1,600))," ",", ")</f>
        <v>4, 2, 3, 0, 1, -1</v>
      </c>
      <c r="CF110" t="str">
        <f>SUBSTITUTE(TRIM(MID(SUBSTITUTE(SUBSTITUTE(SUBSTITUTE(Tabla1[[#This Row],[map]],"[",""),"]",""),",",REPT(" ",100)),601,600))," ",", ")</f>
        <v>0, 1, 3, 2, 4, -1</v>
      </c>
      <c r="CG110" t="str">
        <f>SUBSTITUTE(TRIM(MID(SUBSTITUTE(SUBSTITUTE(SUBSTITUTE(Tabla1[[#This Row],[map]],"[",""),"]",""),",",REPT(" ",100)),1201,600))," ",", ")</f>
        <v>0, 1, 2, 3, 4, -1</v>
      </c>
    </row>
    <row r="111" spans="1:85" x14ac:dyDescent="0.3">
      <c r="A111" s="1">
        <v>46097.479722222219</v>
      </c>
      <c r="B111" t="s">
        <v>273</v>
      </c>
      <c r="C111">
        <v>2</v>
      </c>
      <c r="D111" t="s">
        <v>77</v>
      </c>
      <c r="E111" t="s">
        <v>78</v>
      </c>
      <c r="F111">
        <v>16590</v>
      </c>
      <c r="G111">
        <v>4.5</v>
      </c>
      <c r="H111" t="s">
        <v>79</v>
      </c>
      <c r="I111" t="s">
        <v>80</v>
      </c>
      <c r="J111">
        <v>5</v>
      </c>
      <c r="K111">
        <v>5</v>
      </c>
      <c r="L111" t="s">
        <v>81</v>
      </c>
      <c r="M111" t="s">
        <v>82</v>
      </c>
      <c r="N111" t="s">
        <v>83</v>
      </c>
      <c r="O111" t="s">
        <v>83</v>
      </c>
      <c r="P111" t="s">
        <v>84</v>
      </c>
      <c r="Q111" t="s">
        <v>271</v>
      </c>
      <c r="R111">
        <v>3</v>
      </c>
      <c r="S111" t="s">
        <v>86</v>
      </c>
      <c r="T111" t="s">
        <v>87</v>
      </c>
      <c r="U111" t="s">
        <v>88</v>
      </c>
      <c r="V111">
        <v>1</v>
      </c>
      <c r="W111" t="s">
        <v>272</v>
      </c>
      <c r="X111" t="s">
        <v>83</v>
      </c>
      <c r="Y111" t="s">
        <v>90</v>
      </c>
      <c r="Z111">
        <v>4000</v>
      </c>
      <c r="AA111">
        <v>4000</v>
      </c>
      <c r="AC111">
        <v>256</v>
      </c>
      <c r="AD111" t="s">
        <v>91</v>
      </c>
      <c r="AE111">
        <v>0.15</v>
      </c>
      <c r="AF111" t="s">
        <v>92</v>
      </c>
      <c r="AG111">
        <v>180</v>
      </c>
      <c r="AH111">
        <v>60</v>
      </c>
      <c r="AI111">
        <v>120</v>
      </c>
      <c r="AJ111">
        <v>0.11742426694837869</v>
      </c>
      <c r="AK111">
        <v>25.224776645009712</v>
      </c>
      <c r="AL111">
        <v>0.6690019008200998</v>
      </c>
      <c r="AM111">
        <v>-0.1075127009253541</v>
      </c>
      <c r="AN111">
        <v>31.971959221781159</v>
      </c>
      <c r="AO111">
        <v>0.60881605824193741</v>
      </c>
      <c r="AP111">
        <v>31.971959221781159</v>
      </c>
      <c r="AQ111">
        <v>31.971959221781159</v>
      </c>
      <c r="AR111">
        <v>0.60881605824193741</v>
      </c>
      <c r="AS111">
        <v>131.34474086164491</v>
      </c>
      <c r="AT111">
        <v>-0.1055230717705236</v>
      </c>
      <c r="AU111">
        <v>0.8</v>
      </c>
      <c r="AV111" t="s">
        <v>93</v>
      </c>
      <c r="AW111">
        <v>7.3410532877328738E-2</v>
      </c>
      <c r="AX111">
        <v>0.46694461453549663</v>
      </c>
      <c r="AY111">
        <v>7.3410532877328738E-2</v>
      </c>
      <c r="AZ111">
        <v>7.3410532877328738E-2</v>
      </c>
      <c r="BA111">
        <v>0.46694461453549663</v>
      </c>
      <c r="BB111">
        <v>0.1098695445128966</v>
      </c>
      <c r="BC111">
        <v>0.2022050500709752</v>
      </c>
      <c r="BD111">
        <v>9.9769082134405329E-2</v>
      </c>
      <c r="BE111">
        <v>0.65432143928546616</v>
      </c>
      <c r="BF111">
        <v>9.9769082134405329E-2</v>
      </c>
      <c r="BG111">
        <v>9.9769082134405329E-2</v>
      </c>
      <c r="BH111">
        <v>0.65432143928546616</v>
      </c>
      <c r="BI111">
        <v>0.32348781973799923</v>
      </c>
      <c r="BJ111">
        <v>-0.12081620421314949</v>
      </c>
      <c r="BK111">
        <v>8.0387949663865491E-2</v>
      </c>
      <c r="BL111">
        <v>0.67726780896118499</v>
      </c>
      <c r="BM111">
        <v>8.0387949663865491E-2</v>
      </c>
      <c r="BN111">
        <v>8.0387949663865491E-2</v>
      </c>
      <c r="BO111">
        <v>0.67726780896118499</v>
      </c>
      <c r="BP111">
        <v>0.25160375895576048</v>
      </c>
      <c r="BQ111">
        <v>-1.0109509459155451E-2</v>
      </c>
      <c r="BR111">
        <v>127.6342693224497</v>
      </c>
      <c r="BS111">
        <v>0.63673037018559808</v>
      </c>
      <c r="BT111">
        <v>127.6342693224497</v>
      </c>
      <c r="BU111">
        <v>127.6342693224497</v>
      </c>
      <c r="BV111">
        <v>0.63673037018559808</v>
      </c>
      <c r="BW111">
        <v>524.69400232337341</v>
      </c>
      <c r="BX111">
        <v>-0.49337162348077263</v>
      </c>
      <c r="BY111" t="str">
        <f t="shared" si="5"/>
        <v>[[sv,wv],[yr],[ya]]</v>
      </c>
      <c r="BZ111" t="str">
        <f>SUBSTITUTE(TRIM(MID(SUBSTITUTE(SUBSTITUTE(SUBSTITUTE(Tabla1[[#This Row],[map]],"[",""),"]",""),",",REPT(" ",100)),901,200))," ",", ")</f>
        <v>2, 4</v>
      </c>
      <c r="CA111" t="str">
        <f>SUBSTITUTE(TRIM(MID(SUBSTITUTE(SUBSTITUTE(SUBSTITUTE(Tabla1[[#This Row],[map]],"[",""),"]",""),",",REPT(" ",100)),1501,200))," ",", ")</f>
        <v>3, 4</v>
      </c>
      <c r="CB111" t="str">
        <f>SUBSTITUTE(TRIM(MID(SUBSTITUTE(SUBSTITUTE(SUBSTITUTE(Tabla1[[#This Row],[map]],"[",""),"]",""),",",REPT(" ",100)),601,300))," ",", ")</f>
        <v>0, 1, 3</v>
      </c>
      <c r="CC111" t="str">
        <f>SUBSTITUTE(TRIM(MID(SUBSTITUTE(SUBSTITUTE(SUBSTITUTE(Tabla1[[#This Row],[map]],"[",""),"]",""),",",REPT(" ",100)),1201,300))," ",", ")</f>
        <v>0, 1, 2</v>
      </c>
      <c r="CD111" t="str">
        <f>SUBSTITUTE(TRIM(MID(SUBSTITUTE(SUBSTITUTE(SUBSTITUTE(Tabla1[[#This Row],[map]],"[",""),"]",""),",",REPT(" ",100)),1,300))," ",", ")</f>
        <v>4, 2, 3</v>
      </c>
      <c r="CE111" t="str">
        <f>SUBSTITUTE(TRIM(MID(SUBSTITUTE(SUBSTITUTE(SUBSTITUTE(Tabla1[[#This Row],[map]],"[",""),"]",""),",",REPT(" ",100)),1,600))," ",", ")</f>
        <v>4, 2, 3, 0, 1, -1</v>
      </c>
      <c r="CF111" t="str">
        <f>SUBSTITUTE(TRIM(MID(SUBSTITUTE(SUBSTITUTE(SUBSTITUTE(Tabla1[[#This Row],[map]],"[",""),"]",""),",",REPT(" ",100)),601,600))," ",", ")</f>
        <v>0, 1, 3, 2, 4, -1</v>
      </c>
      <c r="CG111" t="str">
        <f>SUBSTITUTE(TRIM(MID(SUBSTITUTE(SUBSTITUTE(SUBSTITUTE(Tabla1[[#This Row],[map]],"[",""),"]",""),",",REPT(" ",100)),1201,600))," ",", ")</f>
        <v>0, 1, 2, 3, 4, -1</v>
      </c>
    </row>
    <row r="112" spans="1:85" x14ac:dyDescent="0.3">
      <c r="A112" s="1">
        <v>46097.479872685188</v>
      </c>
      <c r="B112" t="s">
        <v>274</v>
      </c>
      <c r="C112">
        <v>1</v>
      </c>
      <c r="D112" t="s">
        <v>77</v>
      </c>
      <c r="E112" t="s">
        <v>78</v>
      </c>
      <c r="F112">
        <v>16590</v>
      </c>
      <c r="G112">
        <v>4.5</v>
      </c>
      <c r="H112" t="s">
        <v>79</v>
      </c>
      <c r="I112" t="s">
        <v>80</v>
      </c>
      <c r="J112">
        <v>5</v>
      </c>
      <c r="K112">
        <v>5</v>
      </c>
      <c r="L112" t="s">
        <v>81</v>
      </c>
      <c r="M112" t="s">
        <v>82</v>
      </c>
      <c r="N112" t="s">
        <v>83</v>
      </c>
      <c r="O112" t="s">
        <v>83</v>
      </c>
      <c r="P112" t="s">
        <v>84</v>
      </c>
      <c r="Q112" t="s">
        <v>271</v>
      </c>
      <c r="R112">
        <v>3</v>
      </c>
      <c r="S112" t="s">
        <v>86</v>
      </c>
      <c r="T112" t="s">
        <v>87</v>
      </c>
      <c r="U112" t="s">
        <v>88</v>
      </c>
      <c r="V112">
        <v>1</v>
      </c>
      <c r="W112" t="s">
        <v>272</v>
      </c>
      <c r="X112" t="s">
        <v>83</v>
      </c>
      <c r="Y112" t="s">
        <v>90</v>
      </c>
      <c r="Z112">
        <v>4000</v>
      </c>
      <c r="AA112">
        <v>4000</v>
      </c>
      <c r="AC112">
        <v>256</v>
      </c>
      <c r="AD112" t="s">
        <v>91</v>
      </c>
      <c r="AE112">
        <v>0.15</v>
      </c>
      <c r="AF112" t="s">
        <v>92</v>
      </c>
      <c r="AG112">
        <v>180</v>
      </c>
      <c r="AH112">
        <v>60</v>
      </c>
      <c r="AI112">
        <v>120</v>
      </c>
      <c r="AJ112">
        <v>0.1246523636411197</v>
      </c>
      <c r="AK112">
        <v>29.61986423356355</v>
      </c>
      <c r="AL112">
        <v>0.66796239969056082</v>
      </c>
      <c r="AM112">
        <v>2.913684978251882E-2</v>
      </c>
      <c r="AN112">
        <v>36.753328470866037</v>
      </c>
      <c r="AO112">
        <v>0.60389878424934662</v>
      </c>
      <c r="AP112">
        <v>36.753328470866037</v>
      </c>
      <c r="AQ112">
        <v>36.753328470866037</v>
      </c>
      <c r="AR112">
        <v>0.60389878424934662</v>
      </c>
      <c r="AS112">
        <v>150.63722134044801</v>
      </c>
      <c r="AT112">
        <v>-8.0457451274783015E-2</v>
      </c>
      <c r="AU112">
        <v>0.8</v>
      </c>
      <c r="AV112" t="s">
        <v>93</v>
      </c>
      <c r="AW112">
        <v>7.8622912417641411E-2</v>
      </c>
      <c r="AX112">
        <v>0.42909599968220852</v>
      </c>
      <c r="AY112">
        <v>7.8622912417641411E-2</v>
      </c>
      <c r="AZ112">
        <v>7.8622912417641411E-2</v>
      </c>
      <c r="BA112">
        <v>0.42909599968220852</v>
      </c>
      <c r="BB112">
        <v>0.1380883950548536</v>
      </c>
      <c r="BC112">
        <v>-2.700290667309702E-3</v>
      </c>
      <c r="BD112">
        <v>0.1053846156567544</v>
      </c>
      <c r="BE112">
        <v>0.63486481500746827</v>
      </c>
      <c r="BF112">
        <v>0.1053846156567544</v>
      </c>
      <c r="BG112">
        <v>0.1053846156567544</v>
      </c>
      <c r="BH112">
        <v>0.63486481500746827</v>
      </c>
      <c r="BI112">
        <v>0.21243619079281789</v>
      </c>
      <c r="BJ112">
        <v>0.26395397145168781</v>
      </c>
      <c r="BK112">
        <v>5.7445892944258788E-2</v>
      </c>
      <c r="BL112">
        <v>0.76937291007416453</v>
      </c>
      <c r="BM112">
        <v>5.7445892944258788E-2</v>
      </c>
      <c r="BN112">
        <v>5.7445892944258788E-2</v>
      </c>
      <c r="BO112">
        <v>0.76937291007416453</v>
      </c>
      <c r="BP112">
        <v>0.2166390814883285</v>
      </c>
      <c r="BQ112">
        <v>0.1302626111784988</v>
      </c>
      <c r="BR112">
        <v>146.7718604624454</v>
      </c>
      <c r="BS112">
        <v>0.58226141223354411</v>
      </c>
      <c r="BT112">
        <v>146.7718604624454</v>
      </c>
      <c r="BU112">
        <v>146.7718604624454</v>
      </c>
      <c r="BV112">
        <v>0.58226141223354411</v>
      </c>
      <c r="BW112">
        <v>601.98172169445695</v>
      </c>
      <c r="BX112">
        <v>-0.71334609706201912</v>
      </c>
      <c r="BY112" t="str">
        <f t="shared" si="5"/>
        <v>[[sv,wv],[yr],[ya]]</v>
      </c>
      <c r="BZ112" t="str">
        <f>SUBSTITUTE(TRIM(MID(SUBSTITUTE(SUBSTITUTE(SUBSTITUTE(Tabla1[[#This Row],[map]],"[",""),"]",""),",",REPT(" ",100)),901,200))," ",", ")</f>
        <v>2, 4</v>
      </c>
      <c r="CA112" t="str">
        <f>SUBSTITUTE(TRIM(MID(SUBSTITUTE(SUBSTITUTE(SUBSTITUTE(Tabla1[[#This Row],[map]],"[",""),"]",""),",",REPT(" ",100)),1501,200))," ",", ")</f>
        <v>3, 4</v>
      </c>
      <c r="CB112" t="str">
        <f>SUBSTITUTE(TRIM(MID(SUBSTITUTE(SUBSTITUTE(SUBSTITUTE(Tabla1[[#This Row],[map]],"[",""),"]",""),",",REPT(" ",100)),601,300))," ",", ")</f>
        <v>0, 1, 3</v>
      </c>
      <c r="CC112" t="str">
        <f>SUBSTITUTE(TRIM(MID(SUBSTITUTE(SUBSTITUTE(SUBSTITUTE(Tabla1[[#This Row],[map]],"[",""),"]",""),",",REPT(" ",100)),1201,300))," ",", ")</f>
        <v>0, 1, 2</v>
      </c>
      <c r="CD112" t="str">
        <f>SUBSTITUTE(TRIM(MID(SUBSTITUTE(SUBSTITUTE(SUBSTITUTE(Tabla1[[#This Row],[map]],"[",""),"]",""),",",REPT(" ",100)),1,300))," ",", ")</f>
        <v>4, 2, 3</v>
      </c>
      <c r="CE112" t="str">
        <f>SUBSTITUTE(TRIM(MID(SUBSTITUTE(SUBSTITUTE(SUBSTITUTE(Tabla1[[#This Row],[map]],"[",""),"]",""),",",REPT(" ",100)),1,600))," ",", ")</f>
        <v>4, 2, 3, 0, 1, -1</v>
      </c>
      <c r="CF112" t="str">
        <f>SUBSTITUTE(TRIM(MID(SUBSTITUTE(SUBSTITUTE(SUBSTITUTE(Tabla1[[#This Row],[map]],"[",""),"]",""),",",REPT(" ",100)),601,600))," ",", ")</f>
        <v>0, 1, 3, 2, 4, -1</v>
      </c>
      <c r="CG112" t="str">
        <f>SUBSTITUTE(TRIM(MID(SUBSTITUTE(SUBSTITUTE(SUBSTITUTE(Tabla1[[#This Row],[map]],"[",""),"]",""),",",REPT(" ",100)),1201,600))," ",", ")</f>
        <v>0, 1, 2, 3, 4, -1</v>
      </c>
    </row>
    <row r="113" spans="1:85" x14ac:dyDescent="0.3">
      <c r="A113" s="1">
        <v>46097.49962962963</v>
      </c>
      <c r="B113" t="s">
        <v>275</v>
      </c>
      <c r="C113">
        <v>3</v>
      </c>
      <c r="D113" t="s">
        <v>96</v>
      </c>
      <c r="E113" t="s">
        <v>78</v>
      </c>
      <c r="F113">
        <v>16590</v>
      </c>
      <c r="G113">
        <v>4.5</v>
      </c>
      <c r="H113" t="s">
        <v>79</v>
      </c>
      <c r="I113" t="s">
        <v>80</v>
      </c>
      <c r="J113">
        <v>5</v>
      </c>
      <c r="K113">
        <v>5</v>
      </c>
      <c r="L113" t="s">
        <v>81</v>
      </c>
      <c r="M113" t="s">
        <v>82</v>
      </c>
      <c r="N113" t="s">
        <v>83</v>
      </c>
      <c r="O113" t="s">
        <v>83</v>
      </c>
      <c r="P113" t="s">
        <v>84</v>
      </c>
      <c r="Q113" t="s">
        <v>271</v>
      </c>
      <c r="R113">
        <v>3</v>
      </c>
      <c r="S113" t="s">
        <v>86</v>
      </c>
      <c r="T113" t="s">
        <v>87</v>
      </c>
      <c r="U113" t="s">
        <v>88</v>
      </c>
      <c r="V113">
        <v>1</v>
      </c>
      <c r="W113" t="s">
        <v>272</v>
      </c>
      <c r="X113" t="s">
        <v>83</v>
      </c>
      <c r="Y113" t="s">
        <v>90</v>
      </c>
      <c r="Z113">
        <v>4000</v>
      </c>
      <c r="AA113">
        <v>4000</v>
      </c>
      <c r="AC113">
        <v>256</v>
      </c>
      <c r="AD113" t="s">
        <v>91</v>
      </c>
      <c r="AE113">
        <v>0.15</v>
      </c>
      <c r="AF113" t="s">
        <v>92</v>
      </c>
      <c r="AG113">
        <v>180</v>
      </c>
      <c r="AH113">
        <v>60</v>
      </c>
      <c r="AI113">
        <v>120</v>
      </c>
      <c r="AJ113">
        <v>0.11495778938917781</v>
      </c>
      <c r="AK113">
        <v>20.915026184523111</v>
      </c>
      <c r="AL113">
        <v>0.65272317249220735</v>
      </c>
      <c r="AM113">
        <v>0.26740010426151889</v>
      </c>
      <c r="AN113">
        <v>21.62914338565496</v>
      </c>
      <c r="AO113">
        <v>0.65122064372563737</v>
      </c>
      <c r="AP113">
        <v>21.62914338565496</v>
      </c>
      <c r="AQ113">
        <v>21.62914338565496</v>
      </c>
      <c r="AR113">
        <v>0.65122064372563737</v>
      </c>
      <c r="AS113">
        <v>75.917884416762774</v>
      </c>
      <c r="AT113">
        <v>0.25823694092483018</v>
      </c>
      <c r="AU113">
        <v>0.8</v>
      </c>
      <c r="AV113" t="s">
        <v>93</v>
      </c>
      <c r="AW113">
        <v>8.6318180064909322E-2</v>
      </c>
      <c r="AX113">
        <v>0.37321840690105412</v>
      </c>
      <c r="AY113">
        <v>8.6318180064909322E-2</v>
      </c>
      <c r="AZ113">
        <v>8.6318180064909322E-2</v>
      </c>
      <c r="BA113">
        <v>0.37321840690105412</v>
      </c>
      <c r="BB113">
        <v>0.14183665007828139</v>
      </c>
      <c r="BC113">
        <v>-2.9917468475722409E-2</v>
      </c>
      <c r="BD113">
        <v>8.6529851592410265E-2</v>
      </c>
      <c r="BE113">
        <v>0.70019254545199816</v>
      </c>
      <c r="BF113">
        <v>8.6529851592410265E-2</v>
      </c>
      <c r="BG113">
        <v>8.6529851592410265E-2</v>
      </c>
      <c r="BH113">
        <v>0.70019254545199816</v>
      </c>
      <c r="BI113">
        <v>0.12782718267726889</v>
      </c>
      <c r="BJ113">
        <v>0.55710611360997786</v>
      </c>
      <c r="BK113">
        <v>5.553039294195139E-2</v>
      </c>
      <c r="BL113">
        <v>0.77706303670712928</v>
      </c>
      <c r="BM113">
        <v>5.553039294195139E-2</v>
      </c>
      <c r="BN113">
        <v>5.553039294195139E-2</v>
      </c>
      <c r="BO113">
        <v>0.77706303670712928</v>
      </c>
      <c r="BP113">
        <v>0.15721116857315029</v>
      </c>
      <c r="BQ113">
        <v>0.36884688437088331</v>
      </c>
      <c r="BR113">
        <v>86.288195118020781</v>
      </c>
      <c r="BS113">
        <v>0.75440858584236947</v>
      </c>
      <c r="BT113">
        <v>86.288195118020781</v>
      </c>
      <c r="BU113">
        <v>86.288195118020781</v>
      </c>
      <c r="BV113">
        <v>0.75440858584236947</v>
      </c>
      <c r="BW113">
        <v>303.24466266572227</v>
      </c>
      <c r="BX113">
        <v>0.13691223419418991</v>
      </c>
      <c r="BY113" t="str">
        <f t="shared" si="5"/>
        <v>[[sv,wv],[yr],[ya]]</v>
      </c>
      <c r="BZ113" t="str">
        <f>SUBSTITUTE(TRIM(MID(SUBSTITUTE(SUBSTITUTE(SUBSTITUTE(Tabla1[[#This Row],[map]],"[",""),"]",""),",",REPT(" ",100)),901,200))," ",", ")</f>
        <v>2, 4</v>
      </c>
      <c r="CA113" t="str">
        <f>SUBSTITUTE(TRIM(MID(SUBSTITUTE(SUBSTITUTE(SUBSTITUTE(Tabla1[[#This Row],[map]],"[",""),"]",""),",",REPT(" ",100)),1501,200))," ",", ")</f>
        <v>3, 4</v>
      </c>
      <c r="CB113" t="str">
        <f>SUBSTITUTE(TRIM(MID(SUBSTITUTE(SUBSTITUTE(SUBSTITUTE(Tabla1[[#This Row],[map]],"[",""),"]",""),",",REPT(" ",100)),601,300))," ",", ")</f>
        <v>0, 1, 3</v>
      </c>
      <c r="CC113" t="str">
        <f>SUBSTITUTE(TRIM(MID(SUBSTITUTE(SUBSTITUTE(SUBSTITUTE(Tabla1[[#This Row],[map]],"[",""),"]",""),",",REPT(" ",100)),1201,300))," ",", ")</f>
        <v>0, 1, 2</v>
      </c>
      <c r="CD113" t="str">
        <f>SUBSTITUTE(TRIM(MID(SUBSTITUTE(SUBSTITUTE(SUBSTITUTE(Tabla1[[#This Row],[map]],"[",""),"]",""),",",REPT(" ",100)),1,300))," ",", ")</f>
        <v>4, 2, 3</v>
      </c>
      <c r="CE113" t="str">
        <f>SUBSTITUTE(TRIM(MID(SUBSTITUTE(SUBSTITUTE(SUBSTITUTE(Tabla1[[#This Row],[map]],"[",""),"]",""),",",REPT(" ",100)),1,600))," ",", ")</f>
        <v>4, 2, 3, 0, 1, -1</v>
      </c>
      <c r="CF113" t="str">
        <f>SUBSTITUTE(TRIM(MID(SUBSTITUTE(SUBSTITUTE(SUBSTITUTE(Tabla1[[#This Row],[map]],"[",""),"]",""),",",REPT(" ",100)),601,600))," ",", ")</f>
        <v>0, 1, 3, 2, 4, -1</v>
      </c>
      <c r="CG113" t="str">
        <f>SUBSTITUTE(TRIM(MID(SUBSTITUTE(SUBSTITUTE(SUBSTITUTE(Tabla1[[#This Row],[map]],"[",""),"]",""),",",REPT(" ",100)),1201,600))," ",", ")</f>
        <v>0, 1, 2, 3, 4, -1</v>
      </c>
    </row>
    <row r="114" spans="1:85" x14ac:dyDescent="0.3">
      <c r="A114" s="1">
        <v>46097.555381944447</v>
      </c>
      <c r="B114" t="s">
        <v>276</v>
      </c>
      <c r="C114">
        <v>4</v>
      </c>
      <c r="D114" t="s">
        <v>96</v>
      </c>
      <c r="E114" t="s">
        <v>78</v>
      </c>
      <c r="F114">
        <v>16590</v>
      </c>
      <c r="G114">
        <v>4.5</v>
      </c>
      <c r="H114" t="s">
        <v>79</v>
      </c>
      <c r="I114" t="s">
        <v>80</v>
      </c>
      <c r="J114">
        <v>5</v>
      </c>
      <c r="K114">
        <v>5</v>
      </c>
      <c r="L114" t="s">
        <v>81</v>
      </c>
      <c r="M114" t="s">
        <v>82</v>
      </c>
      <c r="N114" t="s">
        <v>83</v>
      </c>
      <c r="O114" t="s">
        <v>83</v>
      </c>
      <c r="P114" t="s">
        <v>84</v>
      </c>
      <c r="Q114" t="s">
        <v>85</v>
      </c>
      <c r="R114">
        <v>3</v>
      </c>
      <c r="S114" t="s">
        <v>86</v>
      </c>
      <c r="T114" t="s">
        <v>87</v>
      </c>
      <c r="U114" t="s">
        <v>88</v>
      </c>
      <c r="V114">
        <v>1</v>
      </c>
      <c r="W114" t="s">
        <v>89</v>
      </c>
      <c r="X114" t="s">
        <v>83</v>
      </c>
      <c r="Y114" t="s">
        <v>90</v>
      </c>
      <c r="Z114">
        <v>4000</v>
      </c>
      <c r="AA114">
        <v>4000</v>
      </c>
      <c r="AC114">
        <v>256</v>
      </c>
      <c r="AD114" t="s">
        <v>91</v>
      </c>
      <c r="AE114">
        <v>0.15</v>
      </c>
      <c r="AF114" t="s">
        <v>92</v>
      </c>
      <c r="AG114">
        <v>180</v>
      </c>
      <c r="AH114">
        <v>60</v>
      </c>
      <c r="AI114">
        <v>120</v>
      </c>
      <c r="AJ114">
        <v>9.2156546442322365E-2</v>
      </c>
      <c r="AK114">
        <v>15.87641843405112</v>
      </c>
      <c r="AL114">
        <v>0.80488211438422963</v>
      </c>
      <c r="AM114">
        <v>-1.0998053721506551</v>
      </c>
      <c r="AN114">
        <v>22.21873264699915</v>
      </c>
      <c r="AO114">
        <v>0.71974427463920743</v>
      </c>
      <c r="AP114">
        <v>22.21873264699915</v>
      </c>
      <c r="AQ114">
        <v>22.21873264699915</v>
      </c>
      <c r="AR114">
        <v>0.71974427463920743</v>
      </c>
      <c r="AS114">
        <v>149.74716667278841</v>
      </c>
      <c r="AT114">
        <v>-1.061920958343497</v>
      </c>
      <c r="AU114">
        <v>0.8</v>
      </c>
      <c r="AV114" t="s">
        <v>93</v>
      </c>
      <c r="AW114">
        <v>6.4063940827721225E-2</v>
      </c>
      <c r="AX114">
        <v>0.53481295757161784</v>
      </c>
      <c r="AY114">
        <v>6.4063940827721225E-2</v>
      </c>
      <c r="AZ114">
        <v>6.4063940827721225E-2</v>
      </c>
      <c r="BA114">
        <v>0.53481295757161784</v>
      </c>
      <c r="BB114">
        <v>0.19007426908306099</v>
      </c>
      <c r="BC114">
        <v>-0.38018495169165822</v>
      </c>
      <c r="BD114">
        <v>4.455112410962328E-2</v>
      </c>
      <c r="BE114">
        <v>0.84563987027882725</v>
      </c>
      <c r="BF114">
        <v>4.455112410962328E-2</v>
      </c>
      <c r="BG114">
        <v>4.455112410962328E-2</v>
      </c>
      <c r="BH114">
        <v>0.84563987027882725</v>
      </c>
      <c r="BI114">
        <v>0.69156196923132385</v>
      </c>
      <c r="BJ114">
        <v>-1.396114518190537</v>
      </c>
      <c r="BK114">
        <v>6.2024233600684681E-2</v>
      </c>
      <c r="BL114">
        <v>0.75099232047648523</v>
      </c>
      <c r="BM114">
        <v>6.2024233600684681E-2</v>
      </c>
      <c r="BN114">
        <v>6.2024233600684681E-2</v>
      </c>
      <c r="BO114">
        <v>0.75099232047648523</v>
      </c>
      <c r="BP114">
        <v>0.6902239449317269</v>
      </c>
      <c r="BQ114">
        <v>-1.771030819752335</v>
      </c>
      <c r="BR114">
        <v>88.704291289458382</v>
      </c>
      <c r="BS114">
        <v>0.74753195022990115</v>
      </c>
      <c r="BT114">
        <v>88.704291289458382</v>
      </c>
      <c r="BU114">
        <v>88.704291289458382</v>
      </c>
      <c r="BV114">
        <v>0.74753195022990115</v>
      </c>
      <c r="BW114">
        <v>597.41680650790454</v>
      </c>
      <c r="BX114">
        <v>-0.70035354373949743</v>
      </c>
      <c r="BY114" t="str">
        <f t="shared" si="5"/>
        <v>[[sv,wv],[yr],[ya]]</v>
      </c>
      <c r="BZ114" t="str">
        <f>SUBSTITUTE(TRIM(MID(SUBSTITUTE(SUBSTITUTE(SUBSTITUTE(Tabla1[[#This Row],[map]],"[",""),"]",""),",",REPT(" ",100)),901,200))," ",", ")</f>
        <v>2, 3</v>
      </c>
      <c r="CA114" t="str">
        <f>SUBSTITUTE(TRIM(MID(SUBSTITUTE(SUBSTITUTE(SUBSTITUTE(Tabla1[[#This Row],[map]],"[",""),"]",""),",",REPT(" ",100)),1501,200))," ",", ")</f>
        <v>3, 2</v>
      </c>
      <c r="CB114" t="str">
        <f>SUBSTITUTE(TRIM(MID(SUBSTITUTE(SUBSTITUTE(SUBSTITUTE(Tabla1[[#This Row],[map]],"[",""),"]",""),",",REPT(" ",100)),601,300))," ",", ")</f>
        <v>0, 1, 4</v>
      </c>
      <c r="CC114" t="str">
        <f>SUBSTITUTE(TRIM(MID(SUBSTITUTE(SUBSTITUTE(SUBSTITUTE(Tabla1[[#This Row],[map]],"[",""),"]",""),",",REPT(" ",100)),1201,300))," ",", ")</f>
        <v>0, 1, 4</v>
      </c>
      <c r="CD114" t="str">
        <f>SUBSTITUTE(TRIM(MID(SUBSTITUTE(SUBSTITUTE(SUBSTITUTE(Tabla1[[#This Row],[map]],"[",""),"]",""),",",REPT(" ",100)),1,300))," ",", ")</f>
        <v>2, 3, 4</v>
      </c>
      <c r="CE114" t="str">
        <f>SUBSTITUTE(TRIM(MID(SUBSTITUTE(SUBSTITUTE(SUBSTITUTE(Tabla1[[#This Row],[map]],"[",""),"]",""),",",REPT(" ",100)),1,600))," ",", ")</f>
        <v>2, 3, 4, 0, 1, -1</v>
      </c>
      <c r="CF114" t="str">
        <f>SUBSTITUTE(TRIM(MID(SUBSTITUTE(SUBSTITUTE(SUBSTITUTE(Tabla1[[#This Row],[map]],"[",""),"]",""),",",REPT(" ",100)),601,600))," ",", ")</f>
        <v>0, 1, 4, 2, 3, -1</v>
      </c>
      <c r="CG114" t="str">
        <f>SUBSTITUTE(TRIM(MID(SUBSTITUTE(SUBSTITUTE(SUBSTITUTE(Tabla1[[#This Row],[map]],"[",""),"]",""),",",REPT(" ",100)),1201,600))," ",", ")</f>
        <v>0, 1, 4, 3, 2, -1</v>
      </c>
    </row>
    <row r="115" spans="1:85" x14ac:dyDescent="0.3">
      <c r="A115" s="1">
        <v>46097.555590277778</v>
      </c>
      <c r="B115" t="s">
        <v>277</v>
      </c>
      <c r="C115">
        <v>5</v>
      </c>
      <c r="D115" t="s">
        <v>96</v>
      </c>
      <c r="E115" t="s">
        <v>78</v>
      </c>
      <c r="F115">
        <v>16590</v>
      </c>
      <c r="G115">
        <v>4.5</v>
      </c>
      <c r="H115" t="s">
        <v>79</v>
      </c>
      <c r="I115" t="s">
        <v>80</v>
      </c>
      <c r="J115">
        <v>5</v>
      </c>
      <c r="K115">
        <v>5</v>
      </c>
      <c r="L115" t="s">
        <v>81</v>
      </c>
      <c r="M115" t="s">
        <v>82</v>
      </c>
      <c r="N115" t="s">
        <v>83</v>
      </c>
      <c r="O115" t="s">
        <v>83</v>
      </c>
      <c r="P115" t="s">
        <v>84</v>
      </c>
      <c r="Q115" t="s">
        <v>85</v>
      </c>
      <c r="R115">
        <v>3</v>
      </c>
      <c r="S115" t="s">
        <v>86</v>
      </c>
      <c r="T115" t="s">
        <v>87</v>
      </c>
      <c r="U115" t="s">
        <v>88</v>
      </c>
      <c r="V115">
        <v>1</v>
      </c>
      <c r="W115" t="s">
        <v>89</v>
      </c>
      <c r="X115" t="s">
        <v>83</v>
      </c>
      <c r="Y115" t="s">
        <v>90</v>
      </c>
      <c r="Z115">
        <v>4000</v>
      </c>
      <c r="AA115">
        <v>4000</v>
      </c>
      <c r="AC115">
        <v>256</v>
      </c>
      <c r="AD115" t="s">
        <v>91</v>
      </c>
      <c r="AE115">
        <v>0.15</v>
      </c>
      <c r="AF115" t="s">
        <v>92</v>
      </c>
      <c r="AG115">
        <v>180</v>
      </c>
      <c r="AH115">
        <v>60</v>
      </c>
      <c r="AI115">
        <v>120</v>
      </c>
      <c r="AJ115">
        <v>0.1133061003865892</v>
      </c>
      <c r="AK115">
        <v>21.306150894951418</v>
      </c>
      <c r="AL115">
        <v>0.72601118884319216</v>
      </c>
      <c r="AM115">
        <v>-0.68249887574690882</v>
      </c>
      <c r="AN115">
        <v>25.736472320314231</v>
      </c>
      <c r="AO115">
        <v>0.64803855998657944</v>
      </c>
      <c r="AP115">
        <v>25.736472320314231</v>
      </c>
      <c r="AQ115">
        <v>25.736472320314231</v>
      </c>
      <c r="AR115">
        <v>0.64803855998657944</v>
      </c>
      <c r="AS115">
        <v>120.5026936446683</v>
      </c>
      <c r="AT115">
        <v>-0.62681941217605297</v>
      </c>
      <c r="AU115">
        <v>0.8</v>
      </c>
      <c r="AV115" t="s">
        <v>93</v>
      </c>
      <c r="AW115">
        <v>6.2728049353605431E-2</v>
      </c>
      <c r="AX115">
        <v>0.54451325692598274</v>
      </c>
      <c r="AY115">
        <v>6.2728049353605431E-2</v>
      </c>
      <c r="AZ115">
        <v>6.2728049353605431E-2</v>
      </c>
      <c r="BA115">
        <v>0.54451325692598274</v>
      </c>
      <c r="BB115">
        <v>0.22882185567541141</v>
      </c>
      <c r="BC115">
        <v>-0.66154252937494595</v>
      </c>
      <c r="BD115">
        <v>6.7204874043918728E-2</v>
      </c>
      <c r="BE115">
        <v>0.7671494651899573</v>
      </c>
      <c r="BF115">
        <v>6.7204874043918728E-2</v>
      </c>
      <c r="BG115">
        <v>6.7204874043918728E-2</v>
      </c>
      <c r="BH115">
        <v>0.7671494651899573</v>
      </c>
      <c r="BI115">
        <v>0.52966938073723491</v>
      </c>
      <c r="BJ115">
        <v>-0.83519127640310731</v>
      </c>
      <c r="BK115">
        <v>0.1064041461535747</v>
      </c>
      <c r="BL115">
        <v>0.57282100902750888</v>
      </c>
      <c r="BM115">
        <v>0.1064041461535747</v>
      </c>
      <c r="BN115">
        <v>0.1064041461535747</v>
      </c>
      <c r="BO115">
        <v>0.57282100902750888</v>
      </c>
      <c r="BP115">
        <v>0.40899338535862861</v>
      </c>
      <c r="BQ115">
        <v>-0.64197907682803734</v>
      </c>
      <c r="BR115">
        <v>102.7095522117057</v>
      </c>
      <c r="BS115">
        <v>0.70767050880286897</v>
      </c>
      <c r="BT115">
        <v>102.7095522117057</v>
      </c>
      <c r="BU115">
        <v>102.7095522117057</v>
      </c>
      <c r="BV115">
        <v>0.70767050880286897</v>
      </c>
      <c r="BW115">
        <v>480.84328995690038</v>
      </c>
      <c r="BX115">
        <v>-0.36856476609811678</v>
      </c>
      <c r="BY115" t="str">
        <f t="shared" si="5"/>
        <v>[[sv,wv],[yr],[ya]]</v>
      </c>
      <c r="BZ115" t="str">
        <f>SUBSTITUTE(TRIM(MID(SUBSTITUTE(SUBSTITUTE(SUBSTITUTE(Tabla1[[#This Row],[map]],"[",""),"]",""),",",REPT(" ",100)),901,200))," ",", ")</f>
        <v>2, 3</v>
      </c>
      <c r="CA115" t="str">
        <f>SUBSTITUTE(TRIM(MID(SUBSTITUTE(SUBSTITUTE(SUBSTITUTE(Tabla1[[#This Row],[map]],"[",""),"]",""),",",REPT(" ",100)),1501,200))," ",", ")</f>
        <v>3, 2</v>
      </c>
      <c r="CB115" t="str">
        <f>SUBSTITUTE(TRIM(MID(SUBSTITUTE(SUBSTITUTE(SUBSTITUTE(Tabla1[[#This Row],[map]],"[",""),"]",""),",",REPT(" ",100)),601,300))," ",", ")</f>
        <v>0, 1, 4</v>
      </c>
      <c r="CC115" t="str">
        <f>SUBSTITUTE(TRIM(MID(SUBSTITUTE(SUBSTITUTE(SUBSTITUTE(Tabla1[[#This Row],[map]],"[",""),"]",""),",",REPT(" ",100)),1201,300))," ",", ")</f>
        <v>0, 1, 4</v>
      </c>
      <c r="CD115" t="str">
        <f>SUBSTITUTE(TRIM(MID(SUBSTITUTE(SUBSTITUTE(SUBSTITUTE(Tabla1[[#This Row],[map]],"[",""),"]",""),",",REPT(" ",100)),1,300))," ",", ")</f>
        <v>2, 3, 4</v>
      </c>
      <c r="CE115" t="str">
        <f>SUBSTITUTE(TRIM(MID(SUBSTITUTE(SUBSTITUTE(SUBSTITUTE(Tabla1[[#This Row],[map]],"[",""),"]",""),",",REPT(" ",100)),1,600))," ",", ")</f>
        <v>2, 3, 4, 0, 1, -1</v>
      </c>
      <c r="CF115" t="str">
        <f>SUBSTITUTE(TRIM(MID(SUBSTITUTE(SUBSTITUTE(SUBSTITUTE(Tabla1[[#This Row],[map]],"[",""),"]",""),",",REPT(" ",100)),601,600))," ",", ")</f>
        <v>0, 1, 4, 2, 3, -1</v>
      </c>
      <c r="CG115" t="str">
        <f>SUBSTITUTE(TRIM(MID(SUBSTITUTE(SUBSTITUTE(SUBSTITUTE(Tabla1[[#This Row],[map]],"[",""),"]",""),",",REPT(" ",100)),1201,600))," ",", ")</f>
        <v>0, 1, 4, 3, 2, -1</v>
      </c>
    </row>
    <row r="116" spans="1:85" x14ac:dyDescent="0.3">
      <c r="A116" s="1">
        <v>46097.632106481477</v>
      </c>
      <c r="B116" t="s">
        <v>278</v>
      </c>
      <c r="C116">
        <v>0</v>
      </c>
      <c r="D116" t="s">
        <v>96</v>
      </c>
      <c r="E116" t="s">
        <v>78</v>
      </c>
      <c r="F116">
        <v>16590</v>
      </c>
      <c r="G116">
        <v>4.5</v>
      </c>
      <c r="H116" t="s">
        <v>79</v>
      </c>
      <c r="I116" t="s">
        <v>80</v>
      </c>
      <c r="J116">
        <v>5</v>
      </c>
      <c r="K116">
        <v>5</v>
      </c>
      <c r="L116" t="s">
        <v>81</v>
      </c>
      <c r="M116" t="s">
        <v>82</v>
      </c>
      <c r="N116" t="s">
        <v>83</v>
      </c>
      <c r="O116" t="s">
        <v>83</v>
      </c>
      <c r="P116" t="s">
        <v>84</v>
      </c>
      <c r="Q116" t="s">
        <v>279</v>
      </c>
      <c r="R116">
        <v>3</v>
      </c>
      <c r="S116" t="s">
        <v>86</v>
      </c>
      <c r="T116" t="s">
        <v>87</v>
      </c>
      <c r="U116" t="s">
        <v>88</v>
      </c>
      <c r="V116">
        <v>1</v>
      </c>
      <c r="W116" t="s">
        <v>280</v>
      </c>
      <c r="X116" t="s">
        <v>83</v>
      </c>
      <c r="Y116" t="s">
        <v>90</v>
      </c>
      <c r="Z116">
        <v>4000</v>
      </c>
      <c r="AA116">
        <v>4000</v>
      </c>
      <c r="AC116">
        <v>256</v>
      </c>
      <c r="AD116" t="s">
        <v>91</v>
      </c>
      <c r="AE116">
        <v>0.15</v>
      </c>
      <c r="AF116" t="s">
        <v>92</v>
      </c>
      <c r="AG116">
        <v>180</v>
      </c>
      <c r="AH116">
        <v>60</v>
      </c>
      <c r="AI116">
        <v>120</v>
      </c>
      <c r="AJ116">
        <v>0.1034977935849337</v>
      </c>
      <c r="AK116">
        <v>12.929114913093221</v>
      </c>
      <c r="AL116">
        <v>0.7402326749887751</v>
      </c>
      <c r="AM116">
        <v>0.31461949808122791</v>
      </c>
      <c r="AN116">
        <v>15.76401577567796</v>
      </c>
      <c r="AO116">
        <v>0.68380777759416289</v>
      </c>
      <c r="AP116">
        <v>15.76401577567796</v>
      </c>
      <c r="AQ116">
        <v>15.76401577567796</v>
      </c>
      <c r="AR116">
        <v>0.68380777759416289</v>
      </c>
      <c r="AS116">
        <v>91.782710797778535</v>
      </c>
      <c r="AT116">
        <v>0.23516757419054829</v>
      </c>
      <c r="AU116">
        <v>0.8</v>
      </c>
      <c r="AV116" t="s">
        <v>93</v>
      </c>
      <c r="AW116">
        <v>7.1733277676984009E-2</v>
      </c>
      <c r="AX116">
        <v>0.47912365591142708</v>
      </c>
      <c r="AY116">
        <v>7.1733277676984009E-2</v>
      </c>
      <c r="AZ116">
        <v>7.1733277676984009E-2</v>
      </c>
      <c r="BA116">
        <v>0.47912365591142708</v>
      </c>
      <c r="BB116">
        <v>8.0703264703434627E-2</v>
      </c>
      <c r="BC116">
        <v>0.41398995227810442</v>
      </c>
      <c r="BD116">
        <v>8.7979624895964878E-2</v>
      </c>
      <c r="BE116">
        <v>0.69516939060067884</v>
      </c>
      <c r="BF116">
        <v>8.7979624895964878E-2</v>
      </c>
      <c r="BG116">
        <v>8.7979624895964878E-2</v>
      </c>
      <c r="BH116">
        <v>0.69516939060067884</v>
      </c>
      <c r="BI116">
        <v>0.19310327663177121</v>
      </c>
      <c r="BJ116">
        <v>0.33093838985703339</v>
      </c>
      <c r="BK116">
        <v>6.4820131599540545E-2</v>
      </c>
      <c r="BL116">
        <v>0.73976767435894164</v>
      </c>
      <c r="BM116">
        <v>6.4820131599540545E-2</v>
      </c>
      <c r="BN116">
        <v>6.4820131599540545E-2</v>
      </c>
      <c r="BO116">
        <v>0.73976767435894164</v>
      </c>
      <c r="BP116">
        <v>0.1894688519933658</v>
      </c>
      <c r="BQ116">
        <v>0.23934248860542989</v>
      </c>
      <c r="BR116">
        <v>62.831530068539287</v>
      </c>
      <c r="BS116">
        <v>0.82117038950560228</v>
      </c>
      <c r="BT116">
        <v>62.831530068539287</v>
      </c>
      <c r="BU116">
        <v>62.831530068539287</v>
      </c>
      <c r="BV116">
        <v>0.82117038950560228</v>
      </c>
      <c r="BW116">
        <v>366.66756779778592</v>
      </c>
      <c r="BX116">
        <v>-4.3600533978379603E-2</v>
      </c>
      <c r="BY116" t="str">
        <f t="shared" si="5"/>
        <v>[[sv,wv],[yr],[ya]]</v>
      </c>
      <c r="BZ116" t="str">
        <f>SUBSTITUTE(TRIM(MID(SUBSTITUTE(SUBSTITUTE(SUBSTITUTE(Tabla1[[#This Row],[map]],"[",""),"]",""),",",REPT(" ",100)),901,200))," ",", ")</f>
        <v>2, 4</v>
      </c>
      <c r="CA116" t="str">
        <f>SUBSTITUTE(TRIM(MID(SUBSTITUTE(SUBSTITUTE(SUBSTITUTE(Tabla1[[#This Row],[map]],"[",""),"]",""),",",REPT(" ",100)),1501,200))," ",", ")</f>
        <v>3, 4</v>
      </c>
      <c r="CB116" t="str">
        <f>SUBSTITUTE(TRIM(MID(SUBSTITUTE(SUBSTITUTE(SUBSTITUTE(Tabla1[[#This Row],[map]],"[",""),"]",""),",",REPT(" ",100)),601,300))," ",", ")</f>
        <v>0, 1, 3</v>
      </c>
      <c r="CC116" t="str">
        <f>SUBSTITUTE(TRIM(MID(SUBSTITUTE(SUBSTITUTE(SUBSTITUTE(Tabla1[[#This Row],[map]],"[",""),"]",""),",",REPT(" ",100)),1201,300))," ",", ")</f>
        <v>2, 0, 1</v>
      </c>
      <c r="CD116" t="str">
        <f>SUBSTITUTE(TRIM(MID(SUBSTITUTE(SUBSTITUTE(SUBSTITUTE(Tabla1[[#This Row],[map]],"[",""),"]",""),",",REPT(" ",100)),1,300))," ",", ")</f>
        <v>4, 2, 3</v>
      </c>
      <c r="CE116" t="str">
        <f>SUBSTITUTE(TRIM(MID(SUBSTITUTE(SUBSTITUTE(SUBSTITUTE(Tabla1[[#This Row],[map]],"[",""),"]",""),",",REPT(" ",100)),1,600))," ",", ")</f>
        <v>4, 2, 3, 0, 1, -1</v>
      </c>
      <c r="CF116" t="str">
        <f>SUBSTITUTE(TRIM(MID(SUBSTITUTE(SUBSTITUTE(SUBSTITUTE(Tabla1[[#This Row],[map]],"[",""),"]",""),",",REPT(" ",100)),601,600))," ",", ")</f>
        <v>0, 1, 3, 2, 4, -1</v>
      </c>
      <c r="CG116" t="str">
        <f>SUBSTITUTE(TRIM(MID(SUBSTITUTE(SUBSTITUTE(SUBSTITUTE(Tabla1[[#This Row],[map]],"[",""),"]",""),",",REPT(" ",100)),1201,600))," ",", ")</f>
        <v>2, 0, 1, 3, 4, -1</v>
      </c>
    </row>
    <row r="117" spans="1:85" x14ac:dyDescent="0.3">
      <c r="A117" s="1">
        <v>46097.635648148149</v>
      </c>
      <c r="B117" t="s">
        <v>281</v>
      </c>
      <c r="C117">
        <v>2</v>
      </c>
      <c r="D117" t="s">
        <v>77</v>
      </c>
      <c r="E117" t="s">
        <v>78</v>
      </c>
      <c r="F117">
        <v>16590</v>
      </c>
      <c r="G117">
        <v>4.5</v>
      </c>
      <c r="H117" t="s">
        <v>79</v>
      </c>
      <c r="I117" t="s">
        <v>80</v>
      </c>
      <c r="J117">
        <v>5</v>
      </c>
      <c r="K117">
        <v>5</v>
      </c>
      <c r="L117" t="s">
        <v>81</v>
      </c>
      <c r="M117" t="s">
        <v>82</v>
      </c>
      <c r="N117" t="s">
        <v>83</v>
      </c>
      <c r="O117" t="s">
        <v>83</v>
      </c>
      <c r="P117" t="s">
        <v>84</v>
      </c>
      <c r="Q117" t="s">
        <v>279</v>
      </c>
      <c r="R117">
        <v>3</v>
      </c>
      <c r="S117" t="s">
        <v>86</v>
      </c>
      <c r="T117" t="s">
        <v>87</v>
      </c>
      <c r="U117" t="s">
        <v>88</v>
      </c>
      <c r="V117">
        <v>1</v>
      </c>
      <c r="W117" t="s">
        <v>280</v>
      </c>
      <c r="X117" t="s">
        <v>83</v>
      </c>
      <c r="Y117" t="s">
        <v>90</v>
      </c>
      <c r="Z117">
        <v>4000</v>
      </c>
      <c r="AA117">
        <v>4000</v>
      </c>
      <c r="AC117">
        <v>256</v>
      </c>
      <c r="AD117" t="s">
        <v>91</v>
      </c>
      <c r="AE117">
        <v>0.15</v>
      </c>
      <c r="AF117" t="s">
        <v>92</v>
      </c>
      <c r="AG117">
        <v>180</v>
      </c>
      <c r="AH117">
        <v>60</v>
      </c>
      <c r="AI117">
        <v>120</v>
      </c>
      <c r="AJ117">
        <v>0.11700364141314309</v>
      </c>
      <c r="AK117">
        <v>23.5769800967824</v>
      </c>
      <c r="AL117">
        <v>0.68481013950022374</v>
      </c>
      <c r="AM117">
        <v>-0.1671368339132564</v>
      </c>
      <c r="AN117">
        <v>27.795588753904841</v>
      </c>
      <c r="AO117">
        <v>0.62357749931691731</v>
      </c>
      <c r="AP117">
        <v>27.795588753904841</v>
      </c>
      <c r="AQ117">
        <v>27.795588753904841</v>
      </c>
      <c r="AR117">
        <v>0.62357749931691731</v>
      </c>
      <c r="AS117">
        <v>147.9386587634171</v>
      </c>
      <c r="AT117">
        <v>-0.11678243166457319</v>
      </c>
      <c r="AU117">
        <v>0.8</v>
      </c>
      <c r="AV117" t="s">
        <v>93</v>
      </c>
      <c r="AW117">
        <v>7.0604330334254117E-2</v>
      </c>
      <c r="AX117">
        <v>0.48732127330174951</v>
      </c>
      <c r="AY117">
        <v>7.0604330334254117E-2</v>
      </c>
      <c r="AZ117">
        <v>7.0604330334254117E-2</v>
      </c>
      <c r="BA117">
        <v>0.48732127330174951</v>
      </c>
      <c r="BB117">
        <v>0.1241183458441788</v>
      </c>
      <c r="BC117">
        <v>9.8740329296561291E-2</v>
      </c>
      <c r="BD117">
        <v>0.1037182792685829</v>
      </c>
      <c r="BE117">
        <v>0.64063831469300592</v>
      </c>
      <c r="BF117">
        <v>0.1037182792685829</v>
      </c>
      <c r="BG117">
        <v>0.1037182792685829</v>
      </c>
      <c r="BH117">
        <v>0.64063831469300592</v>
      </c>
      <c r="BI117">
        <v>0.29179251242681792</v>
      </c>
      <c r="BJ117">
        <v>-1.09987339273756E-2</v>
      </c>
      <c r="BK117">
        <v>7.9190934407557104E-2</v>
      </c>
      <c r="BL117">
        <v>0.68207344659705749</v>
      </c>
      <c r="BM117">
        <v>7.9190934407557104E-2</v>
      </c>
      <c r="BN117">
        <v>7.9190934407557104E-2</v>
      </c>
      <c r="BO117">
        <v>0.68207344659705749</v>
      </c>
      <c r="BP117">
        <v>0.2173111615938513</v>
      </c>
      <c r="BQ117">
        <v>0.12756442213504229</v>
      </c>
      <c r="BR117">
        <v>110.92884147160871</v>
      </c>
      <c r="BS117">
        <v>0.68427696267585481</v>
      </c>
      <c r="BT117">
        <v>110.92884147160871</v>
      </c>
      <c r="BU117">
        <v>110.92884147160871</v>
      </c>
      <c r="BV117">
        <v>0.68427696267585481</v>
      </c>
      <c r="BW117">
        <v>591.12141303380315</v>
      </c>
      <c r="BX117">
        <v>-0.68243574416252595</v>
      </c>
      <c r="BY117" t="str">
        <f t="shared" si="5"/>
        <v>[[sv,wv],[yr],[ya]]</v>
      </c>
      <c r="BZ117" t="str">
        <f>SUBSTITUTE(TRIM(MID(SUBSTITUTE(SUBSTITUTE(SUBSTITUTE(Tabla1[[#This Row],[map]],"[",""),"]",""),",",REPT(" ",100)),901,200))," ",", ")</f>
        <v>2, 4</v>
      </c>
      <c r="CA117" t="str">
        <f>SUBSTITUTE(TRIM(MID(SUBSTITUTE(SUBSTITUTE(SUBSTITUTE(Tabla1[[#This Row],[map]],"[",""),"]",""),",",REPT(" ",100)),1501,200))," ",", ")</f>
        <v>3, 4</v>
      </c>
      <c r="CB117" t="str">
        <f>SUBSTITUTE(TRIM(MID(SUBSTITUTE(SUBSTITUTE(SUBSTITUTE(Tabla1[[#This Row],[map]],"[",""),"]",""),",",REPT(" ",100)),601,300))," ",", ")</f>
        <v>0, 1, 3</v>
      </c>
      <c r="CC117" t="str">
        <f>SUBSTITUTE(TRIM(MID(SUBSTITUTE(SUBSTITUTE(SUBSTITUTE(Tabla1[[#This Row],[map]],"[",""),"]",""),",",REPT(" ",100)),1201,300))," ",", ")</f>
        <v>2, 0, 1</v>
      </c>
      <c r="CD117" t="str">
        <f>SUBSTITUTE(TRIM(MID(SUBSTITUTE(SUBSTITUTE(SUBSTITUTE(Tabla1[[#This Row],[map]],"[",""),"]",""),",",REPT(" ",100)),1,300))," ",", ")</f>
        <v>4, 2, 3</v>
      </c>
      <c r="CE117" t="str">
        <f>SUBSTITUTE(TRIM(MID(SUBSTITUTE(SUBSTITUTE(SUBSTITUTE(Tabla1[[#This Row],[map]],"[",""),"]",""),",",REPT(" ",100)),1,600))," ",", ")</f>
        <v>4, 2, 3, 0, 1, -1</v>
      </c>
      <c r="CF117" t="str">
        <f>SUBSTITUTE(TRIM(MID(SUBSTITUTE(SUBSTITUTE(SUBSTITUTE(Tabla1[[#This Row],[map]],"[",""),"]",""),",",REPT(" ",100)),601,600))," ",", ")</f>
        <v>0, 1, 3, 2, 4, -1</v>
      </c>
      <c r="CG117" t="str">
        <f>SUBSTITUTE(TRIM(MID(SUBSTITUTE(SUBSTITUTE(SUBSTITUTE(Tabla1[[#This Row],[map]],"[",""),"]",""),",",REPT(" ",100)),1201,600))," ",", ")</f>
        <v>2, 0, 1, 3, 4, -1</v>
      </c>
    </row>
    <row r="118" spans="1:85" x14ac:dyDescent="0.3">
      <c r="A118" s="1">
        <v>46097.635891203703</v>
      </c>
      <c r="B118" t="s">
        <v>282</v>
      </c>
      <c r="C118">
        <v>1</v>
      </c>
      <c r="D118" t="s">
        <v>96</v>
      </c>
      <c r="E118" t="s">
        <v>78</v>
      </c>
      <c r="F118">
        <v>16590</v>
      </c>
      <c r="G118">
        <v>4.5</v>
      </c>
      <c r="H118" t="s">
        <v>79</v>
      </c>
      <c r="I118" t="s">
        <v>80</v>
      </c>
      <c r="J118">
        <v>5</v>
      </c>
      <c r="K118">
        <v>5</v>
      </c>
      <c r="L118" t="s">
        <v>81</v>
      </c>
      <c r="M118" t="s">
        <v>82</v>
      </c>
      <c r="N118" t="s">
        <v>83</v>
      </c>
      <c r="O118" t="s">
        <v>83</v>
      </c>
      <c r="P118" t="s">
        <v>84</v>
      </c>
      <c r="Q118" t="s">
        <v>279</v>
      </c>
      <c r="R118">
        <v>3</v>
      </c>
      <c r="S118" t="s">
        <v>86</v>
      </c>
      <c r="T118" t="s">
        <v>87</v>
      </c>
      <c r="U118" t="s">
        <v>88</v>
      </c>
      <c r="V118">
        <v>1</v>
      </c>
      <c r="W118" t="s">
        <v>280</v>
      </c>
      <c r="X118" t="s">
        <v>83</v>
      </c>
      <c r="Y118" t="s">
        <v>90</v>
      </c>
      <c r="Z118">
        <v>4000</v>
      </c>
      <c r="AA118">
        <v>4000</v>
      </c>
      <c r="AC118">
        <v>256</v>
      </c>
      <c r="AD118" t="s">
        <v>91</v>
      </c>
      <c r="AE118">
        <v>0.15</v>
      </c>
      <c r="AF118" t="s">
        <v>92</v>
      </c>
      <c r="AG118">
        <v>180</v>
      </c>
      <c r="AH118">
        <v>60</v>
      </c>
      <c r="AI118">
        <v>120</v>
      </c>
      <c r="AJ118">
        <v>0.12139996731800071</v>
      </c>
      <c r="AK118">
        <v>15.955967431420021</v>
      </c>
      <c r="AL118">
        <v>0.68234287652770231</v>
      </c>
      <c r="AM118">
        <v>3.0372329604665571E-2</v>
      </c>
      <c r="AN118">
        <v>18.42929665070519</v>
      </c>
      <c r="AO118">
        <v>0.64825646648799107</v>
      </c>
      <c r="AP118">
        <v>18.42929665070519</v>
      </c>
      <c r="AQ118">
        <v>18.42929665070519</v>
      </c>
      <c r="AR118">
        <v>0.64825646648799107</v>
      </c>
      <c r="AS118">
        <v>104.97992961840001</v>
      </c>
      <c r="AT118">
        <v>5.2212668544678147E-2</v>
      </c>
      <c r="AU118">
        <v>0.8</v>
      </c>
      <c r="AV118" t="s">
        <v>93</v>
      </c>
      <c r="AW118">
        <v>7.0765837334568968E-2</v>
      </c>
      <c r="AX118">
        <v>0.48614852365760902</v>
      </c>
      <c r="AY118">
        <v>7.0765837334568968E-2</v>
      </c>
      <c r="AZ118">
        <v>7.0765837334568968E-2</v>
      </c>
      <c r="BA118">
        <v>0.48614852365760902</v>
      </c>
      <c r="BB118">
        <v>0.15120746633628501</v>
      </c>
      <c r="BC118">
        <v>-9.7961710585695583E-2</v>
      </c>
      <c r="BD118">
        <v>0.12816354134046731</v>
      </c>
      <c r="BE118">
        <v>0.5559407026821549</v>
      </c>
      <c r="BF118">
        <v>0.12816354134046731</v>
      </c>
      <c r="BG118">
        <v>0.12816354134046731</v>
      </c>
      <c r="BH118">
        <v>0.5559407026821549</v>
      </c>
      <c r="BI118">
        <v>0.13199314839058321</v>
      </c>
      <c r="BJ118">
        <v>0.54267193218867804</v>
      </c>
      <c r="BK118">
        <v>5.9777455904454269E-2</v>
      </c>
      <c r="BL118">
        <v>0.76001242226678523</v>
      </c>
      <c r="BM118">
        <v>5.9777455904454269E-2</v>
      </c>
      <c r="BN118">
        <v>5.9777455904454269E-2</v>
      </c>
      <c r="BO118">
        <v>0.76001242226678523</v>
      </c>
      <c r="BP118">
        <v>0.25960673595609618</v>
      </c>
      <c r="BQ118">
        <v>-4.2238930758633497E-2</v>
      </c>
      <c r="BR118">
        <v>73.458479768241375</v>
      </c>
      <c r="BS118">
        <v>0.79092421734541085</v>
      </c>
      <c r="BT118">
        <v>73.458479768241375</v>
      </c>
      <c r="BU118">
        <v>73.458479768241375</v>
      </c>
      <c r="BV118">
        <v>0.79092421734541085</v>
      </c>
      <c r="BW118">
        <v>419.37691112291742</v>
      </c>
      <c r="BX118">
        <v>-0.19362061666563071</v>
      </c>
      <c r="BY118" t="str">
        <f t="shared" si="5"/>
        <v>[[sv,wv],[yr],[ya]]</v>
      </c>
      <c r="BZ118" t="str">
        <f>SUBSTITUTE(TRIM(MID(SUBSTITUTE(SUBSTITUTE(SUBSTITUTE(Tabla1[[#This Row],[map]],"[",""),"]",""),",",REPT(" ",100)),901,200))," ",", ")</f>
        <v>2, 4</v>
      </c>
      <c r="CA118" t="str">
        <f>SUBSTITUTE(TRIM(MID(SUBSTITUTE(SUBSTITUTE(SUBSTITUTE(Tabla1[[#This Row],[map]],"[",""),"]",""),",",REPT(" ",100)),1501,200))," ",", ")</f>
        <v>3, 4</v>
      </c>
      <c r="CB118" t="str">
        <f>SUBSTITUTE(TRIM(MID(SUBSTITUTE(SUBSTITUTE(SUBSTITUTE(Tabla1[[#This Row],[map]],"[",""),"]",""),",",REPT(" ",100)),601,300))," ",", ")</f>
        <v>0, 1, 3</v>
      </c>
      <c r="CC118" t="str">
        <f>SUBSTITUTE(TRIM(MID(SUBSTITUTE(SUBSTITUTE(SUBSTITUTE(Tabla1[[#This Row],[map]],"[",""),"]",""),",",REPT(" ",100)),1201,300))," ",", ")</f>
        <v>2, 0, 1</v>
      </c>
      <c r="CD118" t="str">
        <f>SUBSTITUTE(TRIM(MID(SUBSTITUTE(SUBSTITUTE(SUBSTITUTE(Tabla1[[#This Row],[map]],"[",""),"]",""),",",REPT(" ",100)),1,300))," ",", ")</f>
        <v>4, 2, 3</v>
      </c>
      <c r="CE118" t="str">
        <f>SUBSTITUTE(TRIM(MID(SUBSTITUTE(SUBSTITUTE(SUBSTITUTE(Tabla1[[#This Row],[map]],"[",""),"]",""),",",REPT(" ",100)),1,600))," ",", ")</f>
        <v>4, 2, 3, 0, 1, -1</v>
      </c>
      <c r="CF118" t="str">
        <f>SUBSTITUTE(TRIM(MID(SUBSTITUTE(SUBSTITUTE(SUBSTITUTE(Tabla1[[#This Row],[map]],"[",""),"]",""),",",REPT(" ",100)),601,600))," ",", ")</f>
        <v>0, 1, 3, 2, 4, -1</v>
      </c>
      <c r="CG118" t="str">
        <f>SUBSTITUTE(TRIM(MID(SUBSTITUTE(SUBSTITUTE(SUBSTITUTE(Tabla1[[#This Row],[map]],"[",""),"]",""),",",REPT(" ",100)),1201,600))," ",", ")</f>
        <v>2, 0, 1, 3, 4, -1</v>
      </c>
    </row>
    <row r="119" spans="1:85" x14ac:dyDescent="0.3">
      <c r="A119" s="1">
        <v>46097.656828703701</v>
      </c>
      <c r="B119" t="s">
        <v>283</v>
      </c>
      <c r="C119">
        <v>3</v>
      </c>
      <c r="D119" t="s">
        <v>96</v>
      </c>
      <c r="E119" t="s">
        <v>78</v>
      </c>
      <c r="F119">
        <v>16590</v>
      </c>
      <c r="G119">
        <v>4.5</v>
      </c>
      <c r="H119" t="s">
        <v>79</v>
      </c>
      <c r="I119" t="s">
        <v>80</v>
      </c>
      <c r="J119">
        <v>5</v>
      </c>
      <c r="K119">
        <v>5</v>
      </c>
      <c r="L119" t="s">
        <v>81</v>
      </c>
      <c r="M119" t="s">
        <v>82</v>
      </c>
      <c r="N119" t="s">
        <v>83</v>
      </c>
      <c r="O119" t="s">
        <v>83</v>
      </c>
      <c r="P119" t="s">
        <v>84</v>
      </c>
      <c r="Q119" t="s">
        <v>279</v>
      </c>
      <c r="R119">
        <v>3</v>
      </c>
      <c r="S119" t="s">
        <v>86</v>
      </c>
      <c r="T119" t="s">
        <v>87</v>
      </c>
      <c r="U119" t="s">
        <v>88</v>
      </c>
      <c r="V119">
        <v>1</v>
      </c>
      <c r="W119" t="s">
        <v>280</v>
      </c>
      <c r="X119" t="s">
        <v>83</v>
      </c>
      <c r="Y119" t="s">
        <v>90</v>
      </c>
      <c r="Z119">
        <v>4000</v>
      </c>
      <c r="AA119">
        <v>4000</v>
      </c>
      <c r="AC119">
        <v>256</v>
      </c>
      <c r="AD119" t="s">
        <v>91</v>
      </c>
      <c r="AE119">
        <v>0.15</v>
      </c>
      <c r="AF119" t="s">
        <v>92</v>
      </c>
      <c r="AG119">
        <v>180</v>
      </c>
      <c r="AH119">
        <v>60</v>
      </c>
      <c r="AI119">
        <v>120</v>
      </c>
      <c r="AJ119">
        <v>0.12972528868627661</v>
      </c>
      <c r="AK119">
        <v>43.110519288239679</v>
      </c>
      <c r="AL119">
        <v>0.52785487627881678</v>
      </c>
      <c r="AM119">
        <v>1.149067741906709E-2</v>
      </c>
      <c r="AN119">
        <v>51.295878742334239</v>
      </c>
      <c r="AO119">
        <v>0.51284899418100904</v>
      </c>
      <c r="AP119">
        <v>51.295878742334239</v>
      </c>
      <c r="AQ119">
        <v>51.295878742334239</v>
      </c>
      <c r="AR119">
        <v>0.51284899418100904</v>
      </c>
      <c r="AS119">
        <v>133.69516890703301</v>
      </c>
      <c r="AT119">
        <v>1.0186011290413971E-2</v>
      </c>
      <c r="AU119">
        <v>0.8</v>
      </c>
      <c r="AV119" t="s">
        <v>93</v>
      </c>
      <c r="AW119">
        <v>0.1171029620450753</v>
      </c>
      <c r="AX119">
        <v>0.1496810862784167</v>
      </c>
      <c r="AY119">
        <v>0.1171029620450753</v>
      </c>
      <c r="AZ119">
        <v>0.1171029620450753</v>
      </c>
      <c r="BA119">
        <v>0.1496810862784167</v>
      </c>
      <c r="BB119">
        <v>0.14087675591777221</v>
      </c>
      <c r="BC119">
        <v>-2.2947395767077161E-2</v>
      </c>
      <c r="BD119">
        <v>8.594588363048733E-2</v>
      </c>
      <c r="BE119">
        <v>0.7022158697150096</v>
      </c>
      <c r="BF119">
        <v>8.594588363048733E-2</v>
      </c>
      <c r="BG119">
        <v>8.594588363048733E-2</v>
      </c>
      <c r="BH119">
        <v>0.7022158697150096</v>
      </c>
      <c r="BI119">
        <v>0.13060809036184301</v>
      </c>
      <c r="BJ119">
        <v>0.54747086243478371</v>
      </c>
      <c r="BK119">
        <v>5.411247031284936E-2</v>
      </c>
      <c r="BL119">
        <v>0.78275554757134547</v>
      </c>
      <c r="BM119">
        <v>5.411247031284936E-2</v>
      </c>
      <c r="BN119">
        <v>5.411247031284936E-2</v>
      </c>
      <c r="BO119">
        <v>0.78275554757134547</v>
      </c>
      <c r="BP119">
        <v>0.23990803122530979</v>
      </c>
      <c r="BQ119">
        <v>3.684513799764455E-2</v>
      </c>
      <c r="BR119">
        <v>204.9263536533488</v>
      </c>
      <c r="BS119">
        <v>0.41674347315926302</v>
      </c>
      <c r="BT119">
        <v>204.9263536533488</v>
      </c>
      <c r="BU119">
        <v>204.9263536533488</v>
      </c>
      <c r="BV119">
        <v>0.41674347315926302</v>
      </c>
      <c r="BW119">
        <v>534.26928275062676</v>
      </c>
      <c r="BX119">
        <v>-0.5206245595036969</v>
      </c>
      <c r="BY119" t="str">
        <f t="shared" si="5"/>
        <v>[[sv,wv],[yr],[ya]]</v>
      </c>
      <c r="BZ119" t="str">
        <f>SUBSTITUTE(TRIM(MID(SUBSTITUTE(SUBSTITUTE(SUBSTITUTE(Tabla1[[#This Row],[map]],"[",""),"]",""),",",REPT(" ",100)),901,200))," ",", ")</f>
        <v>2, 4</v>
      </c>
      <c r="CA119" t="str">
        <f>SUBSTITUTE(TRIM(MID(SUBSTITUTE(SUBSTITUTE(SUBSTITUTE(Tabla1[[#This Row],[map]],"[",""),"]",""),",",REPT(" ",100)),1501,200))," ",", ")</f>
        <v>3, 4</v>
      </c>
      <c r="CB119" t="str">
        <f>SUBSTITUTE(TRIM(MID(SUBSTITUTE(SUBSTITUTE(SUBSTITUTE(Tabla1[[#This Row],[map]],"[",""),"]",""),",",REPT(" ",100)),601,300))," ",", ")</f>
        <v>0, 1, 3</v>
      </c>
      <c r="CC119" t="str">
        <f>SUBSTITUTE(TRIM(MID(SUBSTITUTE(SUBSTITUTE(SUBSTITUTE(Tabla1[[#This Row],[map]],"[",""),"]",""),",",REPT(" ",100)),1201,300))," ",", ")</f>
        <v>2, 0, 1</v>
      </c>
      <c r="CD119" t="str">
        <f>SUBSTITUTE(TRIM(MID(SUBSTITUTE(SUBSTITUTE(SUBSTITUTE(Tabla1[[#This Row],[map]],"[",""),"]",""),",",REPT(" ",100)),1,300))," ",", ")</f>
        <v>4, 2, 3</v>
      </c>
      <c r="CE119" t="str">
        <f>SUBSTITUTE(TRIM(MID(SUBSTITUTE(SUBSTITUTE(SUBSTITUTE(Tabla1[[#This Row],[map]],"[",""),"]",""),",",REPT(" ",100)),1,600))," ",", ")</f>
        <v>4, 2, 3, 0, 1, -1</v>
      </c>
      <c r="CF119" t="str">
        <f>SUBSTITUTE(TRIM(MID(SUBSTITUTE(SUBSTITUTE(SUBSTITUTE(Tabla1[[#This Row],[map]],"[",""),"]",""),",",REPT(" ",100)),601,600))," ",", ")</f>
        <v>0, 1, 3, 2, 4, -1</v>
      </c>
      <c r="CG119" t="str">
        <f>SUBSTITUTE(TRIM(MID(SUBSTITUTE(SUBSTITUTE(SUBSTITUTE(Tabla1[[#This Row],[map]],"[",""),"]",""),",",REPT(" ",100)),1201,600))," ",", ")</f>
        <v>2, 0, 1, 3, 4, -1</v>
      </c>
    </row>
    <row r="120" spans="1:85" x14ac:dyDescent="0.3">
      <c r="A120" s="1">
        <v>46097.73846064815</v>
      </c>
      <c r="B120" t="s">
        <v>284</v>
      </c>
      <c r="C120">
        <v>4</v>
      </c>
      <c r="D120" t="s">
        <v>96</v>
      </c>
      <c r="E120" t="s">
        <v>78</v>
      </c>
      <c r="F120">
        <v>16590</v>
      </c>
      <c r="G120">
        <v>4.5</v>
      </c>
      <c r="H120" t="s">
        <v>79</v>
      </c>
      <c r="I120" t="s">
        <v>80</v>
      </c>
      <c r="J120">
        <v>5</v>
      </c>
      <c r="K120">
        <v>5</v>
      </c>
      <c r="L120" t="s">
        <v>81</v>
      </c>
      <c r="M120" t="s">
        <v>82</v>
      </c>
      <c r="N120" t="s">
        <v>83</v>
      </c>
      <c r="O120" t="s">
        <v>83</v>
      </c>
      <c r="P120" t="s">
        <v>84</v>
      </c>
      <c r="Q120" t="s">
        <v>99</v>
      </c>
      <c r="R120">
        <v>3</v>
      </c>
      <c r="S120" t="s">
        <v>86</v>
      </c>
      <c r="T120" t="s">
        <v>87</v>
      </c>
      <c r="U120" t="s">
        <v>88</v>
      </c>
      <c r="V120">
        <v>1</v>
      </c>
      <c r="W120" t="s">
        <v>100</v>
      </c>
      <c r="X120" t="s">
        <v>83</v>
      </c>
      <c r="Y120" t="s">
        <v>90</v>
      </c>
      <c r="Z120">
        <v>4000</v>
      </c>
      <c r="AA120">
        <v>4000</v>
      </c>
      <c r="AC120">
        <v>256</v>
      </c>
      <c r="AD120" t="s">
        <v>91</v>
      </c>
      <c r="AE120">
        <v>0.15</v>
      </c>
      <c r="AF120" t="s">
        <v>92</v>
      </c>
      <c r="AG120">
        <v>180</v>
      </c>
      <c r="AH120">
        <v>60</v>
      </c>
      <c r="AI120">
        <v>120</v>
      </c>
      <c r="AJ120">
        <v>9.7121170147715291E-2</v>
      </c>
      <c r="AK120">
        <v>15.93157882131584</v>
      </c>
      <c r="AL120">
        <v>0.78962246628869703</v>
      </c>
      <c r="AM120">
        <v>-0.45717029142654048</v>
      </c>
      <c r="AN120">
        <v>21.664952719872669</v>
      </c>
      <c r="AO120">
        <v>0.71283450894411993</v>
      </c>
      <c r="AP120">
        <v>21.664952719872669</v>
      </c>
      <c r="AQ120">
        <v>21.664952719872669</v>
      </c>
      <c r="AR120">
        <v>0.71283450894411993</v>
      </c>
      <c r="AS120">
        <v>106.75535197726521</v>
      </c>
      <c r="AT120">
        <v>-0.34096691049445438</v>
      </c>
      <c r="AU120">
        <v>0.8</v>
      </c>
      <c r="AV120" t="s">
        <v>93</v>
      </c>
      <c r="AW120">
        <v>6.6401971521510755E-2</v>
      </c>
      <c r="AX120">
        <v>0.51783583175796344</v>
      </c>
      <c r="AY120">
        <v>6.6401971521510755E-2</v>
      </c>
      <c r="AZ120">
        <v>6.6401971521510755E-2</v>
      </c>
      <c r="BA120">
        <v>0.51783583175796344</v>
      </c>
      <c r="BB120">
        <v>0.23451752563676079</v>
      </c>
      <c r="BC120">
        <v>-0.70290045755943553</v>
      </c>
      <c r="BD120">
        <v>4.6174724849547488E-2</v>
      </c>
      <c r="BE120">
        <v>0.84001444048690077</v>
      </c>
      <c r="BF120">
        <v>4.6174724849547488E-2</v>
      </c>
      <c r="BG120">
        <v>4.6174724849547488E-2</v>
      </c>
      <c r="BH120">
        <v>0.84001444048690077</v>
      </c>
      <c r="BI120">
        <v>0.33527898109192489</v>
      </c>
      <c r="BJ120">
        <v>-0.16167005992455019</v>
      </c>
      <c r="BK120">
        <v>6.4853960324501983E-2</v>
      </c>
      <c r="BL120">
        <v>0.73963186272831172</v>
      </c>
      <c r="BM120">
        <v>6.4853960324501983E-2</v>
      </c>
      <c r="BN120">
        <v>6.4853960324501983E-2</v>
      </c>
      <c r="BO120">
        <v>0.73963186272831172</v>
      </c>
      <c r="BP120">
        <v>0.32043687131318238</v>
      </c>
      <c r="BQ120">
        <v>-0.2864526835296497</v>
      </c>
      <c r="BR120">
        <v>86.482380222795243</v>
      </c>
      <c r="BS120">
        <v>0.75385590080330145</v>
      </c>
      <c r="BT120">
        <v>86.482380222795243</v>
      </c>
      <c r="BU120">
        <v>86.482380222795243</v>
      </c>
      <c r="BV120">
        <v>0.75385590080330145</v>
      </c>
      <c r="BW120">
        <v>426.13117453102029</v>
      </c>
      <c r="BX120">
        <v>-0.21284444096419591</v>
      </c>
      <c r="BY120" t="str">
        <f t="shared" si="5"/>
        <v>[[sv,wv],[yr],[ya]]</v>
      </c>
      <c r="BZ120" t="str">
        <f>SUBSTITUTE(TRIM(MID(SUBSTITUTE(SUBSTITUTE(SUBSTITUTE(Tabla1[[#This Row],[map]],"[",""),"]",""),",",REPT(" ",100)),901,200))," ",", ")</f>
        <v>2, 3</v>
      </c>
      <c r="CA120" t="str">
        <f>SUBSTITUTE(TRIM(MID(SUBSTITUTE(SUBSTITUTE(SUBSTITUTE(Tabla1[[#This Row],[map]],"[",""),"]",""),",",REPT(" ",100)),1501,200))," ",", ")</f>
        <v>3, 2</v>
      </c>
      <c r="CB120" t="str">
        <f>SUBSTITUTE(TRIM(MID(SUBSTITUTE(SUBSTITUTE(SUBSTITUTE(Tabla1[[#This Row],[map]],"[",""),"]",""),",",REPT(" ",100)),601,300))," ",", ")</f>
        <v>4, 0, 1</v>
      </c>
      <c r="CC120" t="str">
        <f>SUBSTITUTE(TRIM(MID(SUBSTITUTE(SUBSTITUTE(SUBSTITUTE(Tabla1[[#This Row],[map]],"[",""),"]",""),",",REPT(" ",100)),1201,300))," ",", ")</f>
        <v>0, 1, 4</v>
      </c>
      <c r="CD120" t="str">
        <f>SUBSTITUTE(TRIM(MID(SUBSTITUTE(SUBSTITUTE(SUBSTITUTE(Tabla1[[#This Row],[map]],"[",""),"]",""),",",REPT(" ",100)),1,300))," ",", ")</f>
        <v>2, 3, 4</v>
      </c>
      <c r="CE120" t="str">
        <f>SUBSTITUTE(TRIM(MID(SUBSTITUTE(SUBSTITUTE(SUBSTITUTE(Tabla1[[#This Row],[map]],"[",""),"]",""),",",REPT(" ",100)),1,600))," ",", ")</f>
        <v>2, 3, 4, 0, 1, -1</v>
      </c>
      <c r="CF120" t="str">
        <f>SUBSTITUTE(TRIM(MID(SUBSTITUTE(SUBSTITUTE(SUBSTITUTE(Tabla1[[#This Row],[map]],"[",""),"]",""),",",REPT(" ",100)),601,600))," ",", ")</f>
        <v>4, 0, 1, 2, 3, -1</v>
      </c>
      <c r="CG120" t="str">
        <f>SUBSTITUTE(TRIM(MID(SUBSTITUTE(SUBSTITUTE(SUBSTITUTE(Tabla1[[#This Row],[map]],"[",""),"]",""),",",REPT(" ",100)),1201,600))," ",", ")</f>
        <v>0, 1, 4, 3, 2, -1</v>
      </c>
    </row>
    <row r="121" spans="1:85" x14ac:dyDescent="0.3">
      <c r="A121" s="1">
        <v>46097.739120370366</v>
      </c>
      <c r="B121" t="s">
        <v>285</v>
      </c>
      <c r="C121">
        <v>5</v>
      </c>
      <c r="D121" t="s">
        <v>96</v>
      </c>
      <c r="E121" t="s">
        <v>78</v>
      </c>
      <c r="F121">
        <v>16590</v>
      </c>
      <c r="G121">
        <v>4.5</v>
      </c>
      <c r="H121" t="s">
        <v>79</v>
      </c>
      <c r="I121" t="s">
        <v>80</v>
      </c>
      <c r="J121">
        <v>5</v>
      </c>
      <c r="K121">
        <v>5</v>
      </c>
      <c r="L121" t="s">
        <v>81</v>
      </c>
      <c r="M121" t="s">
        <v>82</v>
      </c>
      <c r="N121" t="s">
        <v>83</v>
      </c>
      <c r="O121" t="s">
        <v>83</v>
      </c>
      <c r="P121" t="s">
        <v>84</v>
      </c>
      <c r="Q121" t="s">
        <v>99</v>
      </c>
      <c r="R121">
        <v>3</v>
      </c>
      <c r="S121" t="s">
        <v>86</v>
      </c>
      <c r="T121" t="s">
        <v>87</v>
      </c>
      <c r="U121" t="s">
        <v>88</v>
      </c>
      <c r="V121">
        <v>1</v>
      </c>
      <c r="W121" t="s">
        <v>100</v>
      </c>
      <c r="X121" t="s">
        <v>83</v>
      </c>
      <c r="Y121" t="s">
        <v>90</v>
      </c>
      <c r="Z121">
        <v>4000</v>
      </c>
      <c r="AA121">
        <v>4000</v>
      </c>
      <c r="AC121">
        <v>256</v>
      </c>
      <c r="AD121" t="s">
        <v>91</v>
      </c>
      <c r="AE121">
        <v>0.15</v>
      </c>
      <c r="AF121" t="s">
        <v>92</v>
      </c>
      <c r="AG121">
        <v>180</v>
      </c>
      <c r="AH121">
        <v>60</v>
      </c>
      <c r="AI121">
        <v>120</v>
      </c>
      <c r="AJ121">
        <v>0.10388194665469801</v>
      </c>
      <c r="AK121">
        <v>21.88422102652348</v>
      </c>
      <c r="AL121">
        <v>0.76825421887944478</v>
      </c>
      <c r="AM121">
        <v>0.36388036678558461</v>
      </c>
      <c r="AN121">
        <v>25.834848520538731</v>
      </c>
      <c r="AO121">
        <v>0.70800959737339664</v>
      </c>
      <c r="AP121">
        <v>25.834848520538731</v>
      </c>
      <c r="AQ121">
        <v>25.834848520538731</v>
      </c>
      <c r="AR121">
        <v>0.70800959737339664</v>
      </c>
      <c r="AS121">
        <v>48.466383778668558</v>
      </c>
      <c r="AT121">
        <v>0.370721304751506</v>
      </c>
      <c r="AU121">
        <v>0.8</v>
      </c>
      <c r="AV121" t="s">
        <v>93</v>
      </c>
      <c r="AW121">
        <v>6.5819241243498805E-2</v>
      </c>
      <c r="AX121">
        <v>0.52206720702241716</v>
      </c>
      <c r="AY121">
        <v>6.5819241243498805E-2</v>
      </c>
      <c r="AZ121">
        <v>6.5819241243498805E-2</v>
      </c>
      <c r="BA121">
        <v>0.52206720702241716</v>
      </c>
      <c r="BB121">
        <v>0.18311021352307941</v>
      </c>
      <c r="BC121">
        <v>-0.32961690409111138</v>
      </c>
      <c r="BD121">
        <v>6.3732597571422051E-2</v>
      </c>
      <c r="BE121">
        <v>0.77918016155136716</v>
      </c>
      <c r="BF121">
        <v>6.3732597571422051E-2</v>
      </c>
      <c r="BG121">
        <v>6.3732597571422051E-2</v>
      </c>
      <c r="BH121">
        <v>0.77918016155136716</v>
      </c>
      <c r="BI121">
        <v>0.104360528570656</v>
      </c>
      <c r="BJ121">
        <v>0.63841305803421999</v>
      </c>
      <c r="BK121">
        <v>4.3734466639787382E-2</v>
      </c>
      <c r="BL121">
        <v>0.82441994973635913</v>
      </c>
      <c r="BM121">
        <v>4.3734466639787382E-2</v>
      </c>
      <c r="BN121">
        <v>4.3734466639787382E-2</v>
      </c>
      <c r="BO121">
        <v>0.82441994973635913</v>
      </c>
      <c r="BP121">
        <v>6.8535587088606395E-2</v>
      </c>
      <c r="BQ121">
        <v>0.72485129577599094</v>
      </c>
      <c r="BR121">
        <v>103.1661077767</v>
      </c>
      <c r="BS121">
        <v>0.70637107118344555</v>
      </c>
      <c r="BT121">
        <v>103.1661077767</v>
      </c>
      <c r="BU121">
        <v>103.1661077767</v>
      </c>
      <c r="BV121">
        <v>0.70637107118344555</v>
      </c>
      <c r="BW121">
        <v>193.50952878549251</v>
      </c>
      <c r="BX121">
        <v>0.44923776928692938</v>
      </c>
      <c r="BY121" t="str">
        <f t="shared" si="5"/>
        <v>[[sv,wv],[yr],[ya]]</v>
      </c>
      <c r="BZ121" t="str">
        <f>SUBSTITUTE(TRIM(MID(SUBSTITUTE(SUBSTITUTE(SUBSTITUTE(Tabla1[[#This Row],[map]],"[",""),"]",""),",",REPT(" ",100)),901,200))," ",", ")</f>
        <v>2, 3</v>
      </c>
      <c r="CA121" t="str">
        <f>SUBSTITUTE(TRIM(MID(SUBSTITUTE(SUBSTITUTE(SUBSTITUTE(Tabla1[[#This Row],[map]],"[",""),"]",""),",",REPT(" ",100)),1501,200))," ",", ")</f>
        <v>3, 2</v>
      </c>
      <c r="CB121" t="str">
        <f>SUBSTITUTE(TRIM(MID(SUBSTITUTE(SUBSTITUTE(SUBSTITUTE(Tabla1[[#This Row],[map]],"[",""),"]",""),",",REPT(" ",100)),601,300))," ",", ")</f>
        <v>4, 0, 1</v>
      </c>
      <c r="CC121" t="str">
        <f>SUBSTITUTE(TRIM(MID(SUBSTITUTE(SUBSTITUTE(SUBSTITUTE(Tabla1[[#This Row],[map]],"[",""),"]",""),",",REPT(" ",100)),1201,300))," ",", ")</f>
        <v>0, 1, 4</v>
      </c>
      <c r="CD121" t="str">
        <f>SUBSTITUTE(TRIM(MID(SUBSTITUTE(SUBSTITUTE(SUBSTITUTE(Tabla1[[#This Row],[map]],"[",""),"]",""),",",REPT(" ",100)),1,300))," ",", ")</f>
        <v>2, 3, 4</v>
      </c>
      <c r="CE121" t="str">
        <f>SUBSTITUTE(TRIM(MID(SUBSTITUTE(SUBSTITUTE(SUBSTITUTE(Tabla1[[#This Row],[map]],"[",""),"]",""),",",REPT(" ",100)),1,600))," ",", ")</f>
        <v>2, 3, 4, 0, 1, -1</v>
      </c>
      <c r="CF121" t="str">
        <f>SUBSTITUTE(TRIM(MID(SUBSTITUTE(SUBSTITUTE(SUBSTITUTE(Tabla1[[#This Row],[map]],"[",""),"]",""),",",REPT(" ",100)),601,600))," ",", ")</f>
        <v>4, 0, 1, 2, 3, -1</v>
      </c>
      <c r="CG121" t="str">
        <f>SUBSTITUTE(TRIM(MID(SUBSTITUTE(SUBSTITUTE(SUBSTITUTE(Tabla1[[#This Row],[map]],"[",""),"]",""),",",REPT(" ",100)),1201,600))," ",", ")</f>
        <v>0, 1, 4, 3, 2, -1</v>
      </c>
    </row>
    <row r="122" spans="1:85" x14ac:dyDescent="0.3">
      <c r="A122" s="1">
        <v>46097.807037037041</v>
      </c>
      <c r="B122" t="s">
        <v>286</v>
      </c>
      <c r="C122">
        <v>0</v>
      </c>
      <c r="D122" t="s">
        <v>96</v>
      </c>
      <c r="E122" t="s">
        <v>78</v>
      </c>
      <c r="F122">
        <v>16590</v>
      </c>
      <c r="G122">
        <v>4.5</v>
      </c>
      <c r="H122" t="s">
        <v>79</v>
      </c>
      <c r="I122" t="s">
        <v>80</v>
      </c>
      <c r="J122">
        <v>5</v>
      </c>
      <c r="K122">
        <v>5</v>
      </c>
      <c r="L122" t="s">
        <v>81</v>
      </c>
      <c r="M122" t="s">
        <v>82</v>
      </c>
      <c r="N122" t="s">
        <v>83</v>
      </c>
      <c r="O122" t="s">
        <v>83</v>
      </c>
      <c r="P122" t="s">
        <v>84</v>
      </c>
      <c r="Q122" t="s">
        <v>287</v>
      </c>
      <c r="R122">
        <v>3</v>
      </c>
      <c r="S122" t="s">
        <v>86</v>
      </c>
      <c r="T122" t="s">
        <v>87</v>
      </c>
      <c r="U122" t="s">
        <v>88</v>
      </c>
      <c r="V122">
        <v>1</v>
      </c>
      <c r="W122" t="s">
        <v>288</v>
      </c>
      <c r="X122" t="s">
        <v>83</v>
      </c>
      <c r="Y122" t="s">
        <v>90</v>
      </c>
      <c r="Z122">
        <v>4000</v>
      </c>
      <c r="AA122">
        <v>4000</v>
      </c>
      <c r="AC122">
        <v>256</v>
      </c>
      <c r="AD122" t="s">
        <v>91</v>
      </c>
      <c r="AE122">
        <v>0.15</v>
      </c>
      <c r="AF122" t="s">
        <v>92</v>
      </c>
      <c r="AG122">
        <v>180</v>
      </c>
      <c r="AH122">
        <v>60</v>
      </c>
      <c r="AI122">
        <v>120</v>
      </c>
      <c r="AJ122">
        <v>0.1452414278583492</v>
      </c>
      <c r="AK122">
        <v>51.131261623976499</v>
      </c>
      <c r="AL122">
        <v>0.56462543211149185</v>
      </c>
      <c r="AM122">
        <v>9.8080698505234931E-2</v>
      </c>
      <c r="AN122">
        <v>54.103500641589157</v>
      </c>
      <c r="AO122">
        <v>0.50369508554320663</v>
      </c>
      <c r="AP122">
        <v>54.103500641589157</v>
      </c>
      <c r="AQ122">
        <v>54.103500641589157</v>
      </c>
      <c r="AR122">
        <v>0.50369508554320663</v>
      </c>
      <c r="AS122">
        <v>103.86057785333399</v>
      </c>
      <c r="AT122">
        <v>0.12646778911920911</v>
      </c>
      <c r="AU122">
        <v>0.8</v>
      </c>
      <c r="AV122" t="s">
        <v>93</v>
      </c>
      <c r="AW122">
        <v>8.3115793007511971E-2</v>
      </c>
      <c r="AX122">
        <v>0.39647187749143942</v>
      </c>
      <c r="AY122">
        <v>8.3115793007511971E-2</v>
      </c>
      <c r="AZ122">
        <v>8.3115793007511971E-2</v>
      </c>
      <c r="BA122">
        <v>0.39647187749143942</v>
      </c>
      <c r="BB122">
        <v>0.1052917592319943</v>
      </c>
      <c r="BC122">
        <v>0.23544569009687949</v>
      </c>
      <c r="BD122">
        <v>8.6819693998535355E-2</v>
      </c>
      <c r="BE122">
        <v>0.69918830341989868</v>
      </c>
      <c r="BF122">
        <v>8.6819693998535355E-2</v>
      </c>
      <c r="BG122">
        <v>8.6819693998535355E-2</v>
      </c>
      <c r="BH122">
        <v>0.69918830341989868</v>
      </c>
      <c r="BI122">
        <v>0.1273802906001141</v>
      </c>
      <c r="BJ122">
        <v>0.55865449920921062</v>
      </c>
      <c r="BK122">
        <v>0.11600945997293061</v>
      </c>
      <c r="BL122">
        <v>0.53425871222185295</v>
      </c>
      <c r="BM122">
        <v>0.11600945997293061</v>
      </c>
      <c r="BN122">
        <v>0.11600945997293061</v>
      </c>
      <c r="BO122">
        <v>0.53425871222185295</v>
      </c>
      <c r="BP122">
        <v>0.27580110116108308</v>
      </c>
      <c r="BQ122">
        <v>-0.10725418474809389</v>
      </c>
      <c r="BR122">
        <v>216.12805761937699</v>
      </c>
      <c r="BS122">
        <v>0.38486144903963382</v>
      </c>
      <c r="BT122">
        <v>216.12805761937699</v>
      </c>
      <c r="BU122">
        <v>216.12805761937699</v>
      </c>
      <c r="BV122">
        <v>0.38486144903963382</v>
      </c>
      <c r="BW122">
        <v>414.93383826233998</v>
      </c>
      <c r="BX122">
        <v>-0.1809748480811548</v>
      </c>
      <c r="BY122" t="str">
        <f t="shared" si="5"/>
        <v>[[sv,wv],[yr],[ya]]</v>
      </c>
      <c r="BZ122" t="str">
        <f>SUBSTITUTE(TRIM(MID(SUBSTITUTE(SUBSTITUTE(SUBSTITUTE(Tabla1[[#This Row],[map]],"[",""),"]",""),",",REPT(" ",100)),901,200))," ",", ")</f>
        <v>2, 4</v>
      </c>
      <c r="CA122" t="str">
        <f>SUBSTITUTE(TRIM(MID(SUBSTITUTE(SUBSTITUTE(SUBSTITUTE(Tabla1[[#This Row],[map]],"[",""),"]",""),",",REPT(" ",100)),1501,200))," ",", ")</f>
        <v>3, 2</v>
      </c>
      <c r="CB122" t="str">
        <f>SUBSTITUTE(TRIM(MID(SUBSTITUTE(SUBSTITUTE(SUBSTITUTE(Tabla1[[#This Row],[map]],"[",""),"]",""),",",REPT(" ",100)),601,300))," ",", ")</f>
        <v>3, 0, 1</v>
      </c>
      <c r="CC122" t="str">
        <f>SUBSTITUTE(TRIM(MID(SUBSTITUTE(SUBSTITUTE(SUBSTITUTE(Tabla1[[#This Row],[map]],"[",""),"]",""),",",REPT(" ",100)),1201,300))," ",", ")</f>
        <v>4, 0, 1</v>
      </c>
      <c r="CD122" t="str">
        <f>SUBSTITUTE(TRIM(MID(SUBSTITUTE(SUBSTITUTE(SUBSTITUTE(Tabla1[[#This Row],[map]],"[",""),"]",""),",",REPT(" ",100)),1,300))," ",", ")</f>
        <v>4, 2, 3</v>
      </c>
      <c r="CE122" t="str">
        <f>SUBSTITUTE(TRIM(MID(SUBSTITUTE(SUBSTITUTE(SUBSTITUTE(Tabla1[[#This Row],[map]],"[",""),"]",""),",",REPT(" ",100)),1,600))," ",", ")</f>
        <v>4, 2, 3, 0, 1, -1</v>
      </c>
      <c r="CF122" t="str">
        <f>SUBSTITUTE(TRIM(MID(SUBSTITUTE(SUBSTITUTE(SUBSTITUTE(Tabla1[[#This Row],[map]],"[",""),"]",""),",",REPT(" ",100)),601,600))," ",", ")</f>
        <v>3, 0, 1, 2, 4, -1</v>
      </c>
      <c r="CG122" t="str">
        <f>SUBSTITUTE(TRIM(MID(SUBSTITUTE(SUBSTITUTE(SUBSTITUTE(Tabla1[[#This Row],[map]],"[",""),"]",""),",",REPT(" ",100)),1201,600))," ",", ")</f>
        <v>4, 0, 1, 3, 2, -1</v>
      </c>
    </row>
    <row r="123" spans="1:85" x14ac:dyDescent="0.3">
      <c r="A123" s="1">
        <v>46097.811759259261</v>
      </c>
      <c r="B123" t="s">
        <v>289</v>
      </c>
      <c r="C123">
        <v>2</v>
      </c>
      <c r="D123" t="s">
        <v>96</v>
      </c>
      <c r="E123" t="s">
        <v>78</v>
      </c>
      <c r="F123">
        <v>16590</v>
      </c>
      <c r="G123">
        <v>4.5</v>
      </c>
      <c r="H123" t="s">
        <v>79</v>
      </c>
      <c r="I123" t="s">
        <v>80</v>
      </c>
      <c r="J123">
        <v>5</v>
      </c>
      <c r="K123">
        <v>5</v>
      </c>
      <c r="L123" t="s">
        <v>81</v>
      </c>
      <c r="M123" t="s">
        <v>82</v>
      </c>
      <c r="N123" t="s">
        <v>83</v>
      </c>
      <c r="O123" t="s">
        <v>83</v>
      </c>
      <c r="P123" t="s">
        <v>84</v>
      </c>
      <c r="Q123" t="s">
        <v>287</v>
      </c>
      <c r="R123">
        <v>3</v>
      </c>
      <c r="S123" t="s">
        <v>86</v>
      </c>
      <c r="T123" t="s">
        <v>87</v>
      </c>
      <c r="U123" t="s">
        <v>88</v>
      </c>
      <c r="V123">
        <v>1</v>
      </c>
      <c r="W123" t="s">
        <v>288</v>
      </c>
      <c r="X123" t="s">
        <v>83</v>
      </c>
      <c r="Y123" t="s">
        <v>90</v>
      </c>
      <c r="Z123">
        <v>4000</v>
      </c>
      <c r="AA123">
        <v>4000</v>
      </c>
      <c r="AC123">
        <v>256</v>
      </c>
      <c r="AD123" t="s">
        <v>91</v>
      </c>
      <c r="AE123">
        <v>0.15</v>
      </c>
      <c r="AF123" t="s">
        <v>92</v>
      </c>
      <c r="AG123">
        <v>180</v>
      </c>
      <c r="AH123">
        <v>60</v>
      </c>
      <c r="AI123">
        <v>120</v>
      </c>
      <c r="AJ123">
        <v>0.1255133461506456</v>
      </c>
      <c r="AK123">
        <v>40.54520245233892</v>
      </c>
      <c r="AL123">
        <v>0.64618255080672282</v>
      </c>
      <c r="AM123">
        <v>-5.4812464942691791E-2</v>
      </c>
      <c r="AN123">
        <v>46.756853530654382</v>
      </c>
      <c r="AO123">
        <v>0.57698083939964573</v>
      </c>
      <c r="AP123">
        <v>46.756853530654382</v>
      </c>
      <c r="AQ123">
        <v>46.756853530654382</v>
      </c>
      <c r="AR123">
        <v>0.57698083939964573</v>
      </c>
      <c r="AS123">
        <v>88.575133143693321</v>
      </c>
      <c r="AT123">
        <v>-8.0781409745536326E-2</v>
      </c>
      <c r="AU123">
        <v>0.8</v>
      </c>
      <c r="AV123" t="s">
        <v>93</v>
      </c>
      <c r="AW123">
        <v>7.3850106042519195E-2</v>
      </c>
      <c r="AX123">
        <v>0.4637527450063379</v>
      </c>
      <c r="AY123">
        <v>7.3850106042519195E-2</v>
      </c>
      <c r="AZ123">
        <v>7.3850106042519195E-2</v>
      </c>
      <c r="BA123">
        <v>0.4637527450063379</v>
      </c>
      <c r="BB123">
        <v>0.1219473414319643</v>
      </c>
      <c r="BC123">
        <v>0.1145046283479241</v>
      </c>
      <c r="BD123">
        <v>0.1010695862388572</v>
      </c>
      <c r="BE123">
        <v>0.64981547032782205</v>
      </c>
      <c r="BF123">
        <v>0.1010695862388572</v>
      </c>
      <c r="BG123">
        <v>0.1010695862388572</v>
      </c>
      <c r="BH123">
        <v>0.64981547032782205</v>
      </c>
      <c r="BI123">
        <v>0.26363359816266962</v>
      </c>
      <c r="BJ123">
        <v>8.6565889760366943E-2</v>
      </c>
      <c r="BK123">
        <v>6.8255436270251865E-2</v>
      </c>
      <c r="BL123">
        <v>0.72597601269944678</v>
      </c>
      <c r="BM123">
        <v>6.8255436270251865E-2</v>
      </c>
      <c r="BN123">
        <v>6.8255436270251865E-2</v>
      </c>
      <c r="BO123">
        <v>0.72597601269944678</v>
      </c>
      <c r="BP123">
        <v>0.37810400059545102</v>
      </c>
      <c r="BQ123">
        <v>-0.51796796737511919</v>
      </c>
      <c r="BR123">
        <v>186.78423899406559</v>
      </c>
      <c r="BS123">
        <v>0.46837912956497579</v>
      </c>
      <c r="BT123">
        <v>186.78423899406559</v>
      </c>
      <c r="BU123">
        <v>186.78423899406559</v>
      </c>
      <c r="BV123">
        <v>0.46837912956497579</v>
      </c>
      <c r="BW123">
        <v>353.53684763458318</v>
      </c>
      <c r="BX123">
        <v>-6.2281897153164678E-3</v>
      </c>
      <c r="BY123" t="str">
        <f t="shared" si="5"/>
        <v>[[sv,wv],[yr],[ya]]</v>
      </c>
      <c r="BZ123" t="str">
        <f>SUBSTITUTE(TRIM(MID(SUBSTITUTE(SUBSTITUTE(SUBSTITUTE(Tabla1[[#This Row],[map]],"[",""),"]",""),",",REPT(" ",100)),901,200))," ",", ")</f>
        <v>2, 4</v>
      </c>
      <c r="CA123" t="str">
        <f>SUBSTITUTE(TRIM(MID(SUBSTITUTE(SUBSTITUTE(SUBSTITUTE(Tabla1[[#This Row],[map]],"[",""),"]",""),",",REPT(" ",100)),1501,200))," ",", ")</f>
        <v>3, 2</v>
      </c>
      <c r="CB123" t="str">
        <f>SUBSTITUTE(TRIM(MID(SUBSTITUTE(SUBSTITUTE(SUBSTITUTE(Tabla1[[#This Row],[map]],"[",""),"]",""),",",REPT(" ",100)),601,300))," ",", ")</f>
        <v>3, 0, 1</v>
      </c>
      <c r="CC123" t="str">
        <f>SUBSTITUTE(TRIM(MID(SUBSTITUTE(SUBSTITUTE(SUBSTITUTE(Tabla1[[#This Row],[map]],"[",""),"]",""),",",REPT(" ",100)),1201,300))," ",", ")</f>
        <v>4, 0, 1</v>
      </c>
      <c r="CD123" t="str">
        <f>SUBSTITUTE(TRIM(MID(SUBSTITUTE(SUBSTITUTE(SUBSTITUTE(Tabla1[[#This Row],[map]],"[",""),"]",""),",",REPT(" ",100)),1,300))," ",", ")</f>
        <v>4, 2, 3</v>
      </c>
      <c r="CE123" t="str">
        <f>SUBSTITUTE(TRIM(MID(SUBSTITUTE(SUBSTITUTE(SUBSTITUTE(Tabla1[[#This Row],[map]],"[",""),"]",""),",",REPT(" ",100)),1,600))," ",", ")</f>
        <v>4, 2, 3, 0, 1, -1</v>
      </c>
      <c r="CF123" t="str">
        <f>SUBSTITUTE(TRIM(MID(SUBSTITUTE(SUBSTITUTE(SUBSTITUTE(Tabla1[[#This Row],[map]],"[",""),"]",""),",",REPT(" ",100)),601,600))," ",", ")</f>
        <v>3, 0, 1, 2, 4, -1</v>
      </c>
      <c r="CG123" t="str">
        <f>SUBSTITUTE(TRIM(MID(SUBSTITUTE(SUBSTITUTE(SUBSTITUTE(Tabla1[[#This Row],[map]],"[",""),"]",""),",",REPT(" ",100)),1201,600))," ",", ")</f>
        <v>4, 0, 1, 3, 2, -1</v>
      </c>
    </row>
    <row r="124" spans="1:85" x14ac:dyDescent="0.3">
      <c r="A124" s="1">
        <v>46097.811932870369</v>
      </c>
      <c r="B124" t="s">
        <v>290</v>
      </c>
      <c r="C124">
        <v>1</v>
      </c>
      <c r="D124" t="s">
        <v>96</v>
      </c>
      <c r="E124" t="s">
        <v>78</v>
      </c>
      <c r="F124">
        <v>16590</v>
      </c>
      <c r="G124">
        <v>4.5</v>
      </c>
      <c r="H124" t="s">
        <v>79</v>
      </c>
      <c r="I124" t="s">
        <v>80</v>
      </c>
      <c r="J124">
        <v>5</v>
      </c>
      <c r="K124">
        <v>5</v>
      </c>
      <c r="L124" t="s">
        <v>81</v>
      </c>
      <c r="M124" t="s">
        <v>82</v>
      </c>
      <c r="N124" t="s">
        <v>83</v>
      </c>
      <c r="O124" t="s">
        <v>83</v>
      </c>
      <c r="P124" t="s">
        <v>84</v>
      </c>
      <c r="Q124" t="s">
        <v>287</v>
      </c>
      <c r="R124">
        <v>3</v>
      </c>
      <c r="S124" t="s">
        <v>86</v>
      </c>
      <c r="T124" t="s">
        <v>87</v>
      </c>
      <c r="U124" t="s">
        <v>88</v>
      </c>
      <c r="V124">
        <v>1</v>
      </c>
      <c r="W124" t="s">
        <v>288</v>
      </c>
      <c r="X124" t="s">
        <v>83</v>
      </c>
      <c r="Y124" t="s">
        <v>90</v>
      </c>
      <c r="Z124">
        <v>4000</v>
      </c>
      <c r="AA124">
        <v>4000</v>
      </c>
      <c r="AC124">
        <v>256</v>
      </c>
      <c r="AD124" t="s">
        <v>91</v>
      </c>
      <c r="AE124">
        <v>0.15</v>
      </c>
      <c r="AF124" t="s">
        <v>92</v>
      </c>
      <c r="AG124">
        <v>180</v>
      </c>
      <c r="AH124">
        <v>60</v>
      </c>
      <c r="AI124">
        <v>120</v>
      </c>
      <c r="AJ124">
        <v>0.13327361225733561</v>
      </c>
      <c r="AK124">
        <v>41.822827074885723</v>
      </c>
      <c r="AL124">
        <v>0.62556528615393503</v>
      </c>
      <c r="AM124">
        <v>-0.34088768869524899</v>
      </c>
      <c r="AN124">
        <v>46.56553293578655</v>
      </c>
      <c r="AO124">
        <v>0.56397766895666201</v>
      </c>
      <c r="AP124">
        <v>46.56553293578655</v>
      </c>
      <c r="AQ124">
        <v>46.56553293578655</v>
      </c>
      <c r="AR124">
        <v>0.56397766895666201</v>
      </c>
      <c r="AS124">
        <v>121.7396482164813</v>
      </c>
      <c r="AT124">
        <v>-0.34971546360110228</v>
      </c>
      <c r="AU124">
        <v>0.8</v>
      </c>
      <c r="AV124" t="s">
        <v>93</v>
      </c>
      <c r="AW124">
        <v>7.5669901631100669E-2</v>
      </c>
      <c r="AX124">
        <v>0.45053867611299681</v>
      </c>
      <c r="AY124">
        <v>7.5669901631100669E-2</v>
      </c>
      <c r="AZ124">
        <v>7.5669901631100669E-2</v>
      </c>
      <c r="BA124">
        <v>0.45053867611299681</v>
      </c>
      <c r="BB124">
        <v>0.17199806323511349</v>
      </c>
      <c r="BC124">
        <v>-0.24892832545091451</v>
      </c>
      <c r="BD124">
        <v>0.1155801942489703</v>
      </c>
      <c r="BE124">
        <v>0.59953931277761763</v>
      </c>
      <c r="BF124">
        <v>0.1155801942489703</v>
      </c>
      <c r="BG124">
        <v>0.1155801942489703</v>
      </c>
      <c r="BH124">
        <v>0.59953931277761763</v>
      </c>
      <c r="BI124">
        <v>0.1080100634792933</v>
      </c>
      <c r="BJ124">
        <v>0.62576819905079639</v>
      </c>
      <c r="BK124">
        <v>6.5949027583893219E-2</v>
      </c>
      <c r="BL124">
        <v>0.7352355140537159</v>
      </c>
      <c r="BM124">
        <v>6.5949027583893219E-2</v>
      </c>
      <c r="BN124">
        <v>6.5949027583893219E-2</v>
      </c>
      <c r="BO124">
        <v>0.7352355140537159</v>
      </c>
      <c r="BP124">
        <v>0.59586876869087535</v>
      </c>
      <c r="BQ124">
        <v>-1.392224631867292</v>
      </c>
      <c r="BR124">
        <v>186.00493261968299</v>
      </c>
      <c r="BS124">
        <v>0.47059717288231367</v>
      </c>
      <c r="BT124">
        <v>186.00493261968299</v>
      </c>
      <c r="BU124">
        <v>186.00493261968299</v>
      </c>
      <c r="BV124">
        <v>0.47059717288231367</v>
      </c>
      <c r="BW124">
        <v>486.08271597051788</v>
      </c>
      <c r="BX124">
        <v>-0.38347709613698949</v>
      </c>
      <c r="BY124" t="str">
        <f t="shared" si="5"/>
        <v>[[sv,wv],[yr],[ya]]</v>
      </c>
      <c r="BZ124" t="str">
        <f>SUBSTITUTE(TRIM(MID(SUBSTITUTE(SUBSTITUTE(SUBSTITUTE(Tabla1[[#This Row],[map]],"[",""),"]",""),",",REPT(" ",100)),901,200))," ",", ")</f>
        <v>2, 4</v>
      </c>
      <c r="CA124" t="str">
        <f>SUBSTITUTE(TRIM(MID(SUBSTITUTE(SUBSTITUTE(SUBSTITUTE(Tabla1[[#This Row],[map]],"[",""),"]",""),",",REPT(" ",100)),1501,200))," ",", ")</f>
        <v>3, 2</v>
      </c>
      <c r="CB124" t="str">
        <f>SUBSTITUTE(TRIM(MID(SUBSTITUTE(SUBSTITUTE(SUBSTITUTE(Tabla1[[#This Row],[map]],"[",""),"]",""),",",REPT(" ",100)),601,300))," ",", ")</f>
        <v>3, 0, 1</v>
      </c>
      <c r="CC124" t="str">
        <f>SUBSTITUTE(TRIM(MID(SUBSTITUTE(SUBSTITUTE(SUBSTITUTE(Tabla1[[#This Row],[map]],"[",""),"]",""),",",REPT(" ",100)),1201,300))," ",", ")</f>
        <v>4, 0, 1</v>
      </c>
      <c r="CD124" t="str">
        <f>SUBSTITUTE(TRIM(MID(SUBSTITUTE(SUBSTITUTE(SUBSTITUTE(Tabla1[[#This Row],[map]],"[",""),"]",""),",",REPT(" ",100)),1,300))," ",", ")</f>
        <v>4, 2, 3</v>
      </c>
      <c r="CE124" t="str">
        <f>SUBSTITUTE(TRIM(MID(SUBSTITUTE(SUBSTITUTE(SUBSTITUTE(Tabla1[[#This Row],[map]],"[",""),"]",""),",",REPT(" ",100)),1,600))," ",", ")</f>
        <v>4, 2, 3, 0, 1, -1</v>
      </c>
      <c r="CF124" t="str">
        <f>SUBSTITUTE(TRIM(MID(SUBSTITUTE(SUBSTITUTE(SUBSTITUTE(Tabla1[[#This Row],[map]],"[",""),"]",""),",",REPT(" ",100)),601,600))," ",", ")</f>
        <v>3, 0, 1, 2, 4, -1</v>
      </c>
      <c r="CG124" t="str">
        <f>SUBSTITUTE(TRIM(MID(SUBSTITUTE(SUBSTITUTE(SUBSTITUTE(Tabla1[[#This Row],[map]],"[",""),"]",""),",",REPT(" ",100)),1201,600))," ",", ")</f>
        <v>4, 0, 1, 3, 2, -1</v>
      </c>
    </row>
    <row r="125" spans="1:85" x14ac:dyDescent="0.3">
      <c r="A125" s="1">
        <v>46097.836064814823</v>
      </c>
      <c r="B125" t="s">
        <v>291</v>
      </c>
      <c r="C125">
        <v>3</v>
      </c>
      <c r="D125" t="s">
        <v>77</v>
      </c>
      <c r="E125" t="s">
        <v>78</v>
      </c>
      <c r="F125">
        <v>16590</v>
      </c>
      <c r="G125">
        <v>4.5</v>
      </c>
      <c r="H125" t="s">
        <v>79</v>
      </c>
      <c r="I125" t="s">
        <v>80</v>
      </c>
      <c r="J125">
        <v>5</v>
      </c>
      <c r="K125">
        <v>5</v>
      </c>
      <c r="L125" t="s">
        <v>81</v>
      </c>
      <c r="M125" t="s">
        <v>82</v>
      </c>
      <c r="N125" t="s">
        <v>83</v>
      </c>
      <c r="O125" t="s">
        <v>83</v>
      </c>
      <c r="P125" t="s">
        <v>84</v>
      </c>
      <c r="Q125" t="s">
        <v>287</v>
      </c>
      <c r="R125">
        <v>3</v>
      </c>
      <c r="S125" t="s">
        <v>86</v>
      </c>
      <c r="T125" t="s">
        <v>87</v>
      </c>
      <c r="U125" t="s">
        <v>88</v>
      </c>
      <c r="V125">
        <v>1</v>
      </c>
      <c r="W125" t="s">
        <v>288</v>
      </c>
      <c r="X125" t="s">
        <v>83</v>
      </c>
      <c r="Y125" t="s">
        <v>90</v>
      </c>
      <c r="Z125">
        <v>4000</v>
      </c>
      <c r="AA125">
        <v>4000</v>
      </c>
      <c r="AC125">
        <v>256</v>
      </c>
      <c r="AD125" t="s">
        <v>91</v>
      </c>
      <c r="AE125">
        <v>0.15</v>
      </c>
      <c r="AF125" t="s">
        <v>92</v>
      </c>
      <c r="AG125">
        <v>180</v>
      </c>
      <c r="AH125">
        <v>60</v>
      </c>
      <c r="AI125">
        <v>120</v>
      </c>
      <c r="AJ125">
        <v>0.13941728210615739</v>
      </c>
      <c r="AK125">
        <v>52.956270471826443</v>
      </c>
      <c r="AL125">
        <v>0.56299513111286226</v>
      </c>
      <c r="AM125">
        <v>0.117179538845047</v>
      </c>
      <c r="AN125">
        <v>57.144655682252903</v>
      </c>
      <c r="AO125">
        <v>0.50689140046717851</v>
      </c>
      <c r="AP125">
        <v>57.144655682252903</v>
      </c>
      <c r="AQ125">
        <v>57.144655682252903</v>
      </c>
      <c r="AR125">
        <v>0.50689140046717851</v>
      </c>
      <c r="AS125">
        <v>101.3457314402136</v>
      </c>
      <c r="AT125">
        <v>0.12742786462363659</v>
      </c>
      <c r="AU125">
        <v>0.8</v>
      </c>
      <c r="AV125" t="s">
        <v>93</v>
      </c>
      <c r="AW125">
        <v>8.2616304274254287E-2</v>
      </c>
      <c r="AX125">
        <v>0.40009881151311127</v>
      </c>
      <c r="AY125">
        <v>8.2616304274254287E-2</v>
      </c>
      <c r="AZ125">
        <v>8.2616304274254287E-2</v>
      </c>
      <c r="BA125">
        <v>0.40009881151311127</v>
      </c>
      <c r="BB125">
        <v>9.1171414355738375E-2</v>
      </c>
      <c r="BC125">
        <v>0.33797765091893289</v>
      </c>
      <c r="BD125">
        <v>7.8592293468777857E-2</v>
      </c>
      <c r="BE125">
        <v>0.72769448903075928</v>
      </c>
      <c r="BF125">
        <v>7.8592293468777857E-2</v>
      </c>
      <c r="BG125">
        <v>7.8592293468777857E-2</v>
      </c>
      <c r="BH125">
        <v>0.72769448903075928</v>
      </c>
      <c r="BI125">
        <v>0.17374799850946221</v>
      </c>
      <c r="BJ125">
        <v>0.39800029461161218</v>
      </c>
      <c r="BK125">
        <v>0.11219583800964671</v>
      </c>
      <c r="BL125">
        <v>0.54956919814854599</v>
      </c>
      <c r="BM125">
        <v>0.11219583800964671</v>
      </c>
      <c r="BN125">
        <v>0.11219583800964671</v>
      </c>
      <c r="BO125">
        <v>0.54956919814854599</v>
      </c>
      <c r="BP125">
        <v>0.26751562621327329</v>
      </c>
      <c r="BQ125">
        <v>-7.3990623544146095E-2</v>
      </c>
      <c r="BR125">
        <v>228.3052182932594</v>
      </c>
      <c r="BS125">
        <v>0.35020310317629688</v>
      </c>
      <c r="BT125">
        <v>228.3052182932594</v>
      </c>
      <c r="BU125">
        <v>228.3052182932594</v>
      </c>
      <c r="BV125">
        <v>0.35020310317629688</v>
      </c>
      <c r="BW125">
        <v>404.85049072177509</v>
      </c>
      <c r="BX125">
        <v>-0.15227586349185951</v>
      </c>
      <c r="BY125" t="str">
        <f t="shared" si="5"/>
        <v>[[sv,wv],[yr],[ya]]</v>
      </c>
      <c r="BZ125" t="str">
        <f>SUBSTITUTE(TRIM(MID(SUBSTITUTE(SUBSTITUTE(SUBSTITUTE(Tabla1[[#This Row],[map]],"[",""),"]",""),",",REPT(" ",100)),901,200))," ",", ")</f>
        <v>2, 4</v>
      </c>
      <c r="CA125" t="str">
        <f>SUBSTITUTE(TRIM(MID(SUBSTITUTE(SUBSTITUTE(SUBSTITUTE(Tabla1[[#This Row],[map]],"[",""),"]",""),",",REPT(" ",100)),1501,200))," ",", ")</f>
        <v>3, 2</v>
      </c>
      <c r="CB125" t="str">
        <f>SUBSTITUTE(TRIM(MID(SUBSTITUTE(SUBSTITUTE(SUBSTITUTE(Tabla1[[#This Row],[map]],"[",""),"]",""),",",REPT(" ",100)),601,300))," ",", ")</f>
        <v>3, 0, 1</v>
      </c>
      <c r="CC125" t="str">
        <f>SUBSTITUTE(TRIM(MID(SUBSTITUTE(SUBSTITUTE(SUBSTITUTE(Tabla1[[#This Row],[map]],"[",""),"]",""),",",REPT(" ",100)),1201,300))," ",", ")</f>
        <v>4, 0, 1</v>
      </c>
      <c r="CD125" t="str">
        <f>SUBSTITUTE(TRIM(MID(SUBSTITUTE(SUBSTITUTE(SUBSTITUTE(Tabla1[[#This Row],[map]],"[",""),"]",""),",",REPT(" ",100)),1,300))," ",", ")</f>
        <v>4, 2, 3</v>
      </c>
      <c r="CE125" t="str">
        <f>SUBSTITUTE(TRIM(MID(SUBSTITUTE(SUBSTITUTE(SUBSTITUTE(Tabla1[[#This Row],[map]],"[",""),"]",""),",",REPT(" ",100)),1,600))," ",", ")</f>
        <v>4, 2, 3, 0, 1, -1</v>
      </c>
      <c r="CF125" t="str">
        <f>SUBSTITUTE(TRIM(MID(SUBSTITUTE(SUBSTITUTE(SUBSTITUTE(Tabla1[[#This Row],[map]],"[",""),"]",""),",",REPT(" ",100)),601,600))," ",", ")</f>
        <v>3, 0, 1, 2, 4, -1</v>
      </c>
      <c r="CG125" t="str">
        <f>SUBSTITUTE(TRIM(MID(SUBSTITUTE(SUBSTITUTE(SUBSTITUTE(Tabla1[[#This Row],[map]],"[",""),"]",""),",",REPT(" ",100)),1201,600))," ",", ")</f>
        <v>4, 0, 1, 3, 2, -1</v>
      </c>
    </row>
    <row r="126" spans="1:85" x14ac:dyDescent="0.3">
      <c r="A126" s="1">
        <v>46097.89271990741</v>
      </c>
      <c r="B126" t="s">
        <v>292</v>
      </c>
      <c r="C126">
        <v>4</v>
      </c>
      <c r="D126" t="s">
        <v>96</v>
      </c>
      <c r="E126" t="s">
        <v>78</v>
      </c>
      <c r="F126">
        <v>16590</v>
      </c>
      <c r="G126">
        <v>4.5</v>
      </c>
      <c r="H126" t="s">
        <v>79</v>
      </c>
      <c r="I126" t="s">
        <v>80</v>
      </c>
      <c r="J126">
        <v>5</v>
      </c>
      <c r="K126">
        <v>5</v>
      </c>
      <c r="L126" t="s">
        <v>81</v>
      </c>
      <c r="M126" t="s">
        <v>82</v>
      </c>
      <c r="N126" t="s">
        <v>83</v>
      </c>
      <c r="O126" t="s">
        <v>83</v>
      </c>
      <c r="P126" t="s">
        <v>84</v>
      </c>
      <c r="Q126" t="s">
        <v>105</v>
      </c>
      <c r="R126">
        <v>3</v>
      </c>
      <c r="S126" t="s">
        <v>86</v>
      </c>
      <c r="T126" t="s">
        <v>87</v>
      </c>
      <c r="U126" t="s">
        <v>88</v>
      </c>
      <c r="V126">
        <v>1</v>
      </c>
      <c r="W126" t="s">
        <v>106</v>
      </c>
      <c r="X126" t="s">
        <v>83</v>
      </c>
      <c r="Y126" t="s">
        <v>90</v>
      </c>
      <c r="Z126">
        <v>4000</v>
      </c>
      <c r="AA126">
        <v>4000</v>
      </c>
      <c r="AC126">
        <v>256</v>
      </c>
      <c r="AD126" t="s">
        <v>91</v>
      </c>
      <c r="AE126">
        <v>0.15</v>
      </c>
      <c r="AF126" t="s">
        <v>92</v>
      </c>
      <c r="AG126">
        <v>180</v>
      </c>
      <c r="AH126">
        <v>60</v>
      </c>
      <c r="AI126">
        <v>120</v>
      </c>
      <c r="AJ126">
        <v>9.585863276550502E-2</v>
      </c>
      <c r="AK126">
        <v>15.975151821848019</v>
      </c>
      <c r="AL126">
        <v>0.80224394408572663</v>
      </c>
      <c r="AM126">
        <v>8.6561251215667323E-2</v>
      </c>
      <c r="AN126">
        <v>21.773024872957951</v>
      </c>
      <c r="AO126">
        <v>0.72104142213786049</v>
      </c>
      <c r="AP126">
        <v>21.773024872957951</v>
      </c>
      <c r="AQ126">
        <v>21.773024872957951</v>
      </c>
      <c r="AR126">
        <v>0.72104142213786049</v>
      </c>
      <c r="AS126">
        <v>70.939705479941367</v>
      </c>
      <c r="AT126">
        <v>4.7379970762289447E-2</v>
      </c>
      <c r="AU126">
        <v>0.8</v>
      </c>
      <c r="AV126" t="s">
        <v>93</v>
      </c>
      <c r="AW126">
        <v>6.3507298758156319E-2</v>
      </c>
      <c r="AX126">
        <v>0.53885489871177406</v>
      </c>
      <c r="AY126">
        <v>6.3507298758156319E-2</v>
      </c>
      <c r="AZ126">
        <v>6.3507298758156319E-2</v>
      </c>
      <c r="BA126">
        <v>0.53885489871177406</v>
      </c>
      <c r="BB126">
        <v>0.20510697693260191</v>
      </c>
      <c r="BC126">
        <v>-0.48934184734725422</v>
      </c>
      <c r="BD126">
        <v>4.2705307978814479E-2</v>
      </c>
      <c r="BE126">
        <v>0.852035228938959</v>
      </c>
      <c r="BF126">
        <v>4.2705307978814479E-2</v>
      </c>
      <c r="BG126">
        <v>4.2705307978814479E-2</v>
      </c>
      <c r="BH126">
        <v>0.852035228938959</v>
      </c>
      <c r="BI126">
        <v>0.21631221789598279</v>
      </c>
      <c r="BJ126">
        <v>0.25052436538888428</v>
      </c>
      <c r="BK126">
        <v>6.4595654678069048E-2</v>
      </c>
      <c r="BL126">
        <v>0.74066887819617189</v>
      </c>
      <c r="BM126">
        <v>6.4595654678069048E-2</v>
      </c>
      <c r="BN126">
        <v>6.4595654678069048E-2</v>
      </c>
      <c r="BO126">
        <v>0.74066887819617189</v>
      </c>
      <c r="BP126">
        <v>0.190744125618628</v>
      </c>
      <c r="BQ126">
        <v>0.23422266837147901</v>
      </c>
      <c r="BR126">
        <v>86.921291230416514</v>
      </c>
      <c r="BS126">
        <v>0.75260668270453812</v>
      </c>
      <c r="BT126">
        <v>86.921291230416514</v>
      </c>
      <c r="BU126">
        <v>86.921291230416514</v>
      </c>
      <c r="BV126">
        <v>0.75260668270453812</v>
      </c>
      <c r="BW126">
        <v>283.14665859931819</v>
      </c>
      <c r="BX126">
        <v>0.1941146966360443</v>
      </c>
      <c r="BY126" t="str">
        <f t="shared" si="5"/>
        <v>[[sv,wv],[yr],[ya]]</v>
      </c>
      <c r="BZ126" t="str">
        <f>SUBSTITUTE(TRIM(MID(SUBSTITUTE(SUBSTITUTE(SUBSTITUTE(Tabla1[[#This Row],[map]],"[",""),"]",""),",",REPT(" ",100)),901,200))," ",", ")</f>
        <v>2, 4</v>
      </c>
      <c r="CA126" t="str">
        <f>SUBSTITUTE(TRIM(MID(SUBSTITUTE(SUBSTITUTE(SUBSTITUTE(Tabla1[[#This Row],[map]],"[",""),"]",""),",",REPT(" ",100)),1501,200))," ",", ")</f>
        <v>3, 2</v>
      </c>
      <c r="CB126" t="str">
        <f>SUBSTITUTE(TRIM(MID(SUBSTITUTE(SUBSTITUTE(SUBSTITUTE(Tabla1[[#This Row],[map]],"[",""),"]",""),",",REPT(" ",100)),601,300))," ",", ")</f>
        <v>0, 1, 3</v>
      </c>
      <c r="CC126" t="str">
        <f>SUBSTITUTE(TRIM(MID(SUBSTITUTE(SUBSTITUTE(SUBSTITUTE(Tabla1[[#This Row],[map]],"[",""),"]",""),",",REPT(" ",100)),1201,300))," ",", ")</f>
        <v>0, 1, 4</v>
      </c>
      <c r="CD126" t="str">
        <f>SUBSTITUTE(TRIM(MID(SUBSTITUTE(SUBSTITUTE(SUBSTITUTE(Tabla1[[#This Row],[map]],"[",""),"]",""),",",REPT(" ",100)),1,300))," ",", ")</f>
        <v>2, 3, 4</v>
      </c>
      <c r="CE126" t="str">
        <f>SUBSTITUTE(TRIM(MID(SUBSTITUTE(SUBSTITUTE(SUBSTITUTE(Tabla1[[#This Row],[map]],"[",""),"]",""),",",REPT(" ",100)),1,600))," ",", ")</f>
        <v>2, 3, 4, 0, 1, -1</v>
      </c>
      <c r="CF126" t="str">
        <f>SUBSTITUTE(TRIM(MID(SUBSTITUTE(SUBSTITUTE(SUBSTITUTE(Tabla1[[#This Row],[map]],"[",""),"]",""),",",REPT(" ",100)),601,600))," ",", ")</f>
        <v>0, 1, 3, 2, 4, -1</v>
      </c>
      <c r="CG126" t="str">
        <f>SUBSTITUTE(TRIM(MID(SUBSTITUTE(SUBSTITUTE(SUBSTITUTE(Tabla1[[#This Row],[map]],"[",""),"]",""),",",REPT(" ",100)),1201,600))," ",", ")</f>
        <v>0, 1, 4, 3, 2, -1</v>
      </c>
    </row>
    <row r="127" spans="1:85" x14ac:dyDescent="0.3">
      <c r="A127" s="1">
        <v>46097.895856481482</v>
      </c>
      <c r="B127" t="s">
        <v>293</v>
      </c>
      <c r="C127">
        <v>5</v>
      </c>
      <c r="D127" t="s">
        <v>77</v>
      </c>
      <c r="E127" t="s">
        <v>78</v>
      </c>
      <c r="F127">
        <v>16590</v>
      </c>
      <c r="G127">
        <v>4.5</v>
      </c>
      <c r="H127" t="s">
        <v>79</v>
      </c>
      <c r="I127" t="s">
        <v>80</v>
      </c>
      <c r="J127">
        <v>5</v>
      </c>
      <c r="K127">
        <v>5</v>
      </c>
      <c r="L127" t="s">
        <v>81</v>
      </c>
      <c r="M127" t="s">
        <v>82</v>
      </c>
      <c r="N127" t="s">
        <v>83</v>
      </c>
      <c r="O127" t="s">
        <v>83</v>
      </c>
      <c r="P127" t="s">
        <v>84</v>
      </c>
      <c r="Q127" t="s">
        <v>105</v>
      </c>
      <c r="R127">
        <v>3</v>
      </c>
      <c r="S127" t="s">
        <v>86</v>
      </c>
      <c r="T127" t="s">
        <v>87</v>
      </c>
      <c r="U127" t="s">
        <v>88</v>
      </c>
      <c r="V127">
        <v>1</v>
      </c>
      <c r="W127" t="s">
        <v>106</v>
      </c>
      <c r="X127" t="s">
        <v>83</v>
      </c>
      <c r="Y127" t="s">
        <v>90</v>
      </c>
      <c r="Z127">
        <v>4000</v>
      </c>
      <c r="AA127">
        <v>4000</v>
      </c>
      <c r="AC127">
        <v>256</v>
      </c>
      <c r="AD127" t="s">
        <v>91</v>
      </c>
      <c r="AE127">
        <v>0.15</v>
      </c>
      <c r="AF127" t="s">
        <v>92</v>
      </c>
      <c r="AG127">
        <v>180</v>
      </c>
      <c r="AH127">
        <v>60</v>
      </c>
      <c r="AI127">
        <v>120</v>
      </c>
      <c r="AJ127">
        <v>9.3527901466244776E-2</v>
      </c>
      <c r="AK127">
        <v>19.188888248366531</v>
      </c>
      <c r="AL127">
        <v>0.78523965461039069</v>
      </c>
      <c r="AM127">
        <v>9.0612175561953473E-2</v>
      </c>
      <c r="AN127">
        <v>24.760347902441751</v>
      </c>
      <c r="AO127">
        <v>0.71509326107594329</v>
      </c>
      <c r="AP127">
        <v>24.760347902441751</v>
      </c>
      <c r="AQ127">
        <v>24.760347902441751</v>
      </c>
      <c r="AR127">
        <v>0.71509326107594329</v>
      </c>
      <c r="AS127">
        <v>99.542397381901694</v>
      </c>
      <c r="AT127">
        <v>4.0331253701503138E-2</v>
      </c>
      <c r="AU127">
        <v>0.8</v>
      </c>
      <c r="AV127" t="s">
        <v>93</v>
      </c>
      <c r="AW127">
        <v>6.0650499923749747E-2</v>
      </c>
      <c r="AX127">
        <v>0.55959895197200371</v>
      </c>
      <c r="AY127">
        <v>6.0650499923749747E-2</v>
      </c>
      <c r="AZ127">
        <v>6.0650499923749747E-2</v>
      </c>
      <c r="BA127">
        <v>0.55959895197200371</v>
      </c>
      <c r="BB127">
        <v>0.18463624362965481</v>
      </c>
      <c r="BC127">
        <v>-0.34069785575850159</v>
      </c>
      <c r="BD127">
        <v>5.6556976123214191E-2</v>
      </c>
      <c r="BE127">
        <v>0.80404215728574957</v>
      </c>
      <c r="BF127">
        <v>5.6556976123214191E-2</v>
      </c>
      <c r="BG127">
        <v>5.6556976123214191E-2</v>
      </c>
      <c r="BH127">
        <v>0.80404215728574957</v>
      </c>
      <c r="BI127">
        <v>0.20106506020804921</v>
      </c>
      <c r="BJ127">
        <v>0.30335251025897603</v>
      </c>
      <c r="BK127">
        <v>5.5264550816049203E-2</v>
      </c>
      <c r="BL127">
        <v>0.77813030875625577</v>
      </c>
      <c r="BM127">
        <v>5.5264550816049203E-2</v>
      </c>
      <c r="BN127">
        <v>5.5264550816049203E-2</v>
      </c>
      <c r="BO127">
        <v>0.77813030875625577</v>
      </c>
      <c r="BP127">
        <v>0.16679802433953911</v>
      </c>
      <c r="BQ127">
        <v>0.33035869080957292</v>
      </c>
      <c r="BR127">
        <v>98.868919582903715</v>
      </c>
      <c r="BS127">
        <v>0.71860162628976632</v>
      </c>
      <c r="BT127">
        <v>98.868919582903715</v>
      </c>
      <c r="BU127">
        <v>98.868919582903715</v>
      </c>
      <c r="BV127">
        <v>0.71860162628976632</v>
      </c>
      <c r="BW127">
        <v>397.61709019942941</v>
      </c>
      <c r="BX127">
        <v>-0.13168833050404261</v>
      </c>
      <c r="BY127" t="str">
        <f t="shared" si="5"/>
        <v>[[sv,wv],[yr],[ya]]</v>
      </c>
      <c r="BZ127" t="str">
        <f>SUBSTITUTE(TRIM(MID(SUBSTITUTE(SUBSTITUTE(SUBSTITUTE(Tabla1[[#This Row],[map]],"[",""),"]",""),",",REPT(" ",100)),901,200))," ",", ")</f>
        <v>2, 4</v>
      </c>
      <c r="CA127" t="str">
        <f>SUBSTITUTE(TRIM(MID(SUBSTITUTE(SUBSTITUTE(SUBSTITUTE(Tabla1[[#This Row],[map]],"[",""),"]",""),",",REPT(" ",100)),1501,200))," ",", ")</f>
        <v>3, 2</v>
      </c>
      <c r="CB127" t="str">
        <f>SUBSTITUTE(TRIM(MID(SUBSTITUTE(SUBSTITUTE(SUBSTITUTE(Tabla1[[#This Row],[map]],"[",""),"]",""),",",REPT(" ",100)),601,300))," ",", ")</f>
        <v>0, 1, 3</v>
      </c>
      <c r="CC127" t="str">
        <f>SUBSTITUTE(TRIM(MID(SUBSTITUTE(SUBSTITUTE(SUBSTITUTE(Tabla1[[#This Row],[map]],"[",""),"]",""),",",REPT(" ",100)),1201,300))," ",", ")</f>
        <v>0, 1, 4</v>
      </c>
      <c r="CD127" t="str">
        <f>SUBSTITUTE(TRIM(MID(SUBSTITUTE(SUBSTITUTE(SUBSTITUTE(Tabla1[[#This Row],[map]],"[",""),"]",""),",",REPT(" ",100)),1,300))," ",", ")</f>
        <v>2, 3, 4</v>
      </c>
      <c r="CE127" t="str">
        <f>SUBSTITUTE(TRIM(MID(SUBSTITUTE(SUBSTITUTE(SUBSTITUTE(Tabla1[[#This Row],[map]],"[",""),"]",""),",",REPT(" ",100)),1,600))," ",", ")</f>
        <v>2, 3, 4, 0, 1, -1</v>
      </c>
      <c r="CF127" t="str">
        <f>SUBSTITUTE(TRIM(MID(SUBSTITUTE(SUBSTITUTE(SUBSTITUTE(Tabla1[[#This Row],[map]],"[",""),"]",""),",",REPT(" ",100)),601,600))," ",", ")</f>
        <v>0, 1, 3, 2, 4, -1</v>
      </c>
      <c r="CG127" t="str">
        <f>SUBSTITUTE(TRIM(MID(SUBSTITUTE(SUBSTITUTE(SUBSTITUTE(Tabla1[[#This Row],[map]],"[",""),"]",""),",",REPT(" ",100)),1201,600))," ",", ")</f>
        <v>0, 1, 4, 3, 2, -1</v>
      </c>
    </row>
    <row r="128" spans="1:85" x14ac:dyDescent="0.3">
      <c r="A128" s="1">
        <v>46097.963090277779</v>
      </c>
      <c r="B128" t="s">
        <v>294</v>
      </c>
      <c r="C128">
        <v>0</v>
      </c>
      <c r="D128" t="s">
        <v>96</v>
      </c>
      <c r="E128" t="s">
        <v>78</v>
      </c>
      <c r="F128">
        <v>16590</v>
      </c>
      <c r="G128">
        <v>4.5</v>
      </c>
      <c r="H128" t="s">
        <v>79</v>
      </c>
      <c r="I128" t="s">
        <v>80</v>
      </c>
      <c r="J128">
        <v>5</v>
      </c>
      <c r="K128">
        <v>5</v>
      </c>
      <c r="L128" t="s">
        <v>81</v>
      </c>
      <c r="M128" t="s">
        <v>82</v>
      </c>
      <c r="N128" t="s">
        <v>83</v>
      </c>
      <c r="O128" t="s">
        <v>83</v>
      </c>
      <c r="P128" t="s">
        <v>84</v>
      </c>
      <c r="Q128" t="s">
        <v>295</v>
      </c>
      <c r="R128">
        <v>3</v>
      </c>
      <c r="S128" t="s">
        <v>86</v>
      </c>
      <c r="T128" t="s">
        <v>87</v>
      </c>
      <c r="U128" t="s">
        <v>88</v>
      </c>
      <c r="V128">
        <v>1</v>
      </c>
      <c r="W128" t="s">
        <v>296</v>
      </c>
      <c r="X128" t="s">
        <v>83</v>
      </c>
      <c r="Y128" t="s">
        <v>90</v>
      </c>
      <c r="Z128">
        <v>4000</v>
      </c>
      <c r="AA128">
        <v>4000</v>
      </c>
      <c r="AC128">
        <v>256</v>
      </c>
      <c r="AD128" t="s">
        <v>91</v>
      </c>
      <c r="AE128">
        <v>0.15</v>
      </c>
      <c r="AF128" t="s">
        <v>92</v>
      </c>
      <c r="AG128">
        <v>180</v>
      </c>
      <c r="AH128">
        <v>60</v>
      </c>
      <c r="AI128">
        <v>120</v>
      </c>
      <c r="AJ128">
        <v>0.12155240301410961</v>
      </c>
      <c r="AK128">
        <v>19.703350866512711</v>
      </c>
      <c r="AL128">
        <v>0.67536987367701351</v>
      </c>
      <c r="AM128">
        <v>0.17372521396587101</v>
      </c>
      <c r="AN128">
        <v>22.61834596674797</v>
      </c>
      <c r="AO128">
        <v>0.61046539120122012</v>
      </c>
      <c r="AP128">
        <v>22.61834596674797</v>
      </c>
      <c r="AQ128">
        <v>22.61834596674797</v>
      </c>
      <c r="AR128">
        <v>0.61046539120122012</v>
      </c>
      <c r="AS128">
        <v>85.31099733204897</v>
      </c>
      <c r="AT128">
        <v>9.9546390607898882E-2</v>
      </c>
      <c r="AU128">
        <v>0.8</v>
      </c>
      <c r="AV128" t="s">
        <v>93</v>
      </c>
      <c r="AW128">
        <v>6.8198135950108263E-2</v>
      </c>
      <c r="AX128">
        <v>0.50479335564021599</v>
      </c>
      <c r="AY128">
        <v>6.8198135950108263E-2</v>
      </c>
      <c r="AZ128">
        <v>6.8198135950108263E-2</v>
      </c>
      <c r="BA128">
        <v>0.50479335564021599</v>
      </c>
      <c r="BB128">
        <v>7.8233146198050454E-2</v>
      </c>
      <c r="BC128">
        <v>0.43192620638799939</v>
      </c>
      <c r="BD128">
        <v>8.4932123094134379E-2</v>
      </c>
      <c r="BE128">
        <v>0.70572833345245867</v>
      </c>
      <c r="BF128">
        <v>8.4932123094134379E-2</v>
      </c>
      <c r="BG128">
        <v>8.4932123094134379E-2</v>
      </c>
      <c r="BH128">
        <v>0.70572833345245867</v>
      </c>
      <c r="BI128">
        <v>0.19051408589631069</v>
      </c>
      <c r="BJ128">
        <v>0.33990938275083998</v>
      </c>
      <c r="BK128">
        <v>0.12752080763891571</v>
      </c>
      <c r="BL128">
        <v>0.48804429240411651</v>
      </c>
      <c r="BM128">
        <v>0.12752080763891571</v>
      </c>
      <c r="BN128">
        <v>0.12752080763891571</v>
      </c>
      <c r="BO128">
        <v>0.48804429240411651</v>
      </c>
      <c r="BP128">
        <v>0.34975852663014251</v>
      </c>
      <c r="BQ128">
        <v>-0.40416985513181453</v>
      </c>
      <c r="BR128">
        <v>90.192732800308832</v>
      </c>
      <c r="BS128">
        <v>0.74329558330809098</v>
      </c>
      <c r="BT128">
        <v>90.192732800308832</v>
      </c>
      <c r="BU128">
        <v>90.192732800308832</v>
      </c>
      <c r="BV128">
        <v>0.74329558330809098</v>
      </c>
      <c r="BW128">
        <v>340.62548356947173</v>
      </c>
      <c r="BX128">
        <v>3.0519828424566131E-2</v>
      </c>
      <c r="BY128" t="str">
        <f t="shared" si="5"/>
        <v>[[sv,wv],[yr],[ya]]</v>
      </c>
      <c r="BZ128" t="str">
        <f>SUBSTITUTE(TRIM(MID(SUBSTITUTE(SUBSTITUTE(SUBSTITUTE(Tabla1[[#This Row],[map]],"[",""),"]",""),",",REPT(" ",100)),901,200))," ",", ")</f>
        <v>2, 4</v>
      </c>
      <c r="CA128" t="str">
        <f>SUBSTITUTE(TRIM(MID(SUBSTITUTE(SUBSTITUTE(SUBSTITUTE(Tabla1[[#This Row],[map]],"[",""),"]",""),",",REPT(" ",100)),1501,200))," ",", ")</f>
        <v>3, 4</v>
      </c>
      <c r="CB128" t="str">
        <f>SUBSTITUTE(TRIM(MID(SUBSTITUTE(SUBSTITUTE(SUBSTITUTE(Tabla1[[#This Row],[map]],"[",""),"]",""),",",REPT(" ",100)),601,300))," ",", ")</f>
        <v>3, 0, 1</v>
      </c>
      <c r="CC128" t="str">
        <f>SUBSTITUTE(TRIM(MID(SUBSTITUTE(SUBSTITUTE(SUBSTITUTE(Tabla1[[#This Row],[map]],"[",""),"]",""),",",REPT(" ",100)),1201,300))," ",", ")</f>
        <v>0, 1, 2</v>
      </c>
      <c r="CD128" t="str">
        <f>SUBSTITUTE(TRIM(MID(SUBSTITUTE(SUBSTITUTE(SUBSTITUTE(Tabla1[[#This Row],[map]],"[",""),"]",""),",",REPT(" ",100)),1,300))," ",", ")</f>
        <v>4, 2, 3</v>
      </c>
      <c r="CE128" t="str">
        <f>SUBSTITUTE(TRIM(MID(SUBSTITUTE(SUBSTITUTE(SUBSTITUTE(Tabla1[[#This Row],[map]],"[",""),"]",""),",",REPT(" ",100)),1,600))," ",", ")</f>
        <v>4, 2, 3, 0, 1, -1</v>
      </c>
      <c r="CF128" t="str">
        <f>SUBSTITUTE(TRIM(MID(SUBSTITUTE(SUBSTITUTE(SUBSTITUTE(Tabla1[[#This Row],[map]],"[",""),"]",""),",",REPT(" ",100)),601,600))," ",", ")</f>
        <v>3, 0, 1, 2, 4, -1</v>
      </c>
      <c r="CG128" t="str">
        <f>SUBSTITUTE(TRIM(MID(SUBSTITUTE(SUBSTITUTE(SUBSTITUTE(Tabla1[[#This Row],[map]],"[",""),"]",""),",",REPT(" ",100)),1201,600))," ",", ")</f>
        <v>0, 1, 2, 3, 4, -1</v>
      </c>
    </row>
    <row r="129" spans="1:85" x14ac:dyDescent="0.3">
      <c r="A129" s="1">
        <v>46097.967372685183</v>
      </c>
      <c r="B129" t="s">
        <v>297</v>
      </c>
      <c r="C129">
        <v>2</v>
      </c>
      <c r="D129" t="s">
        <v>77</v>
      </c>
      <c r="E129" t="s">
        <v>78</v>
      </c>
      <c r="F129">
        <v>16590</v>
      </c>
      <c r="G129">
        <v>4.5</v>
      </c>
      <c r="H129" t="s">
        <v>79</v>
      </c>
      <c r="I129" t="s">
        <v>80</v>
      </c>
      <c r="J129">
        <v>5</v>
      </c>
      <c r="K129">
        <v>5</v>
      </c>
      <c r="L129" t="s">
        <v>81</v>
      </c>
      <c r="M129" t="s">
        <v>82</v>
      </c>
      <c r="N129" t="s">
        <v>83</v>
      </c>
      <c r="O129" t="s">
        <v>83</v>
      </c>
      <c r="P129" t="s">
        <v>84</v>
      </c>
      <c r="Q129" t="s">
        <v>295</v>
      </c>
      <c r="R129">
        <v>3</v>
      </c>
      <c r="S129" t="s">
        <v>86</v>
      </c>
      <c r="T129" t="s">
        <v>87</v>
      </c>
      <c r="U129" t="s">
        <v>88</v>
      </c>
      <c r="V129">
        <v>1</v>
      </c>
      <c r="W129" t="s">
        <v>296</v>
      </c>
      <c r="X129" t="s">
        <v>83</v>
      </c>
      <c r="Y129" t="s">
        <v>90</v>
      </c>
      <c r="Z129">
        <v>4000</v>
      </c>
      <c r="AA129">
        <v>4000</v>
      </c>
      <c r="AC129">
        <v>256</v>
      </c>
      <c r="AD129" t="s">
        <v>91</v>
      </c>
      <c r="AE129">
        <v>0.15</v>
      </c>
      <c r="AF129" t="s">
        <v>92</v>
      </c>
      <c r="AG129">
        <v>180</v>
      </c>
      <c r="AH129">
        <v>60</v>
      </c>
      <c r="AI129">
        <v>120</v>
      </c>
      <c r="AJ129">
        <v>0.1135987886297276</v>
      </c>
      <c r="AK129">
        <v>19.890480062254831</v>
      </c>
      <c r="AL129">
        <v>0.6934809525046014</v>
      </c>
      <c r="AM129">
        <v>-6.9804322086195331E-2</v>
      </c>
      <c r="AN129">
        <v>26.693843441567839</v>
      </c>
      <c r="AO129">
        <v>0.62530497586892797</v>
      </c>
      <c r="AP129">
        <v>26.693843441567839</v>
      </c>
      <c r="AQ129">
        <v>26.693843441567839</v>
      </c>
      <c r="AR129">
        <v>0.62530497586892797</v>
      </c>
      <c r="AS129">
        <v>110.3882449350024</v>
      </c>
      <c r="AT129">
        <v>-0.1246081571292206</v>
      </c>
      <c r="AU129">
        <v>0.8</v>
      </c>
      <c r="AV129" t="s">
        <v>93</v>
      </c>
      <c r="AW129">
        <v>7.8704679939171102E-2</v>
      </c>
      <c r="AX129">
        <v>0.42850226175388811</v>
      </c>
      <c r="AY129">
        <v>7.8704679939171102E-2</v>
      </c>
      <c r="AZ129">
        <v>7.8704679939171102E-2</v>
      </c>
      <c r="BA129">
        <v>0.42850226175388811</v>
      </c>
      <c r="BB129">
        <v>0.1218326641266072</v>
      </c>
      <c r="BC129">
        <v>0.1153373338578179</v>
      </c>
      <c r="BD129">
        <v>9.7789888219790053E-2</v>
      </c>
      <c r="BE129">
        <v>0.66117892347939211</v>
      </c>
      <c r="BF129">
        <v>9.7789888219790053E-2</v>
      </c>
      <c r="BG129">
        <v>9.7789888219790053E-2</v>
      </c>
      <c r="BH129">
        <v>0.66117892347939211</v>
      </c>
      <c r="BI129">
        <v>0.21795967116333989</v>
      </c>
      <c r="BJ129">
        <v>0.2448162916838735</v>
      </c>
      <c r="BK129">
        <v>7.105524059682497E-2</v>
      </c>
      <c r="BL129">
        <v>0.71473568391169739</v>
      </c>
      <c r="BM129">
        <v>7.105524059682497E-2</v>
      </c>
      <c r="BN129">
        <v>7.105524059682497E-2</v>
      </c>
      <c r="BO129">
        <v>0.71473568391169739</v>
      </c>
      <c r="BP129">
        <v>0.39952160003696902</v>
      </c>
      <c r="BQ129">
        <v>-0.60395285470531368</v>
      </c>
      <c r="BR129">
        <v>106.5278239575153</v>
      </c>
      <c r="BS129">
        <v>0.69680303433073598</v>
      </c>
      <c r="BT129">
        <v>106.5278239575153</v>
      </c>
      <c r="BU129">
        <v>106.5278239575153</v>
      </c>
      <c r="BV129">
        <v>0.69680303433073598</v>
      </c>
      <c r="BW129">
        <v>440.81366580468142</v>
      </c>
      <c r="BX129">
        <v>-0.25463339935327228</v>
      </c>
      <c r="BY129" t="str">
        <f t="shared" si="5"/>
        <v>[[sv,wv],[yr],[ya]]</v>
      </c>
      <c r="BZ129" t="str">
        <f>SUBSTITUTE(TRIM(MID(SUBSTITUTE(SUBSTITUTE(SUBSTITUTE(Tabla1[[#This Row],[map]],"[",""),"]",""),",",REPT(" ",100)),901,200))," ",", ")</f>
        <v>2, 4</v>
      </c>
      <c r="CA129" t="str">
        <f>SUBSTITUTE(TRIM(MID(SUBSTITUTE(SUBSTITUTE(SUBSTITUTE(Tabla1[[#This Row],[map]],"[",""),"]",""),",",REPT(" ",100)),1501,200))," ",", ")</f>
        <v>3, 4</v>
      </c>
      <c r="CB129" t="str">
        <f>SUBSTITUTE(TRIM(MID(SUBSTITUTE(SUBSTITUTE(SUBSTITUTE(Tabla1[[#This Row],[map]],"[",""),"]",""),",",REPT(" ",100)),601,300))," ",", ")</f>
        <v>3, 0, 1</v>
      </c>
      <c r="CC129" t="str">
        <f>SUBSTITUTE(TRIM(MID(SUBSTITUTE(SUBSTITUTE(SUBSTITUTE(Tabla1[[#This Row],[map]],"[",""),"]",""),",",REPT(" ",100)),1201,300))," ",", ")</f>
        <v>0, 1, 2</v>
      </c>
      <c r="CD129" t="str">
        <f>SUBSTITUTE(TRIM(MID(SUBSTITUTE(SUBSTITUTE(SUBSTITUTE(Tabla1[[#This Row],[map]],"[",""),"]",""),",",REPT(" ",100)),1,300))," ",", ")</f>
        <v>4, 2, 3</v>
      </c>
      <c r="CE129" t="str">
        <f>SUBSTITUTE(TRIM(MID(SUBSTITUTE(SUBSTITUTE(SUBSTITUTE(Tabla1[[#This Row],[map]],"[",""),"]",""),",",REPT(" ",100)),1,600))," ",", ")</f>
        <v>4, 2, 3, 0, 1, -1</v>
      </c>
      <c r="CF129" t="str">
        <f>SUBSTITUTE(TRIM(MID(SUBSTITUTE(SUBSTITUTE(SUBSTITUTE(Tabla1[[#This Row],[map]],"[",""),"]",""),",",REPT(" ",100)),601,600))," ",", ")</f>
        <v>3, 0, 1, 2, 4, -1</v>
      </c>
      <c r="CG129" t="str">
        <f>SUBSTITUTE(TRIM(MID(SUBSTITUTE(SUBSTITUTE(SUBSTITUTE(Tabla1[[#This Row],[map]],"[",""),"]",""),",",REPT(" ",100)),1201,600))," ",", ")</f>
        <v>0, 1, 2, 3, 4, -1</v>
      </c>
    </row>
    <row r="130" spans="1:85" x14ac:dyDescent="0.3">
      <c r="A130" s="1">
        <v>46097.968113425923</v>
      </c>
      <c r="B130" t="s">
        <v>298</v>
      </c>
      <c r="C130">
        <v>1</v>
      </c>
      <c r="D130" t="s">
        <v>96</v>
      </c>
      <c r="E130" t="s">
        <v>78</v>
      </c>
      <c r="F130">
        <v>16590</v>
      </c>
      <c r="G130">
        <v>4.5</v>
      </c>
      <c r="H130" t="s">
        <v>79</v>
      </c>
      <c r="I130" t="s">
        <v>80</v>
      </c>
      <c r="J130">
        <v>5</v>
      </c>
      <c r="K130">
        <v>5</v>
      </c>
      <c r="L130" t="s">
        <v>81</v>
      </c>
      <c r="M130" t="s">
        <v>82</v>
      </c>
      <c r="N130" t="s">
        <v>83</v>
      </c>
      <c r="O130" t="s">
        <v>83</v>
      </c>
      <c r="P130" t="s">
        <v>84</v>
      </c>
      <c r="Q130" t="s">
        <v>295</v>
      </c>
      <c r="R130">
        <v>3</v>
      </c>
      <c r="S130" t="s">
        <v>86</v>
      </c>
      <c r="T130" t="s">
        <v>87</v>
      </c>
      <c r="U130" t="s">
        <v>88</v>
      </c>
      <c r="V130">
        <v>1</v>
      </c>
      <c r="W130" t="s">
        <v>296</v>
      </c>
      <c r="X130" t="s">
        <v>83</v>
      </c>
      <c r="Y130" t="s">
        <v>90</v>
      </c>
      <c r="Z130">
        <v>4000</v>
      </c>
      <c r="AA130">
        <v>4000</v>
      </c>
      <c r="AC130">
        <v>256</v>
      </c>
      <c r="AD130" t="s">
        <v>91</v>
      </c>
      <c r="AE130">
        <v>0.15</v>
      </c>
      <c r="AF130" t="s">
        <v>92</v>
      </c>
      <c r="AG130">
        <v>180</v>
      </c>
      <c r="AH130">
        <v>60</v>
      </c>
      <c r="AI130">
        <v>120</v>
      </c>
      <c r="AJ130">
        <v>0.12090601708040059</v>
      </c>
      <c r="AK130">
        <v>25.501873286815481</v>
      </c>
      <c r="AL130">
        <v>0.69361328457412164</v>
      </c>
      <c r="AM130">
        <v>-0.38856343794112252</v>
      </c>
      <c r="AN130">
        <v>32.591117038578211</v>
      </c>
      <c r="AO130">
        <v>0.61813823871929519</v>
      </c>
      <c r="AP130">
        <v>32.591117038578211</v>
      </c>
      <c r="AQ130">
        <v>32.591117038578211</v>
      </c>
      <c r="AR130">
        <v>0.61813823871929519</v>
      </c>
      <c r="AS130">
        <v>163.8198709648687</v>
      </c>
      <c r="AT130">
        <v>-0.46318926546598582</v>
      </c>
      <c r="AU130">
        <v>0.8</v>
      </c>
      <c r="AV130" t="s">
        <v>93</v>
      </c>
      <c r="AW130">
        <v>7.4540683880841938E-2</v>
      </c>
      <c r="AX130">
        <v>0.45873825701160409</v>
      </c>
      <c r="AY130">
        <v>7.4540683880841938E-2</v>
      </c>
      <c r="AZ130">
        <v>7.4540683880841938E-2</v>
      </c>
      <c r="BA130">
        <v>0.45873825701160409</v>
      </c>
      <c r="BB130">
        <v>0.17204924790944651</v>
      </c>
      <c r="BC130">
        <v>-0.2492999923662336</v>
      </c>
      <c r="BD130">
        <v>0.1013774608818321</v>
      </c>
      <c r="BE130">
        <v>0.64874875044639957</v>
      </c>
      <c r="BF130">
        <v>0.1013774608818321</v>
      </c>
      <c r="BG130">
        <v>0.1013774608818321</v>
      </c>
      <c r="BH130">
        <v>0.64874875044639957</v>
      </c>
      <c r="BI130">
        <v>0.2054718108776703</v>
      </c>
      <c r="BJ130">
        <v>0.28808406039140799</v>
      </c>
      <c r="BK130">
        <v>6.5903588623801135E-2</v>
      </c>
      <c r="BL130">
        <v>0.73541793710605607</v>
      </c>
      <c r="BM130">
        <v>6.5903588623801135E-2</v>
      </c>
      <c r="BN130">
        <v>6.5903588623801135E-2</v>
      </c>
      <c r="BO130">
        <v>0.73541793710605607</v>
      </c>
      <c r="BP130">
        <v>0.50539800947878599</v>
      </c>
      <c r="BQ130">
        <v>-1.029013149704225</v>
      </c>
      <c r="BR130">
        <v>130.12264642092609</v>
      </c>
      <c r="BS130">
        <v>0.62964801031312145</v>
      </c>
      <c r="BT130">
        <v>130.12264642092609</v>
      </c>
      <c r="BU130">
        <v>130.12264642092609</v>
      </c>
      <c r="BV130">
        <v>0.62964801031312145</v>
      </c>
      <c r="BW130">
        <v>654.39656479120606</v>
      </c>
      <c r="BX130">
        <v>-0.86252798018490018</v>
      </c>
      <c r="BY130" t="str">
        <f t="shared" si="5"/>
        <v>[[sv,wv],[yr],[ya]]</v>
      </c>
      <c r="BZ130" t="str">
        <f>SUBSTITUTE(TRIM(MID(SUBSTITUTE(SUBSTITUTE(SUBSTITUTE(Tabla1[[#This Row],[map]],"[",""),"]",""),",",REPT(" ",100)),901,200))," ",", ")</f>
        <v>2, 4</v>
      </c>
      <c r="CA130" t="str">
        <f>SUBSTITUTE(TRIM(MID(SUBSTITUTE(SUBSTITUTE(SUBSTITUTE(Tabla1[[#This Row],[map]],"[",""),"]",""),",",REPT(" ",100)),1501,200))," ",", ")</f>
        <v>3, 4</v>
      </c>
      <c r="CB130" t="str">
        <f>SUBSTITUTE(TRIM(MID(SUBSTITUTE(SUBSTITUTE(SUBSTITUTE(Tabla1[[#This Row],[map]],"[",""),"]",""),",",REPT(" ",100)),601,300))," ",", ")</f>
        <v>3, 0, 1</v>
      </c>
      <c r="CC130" t="str">
        <f>SUBSTITUTE(TRIM(MID(SUBSTITUTE(SUBSTITUTE(SUBSTITUTE(Tabla1[[#This Row],[map]],"[",""),"]",""),",",REPT(" ",100)),1201,300))," ",", ")</f>
        <v>0, 1, 2</v>
      </c>
      <c r="CD130" t="str">
        <f>SUBSTITUTE(TRIM(MID(SUBSTITUTE(SUBSTITUTE(SUBSTITUTE(Tabla1[[#This Row],[map]],"[",""),"]",""),",",REPT(" ",100)),1,300))," ",", ")</f>
        <v>4, 2, 3</v>
      </c>
      <c r="CE130" t="str">
        <f>SUBSTITUTE(TRIM(MID(SUBSTITUTE(SUBSTITUTE(SUBSTITUTE(Tabla1[[#This Row],[map]],"[",""),"]",""),",",REPT(" ",100)),1,600))," ",", ")</f>
        <v>4, 2, 3, 0, 1, -1</v>
      </c>
      <c r="CF130" t="str">
        <f>SUBSTITUTE(TRIM(MID(SUBSTITUTE(SUBSTITUTE(SUBSTITUTE(Tabla1[[#This Row],[map]],"[",""),"]",""),",",REPT(" ",100)),601,600))," ",", ")</f>
        <v>3, 0, 1, 2, 4, -1</v>
      </c>
      <c r="CG130" t="str">
        <f>SUBSTITUTE(TRIM(MID(SUBSTITUTE(SUBSTITUTE(SUBSTITUTE(Tabla1[[#This Row],[map]],"[",""),"]",""),",",REPT(" ",100)),1201,600))," ",", ")</f>
        <v>0, 1, 2, 3, 4, -1</v>
      </c>
    </row>
    <row r="131" spans="1:85" x14ac:dyDescent="0.3">
      <c r="A131" s="1">
        <v>46097.991215277783</v>
      </c>
      <c r="B131" t="s">
        <v>299</v>
      </c>
      <c r="C131">
        <v>3</v>
      </c>
      <c r="D131" t="s">
        <v>96</v>
      </c>
      <c r="E131" t="s">
        <v>78</v>
      </c>
      <c r="F131">
        <v>16590</v>
      </c>
      <c r="G131">
        <v>4.5</v>
      </c>
      <c r="H131" t="s">
        <v>79</v>
      </c>
      <c r="I131" t="s">
        <v>80</v>
      </c>
      <c r="J131">
        <v>5</v>
      </c>
      <c r="K131">
        <v>5</v>
      </c>
      <c r="L131" t="s">
        <v>81</v>
      </c>
      <c r="M131" t="s">
        <v>82</v>
      </c>
      <c r="N131" t="s">
        <v>83</v>
      </c>
      <c r="O131" t="s">
        <v>83</v>
      </c>
      <c r="P131" t="s">
        <v>84</v>
      </c>
      <c r="Q131" t="s">
        <v>295</v>
      </c>
      <c r="R131">
        <v>3</v>
      </c>
      <c r="S131" t="s">
        <v>86</v>
      </c>
      <c r="T131" t="s">
        <v>87</v>
      </c>
      <c r="U131" t="s">
        <v>88</v>
      </c>
      <c r="V131">
        <v>1</v>
      </c>
      <c r="W131" t="s">
        <v>296</v>
      </c>
      <c r="X131" t="s">
        <v>83</v>
      </c>
      <c r="Y131" t="s">
        <v>90</v>
      </c>
      <c r="Z131">
        <v>4000</v>
      </c>
      <c r="AA131">
        <v>4000</v>
      </c>
      <c r="AC131">
        <v>256</v>
      </c>
      <c r="AD131" t="s">
        <v>91</v>
      </c>
      <c r="AE131">
        <v>0.15</v>
      </c>
      <c r="AF131" t="s">
        <v>92</v>
      </c>
      <c r="AG131">
        <v>180</v>
      </c>
      <c r="AH131">
        <v>60</v>
      </c>
      <c r="AI131">
        <v>120</v>
      </c>
      <c r="AJ131">
        <v>0.1197803736094317</v>
      </c>
      <c r="AK131">
        <v>29.553483971062551</v>
      </c>
      <c r="AL131">
        <v>0.63910850958112486</v>
      </c>
      <c r="AM131">
        <v>4.4678333489133193E-2</v>
      </c>
      <c r="AN131">
        <v>31.08450624932507</v>
      </c>
      <c r="AO131">
        <v>0.59519324465957046</v>
      </c>
      <c r="AP131">
        <v>31.08450624932507</v>
      </c>
      <c r="AQ131">
        <v>31.08450624932507</v>
      </c>
      <c r="AR131">
        <v>0.59519324465957046</v>
      </c>
      <c r="AS131">
        <v>84.235749294133839</v>
      </c>
      <c r="AT131">
        <v>3.5353095276171143E-2</v>
      </c>
      <c r="AU131">
        <v>0.8</v>
      </c>
      <c r="AV131" t="s">
        <v>93</v>
      </c>
      <c r="AW131">
        <v>8.0173646136604118E-2</v>
      </c>
      <c r="AX131">
        <v>0.41783566784814058</v>
      </c>
      <c r="AY131">
        <v>8.0173646136604118E-2</v>
      </c>
      <c r="AZ131">
        <v>8.0173646136604118E-2</v>
      </c>
      <c r="BA131">
        <v>0.41783566784814058</v>
      </c>
      <c r="BB131">
        <v>9.525646050037459E-2</v>
      </c>
      <c r="BC131">
        <v>0.30831493411359229</v>
      </c>
      <c r="BD131">
        <v>7.758782893434471E-2</v>
      </c>
      <c r="BE131">
        <v>0.73117474410701511</v>
      </c>
      <c r="BF131">
        <v>7.758782893434471E-2</v>
      </c>
      <c r="BG131">
        <v>7.758782893434471E-2</v>
      </c>
      <c r="BH131">
        <v>0.73117474410701511</v>
      </c>
      <c r="BI131">
        <v>0.1761633994608954</v>
      </c>
      <c r="BJ131">
        <v>0.38963144620108853</v>
      </c>
      <c r="BK131">
        <v>0.1033936470819678</v>
      </c>
      <c r="BL131">
        <v>0.58490721057341966</v>
      </c>
      <c r="BM131">
        <v>0.1033936470819678</v>
      </c>
      <c r="BN131">
        <v>0.1033936470819678</v>
      </c>
      <c r="BO131">
        <v>0.58490721057341966</v>
      </c>
      <c r="BP131">
        <v>0.3983978247205226</v>
      </c>
      <c r="BQ131">
        <v>-0.59944125226205447</v>
      </c>
      <c r="BR131">
        <v>124.07686987514769</v>
      </c>
      <c r="BS131">
        <v>0.64685535610970391</v>
      </c>
      <c r="BT131">
        <v>124.07686987514769</v>
      </c>
      <c r="BU131">
        <v>124.07686987514769</v>
      </c>
      <c r="BV131">
        <v>0.64685535610970391</v>
      </c>
      <c r="BW131">
        <v>336.27317949185363</v>
      </c>
      <c r="BX131">
        <v>4.2907253052051897E-2</v>
      </c>
      <c r="BY131" t="str">
        <f t="shared" si="5"/>
        <v>[[sv,wv],[yr],[ya]]</v>
      </c>
      <c r="BZ131" t="str">
        <f>SUBSTITUTE(TRIM(MID(SUBSTITUTE(SUBSTITUTE(SUBSTITUTE(Tabla1[[#This Row],[map]],"[",""),"]",""),",",REPT(" ",100)),901,200))," ",", ")</f>
        <v>2, 4</v>
      </c>
      <c r="CA131" t="str">
        <f>SUBSTITUTE(TRIM(MID(SUBSTITUTE(SUBSTITUTE(SUBSTITUTE(Tabla1[[#This Row],[map]],"[",""),"]",""),",",REPT(" ",100)),1501,200))," ",", ")</f>
        <v>3, 4</v>
      </c>
      <c r="CB131" t="str">
        <f>SUBSTITUTE(TRIM(MID(SUBSTITUTE(SUBSTITUTE(SUBSTITUTE(Tabla1[[#This Row],[map]],"[",""),"]",""),",",REPT(" ",100)),601,300))," ",", ")</f>
        <v>3, 0, 1</v>
      </c>
      <c r="CC131" t="str">
        <f>SUBSTITUTE(TRIM(MID(SUBSTITUTE(SUBSTITUTE(SUBSTITUTE(Tabla1[[#This Row],[map]],"[",""),"]",""),",",REPT(" ",100)),1201,300))," ",", ")</f>
        <v>0, 1, 2</v>
      </c>
      <c r="CD131" t="str">
        <f>SUBSTITUTE(TRIM(MID(SUBSTITUTE(SUBSTITUTE(SUBSTITUTE(Tabla1[[#This Row],[map]],"[",""),"]",""),",",REPT(" ",100)),1,300))," ",", ")</f>
        <v>4, 2, 3</v>
      </c>
      <c r="CE131" t="str">
        <f>SUBSTITUTE(TRIM(MID(SUBSTITUTE(SUBSTITUTE(SUBSTITUTE(Tabla1[[#This Row],[map]],"[",""),"]",""),",",REPT(" ",100)),1,600))," ",", ")</f>
        <v>4, 2, 3, 0, 1, -1</v>
      </c>
      <c r="CF131" t="str">
        <f>SUBSTITUTE(TRIM(MID(SUBSTITUTE(SUBSTITUTE(SUBSTITUTE(Tabla1[[#This Row],[map]],"[",""),"]",""),",",REPT(" ",100)),601,600))," ",", ")</f>
        <v>3, 0, 1, 2, 4, -1</v>
      </c>
      <c r="CG131" t="str">
        <f>SUBSTITUTE(TRIM(MID(SUBSTITUTE(SUBSTITUTE(SUBSTITUTE(Tabla1[[#This Row],[map]],"[",""),"]",""),",",REPT(" ",100)),1201,600))," ",", ")</f>
        <v>0, 1, 2, 3, 4, -1</v>
      </c>
    </row>
    <row r="132" spans="1:85" x14ac:dyDescent="0.3">
      <c r="A132" s="1">
        <v>46098.040706018517</v>
      </c>
      <c r="B132" t="s">
        <v>300</v>
      </c>
      <c r="C132">
        <v>4</v>
      </c>
      <c r="D132" t="s">
        <v>77</v>
      </c>
      <c r="E132" t="s">
        <v>78</v>
      </c>
      <c r="F132">
        <v>16590</v>
      </c>
      <c r="G132">
        <v>4.5</v>
      </c>
      <c r="H132" t="s">
        <v>79</v>
      </c>
      <c r="I132" t="s">
        <v>80</v>
      </c>
      <c r="J132">
        <v>5</v>
      </c>
      <c r="K132">
        <v>5</v>
      </c>
      <c r="L132" t="s">
        <v>81</v>
      </c>
      <c r="M132" t="s">
        <v>82</v>
      </c>
      <c r="N132" t="s">
        <v>83</v>
      </c>
      <c r="O132" t="s">
        <v>83</v>
      </c>
      <c r="P132" t="s">
        <v>84</v>
      </c>
      <c r="Q132" t="s">
        <v>111</v>
      </c>
      <c r="R132">
        <v>3</v>
      </c>
      <c r="S132" t="s">
        <v>86</v>
      </c>
      <c r="T132" t="s">
        <v>87</v>
      </c>
      <c r="U132" t="s">
        <v>88</v>
      </c>
      <c r="V132">
        <v>1</v>
      </c>
      <c r="W132" t="s">
        <v>112</v>
      </c>
      <c r="X132" t="s">
        <v>83</v>
      </c>
      <c r="Y132" t="s">
        <v>90</v>
      </c>
      <c r="Z132">
        <v>4000</v>
      </c>
      <c r="AA132">
        <v>4000</v>
      </c>
      <c r="AC132">
        <v>256</v>
      </c>
      <c r="AD132" t="s">
        <v>91</v>
      </c>
      <c r="AE132">
        <v>0.15</v>
      </c>
      <c r="AF132" t="s">
        <v>92</v>
      </c>
      <c r="AG132">
        <v>180</v>
      </c>
      <c r="AH132">
        <v>60</v>
      </c>
      <c r="AI132">
        <v>120</v>
      </c>
      <c r="AJ132">
        <v>9.9731667148580797E-2</v>
      </c>
      <c r="AK132">
        <v>16.239457561067908</v>
      </c>
      <c r="AL132">
        <v>0.79131837635747981</v>
      </c>
      <c r="AM132">
        <v>4.4232882073543311E-2</v>
      </c>
      <c r="AN132">
        <v>23.07083079565875</v>
      </c>
      <c r="AO132">
        <v>0.69218203778766574</v>
      </c>
      <c r="AP132">
        <v>23.07083079565875</v>
      </c>
      <c r="AQ132">
        <v>23.07083079565875</v>
      </c>
      <c r="AR132">
        <v>0.69218203778766574</v>
      </c>
      <c r="AS132">
        <v>66.002142125911689</v>
      </c>
      <c r="AT132">
        <v>5.5752459146569212E-2</v>
      </c>
      <c r="AU132">
        <v>0.8</v>
      </c>
      <c r="AV132" t="s">
        <v>93</v>
      </c>
      <c r="AW132">
        <v>6.4754963174109656E-2</v>
      </c>
      <c r="AX132">
        <v>0.5297952418735965</v>
      </c>
      <c r="AY132">
        <v>6.4754963174109656E-2</v>
      </c>
      <c r="AZ132">
        <v>6.4754963174109656E-2</v>
      </c>
      <c r="BA132">
        <v>0.5297952418735965</v>
      </c>
      <c r="BB132">
        <v>0.2632634324543402</v>
      </c>
      <c r="BC132">
        <v>-0.91163290832064914</v>
      </c>
      <c r="BD132">
        <v>4.3709255467311192E-2</v>
      </c>
      <c r="BE132">
        <v>0.8485567653164412</v>
      </c>
      <c r="BF132">
        <v>4.3709255467311192E-2</v>
      </c>
      <c r="BG132">
        <v>4.3709255467311192E-2</v>
      </c>
      <c r="BH132">
        <v>0.8485567653164412</v>
      </c>
      <c r="BI132">
        <v>0.15755326862241481</v>
      </c>
      <c r="BJ132">
        <v>0.45411157476725739</v>
      </c>
      <c r="BK132">
        <v>8.656331593408538E-2</v>
      </c>
      <c r="BL132">
        <v>0.65247566666636647</v>
      </c>
      <c r="BM132">
        <v>8.656331593408538E-2</v>
      </c>
      <c r="BN132">
        <v>8.656331593408538E-2</v>
      </c>
      <c r="BO132">
        <v>0.65247566666636647</v>
      </c>
      <c r="BP132">
        <v>0.1418929904268193</v>
      </c>
      <c r="BQ132">
        <v>0.43034452445947607</v>
      </c>
      <c r="BR132">
        <v>92.088295648059542</v>
      </c>
      <c r="BS132">
        <v>0.737900477294261</v>
      </c>
      <c r="BT132">
        <v>92.088295648059542</v>
      </c>
      <c r="BU132">
        <v>92.088295648059542</v>
      </c>
      <c r="BV132">
        <v>0.737900477294261</v>
      </c>
      <c r="BW132">
        <v>263.44585881214368</v>
      </c>
      <c r="BX132">
        <v>0.250186645680185</v>
      </c>
      <c r="BY132" t="str">
        <f t="shared" si="5"/>
        <v>[[sv,wv],[yr],[ya]]</v>
      </c>
      <c r="BZ132" t="str">
        <f>SUBSTITUTE(TRIM(MID(SUBSTITUTE(SUBSTITUTE(SUBSTITUTE(Tabla1[[#This Row],[map]],"[",""),"]",""),",",REPT(" ",100)),901,200))," ",", ")</f>
        <v>2, 4</v>
      </c>
      <c r="CA132" t="str">
        <f>SUBSTITUTE(TRIM(MID(SUBSTITUTE(SUBSTITUTE(SUBSTITUTE(Tabla1[[#This Row],[map]],"[",""),"]",""),",",REPT(" ",100)),1501,200))," ",", ")</f>
        <v>3, 2</v>
      </c>
      <c r="CB132" t="str">
        <f>SUBSTITUTE(TRIM(MID(SUBSTITUTE(SUBSTITUTE(SUBSTITUTE(Tabla1[[#This Row],[map]],"[",""),"]",""),",",REPT(" ",100)),601,300))," ",", ")</f>
        <v>3, 0, 1</v>
      </c>
      <c r="CC132" t="str">
        <f>SUBSTITUTE(TRIM(MID(SUBSTITUTE(SUBSTITUTE(SUBSTITUTE(Tabla1[[#This Row],[map]],"[",""),"]",""),",",REPT(" ",100)),1201,300))," ",", ")</f>
        <v>0, 1, 4</v>
      </c>
      <c r="CD132" t="str">
        <f>SUBSTITUTE(TRIM(MID(SUBSTITUTE(SUBSTITUTE(SUBSTITUTE(Tabla1[[#This Row],[map]],"[",""),"]",""),",",REPT(" ",100)),1,300))," ",", ")</f>
        <v>2, 3, 4</v>
      </c>
      <c r="CE132" t="str">
        <f>SUBSTITUTE(TRIM(MID(SUBSTITUTE(SUBSTITUTE(SUBSTITUTE(Tabla1[[#This Row],[map]],"[",""),"]",""),",",REPT(" ",100)),1,600))," ",", ")</f>
        <v>2, 3, 4, 0, 1, -1</v>
      </c>
      <c r="CF132" t="str">
        <f>SUBSTITUTE(TRIM(MID(SUBSTITUTE(SUBSTITUTE(SUBSTITUTE(Tabla1[[#This Row],[map]],"[",""),"]",""),",",REPT(" ",100)),601,600))," ",", ")</f>
        <v>3, 0, 1, 2, 4, -1</v>
      </c>
      <c r="CG132" t="str">
        <f>SUBSTITUTE(TRIM(MID(SUBSTITUTE(SUBSTITUTE(SUBSTITUTE(Tabla1[[#This Row],[map]],"[",""),"]",""),",",REPT(" ",100)),1201,600))," ",", ")</f>
        <v>0, 1, 4, 3, 2, -1</v>
      </c>
    </row>
    <row r="133" spans="1:85" x14ac:dyDescent="0.3">
      <c r="A133" s="1">
        <v>46098.045081018521</v>
      </c>
      <c r="B133" t="s">
        <v>301</v>
      </c>
      <c r="C133">
        <v>5</v>
      </c>
      <c r="D133" t="s">
        <v>77</v>
      </c>
      <c r="E133" t="s">
        <v>78</v>
      </c>
      <c r="F133">
        <v>16590</v>
      </c>
      <c r="G133">
        <v>4.5</v>
      </c>
      <c r="H133" t="s">
        <v>79</v>
      </c>
      <c r="I133" t="s">
        <v>80</v>
      </c>
      <c r="J133">
        <v>5</v>
      </c>
      <c r="K133">
        <v>5</v>
      </c>
      <c r="L133" t="s">
        <v>81</v>
      </c>
      <c r="M133" t="s">
        <v>82</v>
      </c>
      <c r="N133" t="s">
        <v>83</v>
      </c>
      <c r="O133" t="s">
        <v>83</v>
      </c>
      <c r="P133" t="s">
        <v>84</v>
      </c>
      <c r="Q133" t="s">
        <v>111</v>
      </c>
      <c r="R133">
        <v>3</v>
      </c>
      <c r="S133" t="s">
        <v>86</v>
      </c>
      <c r="T133" t="s">
        <v>87</v>
      </c>
      <c r="U133" t="s">
        <v>88</v>
      </c>
      <c r="V133">
        <v>1</v>
      </c>
      <c r="W133" t="s">
        <v>112</v>
      </c>
      <c r="X133" t="s">
        <v>83</v>
      </c>
      <c r="Y133" t="s">
        <v>90</v>
      </c>
      <c r="Z133">
        <v>4000</v>
      </c>
      <c r="AA133">
        <v>4000</v>
      </c>
      <c r="AC133">
        <v>256</v>
      </c>
      <c r="AD133" t="s">
        <v>91</v>
      </c>
      <c r="AE133">
        <v>0.15</v>
      </c>
      <c r="AF133" t="s">
        <v>92</v>
      </c>
      <c r="AG133">
        <v>180</v>
      </c>
      <c r="AH133">
        <v>60</v>
      </c>
      <c r="AI133">
        <v>120</v>
      </c>
      <c r="AJ133">
        <v>0.11535249015990071</v>
      </c>
      <c r="AK133">
        <v>20.33882837683079</v>
      </c>
      <c r="AL133">
        <v>0.72078025795943579</v>
      </c>
      <c r="AM133">
        <v>-0.1648465857118202</v>
      </c>
      <c r="AN133">
        <v>25.858386750873979</v>
      </c>
      <c r="AO133">
        <v>0.63309936118710741</v>
      </c>
      <c r="AP133">
        <v>25.858386750873979</v>
      </c>
      <c r="AQ133">
        <v>25.858386750873979</v>
      </c>
      <c r="AR133">
        <v>0.63309936118710741</v>
      </c>
      <c r="AS133">
        <v>107.13274617733489</v>
      </c>
      <c r="AT133">
        <v>-0.20092262795064</v>
      </c>
      <c r="AU133">
        <v>0.8</v>
      </c>
      <c r="AV133" t="s">
        <v>93</v>
      </c>
      <c r="AW133">
        <v>6.1939225540165142E-2</v>
      </c>
      <c r="AX133">
        <v>0.55024113772804195</v>
      </c>
      <c r="AY133">
        <v>6.1939225540165142E-2</v>
      </c>
      <c r="AZ133">
        <v>6.1939225540165142E-2</v>
      </c>
      <c r="BA133">
        <v>0.55024113772804195</v>
      </c>
      <c r="BB133">
        <v>0.1525845769568806</v>
      </c>
      <c r="BC133">
        <v>-0.1079613142381515</v>
      </c>
      <c r="BD133">
        <v>6.8911500889794988E-2</v>
      </c>
      <c r="BE133">
        <v>0.76123636767378955</v>
      </c>
      <c r="BF133">
        <v>6.8911500889794988E-2</v>
      </c>
      <c r="BG133">
        <v>6.8911500889794988E-2</v>
      </c>
      <c r="BH133">
        <v>0.76123636767378955</v>
      </c>
      <c r="BI133">
        <v>0.2966561241229837</v>
      </c>
      <c r="BJ133">
        <v>-2.785010967462398E-2</v>
      </c>
      <c r="BK133">
        <v>0.1209077820947059</v>
      </c>
      <c r="BL133">
        <v>0.51459349825154255</v>
      </c>
      <c r="BM133">
        <v>0.1209077820947059</v>
      </c>
      <c r="BN133">
        <v>0.1209077820947059</v>
      </c>
      <c r="BO133">
        <v>0.51459349825154255</v>
      </c>
      <c r="BP133">
        <v>0.36130151693973261</v>
      </c>
      <c r="BQ133">
        <v>-0.45051131015499601</v>
      </c>
      <c r="BR133">
        <v>103.1817884949712</v>
      </c>
      <c r="BS133">
        <v>0.70632644109505449</v>
      </c>
      <c r="BT133">
        <v>103.1817884949712</v>
      </c>
      <c r="BU133">
        <v>103.1817884949712</v>
      </c>
      <c r="BV133">
        <v>0.70632644109505449</v>
      </c>
      <c r="BW133">
        <v>427.72044249132102</v>
      </c>
      <c r="BX133">
        <v>-0.2173677777347913</v>
      </c>
      <c r="BY133" t="str">
        <f t="shared" si="5"/>
        <v>[[sv,wv],[yr],[ya]]</v>
      </c>
      <c r="BZ133" t="str">
        <f>SUBSTITUTE(TRIM(MID(SUBSTITUTE(SUBSTITUTE(SUBSTITUTE(Tabla1[[#This Row],[map]],"[",""),"]",""),",",REPT(" ",100)),901,200))," ",", ")</f>
        <v>2, 4</v>
      </c>
      <c r="CA133" t="str">
        <f>SUBSTITUTE(TRIM(MID(SUBSTITUTE(SUBSTITUTE(SUBSTITUTE(Tabla1[[#This Row],[map]],"[",""),"]",""),",",REPT(" ",100)),1501,200))," ",", ")</f>
        <v>3, 2</v>
      </c>
      <c r="CB133" t="str">
        <f>SUBSTITUTE(TRIM(MID(SUBSTITUTE(SUBSTITUTE(SUBSTITUTE(Tabla1[[#This Row],[map]],"[",""),"]",""),",",REPT(" ",100)),601,300))," ",", ")</f>
        <v>3, 0, 1</v>
      </c>
      <c r="CC133" t="str">
        <f>SUBSTITUTE(TRIM(MID(SUBSTITUTE(SUBSTITUTE(SUBSTITUTE(Tabla1[[#This Row],[map]],"[",""),"]",""),",",REPT(" ",100)),1201,300))," ",", ")</f>
        <v>0, 1, 4</v>
      </c>
      <c r="CD133" t="str">
        <f>SUBSTITUTE(TRIM(MID(SUBSTITUTE(SUBSTITUTE(SUBSTITUTE(Tabla1[[#This Row],[map]],"[",""),"]",""),",",REPT(" ",100)),1,300))," ",", ")</f>
        <v>2, 3, 4</v>
      </c>
      <c r="CE133" t="str">
        <f>SUBSTITUTE(TRIM(MID(SUBSTITUTE(SUBSTITUTE(SUBSTITUTE(Tabla1[[#This Row],[map]],"[",""),"]",""),",",REPT(" ",100)),1,600))," ",", ")</f>
        <v>2, 3, 4, 0, 1, -1</v>
      </c>
      <c r="CF133" t="str">
        <f>SUBSTITUTE(TRIM(MID(SUBSTITUTE(SUBSTITUTE(SUBSTITUTE(Tabla1[[#This Row],[map]],"[",""),"]",""),",",REPT(" ",100)),601,600))," ",", ")</f>
        <v>3, 0, 1, 2, 4, -1</v>
      </c>
      <c r="CG133" t="str">
        <f>SUBSTITUTE(TRIM(MID(SUBSTITUTE(SUBSTITUTE(SUBSTITUTE(Tabla1[[#This Row],[map]],"[",""),"]",""),",",REPT(" ",100)),1201,600))," ",", ")</f>
        <v>0, 1, 4, 3, 2, -1</v>
      </c>
    </row>
    <row r="134" spans="1:85" x14ac:dyDescent="0.3">
      <c r="A134" s="1">
        <v>46098.111956018518</v>
      </c>
      <c r="B134" t="s">
        <v>302</v>
      </c>
      <c r="C134">
        <v>0</v>
      </c>
      <c r="D134" t="s">
        <v>77</v>
      </c>
      <c r="E134" t="s">
        <v>78</v>
      </c>
      <c r="F134">
        <v>16590</v>
      </c>
      <c r="G134">
        <v>4.5</v>
      </c>
      <c r="H134" t="s">
        <v>79</v>
      </c>
      <c r="I134" t="s">
        <v>80</v>
      </c>
      <c r="J134">
        <v>5</v>
      </c>
      <c r="K134">
        <v>5</v>
      </c>
      <c r="L134" t="s">
        <v>81</v>
      </c>
      <c r="M134" t="s">
        <v>82</v>
      </c>
      <c r="N134" t="s">
        <v>83</v>
      </c>
      <c r="O134" t="s">
        <v>83</v>
      </c>
      <c r="P134" t="s">
        <v>84</v>
      </c>
      <c r="Q134" t="s">
        <v>303</v>
      </c>
      <c r="R134">
        <v>3</v>
      </c>
      <c r="S134" t="s">
        <v>86</v>
      </c>
      <c r="T134" t="s">
        <v>87</v>
      </c>
      <c r="U134" t="s">
        <v>88</v>
      </c>
      <c r="V134">
        <v>1</v>
      </c>
      <c r="W134" t="s">
        <v>304</v>
      </c>
      <c r="X134" t="s">
        <v>83</v>
      </c>
      <c r="Y134" t="s">
        <v>90</v>
      </c>
      <c r="Z134">
        <v>4000</v>
      </c>
      <c r="AA134">
        <v>4000</v>
      </c>
      <c r="AC134">
        <v>256</v>
      </c>
      <c r="AD134" t="s">
        <v>91</v>
      </c>
      <c r="AE134">
        <v>0.15</v>
      </c>
      <c r="AF134" t="s">
        <v>92</v>
      </c>
      <c r="AG134">
        <v>180</v>
      </c>
      <c r="AH134">
        <v>60</v>
      </c>
      <c r="AI134">
        <v>120</v>
      </c>
      <c r="AJ134">
        <v>0.12155233144827771</v>
      </c>
      <c r="AK134">
        <v>14.84183212999268</v>
      </c>
      <c r="AL134">
        <v>0.69397328921248014</v>
      </c>
      <c r="AM134">
        <v>7.9467058885746511E-2</v>
      </c>
      <c r="AN134">
        <v>17.008613817553769</v>
      </c>
      <c r="AO134">
        <v>0.63316821625891329</v>
      </c>
      <c r="AP134">
        <v>17.008613817553769</v>
      </c>
      <c r="AQ134">
        <v>17.008613817553769</v>
      </c>
      <c r="AR134">
        <v>0.63316821625891329</v>
      </c>
      <c r="AS134">
        <v>115.4330664469916</v>
      </c>
      <c r="AT134">
        <v>7.4214267755379398E-2</v>
      </c>
      <c r="AU134">
        <v>0.8</v>
      </c>
      <c r="AV134" t="s">
        <v>93</v>
      </c>
      <c r="AW134">
        <v>6.8632705366439686E-2</v>
      </c>
      <c r="AX134">
        <v>0.50163781979741362</v>
      </c>
      <c r="AY134">
        <v>6.8632705366439686E-2</v>
      </c>
      <c r="AZ134">
        <v>6.8632705366439686E-2</v>
      </c>
      <c r="BA134">
        <v>0.50163781979741362</v>
      </c>
      <c r="BB134">
        <v>9.3839707222049346E-2</v>
      </c>
      <c r="BC134">
        <v>0.31860239471747798</v>
      </c>
      <c r="BD134">
        <v>8.0100809415485724E-2</v>
      </c>
      <c r="BE134">
        <v>0.72246780346728579</v>
      </c>
      <c r="BF134">
        <v>8.0100809415485724E-2</v>
      </c>
      <c r="BG134">
        <v>8.0100809415485724E-2</v>
      </c>
      <c r="BH134">
        <v>0.72246780346728579</v>
      </c>
      <c r="BI134">
        <v>0.15496001457237671</v>
      </c>
      <c r="BJ134">
        <v>0.46309664617822499</v>
      </c>
      <c r="BK134">
        <v>0.1241869902590694</v>
      </c>
      <c r="BL134">
        <v>0.5014285146914117</v>
      </c>
      <c r="BM134">
        <v>0.1241869902590694</v>
      </c>
      <c r="BN134">
        <v>0.1241869902590694</v>
      </c>
      <c r="BO134">
        <v>0.5014285146914117</v>
      </c>
      <c r="BP134">
        <v>0.29198058718532571</v>
      </c>
      <c r="BQ134">
        <v>-0.1722097035331793</v>
      </c>
      <c r="BR134">
        <v>67.761534765174318</v>
      </c>
      <c r="BS134">
        <v>0.80713872707953893</v>
      </c>
      <c r="BT134">
        <v>67.761534765174318</v>
      </c>
      <c r="BU134">
        <v>67.761534765174318</v>
      </c>
      <c r="BV134">
        <v>0.80713872707953893</v>
      </c>
      <c r="BW134">
        <v>461.19148547898709</v>
      </c>
      <c r="BX134">
        <v>-0.31263226634100882</v>
      </c>
      <c r="BY134" t="str">
        <f t="shared" si="5"/>
        <v>[[sv,wv],[yr],[ya]]</v>
      </c>
      <c r="BZ134" t="str">
        <f>SUBSTITUTE(TRIM(MID(SUBSTITUTE(SUBSTITUTE(SUBSTITUTE(Tabla1[[#This Row],[map]],"[",""),"]",""),",",REPT(" ",100)),901,200))," ",", ")</f>
        <v>2, 4</v>
      </c>
      <c r="CA134" t="str">
        <f>SUBSTITUTE(TRIM(MID(SUBSTITUTE(SUBSTITUTE(SUBSTITUTE(Tabla1[[#This Row],[map]],"[",""),"]",""),",",REPT(" ",100)),1501,200))," ",", ")</f>
        <v>3, 4</v>
      </c>
      <c r="CB134" t="str">
        <f>SUBSTITUTE(TRIM(MID(SUBSTITUTE(SUBSTITUTE(SUBSTITUTE(Tabla1[[#This Row],[map]],"[",""),"]",""),",",REPT(" ",100)),601,300))," ",", ")</f>
        <v>3, 0, 1</v>
      </c>
      <c r="CC134" t="str">
        <f>SUBSTITUTE(TRIM(MID(SUBSTITUTE(SUBSTITUTE(SUBSTITUTE(Tabla1[[#This Row],[map]],"[",""),"]",""),",",REPT(" ",100)),1201,300))," ",", ")</f>
        <v>2, 0, 1</v>
      </c>
      <c r="CD134" t="str">
        <f>SUBSTITUTE(TRIM(MID(SUBSTITUTE(SUBSTITUTE(SUBSTITUTE(Tabla1[[#This Row],[map]],"[",""),"]",""),",",REPT(" ",100)),1,300))," ",", ")</f>
        <v>4, 2, 3</v>
      </c>
      <c r="CE134" t="str">
        <f>SUBSTITUTE(TRIM(MID(SUBSTITUTE(SUBSTITUTE(SUBSTITUTE(Tabla1[[#This Row],[map]],"[",""),"]",""),",",REPT(" ",100)),1,600))," ",", ")</f>
        <v>4, 2, 3, 0, 1, -1</v>
      </c>
      <c r="CF134" t="str">
        <f>SUBSTITUTE(TRIM(MID(SUBSTITUTE(SUBSTITUTE(SUBSTITUTE(Tabla1[[#This Row],[map]],"[",""),"]",""),",",REPT(" ",100)),601,600))," ",", ")</f>
        <v>3, 0, 1, 2, 4, -1</v>
      </c>
      <c r="CG134" t="str">
        <f>SUBSTITUTE(TRIM(MID(SUBSTITUTE(SUBSTITUTE(SUBSTITUTE(Tabla1[[#This Row],[map]],"[",""),"]",""),",",REPT(" ",100)),1201,600))," ",", ")</f>
        <v>2, 0, 1, 3, 4, -1</v>
      </c>
    </row>
    <row r="135" spans="1:85" x14ac:dyDescent="0.3">
      <c r="A135" s="1">
        <v>46098.117199074077</v>
      </c>
      <c r="B135" t="s">
        <v>305</v>
      </c>
      <c r="C135">
        <v>1</v>
      </c>
      <c r="D135" t="s">
        <v>96</v>
      </c>
      <c r="E135" t="s">
        <v>78</v>
      </c>
      <c r="F135">
        <v>16590</v>
      </c>
      <c r="G135">
        <v>4.5</v>
      </c>
      <c r="H135" t="s">
        <v>79</v>
      </c>
      <c r="I135" t="s">
        <v>80</v>
      </c>
      <c r="J135">
        <v>5</v>
      </c>
      <c r="K135">
        <v>5</v>
      </c>
      <c r="L135" t="s">
        <v>81</v>
      </c>
      <c r="M135" t="s">
        <v>82</v>
      </c>
      <c r="N135" t="s">
        <v>83</v>
      </c>
      <c r="O135" t="s">
        <v>83</v>
      </c>
      <c r="P135" t="s">
        <v>84</v>
      </c>
      <c r="Q135" t="s">
        <v>303</v>
      </c>
      <c r="R135">
        <v>3</v>
      </c>
      <c r="S135" t="s">
        <v>86</v>
      </c>
      <c r="T135" t="s">
        <v>87</v>
      </c>
      <c r="U135" t="s">
        <v>88</v>
      </c>
      <c r="V135">
        <v>1</v>
      </c>
      <c r="W135" t="s">
        <v>304</v>
      </c>
      <c r="X135" t="s">
        <v>83</v>
      </c>
      <c r="Y135" t="s">
        <v>90</v>
      </c>
      <c r="Z135">
        <v>4000</v>
      </c>
      <c r="AA135">
        <v>4000</v>
      </c>
      <c r="AC135">
        <v>256</v>
      </c>
      <c r="AD135" t="s">
        <v>91</v>
      </c>
      <c r="AE135">
        <v>0.15</v>
      </c>
      <c r="AF135" t="s">
        <v>92</v>
      </c>
      <c r="AG135">
        <v>180</v>
      </c>
      <c r="AH135">
        <v>60</v>
      </c>
      <c r="AI135">
        <v>120</v>
      </c>
      <c r="AJ135">
        <v>0.1152483276880111</v>
      </c>
      <c r="AK135">
        <v>15.941764039786669</v>
      </c>
      <c r="AL135">
        <v>0.72613121484141663</v>
      </c>
      <c r="AM135">
        <v>0.25145603911308001</v>
      </c>
      <c r="AN135">
        <v>17.801223508368739</v>
      </c>
      <c r="AO135">
        <v>0.66733726716710606</v>
      </c>
      <c r="AP135">
        <v>17.801223508368739</v>
      </c>
      <c r="AQ135">
        <v>17.801223508368739</v>
      </c>
      <c r="AR135">
        <v>0.66733726716710606</v>
      </c>
      <c r="AS135">
        <v>103.3651647395255</v>
      </c>
      <c r="AT135">
        <v>0.28473750334746628</v>
      </c>
      <c r="AU135">
        <v>0.8</v>
      </c>
      <c r="AV135" t="s">
        <v>93</v>
      </c>
      <c r="AW135">
        <v>7.0825215503091329E-2</v>
      </c>
      <c r="AX135">
        <v>0.48571736138062682</v>
      </c>
      <c r="AY135">
        <v>7.0825215503091329E-2</v>
      </c>
      <c r="AZ135">
        <v>7.0825215503091329E-2</v>
      </c>
      <c r="BA135">
        <v>0.48571736138062682</v>
      </c>
      <c r="BB135">
        <v>9.2361055773535122E-2</v>
      </c>
      <c r="BC135">
        <v>0.32933931606870293</v>
      </c>
      <c r="BD135">
        <v>0.1038301242611972</v>
      </c>
      <c r="BE135">
        <v>0.64025079568167576</v>
      </c>
      <c r="BF135">
        <v>0.1038301242611972</v>
      </c>
      <c r="BG135">
        <v>0.1038301242611972</v>
      </c>
      <c r="BH135">
        <v>0.64025079568167576</v>
      </c>
      <c r="BI135">
        <v>0.13699131086464111</v>
      </c>
      <c r="BJ135">
        <v>0.52535436673365876</v>
      </c>
      <c r="BK135">
        <v>6.3425925527439045E-2</v>
      </c>
      <c r="BL135">
        <v>0.74536497074839292</v>
      </c>
      <c r="BM135">
        <v>6.3425925527439045E-2</v>
      </c>
      <c r="BN135">
        <v>6.3425925527439045E-2</v>
      </c>
      <c r="BO135">
        <v>0.74536497074839292</v>
      </c>
      <c r="BP135">
        <v>0.1345055784672273</v>
      </c>
      <c r="BQ135">
        <v>0.46000264682476322</v>
      </c>
      <c r="BR135">
        <v>70.966812768183189</v>
      </c>
      <c r="BS135">
        <v>0.79801594085773164</v>
      </c>
      <c r="BT135">
        <v>70.966812768183189</v>
      </c>
      <c r="BU135">
        <v>70.966812768183189</v>
      </c>
      <c r="BV135">
        <v>0.79801594085773164</v>
      </c>
      <c r="BW135">
        <v>413.09680101299767</v>
      </c>
      <c r="BX135">
        <v>-0.17574631623726661</v>
      </c>
      <c r="BY135" t="str">
        <f t="shared" si="5"/>
        <v>[[sv,wv],[yr],[ya]]</v>
      </c>
      <c r="BZ135" t="str">
        <f>SUBSTITUTE(TRIM(MID(SUBSTITUTE(SUBSTITUTE(SUBSTITUTE(Tabla1[[#This Row],[map]],"[",""),"]",""),",",REPT(" ",100)),901,200))," ",", ")</f>
        <v>2, 4</v>
      </c>
      <c r="CA135" t="str">
        <f>SUBSTITUTE(TRIM(MID(SUBSTITUTE(SUBSTITUTE(SUBSTITUTE(Tabla1[[#This Row],[map]],"[",""),"]",""),",",REPT(" ",100)),1501,200))," ",", ")</f>
        <v>3, 4</v>
      </c>
      <c r="CB135" t="str">
        <f>SUBSTITUTE(TRIM(MID(SUBSTITUTE(SUBSTITUTE(SUBSTITUTE(Tabla1[[#This Row],[map]],"[",""),"]",""),",",REPT(" ",100)),601,300))," ",", ")</f>
        <v>3, 0, 1</v>
      </c>
      <c r="CC135" t="str">
        <f>SUBSTITUTE(TRIM(MID(SUBSTITUTE(SUBSTITUTE(SUBSTITUTE(Tabla1[[#This Row],[map]],"[",""),"]",""),",",REPT(" ",100)),1201,300))," ",", ")</f>
        <v>2, 0, 1</v>
      </c>
      <c r="CD135" t="str">
        <f>SUBSTITUTE(TRIM(MID(SUBSTITUTE(SUBSTITUTE(SUBSTITUTE(Tabla1[[#This Row],[map]],"[",""),"]",""),",",REPT(" ",100)),1,300))," ",", ")</f>
        <v>4, 2, 3</v>
      </c>
      <c r="CE135" t="str">
        <f>SUBSTITUTE(TRIM(MID(SUBSTITUTE(SUBSTITUTE(SUBSTITUTE(Tabla1[[#This Row],[map]],"[",""),"]",""),",",REPT(" ",100)),1,600))," ",", ")</f>
        <v>4, 2, 3, 0, 1, -1</v>
      </c>
      <c r="CF135" t="str">
        <f>SUBSTITUTE(TRIM(MID(SUBSTITUTE(SUBSTITUTE(SUBSTITUTE(Tabla1[[#This Row],[map]],"[",""),"]",""),",",REPT(" ",100)),601,600))," ",", ")</f>
        <v>3, 0, 1, 2, 4, -1</v>
      </c>
      <c r="CG135" t="str">
        <f>SUBSTITUTE(TRIM(MID(SUBSTITUTE(SUBSTITUTE(SUBSTITUTE(Tabla1[[#This Row],[map]],"[",""),"]",""),",",REPT(" ",100)),1201,600))," ",", ")</f>
        <v>2, 0, 1, 3, 4, -1</v>
      </c>
    </row>
    <row r="136" spans="1:85" x14ac:dyDescent="0.3">
      <c r="A136" s="1">
        <v>46098.117048611108</v>
      </c>
      <c r="B136" t="s">
        <v>306</v>
      </c>
      <c r="C136">
        <v>2</v>
      </c>
      <c r="D136" t="s">
        <v>96</v>
      </c>
      <c r="E136" t="s">
        <v>78</v>
      </c>
      <c r="F136">
        <v>16590</v>
      </c>
      <c r="G136">
        <v>4.5</v>
      </c>
      <c r="H136" t="s">
        <v>79</v>
      </c>
      <c r="I136" t="s">
        <v>80</v>
      </c>
      <c r="J136">
        <v>5</v>
      </c>
      <c r="K136">
        <v>5</v>
      </c>
      <c r="L136" t="s">
        <v>81</v>
      </c>
      <c r="M136" t="s">
        <v>82</v>
      </c>
      <c r="N136" t="s">
        <v>83</v>
      </c>
      <c r="O136" t="s">
        <v>83</v>
      </c>
      <c r="P136" t="s">
        <v>84</v>
      </c>
      <c r="Q136" t="s">
        <v>303</v>
      </c>
      <c r="R136">
        <v>3</v>
      </c>
      <c r="S136" t="s">
        <v>86</v>
      </c>
      <c r="T136" t="s">
        <v>87</v>
      </c>
      <c r="U136" t="s">
        <v>88</v>
      </c>
      <c r="V136">
        <v>1</v>
      </c>
      <c r="W136" t="s">
        <v>304</v>
      </c>
      <c r="X136" t="s">
        <v>83</v>
      </c>
      <c r="Y136" t="s">
        <v>90</v>
      </c>
      <c r="Z136">
        <v>4000</v>
      </c>
      <c r="AA136">
        <v>4000</v>
      </c>
      <c r="AC136">
        <v>256</v>
      </c>
      <c r="AD136" t="s">
        <v>91</v>
      </c>
      <c r="AE136">
        <v>0.15</v>
      </c>
      <c r="AF136" t="s">
        <v>92</v>
      </c>
      <c r="AG136">
        <v>180</v>
      </c>
      <c r="AH136">
        <v>60</v>
      </c>
      <c r="AI136">
        <v>120</v>
      </c>
      <c r="AJ136">
        <v>0.11367451601396859</v>
      </c>
      <c r="AK136">
        <v>19.307106933567901</v>
      </c>
      <c r="AL136">
        <v>0.70779832589220226</v>
      </c>
      <c r="AM136">
        <v>-0.31692067830145232</v>
      </c>
      <c r="AN136">
        <v>23.544082765455311</v>
      </c>
      <c r="AO136">
        <v>0.63339614986662041</v>
      </c>
      <c r="AP136">
        <v>23.544082765455311</v>
      </c>
      <c r="AQ136">
        <v>23.544082765455311</v>
      </c>
      <c r="AR136">
        <v>0.63339614986662041</v>
      </c>
      <c r="AS136">
        <v>138.8712277619224</v>
      </c>
      <c r="AT136">
        <v>-0.27455430838289469</v>
      </c>
      <c r="AU136">
        <v>0.8</v>
      </c>
      <c r="AV136" t="s">
        <v>93</v>
      </c>
      <c r="AW136">
        <v>7.692344961935467E-2</v>
      </c>
      <c r="AX136">
        <v>0.44143629693270142</v>
      </c>
      <c r="AY136">
        <v>7.692344961935467E-2</v>
      </c>
      <c r="AZ136">
        <v>7.692344961935467E-2</v>
      </c>
      <c r="BA136">
        <v>0.44143629693270142</v>
      </c>
      <c r="BB136">
        <v>0.12211168087369249</v>
      </c>
      <c r="BC136">
        <v>0.1133113115168936</v>
      </c>
      <c r="BD136">
        <v>0.1032583103233463</v>
      </c>
      <c r="BE136">
        <v>0.64223200884715848</v>
      </c>
      <c r="BF136">
        <v>0.1032583103233463</v>
      </c>
      <c r="BG136">
        <v>0.1032583103233463</v>
      </c>
      <c r="BH136">
        <v>0.64223200884715848</v>
      </c>
      <c r="BI136">
        <v>0.26550135121610419</v>
      </c>
      <c r="BJ136">
        <v>8.0094524348669038E-2</v>
      </c>
      <c r="BK136">
        <v>7.0430094503241947E-2</v>
      </c>
      <c r="BL136">
        <v>0.71724544774253318</v>
      </c>
      <c r="BM136">
        <v>7.0430094503241947E-2</v>
      </c>
      <c r="BN136">
        <v>7.0430094503241947E-2</v>
      </c>
      <c r="BO136">
        <v>0.71724544774253318</v>
      </c>
      <c r="BP136">
        <v>0.4266669070186434</v>
      </c>
      <c r="BQ136">
        <v>-0.71293267612443056</v>
      </c>
      <c r="BR136">
        <v>93.925719207375082</v>
      </c>
      <c r="BS136">
        <v>0.73267084594409038</v>
      </c>
      <c r="BT136">
        <v>93.925719207375082</v>
      </c>
      <c r="BU136">
        <v>93.925719207375082</v>
      </c>
      <c r="BV136">
        <v>0.73267084594409038</v>
      </c>
      <c r="BW136">
        <v>554.67063110857873</v>
      </c>
      <c r="BX136">
        <v>-0.57869039327271832</v>
      </c>
      <c r="BY136" t="str">
        <f t="shared" si="5"/>
        <v>[[sv,wv],[yr],[ya]]</v>
      </c>
      <c r="BZ136" t="str">
        <f>SUBSTITUTE(TRIM(MID(SUBSTITUTE(SUBSTITUTE(SUBSTITUTE(Tabla1[[#This Row],[map]],"[",""),"]",""),",",REPT(" ",100)),901,200))," ",", ")</f>
        <v>2, 4</v>
      </c>
      <c r="CA136" t="str">
        <f>SUBSTITUTE(TRIM(MID(SUBSTITUTE(SUBSTITUTE(SUBSTITUTE(Tabla1[[#This Row],[map]],"[",""),"]",""),",",REPT(" ",100)),1501,200))," ",", ")</f>
        <v>3, 4</v>
      </c>
      <c r="CB136" t="str">
        <f>SUBSTITUTE(TRIM(MID(SUBSTITUTE(SUBSTITUTE(SUBSTITUTE(Tabla1[[#This Row],[map]],"[",""),"]",""),",",REPT(" ",100)),601,300))," ",", ")</f>
        <v>3, 0, 1</v>
      </c>
      <c r="CC136" t="str">
        <f>SUBSTITUTE(TRIM(MID(SUBSTITUTE(SUBSTITUTE(SUBSTITUTE(Tabla1[[#This Row],[map]],"[",""),"]",""),",",REPT(" ",100)),1201,300))," ",", ")</f>
        <v>2, 0, 1</v>
      </c>
      <c r="CD136" t="str">
        <f>SUBSTITUTE(TRIM(MID(SUBSTITUTE(SUBSTITUTE(SUBSTITUTE(Tabla1[[#This Row],[map]],"[",""),"]",""),",",REPT(" ",100)),1,300))," ",", ")</f>
        <v>4, 2, 3</v>
      </c>
      <c r="CE136" t="str">
        <f>SUBSTITUTE(TRIM(MID(SUBSTITUTE(SUBSTITUTE(SUBSTITUTE(Tabla1[[#This Row],[map]],"[",""),"]",""),",",REPT(" ",100)),1,600))," ",", ")</f>
        <v>4, 2, 3, 0, 1, -1</v>
      </c>
      <c r="CF136" t="str">
        <f>SUBSTITUTE(TRIM(MID(SUBSTITUTE(SUBSTITUTE(SUBSTITUTE(Tabla1[[#This Row],[map]],"[",""),"]",""),",",REPT(" ",100)),601,600))," ",", ")</f>
        <v>3, 0, 1, 2, 4, -1</v>
      </c>
      <c r="CG136" t="str">
        <f>SUBSTITUTE(TRIM(MID(SUBSTITUTE(SUBSTITUTE(SUBSTITUTE(Tabla1[[#This Row],[map]],"[",""),"]",""),",",REPT(" ",100)),1201,600))," ",", ")</f>
        <v>2, 0, 1, 3, 4, -1</v>
      </c>
    </row>
    <row r="137" spans="1:85" x14ac:dyDescent="0.3">
      <c r="A137" s="1">
        <v>46098.139953703707</v>
      </c>
      <c r="B137" t="s">
        <v>307</v>
      </c>
      <c r="C137">
        <v>3</v>
      </c>
      <c r="D137" t="s">
        <v>77</v>
      </c>
      <c r="E137" t="s">
        <v>78</v>
      </c>
      <c r="F137">
        <v>16590</v>
      </c>
      <c r="G137">
        <v>4.5</v>
      </c>
      <c r="H137" t="s">
        <v>79</v>
      </c>
      <c r="I137" t="s">
        <v>80</v>
      </c>
      <c r="J137">
        <v>5</v>
      </c>
      <c r="K137">
        <v>5</v>
      </c>
      <c r="L137" t="s">
        <v>81</v>
      </c>
      <c r="M137" t="s">
        <v>82</v>
      </c>
      <c r="N137" t="s">
        <v>83</v>
      </c>
      <c r="O137" t="s">
        <v>83</v>
      </c>
      <c r="P137" t="s">
        <v>84</v>
      </c>
      <c r="Q137" t="s">
        <v>303</v>
      </c>
      <c r="R137">
        <v>3</v>
      </c>
      <c r="S137" t="s">
        <v>86</v>
      </c>
      <c r="T137" t="s">
        <v>87</v>
      </c>
      <c r="U137" t="s">
        <v>88</v>
      </c>
      <c r="V137">
        <v>1</v>
      </c>
      <c r="W137" t="s">
        <v>304</v>
      </c>
      <c r="X137" t="s">
        <v>83</v>
      </c>
      <c r="Y137" t="s">
        <v>90</v>
      </c>
      <c r="Z137">
        <v>4000</v>
      </c>
      <c r="AA137">
        <v>4000</v>
      </c>
      <c r="AC137">
        <v>256</v>
      </c>
      <c r="AD137" t="s">
        <v>91</v>
      </c>
      <c r="AE137">
        <v>0.15</v>
      </c>
      <c r="AF137" t="s">
        <v>92</v>
      </c>
      <c r="AG137">
        <v>180</v>
      </c>
      <c r="AH137">
        <v>60</v>
      </c>
      <c r="AI137">
        <v>120</v>
      </c>
      <c r="AJ137">
        <v>0.1415693656208592</v>
      </c>
      <c r="AK137">
        <v>47.908697983786958</v>
      </c>
      <c r="AL137">
        <v>0.5244023263265325</v>
      </c>
      <c r="AM137">
        <v>0.14640117808442549</v>
      </c>
      <c r="AN137">
        <v>56.16135391904033</v>
      </c>
      <c r="AO137">
        <v>0.46622004246825022</v>
      </c>
      <c r="AP137">
        <v>56.16135391904033</v>
      </c>
      <c r="AQ137">
        <v>56.16135391904033</v>
      </c>
      <c r="AR137">
        <v>0.46622004246825022</v>
      </c>
      <c r="AS137">
        <v>89.960128304923501</v>
      </c>
      <c r="AT137">
        <v>9.7982440556248468E-2</v>
      </c>
      <c r="AU137">
        <v>0.8</v>
      </c>
      <c r="AV137" t="s">
        <v>93</v>
      </c>
      <c r="AW137">
        <v>0.1049378732344893</v>
      </c>
      <c r="AX137">
        <v>0.23801535999868681</v>
      </c>
      <c r="AY137">
        <v>0.1049378732344893</v>
      </c>
      <c r="AZ137">
        <v>0.1049378732344893</v>
      </c>
      <c r="BA137">
        <v>0.23801535999868681</v>
      </c>
      <c r="BB137">
        <v>0.1146832827198227</v>
      </c>
      <c r="BC137">
        <v>0.1672510867247885</v>
      </c>
      <c r="BD137">
        <v>8.1601672386385632E-2</v>
      </c>
      <c r="BE137">
        <v>0.71726763383044889</v>
      </c>
      <c r="BF137">
        <v>8.1601672386385632E-2</v>
      </c>
      <c r="BG137">
        <v>8.1601672386385632E-2</v>
      </c>
      <c r="BH137">
        <v>0.71726763383044889</v>
      </c>
      <c r="BI137">
        <v>0.16944238455070021</v>
      </c>
      <c r="BJ137">
        <v>0.41291832737703549</v>
      </c>
      <c r="BK137">
        <v>0.1125552299922124</v>
      </c>
      <c r="BL137">
        <v>0.54812635301491353</v>
      </c>
      <c r="BM137">
        <v>0.1125552299922124</v>
      </c>
      <c r="BN137">
        <v>0.1125552299922124</v>
      </c>
      <c r="BO137">
        <v>0.54812635301491353</v>
      </c>
      <c r="BP137">
        <v>0.29036041068429808</v>
      </c>
      <c r="BQ137">
        <v>-0.1657052073464669</v>
      </c>
      <c r="BR137">
        <v>224.3463209005487</v>
      </c>
      <c r="BS137">
        <v>0.36147082302894817</v>
      </c>
      <c r="BT137">
        <v>224.3463209005487</v>
      </c>
      <c r="BU137">
        <v>224.3463209005487</v>
      </c>
      <c r="BV137">
        <v>0.36147082302894817</v>
      </c>
      <c r="BW137">
        <v>359.2660271417393</v>
      </c>
      <c r="BX137">
        <v>-2.2534444530368569E-2</v>
      </c>
      <c r="BY137" t="str">
        <f t="shared" si="5"/>
        <v>[[sv,wv],[yr],[ya]]</v>
      </c>
      <c r="BZ137" t="str">
        <f>SUBSTITUTE(TRIM(MID(SUBSTITUTE(SUBSTITUTE(SUBSTITUTE(Tabla1[[#This Row],[map]],"[",""),"]",""),",",REPT(" ",100)),901,200))," ",", ")</f>
        <v>2, 4</v>
      </c>
      <c r="CA137" t="str">
        <f>SUBSTITUTE(TRIM(MID(SUBSTITUTE(SUBSTITUTE(SUBSTITUTE(Tabla1[[#This Row],[map]],"[",""),"]",""),",",REPT(" ",100)),1501,200))," ",", ")</f>
        <v>3, 4</v>
      </c>
      <c r="CB137" t="str">
        <f>SUBSTITUTE(TRIM(MID(SUBSTITUTE(SUBSTITUTE(SUBSTITUTE(Tabla1[[#This Row],[map]],"[",""),"]",""),",",REPT(" ",100)),601,300))," ",", ")</f>
        <v>3, 0, 1</v>
      </c>
      <c r="CC137" t="str">
        <f>SUBSTITUTE(TRIM(MID(SUBSTITUTE(SUBSTITUTE(SUBSTITUTE(Tabla1[[#This Row],[map]],"[",""),"]",""),",",REPT(" ",100)),1201,300))," ",", ")</f>
        <v>2, 0, 1</v>
      </c>
      <c r="CD137" t="str">
        <f>SUBSTITUTE(TRIM(MID(SUBSTITUTE(SUBSTITUTE(SUBSTITUTE(Tabla1[[#This Row],[map]],"[",""),"]",""),",",REPT(" ",100)),1,300))," ",", ")</f>
        <v>4, 2, 3</v>
      </c>
      <c r="CE137" t="str">
        <f>SUBSTITUTE(TRIM(MID(SUBSTITUTE(SUBSTITUTE(SUBSTITUTE(Tabla1[[#This Row],[map]],"[",""),"]",""),",",REPT(" ",100)),1,600))," ",", ")</f>
        <v>4, 2, 3, 0, 1, -1</v>
      </c>
      <c r="CF137" t="str">
        <f>SUBSTITUTE(TRIM(MID(SUBSTITUTE(SUBSTITUTE(SUBSTITUTE(Tabla1[[#This Row],[map]],"[",""),"]",""),",",REPT(" ",100)),601,600))," ",", ")</f>
        <v>3, 0, 1, 2, 4, -1</v>
      </c>
      <c r="CG137" t="str">
        <f>SUBSTITUTE(TRIM(MID(SUBSTITUTE(SUBSTITUTE(SUBSTITUTE(Tabla1[[#This Row],[map]],"[",""),"]",""),",",REPT(" ",100)),1201,600))," ",", ")</f>
        <v>2, 0, 1, 3, 4, -1</v>
      </c>
    </row>
    <row r="138" spans="1:85" x14ac:dyDescent="0.3">
      <c r="A138" s="1">
        <v>46098.185879629629</v>
      </c>
      <c r="B138" t="s">
        <v>308</v>
      </c>
      <c r="C138">
        <v>4</v>
      </c>
      <c r="D138" t="s">
        <v>96</v>
      </c>
      <c r="E138" t="s">
        <v>78</v>
      </c>
      <c r="F138">
        <v>16590</v>
      </c>
      <c r="G138">
        <v>4.5</v>
      </c>
      <c r="H138" t="s">
        <v>79</v>
      </c>
      <c r="I138" t="s">
        <v>80</v>
      </c>
      <c r="J138">
        <v>5</v>
      </c>
      <c r="K138">
        <v>5</v>
      </c>
      <c r="L138" t="s">
        <v>81</v>
      </c>
      <c r="M138" t="s">
        <v>82</v>
      </c>
      <c r="N138" t="s">
        <v>83</v>
      </c>
      <c r="O138" t="s">
        <v>83</v>
      </c>
      <c r="P138" t="s">
        <v>84</v>
      </c>
      <c r="Q138" t="s">
        <v>117</v>
      </c>
      <c r="R138">
        <v>3</v>
      </c>
      <c r="S138" t="s">
        <v>86</v>
      </c>
      <c r="T138" t="s">
        <v>87</v>
      </c>
      <c r="U138" t="s">
        <v>88</v>
      </c>
      <c r="V138">
        <v>1</v>
      </c>
      <c r="W138" t="s">
        <v>118</v>
      </c>
      <c r="X138" t="s">
        <v>83</v>
      </c>
      <c r="Y138" t="s">
        <v>90</v>
      </c>
      <c r="Z138">
        <v>4000</v>
      </c>
      <c r="AA138">
        <v>4000</v>
      </c>
      <c r="AC138">
        <v>256</v>
      </c>
      <c r="AD138" t="s">
        <v>91</v>
      </c>
      <c r="AE138">
        <v>0.15</v>
      </c>
      <c r="AF138" t="s">
        <v>92</v>
      </c>
      <c r="AG138">
        <v>180</v>
      </c>
      <c r="AH138">
        <v>60</v>
      </c>
      <c r="AI138">
        <v>120</v>
      </c>
      <c r="AJ138">
        <v>0.1127323050936708</v>
      </c>
      <c r="AK138">
        <v>36.789515746676727</v>
      </c>
      <c r="AL138">
        <v>0.72825796870933768</v>
      </c>
      <c r="AM138">
        <v>-1.0318442802648931</v>
      </c>
      <c r="AN138">
        <v>40.528745548963187</v>
      </c>
      <c r="AO138">
        <v>0.65912051190692145</v>
      </c>
      <c r="AP138">
        <v>40.528745548963187</v>
      </c>
      <c r="AQ138">
        <v>40.528745548963187</v>
      </c>
      <c r="AR138">
        <v>0.65912051190692145</v>
      </c>
      <c r="AS138">
        <v>134.10469382874729</v>
      </c>
      <c r="AT138">
        <v>-0.98687741037852617</v>
      </c>
      <c r="AU138">
        <v>0.8</v>
      </c>
      <c r="AV138" t="s">
        <v>93</v>
      </c>
      <c r="AW138">
        <v>6.6079014227497956E-2</v>
      </c>
      <c r="AX138">
        <v>0.52018091928288623</v>
      </c>
      <c r="AY138">
        <v>6.6079014227497956E-2</v>
      </c>
      <c r="AZ138">
        <v>6.6079014227497956E-2</v>
      </c>
      <c r="BA138">
        <v>0.52018091928288623</v>
      </c>
      <c r="BB138">
        <v>0.17243777800043339</v>
      </c>
      <c r="BC138">
        <v>-0.25212122318009578</v>
      </c>
      <c r="BD138">
        <v>4.5444437312894367E-2</v>
      </c>
      <c r="BE138">
        <v>0.84254473082512327</v>
      </c>
      <c r="BF138">
        <v>4.5444437312894367E-2</v>
      </c>
      <c r="BG138">
        <v>4.5444437312894367E-2</v>
      </c>
      <c r="BH138">
        <v>0.84254473082512327</v>
      </c>
      <c r="BI138">
        <v>0.699323997544541</v>
      </c>
      <c r="BJ138">
        <v>-1.423008288466219</v>
      </c>
      <c r="BK138">
        <v>6.6092706781171101E-2</v>
      </c>
      <c r="BL138">
        <v>0.73465868752264907</v>
      </c>
      <c r="BM138">
        <v>6.6092706781171101E-2</v>
      </c>
      <c r="BN138">
        <v>6.6092706781171101E-2</v>
      </c>
      <c r="BO138">
        <v>0.73465868752264907</v>
      </c>
      <c r="BP138">
        <v>0.68500254767485824</v>
      </c>
      <c r="BQ138">
        <v>-1.7500685613039051</v>
      </c>
      <c r="BR138">
        <v>161.9373660375305</v>
      </c>
      <c r="BS138">
        <v>0.53909770999702888</v>
      </c>
      <c r="BT138">
        <v>161.9373660375305</v>
      </c>
      <c r="BU138">
        <v>161.9373660375305</v>
      </c>
      <c r="BV138">
        <v>0.53909770999702888</v>
      </c>
      <c r="BW138">
        <v>534.86201099176765</v>
      </c>
      <c r="BX138">
        <v>-0.52231156856390304</v>
      </c>
      <c r="BY138" t="str">
        <f t="shared" si="5"/>
        <v>[[sv,wv],[yr],[ya]]</v>
      </c>
      <c r="BZ138" t="str">
        <f>SUBSTITUTE(TRIM(MID(SUBSTITUTE(SUBSTITUTE(SUBSTITUTE(Tabla1[[#This Row],[map]],"[",""),"]",""),",",REPT(" ",100)),901,200))," ",", ")</f>
        <v>2, 3</v>
      </c>
      <c r="CA138" t="str">
        <f>SUBSTITUTE(TRIM(MID(SUBSTITUTE(SUBSTITUTE(SUBSTITUTE(Tabla1[[#This Row],[map]],"[",""),"]",""),",",REPT(" ",100)),1501,200))," ",", ")</f>
        <v>3, 2</v>
      </c>
      <c r="CB138" t="str">
        <f>SUBSTITUTE(TRIM(MID(SUBSTITUTE(SUBSTITUTE(SUBSTITUTE(Tabla1[[#This Row],[map]],"[",""),"]",""),",",REPT(" ",100)),601,300))," ",", ")</f>
        <v>0, 1, 4</v>
      </c>
      <c r="CC138" t="str">
        <f>SUBSTITUTE(TRIM(MID(SUBSTITUTE(SUBSTITUTE(SUBSTITUTE(Tabla1[[#This Row],[map]],"[",""),"]",""),",",REPT(" ",100)),1201,300))," ",", ")</f>
        <v>4, 0, 1</v>
      </c>
      <c r="CD138" t="str">
        <f>SUBSTITUTE(TRIM(MID(SUBSTITUTE(SUBSTITUTE(SUBSTITUTE(Tabla1[[#This Row],[map]],"[",""),"]",""),",",REPT(" ",100)),1,300))," ",", ")</f>
        <v>2, 3, 4</v>
      </c>
      <c r="CE138" t="str">
        <f>SUBSTITUTE(TRIM(MID(SUBSTITUTE(SUBSTITUTE(SUBSTITUTE(Tabla1[[#This Row],[map]],"[",""),"]",""),",",REPT(" ",100)),1,600))," ",", ")</f>
        <v>2, 3, 4, 0, 1, -1</v>
      </c>
      <c r="CF138" t="str">
        <f>SUBSTITUTE(TRIM(MID(SUBSTITUTE(SUBSTITUTE(SUBSTITUTE(Tabla1[[#This Row],[map]],"[",""),"]",""),",",REPT(" ",100)),601,600))," ",", ")</f>
        <v>0, 1, 4, 2, 3, -1</v>
      </c>
      <c r="CG138" t="str">
        <f>SUBSTITUTE(TRIM(MID(SUBSTITUTE(SUBSTITUTE(SUBSTITUTE(Tabla1[[#This Row],[map]],"[",""),"]",""),",",REPT(" ",100)),1201,600))," ",", ")</f>
        <v>4, 0, 1, 3, 2, -1</v>
      </c>
    </row>
    <row r="139" spans="1:85" x14ac:dyDescent="0.3">
      <c r="A139" s="1">
        <v>46098.190115740741</v>
      </c>
      <c r="B139" t="s">
        <v>309</v>
      </c>
      <c r="C139">
        <v>5</v>
      </c>
      <c r="D139" t="s">
        <v>96</v>
      </c>
      <c r="E139" t="s">
        <v>78</v>
      </c>
      <c r="F139">
        <v>16590</v>
      </c>
      <c r="G139">
        <v>4.5</v>
      </c>
      <c r="H139" t="s">
        <v>79</v>
      </c>
      <c r="I139" t="s">
        <v>80</v>
      </c>
      <c r="J139">
        <v>5</v>
      </c>
      <c r="K139">
        <v>5</v>
      </c>
      <c r="L139" t="s">
        <v>81</v>
      </c>
      <c r="M139" t="s">
        <v>82</v>
      </c>
      <c r="N139" t="s">
        <v>83</v>
      </c>
      <c r="O139" t="s">
        <v>83</v>
      </c>
      <c r="P139" t="s">
        <v>84</v>
      </c>
      <c r="Q139" t="s">
        <v>117</v>
      </c>
      <c r="R139">
        <v>3</v>
      </c>
      <c r="S139" t="s">
        <v>86</v>
      </c>
      <c r="T139" t="s">
        <v>87</v>
      </c>
      <c r="U139" t="s">
        <v>88</v>
      </c>
      <c r="V139">
        <v>1</v>
      </c>
      <c r="W139" t="s">
        <v>118</v>
      </c>
      <c r="X139" t="s">
        <v>83</v>
      </c>
      <c r="Y139" t="s">
        <v>90</v>
      </c>
      <c r="Z139">
        <v>4000</v>
      </c>
      <c r="AA139">
        <v>4000</v>
      </c>
      <c r="AC139">
        <v>256</v>
      </c>
      <c r="AD139" t="s">
        <v>91</v>
      </c>
      <c r="AE139">
        <v>0.15</v>
      </c>
      <c r="AF139" t="s">
        <v>92</v>
      </c>
      <c r="AG139">
        <v>180</v>
      </c>
      <c r="AH139">
        <v>60</v>
      </c>
      <c r="AI139">
        <v>120</v>
      </c>
      <c r="AJ139">
        <v>0.13528206406187829</v>
      </c>
      <c r="AK139">
        <v>44.227108547728363</v>
      </c>
      <c r="AL139">
        <v>0.63941756929236004</v>
      </c>
      <c r="AM139">
        <v>-0.67969385634637813</v>
      </c>
      <c r="AN139">
        <v>48.05854237592375</v>
      </c>
      <c r="AO139">
        <v>0.56494720507325025</v>
      </c>
      <c r="AP139">
        <v>48.05854237592375</v>
      </c>
      <c r="AQ139">
        <v>48.05854237592375</v>
      </c>
      <c r="AR139">
        <v>0.56494720507325025</v>
      </c>
      <c r="AS139">
        <v>114.3872396481835</v>
      </c>
      <c r="AT139">
        <v>-0.63392807314457311</v>
      </c>
      <c r="AU139">
        <v>0.8</v>
      </c>
      <c r="AV139" t="s">
        <v>93</v>
      </c>
      <c r="AW139">
        <v>6.7524802348844198E-2</v>
      </c>
      <c r="AX139">
        <v>0.50968262817782017</v>
      </c>
      <c r="AY139">
        <v>6.7524802348844198E-2</v>
      </c>
      <c r="AZ139">
        <v>6.7524802348844198E-2</v>
      </c>
      <c r="BA139">
        <v>0.50968262817782017</v>
      </c>
      <c r="BB139">
        <v>0.15364209757836761</v>
      </c>
      <c r="BC139">
        <v>-0.1156402812804616</v>
      </c>
      <c r="BD139">
        <v>7.7103361774116058E-2</v>
      </c>
      <c r="BE139">
        <v>0.73285331934373721</v>
      </c>
      <c r="BF139">
        <v>7.7103361774116058E-2</v>
      </c>
      <c r="BG139">
        <v>7.7103361774116058E-2</v>
      </c>
      <c r="BH139">
        <v>0.73285331934373721</v>
      </c>
      <c r="BI139">
        <v>0.66361364888210328</v>
      </c>
      <c r="BJ139">
        <v>-1.2992795574389471</v>
      </c>
      <c r="BK139">
        <v>0.10868496760659679</v>
      </c>
      <c r="BL139">
        <v>0.5636642323217953</v>
      </c>
      <c r="BM139">
        <v>0.10868496760659679</v>
      </c>
      <c r="BN139">
        <v>0.10868496760659679</v>
      </c>
      <c r="BO139">
        <v>0.5636642323217953</v>
      </c>
      <c r="BP139">
        <v>0.45387020415408991</v>
      </c>
      <c r="BQ139">
        <v>-0.82214530966854649</v>
      </c>
      <c r="BR139">
        <v>191.98085637196499</v>
      </c>
      <c r="BS139">
        <v>0.45358864044964731</v>
      </c>
      <c r="BT139">
        <v>191.98085637196499</v>
      </c>
      <c r="BU139">
        <v>191.98085637196499</v>
      </c>
      <c r="BV139">
        <v>0.45358864044964731</v>
      </c>
      <c r="BW139">
        <v>456.27783264211951</v>
      </c>
      <c r="BX139">
        <v>-0.29864714419034333</v>
      </c>
      <c r="BY139" t="str">
        <f t="shared" si="5"/>
        <v>[[sv,wv],[yr],[ya]]</v>
      </c>
      <c r="BZ139" t="str">
        <f>SUBSTITUTE(TRIM(MID(SUBSTITUTE(SUBSTITUTE(SUBSTITUTE(Tabla1[[#This Row],[map]],"[",""),"]",""),",",REPT(" ",100)),901,200))," ",", ")</f>
        <v>2, 3</v>
      </c>
      <c r="CA139" t="str">
        <f>SUBSTITUTE(TRIM(MID(SUBSTITUTE(SUBSTITUTE(SUBSTITUTE(Tabla1[[#This Row],[map]],"[",""),"]",""),",",REPT(" ",100)),1501,200))," ",", ")</f>
        <v>3, 2</v>
      </c>
      <c r="CB139" t="str">
        <f>SUBSTITUTE(TRIM(MID(SUBSTITUTE(SUBSTITUTE(SUBSTITUTE(Tabla1[[#This Row],[map]],"[",""),"]",""),",",REPT(" ",100)),601,300))," ",", ")</f>
        <v>0, 1, 4</v>
      </c>
      <c r="CC139" t="str">
        <f>SUBSTITUTE(TRIM(MID(SUBSTITUTE(SUBSTITUTE(SUBSTITUTE(Tabla1[[#This Row],[map]],"[",""),"]",""),",",REPT(" ",100)),1201,300))," ",", ")</f>
        <v>4, 0, 1</v>
      </c>
      <c r="CD139" t="str">
        <f>SUBSTITUTE(TRIM(MID(SUBSTITUTE(SUBSTITUTE(SUBSTITUTE(Tabla1[[#This Row],[map]],"[",""),"]",""),",",REPT(" ",100)),1,300))," ",", ")</f>
        <v>2, 3, 4</v>
      </c>
      <c r="CE139" t="str">
        <f>SUBSTITUTE(TRIM(MID(SUBSTITUTE(SUBSTITUTE(SUBSTITUTE(Tabla1[[#This Row],[map]],"[",""),"]",""),",",REPT(" ",100)),1,600))," ",", ")</f>
        <v>2, 3, 4, 0, 1, -1</v>
      </c>
      <c r="CF139" t="str">
        <f>SUBSTITUTE(TRIM(MID(SUBSTITUTE(SUBSTITUTE(SUBSTITUTE(Tabla1[[#This Row],[map]],"[",""),"]",""),",",REPT(" ",100)),601,600))," ",", ")</f>
        <v>0, 1, 4, 2, 3, -1</v>
      </c>
      <c r="CG139" t="str">
        <f>SUBSTITUTE(TRIM(MID(SUBSTITUTE(SUBSTITUTE(SUBSTITUTE(Tabla1[[#This Row],[map]],"[",""),"]",""),",",REPT(" ",100)),1201,600))," ",", ")</f>
        <v>4, 0, 1, 3, 2, -1</v>
      </c>
    </row>
    <row r="140" spans="1:85" x14ac:dyDescent="0.3">
      <c r="A140" s="1">
        <v>46098.311307870368</v>
      </c>
      <c r="B140" t="s">
        <v>310</v>
      </c>
      <c r="C140">
        <v>4</v>
      </c>
      <c r="D140" t="s">
        <v>77</v>
      </c>
      <c r="E140" t="s">
        <v>78</v>
      </c>
      <c r="F140">
        <v>16590</v>
      </c>
      <c r="G140">
        <v>4.5</v>
      </c>
      <c r="H140" t="s">
        <v>79</v>
      </c>
      <c r="I140" t="s">
        <v>80</v>
      </c>
      <c r="J140">
        <v>5</v>
      </c>
      <c r="K140">
        <v>5</v>
      </c>
      <c r="L140" t="s">
        <v>81</v>
      </c>
      <c r="M140" t="s">
        <v>82</v>
      </c>
      <c r="N140" t="s">
        <v>83</v>
      </c>
      <c r="O140" t="s">
        <v>83</v>
      </c>
      <c r="P140" t="s">
        <v>84</v>
      </c>
      <c r="Q140" t="s">
        <v>123</v>
      </c>
      <c r="R140">
        <v>3</v>
      </c>
      <c r="S140" t="s">
        <v>86</v>
      </c>
      <c r="T140" t="s">
        <v>87</v>
      </c>
      <c r="U140" t="s">
        <v>88</v>
      </c>
      <c r="V140">
        <v>1</v>
      </c>
      <c r="W140" t="s">
        <v>124</v>
      </c>
      <c r="X140" t="s">
        <v>83</v>
      </c>
      <c r="Y140" t="s">
        <v>90</v>
      </c>
      <c r="Z140">
        <v>4000</v>
      </c>
      <c r="AA140">
        <v>4000</v>
      </c>
      <c r="AC140">
        <v>256</v>
      </c>
      <c r="AD140" t="s">
        <v>91</v>
      </c>
      <c r="AE140">
        <v>0.15</v>
      </c>
      <c r="AF140" t="s">
        <v>92</v>
      </c>
      <c r="AG140">
        <v>180</v>
      </c>
      <c r="AH140">
        <v>60</v>
      </c>
      <c r="AI140">
        <v>120</v>
      </c>
      <c r="AJ140">
        <v>9.4179719892348593E-2</v>
      </c>
      <c r="AK140">
        <v>13.146821265652781</v>
      </c>
      <c r="AL140">
        <v>0.81467469552285854</v>
      </c>
      <c r="AM140">
        <v>-0.695571934921136</v>
      </c>
      <c r="AN140">
        <v>14.57765749371702</v>
      </c>
      <c r="AO140">
        <v>0.74330331289652607</v>
      </c>
      <c r="AP140">
        <v>14.57765749371702</v>
      </c>
      <c r="AQ140">
        <v>14.57765749371702</v>
      </c>
      <c r="AR140">
        <v>0.74330331289652607</v>
      </c>
      <c r="AS140">
        <v>132.19321873132481</v>
      </c>
      <c r="AT140">
        <v>-0.78218433933176601</v>
      </c>
      <c r="AU140">
        <v>0.8</v>
      </c>
      <c r="AV140" t="s">
        <v>93</v>
      </c>
      <c r="AW140">
        <v>6.3452340516556335E-2</v>
      </c>
      <c r="AX140">
        <v>0.53925396660451763</v>
      </c>
      <c r="AY140">
        <v>6.3452340516556335E-2</v>
      </c>
      <c r="AZ140">
        <v>6.3452340516556335E-2</v>
      </c>
      <c r="BA140">
        <v>0.53925396660451763</v>
      </c>
      <c r="BB140">
        <v>0.19569376774198391</v>
      </c>
      <c r="BC140">
        <v>-0.42098977773419599</v>
      </c>
      <c r="BD140">
        <v>4.3304069879030349E-2</v>
      </c>
      <c r="BE140">
        <v>0.84996064683948158</v>
      </c>
      <c r="BF140">
        <v>4.3304069879030349E-2</v>
      </c>
      <c r="BG140">
        <v>4.3304069879030349E-2</v>
      </c>
      <c r="BH140">
        <v>0.84996064683948158</v>
      </c>
      <c r="BI140">
        <v>0.56039412377581244</v>
      </c>
      <c r="BJ140">
        <v>-0.94164594877937824</v>
      </c>
      <c r="BK140">
        <v>6.2401050933485858E-2</v>
      </c>
      <c r="BL140">
        <v>0.74947951807332869</v>
      </c>
      <c r="BM140">
        <v>6.2401050933485858E-2</v>
      </c>
      <c r="BN140">
        <v>6.2401050933485858E-2</v>
      </c>
      <c r="BO140">
        <v>0.74947951807332869</v>
      </c>
      <c r="BP140">
        <v>0.56414866354891569</v>
      </c>
      <c r="BQ140">
        <v>-1.264878442852003</v>
      </c>
      <c r="BR140">
        <v>58.141472513538943</v>
      </c>
      <c r="BS140">
        <v>0.83451912006877826</v>
      </c>
      <c r="BT140">
        <v>58.141472513538943</v>
      </c>
      <c r="BU140">
        <v>58.141472513538943</v>
      </c>
      <c r="BV140">
        <v>0.83451912006877826</v>
      </c>
      <c r="BW140">
        <v>527.45263837023356</v>
      </c>
      <c r="BX140">
        <v>-0.50122318796149834</v>
      </c>
      <c r="BY140" t="str">
        <f t="shared" si="5"/>
        <v>[[sv,wv],[yr],[ya]]</v>
      </c>
      <c r="BZ140" t="str">
        <f>SUBSTITUTE(TRIM(MID(SUBSTITUTE(SUBSTITUTE(SUBSTITUTE(Tabla1[[#This Row],[map]],"[",""),"]",""),",",REPT(" ",100)),901,200))," ",", ")</f>
        <v>2, 3</v>
      </c>
      <c r="CA140" t="str">
        <f>SUBSTITUTE(TRIM(MID(SUBSTITUTE(SUBSTITUTE(SUBSTITUTE(Tabla1[[#This Row],[map]],"[",""),"]",""),",",REPT(" ",100)),1501,200))," ",", ")</f>
        <v>3, 4</v>
      </c>
      <c r="CB140" t="str">
        <f>SUBSTITUTE(TRIM(MID(SUBSTITUTE(SUBSTITUTE(SUBSTITUTE(Tabla1[[#This Row],[map]],"[",""),"]",""),",",REPT(" ",100)),601,300))," ",", ")</f>
        <v>0, 1, 4</v>
      </c>
      <c r="CC140" t="str">
        <f>SUBSTITUTE(TRIM(MID(SUBSTITUTE(SUBSTITUTE(SUBSTITUTE(Tabla1[[#This Row],[map]],"[",""),"]",""),",",REPT(" ",100)),1201,300))," ",", ")</f>
        <v>0, 1, 2</v>
      </c>
      <c r="CD140" t="str">
        <f>SUBSTITUTE(TRIM(MID(SUBSTITUTE(SUBSTITUTE(SUBSTITUTE(Tabla1[[#This Row],[map]],"[",""),"]",""),",",REPT(" ",100)),1,300))," ",", ")</f>
        <v>2, 3, 4</v>
      </c>
      <c r="CE140" t="str">
        <f>SUBSTITUTE(TRIM(MID(SUBSTITUTE(SUBSTITUTE(SUBSTITUTE(Tabla1[[#This Row],[map]],"[",""),"]",""),",",REPT(" ",100)),1,600))," ",", ")</f>
        <v>2, 3, 4, 0, 1, -1</v>
      </c>
      <c r="CF140" t="str">
        <f>SUBSTITUTE(TRIM(MID(SUBSTITUTE(SUBSTITUTE(SUBSTITUTE(Tabla1[[#This Row],[map]],"[",""),"]",""),",",REPT(" ",100)),601,600))," ",", ")</f>
        <v>0, 1, 4, 2, 3, -1</v>
      </c>
      <c r="CG140" t="str">
        <f>SUBSTITUTE(TRIM(MID(SUBSTITUTE(SUBSTITUTE(SUBSTITUTE(Tabla1[[#This Row],[map]],"[",""),"]",""),",",REPT(" ",100)),1201,600))," ",", ")</f>
        <v>0, 1, 2, 3, 4, -1</v>
      </c>
    </row>
    <row r="141" spans="1:85" x14ac:dyDescent="0.3">
      <c r="A141" s="1">
        <v>46098.315046296288</v>
      </c>
      <c r="B141" t="s">
        <v>311</v>
      </c>
      <c r="C141">
        <v>5</v>
      </c>
      <c r="D141" t="s">
        <v>77</v>
      </c>
      <c r="E141" t="s">
        <v>78</v>
      </c>
      <c r="F141">
        <v>16590</v>
      </c>
      <c r="G141">
        <v>4.5</v>
      </c>
      <c r="H141" t="s">
        <v>79</v>
      </c>
      <c r="I141" t="s">
        <v>80</v>
      </c>
      <c r="J141">
        <v>5</v>
      </c>
      <c r="K141">
        <v>5</v>
      </c>
      <c r="L141" t="s">
        <v>81</v>
      </c>
      <c r="M141" t="s">
        <v>82</v>
      </c>
      <c r="N141" t="s">
        <v>83</v>
      </c>
      <c r="O141" t="s">
        <v>83</v>
      </c>
      <c r="P141" t="s">
        <v>84</v>
      </c>
      <c r="Q141" t="s">
        <v>123</v>
      </c>
      <c r="R141">
        <v>3</v>
      </c>
      <c r="S141" t="s">
        <v>86</v>
      </c>
      <c r="T141" t="s">
        <v>87</v>
      </c>
      <c r="U141" t="s">
        <v>88</v>
      </c>
      <c r="V141">
        <v>1</v>
      </c>
      <c r="W141" t="s">
        <v>124</v>
      </c>
      <c r="X141" t="s">
        <v>83</v>
      </c>
      <c r="Y141" t="s">
        <v>90</v>
      </c>
      <c r="Z141">
        <v>4000</v>
      </c>
      <c r="AA141">
        <v>4000</v>
      </c>
      <c r="AC141">
        <v>256</v>
      </c>
      <c r="AD141" t="s">
        <v>91</v>
      </c>
      <c r="AE141">
        <v>0.15</v>
      </c>
      <c r="AF141" t="s">
        <v>92</v>
      </c>
      <c r="AG141">
        <v>180</v>
      </c>
      <c r="AH141">
        <v>60</v>
      </c>
      <c r="AI141">
        <v>120</v>
      </c>
      <c r="AJ141">
        <v>0.1110094339861233</v>
      </c>
      <c r="AK141">
        <v>19.982388663623318</v>
      </c>
      <c r="AL141">
        <v>0.73380613803091588</v>
      </c>
      <c r="AM141">
        <v>-1.3557058338565311</v>
      </c>
      <c r="AN141">
        <v>20.201842711143701</v>
      </c>
      <c r="AO141">
        <v>0.66740839032795363</v>
      </c>
      <c r="AP141">
        <v>20.201842711143701</v>
      </c>
      <c r="AQ141">
        <v>20.201842711143701</v>
      </c>
      <c r="AR141">
        <v>0.66740839032795363</v>
      </c>
      <c r="AS141">
        <v>130.6207121841428</v>
      </c>
      <c r="AT141">
        <v>-1.178781575845024</v>
      </c>
      <c r="AU141">
        <v>0.8</v>
      </c>
      <c r="AV141" t="s">
        <v>93</v>
      </c>
      <c r="AW141">
        <v>6.2380224282730427E-2</v>
      </c>
      <c r="AX141">
        <v>0.54703891666392956</v>
      </c>
      <c r="AY141">
        <v>6.2380224282730427E-2</v>
      </c>
      <c r="AZ141">
        <v>6.2380224282730427E-2</v>
      </c>
      <c r="BA141">
        <v>0.54703891666392956</v>
      </c>
      <c r="BB141">
        <v>0.33105491936151937</v>
      </c>
      <c r="BC141">
        <v>-1.4038867548484171</v>
      </c>
      <c r="BD141">
        <v>6.4773299312603158E-2</v>
      </c>
      <c r="BE141">
        <v>0.77557435229334515</v>
      </c>
      <c r="BF141">
        <v>6.4773299312603158E-2</v>
      </c>
      <c r="BG141">
        <v>6.4773299312603158E-2</v>
      </c>
      <c r="BH141">
        <v>0.77557435229334515</v>
      </c>
      <c r="BI141">
        <v>0.72973535290675584</v>
      </c>
      <c r="BJ141">
        <v>-1.5283771394778629</v>
      </c>
      <c r="BK141">
        <v>0.1055251077762777</v>
      </c>
      <c r="BL141">
        <v>0.57635007007084327</v>
      </c>
      <c r="BM141">
        <v>0.1055251077762777</v>
      </c>
      <c r="BN141">
        <v>0.1055251077762777</v>
      </c>
      <c r="BO141">
        <v>0.57635007007084327</v>
      </c>
      <c r="BP141">
        <v>0.57300508858413146</v>
      </c>
      <c r="BQ141">
        <v>-1.3004341880642849</v>
      </c>
      <c r="BR141">
        <v>80.574692213203022</v>
      </c>
      <c r="BS141">
        <v>0.77067022228370086</v>
      </c>
      <c r="BT141">
        <v>80.574692213203022</v>
      </c>
      <c r="BU141">
        <v>80.574692213203022</v>
      </c>
      <c r="BV141">
        <v>0.77067022228370086</v>
      </c>
      <c r="BW141">
        <v>520.84905337571786</v>
      </c>
      <c r="BX141">
        <v>-0.48242822098953869</v>
      </c>
      <c r="BY141" t="str">
        <f t="shared" si="5"/>
        <v>[[sv,wv],[yr],[ya]]</v>
      </c>
      <c r="BZ141" t="str">
        <f>SUBSTITUTE(TRIM(MID(SUBSTITUTE(SUBSTITUTE(SUBSTITUTE(Tabla1[[#This Row],[map]],"[",""),"]",""),",",REPT(" ",100)),901,200))," ",", ")</f>
        <v>2, 3</v>
      </c>
      <c r="CA141" t="str">
        <f>SUBSTITUTE(TRIM(MID(SUBSTITUTE(SUBSTITUTE(SUBSTITUTE(Tabla1[[#This Row],[map]],"[",""),"]",""),",",REPT(" ",100)),1501,200))," ",", ")</f>
        <v>3, 4</v>
      </c>
      <c r="CB141" t="str">
        <f>SUBSTITUTE(TRIM(MID(SUBSTITUTE(SUBSTITUTE(SUBSTITUTE(Tabla1[[#This Row],[map]],"[",""),"]",""),",",REPT(" ",100)),601,300))," ",", ")</f>
        <v>0, 1, 4</v>
      </c>
      <c r="CC141" t="str">
        <f>SUBSTITUTE(TRIM(MID(SUBSTITUTE(SUBSTITUTE(SUBSTITUTE(Tabla1[[#This Row],[map]],"[",""),"]",""),",",REPT(" ",100)),1201,300))," ",", ")</f>
        <v>0, 1, 2</v>
      </c>
      <c r="CD141" t="str">
        <f>SUBSTITUTE(TRIM(MID(SUBSTITUTE(SUBSTITUTE(SUBSTITUTE(Tabla1[[#This Row],[map]],"[",""),"]",""),",",REPT(" ",100)),1,300))," ",", ")</f>
        <v>2, 3, 4</v>
      </c>
      <c r="CE141" t="str">
        <f>SUBSTITUTE(TRIM(MID(SUBSTITUTE(SUBSTITUTE(SUBSTITUTE(Tabla1[[#This Row],[map]],"[",""),"]",""),",",REPT(" ",100)),1,600))," ",", ")</f>
        <v>2, 3, 4, 0, 1, -1</v>
      </c>
      <c r="CF141" t="str">
        <f>SUBSTITUTE(TRIM(MID(SUBSTITUTE(SUBSTITUTE(SUBSTITUTE(Tabla1[[#This Row],[map]],"[",""),"]",""),",",REPT(" ",100)),601,600))," ",", ")</f>
        <v>0, 1, 4, 2, 3, -1</v>
      </c>
      <c r="CG141" t="str">
        <f>SUBSTITUTE(TRIM(MID(SUBSTITUTE(SUBSTITUTE(SUBSTITUTE(Tabla1[[#This Row],[map]],"[",""),"]",""),",",REPT(" ",100)),1201,600))," ",", ")</f>
        <v>0, 1, 2, 3, 4, -1</v>
      </c>
    </row>
    <row r="142" spans="1:85" x14ac:dyDescent="0.3">
      <c r="A142" s="1">
        <v>46098.416956018518</v>
      </c>
      <c r="B142" t="s">
        <v>312</v>
      </c>
      <c r="C142">
        <v>7</v>
      </c>
      <c r="D142" t="s">
        <v>77</v>
      </c>
      <c r="E142" t="s">
        <v>78</v>
      </c>
      <c r="F142">
        <v>16590</v>
      </c>
      <c r="G142">
        <v>4.5</v>
      </c>
      <c r="H142" t="s">
        <v>79</v>
      </c>
      <c r="I142" t="s">
        <v>80</v>
      </c>
      <c r="J142">
        <v>5</v>
      </c>
      <c r="K142">
        <v>5</v>
      </c>
      <c r="L142" t="s">
        <v>81</v>
      </c>
      <c r="M142" t="s">
        <v>82</v>
      </c>
      <c r="N142" t="s">
        <v>83</v>
      </c>
      <c r="O142" t="s">
        <v>83</v>
      </c>
      <c r="P142" t="s">
        <v>84</v>
      </c>
      <c r="Q142" t="s">
        <v>85</v>
      </c>
      <c r="R142">
        <v>3</v>
      </c>
      <c r="S142" t="s">
        <v>86</v>
      </c>
      <c r="T142" t="s">
        <v>87</v>
      </c>
      <c r="U142" t="s">
        <v>88</v>
      </c>
      <c r="V142">
        <v>1</v>
      </c>
      <c r="W142" t="s">
        <v>89</v>
      </c>
      <c r="X142" t="s">
        <v>83</v>
      </c>
      <c r="Y142" t="s">
        <v>90</v>
      </c>
      <c r="Z142">
        <v>4000</v>
      </c>
      <c r="AA142">
        <v>4000</v>
      </c>
      <c r="AC142">
        <v>256</v>
      </c>
      <c r="AD142" t="s">
        <v>91</v>
      </c>
      <c r="AE142">
        <v>0.15</v>
      </c>
      <c r="AF142" t="s">
        <v>92</v>
      </c>
      <c r="AG142">
        <v>180</v>
      </c>
      <c r="AH142">
        <v>60</v>
      </c>
      <c r="AI142">
        <v>120</v>
      </c>
      <c r="AJ142">
        <v>0.1173738445743369</v>
      </c>
      <c r="AK142">
        <v>22.486398508767731</v>
      </c>
      <c r="AL142">
        <v>0.64262781536269897</v>
      </c>
      <c r="AM142">
        <v>-1.329780241569543</v>
      </c>
      <c r="AN142">
        <v>28.366857019762161</v>
      </c>
      <c r="AO142">
        <v>0.58718818920318561</v>
      </c>
      <c r="AP142">
        <v>28.366857019762161</v>
      </c>
      <c r="AQ142">
        <v>28.366857019762161</v>
      </c>
      <c r="AR142">
        <v>0.58718818920318561</v>
      </c>
      <c r="AS142">
        <v>198.09511192875871</v>
      </c>
      <c r="AT142">
        <v>-1.313152300994243</v>
      </c>
      <c r="AU142">
        <v>0.8</v>
      </c>
      <c r="AV142" t="s">
        <v>93</v>
      </c>
      <c r="AW142">
        <v>0.1070476357840848</v>
      </c>
      <c r="AX142">
        <v>0.22269575605312669</v>
      </c>
      <c r="AY142">
        <v>0.1070476357840848</v>
      </c>
      <c r="AZ142">
        <v>0.1070476357840848</v>
      </c>
      <c r="BA142">
        <v>0.22269575605312669</v>
      </c>
      <c r="BB142">
        <v>0.16972660447083121</v>
      </c>
      <c r="BC142">
        <v>-0.23243459792022689</v>
      </c>
      <c r="BD142">
        <v>8.3274565816916515E-2</v>
      </c>
      <c r="BE142">
        <v>0.71147141539360215</v>
      </c>
      <c r="BF142">
        <v>8.3274565816916515E-2</v>
      </c>
      <c r="BG142">
        <v>8.3274565816916515E-2</v>
      </c>
      <c r="BH142">
        <v>0.71147141539360215</v>
      </c>
      <c r="BI142">
        <v>1.0790667273382839</v>
      </c>
      <c r="BJ142">
        <v>-2.7387357409857129</v>
      </c>
      <c r="BK142">
        <v>6.5557939829180664E-2</v>
      </c>
      <c r="BL142">
        <v>0.73680560768708503</v>
      </c>
      <c r="BM142">
        <v>6.5557939829180664E-2</v>
      </c>
      <c r="BN142">
        <v>6.5557939829180664E-2</v>
      </c>
      <c r="BO142">
        <v>0.73680560768708503</v>
      </c>
      <c r="BP142">
        <v>0.50593741776877743</v>
      </c>
      <c r="BQ142">
        <v>-1.03117870337267</v>
      </c>
      <c r="BR142">
        <v>113.2115479376185</v>
      </c>
      <c r="BS142">
        <v>0.67777997767892284</v>
      </c>
      <c r="BT142">
        <v>113.2115479376185</v>
      </c>
      <c r="BU142">
        <v>113.2115479376185</v>
      </c>
      <c r="BV142">
        <v>0.67777997767892284</v>
      </c>
      <c r="BW142">
        <v>790.62571696546001</v>
      </c>
      <c r="BX142">
        <v>-1.2502601616983691</v>
      </c>
      <c r="BY142" t="str">
        <f t="shared" ref="BY142:BY177" si="6">_xlfn.LET(_xlpm.TextoConfig, Q142,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42" t="str">
        <f>SUBSTITUTE(TRIM(MID(SUBSTITUTE(SUBSTITUTE(SUBSTITUTE(Tabla1[[#This Row],[map]],"[",""),"]",""),",",REPT(" ",100)),901,200))," ",", ")</f>
        <v>2, 3</v>
      </c>
      <c r="CA142" t="str">
        <f>SUBSTITUTE(TRIM(MID(SUBSTITUTE(SUBSTITUTE(SUBSTITUTE(Tabla1[[#This Row],[map]],"[",""),"]",""),",",REPT(" ",100)),1501,200))," ",", ")</f>
        <v>3, 2</v>
      </c>
      <c r="CB142" t="str">
        <f>SUBSTITUTE(TRIM(MID(SUBSTITUTE(SUBSTITUTE(SUBSTITUTE(Tabla1[[#This Row],[map]],"[",""),"]",""),",",REPT(" ",100)),601,300))," ",", ")</f>
        <v>0, 1, 4</v>
      </c>
      <c r="CC142" t="str">
        <f>SUBSTITUTE(TRIM(MID(SUBSTITUTE(SUBSTITUTE(SUBSTITUTE(Tabla1[[#This Row],[map]],"[",""),"]",""),",",REPT(" ",100)),1201,300))," ",", ")</f>
        <v>0, 1, 4</v>
      </c>
      <c r="CD142" t="str">
        <f>SUBSTITUTE(TRIM(MID(SUBSTITUTE(SUBSTITUTE(SUBSTITUTE(Tabla1[[#This Row],[map]],"[",""),"]",""),",",REPT(" ",100)),1,300))," ",", ")</f>
        <v>2, 3, 4</v>
      </c>
      <c r="CE142" t="str">
        <f>SUBSTITUTE(TRIM(MID(SUBSTITUTE(SUBSTITUTE(SUBSTITUTE(Tabla1[[#This Row],[map]],"[",""),"]",""),",",REPT(" ",100)),1,600))," ",", ")</f>
        <v>2, 3, 4, 0, 1, -1</v>
      </c>
      <c r="CF142" t="str">
        <f>SUBSTITUTE(TRIM(MID(SUBSTITUTE(SUBSTITUTE(SUBSTITUTE(Tabla1[[#This Row],[map]],"[",""),"]",""),",",REPT(" ",100)),601,600))," ",", ")</f>
        <v>0, 1, 4, 2, 3, -1</v>
      </c>
      <c r="CG142" t="str">
        <f>SUBSTITUTE(TRIM(MID(SUBSTITUTE(SUBSTITUTE(SUBSTITUTE(Tabla1[[#This Row],[map]],"[",""),"]",""),",",REPT(" ",100)),1201,600))," ",", ")</f>
        <v>0, 1, 4, 3, 2, -1</v>
      </c>
    </row>
    <row r="143" spans="1:85" x14ac:dyDescent="0.3">
      <c r="A143" s="1">
        <v>46098.416238425933</v>
      </c>
      <c r="B143" t="s">
        <v>313</v>
      </c>
      <c r="C143">
        <v>6</v>
      </c>
      <c r="D143" t="s">
        <v>77</v>
      </c>
      <c r="E143" t="s">
        <v>78</v>
      </c>
      <c r="F143">
        <v>16590</v>
      </c>
      <c r="G143">
        <v>4.5</v>
      </c>
      <c r="H143" t="s">
        <v>79</v>
      </c>
      <c r="I143" t="s">
        <v>80</v>
      </c>
      <c r="J143">
        <v>5</v>
      </c>
      <c r="K143">
        <v>5</v>
      </c>
      <c r="L143" t="s">
        <v>81</v>
      </c>
      <c r="M143" t="s">
        <v>82</v>
      </c>
      <c r="N143" t="s">
        <v>83</v>
      </c>
      <c r="O143" t="s">
        <v>83</v>
      </c>
      <c r="P143" t="s">
        <v>84</v>
      </c>
      <c r="Q143" t="s">
        <v>85</v>
      </c>
      <c r="R143">
        <v>3</v>
      </c>
      <c r="S143" t="s">
        <v>86</v>
      </c>
      <c r="T143" t="s">
        <v>87</v>
      </c>
      <c r="U143" t="s">
        <v>88</v>
      </c>
      <c r="V143">
        <v>1</v>
      </c>
      <c r="W143" t="s">
        <v>89</v>
      </c>
      <c r="X143" t="s">
        <v>83</v>
      </c>
      <c r="Y143" t="s">
        <v>90</v>
      </c>
      <c r="Z143">
        <v>4000</v>
      </c>
      <c r="AA143">
        <v>4000</v>
      </c>
      <c r="AC143">
        <v>256</v>
      </c>
      <c r="AD143" t="s">
        <v>91</v>
      </c>
      <c r="AE143">
        <v>0.15</v>
      </c>
      <c r="AF143" t="s">
        <v>92</v>
      </c>
      <c r="AG143">
        <v>180</v>
      </c>
      <c r="AH143">
        <v>60</v>
      </c>
      <c r="AI143">
        <v>120</v>
      </c>
      <c r="AJ143">
        <v>0.1104102137111094</v>
      </c>
      <c r="AK143">
        <v>13.60800826998457</v>
      </c>
      <c r="AL143">
        <v>0.7250895120735168</v>
      </c>
      <c r="AM143">
        <v>-0.40315805972809587</v>
      </c>
      <c r="AN143">
        <v>19.593508584214259</v>
      </c>
      <c r="AO143">
        <v>0.6577532752468167</v>
      </c>
      <c r="AP143">
        <v>19.593508584214259</v>
      </c>
      <c r="AQ143">
        <v>19.593508584214259</v>
      </c>
      <c r="AR143">
        <v>0.6577532752468167</v>
      </c>
      <c r="AS143">
        <v>153.21090386340529</v>
      </c>
      <c r="AT143">
        <v>-0.30464341699512398</v>
      </c>
      <c r="AU143">
        <v>0.8</v>
      </c>
      <c r="AV143" t="s">
        <v>93</v>
      </c>
      <c r="AW143">
        <v>6.9617009023433263E-2</v>
      </c>
      <c r="AX143">
        <v>0.49449050258382521</v>
      </c>
      <c r="AY143">
        <v>6.9617009023433263E-2</v>
      </c>
      <c r="AZ143">
        <v>6.9617009023433263E-2</v>
      </c>
      <c r="BA143">
        <v>0.49449050258382521</v>
      </c>
      <c r="BB143">
        <v>0.1790068487259098</v>
      </c>
      <c r="BC143">
        <v>-0.29982117018312099</v>
      </c>
      <c r="BD143">
        <v>6.7527243432265779E-2</v>
      </c>
      <c r="BE143">
        <v>0.76603252411163691</v>
      </c>
      <c r="BF143">
        <v>6.7527243432265779E-2</v>
      </c>
      <c r="BG143">
        <v>6.7527243432265779E-2</v>
      </c>
      <c r="BH143">
        <v>0.76603252411163691</v>
      </c>
      <c r="BI143">
        <v>0.30135600379615152</v>
      </c>
      <c r="BJ143">
        <v>-4.4134188932399183E-2</v>
      </c>
      <c r="BK143">
        <v>0.10140838026093971</v>
      </c>
      <c r="BL143">
        <v>0.59287742891617046</v>
      </c>
      <c r="BM143">
        <v>0.10140838026093971</v>
      </c>
      <c r="BN143">
        <v>0.10140838026093971</v>
      </c>
      <c r="BO143">
        <v>0.59287742891617046</v>
      </c>
      <c r="BP143">
        <v>0.28209630590373358</v>
      </c>
      <c r="BQ143">
        <v>-0.13252744060458441</v>
      </c>
      <c r="BR143">
        <v>78.135481704140204</v>
      </c>
      <c r="BS143">
        <v>0.77761264537563757</v>
      </c>
      <c r="BT143">
        <v>78.135481704140204</v>
      </c>
      <c r="BU143">
        <v>78.135481704140204</v>
      </c>
      <c r="BV143">
        <v>0.77761264537563757</v>
      </c>
      <c r="BW143">
        <v>612.08115629519625</v>
      </c>
      <c r="BX143">
        <v>-0.74209086826039217</v>
      </c>
      <c r="BY143" t="str">
        <f t="shared" si="6"/>
        <v>[[sv,wv],[yr],[ya]]</v>
      </c>
      <c r="BZ143" t="str">
        <f>SUBSTITUTE(TRIM(MID(SUBSTITUTE(SUBSTITUTE(SUBSTITUTE(Tabla1[[#This Row],[map]],"[",""),"]",""),",",REPT(" ",100)),901,200))," ",", ")</f>
        <v>2, 3</v>
      </c>
      <c r="CA143" t="str">
        <f>SUBSTITUTE(TRIM(MID(SUBSTITUTE(SUBSTITUTE(SUBSTITUTE(Tabla1[[#This Row],[map]],"[",""),"]",""),",",REPT(" ",100)),1501,200))," ",", ")</f>
        <v>3, 2</v>
      </c>
      <c r="CB143" t="str">
        <f>SUBSTITUTE(TRIM(MID(SUBSTITUTE(SUBSTITUTE(SUBSTITUTE(Tabla1[[#This Row],[map]],"[",""),"]",""),",",REPT(" ",100)),601,300))," ",", ")</f>
        <v>0, 1, 4</v>
      </c>
      <c r="CC143" t="str">
        <f>SUBSTITUTE(TRIM(MID(SUBSTITUTE(SUBSTITUTE(SUBSTITUTE(Tabla1[[#This Row],[map]],"[",""),"]",""),",",REPT(" ",100)),1201,300))," ",", ")</f>
        <v>0, 1, 4</v>
      </c>
      <c r="CD143" t="str">
        <f>SUBSTITUTE(TRIM(MID(SUBSTITUTE(SUBSTITUTE(SUBSTITUTE(Tabla1[[#This Row],[map]],"[",""),"]",""),",",REPT(" ",100)),1,300))," ",", ")</f>
        <v>2, 3, 4</v>
      </c>
      <c r="CE143" t="str">
        <f>SUBSTITUTE(TRIM(MID(SUBSTITUTE(SUBSTITUTE(SUBSTITUTE(Tabla1[[#This Row],[map]],"[",""),"]",""),",",REPT(" ",100)),1,600))," ",", ")</f>
        <v>2, 3, 4, 0, 1, -1</v>
      </c>
      <c r="CF143" t="str">
        <f>SUBSTITUTE(TRIM(MID(SUBSTITUTE(SUBSTITUTE(SUBSTITUTE(Tabla1[[#This Row],[map]],"[",""),"]",""),",",REPT(" ",100)),601,600))," ",", ")</f>
        <v>0, 1, 4, 2, 3, -1</v>
      </c>
      <c r="CG143" t="str">
        <f>SUBSTITUTE(TRIM(MID(SUBSTITUTE(SUBSTITUTE(SUBSTITUTE(Tabla1[[#This Row],[map]],"[",""),"]",""),",",REPT(" ",100)),1201,600))," ",", ")</f>
        <v>0, 1, 4, 3, 2, -1</v>
      </c>
    </row>
    <row r="144" spans="1:85" x14ac:dyDescent="0.3">
      <c r="A144" s="1">
        <v>46098.417083333326</v>
      </c>
      <c r="B144" t="s">
        <v>314</v>
      </c>
      <c r="C144">
        <v>8</v>
      </c>
      <c r="D144" t="s">
        <v>96</v>
      </c>
      <c r="E144" t="s">
        <v>78</v>
      </c>
      <c r="F144">
        <v>16590</v>
      </c>
      <c r="G144">
        <v>4.5</v>
      </c>
      <c r="H144" t="s">
        <v>79</v>
      </c>
      <c r="I144" t="s">
        <v>80</v>
      </c>
      <c r="J144">
        <v>5</v>
      </c>
      <c r="K144">
        <v>5</v>
      </c>
      <c r="L144" t="s">
        <v>81</v>
      </c>
      <c r="M144" t="s">
        <v>82</v>
      </c>
      <c r="N144" t="s">
        <v>83</v>
      </c>
      <c r="O144" t="s">
        <v>83</v>
      </c>
      <c r="P144" t="s">
        <v>84</v>
      </c>
      <c r="Q144" t="s">
        <v>85</v>
      </c>
      <c r="R144">
        <v>3</v>
      </c>
      <c r="S144" t="s">
        <v>86</v>
      </c>
      <c r="T144" t="s">
        <v>87</v>
      </c>
      <c r="U144" t="s">
        <v>88</v>
      </c>
      <c r="V144">
        <v>1</v>
      </c>
      <c r="W144" t="s">
        <v>89</v>
      </c>
      <c r="X144" t="s">
        <v>83</v>
      </c>
      <c r="Y144" t="s">
        <v>90</v>
      </c>
      <c r="Z144">
        <v>4000</v>
      </c>
      <c r="AA144">
        <v>4000</v>
      </c>
      <c r="AC144">
        <v>256</v>
      </c>
      <c r="AD144" t="s">
        <v>91</v>
      </c>
      <c r="AE144">
        <v>0.15</v>
      </c>
      <c r="AF144" t="s">
        <v>92</v>
      </c>
      <c r="AG144">
        <v>180</v>
      </c>
      <c r="AH144">
        <v>60</v>
      </c>
      <c r="AI144">
        <v>120</v>
      </c>
      <c r="AJ144">
        <v>0.1201323871318857</v>
      </c>
      <c r="AK144">
        <v>18.9521969274107</v>
      </c>
      <c r="AL144">
        <v>0.7087485584262011</v>
      </c>
      <c r="AM144">
        <v>-0.59682263106275868</v>
      </c>
      <c r="AN144">
        <v>21.89438691725557</v>
      </c>
      <c r="AO144">
        <v>0.6626875027190402</v>
      </c>
      <c r="AP144">
        <v>21.89438691725557</v>
      </c>
      <c r="AQ144">
        <v>21.89438691725557</v>
      </c>
      <c r="AR144">
        <v>0.6626875027190402</v>
      </c>
      <c r="AS144">
        <v>127.4529516180357</v>
      </c>
      <c r="AT144">
        <v>-0.6365188737780898</v>
      </c>
      <c r="AU144">
        <v>0.8</v>
      </c>
      <c r="AV144" t="s">
        <v>93</v>
      </c>
      <c r="AW144">
        <v>6.1873383731372487E-2</v>
      </c>
      <c r="AX144">
        <v>0.55071923439060522</v>
      </c>
      <c r="AY144">
        <v>6.1873383731372487E-2</v>
      </c>
      <c r="AZ144">
        <v>6.1873383731372487E-2</v>
      </c>
      <c r="BA144">
        <v>0.55071923439060522</v>
      </c>
      <c r="BB144">
        <v>0.19555914690851109</v>
      </c>
      <c r="BC144">
        <v>-0.4200122564240274</v>
      </c>
      <c r="BD144">
        <v>4.8547703390261092E-2</v>
      </c>
      <c r="BE144">
        <v>0.83179257666885653</v>
      </c>
      <c r="BF144">
        <v>4.8547703390261092E-2</v>
      </c>
      <c r="BG144">
        <v>4.8547703390261092E-2</v>
      </c>
      <c r="BH144">
        <v>0.83179257666885653</v>
      </c>
      <c r="BI144">
        <v>0.47783192608102321</v>
      </c>
      <c r="BJ144">
        <v>-0.65558556756713537</v>
      </c>
      <c r="BK144">
        <v>0.12034758053695011</v>
      </c>
      <c r="BL144">
        <v>0.516842530313112</v>
      </c>
      <c r="BM144">
        <v>0.12034758053695011</v>
      </c>
      <c r="BN144">
        <v>0.12034758053695011</v>
      </c>
      <c r="BO144">
        <v>0.516842530313112</v>
      </c>
      <c r="BP144">
        <v>0.50385390215035941</v>
      </c>
      <c r="BQ144">
        <v>-1.0228140471846809</v>
      </c>
      <c r="BR144">
        <v>87.346779001364268</v>
      </c>
      <c r="BS144">
        <v>0.75139566950359082</v>
      </c>
      <c r="BT144">
        <v>87.346779001364268</v>
      </c>
      <c r="BU144">
        <v>87.346779001364268</v>
      </c>
      <c r="BV144">
        <v>0.75139566950359082</v>
      </c>
      <c r="BW144">
        <v>508.6345614970021</v>
      </c>
      <c r="BX144">
        <v>-0.44766362393651482</v>
      </c>
      <c r="BY144" t="str">
        <f t="shared" si="6"/>
        <v>[[sv,wv],[yr],[ya]]</v>
      </c>
      <c r="BZ144" t="str">
        <f>SUBSTITUTE(TRIM(MID(SUBSTITUTE(SUBSTITUTE(SUBSTITUTE(Tabla1[[#This Row],[map]],"[",""),"]",""),",",REPT(" ",100)),901,200))," ",", ")</f>
        <v>2, 3</v>
      </c>
      <c r="CA144" t="str">
        <f>SUBSTITUTE(TRIM(MID(SUBSTITUTE(SUBSTITUTE(SUBSTITUTE(Tabla1[[#This Row],[map]],"[",""),"]",""),",",REPT(" ",100)),1501,200))," ",", ")</f>
        <v>3, 2</v>
      </c>
      <c r="CB144" t="str">
        <f>SUBSTITUTE(TRIM(MID(SUBSTITUTE(SUBSTITUTE(SUBSTITUTE(Tabla1[[#This Row],[map]],"[",""),"]",""),",",REPT(" ",100)),601,300))," ",", ")</f>
        <v>0, 1, 4</v>
      </c>
      <c r="CC144" t="str">
        <f>SUBSTITUTE(TRIM(MID(SUBSTITUTE(SUBSTITUTE(SUBSTITUTE(Tabla1[[#This Row],[map]],"[",""),"]",""),",",REPT(" ",100)),1201,300))," ",", ")</f>
        <v>0, 1, 4</v>
      </c>
      <c r="CD144" t="str">
        <f>SUBSTITUTE(TRIM(MID(SUBSTITUTE(SUBSTITUTE(SUBSTITUTE(Tabla1[[#This Row],[map]],"[",""),"]",""),",",REPT(" ",100)),1,300))," ",", ")</f>
        <v>2, 3, 4</v>
      </c>
      <c r="CE144" t="str">
        <f>SUBSTITUTE(TRIM(MID(SUBSTITUTE(SUBSTITUTE(SUBSTITUTE(Tabla1[[#This Row],[map]],"[",""),"]",""),",",REPT(" ",100)),1,600))," ",", ")</f>
        <v>2, 3, 4, 0, 1, -1</v>
      </c>
      <c r="CF144" t="str">
        <f>SUBSTITUTE(TRIM(MID(SUBSTITUTE(SUBSTITUTE(SUBSTITUTE(Tabla1[[#This Row],[map]],"[",""),"]",""),",",REPT(" ",100)),601,600))," ",", ")</f>
        <v>0, 1, 4, 2, 3, -1</v>
      </c>
      <c r="CG144" t="str">
        <f>SUBSTITUTE(TRIM(MID(SUBSTITUTE(SUBSTITUTE(SUBSTITUTE(Tabla1[[#This Row],[map]],"[",""),"]",""),",",REPT(" ",100)),1201,600))," ",", ")</f>
        <v>0, 1, 4, 3, 2, -1</v>
      </c>
    </row>
    <row r="145" spans="1:85" x14ac:dyDescent="0.3">
      <c r="A145" s="1">
        <v>46098.417233796303</v>
      </c>
      <c r="B145" t="s">
        <v>315</v>
      </c>
      <c r="C145">
        <v>9</v>
      </c>
      <c r="D145" t="s">
        <v>77</v>
      </c>
      <c r="E145" t="s">
        <v>78</v>
      </c>
      <c r="F145">
        <v>16590</v>
      </c>
      <c r="G145">
        <v>4.5</v>
      </c>
      <c r="H145" t="s">
        <v>79</v>
      </c>
      <c r="I145" t="s">
        <v>80</v>
      </c>
      <c r="J145">
        <v>5</v>
      </c>
      <c r="K145">
        <v>5</v>
      </c>
      <c r="L145" t="s">
        <v>81</v>
      </c>
      <c r="M145" t="s">
        <v>82</v>
      </c>
      <c r="N145" t="s">
        <v>83</v>
      </c>
      <c r="O145" t="s">
        <v>83</v>
      </c>
      <c r="P145" t="s">
        <v>84</v>
      </c>
      <c r="Q145" t="s">
        <v>85</v>
      </c>
      <c r="R145">
        <v>3</v>
      </c>
      <c r="S145" t="s">
        <v>86</v>
      </c>
      <c r="T145" t="s">
        <v>87</v>
      </c>
      <c r="U145" t="s">
        <v>88</v>
      </c>
      <c r="V145">
        <v>1</v>
      </c>
      <c r="W145" t="s">
        <v>89</v>
      </c>
      <c r="X145" t="s">
        <v>83</v>
      </c>
      <c r="Y145" t="s">
        <v>90</v>
      </c>
      <c r="Z145">
        <v>4000</v>
      </c>
      <c r="AA145">
        <v>4000</v>
      </c>
      <c r="AC145">
        <v>256</v>
      </c>
      <c r="AD145" t="s">
        <v>91</v>
      </c>
      <c r="AE145">
        <v>0.15</v>
      </c>
      <c r="AF145" t="s">
        <v>92</v>
      </c>
      <c r="AG145">
        <v>180</v>
      </c>
      <c r="AH145">
        <v>60</v>
      </c>
      <c r="AI145">
        <v>120</v>
      </c>
      <c r="AJ145">
        <v>0.1061808426676359</v>
      </c>
      <c r="AK145">
        <v>13.63573561742151</v>
      </c>
      <c r="AL145">
        <v>0.78081371152543144</v>
      </c>
      <c r="AM145">
        <v>-0.41081075768049052</v>
      </c>
      <c r="AN145">
        <v>21.07029640050256</v>
      </c>
      <c r="AO145">
        <v>0.72147541086590572</v>
      </c>
      <c r="AP145">
        <v>21.07029640050256</v>
      </c>
      <c r="AQ145">
        <v>21.07029640050256</v>
      </c>
      <c r="AR145">
        <v>0.72147541086590572</v>
      </c>
      <c r="AS145">
        <v>115.07900239196979</v>
      </c>
      <c r="AT145">
        <v>-0.35476884667349928</v>
      </c>
      <c r="AU145">
        <v>0.8</v>
      </c>
      <c r="AV145" t="s">
        <v>93</v>
      </c>
      <c r="AW145">
        <v>5.3267810031518058E-2</v>
      </c>
      <c r="AX145">
        <v>0.61320682610151866</v>
      </c>
      <c r="AY145">
        <v>5.3267810031518058E-2</v>
      </c>
      <c r="AZ145">
        <v>5.3267810031518058E-2</v>
      </c>
      <c r="BA145">
        <v>0.61320682610151866</v>
      </c>
      <c r="BB145">
        <v>0.16987608525736159</v>
      </c>
      <c r="BC145">
        <v>-0.23352002170289629</v>
      </c>
      <c r="BD145">
        <v>4.7870461508133511E-2</v>
      </c>
      <c r="BE145">
        <v>0.83413907514374552</v>
      </c>
      <c r="BF145">
        <v>4.7870461508133511E-2</v>
      </c>
      <c r="BG145">
        <v>4.7870461508133511E-2</v>
      </c>
      <c r="BH145">
        <v>0.83413907514374552</v>
      </c>
      <c r="BI145">
        <v>0.40506558250397329</v>
      </c>
      <c r="BJ145">
        <v>-0.40346572865463931</v>
      </c>
      <c r="BK145">
        <v>8.0225832203007719E-2</v>
      </c>
      <c r="BL145">
        <v>0.67791865928846728</v>
      </c>
      <c r="BM145">
        <v>8.0225832203007719E-2</v>
      </c>
      <c r="BN145">
        <v>8.0225832203007719E-2</v>
      </c>
      <c r="BO145">
        <v>0.67791865928846728</v>
      </c>
      <c r="BP145">
        <v>0.3673093703548469</v>
      </c>
      <c r="BQ145">
        <v>-0.47463094132120109</v>
      </c>
      <c r="BR145">
        <v>84.099821498267303</v>
      </c>
      <c r="BS145">
        <v>0.76063708292989596</v>
      </c>
      <c r="BT145">
        <v>84.099821498267303</v>
      </c>
      <c r="BU145">
        <v>84.099821498267303</v>
      </c>
      <c r="BV145">
        <v>0.76063708292989596</v>
      </c>
      <c r="BW145">
        <v>459.37375852976311</v>
      </c>
      <c r="BX145">
        <v>-0.30745869501526979</v>
      </c>
      <c r="BY145" t="str">
        <f t="shared" si="6"/>
        <v>[[sv,wv],[yr],[ya]]</v>
      </c>
      <c r="BZ145" t="str">
        <f>SUBSTITUTE(TRIM(MID(SUBSTITUTE(SUBSTITUTE(SUBSTITUTE(Tabla1[[#This Row],[map]],"[",""),"]",""),",",REPT(" ",100)),901,200))," ",", ")</f>
        <v>2, 3</v>
      </c>
      <c r="CA145" t="str">
        <f>SUBSTITUTE(TRIM(MID(SUBSTITUTE(SUBSTITUTE(SUBSTITUTE(Tabla1[[#This Row],[map]],"[",""),"]",""),",",REPT(" ",100)),1501,200))," ",", ")</f>
        <v>3, 2</v>
      </c>
      <c r="CB145" t="str">
        <f>SUBSTITUTE(TRIM(MID(SUBSTITUTE(SUBSTITUTE(SUBSTITUTE(Tabla1[[#This Row],[map]],"[",""),"]",""),",",REPT(" ",100)),601,300))," ",", ")</f>
        <v>0, 1, 4</v>
      </c>
      <c r="CC145" t="str">
        <f>SUBSTITUTE(TRIM(MID(SUBSTITUTE(SUBSTITUTE(SUBSTITUTE(Tabla1[[#This Row],[map]],"[",""),"]",""),",",REPT(" ",100)),1201,300))," ",", ")</f>
        <v>0, 1, 4</v>
      </c>
      <c r="CD145" t="str">
        <f>SUBSTITUTE(TRIM(MID(SUBSTITUTE(SUBSTITUTE(SUBSTITUTE(Tabla1[[#This Row],[map]],"[",""),"]",""),",",REPT(" ",100)),1,300))," ",", ")</f>
        <v>2, 3, 4</v>
      </c>
      <c r="CE145" t="str">
        <f>SUBSTITUTE(TRIM(MID(SUBSTITUTE(SUBSTITUTE(SUBSTITUTE(Tabla1[[#This Row],[map]],"[",""),"]",""),",",REPT(" ",100)),1,600))," ",", ")</f>
        <v>2, 3, 4, 0, 1, -1</v>
      </c>
      <c r="CF145" t="str">
        <f>SUBSTITUTE(TRIM(MID(SUBSTITUTE(SUBSTITUTE(SUBSTITUTE(Tabla1[[#This Row],[map]],"[",""),"]",""),",",REPT(" ",100)),601,600))," ",", ")</f>
        <v>0, 1, 4, 2, 3, -1</v>
      </c>
      <c r="CG145" t="str">
        <f>SUBSTITUTE(TRIM(MID(SUBSTITUTE(SUBSTITUTE(SUBSTITUTE(Tabla1[[#This Row],[map]],"[",""),"]",""),",",REPT(" ",100)),1201,600))," ",", ")</f>
        <v>0, 1, 4, 3, 2, -1</v>
      </c>
    </row>
    <row r="146" spans="1:85" x14ac:dyDescent="0.3">
      <c r="A146" s="1">
        <v>46098.43372685185</v>
      </c>
      <c r="B146" t="s">
        <v>316</v>
      </c>
      <c r="C146">
        <v>4</v>
      </c>
      <c r="D146" t="s">
        <v>96</v>
      </c>
      <c r="E146" t="s">
        <v>78</v>
      </c>
      <c r="F146">
        <v>16590</v>
      </c>
      <c r="G146">
        <v>4.5</v>
      </c>
      <c r="H146" t="s">
        <v>79</v>
      </c>
      <c r="I146" t="s">
        <v>80</v>
      </c>
      <c r="J146">
        <v>5</v>
      </c>
      <c r="K146">
        <v>5</v>
      </c>
      <c r="L146" t="s">
        <v>81</v>
      </c>
      <c r="M146" t="s">
        <v>82</v>
      </c>
      <c r="N146" t="s">
        <v>83</v>
      </c>
      <c r="O146" t="s">
        <v>83</v>
      </c>
      <c r="P146" t="s">
        <v>84</v>
      </c>
      <c r="Q146" t="s">
        <v>129</v>
      </c>
      <c r="R146">
        <v>3</v>
      </c>
      <c r="S146" t="s">
        <v>86</v>
      </c>
      <c r="T146" t="s">
        <v>87</v>
      </c>
      <c r="U146" t="s">
        <v>88</v>
      </c>
      <c r="V146">
        <v>1</v>
      </c>
      <c r="W146" t="s">
        <v>130</v>
      </c>
      <c r="X146" t="s">
        <v>83</v>
      </c>
      <c r="Y146" t="s">
        <v>90</v>
      </c>
      <c r="Z146">
        <v>4000</v>
      </c>
      <c r="AA146">
        <v>4000</v>
      </c>
      <c r="AC146">
        <v>256</v>
      </c>
      <c r="AD146" t="s">
        <v>91</v>
      </c>
      <c r="AE146">
        <v>0.15</v>
      </c>
      <c r="AF146" t="s">
        <v>92</v>
      </c>
      <c r="AG146">
        <v>180</v>
      </c>
      <c r="AH146">
        <v>60</v>
      </c>
      <c r="AI146">
        <v>120</v>
      </c>
      <c r="AJ146">
        <v>9.1535443254148308E-2</v>
      </c>
      <c r="AK146">
        <v>14.3240631097877</v>
      </c>
      <c r="AL146">
        <v>0.81356135910977212</v>
      </c>
      <c r="AM146">
        <v>-1.2549494629550311</v>
      </c>
      <c r="AN146">
        <v>16.61229160980222</v>
      </c>
      <c r="AO146">
        <v>0.74338828522241451</v>
      </c>
      <c r="AP146">
        <v>16.61229160980222</v>
      </c>
      <c r="AQ146">
        <v>16.61229160980222</v>
      </c>
      <c r="AR146">
        <v>0.74338828522241451</v>
      </c>
      <c r="AS146">
        <v>173.870896676152</v>
      </c>
      <c r="AT146">
        <v>-1.0700827176565719</v>
      </c>
      <c r="AU146">
        <v>0.8</v>
      </c>
      <c r="AV146" t="s">
        <v>93</v>
      </c>
      <c r="AW146">
        <v>6.3007375140250232E-2</v>
      </c>
      <c r="AX146">
        <v>0.54248499055828137</v>
      </c>
      <c r="AY146">
        <v>6.3007375140250232E-2</v>
      </c>
      <c r="AZ146">
        <v>6.3007375140250232E-2</v>
      </c>
      <c r="BA146">
        <v>0.54248499055828137</v>
      </c>
      <c r="BB146">
        <v>0.2036914611324063</v>
      </c>
      <c r="BC146">
        <v>-0.47906337243459779</v>
      </c>
      <c r="BD146">
        <v>4.3058940337426257E-2</v>
      </c>
      <c r="BE146">
        <v>0.85080996834587941</v>
      </c>
      <c r="BF146">
        <v>4.3058940337426257E-2</v>
      </c>
      <c r="BG146">
        <v>4.3058940337426257E-2</v>
      </c>
      <c r="BH146">
        <v>0.85080996834587941</v>
      </c>
      <c r="BI146">
        <v>0.71478050338260068</v>
      </c>
      <c r="BJ146">
        <v>-1.476561779963498</v>
      </c>
      <c r="BK146">
        <v>5.7559075827236579E-2</v>
      </c>
      <c r="BL146">
        <v>0.76891851659897026</v>
      </c>
      <c r="BM146">
        <v>5.7559075827236579E-2</v>
      </c>
      <c r="BN146">
        <v>5.7559075827236579E-2</v>
      </c>
      <c r="BO146">
        <v>0.76891851659897026</v>
      </c>
      <c r="BP146">
        <v>0.58523082034709173</v>
      </c>
      <c r="BQ146">
        <v>-1.349516634070326</v>
      </c>
      <c r="BR146">
        <v>66.285541047903877</v>
      </c>
      <c r="BS146">
        <v>0.8113396653865278</v>
      </c>
      <c r="BT146">
        <v>66.285541047903877</v>
      </c>
      <c r="BU146">
        <v>66.285541047903877</v>
      </c>
      <c r="BV146">
        <v>0.8113396653865278</v>
      </c>
      <c r="BW146">
        <v>693.97988391974786</v>
      </c>
      <c r="BX146">
        <v>-0.97518908415787142</v>
      </c>
      <c r="BY146" t="str">
        <f t="shared" si="6"/>
        <v>[[sv,wv],[yr],[ya]]</v>
      </c>
      <c r="BZ146" t="str">
        <f>SUBSTITUTE(TRIM(MID(SUBSTITUTE(SUBSTITUTE(SUBSTITUTE(Tabla1[[#This Row],[map]],"[",""),"]",""),",",REPT(" ",100)),901,200))," ",", ")</f>
        <v>2, 3</v>
      </c>
      <c r="CA146" t="str">
        <f>SUBSTITUTE(TRIM(MID(SUBSTITUTE(SUBSTITUTE(SUBSTITUTE(Tabla1[[#This Row],[map]],"[",""),"]",""),",",REPT(" ",100)),1501,200))," ",", ")</f>
        <v>3, 4</v>
      </c>
      <c r="CB146" t="str">
        <f>SUBSTITUTE(TRIM(MID(SUBSTITUTE(SUBSTITUTE(SUBSTITUTE(Tabla1[[#This Row],[map]],"[",""),"]",""),",",REPT(" ",100)),601,300))," ",", ")</f>
        <v>0, 1, 4</v>
      </c>
      <c r="CC146" t="str">
        <f>SUBSTITUTE(TRIM(MID(SUBSTITUTE(SUBSTITUTE(SUBSTITUTE(Tabla1[[#This Row],[map]],"[",""),"]",""),",",REPT(" ",100)),1201,300))," ",", ")</f>
        <v>2, 0, 1</v>
      </c>
      <c r="CD146" t="str">
        <f>SUBSTITUTE(TRIM(MID(SUBSTITUTE(SUBSTITUTE(SUBSTITUTE(Tabla1[[#This Row],[map]],"[",""),"]",""),",",REPT(" ",100)),1,300))," ",", ")</f>
        <v>2, 3, 4</v>
      </c>
      <c r="CE146" t="str">
        <f>SUBSTITUTE(TRIM(MID(SUBSTITUTE(SUBSTITUTE(SUBSTITUTE(Tabla1[[#This Row],[map]],"[",""),"]",""),",",REPT(" ",100)),1,600))," ",", ")</f>
        <v>2, 3, 4, 0, 1, -1</v>
      </c>
      <c r="CF146" t="str">
        <f>SUBSTITUTE(TRIM(MID(SUBSTITUTE(SUBSTITUTE(SUBSTITUTE(Tabla1[[#This Row],[map]],"[",""),"]",""),",",REPT(" ",100)),601,600))," ",", ")</f>
        <v>0, 1, 4, 2, 3, -1</v>
      </c>
      <c r="CG146" t="str">
        <f>SUBSTITUTE(TRIM(MID(SUBSTITUTE(SUBSTITUTE(SUBSTITUTE(Tabla1[[#This Row],[map]],"[",""),"]",""),",",REPT(" ",100)),1201,600))," ",", ")</f>
        <v>2, 0, 1, 3, 4, -1</v>
      </c>
    </row>
    <row r="147" spans="1:85" x14ac:dyDescent="0.3">
      <c r="A147" s="1">
        <v>46098.442523148151</v>
      </c>
      <c r="B147" t="s">
        <v>317</v>
      </c>
      <c r="C147">
        <v>5</v>
      </c>
      <c r="D147" t="s">
        <v>96</v>
      </c>
      <c r="E147" t="s">
        <v>78</v>
      </c>
      <c r="F147">
        <v>16590</v>
      </c>
      <c r="G147">
        <v>4.5</v>
      </c>
      <c r="H147" t="s">
        <v>79</v>
      </c>
      <c r="I147" t="s">
        <v>80</v>
      </c>
      <c r="J147">
        <v>5</v>
      </c>
      <c r="K147">
        <v>5</v>
      </c>
      <c r="L147" t="s">
        <v>81</v>
      </c>
      <c r="M147" t="s">
        <v>82</v>
      </c>
      <c r="N147" t="s">
        <v>83</v>
      </c>
      <c r="O147" t="s">
        <v>83</v>
      </c>
      <c r="P147" t="s">
        <v>84</v>
      </c>
      <c r="Q147" t="s">
        <v>129</v>
      </c>
      <c r="R147">
        <v>3</v>
      </c>
      <c r="S147" t="s">
        <v>86</v>
      </c>
      <c r="T147" t="s">
        <v>87</v>
      </c>
      <c r="U147" t="s">
        <v>88</v>
      </c>
      <c r="V147">
        <v>1</v>
      </c>
      <c r="W147" t="s">
        <v>130</v>
      </c>
      <c r="X147" t="s">
        <v>83</v>
      </c>
      <c r="Y147" t="s">
        <v>90</v>
      </c>
      <c r="Z147">
        <v>4000</v>
      </c>
      <c r="AA147">
        <v>4000</v>
      </c>
      <c r="AC147">
        <v>256</v>
      </c>
      <c r="AD147" t="s">
        <v>91</v>
      </c>
      <c r="AE147">
        <v>0.15</v>
      </c>
      <c r="AF147" t="s">
        <v>92</v>
      </c>
      <c r="AG147">
        <v>180</v>
      </c>
      <c r="AH147">
        <v>60</v>
      </c>
      <c r="AI147">
        <v>120</v>
      </c>
      <c r="AJ147">
        <v>0.110670942469988</v>
      </c>
      <c r="AK147">
        <v>18.390043903343759</v>
      </c>
      <c r="AL147">
        <v>0.73100555571595849</v>
      </c>
      <c r="AM147">
        <v>-0.27590366211042111</v>
      </c>
      <c r="AN147">
        <v>23.837509712091219</v>
      </c>
      <c r="AO147">
        <v>0.65018508045414714</v>
      </c>
      <c r="AP147">
        <v>23.837509712091219</v>
      </c>
      <c r="AQ147">
        <v>23.837509712091219</v>
      </c>
      <c r="AR147">
        <v>0.65018508045414714</v>
      </c>
      <c r="AS147">
        <v>97.146781569011793</v>
      </c>
      <c r="AT147">
        <v>-0.22720465701952841</v>
      </c>
      <c r="AU147">
        <v>0.8</v>
      </c>
      <c r="AV147" t="s">
        <v>93</v>
      </c>
      <c r="AW147">
        <v>6.4087864774886233E-2</v>
      </c>
      <c r="AX147">
        <v>0.53463923878252806</v>
      </c>
      <c r="AY147">
        <v>6.4087864774886233E-2</v>
      </c>
      <c r="AZ147">
        <v>6.4087864774886233E-2</v>
      </c>
      <c r="BA147">
        <v>0.53463923878252806</v>
      </c>
      <c r="BB147">
        <v>0.17322670082235569</v>
      </c>
      <c r="BC147">
        <v>-0.25784982291174813</v>
      </c>
      <c r="BD147">
        <v>7.2563901840691586E-2</v>
      </c>
      <c r="BE147">
        <v>0.74858157846607232</v>
      </c>
      <c r="BF147">
        <v>7.2563901840691586E-2</v>
      </c>
      <c r="BG147">
        <v>7.2563901840691586E-2</v>
      </c>
      <c r="BH147">
        <v>0.74858157846607232</v>
      </c>
      <c r="BI147">
        <v>0.38185736851445973</v>
      </c>
      <c r="BJ147">
        <v>-0.32305422403798612</v>
      </c>
      <c r="BK147">
        <v>0.10256806497731601</v>
      </c>
      <c r="BL147">
        <v>0.58822166159040468</v>
      </c>
      <c r="BM147">
        <v>0.10256806497731601</v>
      </c>
      <c r="BN147">
        <v>0.10256806497731601</v>
      </c>
      <c r="BO147">
        <v>0.58822166159040468</v>
      </c>
      <c r="BP147">
        <v>0.3049742119931893</v>
      </c>
      <c r="BQ147">
        <v>-0.22437499722847429</v>
      </c>
      <c r="BR147">
        <v>95.110819016771856</v>
      </c>
      <c r="BS147">
        <v>0.72929784297758249</v>
      </c>
      <c r="BT147">
        <v>95.110819016771856</v>
      </c>
      <c r="BU147">
        <v>95.110819016771856</v>
      </c>
      <c r="BV147">
        <v>0.72929784297758249</v>
      </c>
      <c r="BW147">
        <v>387.72706799471621</v>
      </c>
      <c r="BX147">
        <v>-0.1035395838999011</v>
      </c>
      <c r="BY147" t="str">
        <f t="shared" si="6"/>
        <v>[[sv,wv],[yr],[ya]]</v>
      </c>
      <c r="BZ147" t="str">
        <f>SUBSTITUTE(TRIM(MID(SUBSTITUTE(SUBSTITUTE(SUBSTITUTE(Tabla1[[#This Row],[map]],"[",""),"]",""),",",REPT(" ",100)),901,200))," ",", ")</f>
        <v>2, 3</v>
      </c>
      <c r="CA147" t="str">
        <f>SUBSTITUTE(TRIM(MID(SUBSTITUTE(SUBSTITUTE(SUBSTITUTE(Tabla1[[#This Row],[map]],"[",""),"]",""),",",REPT(" ",100)),1501,200))," ",", ")</f>
        <v>3, 4</v>
      </c>
      <c r="CB147" t="str">
        <f>SUBSTITUTE(TRIM(MID(SUBSTITUTE(SUBSTITUTE(SUBSTITUTE(Tabla1[[#This Row],[map]],"[",""),"]",""),",",REPT(" ",100)),601,300))," ",", ")</f>
        <v>0, 1, 4</v>
      </c>
      <c r="CC147" t="str">
        <f>SUBSTITUTE(TRIM(MID(SUBSTITUTE(SUBSTITUTE(SUBSTITUTE(Tabla1[[#This Row],[map]],"[",""),"]",""),",",REPT(" ",100)),1201,300))," ",", ")</f>
        <v>2, 0, 1</v>
      </c>
      <c r="CD147" t="str">
        <f>SUBSTITUTE(TRIM(MID(SUBSTITUTE(SUBSTITUTE(SUBSTITUTE(Tabla1[[#This Row],[map]],"[",""),"]",""),",",REPT(" ",100)),1,300))," ",", ")</f>
        <v>2, 3, 4</v>
      </c>
      <c r="CE147" t="str">
        <f>SUBSTITUTE(TRIM(MID(SUBSTITUTE(SUBSTITUTE(SUBSTITUTE(Tabla1[[#This Row],[map]],"[",""),"]",""),",",REPT(" ",100)),1,600))," ",", ")</f>
        <v>2, 3, 4, 0, 1, -1</v>
      </c>
      <c r="CF147" t="str">
        <f>SUBSTITUTE(TRIM(MID(SUBSTITUTE(SUBSTITUTE(SUBSTITUTE(Tabla1[[#This Row],[map]],"[",""),"]",""),",",REPT(" ",100)),601,600))," ",", ")</f>
        <v>0, 1, 4, 2, 3, -1</v>
      </c>
      <c r="CG147" t="str">
        <f>SUBSTITUTE(TRIM(MID(SUBSTITUTE(SUBSTITUTE(SUBSTITUTE(Tabla1[[#This Row],[map]],"[",""),"]",""),",",REPT(" ",100)),1201,600))," ",", ")</f>
        <v>2, 0, 1, 3, 4, -1</v>
      </c>
    </row>
    <row r="148" spans="1:85" x14ac:dyDescent="0.3">
      <c r="A148" s="1">
        <v>46098.580555555563</v>
      </c>
      <c r="B148" t="s">
        <v>318</v>
      </c>
      <c r="C148">
        <v>7</v>
      </c>
      <c r="D148" t="s">
        <v>77</v>
      </c>
      <c r="E148" t="s">
        <v>78</v>
      </c>
      <c r="F148">
        <v>16590</v>
      </c>
      <c r="G148">
        <v>4.5</v>
      </c>
      <c r="H148" t="s">
        <v>79</v>
      </c>
      <c r="I148" t="s">
        <v>80</v>
      </c>
      <c r="J148">
        <v>5</v>
      </c>
      <c r="K148">
        <v>5</v>
      </c>
      <c r="L148" t="s">
        <v>81</v>
      </c>
      <c r="M148" t="s">
        <v>82</v>
      </c>
      <c r="N148" t="s">
        <v>83</v>
      </c>
      <c r="O148" t="s">
        <v>83</v>
      </c>
      <c r="P148" t="s">
        <v>84</v>
      </c>
      <c r="Q148" t="s">
        <v>99</v>
      </c>
      <c r="R148">
        <v>3</v>
      </c>
      <c r="S148" t="s">
        <v>86</v>
      </c>
      <c r="T148" t="s">
        <v>87</v>
      </c>
      <c r="U148" t="s">
        <v>88</v>
      </c>
      <c r="V148">
        <v>1</v>
      </c>
      <c r="W148" t="s">
        <v>100</v>
      </c>
      <c r="X148" t="s">
        <v>83</v>
      </c>
      <c r="Y148" t="s">
        <v>90</v>
      </c>
      <c r="Z148">
        <v>4000</v>
      </c>
      <c r="AA148">
        <v>4000</v>
      </c>
      <c r="AC148">
        <v>256</v>
      </c>
      <c r="AD148" t="s">
        <v>91</v>
      </c>
      <c r="AE148">
        <v>0.15</v>
      </c>
      <c r="AF148" t="s">
        <v>92</v>
      </c>
      <c r="AG148">
        <v>180</v>
      </c>
      <c r="AH148">
        <v>60</v>
      </c>
      <c r="AI148">
        <v>120</v>
      </c>
      <c r="AJ148">
        <v>0.1000701079620039</v>
      </c>
      <c r="AK148">
        <v>14.42643363494915</v>
      </c>
      <c r="AL148">
        <v>0.71795356995864879</v>
      </c>
      <c r="AM148">
        <v>0.16304802502842269</v>
      </c>
      <c r="AN148">
        <v>19.909220712348571</v>
      </c>
      <c r="AO148">
        <v>0.68919990066506909</v>
      </c>
      <c r="AP148">
        <v>19.909220712348571</v>
      </c>
      <c r="AQ148">
        <v>19.909220712348571</v>
      </c>
      <c r="AR148">
        <v>0.68919990066506909</v>
      </c>
      <c r="AS148">
        <v>112.70305982898741</v>
      </c>
      <c r="AT148">
        <v>0.16585537573575601</v>
      </c>
      <c r="AU148">
        <v>0.8</v>
      </c>
      <c r="AV148" t="s">
        <v>93</v>
      </c>
      <c r="AW148">
        <v>9.5077194710239024E-2</v>
      </c>
      <c r="AX148">
        <v>0.30961663553321023</v>
      </c>
      <c r="AY148">
        <v>9.5077194710239024E-2</v>
      </c>
      <c r="AZ148">
        <v>9.5077194710239024E-2</v>
      </c>
      <c r="BA148">
        <v>0.30961663553321023</v>
      </c>
      <c r="BB148">
        <v>0.1433305419376025</v>
      </c>
      <c r="BC148">
        <v>-4.0765054914624121E-2</v>
      </c>
      <c r="BD148">
        <v>4.1691090435733297E-2</v>
      </c>
      <c r="BE148">
        <v>0.85554927610711295</v>
      </c>
      <c r="BF148">
        <v>4.1691090435733297E-2</v>
      </c>
      <c r="BG148">
        <v>4.1691090435733297E-2</v>
      </c>
      <c r="BH148">
        <v>0.85554927610711295</v>
      </c>
      <c r="BI148">
        <v>0.2064237767113879</v>
      </c>
      <c r="BJ148">
        <v>0.28478570210035359</v>
      </c>
      <c r="BK148">
        <v>4.5389417614406173E-2</v>
      </c>
      <c r="BL148">
        <v>0.8177758450374103</v>
      </c>
      <c r="BM148">
        <v>4.5389417614406173E-2</v>
      </c>
      <c r="BN148">
        <v>4.5389417614406173E-2</v>
      </c>
      <c r="BO148">
        <v>0.8177758450374103</v>
      </c>
      <c r="BP148">
        <v>7.4405681424955822E-2</v>
      </c>
      <c r="BQ148">
        <v>0.70128472373756812</v>
      </c>
      <c r="BR148">
        <v>79.454725146634132</v>
      </c>
      <c r="BS148">
        <v>0.77385784598254426</v>
      </c>
      <c r="BT148">
        <v>79.454725146634132</v>
      </c>
      <c r="BU148">
        <v>79.454725146634132</v>
      </c>
      <c r="BV148">
        <v>0.77385784598254426</v>
      </c>
      <c r="BW148">
        <v>450.38807931587542</v>
      </c>
      <c r="BX148">
        <v>-0.28188386798027198</v>
      </c>
      <c r="BY148" t="str">
        <f t="shared" si="6"/>
        <v>[[sv,wv],[yr],[ya]]</v>
      </c>
      <c r="BZ148" t="str">
        <f>SUBSTITUTE(TRIM(MID(SUBSTITUTE(SUBSTITUTE(SUBSTITUTE(Tabla1[[#This Row],[map]],"[",""),"]",""),",",REPT(" ",100)),901,200))," ",", ")</f>
        <v>2, 3</v>
      </c>
      <c r="CA148" t="str">
        <f>SUBSTITUTE(TRIM(MID(SUBSTITUTE(SUBSTITUTE(SUBSTITUTE(Tabla1[[#This Row],[map]],"[",""),"]",""),",",REPT(" ",100)),1501,200))," ",", ")</f>
        <v>3, 2</v>
      </c>
      <c r="CB148" t="str">
        <f>SUBSTITUTE(TRIM(MID(SUBSTITUTE(SUBSTITUTE(SUBSTITUTE(Tabla1[[#This Row],[map]],"[",""),"]",""),",",REPT(" ",100)),601,300))," ",", ")</f>
        <v>4, 0, 1</v>
      </c>
      <c r="CC148" t="str">
        <f>SUBSTITUTE(TRIM(MID(SUBSTITUTE(SUBSTITUTE(SUBSTITUTE(Tabla1[[#This Row],[map]],"[",""),"]",""),",",REPT(" ",100)),1201,300))," ",", ")</f>
        <v>0, 1, 4</v>
      </c>
      <c r="CD148" t="str">
        <f>SUBSTITUTE(TRIM(MID(SUBSTITUTE(SUBSTITUTE(SUBSTITUTE(Tabla1[[#This Row],[map]],"[",""),"]",""),",",REPT(" ",100)),1,300))," ",", ")</f>
        <v>2, 3, 4</v>
      </c>
      <c r="CE148" t="str">
        <f>SUBSTITUTE(TRIM(MID(SUBSTITUTE(SUBSTITUTE(SUBSTITUTE(Tabla1[[#This Row],[map]],"[",""),"]",""),",",REPT(" ",100)),1,600))," ",", ")</f>
        <v>2, 3, 4, 0, 1, -1</v>
      </c>
      <c r="CF148" t="str">
        <f>SUBSTITUTE(TRIM(MID(SUBSTITUTE(SUBSTITUTE(SUBSTITUTE(Tabla1[[#This Row],[map]],"[",""),"]",""),",",REPT(" ",100)),601,600))," ",", ")</f>
        <v>4, 0, 1, 2, 3, -1</v>
      </c>
      <c r="CG148" t="str">
        <f>SUBSTITUTE(TRIM(MID(SUBSTITUTE(SUBSTITUTE(SUBSTITUTE(Tabla1[[#This Row],[map]],"[",""),"]",""),",",REPT(" ",100)),1201,600))," ",", ")</f>
        <v>0, 1, 4, 3, 2, -1</v>
      </c>
    </row>
    <row r="149" spans="1:85" x14ac:dyDescent="0.3">
      <c r="A149" s="1">
        <v>46098.582418981481</v>
      </c>
      <c r="B149" t="s">
        <v>319</v>
      </c>
      <c r="C149">
        <v>8</v>
      </c>
      <c r="D149" t="s">
        <v>77</v>
      </c>
      <c r="E149" t="s">
        <v>78</v>
      </c>
      <c r="F149">
        <v>16590</v>
      </c>
      <c r="G149">
        <v>4.5</v>
      </c>
      <c r="H149" t="s">
        <v>79</v>
      </c>
      <c r="I149" t="s">
        <v>80</v>
      </c>
      <c r="J149">
        <v>5</v>
      </c>
      <c r="K149">
        <v>5</v>
      </c>
      <c r="L149" t="s">
        <v>81</v>
      </c>
      <c r="M149" t="s">
        <v>82</v>
      </c>
      <c r="N149" t="s">
        <v>83</v>
      </c>
      <c r="O149" t="s">
        <v>83</v>
      </c>
      <c r="P149" t="s">
        <v>84</v>
      </c>
      <c r="Q149" t="s">
        <v>99</v>
      </c>
      <c r="R149">
        <v>3</v>
      </c>
      <c r="S149" t="s">
        <v>86</v>
      </c>
      <c r="T149" t="s">
        <v>87</v>
      </c>
      <c r="U149" t="s">
        <v>88</v>
      </c>
      <c r="V149">
        <v>1</v>
      </c>
      <c r="W149" t="s">
        <v>100</v>
      </c>
      <c r="X149" t="s">
        <v>83</v>
      </c>
      <c r="Y149" t="s">
        <v>90</v>
      </c>
      <c r="Z149">
        <v>4000</v>
      </c>
      <c r="AA149">
        <v>4000</v>
      </c>
      <c r="AC149">
        <v>256</v>
      </c>
      <c r="AD149" t="s">
        <v>91</v>
      </c>
      <c r="AE149">
        <v>0.15</v>
      </c>
      <c r="AF149" t="s">
        <v>92</v>
      </c>
      <c r="AG149">
        <v>180</v>
      </c>
      <c r="AH149">
        <v>60</v>
      </c>
      <c r="AI149">
        <v>120</v>
      </c>
      <c r="AJ149">
        <v>8.9142439706972221E-2</v>
      </c>
      <c r="AK149">
        <v>14.046786148334551</v>
      </c>
      <c r="AL149">
        <v>0.76763917707654095</v>
      </c>
      <c r="AM149">
        <v>0.45581435466676168</v>
      </c>
      <c r="AN149">
        <v>18.372791201516879</v>
      </c>
      <c r="AO149">
        <v>0.69202235574271342</v>
      </c>
      <c r="AP149">
        <v>18.372791201516879</v>
      </c>
      <c r="AQ149">
        <v>18.372791201516879</v>
      </c>
      <c r="AR149">
        <v>0.69202235574271342</v>
      </c>
      <c r="AS149">
        <v>63.195728534900717</v>
      </c>
      <c r="AT149">
        <v>0.43565444378975637</v>
      </c>
      <c r="AU149">
        <v>0.8</v>
      </c>
      <c r="AV149" t="s">
        <v>93</v>
      </c>
      <c r="AW149">
        <v>8.4329669959542886E-2</v>
      </c>
      <c r="AX149">
        <v>0.38765756132712859</v>
      </c>
      <c r="AY149">
        <v>8.4329669959542886E-2</v>
      </c>
      <c r="AZ149">
        <v>8.4329669959542886E-2</v>
      </c>
      <c r="BA149">
        <v>0.38765756132712859</v>
      </c>
      <c r="BB149">
        <v>0.12110636253407039</v>
      </c>
      <c r="BC149">
        <v>0.1206112224974786</v>
      </c>
      <c r="BD149">
        <v>6.5366835779636548E-2</v>
      </c>
      <c r="BE149">
        <v>0.77351787520378656</v>
      </c>
      <c r="BF149">
        <v>6.5366835779636548E-2</v>
      </c>
      <c r="BG149">
        <v>6.5366835779636548E-2</v>
      </c>
      <c r="BH149">
        <v>0.77351787520378656</v>
      </c>
      <c r="BI149">
        <v>0.10507346513100931</v>
      </c>
      <c r="BJ149">
        <v>0.63594288512302022</v>
      </c>
      <c r="BK149">
        <v>4.5949833503344438E-2</v>
      </c>
      <c r="BL149">
        <v>0.81552595250393622</v>
      </c>
      <c r="BM149">
        <v>4.5949833503344438E-2</v>
      </c>
      <c r="BN149">
        <v>4.5949833503344438E-2</v>
      </c>
      <c r="BO149">
        <v>0.81552595250393622</v>
      </c>
      <c r="BP149">
        <v>7.3561141096912266E-2</v>
      </c>
      <c r="BQ149">
        <v>0.70467528602494856</v>
      </c>
      <c r="BR149">
        <v>73.295518466825058</v>
      </c>
      <c r="BS149">
        <v>0.79138803393600088</v>
      </c>
      <c r="BT149">
        <v>73.295518466825058</v>
      </c>
      <c r="BU149">
        <v>73.295518466825058</v>
      </c>
      <c r="BV149">
        <v>0.79138803393600088</v>
      </c>
      <c r="BW149">
        <v>252.48317317084079</v>
      </c>
      <c r="BX149">
        <v>0.28138838151358231</v>
      </c>
      <c r="BY149" t="str">
        <f t="shared" si="6"/>
        <v>[[sv,wv],[yr],[ya]]</v>
      </c>
      <c r="BZ149" t="str">
        <f>SUBSTITUTE(TRIM(MID(SUBSTITUTE(SUBSTITUTE(SUBSTITUTE(Tabla1[[#This Row],[map]],"[",""),"]",""),",",REPT(" ",100)),901,200))," ",", ")</f>
        <v>2, 3</v>
      </c>
      <c r="CA149" t="str">
        <f>SUBSTITUTE(TRIM(MID(SUBSTITUTE(SUBSTITUTE(SUBSTITUTE(Tabla1[[#This Row],[map]],"[",""),"]",""),",",REPT(" ",100)),1501,200))," ",", ")</f>
        <v>3, 2</v>
      </c>
      <c r="CB149" t="str">
        <f>SUBSTITUTE(TRIM(MID(SUBSTITUTE(SUBSTITUTE(SUBSTITUTE(Tabla1[[#This Row],[map]],"[",""),"]",""),",",REPT(" ",100)),601,300))," ",", ")</f>
        <v>4, 0, 1</v>
      </c>
      <c r="CC149" t="str">
        <f>SUBSTITUTE(TRIM(MID(SUBSTITUTE(SUBSTITUTE(SUBSTITUTE(Tabla1[[#This Row],[map]],"[",""),"]",""),",",REPT(" ",100)),1201,300))," ",", ")</f>
        <v>0, 1, 4</v>
      </c>
      <c r="CD149" t="str">
        <f>SUBSTITUTE(TRIM(MID(SUBSTITUTE(SUBSTITUTE(SUBSTITUTE(Tabla1[[#This Row],[map]],"[",""),"]",""),",",REPT(" ",100)),1,300))," ",", ")</f>
        <v>2, 3, 4</v>
      </c>
      <c r="CE149" t="str">
        <f>SUBSTITUTE(TRIM(MID(SUBSTITUTE(SUBSTITUTE(SUBSTITUTE(Tabla1[[#This Row],[map]],"[",""),"]",""),",",REPT(" ",100)),1,600))," ",", ")</f>
        <v>2, 3, 4, 0, 1, -1</v>
      </c>
      <c r="CF149" t="str">
        <f>SUBSTITUTE(TRIM(MID(SUBSTITUTE(SUBSTITUTE(SUBSTITUTE(Tabla1[[#This Row],[map]],"[",""),"]",""),",",REPT(" ",100)),601,600))," ",", ")</f>
        <v>4, 0, 1, 2, 3, -1</v>
      </c>
      <c r="CG149" t="str">
        <f>SUBSTITUTE(TRIM(MID(SUBSTITUTE(SUBSTITUTE(SUBSTITUTE(Tabla1[[#This Row],[map]],"[",""),"]",""),",",REPT(" ",100)),1201,600))," ",", ")</f>
        <v>0, 1, 4, 3, 2, -1</v>
      </c>
    </row>
    <row r="150" spans="1:85" x14ac:dyDescent="0.3">
      <c r="A150" s="1">
        <v>46098.581886574073</v>
      </c>
      <c r="B150" t="s">
        <v>320</v>
      </c>
      <c r="C150">
        <v>6</v>
      </c>
      <c r="D150" t="s">
        <v>77</v>
      </c>
      <c r="E150" t="s">
        <v>78</v>
      </c>
      <c r="F150">
        <v>16590</v>
      </c>
      <c r="G150">
        <v>4.5</v>
      </c>
      <c r="H150" t="s">
        <v>79</v>
      </c>
      <c r="I150" t="s">
        <v>80</v>
      </c>
      <c r="J150">
        <v>5</v>
      </c>
      <c r="K150">
        <v>5</v>
      </c>
      <c r="L150" t="s">
        <v>81</v>
      </c>
      <c r="M150" t="s">
        <v>82</v>
      </c>
      <c r="N150" t="s">
        <v>83</v>
      </c>
      <c r="O150" t="s">
        <v>83</v>
      </c>
      <c r="P150" t="s">
        <v>84</v>
      </c>
      <c r="Q150" t="s">
        <v>99</v>
      </c>
      <c r="R150">
        <v>3</v>
      </c>
      <c r="S150" t="s">
        <v>86</v>
      </c>
      <c r="T150" t="s">
        <v>87</v>
      </c>
      <c r="U150" t="s">
        <v>88</v>
      </c>
      <c r="V150">
        <v>1</v>
      </c>
      <c r="W150" t="s">
        <v>100</v>
      </c>
      <c r="X150" t="s">
        <v>83</v>
      </c>
      <c r="Y150" t="s">
        <v>90</v>
      </c>
      <c r="Z150">
        <v>4000</v>
      </c>
      <c r="AA150">
        <v>4000</v>
      </c>
      <c r="AC150">
        <v>256</v>
      </c>
      <c r="AD150" t="s">
        <v>91</v>
      </c>
      <c r="AE150">
        <v>0.15</v>
      </c>
      <c r="AF150" t="s">
        <v>92</v>
      </c>
      <c r="AG150">
        <v>180</v>
      </c>
      <c r="AH150">
        <v>60</v>
      </c>
      <c r="AI150">
        <v>120</v>
      </c>
      <c r="AJ150">
        <v>9.4837100555762222E-2</v>
      </c>
      <c r="AK150">
        <v>16.59527602869985</v>
      </c>
      <c r="AL150">
        <v>0.76046419446468549</v>
      </c>
      <c r="AM150">
        <v>0.33421512614935361</v>
      </c>
      <c r="AN150">
        <v>22.64330316265044</v>
      </c>
      <c r="AO150">
        <v>0.69496827938332784</v>
      </c>
      <c r="AP150">
        <v>22.64330316265044</v>
      </c>
      <c r="AQ150">
        <v>22.64330316265044</v>
      </c>
      <c r="AR150">
        <v>0.69496827938332784</v>
      </c>
      <c r="AS150">
        <v>73.130465661043473</v>
      </c>
      <c r="AT150">
        <v>0.35390936639449222</v>
      </c>
      <c r="AU150">
        <v>0.8</v>
      </c>
      <c r="AV150" t="s">
        <v>93</v>
      </c>
      <c r="AW150">
        <v>6.801977281957805E-2</v>
      </c>
      <c r="AX150">
        <v>0.50608850258399729</v>
      </c>
      <c r="AY150">
        <v>6.801977281957805E-2</v>
      </c>
      <c r="AZ150">
        <v>6.801977281957805E-2</v>
      </c>
      <c r="BA150">
        <v>0.50608850258399729</v>
      </c>
      <c r="BB150">
        <v>0.1449832071676172</v>
      </c>
      <c r="BC150">
        <v>-5.2765541312146842E-2</v>
      </c>
      <c r="BD150">
        <v>7.1465104817807615E-2</v>
      </c>
      <c r="BE150">
        <v>0.75238867546708765</v>
      </c>
      <c r="BF150">
        <v>7.1465104817807615E-2</v>
      </c>
      <c r="BG150">
        <v>7.1465104817807615E-2</v>
      </c>
      <c r="BH150">
        <v>0.75238867546708765</v>
      </c>
      <c r="BI150">
        <v>0.124959200060065</v>
      </c>
      <c r="BJ150">
        <v>0.56704306082909484</v>
      </c>
      <c r="BK150">
        <v>5.5140251430490027E-2</v>
      </c>
      <c r="BL150">
        <v>0.77862933147314339</v>
      </c>
      <c r="BM150">
        <v>5.5140251430490027E-2</v>
      </c>
      <c r="BN150">
        <v>5.5140251430490027E-2</v>
      </c>
      <c r="BO150">
        <v>0.77862933147314339</v>
      </c>
      <c r="BP150">
        <v>6.6513055284791053E-2</v>
      </c>
      <c r="BQ150">
        <v>0.73297112123764729</v>
      </c>
      <c r="BR150">
        <v>90.378587521534101</v>
      </c>
      <c r="BS150">
        <v>0.74276660800908101</v>
      </c>
      <c r="BT150">
        <v>90.378587521534101</v>
      </c>
      <c r="BU150">
        <v>90.378587521534101</v>
      </c>
      <c r="BV150">
        <v>0.74276660800908101</v>
      </c>
      <c r="BW150">
        <v>292.18540718166088</v>
      </c>
      <c r="BX150">
        <v>0.16838882482337481</v>
      </c>
      <c r="BY150" t="str">
        <f t="shared" si="6"/>
        <v>[[sv,wv],[yr],[ya]]</v>
      </c>
      <c r="BZ150" t="str">
        <f>SUBSTITUTE(TRIM(MID(SUBSTITUTE(SUBSTITUTE(SUBSTITUTE(Tabla1[[#This Row],[map]],"[",""),"]",""),",",REPT(" ",100)),901,200))," ",", ")</f>
        <v>2, 3</v>
      </c>
      <c r="CA150" t="str">
        <f>SUBSTITUTE(TRIM(MID(SUBSTITUTE(SUBSTITUTE(SUBSTITUTE(Tabla1[[#This Row],[map]],"[",""),"]",""),",",REPT(" ",100)),1501,200))," ",", ")</f>
        <v>3, 2</v>
      </c>
      <c r="CB150" t="str">
        <f>SUBSTITUTE(TRIM(MID(SUBSTITUTE(SUBSTITUTE(SUBSTITUTE(Tabla1[[#This Row],[map]],"[",""),"]",""),",",REPT(" ",100)),601,300))," ",", ")</f>
        <v>4, 0, 1</v>
      </c>
      <c r="CC150" t="str">
        <f>SUBSTITUTE(TRIM(MID(SUBSTITUTE(SUBSTITUTE(SUBSTITUTE(Tabla1[[#This Row],[map]],"[",""),"]",""),",",REPT(" ",100)),1201,300))," ",", ")</f>
        <v>0, 1, 4</v>
      </c>
      <c r="CD150" t="str">
        <f>SUBSTITUTE(TRIM(MID(SUBSTITUTE(SUBSTITUTE(SUBSTITUTE(Tabla1[[#This Row],[map]],"[",""),"]",""),",",REPT(" ",100)),1,300))," ",", ")</f>
        <v>2, 3, 4</v>
      </c>
      <c r="CE150" t="str">
        <f>SUBSTITUTE(TRIM(MID(SUBSTITUTE(SUBSTITUTE(SUBSTITUTE(Tabla1[[#This Row],[map]],"[",""),"]",""),",",REPT(" ",100)),1,600))," ",", ")</f>
        <v>2, 3, 4, 0, 1, -1</v>
      </c>
      <c r="CF150" t="str">
        <f>SUBSTITUTE(TRIM(MID(SUBSTITUTE(SUBSTITUTE(SUBSTITUTE(Tabla1[[#This Row],[map]],"[",""),"]",""),",",REPT(" ",100)),601,600))," ",", ")</f>
        <v>4, 0, 1, 2, 3, -1</v>
      </c>
      <c r="CG150" t="str">
        <f>SUBSTITUTE(TRIM(MID(SUBSTITUTE(SUBSTITUTE(SUBSTITUTE(Tabla1[[#This Row],[map]],"[",""),"]",""),",",REPT(" ",100)),1201,600))," ",", ")</f>
        <v>0, 1, 4, 3, 2, -1</v>
      </c>
    </row>
    <row r="151" spans="1:85" x14ac:dyDescent="0.3">
      <c r="A151" s="1">
        <v>46098.583969907413</v>
      </c>
      <c r="B151" t="s">
        <v>321</v>
      </c>
      <c r="C151">
        <v>9</v>
      </c>
      <c r="D151" t="s">
        <v>77</v>
      </c>
      <c r="E151" t="s">
        <v>78</v>
      </c>
      <c r="F151">
        <v>16590</v>
      </c>
      <c r="G151">
        <v>4.5</v>
      </c>
      <c r="H151" t="s">
        <v>79</v>
      </c>
      <c r="I151" t="s">
        <v>80</v>
      </c>
      <c r="J151">
        <v>5</v>
      </c>
      <c r="K151">
        <v>5</v>
      </c>
      <c r="L151" t="s">
        <v>81</v>
      </c>
      <c r="M151" t="s">
        <v>82</v>
      </c>
      <c r="N151" t="s">
        <v>83</v>
      </c>
      <c r="O151" t="s">
        <v>83</v>
      </c>
      <c r="P151" t="s">
        <v>84</v>
      </c>
      <c r="Q151" t="s">
        <v>99</v>
      </c>
      <c r="R151">
        <v>3</v>
      </c>
      <c r="S151" t="s">
        <v>86</v>
      </c>
      <c r="T151" t="s">
        <v>87</v>
      </c>
      <c r="U151" t="s">
        <v>88</v>
      </c>
      <c r="V151">
        <v>1</v>
      </c>
      <c r="W151" t="s">
        <v>100</v>
      </c>
      <c r="X151" t="s">
        <v>83</v>
      </c>
      <c r="Y151" t="s">
        <v>90</v>
      </c>
      <c r="Z151">
        <v>4000</v>
      </c>
      <c r="AA151">
        <v>4000</v>
      </c>
      <c r="AC151">
        <v>256</v>
      </c>
      <c r="AD151" t="s">
        <v>91</v>
      </c>
      <c r="AE151">
        <v>0.15</v>
      </c>
      <c r="AF151" t="s">
        <v>92</v>
      </c>
      <c r="AG151">
        <v>180</v>
      </c>
      <c r="AH151">
        <v>60</v>
      </c>
      <c r="AI151">
        <v>120</v>
      </c>
      <c r="AJ151">
        <v>9.8109991944057978E-2</v>
      </c>
      <c r="AK151">
        <v>14.64468586782052</v>
      </c>
      <c r="AL151">
        <v>0.82127961890594259</v>
      </c>
      <c r="AM151">
        <v>0.42961005032723659</v>
      </c>
      <c r="AN151">
        <v>21.43400934262624</v>
      </c>
      <c r="AO151">
        <v>0.7742504539125854</v>
      </c>
      <c r="AP151">
        <v>21.43400934262624</v>
      </c>
      <c r="AQ151">
        <v>21.43400934262624</v>
      </c>
      <c r="AR151">
        <v>0.7742504539125854</v>
      </c>
      <c r="AS151">
        <v>48.870192682782253</v>
      </c>
      <c r="AT151">
        <v>0.41837414595374811</v>
      </c>
      <c r="AU151">
        <v>0.8</v>
      </c>
      <c r="AV151" t="s">
        <v>93</v>
      </c>
      <c r="AW151">
        <v>5.1034760971071888E-2</v>
      </c>
      <c r="AX151">
        <v>0.62942164952020119</v>
      </c>
      <c r="AY151">
        <v>5.1034760971071888E-2</v>
      </c>
      <c r="AZ151">
        <v>5.1034760971071888E-2</v>
      </c>
      <c r="BA151">
        <v>0.62942164952020119</v>
      </c>
      <c r="BB151">
        <v>0.15210319808681849</v>
      </c>
      <c r="BC151">
        <v>-0.1044658812385815</v>
      </c>
      <c r="BD151">
        <v>4.0114440070692398E-2</v>
      </c>
      <c r="BE151">
        <v>0.86101203287782435</v>
      </c>
      <c r="BF151">
        <v>4.0114440070692398E-2</v>
      </c>
      <c r="BG151">
        <v>4.0114440070692398E-2</v>
      </c>
      <c r="BH151">
        <v>0.86101203287782435</v>
      </c>
      <c r="BI151">
        <v>0.107903839309941</v>
      </c>
      <c r="BJ151">
        <v>0.62613624311003035</v>
      </c>
      <c r="BK151">
        <v>3.7307447461089938E-2</v>
      </c>
      <c r="BL151">
        <v>0.85022239886042061</v>
      </c>
      <c r="BM151">
        <v>3.7307447461089938E-2</v>
      </c>
      <c r="BN151">
        <v>3.7307447461089938E-2</v>
      </c>
      <c r="BO151">
        <v>0.85022239886042061</v>
      </c>
      <c r="BP151">
        <v>7.2919471326516147E-2</v>
      </c>
      <c r="BQ151">
        <v>0.70725138719171832</v>
      </c>
      <c r="BR151">
        <v>85.607580722002112</v>
      </c>
      <c r="BS151">
        <v>0.75634573439189756</v>
      </c>
      <c r="BT151">
        <v>85.607580722002112</v>
      </c>
      <c r="BU151">
        <v>85.607580722002112</v>
      </c>
      <c r="BV151">
        <v>0.75634573439189756</v>
      </c>
      <c r="BW151">
        <v>195.14784422240581</v>
      </c>
      <c r="BX151">
        <v>0.44457483475182302</v>
      </c>
      <c r="BY151" t="str">
        <f t="shared" si="6"/>
        <v>[[sv,wv],[yr],[ya]]</v>
      </c>
      <c r="BZ151" t="str">
        <f>SUBSTITUTE(TRIM(MID(SUBSTITUTE(SUBSTITUTE(SUBSTITUTE(Tabla1[[#This Row],[map]],"[",""),"]",""),",",REPT(" ",100)),901,200))," ",", ")</f>
        <v>2, 3</v>
      </c>
      <c r="CA151" t="str">
        <f>SUBSTITUTE(TRIM(MID(SUBSTITUTE(SUBSTITUTE(SUBSTITUTE(Tabla1[[#This Row],[map]],"[",""),"]",""),",",REPT(" ",100)),1501,200))," ",", ")</f>
        <v>3, 2</v>
      </c>
      <c r="CB151" t="str">
        <f>SUBSTITUTE(TRIM(MID(SUBSTITUTE(SUBSTITUTE(SUBSTITUTE(Tabla1[[#This Row],[map]],"[",""),"]",""),",",REPT(" ",100)),601,300))," ",", ")</f>
        <v>4, 0, 1</v>
      </c>
      <c r="CC151" t="str">
        <f>SUBSTITUTE(TRIM(MID(SUBSTITUTE(SUBSTITUTE(SUBSTITUTE(Tabla1[[#This Row],[map]],"[",""),"]",""),",",REPT(" ",100)),1201,300))," ",", ")</f>
        <v>0, 1, 4</v>
      </c>
      <c r="CD151" t="str">
        <f>SUBSTITUTE(TRIM(MID(SUBSTITUTE(SUBSTITUTE(SUBSTITUTE(Tabla1[[#This Row],[map]],"[",""),"]",""),",",REPT(" ",100)),1,300))," ",", ")</f>
        <v>2, 3, 4</v>
      </c>
      <c r="CE151" t="str">
        <f>SUBSTITUTE(TRIM(MID(SUBSTITUTE(SUBSTITUTE(SUBSTITUTE(Tabla1[[#This Row],[map]],"[",""),"]",""),",",REPT(" ",100)),1,600))," ",", ")</f>
        <v>2, 3, 4, 0, 1, -1</v>
      </c>
      <c r="CF151" t="str">
        <f>SUBSTITUTE(TRIM(MID(SUBSTITUTE(SUBSTITUTE(SUBSTITUTE(Tabla1[[#This Row],[map]],"[",""),"]",""),",",REPT(" ",100)),601,600))," ",", ")</f>
        <v>4, 0, 1, 2, 3, -1</v>
      </c>
      <c r="CG151" t="str">
        <f>SUBSTITUTE(TRIM(MID(SUBSTITUTE(SUBSTITUTE(SUBSTITUTE(Tabla1[[#This Row],[map]],"[",""),"]",""),",",REPT(" ",100)),1201,600))," ",", ")</f>
        <v>0, 1, 4, 3, 2, -1</v>
      </c>
    </row>
    <row r="152" spans="1:85" x14ac:dyDescent="0.3">
      <c r="A152" s="1">
        <v>46098.602106481478</v>
      </c>
      <c r="B152" t="s">
        <v>322</v>
      </c>
      <c r="C152">
        <v>4</v>
      </c>
      <c r="D152" t="s">
        <v>77</v>
      </c>
      <c r="E152" t="s">
        <v>78</v>
      </c>
      <c r="F152">
        <v>16590</v>
      </c>
      <c r="G152">
        <v>4.5</v>
      </c>
      <c r="H152" t="s">
        <v>79</v>
      </c>
      <c r="I152" t="s">
        <v>80</v>
      </c>
      <c r="J152">
        <v>5</v>
      </c>
      <c r="K152">
        <v>5</v>
      </c>
      <c r="L152" t="s">
        <v>81</v>
      </c>
      <c r="M152" t="s">
        <v>82</v>
      </c>
      <c r="N152" t="s">
        <v>83</v>
      </c>
      <c r="O152" t="s">
        <v>83</v>
      </c>
      <c r="P152" t="s">
        <v>84</v>
      </c>
      <c r="Q152" t="s">
        <v>135</v>
      </c>
      <c r="R152">
        <v>3</v>
      </c>
      <c r="S152" t="s">
        <v>86</v>
      </c>
      <c r="T152" t="s">
        <v>87</v>
      </c>
      <c r="U152" t="s">
        <v>88</v>
      </c>
      <c r="V152">
        <v>1</v>
      </c>
      <c r="W152" t="s">
        <v>136</v>
      </c>
      <c r="X152" t="s">
        <v>83</v>
      </c>
      <c r="Y152" t="s">
        <v>90</v>
      </c>
      <c r="Z152">
        <v>4000</v>
      </c>
      <c r="AA152">
        <v>4000</v>
      </c>
      <c r="AC152">
        <v>256</v>
      </c>
      <c r="AD152" t="s">
        <v>91</v>
      </c>
      <c r="AE152">
        <v>0.15</v>
      </c>
      <c r="AF152" t="s">
        <v>92</v>
      </c>
      <c r="AG152">
        <v>180</v>
      </c>
      <c r="AH152">
        <v>60</v>
      </c>
      <c r="AI152">
        <v>120</v>
      </c>
      <c r="AJ152">
        <v>0.1188439622854412</v>
      </c>
      <c r="AK152">
        <v>47.133150875013882</v>
      </c>
      <c r="AL152">
        <v>0.68945703095337385</v>
      </c>
      <c r="AM152">
        <v>-7.99734247743282E-2</v>
      </c>
      <c r="AN152">
        <v>48.743973270098543</v>
      </c>
      <c r="AO152">
        <v>0.63462657161404157</v>
      </c>
      <c r="AP152">
        <v>48.743973270098543</v>
      </c>
      <c r="AQ152">
        <v>48.743973270098543</v>
      </c>
      <c r="AR152">
        <v>0.63462657161404157</v>
      </c>
      <c r="AS152">
        <v>110.3823621750383</v>
      </c>
      <c r="AT152">
        <v>-0.1110121327328599</v>
      </c>
      <c r="AU152">
        <v>0.8</v>
      </c>
      <c r="AV152" t="s">
        <v>93</v>
      </c>
      <c r="AW152">
        <v>6.3674936844849817E-2</v>
      </c>
      <c r="AX152">
        <v>0.5376376294532843</v>
      </c>
      <c r="AY152">
        <v>6.3674936844849817E-2</v>
      </c>
      <c r="AZ152">
        <v>6.3674936844849817E-2</v>
      </c>
      <c r="BA152">
        <v>0.5376376294532843</v>
      </c>
      <c r="BB152">
        <v>0.1389601740027345</v>
      </c>
      <c r="BC152">
        <v>-9.0305330029567532E-3</v>
      </c>
      <c r="BD152">
        <v>5.6257213045608052E-2</v>
      </c>
      <c r="BE152">
        <v>0.80508077232565389</v>
      </c>
      <c r="BF152">
        <v>5.6257213045608052E-2</v>
      </c>
      <c r="BG152">
        <v>5.6257213045608052E-2</v>
      </c>
      <c r="BH152">
        <v>0.80508077232565389</v>
      </c>
      <c r="BI152">
        <v>0.32998355372593119</v>
      </c>
      <c r="BJ152">
        <v>-0.14332253510940671</v>
      </c>
      <c r="BK152">
        <v>6.2220291828634797E-2</v>
      </c>
      <c r="BL152">
        <v>0.75020520870485641</v>
      </c>
      <c r="BM152">
        <v>6.2220291828634797E-2</v>
      </c>
      <c r="BN152">
        <v>6.2220291828634797E-2</v>
      </c>
      <c r="BO152">
        <v>0.75020520870485641</v>
      </c>
      <c r="BP152">
        <v>0.25832539579337049</v>
      </c>
      <c r="BQ152">
        <v>-3.7094755295624449E-2</v>
      </c>
      <c r="BR152">
        <v>194.79374063867431</v>
      </c>
      <c r="BS152">
        <v>0.44558267597237411</v>
      </c>
      <c r="BT152">
        <v>194.79374063867431</v>
      </c>
      <c r="BU152">
        <v>194.79374063867431</v>
      </c>
      <c r="BV152">
        <v>0.44558267597237411</v>
      </c>
      <c r="BW152">
        <v>440.80217957663092</v>
      </c>
      <c r="BX152">
        <v>-0.25460070752345237</v>
      </c>
      <c r="BY152" t="str">
        <f t="shared" si="6"/>
        <v>[[sv,wv],[yr],[ya]]</v>
      </c>
      <c r="BZ152" t="str">
        <f>SUBSTITUTE(TRIM(MID(SUBSTITUTE(SUBSTITUTE(SUBSTITUTE(Tabla1[[#This Row],[map]],"[",""),"]",""),",",REPT(" ",100)),901,200))," ",", ")</f>
        <v>2, 3</v>
      </c>
      <c r="CA152" t="str">
        <f>SUBSTITUTE(TRIM(MID(SUBSTITUTE(SUBSTITUTE(SUBSTITUTE(Tabla1[[#This Row],[map]],"[",""),"]",""),",",REPT(" ",100)),1501,200))," ",", ")</f>
        <v>3, 2</v>
      </c>
      <c r="CB152" t="str">
        <f>SUBSTITUTE(TRIM(MID(SUBSTITUTE(SUBSTITUTE(SUBSTITUTE(Tabla1[[#This Row],[map]],"[",""),"]",""),",",REPT(" ",100)),601,300))," ",", ")</f>
        <v>4, 0, 1</v>
      </c>
      <c r="CC152" t="str">
        <f>SUBSTITUTE(TRIM(MID(SUBSTITUTE(SUBSTITUTE(SUBSTITUTE(Tabla1[[#This Row],[map]],"[",""),"]",""),",",REPT(" ",100)),1201,300))," ",", ")</f>
        <v>4, 0, 1</v>
      </c>
      <c r="CD152" t="str">
        <f>SUBSTITUTE(TRIM(MID(SUBSTITUTE(SUBSTITUTE(SUBSTITUTE(Tabla1[[#This Row],[map]],"[",""),"]",""),",",REPT(" ",100)),1,300))," ",", ")</f>
        <v>2, 3, 4</v>
      </c>
      <c r="CE152" t="str">
        <f>SUBSTITUTE(TRIM(MID(SUBSTITUTE(SUBSTITUTE(SUBSTITUTE(Tabla1[[#This Row],[map]],"[",""),"]",""),",",REPT(" ",100)),1,600))," ",", ")</f>
        <v>2, 3, 4, 0, 1, -1</v>
      </c>
      <c r="CF152" t="str">
        <f>SUBSTITUTE(TRIM(MID(SUBSTITUTE(SUBSTITUTE(SUBSTITUTE(Tabla1[[#This Row],[map]],"[",""),"]",""),",",REPT(" ",100)),601,600))," ",", ")</f>
        <v>4, 0, 1, 2, 3, -1</v>
      </c>
      <c r="CG152" t="str">
        <f>SUBSTITUTE(TRIM(MID(SUBSTITUTE(SUBSTITUTE(SUBSTITUTE(Tabla1[[#This Row],[map]],"[",""),"]",""),",",REPT(" ",100)),1201,600))," ",", ")</f>
        <v>4, 0, 1, 3, 2, -1</v>
      </c>
    </row>
    <row r="153" spans="1:85" x14ac:dyDescent="0.3">
      <c r="A153" s="1">
        <v>46098.612615740742</v>
      </c>
      <c r="B153" t="s">
        <v>323</v>
      </c>
      <c r="C153">
        <v>5</v>
      </c>
      <c r="D153" t="s">
        <v>96</v>
      </c>
      <c r="E153" t="s">
        <v>78</v>
      </c>
      <c r="F153">
        <v>16590</v>
      </c>
      <c r="G153">
        <v>4.5</v>
      </c>
      <c r="H153" t="s">
        <v>79</v>
      </c>
      <c r="I153" t="s">
        <v>80</v>
      </c>
      <c r="J153">
        <v>5</v>
      </c>
      <c r="K153">
        <v>5</v>
      </c>
      <c r="L153" t="s">
        <v>81</v>
      </c>
      <c r="M153" t="s">
        <v>82</v>
      </c>
      <c r="N153" t="s">
        <v>83</v>
      </c>
      <c r="O153" t="s">
        <v>83</v>
      </c>
      <c r="P153" t="s">
        <v>84</v>
      </c>
      <c r="Q153" t="s">
        <v>135</v>
      </c>
      <c r="R153">
        <v>3</v>
      </c>
      <c r="S153" t="s">
        <v>86</v>
      </c>
      <c r="T153" t="s">
        <v>87</v>
      </c>
      <c r="U153" t="s">
        <v>88</v>
      </c>
      <c r="V153">
        <v>1</v>
      </c>
      <c r="W153" t="s">
        <v>136</v>
      </c>
      <c r="X153" t="s">
        <v>83</v>
      </c>
      <c r="Y153" t="s">
        <v>90</v>
      </c>
      <c r="Z153">
        <v>4000</v>
      </c>
      <c r="AA153">
        <v>4000</v>
      </c>
      <c r="AC153">
        <v>256</v>
      </c>
      <c r="AD153" t="s">
        <v>91</v>
      </c>
      <c r="AE153">
        <v>0.15</v>
      </c>
      <c r="AF153" t="s">
        <v>92</v>
      </c>
      <c r="AG153">
        <v>180</v>
      </c>
      <c r="AH153">
        <v>60</v>
      </c>
      <c r="AI153">
        <v>120</v>
      </c>
      <c r="AJ153">
        <v>0.12260891456860359</v>
      </c>
      <c r="AK153">
        <v>44.835674862690198</v>
      </c>
      <c r="AL153">
        <v>0.68276840034383945</v>
      </c>
      <c r="AM153">
        <v>0.21887226831056811</v>
      </c>
      <c r="AN153">
        <v>49.248626005917487</v>
      </c>
      <c r="AO153">
        <v>0.62370792019273125</v>
      </c>
      <c r="AP153">
        <v>49.248626005917487</v>
      </c>
      <c r="AQ153">
        <v>49.248626005917487</v>
      </c>
      <c r="AR153">
        <v>0.62370792019273125</v>
      </c>
      <c r="AS153">
        <v>107.6824574393833</v>
      </c>
      <c r="AT153">
        <v>0.25014941883668562</v>
      </c>
      <c r="AU153">
        <v>0.8</v>
      </c>
      <c r="AV153" t="s">
        <v>93</v>
      </c>
      <c r="AW153">
        <v>6.946556780077838E-2</v>
      </c>
      <c r="AX153">
        <v>0.49559016166752112</v>
      </c>
      <c r="AY153">
        <v>6.946556780077838E-2</v>
      </c>
      <c r="AZ153">
        <v>6.946556780077838E-2</v>
      </c>
      <c r="BA153">
        <v>0.49559016166752112</v>
      </c>
      <c r="BB153">
        <v>0.16814389268319749</v>
      </c>
      <c r="BC153">
        <v>-0.2209420639612909</v>
      </c>
      <c r="BD153">
        <v>8.0603455752614142E-2</v>
      </c>
      <c r="BE153">
        <v>0.72072624126535123</v>
      </c>
      <c r="BF153">
        <v>8.0603455752614142E-2</v>
      </c>
      <c r="BG153">
        <v>8.0603455752614142E-2</v>
      </c>
      <c r="BH153">
        <v>0.72072624126535123</v>
      </c>
      <c r="BI153">
        <v>8.7495280394422933E-2</v>
      </c>
      <c r="BJ153">
        <v>0.69684754085124911</v>
      </c>
      <c r="BK153">
        <v>4.018875630163557E-2</v>
      </c>
      <c r="BL153">
        <v>0.83865485522910466</v>
      </c>
      <c r="BM153">
        <v>4.018875630163557E-2</v>
      </c>
      <c r="BN153">
        <v>4.018875630163557E-2</v>
      </c>
      <c r="BO153">
        <v>0.83865485522910466</v>
      </c>
      <c r="BP153">
        <v>6.2341101788303821E-2</v>
      </c>
      <c r="BQ153">
        <v>0.74972019492920572</v>
      </c>
      <c r="BR153">
        <v>196.80424624381439</v>
      </c>
      <c r="BS153">
        <v>0.43986042260894648</v>
      </c>
      <c r="BT153">
        <v>196.80424624381439</v>
      </c>
      <c r="BU153">
        <v>196.80424624381439</v>
      </c>
      <c r="BV153">
        <v>0.43986042260894648</v>
      </c>
      <c r="BW153">
        <v>430.41184948266738</v>
      </c>
      <c r="BX153">
        <v>-0.22502799647241159</v>
      </c>
      <c r="BY153" t="str">
        <f t="shared" si="6"/>
        <v>[[sv,wv],[yr],[ya]]</v>
      </c>
      <c r="BZ153" t="str">
        <f>SUBSTITUTE(TRIM(MID(SUBSTITUTE(SUBSTITUTE(SUBSTITUTE(Tabla1[[#This Row],[map]],"[",""),"]",""),",",REPT(" ",100)),901,200))," ",", ")</f>
        <v>2, 3</v>
      </c>
      <c r="CA153" t="str">
        <f>SUBSTITUTE(TRIM(MID(SUBSTITUTE(SUBSTITUTE(SUBSTITUTE(Tabla1[[#This Row],[map]],"[",""),"]",""),",",REPT(" ",100)),1501,200))," ",", ")</f>
        <v>3, 2</v>
      </c>
      <c r="CB153" t="str">
        <f>SUBSTITUTE(TRIM(MID(SUBSTITUTE(SUBSTITUTE(SUBSTITUTE(Tabla1[[#This Row],[map]],"[",""),"]",""),",",REPT(" ",100)),601,300))," ",", ")</f>
        <v>4, 0, 1</v>
      </c>
      <c r="CC153" t="str">
        <f>SUBSTITUTE(TRIM(MID(SUBSTITUTE(SUBSTITUTE(SUBSTITUTE(Tabla1[[#This Row],[map]],"[",""),"]",""),",",REPT(" ",100)),1201,300))," ",", ")</f>
        <v>4, 0, 1</v>
      </c>
      <c r="CD153" t="str">
        <f>SUBSTITUTE(TRIM(MID(SUBSTITUTE(SUBSTITUTE(SUBSTITUTE(Tabla1[[#This Row],[map]],"[",""),"]",""),",",REPT(" ",100)),1,300))," ",", ")</f>
        <v>2, 3, 4</v>
      </c>
      <c r="CE153" t="str">
        <f>SUBSTITUTE(TRIM(MID(SUBSTITUTE(SUBSTITUTE(SUBSTITUTE(Tabla1[[#This Row],[map]],"[",""),"]",""),",",REPT(" ",100)),1,600))," ",", ")</f>
        <v>2, 3, 4, 0, 1, -1</v>
      </c>
      <c r="CF153" t="str">
        <f>SUBSTITUTE(TRIM(MID(SUBSTITUTE(SUBSTITUTE(SUBSTITUTE(Tabla1[[#This Row],[map]],"[",""),"]",""),",",REPT(" ",100)),601,600))," ",", ")</f>
        <v>4, 0, 1, 2, 3, -1</v>
      </c>
      <c r="CG153" t="str">
        <f>SUBSTITUTE(TRIM(MID(SUBSTITUTE(SUBSTITUTE(SUBSTITUTE(Tabla1[[#This Row],[map]],"[",""),"]",""),",",REPT(" ",100)),1201,600))," ",", ")</f>
        <v>4, 0, 1, 3, 2, -1</v>
      </c>
    </row>
    <row r="154" spans="1:85" x14ac:dyDescent="0.3">
      <c r="A154" s="1">
        <v>46098.754027777781</v>
      </c>
      <c r="B154" t="s">
        <v>324</v>
      </c>
      <c r="C154">
        <v>7</v>
      </c>
      <c r="D154" t="s">
        <v>96</v>
      </c>
      <c r="E154" t="s">
        <v>78</v>
      </c>
      <c r="F154">
        <v>16590</v>
      </c>
      <c r="G154">
        <v>4.5</v>
      </c>
      <c r="H154" t="s">
        <v>79</v>
      </c>
      <c r="I154" t="s">
        <v>80</v>
      </c>
      <c r="J154">
        <v>5</v>
      </c>
      <c r="K154">
        <v>5</v>
      </c>
      <c r="L154" t="s">
        <v>81</v>
      </c>
      <c r="M154" t="s">
        <v>82</v>
      </c>
      <c r="N154" t="s">
        <v>83</v>
      </c>
      <c r="O154" t="s">
        <v>83</v>
      </c>
      <c r="P154" t="s">
        <v>84</v>
      </c>
      <c r="Q154" t="s">
        <v>105</v>
      </c>
      <c r="R154">
        <v>3</v>
      </c>
      <c r="S154" t="s">
        <v>86</v>
      </c>
      <c r="T154" t="s">
        <v>87</v>
      </c>
      <c r="U154" t="s">
        <v>88</v>
      </c>
      <c r="V154">
        <v>1</v>
      </c>
      <c r="W154" t="s">
        <v>106</v>
      </c>
      <c r="X154" t="s">
        <v>83</v>
      </c>
      <c r="Y154" t="s">
        <v>90</v>
      </c>
      <c r="Z154">
        <v>4000</v>
      </c>
      <c r="AA154">
        <v>4000</v>
      </c>
      <c r="AC154">
        <v>256</v>
      </c>
      <c r="AD154" t="s">
        <v>91</v>
      </c>
      <c r="AE154">
        <v>0.15</v>
      </c>
      <c r="AF154" t="s">
        <v>92</v>
      </c>
      <c r="AG154">
        <v>180</v>
      </c>
      <c r="AH154">
        <v>60</v>
      </c>
      <c r="AI154">
        <v>120</v>
      </c>
      <c r="AJ154">
        <v>0.10464980956553099</v>
      </c>
      <c r="AK154">
        <v>13.87841134638704</v>
      </c>
      <c r="AL154">
        <v>0.71491215272901765</v>
      </c>
      <c r="AM154">
        <v>0.27065102244466832</v>
      </c>
      <c r="AN154">
        <v>20.022552734247729</v>
      </c>
      <c r="AO154">
        <v>0.68910008432534542</v>
      </c>
      <c r="AP154">
        <v>20.022552734247729</v>
      </c>
      <c r="AQ154">
        <v>20.022552734247729</v>
      </c>
      <c r="AR154">
        <v>0.68910008432534542</v>
      </c>
      <c r="AS154">
        <v>73.223605777030002</v>
      </c>
      <c r="AT154">
        <v>0.24774709992878671</v>
      </c>
      <c r="AU154">
        <v>0.8</v>
      </c>
      <c r="AV154" t="s">
        <v>93</v>
      </c>
      <c r="AW154">
        <v>8.9767846601907134E-2</v>
      </c>
      <c r="AX154">
        <v>0.34816936756665551</v>
      </c>
      <c r="AY154">
        <v>8.9767846601907134E-2</v>
      </c>
      <c r="AZ154">
        <v>8.9767846601907134E-2</v>
      </c>
      <c r="BA154">
        <v>0.34816936756665551</v>
      </c>
      <c r="BB154">
        <v>0.14476314906833559</v>
      </c>
      <c r="BC154">
        <v>-5.1167634985364467E-2</v>
      </c>
      <c r="BD154">
        <v>4.0899854047184298E-2</v>
      </c>
      <c r="BE154">
        <v>0.85829074119957638</v>
      </c>
      <c r="BF154">
        <v>4.0899854047184298E-2</v>
      </c>
      <c r="BG154">
        <v>4.0899854047184298E-2</v>
      </c>
      <c r="BH154">
        <v>0.85829074119957638</v>
      </c>
      <c r="BI154">
        <v>0.1648317042805405</v>
      </c>
      <c r="BJ154">
        <v>0.42889334975477539</v>
      </c>
      <c r="BK154">
        <v>5.5456088379734383E-2</v>
      </c>
      <c r="BL154">
        <v>0.77736134602175599</v>
      </c>
      <c r="BM154">
        <v>5.5456088379734383E-2</v>
      </c>
      <c r="BN154">
        <v>5.5456088379734383E-2</v>
      </c>
      <c r="BO154">
        <v>0.77736134602175599</v>
      </c>
      <c r="BP154">
        <v>0.13808867235556749</v>
      </c>
      <c r="BQ154">
        <v>0.44561765820249932</v>
      </c>
      <c r="BR154">
        <v>79.904087147961988</v>
      </c>
      <c r="BS154">
        <v>0.77257888251339457</v>
      </c>
      <c r="BT154">
        <v>79.904087147961988</v>
      </c>
      <c r="BU154">
        <v>79.904087147961988</v>
      </c>
      <c r="BV154">
        <v>0.77257888251339457</v>
      </c>
      <c r="BW154">
        <v>292.44673958241458</v>
      </c>
      <c r="BX154">
        <v>0.16764502674324899</v>
      </c>
      <c r="BY154" t="str">
        <f t="shared" si="6"/>
        <v>[[sv,wv],[yr],[ya]]</v>
      </c>
      <c r="BZ154" t="str">
        <f>SUBSTITUTE(TRIM(MID(SUBSTITUTE(SUBSTITUTE(SUBSTITUTE(Tabla1[[#This Row],[map]],"[",""),"]",""),",",REPT(" ",100)),901,200))," ",", ")</f>
        <v>2, 4</v>
      </c>
      <c r="CA154" t="str">
        <f>SUBSTITUTE(TRIM(MID(SUBSTITUTE(SUBSTITUTE(SUBSTITUTE(Tabla1[[#This Row],[map]],"[",""),"]",""),",",REPT(" ",100)),1501,200))," ",", ")</f>
        <v>3, 2</v>
      </c>
      <c r="CB154" t="str">
        <f>SUBSTITUTE(TRIM(MID(SUBSTITUTE(SUBSTITUTE(SUBSTITUTE(Tabla1[[#This Row],[map]],"[",""),"]",""),",",REPT(" ",100)),601,300))," ",", ")</f>
        <v>0, 1, 3</v>
      </c>
      <c r="CC154" t="str">
        <f>SUBSTITUTE(TRIM(MID(SUBSTITUTE(SUBSTITUTE(SUBSTITUTE(Tabla1[[#This Row],[map]],"[",""),"]",""),",",REPT(" ",100)),1201,300))," ",", ")</f>
        <v>0, 1, 4</v>
      </c>
      <c r="CD154" t="str">
        <f>SUBSTITUTE(TRIM(MID(SUBSTITUTE(SUBSTITUTE(SUBSTITUTE(Tabla1[[#This Row],[map]],"[",""),"]",""),",",REPT(" ",100)),1,300))," ",", ")</f>
        <v>2, 3, 4</v>
      </c>
      <c r="CE154" t="str">
        <f>SUBSTITUTE(TRIM(MID(SUBSTITUTE(SUBSTITUTE(SUBSTITUTE(Tabla1[[#This Row],[map]],"[",""),"]",""),",",REPT(" ",100)),1,600))," ",", ")</f>
        <v>2, 3, 4, 0, 1, -1</v>
      </c>
      <c r="CF154" t="str">
        <f>SUBSTITUTE(TRIM(MID(SUBSTITUTE(SUBSTITUTE(SUBSTITUTE(Tabla1[[#This Row],[map]],"[",""),"]",""),",",REPT(" ",100)),601,600))," ",", ")</f>
        <v>0, 1, 3, 2, 4, -1</v>
      </c>
      <c r="CG154" t="str">
        <f>SUBSTITUTE(TRIM(MID(SUBSTITUTE(SUBSTITUTE(SUBSTITUTE(Tabla1[[#This Row],[map]],"[",""),"]",""),",",REPT(" ",100)),1201,600))," ",", ")</f>
        <v>0, 1, 4, 3, 2, -1</v>
      </c>
    </row>
    <row r="155" spans="1:85" x14ac:dyDescent="0.3">
      <c r="A155" s="1">
        <v>46098.757291666669</v>
      </c>
      <c r="B155" t="s">
        <v>325</v>
      </c>
      <c r="C155">
        <v>8</v>
      </c>
      <c r="D155" t="s">
        <v>77</v>
      </c>
      <c r="E155" t="s">
        <v>78</v>
      </c>
      <c r="F155">
        <v>16590</v>
      </c>
      <c r="G155">
        <v>4.5</v>
      </c>
      <c r="H155" t="s">
        <v>79</v>
      </c>
      <c r="I155" t="s">
        <v>80</v>
      </c>
      <c r="J155">
        <v>5</v>
      </c>
      <c r="K155">
        <v>5</v>
      </c>
      <c r="L155" t="s">
        <v>81</v>
      </c>
      <c r="M155" t="s">
        <v>82</v>
      </c>
      <c r="N155" t="s">
        <v>83</v>
      </c>
      <c r="O155" t="s">
        <v>83</v>
      </c>
      <c r="P155" t="s">
        <v>84</v>
      </c>
      <c r="Q155" t="s">
        <v>105</v>
      </c>
      <c r="R155">
        <v>3</v>
      </c>
      <c r="S155" t="s">
        <v>86</v>
      </c>
      <c r="T155" t="s">
        <v>87</v>
      </c>
      <c r="U155" t="s">
        <v>88</v>
      </c>
      <c r="V155">
        <v>1</v>
      </c>
      <c r="W155" t="s">
        <v>106</v>
      </c>
      <c r="X155" t="s">
        <v>83</v>
      </c>
      <c r="Y155" t="s">
        <v>90</v>
      </c>
      <c r="Z155">
        <v>4000</v>
      </c>
      <c r="AA155">
        <v>4000</v>
      </c>
      <c r="AC155">
        <v>256</v>
      </c>
      <c r="AD155" t="s">
        <v>91</v>
      </c>
      <c r="AE155">
        <v>0.15</v>
      </c>
      <c r="AF155" t="s">
        <v>92</v>
      </c>
      <c r="AG155">
        <v>180</v>
      </c>
      <c r="AH155">
        <v>60</v>
      </c>
      <c r="AI155">
        <v>120</v>
      </c>
      <c r="AJ155">
        <v>0.12584284949750141</v>
      </c>
      <c r="AK155">
        <v>28.088381771933228</v>
      </c>
      <c r="AL155">
        <v>0.61670652885612565</v>
      </c>
      <c r="AM155">
        <v>-0.1461266933487817</v>
      </c>
      <c r="AN155">
        <v>30.719344349788699</v>
      </c>
      <c r="AO155">
        <v>0.55668120706656266</v>
      </c>
      <c r="AP155">
        <v>30.719344349788699</v>
      </c>
      <c r="AQ155">
        <v>30.719344349788699</v>
      </c>
      <c r="AR155">
        <v>0.55668120706656266</v>
      </c>
      <c r="AS155">
        <v>133.52758560545649</v>
      </c>
      <c r="AT155">
        <v>-0.179183475075986</v>
      </c>
      <c r="AU155">
        <v>0.8</v>
      </c>
      <c r="AV155" t="s">
        <v>93</v>
      </c>
      <c r="AW155">
        <v>0.1126100643019164</v>
      </c>
      <c r="AX155">
        <v>0.18230533302423771</v>
      </c>
      <c r="AY155">
        <v>0.1126100643019164</v>
      </c>
      <c r="AZ155">
        <v>0.1126100643019164</v>
      </c>
      <c r="BA155">
        <v>0.18230533302423771</v>
      </c>
      <c r="BB155">
        <v>0.13660578467584569</v>
      </c>
      <c r="BC155">
        <v>8.0653776380322784E-3</v>
      </c>
      <c r="BD155">
        <v>6.7890566146491874E-2</v>
      </c>
      <c r="BE155">
        <v>0.76477368850603944</v>
      </c>
      <c r="BF155">
        <v>6.7890566146491874E-2</v>
      </c>
      <c r="BG155">
        <v>6.7890566146491874E-2</v>
      </c>
      <c r="BH155">
        <v>0.76477368850603944</v>
      </c>
      <c r="BI155">
        <v>0.25268818860598319</v>
      </c>
      <c r="BJ155">
        <v>0.1244893961317028</v>
      </c>
      <c r="BK155">
        <v>9.2510539372838763E-2</v>
      </c>
      <c r="BL155">
        <v>0.62859944567787385</v>
      </c>
      <c r="BM155">
        <v>9.2510539372838763E-2</v>
      </c>
      <c r="BN155">
        <v>9.2510539372838763E-2</v>
      </c>
      <c r="BO155">
        <v>0.62859944567787385</v>
      </c>
      <c r="BP155">
        <v>0.33157486533359809</v>
      </c>
      <c r="BQ155">
        <v>-0.33116820655289381</v>
      </c>
      <c r="BR155">
        <v>122.60436622933329</v>
      </c>
      <c r="BS155">
        <v>0.65104636105810054</v>
      </c>
      <c r="BT155">
        <v>122.60436622933329</v>
      </c>
      <c r="BU155">
        <v>122.60436622933329</v>
      </c>
      <c r="BV155">
        <v>0.65104636105810054</v>
      </c>
      <c r="BW155">
        <v>533.38947358321047</v>
      </c>
      <c r="BX155">
        <v>-0.51812046752078911</v>
      </c>
      <c r="BY155" t="str">
        <f t="shared" si="6"/>
        <v>[[sv,wv],[yr],[ya]]</v>
      </c>
      <c r="BZ155" t="str">
        <f>SUBSTITUTE(TRIM(MID(SUBSTITUTE(SUBSTITUTE(SUBSTITUTE(Tabla1[[#This Row],[map]],"[",""),"]",""),",",REPT(" ",100)),901,200))," ",", ")</f>
        <v>2, 4</v>
      </c>
      <c r="CA155" t="str">
        <f>SUBSTITUTE(TRIM(MID(SUBSTITUTE(SUBSTITUTE(SUBSTITUTE(Tabla1[[#This Row],[map]],"[",""),"]",""),",",REPT(" ",100)),1501,200))," ",", ")</f>
        <v>3, 2</v>
      </c>
      <c r="CB155" t="str">
        <f>SUBSTITUTE(TRIM(MID(SUBSTITUTE(SUBSTITUTE(SUBSTITUTE(Tabla1[[#This Row],[map]],"[",""),"]",""),",",REPT(" ",100)),601,300))," ",", ")</f>
        <v>0, 1, 3</v>
      </c>
      <c r="CC155" t="str">
        <f>SUBSTITUTE(TRIM(MID(SUBSTITUTE(SUBSTITUTE(SUBSTITUTE(Tabla1[[#This Row],[map]],"[",""),"]",""),",",REPT(" ",100)),1201,300))," ",", ")</f>
        <v>0, 1, 4</v>
      </c>
      <c r="CD155" t="str">
        <f>SUBSTITUTE(TRIM(MID(SUBSTITUTE(SUBSTITUTE(SUBSTITUTE(Tabla1[[#This Row],[map]],"[",""),"]",""),",",REPT(" ",100)),1,300))," ",", ")</f>
        <v>2, 3, 4</v>
      </c>
      <c r="CE155" t="str">
        <f>SUBSTITUTE(TRIM(MID(SUBSTITUTE(SUBSTITUTE(SUBSTITUTE(Tabla1[[#This Row],[map]],"[",""),"]",""),",",REPT(" ",100)),1,600))," ",", ")</f>
        <v>2, 3, 4, 0, 1, -1</v>
      </c>
      <c r="CF155" t="str">
        <f>SUBSTITUTE(TRIM(MID(SUBSTITUTE(SUBSTITUTE(SUBSTITUTE(Tabla1[[#This Row],[map]],"[",""),"]",""),",",REPT(" ",100)),601,600))," ",", ")</f>
        <v>0, 1, 3, 2, 4, -1</v>
      </c>
      <c r="CG155" t="str">
        <f>SUBSTITUTE(TRIM(MID(SUBSTITUTE(SUBSTITUTE(SUBSTITUTE(Tabla1[[#This Row],[map]],"[",""),"]",""),",",REPT(" ",100)),1201,600))," ",", ")</f>
        <v>0, 1, 4, 3, 2, -1</v>
      </c>
    </row>
    <row r="156" spans="1:85" x14ac:dyDescent="0.3">
      <c r="A156" s="1">
        <v>46098.758333333331</v>
      </c>
      <c r="B156" t="s">
        <v>326</v>
      </c>
      <c r="C156">
        <v>6</v>
      </c>
      <c r="D156" t="s">
        <v>96</v>
      </c>
      <c r="E156" t="s">
        <v>78</v>
      </c>
      <c r="F156">
        <v>16590</v>
      </c>
      <c r="G156">
        <v>4.5</v>
      </c>
      <c r="H156" t="s">
        <v>79</v>
      </c>
      <c r="I156" t="s">
        <v>80</v>
      </c>
      <c r="J156">
        <v>5</v>
      </c>
      <c r="K156">
        <v>5</v>
      </c>
      <c r="L156" t="s">
        <v>81</v>
      </c>
      <c r="M156" t="s">
        <v>82</v>
      </c>
      <c r="N156" t="s">
        <v>83</v>
      </c>
      <c r="O156" t="s">
        <v>83</v>
      </c>
      <c r="P156" t="s">
        <v>84</v>
      </c>
      <c r="Q156" t="s">
        <v>105</v>
      </c>
      <c r="R156">
        <v>3</v>
      </c>
      <c r="S156" t="s">
        <v>86</v>
      </c>
      <c r="T156" t="s">
        <v>87</v>
      </c>
      <c r="U156" t="s">
        <v>88</v>
      </c>
      <c r="V156">
        <v>1</v>
      </c>
      <c r="W156" t="s">
        <v>106</v>
      </c>
      <c r="X156" t="s">
        <v>83</v>
      </c>
      <c r="Y156" t="s">
        <v>90</v>
      </c>
      <c r="Z156">
        <v>4000</v>
      </c>
      <c r="AA156">
        <v>4000</v>
      </c>
      <c r="AC156">
        <v>256</v>
      </c>
      <c r="AD156" t="s">
        <v>91</v>
      </c>
      <c r="AE156">
        <v>0.15</v>
      </c>
      <c r="AF156" t="s">
        <v>92</v>
      </c>
      <c r="AG156">
        <v>180</v>
      </c>
      <c r="AH156">
        <v>60</v>
      </c>
      <c r="AI156">
        <v>120</v>
      </c>
      <c r="AJ156">
        <v>9.9142794740414084E-2</v>
      </c>
      <c r="AK156">
        <v>14.756045580590991</v>
      </c>
      <c r="AL156">
        <v>0.76243865738513317</v>
      </c>
      <c r="AM156">
        <v>0.39088575011381221</v>
      </c>
      <c r="AN156">
        <v>20.86177298737179</v>
      </c>
      <c r="AO156">
        <v>0.69282791662229881</v>
      </c>
      <c r="AP156">
        <v>20.86177298737179</v>
      </c>
      <c r="AQ156">
        <v>20.86177298737179</v>
      </c>
      <c r="AR156">
        <v>0.69282791662229881</v>
      </c>
      <c r="AS156">
        <v>71.324646148427377</v>
      </c>
      <c r="AT156">
        <v>0.28279421901747942</v>
      </c>
      <c r="AU156">
        <v>0.8</v>
      </c>
      <c r="AV156" t="s">
        <v>93</v>
      </c>
      <c r="AW156">
        <v>7.0561402145381702E-2</v>
      </c>
      <c r="AX156">
        <v>0.48763298745733141</v>
      </c>
      <c r="AY156">
        <v>7.0561402145381702E-2</v>
      </c>
      <c r="AZ156">
        <v>7.0561402145381702E-2</v>
      </c>
      <c r="BA156">
        <v>0.48763298745733141</v>
      </c>
      <c r="BB156">
        <v>0.14258313046731069</v>
      </c>
      <c r="BC156">
        <v>-3.5337881268265869E-2</v>
      </c>
      <c r="BD156">
        <v>6.8083580170816047E-2</v>
      </c>
      <c r="BE156">
        <v>0.76410493613607966</v>
      </c>
      <c r="BF156">
        <v>6.8083580170816047E-2</v>
      </c>
      <c r="BG156">
        <v>6.8083580170816047E-2</v>
      </c>
      <c r="BH156">
        <v>0.76410493613607966</v>
      </c>
      <c r="BI156">
        <v>0.14451463467585829</v>
      </c>
      <c r="BJ156">
        <v>0.49928765657441909</v>
      </c>
      <c r="BK156">
        <v>6.0649448072043588E-2</v>
      </c>
      <c r="BL156">
        <v>0.75651164952669769</v>
      </c>
      <c r="BM156">
        <v>6.0649448072043588E-2</v>
      </c>
      <c r="BN156">
        <v>6.0649448072043588E-2</v>
      </c>
      <c r="BO156">
        <v>0.75651164952669769</v>
      </c>
      <c r="BP156">
        <v>0.1300102417319641</v>
      </c>
      <c r="BQ156">
        <v>0.47805000193327291</v>
      </c>
      <c r="BR156">
        <v>83.247797519098839</v>
      </c>
      <c r="BS156">
        <v>0.76306209336908748</v>
      </c>
      <c r="BT156">
        <v>83.247797519098839</v>
      </c>
      <c r="BU156">
        <v>83.247797519098839</v>
      </c>
      <c r="BV156">
        <v>0.76306209336908748</v>
      </c>
      <c r="BW156">
        <v>284.88147658683471</v>
      </c>
      <c r="BX156">
        <v>0.18917709883048661</v>
      </c>
      <c r="BY156" t="str">
        <f t="shared" si="6"/>
        <v>[[sv,wv],[yr],[ya]]</v>
      </c>
      <c r="BZ156" t="str">
        <f>SUBSTITUTE(TRIM(MID(SUBSTITUTE(SUBSTITUTE(SUBSTITUTE(Tabla1[[#This Row],[map]],"[",""),"]",""),",",REPT(" ",100)),901,200))," ",", ")</f>
        <v>2, 4</v>
      </c>
      <c r="CA156" t="str">
        <f>SUBSTITUTE(TRIM(MID(SUBSTITUTE(SUBSTITUTE(SUBSTITUTE(Tabla1[[#This Row],[map]],"[",""),"]",""),",",REPT(" ",100)),1501,200))," ",", ")</f>
        <v>3, 2</v>
      </c>
      <c r="CB156" t="str">
        <f>SUBSTITUTE(TRIM(MID(SUBSTITUTE(SUBSTITUTE(SUBSTITUTE(Tabla1[[#This Row],[map]],"[",""),"]",""),",",REPT(" ",100)),601,300))," ",", ")</f>
        <v>0, 1, 3</v>
      </c>
      <c r="CC156" t="str">
        <f>SUBSTITUTE(TRIM(MID(SUBSTITUTE(SUBSTITUTE(SUBSTITUTE(Tabla1[[#This Row],[map]],"[",""),"]",""),",",REPT(" ",100)),1201,300))," ",", ")</f>
        <v>0, 1, 4</v>
      </c>
      <c r="CD156" t="str">
        <f>SUBSTITUTE(TRIM(MID(SUBSTITUTE(SUBSTITUTE(SUBSTITUTE(Tabla1[[#This Row],[map]],"[",""),"]",""),",",REPT(" ",100)),1,300))," ",", ")</f>
        <v>2, 3, 4</v>
      </c>
      <c r="CE156" t="str">
        <f>SUBSTITUTE(TRIM(MID(SUBSTITUTE(SUBSTITUTE(SUBSTITUTE(Tabla1[[#This Row],[map]],"[",""),"]",""),",",REPT(" ",100)),1,600))," ",", ")</f>
        <v>2, 3, 4, 0, 1, -1</v>
      </c>
      <c r="CF156" t="str">
        <f>SUBSTITUTE(TRIM(MID(SUBSTITUTE(SUBSTITUTE(SUBSTITUTE(Tabla1[[#This Row],[map]],"[",""),"]",""),",",REPT(" ",100)),601,600))," ",", ")</f>
        <v>0, 1, 3, 2, 4, -1</v>
      </c>
      <c r="CG156" t="str">
        <f>SUBSTITUTE(TRIM(MID(SUBSTITUTE(SUBSTITUTE(SUBSTITUTE(Tabla1[[#This Row],[map]],"[",""),"]",""),",",REPT(" ",100)),1201,600))," ",", ")</f>
        <v>0, 1, 4, 3, 2, -1</v>
      </c>
    </row>
    <row r="157" spans="1:85" x14ac:dyDescent="0.3">
      <c r="A157" s="1">
        <v>46098.760798611111</v>
      </c>
      <c r="B157" t="s">
        <v>327</v>
      </c>
      <c r="C157">
        <v>9</v>
      </c>
      <c r="D157" t="s">
        <v>96</v>
      </c>
      <c r="E157" t="s">
        <v>78</v>
      </c>
      <c r="F157">
        <v>16590</v>
      </c>
      <c r="G157">
        <v>4.5</v>
      </c>
      <c r="H157" t="s">
        <v>79</v>
      </c>
      <c r="I157" t="s">
        <v>80</v>
      </c>
      <c r="J157">
        <v>5</v>
      </c>
      <c r="K157">
        <v>5</v>
      </c>
      <c r="L157" t="s">
        <v>81</v>
      </c>
      <c r="M157" t="s">
        <v>82</v>
      </c>
      <c r="N157" t="s">
        <v>83</v>
      </c>
      <c r="O157" t="s">
        <v>83</v>
      </c>
      <c r="P157" t="s">
        <v>84</v>
      </c>
      <c r="Q157" t="s">
        <v>105</v>
      </c>
      <c r="R157">
        <v>3</v>
      </c>
      <c r="S157" t="s">
        <v>86</v>
      </c>
      <c r="T157" t="s">
        <v>87</v>
      </c>
      <c r="U157" t="s">
        <v>88</v>
      </c>
      <c r="V157">
        <v>1</v>
      </c>
      <c r="W157" t="s">
        <v>106</v>
      </c>
      <c r="X157" t="s">
        <v>83</v>
      </c>
      <c r="Y157" t="s">
        <v>90</v>
      </c>
      <c r="Z157">
        <v>4000</v>
      </c>
      <c r="AA157">
        <v>4000</v>
      </c>
      <c r="AC157">
        <v>256</v>
      </c>
      <c r="AD157" t="s">
        <v>91</v>
      </c>
      <c r="AE157">
        <v>0.15</v>
      </c>
      <c r="AF157" t="s">
        <v>92</v>
      </c>
      <c r="AG157">
        <v>180</v>
      </c>
      <c r="AH157">
        <v>60</v>
      </c>
      <c r="AI157">
        <v>120</v>
      </c>
      <c r="AJ157">
        <v>0.1068862749617711</v>
      </c>
      <c r="AK157">
        <v>13.151512313086791</v>
      </c>
      <c r="AL157">
        <v>0.78102271192977546</v>
      </c>
      <c r="AM157">
        <v>-4.1394762892234788E-2</v>
      </c>
      <c r="AN157">
        <v>19.80818191341676</v>
      </c>
      <c r="AO157">
        <v>0.73110898822125148</v>
      </c>
      <c r="AP157">
        <v>19.80818191341676</v>
      </c>
      <c r="AQ157">
        <v>19.80818191341676</v>
      </c>
      <c r="AR157">
        <v>0.73110898822125148</v>
      </c>
      <c r="AS157">
        <v>103.87244865098749</v>
      </c>
      <c r="AT157">
        <v>-5.6346231633275401E-2</v>
      </c>
      <c r="AU157">
        <v>0.8</v>
      </c>
      <c r="AV157" t="s">
        <v>93</v>
      </c>
      <c r="AW157">
        <v>5.4492694916343218E-2</v>
      </c>
      <c r="AX157">
        <v>0.60431257811232086</v>
      </c>
      <c r="AY157">
        <v>5.4492694916343218E-2</v>
      </c>
      <c r="AZ157">
        <v>5.4492694916343218E-2</v>
      </c>
      <c r="BA157">
        <v>0.60431257811232086</v>
      </c>
      <c r="BB157">
        <v>0.15794771422212911</v>
      </c>
      <c r="BC157">
        <v>-0.14690462509796071</v>
      </c>
      <c r="BD157">
        <v>4.5547338850975727E-2</v>
      </c>
      <c r="BE157">
        <v>0.84218819897358876</v>
      </c>
      <c r="BF157">
        <v>4.5547338850975727E-2</v>
      </c>
      <c r="BG157">
        <v>4.5547338850975727E-2</v>
      </c>
      <c r="BH157">
        <v>0.84218819897358876</v>
      </c>
      <c r="BI157">
        <v>0.33709982072974021</v>
      </c>
      <c r="BJ157">
        <v>-0.16797888037098871</v>
      </c>
      <c r="BK157">
        <v>7.3990844379674806E-2</v>
      </c>
      <c r="BL157">
        <v>0.70295016326062376</v>
      </c>
      <c r="BM157">
        <v>7.3990844379674806E-2</v>
      </c>
      <c r="BN157">
        <v>7.3990844379674806E-2</v>
      </c>
      <c r="BO157">
        <v>0.70295016326062376</v>
      </c>
      <c r="BP157">
        <v>0.18180028772755749</v>
      </c>
      <c r="BQ157">
        <v>0.27012934855116549</v>
      </c>
      <c r="BR157">
        <v>79.058696775520133</v>
      </c>
      <c r="BS157">
        <v>0.77498501253847241</v>
      </c>
      <c r="BT157">
        <v>79.058696775520133</v>
      </c>
      <c r="BU157">
        <v>79.058696775520133</v>
      </c>
      <c r="BV157">
        <v>0.77498501253847241</v>
      </c>
      <c r="BW157">
        <v>414.81294678127148</v>
      </c>
      <c r="BX157">
        <v>-0.18063076961532731</v>
      </c>
      <c r="BY157" t="str">
        <f t="shared" si="6"/>
        <v>[[sv,wv],[yr],[ya]]</v>
      </c>
      <c r="BZ157" t="str">
        <f>SUBSTITUTE(TRIM(MID(SUBSTITUTE(SUBSTITUTE(SUBSTITUTE(Tabla1[[#This Row],[map]],"[",""),"]",""),",",REPT(" ",100)),901,200))," ",", ")</f>
        <v>2, 4</v>
      </c>
      <c r="CA157" t="str">
        <f>SUBSTITUTE(TRIM(MID(SUBSTITUTE(SUBSTITUTE(SUBSTITUTE(Tabla1[[#This Row],[map]],"[",""),"]",""),",",REPT(" ",100)),1501,200))," ",", ")</f>
        <v>3, 2</v>
      </c>
      <c r="CB157" t="str">
        <f>SUBSTITUTE(TRIM(MID(SUBSTITUTE(SUBSTITUTE(SUBSTITUTE(Tabla1[[#This Row],[map]],"[",""),"]",""),",",REPT(" ",100)),601,300))," ",", ")</f>
        <v>0, 1, 3</v>
      </c>
      <c r="CC157" t="str">
        <f>SUBSTITUTE(TRIM(MID(SUBSTITUTE(SUBSTITUTE(SUBSTITUTE(Tabla1[[#This Row],[map]],"[",""),"]",""),",",REPT(" ",100)),1201,300))," ",", ")</f>
        <v>0, 1, 4</v>
      </c>
      <c r="CD157" t="str">
        <f>SUBSTITUTE(TRIM(MID(SUBSTITUTE(SUBSTITUTE(SUBSTITUTE(Tabla1[[#This Row],[map]],"[",""),"]",""),",",REPT(" ",100)),1,300))," ",", ")</f>
        <v>2, 3, 4</v>
      </c>
      <c r="CE157" t="str">
        <f>SUBSTITUTE(TRIM(MID(SUBSTITUTE(SUBSTITUTE(SUBSTITUTE(Tabla1[[#This Row],[map]],"[",""),"]",""),",",REPT(" ",100)),1,600))," ",", ")</f>
        <v>2, 3, 4, 0, 1, -1</v>
      </c>
      <c r="CF157" t="str">
        <f>SUBSTITUTE(TRIM(MID(SUBSTITUTE(SUBSTITUTE(SUBSTITUTE(Tabla1[[#This Row],[map]],"[",""),"]",""),",",REPT(" ",100)),601,600))," ",", ")</f>
        <v>0, 1, 3, 2, 4, -1</v>
      </c>
      <c r="CG157" t="str">
        <f>SUBSTITUTE(TRIM(MID(SUBSTITUTE(SUBSTITUTE(SUBSTITUTE(Tabla1[[#This Row],[map]],"[",""),"]",""),",",REPT(" ",100)),1201,600))," ",", ")</f>
        <v>0, 1, 4, 3, 2, -1</v>
      </c>
    </row>
    <row r="158" spans="1:85" x14ac:dyDescent="0.3">
      <c r="A158" s="1">
        <v>46098.770949074067</v>
      </c>
      <c r="B158" t="s">
        <v>328</v>
      </c>
      <c r="C158">
        <v>4</v>
      </c>
      <c r="D158" t="s">
        <v>96</v>
      </c>
      <c r="E158" t="s">
        <v>78</v>
      </c>
      <c r="F158">
        <v>16590</v>
      </c>
      <c r="G158">
        <v>4.5</v>
      </c>
      <c r="H158" t="s">
        <v>79</v>
      </c>
      <c r="I158" t="s">
        <v>80</v>
      </c>
      <c r="J158">
        <v>5</v>
      </c>
      <c r="K158">
        <v>5</v>
      </c>
      <c r="L158" t="s">
        <v>81</v>
      </c>
      <c r="M158" t="s">
        <v>82</v>
      </c>
      <c r="N158" t="s">
        <v>83</v>
      </c>
      <c r="O158" t="s">
        <v>83</v>
      </c>
      <c r="P158" t="s">
        <v>84</v>
      </c>
      <c r="Q158" t="s">
        <v>141</v>
      </c>
      <c r="R158">
        <v>3</v>
      </c>
      <c r="S158" t="s">
        <v>86</v>
      </c>
      <c r="T158" t="s">
        <v>87</v>
      </c>
      <c r="U158" t="s">
        <v>88</v>
      </c>
      <c r="V158">
        <v>1</v>
      </c>
      <c r="W158" t="s">
        <v>142</v>
      </c>
      <c r="X158" t="s">
        <v>83</v>
      </c>
      <c r="Y158" t="s">
        <v>90</v>
      </c>
      <c r="Z158">
        <v>4000</v>
      </c>
      <c r="AA158">
        <v>4000</v>
      </c>
      <c r="AC158">
        <v>256</v>
      </c>
      <c r="AD158" t="s">
        <v>91</v>
      </c>
      <c r="AE158">
        <v>0.15</v>
      </c>
      <c r="AF158" t="s">
        <v>92</v>
      </c>
      <c r="AG158">
        <v>180</v>
      </c>
      <c r="AH158">
        <v>60</v>
      </c>
      <c r="AI158">
        <v>120</v>
      </c>
      <c r="AJ158">
        <v>9.7974609199653284E-2</v>
      </c>
      <c r="AK158">
        <v>13.27335322087704</v>
      </c>
      <c r="AL158">
        <v>0.80077022844331025</v>
      </c>
      <c r="AM158">
        <v>-0.26898801804186129</v>
      </c>
      <c r="AN158">
        <v>14.495190004993139</v>
      </c>
      <c r="AO158">
        <v>0.73879569917984189</v>
      </c>
      <c r="AP158">
        <v>14.495190004993139</v>
      </c>
      <c r="AQ158">
        <v>14.495190004993139</v>
      </c>
      <c r="AR158">
        <v>0.73879569917984189</v>
      </c>
      <c r="AS158">
        <v>85.134412927618598</v>
      </c>
      <c r="AT158">
        <v>-0.1876152491548094</v>
      </c>
      <c r="AU158">
        <v>0.8</v>
      </c>
      <c r="AV158" t="s">
        <v>93</v>
      </c>
      <c r="AW158">
        <v>6.5510060037303003E-2</v>
      </c>
      <c r="AX158">
        <v>0.52431226233787831</v>
      </c>
      <c r="AY158">
        <v>6.5510060037303003E-2</v>
      </c>
      <c r="AZ158">
        <v>6.5510060037303003E-2</v>
      </c>
      <c r="BA158">
        <v>0.52431226233787831</v>
      </c>
      <c r="BB158">
        <v>0.23615295855201249</v>
      </c>
      <c r="BC158">
        <v>-0.71477581507111054</v>
      </c>
      <c r="BD158">
        <v>4.5417920460173823E-2</v>
      </c>
      <c r="BE158">
        <v>0.84263660605627722</v>
      </c>
      <c r="BF158">
        <v>4.5417920460173823E-2</v>
      </c>
      <c r="BG158">
        <v>4.5417920460173823E-2</v>
      </c>
      <c r="BH158">
        <v>0.84263660605627722</v>
      </c>
      <c r="BI158">
        <v>0.30851477112051429</v>
      </c>
      <c r="BJ158">
        <v>-6.893778872739631E-2</v>
      </c>
      <c r="BK158">
        <v>6.1582336541294962E-2</v>
      </c>
      <c r="BL158">
        <v>0.75276639739705331</v>
      </c>
      <c r="BM158">
        <v>6.1582336541294962E-2</v>
      </c>
      <c r="BN158">
        <v>6.1582336541294962E-2</v>
      </c>
      <c r="BO158">
        <v>0.75276639739705331</v>
      </c>
      <c r="BP158">
        <v>0.24902988247622851</v>
      </c>
      <c r="BQ158">
        <v>2.2379048413234681E-4</v>
      </c>
      <c r="BR158">
        <v>57.808249702933658</v>
      </c>
      <c r="BS158">
        <v>0.83546753092815706</v>
      </c>
      <c r="BT158">
        <v>57.808249702933658</v>
      </c>
      <c r="BU158">
        <v>57.808249702933658</v>
      </c>
      <c r="BV158">
        <v>0.83546753092815706</v>
      </c>
      <c r="BW158">
        <v>339.74395409832567</v>
      </c>
      <c r="BX158">
        <v>3.3028816695143237E-2</v>
      </c>
      <c r="BY158" t="str">
        <f t="shared" si="6"/>
        <v>[[sv,wv],[yr],[ya]]</v>
      </c>
      <c r="BZ158" t="str">
        <f>SUBSTITUTE(TRIM(MID(SUBSTITUTE(SUBSTITUTE(SUBSTITUTE(Tabla1[[#This Row],[map]],"[",""),"]",""),",",REPT(" ",100)),901,200))," ",", ")</f>
        <v>2, 3</v>
      </c>
      <c r="CA158" t="str">
        <f>SUBSTITUTE(TRIM(MID(SUBSTITUTE(SUBSTITUTE(SUBSTITUTE(Tabla1[[#This Row],[map]],"[",""),"]",""),",",REPT(" ",100)),1501,200))," ",", ")</f>
        <v>3, 4</v>
      </c>
      <c r="CB158" t="str">
        <f>SUBSTITUTE(TRIM(MID(SUBSTITUTE(SUBSTITUTE(SUBSTITUTE(Tabla1[[#This Row],[map]],"[",""),"]",""),",",REPT(" ",100)),601,300))," ",", ")</f>
        <v>4, 0, 1</v>
      </c>
      <c r="CC158" t="str">
        <f>SUBSTITUTE(TRIM(MID(SUBSTITUTE(SUBSTITUTE(SUBSTITUTE(Tabla1[[#This Row],[map]],"[",""),"]",""),",",REPT(" ",100)),1201,300))," ",", ")</f>
        <v>0, 1, 2</v>
      </c>
      <c r="CD158" t="str">
        <f>SUBSTITUTE(TRIM(MID(SUBSTITUTE(SUBSTITUTE(SUBSTITUTE(Tabla1[[#This Row],[map]],"[",""),"]",""),",",REPT(" ",100)),1,300))," ",", ")</f>
        <v>2, 3, 4</v>
      </c>
      <c r="CE158" t="str">
        <f>SUBSTITUTE(TRIM(MID(SUBSTITUTE(SUBSTITUTE(SUBSTITUTE(Tabla1[[#This Row],[map]],"[",""),"]",""),",",REPT(" ",100)),1,600))," ",", ")</f>
        <v>2, 3, 4, 0, 1, -1</v>
      </c>
      <c r="CF158" t="str">
        <f>SUBSTITUTE(TRIM(MID(SUBSTITUTE(SUBSTITUTE(SUBSTITUTE(Tabla1[[#This Row],[map]],"[",""),"]",""),",",REPT(" ",100)),601,600))," ",", ")</f>
        <v>4, 0, 1, 2, 3, -1</v>
      </c>
      <c r="CG158" t="str">
        <f>SUBSTITUTE(TRIM(MID(SUBSTITUTE(SUBSTITUTE(SUBSTITUTE(Tabla1[[#This Row],[map]],"[",""),"]",""),",",REPT(" ",100)),1201,600))," ",", ")</f>
        <v>0, 1, 2, 3, 4, -1</v>
      </c>
    </row>
    <row r="159" spans="1:85" x14ac:dyDescent="0.3">
      <c r="A159" s="1">
        <v>46098.782557870371</v>
      </c>
      <c r="B159" t="s">
        <v>329</v>
      </c>
      <c r="C159">
        <v>5</v>
      </c>
      <c r="D159" t="s">
        <v>77</v>
      </c>
      <c r="E159" t="s">
        <v>78</v>
      </c>
      <c r="F159">
        <v>16590</v>
      </c>
      <c r="G159">
        <v>4.5</v>
      </c>
      <c r="H159" t="s">
        <v>79</v>
      </c>
      <c r="I159" t="s">
        <v>80</v>
      </c>
      <c r="J159">
        <v>5</v>
      </c>
      <c r="K159">
        <v>5</v>
      </c>
      <c r="L159" t="s">
        <v>81</v>
      </c>
      <c r="M159" t="s">
        <v>82</v>
      </c>
      <c r="N159" t="s">
        <v>83</v>
      </c>
      <c r="O159" t="s">
        <v>83</v>
      </c>
      <c r="P159" t="s">
        <v>84</v>
      </c>
      <c r="Q159" t="s">
        <v>141</v>
      </c>
      <c r="R159">
        <v>3</v>
      </c>
      <c r="S159" t="s">
        <v>86</v>
      </c>
      <c r="T159" t="s">
        <v>87</v>
      </c>
      <c r="U159" t="s">
        <v>88</v>
      </c>
      <c r="V159">
        <v>1</v>
      </c>
      <c r="W159" t="s">
        <v>142</v>
      </c>
      <c r="X159" t="s">
        <v>83</v>
      </c>
      <c r="Y159" t="s">
        <v>90</v>
      </c>
      <c r="Z159">
        <v>4000</v>
      </c>
      <c r="AA159">
        <v>4000</v>
      </c>
      <c r="AC159">
        <v>256</v>
      </c>
      <c r="AD159" t="s">
        <v>91</v>
      </c>
      <c r="AE159">
        <v>0.15</v>
      </c>
      <c r="AF159" t="s">
        <v>92</v>
      </c>
      <c r="AG159">
        <v>180</v>
      </c>
      <c r="AH159">
        <v>60</v>
      </c>
      <c r="AI159">
        <v>120</v>
      </c>
      <c r="AJ159">
        <v>0.10088641000691879</v>
      </c>
      <c r="AK159">
        <v>20.53508202928262</v>
      </c>
      <c r="AL159">
        <v>0.77637569057780886</v>
      </c>
      <c r="AM159">
        <v>0.38130703848956288</v>
      </c>
      <c r="AN159">
        <v>20.546496032590259</v>
      </c>
      <c r="AO159">
        <v>0.72777489183021016</v>
      </c>
      <c r="AP159">
        <v>20.546496032590259</v>
      </c>
      <c r="AQ159">
        <v>20.546496032590259</v>
      </c>
      <c r="AR159">
        <v>0.72777489183021016</v>
      </c>
      <c r="AS159">
        <v>58.298879740642668</v>
      </c>
      <c r="AT159">
        <v>0.35447782021651142</v>
      </c>
      <c r="AU159">
        <v>0.8</v>
      </c>
      <c r="AV159" t="s">
        <v>93</v>
      </c>
      <c r="AW159">
        <v>6.4922162786508031E-2</v>
      </c>
      <c r="AX159">
        <v>0.52858115650541837</v>
      </c>
      <c r="AY159">
        <v>6.4922162786508031E-2</v>
      </c>
      <c r="AZ159">
        <v>6.4922162786508031E-2</v>
      </c>
      <c r="BA159">
        <v>0.52858115650541837</v>
      </c>
      <c r="BB159">
        <v>0.1753261072134325</v>
      </c>
      <c r="BC159">
        <v>-0.27309422775637948</v>
      </c>
      <c r="BD159">
        <v>6.1156721582893453E-2</v>
      </c>
      <c r="BE159">
        <v>0.7881050216908454</v>
      </c>
      <c r="BF159">
        <v>6.1156721582893453E-2</v>
      </c>
      <c r="BG159">
        <v>6.1156721582893453E-2</v>
      </c>
      <c r="BH159">
        <v>0.7881050216908454</v>
      </c>
      <c r="BI159">
        <v>0.1034887357512194</v>
      </c>
      <c r="BJ159">
        <v>0.64143363395430453</v>
      </c>
      <c r="BK159">
        <v>4.2880514008737783E-2</v>
      </c>
      <c r="BL159">
        <v>0.82784829944317939</v>
      </c>
      <c r="BM159">
        <v>4.2880514008737783E-2</v>
      </c>
      <c r="BN159">
        <v>4.2880514008737783E-2</v>
      </c>
      <c r="BO159">
        <v>0.82784829944317939</v>
      </c>
      <c r="BP159">
        <v>7.1664449363150556E-2</v>
      </c>
      <c r="BQ159">
        <v>0.7122899034087935</v>
      </c>
      <c r="BR159">
        <v>82.017024731983284</v>
      </c>
      <c r="BS159">
        <v>0.76656508968139891</v>
      </c>
      <c r="BT159">
        <v>82.017024731983284</v>
      </c>
      <c r="BU159">
        <v>82.017024731983284</v>
      </c>
      <c r="BV159">
        <v>0.76656508968139891</v>
      </c>
      <c r="BW159">
        <v>232.84503967024261</v>
      </c>
      <c r="BX159">
        <v>0.33728197125933668</v>
      </c>
      <c r="BY159" t="str">
        <f t="shared" si="6"/>
        <v>[[sv,wv],[yr],[ya]]</v>
      </c>
      <c r="BZ159" t="str">
        <f>SUBSTITUTE(TRIM(MID(SUBSTITUTE(SUBSTITUTE(SUBSTITUTE(Tabla1[[#This Row],[map]],"[",""),"]",""),",",REPT(" ",100)),901,200))," ",", ")</f>
        <v>2, 3</v>
      </c>
      <c r="CA159" t="str">
        <f>SUBSTITUTE(TRIM(MID(SUBSTITUTE(SUBSTITUTE(SUBSTITUTE(Tabla1[[#This Row],[map]],"[",""),"]",""),",",REPT(" ",100)),1501,200))," ",", ")</f>
        <v>3, 4</v>
      </c>
      <c r="CB159" t="str">
        <f>SUBSTITUTE(TRIM(MID(SUBSTITUTE(SUBSTITUTE(SUBSTITUTE(Tabla1[[#This Row],[map]],"[",""),"]",""),",",REPT(" ",100)),601,300))," ",", ")</f>
        <v>4, 0, 1</v>
      </c>
      <c r="CC159" t="str">
        <f>SUBSTITUTE(TRIM(MID(SUBSTITUTE(SUBSTITUTE(SUBSTITUTE(Tabla1[[#This Row],[map]],"[",""),"]",""),",",REPT(" ",100)),1201,300))," ",", ")</f>
        <v>0, 1, 2</v>
      </c>
      <c r="CD159" t="str">
        <f>SUBSTITUTE(TRIM(MID(SUBSTITUTE(SUBSTITUTE(SUBSTITUTE(Tabla1[[#This Row],[map]],"[",""),"]",""),",",REPT(" ",100)),1,300))," ",", ")</f>
        <v>2, 3, 4</v>
      </c>
      <c r="CE159" t="str">
        <f>SUBSTITUTE(TRIM(MID(SUBSTITUTE(SUBSTITUTE(SUBSTITUTE(Tabla1[[#This Row],[map]],"[",""),"]",""),",",REPT(" ",100)),1,600))," ",", ")</f>
        <v>2, 3, 4, 0, 1, -1</v>
      </c>
      <c r="CF159" t="str">
        <f>SUBSTITUTE(TRIM(MID(SUBSTITUTE(SUBSTITUTE(SUBSTITUTE(Tabla1[[#This Row],[map]],"[",""),"]",""),",",REPT(" ",100)),601,600))," ",", ")</f>
        <v>4, 0, 1, 2, 3, -1</v>
      </c>
      <c r="CG159" t="str">
        <f>SUBSTITUTE(TRIM(MID(SUBSTITUTE(SUBSTITUTE(SUBSTITUTE(Tabla1[[#This Row],[map]],"[",""),"]",""),",",REPT(" ",100)),1201,600))," ",", ")</f>
        <v>0, 1, 2, 3, 4, -1</v>
      </c>
    </row>
    <row r="160" spans="1:85" x14ac:dyDescent="0.3">
      <c r="A160" s="1">
        <v>46098.892418981479</v>
      </c>
      <c r="B160" t="s">
        <v>330</v>
      </c>
      <c r="C160">
        <v>7</v>
      </c>
      <c r="D160" t="s">
        <v>77</v>
      </c>
      <c r="E160" t="s">
        <v>78</v>
      </c>
      <c r="F160">
        <v>16590</v>
      </c>
      <c r="G160">
        <v>4.5</v>
      </c>
      <c r="H160" t="s">
        <v>79</v>
      </c>
      <c r="I160" t="s">
        <v>80</v>
      </c>
      <c r="J160">
        <v>5</v>
      </c>
      <c r="K160">
        <v>5</v>
      </c>
      <c r="L160" t="s">
        <v>81</v>
      </c>
      <c r="M160" t="s">
        <v>82</v>
      </c>
      <c r="N160" t="s">
        <v>83</v>
      </c>
      <c r="O160" t="s">
        <v>83</v>
      </c>
      <c r="P160" t="s">
        <v>84</v>
      </c>
      <c r="Q160" t="s">
        <v>111</v>
      </c>
      <c r="R160">
        <v>3</v>
      </c>
      <c r="S160" t="s">
        <v>86</v>
      </c>
      <c r="T160" t="s">
        <v>87</v>
      </c>
      <c r="U160" t="s">
        <v>88</v>
      </c>
      <c r="V160">
        <v>1</v>
      </c>
      <c r="W160" t="s">
        <v>112</v>
      </c>
      <c r="X160" t="s">
        <v>83</v>
      </c>
      <c r="Y160" t="s">
        <v>90</v>
      </c>
      <c r="Z160">
        <v>4000</v>
      </c>
      <c r="AA160">
        <v>4000</v>
      </c>
      <c r="AC160">
        <v>256</v>
      </c>
      <c r="AD160" t="s">
        <v>91</v>
      </c>
      <c r="AE160">
        <v>0.15</v>
      </c>
      <c r="AF160" t="s">
        <v>92</v>
      </c>
      <c r="AG160">
        <v>180</v>
      </c>
      <c r="AH160">
        <v>60</v>
      </c>
      <c r="AI160">
        <v>120</v>
      </c>
      <c r="AJ160">
        <v>0.12104053074807559</v>
      </c>
      <c r="AK160">
        <v>19.22292167549146</v>
      </c>
      <c r="AL160">
        <v>0.68062514229280635</v>
      </c>
      <c r="AM160">
        <v>-0.15411743404013581</v>
      </c>
      <c r="AN160">
        <v>25.08525882137732</v>
      </c>
      <c r="AO160">
        <v>0.61550138193002146</v>
      </c>
      <c r="AP160">
        <v>25.08525882137732</v>
      </c>
      <c r="AQ160">
        <v>25.08525882137732</v>
      </c>
      <c r="AR160">
        <v>0.61550138193002146</v>
      </c>
      <c r="AS160">
        <v>108.4290032786995</v>
      </c>
      <c r="AT160">
        <v>-0.1196662048232075</v>
      </c>
      <c r="AU160">
        <v>0.8</v>
      </c>
      <c r="AV160" t="s">
        <v>93</v>
      </c>
      <c r="AW160">
        <v>9.5981608534059973E-2</v>
      </c>
      <c r="AX160">
        <v>0.30304942180269667</v>
      </c>
      <c r="AY160">
        <v>9.5981608534059973E-2</v>
      </c>
      <c r="AZ160">
        <v>9.5981608534059973E-2</v>
      </c>
      <c r="BA160">
        <v>0.30304942180269667</v>
      </c>
      <c r="BB160">
        <v>0.1497221044803404</v>
      </c>
      <c r="BC160">
        <v>-8.7176063000247384E-2</v>
      </c>
      <c r="BD160">
        <v>6.7473519818077504E-2</v>
      </c>
      <c r="BE160">
        <v>0.76621866496040181</v>
      </c>
      <c r="BF160">
        <v>6.7473519818077504E-2</v>
      </c>
      <c r="BG160">
        <v>6.7473519818077504E-2</v>
      </c>
      <c r="BH160">
        <v>0.76621866496040181</v>
      </c>
      <c r="BI160">
        <v>0.32217002081540891</v>
      </c>
      <c r="BJ160">
        <v>-0.11625031240451759</v>
      </c>
      <c r="BK160">
        <v>8.0297246560089408E-2</v>
      </c>
      <c r="BL160">
        <v>0.67763195323328151</v>
      </c>
      <c r="BM160">
        <v>8.0297246560089408E-2</v>
      </c>
      <c r="BN160">
        <v>8.0297246560089408E-2</v>
      </c>
      <c r="BO160">
        <v>0.67763195323328151</v>
      </c>
      <c r="BP160">
        <v>0.25976857182486118</v>
      </c>
      <c r="BQ160">
        <v>-4.2888650582731502E-2</v>
      </c>
      <c r="BR160">
        <v>100.0972829105971</v>
      </c>
      <c r="BS160">
        <v>0.71510548772370908</v>
      </c>
      <c r="BT160">
        <v>100.0972829105971</v>
      </c>
      <c r="BU160">
        <v>100.0972829105971</v>
      </c>
      <c r="BV160">
        <v>0.71510548772370908</v>
      </c>
      <c r="BW160">
        <v>432.98435241767771</v>
      </c>
      <c r="BX160">
        <v>-0.23234979330533531</v>
      </c>
      <c r="BY160" t="str">
        <f t="shared" si="6"/>
        <v>[[sv,wv],[yr],[ya]]</v>
      </c>
      <c r="BZ160" t="str">
        <f>SUBSTITUTE(TRIM(MID(SUBSTITUTE(SUBSTITUTE(SUBSTITUTE(Tabla1[[#This Row],[map]],"[",""),"]",""),",",REPT(" ",100)),901,200))," ",", ")</f>
        <v>2, 4</v>
      </c>
      <c r="CA160" t="str">
        <f>SUBSTITUTE(TRIM(MID(SUBSTITUTE(SUBSTITUTE(SUBSTITUTE(Tabla1[[#This Row],[map]],"[",""),"]",""),",",REPT(" ",100)),1501,200))," ",", ")</f>
        <v>3, 2</v>
      </c>
      <c r="CB160" t="str">
        <f>SUBSTITUTE(TRIM(MID(SUBSTITUTE(SUBSTITUTE(SUBSTITUTE(Tabla1[[#This Row],[map]],"[",""),"]",""),",",REPT(" ",100)),601,300))," ",", ")</f>
        <v>3, 0, 1</v>
      </c>
      <c r="CC160" t="str">
        <f>SUBSTITUTE(TRIM(MID(SUBSTITUTE(SUBSTITUTE(SUBSTITUTE(Tabla1[[#This Row],[map]],"[",""),"]",""),",",REPT(" ",100)),1201,300))," ",", ")</f>
        <v>0, 1, 4</v>
      </c>
      <c r="CD160" t="str">
        <f>SUBSTITUTE(TRIM(MID(SUBSTITUTE(SUBSTITUTE(SUBSTITUTE(Tabla1[[#This Row],[map]],"[",""),"]",""),",",REPT(" ",100)),1,300))," ",", ")</f>
        <v>2, 3, 4</v>
      </c>
      <c r="CE160" t="str">
        <f>SUBSTITUTE(TRIM(MID(SUBSTITUTE(SUBSTITUTE(SUBSTITUTE(Tabla1[[#This Row],[map]],"[",""),"]",""),",",REPT(" ",100)),1,600))," ",", ")</f>
        <v>2, 3, 4, 0, 1, -1</v>
      </c>
      <c r="CF160" t="str">
        <f>SUBSTITUTE(TRIM(MID(SUBSTITUTE(SUBSTITUTE(SUBSTITUTE(Tabla1[[#This Row],[map]],"[",""),"]",""),",",REPT(" ",100)),601,600))," ",", ")</f>
        <v>3, 0, 1, 2, 4, -1</v>
      </c>
      <c r="CG160" t="str">
        <f>SUBSTITUTE(TRIM(MID(SUBSTITUTE(SUBSTITUTE(SUBSTITUTE(Tabla1[[#This Row],[map]],"[",""),"]",""),",",REPT(" ",100)),1201,600))," ",", ")</f>
        <v>0, 1, 4, 3, 2, -1</v>
      </c>
    </row>
    <row r="161" spans="1:85" x14ac:dyDescent="0.3">
      <c r="A161" s="1">
        <v>46098.898101851853</v>
      </c>
      <c r="B161" t="s">
        <v>331</v>
      </c>
      <c r="C161">
        <v>8</v>
      </c>
      <c r="D161" t="s">
        <v>96</v>
      </c>
      <c r="E161" t="s">
        <v>78</v>
      </c>
      <c r="F161">
        <v>16590</v>
      </c>
      <c r="G161">
        <v>4.5</v>
      </c>
      <c r="H161" t="s">
        <v>79</v>
      </c>
      <c r="I161" t="s">
        <v>80</v>
      </c>
      <c r="J161">
        <v>5</v>
      </c>
      <c r="K161">
        <v>5</v>
      </c>
      <c r="L161" t="s">
        <v>81</v>
      </c>
      <c r="M161" t="s">
        <v>82</v>
      </c>
      <c r="N161" t="s">
        <v>83</v>
      </c>
      <c r="O161" t="s">
        <v>83</v>
      </c>
      <c r="P161" t="s">
        <v>84</v>
      </c>
      <c r="Q161" t="s">
        <v>111</v>
      </c>
      <c r="R161">
        <v>3</v>
      </c>
      <c r="S161" t="s">
        <v>86</v>
      </c>
      <c r="T161" t="s">
        <v>87</v>
      </c>
      <c r="U161" t="s">
        <v>88</v>
      </c>
      <c r="V161">
        <v>1</v>
      </c>
      <c r="W161" t="s">
        <v>112</v>
      </c>
      <c r="X161" t="s">
        <v>83</v>
      </c>
      <c r="Y161" t="s">
        <v>90</v>
      </c>
      <c r="Z161">
        <v>4000</v>
      </c>
      <c r="AA161">
        <v>4000</v>
      </c>
      <c r="AC161">
        <v>256</v>
      </c>
      <c r="AD161" t="s">
        <v>91</v>
      </c>
      <c r="AE161">
        <v>0.15</v>
      </c>
      <c r="AF161" t="s">
        <v>92</v>
      </c>
      <c r="AG161">
        <v>180</v>
      </c>
      <c r="AH161">
        <v>60</v>
      </c>
      <c r="AI161">
        <v>120</v>
      </c>
      <c r="AJ161">
        <v>0.1088651763603012</v>
      </c>
      <c r="AK161">
        <v>25.653104668122459</v>
      </c>
      <c r="AL161">
        <v>0.72114207875934022</v>
      </c>
      <c r="AM161">
        <v>3.6186402681334877E-2</v>
      </c>
      <c r="AN161">
        <v>27.356795621677868</v>
      </c>
      <c r="AO161">
        <v>0.63749331731812842</v>
      </c>
      <c r="AP161">
        <v>27.356795621677868</v>
      </c>
      <c r="AQ161">
        <v>27.356795621677868</v>
      </c>
      <c r="AR161">
        <v>0.63749331731812842</v>
      </c>
      <c r="AS161">
        <v>103.8960368270117</v>
      </c>
      <c r="AT161">
        <v>-0.16645819877336351</v>
      </c>
      <c r="AU161">
        <v>0.8</v>
      </c>
      <c r="AV161" t="s">
        <v>93</v>
      </c>
      <c r="AW161">
        <v>8.4907874865377708E-2</v>
      </c>
      <c r="AX161">
        <v>0.3834590461157994</v>
      </c>
      <c r="AY161">
        <v>8.4907874865377708E-2</v>
      </c>
      <c r="AZ161">
        <v>8.4907874865377708E-2</v>
      </c>
      <c r="BA161">
        <v>0.3834590461157994</v>
      </c>
      <c r="BB161">
        <v>0.14351590653303439</v>
      </c>
      <c r="BC161">
        <v>-4.2111041546195382E-2</v>
      </c>
      <c r="BD161">
        <v>5.6708222107637568E-2</v>
      </c>
      <c r="BE161">
        <v>0.80351812225314401</v>
      </c>
      <c r="BF161">
        <v>5.6708222107637568E-2</v>
      </c>
      <c r="BG161">
        <v>5.6708222107637568E-2</v>
      </c>
      <c r="BH161">
        <v>0.80351812225314401</v>
      </c>
      <c r="BI161">
        <v>0.33035037018718699</v>
      </c>
      <c r="BJ161">
        <v>-0.14459347580226109</v>
      </c>
      <c r="BK161">
        <v>8.1249031287716725E-2</v>
      </c>
      <c r="BL161">
        <v>0.67381083860318014</v>
      </c>
      <c r="BM161">
        <v>8.1249031287716725E-2</v>
      </c>
      <c r="BN161">
        <v>8.1249031287716725E-2</v>
      </c>
      <c r="BO161">
        <v>0.67381083860318014</v>
      </c>
      <c r="BP161">
        <v>0.32345558248151668</v>
      </c>
      <c r="BQ161">
        <v>-0.29857185404641928</v>
      </c>
      <c r="BR161">
        <v>109.2043173584506</v>
      </c>
      <c r="BS161">
        <v>0.68918526230038812</v>
      </c>
      <c r="BT161">
        <v>109.2043173584506</v>
      </c>
      <c r="BU161">
        <v>109.2043173584506</v>
      </c>
      <c r="BV161">
        <v>0.68918526230038812</v>
      </c>
      <c r="BW161">
        <v>414.78682544884498</v>
      </c>
      <c r="BX161">
        <v>-0.18055642369858241</v>
      </c>
      <c r="BY161" t="str">
        <f t="shared" si="6"/>
        <v>[[sv,wv],[yr],[ya]]</v>
      </c>
      <c r="BZ161" t="str">
        <f>SUBSTITUTE(TRIM(MID(SUBSTITUTE(SUBSTITUTE(SUBSTITUTE(Tabla1[[#This Row],[map]],"[",""),"]",""),",",REPT(" ",100)),901,200))," ",", ")</f>
        <v>2, 4</v>
      </c>
      <c r="CA161" t="str">
        <f>SUBSTITUTE(TRIM(MID(SUBSTITUTE(SUBSTITUTE(SUBSTITUTE(Tabla1[[#This Row],[map]],"[",""),"]",""),",",REPT(" ",100)),1501,200))," ",", ")</f>
        <v>3, 2</v>
      </c>
      <c r="CB161" t="str">
        <f>SUBSTITUTE(TRIM(MID(SUBSTITUTE(SUBSTITUTE(SUBSTITUTE(Tabla1[[#This Row],[map]],"[",""),"]",""),",",REPT(" ",100)),601,300))," ",", ")</f>
        <v>3, 0, 1</v>
      </c>
      <c r="CC161" t="str">
        <f>SUBSTITUTE(TRIM(MID(SUBSTITUTE(SUBSTITUTE(SUBSTITUTE(Tabla1[[#This Row],[map]],"[",""),"]",""),",",REPT(" ",100)),1201,300))," ",", ")</f>
        <v>0, 1, 4</v>
      </c>
      <c r="CD161" t="str">
        <f>SUBSTITUTE(TRIM(MID(SUBSTITUTE(SUBSTITUTE(SUBSTITUTE(Tabla1[[#This Row],[map]],"[",""),"]",""),",",REPT(" ",100)),1,300))," ",", ")</f>
        <v>2, 3, 4</v>
      </c>
      <c r="CE161" t="str">
        <f>SUBSTITUTE(TRIM(MID(SUBSTITUTE(SUBSTITUTE(SUBSTITUTE(Tabla1[[#This Row],[map]],"[",""),"]",""),",",REPT(" ",100)),1,600))," ",", ")</f>
        <v>2, 3, 4, 0, 1, -1</v>
      </c>
      <c r="CF161" t="str">
        <f>SUBSTITUTE(TRIM(MID(SUBSTITUTE(SUBSTITUTE(SUBSTITUTE(Tabla1[[#This Row],[map]],"[",""),"]",""),",",REPT(" ",100)),601,600))," ",", ")</f>
        <v>3, 0, 1, 2, 4, -1</v>
      </c>
      <c r="CG161" t="str">
        <f>SUBSTITUTE(TRIM(MID(SUBSTITUTE(SUBSTITUTE(SUBSTITUTE(Tabla1[[#This Row],[map]],"[",""),"]",""),",",REPT(" ",100)),1201,600))," ",", ")</f>
        <v>0, 1, 4, 3, 2, -1</v>
      </c>
    </row>
    <row r="162" spans="1:85" x14ac:dyDescent="0.3">
      <c r="A162" s="1">
        <v>46098.900740740741</v>
      </c>
      <c r="B162" t="s">
        <v>332</v>
      </c>
      <c r="C162">
        <v>6</v>
      </c>
      <c r="D162" t="s">
        <v>77</v>
      </c>
      <c r="E162" t="s">
        <v>78</v>
      </c>
      <c r="F162">
        <v>16590</v>
      </c>
      <c r="G162">
        <v>4.5</v>
      </c>
      <c r="H162" t="s">
        <v>79</v>
      </c>
      <c r="I162" t="s">
        <v>80</v>
      </c>
      <c r="J162">
        <v>5</v>
      </c>
      <c r="K162">
        <v>5</v>
      </c>
      <c r="L162" t="s">
        <v>81</v>
      </c>
      <c r="M162" t="s">
        <v>82</v>
      </c>
      <c r="N162" t="s">
        <v>83</v>
      </c>
      <c r="O162" t="s">
        <v>83</v>
      </c>
      <c r="P162" t="s">
        <v>84</v>
      </c>
      <c r="Q162" t="s">
        <v>111</v>
      </c>
      <c r="R162">
        <v>3</v>
      </c>
      <c r="S162" t="s">
        <v>86</v>
      </c>
      <c r="T162" t="s">
        <v>87</v>
      </c>
      <c r="U162" t="s">
        <v>88</v>
      </c>
      <c r="V162">
        <v>1</v>
      </c>
      <c r="W162" t="s">
        <v>112</v>
      </c>
      <c r="X162" t="s">
        <v>83</v>
      </c>
      <c r="Y162" t="s">
        <v>90</v>
      </c>
      <c r="Z162">
        <v>4000</v>
      </c>
      <c r="AA162">
        <v>4000</v>
      </c>
      <c r="AC162">
        <v>256</v>
      </c>
      <c r="AD162" t="s">
        <v>91</v>
      </c>
      <c r="AE162">
        <v>0.15</v>
      </c>
      <c r="AF162" t="s">
        <v>92</v>
      </c>
      <c r="AG162">
        <v>180</v>
      </c>
      <c r="AH162">
        <v>60</v>
      </c>
      <c r="AI162">
        <v>120</v>
      </c>
      <c r="AJ162">
        <v>0.11219770528506121</v>
      </c>
      <c r="AK162">
        <v>13.198143170217801</v>
      </c>
      <c r="AL162">
        <v>0.74423646845439251</v>
      </c>
      <c r="AM162">
        <v>-0.1935786468334019</v>
      </c>
      <c r="AN162">
        <v>18.93752899419119</v>
      </c>
      <c r="AO162">
        <v>0.64679818901381292</v>
      </c>
      <c r="AP162">
        <v>18.93752899419119</v>
      </c>
      <c r="AQ162">
        <v>18.93752899419119</v>
      </c>
      <c r="AR162">
        <v>0.64679818901381292</v>
      </c>
      <c r="AS162">
        <v>124.25157602897831</v>
      </c>
      <c r="AT162">
        <v>-0.17292807122499251</v>
      </c>
      <c r="AU162">
        <v>0.8</v>
      </c>
      <c r="AV162" t="s">
        <v>93</v>
      </c>
      <c r="AW162">
        <v>7.0902779490955359E-2</v>
      </c>
      <c r="AX162">
        <v>0.48515414654171368</v>
      </c>
      <c r="AY162">
        <v>7.0902779490955359E-2</v>
      </c>
      <c r="AZ162">
        <v>7.0902779490955359E-2</v>
      </c>
      <c r="BA162">
        <v>0.48515414654171368</v>
      </c>
      <c r="BB162">
        <v>0.14399283582012579</v>
      </c>
      <c r="BC162">
        <v>-4.5574164820272323E-2</v>
      </c>
      <c r="BD162">
        <v>6.695964998204075E-2</v>
      </c>
      <c r="BE162">
        <v>0.7679991141889162</v>
      </c>
      <c r="BF162">
        <v>6.695964998204075E-2</v>
      </c>
      <c r="BG162">
        <v>6.695964998204075E-2</v>
      </c>
      <c r="BH162">
        <v>0.7679991141889162</v>
      </c>
      <c r="BI162">
        <v>0.3283098951935941</v>
      </c>
      <c r="BJ162">
        <v>-0.13752366575821351</v>
      </c>
      <c r="BK162">
        <v>0.11235617088878549</v>
      </c>
      <c r="BL162">
        <v>0.54892551235239884</v>
      </c>
      <c r="BM162">
        <v>0.11235617088878549</v>
      </c>
      <c r="BN162">
        <v>0.11235617088878549</v>
      </c>
      <c r="BO162">
        <v>0.54892551235239884</v>
      </c>
      <c r="BP162">
        <v>0.27303976085518211</v>
      </c>
      <c r="BQ162">
        <v>-9.6168276837100164E-2</v>
      </c>
      <c r="BR162">
        <v>75.4998973764027</v>
      </c>
      <c r="BS162">
        <v>0.78511398297222801</v>
      </c>
      <c r="BT162">
        <v>75.4998973764027</v>
      </c>
      <c r="BU162">
        <v>75.4998973764027</v>
      </c>
      <c r="BV162">
        <v>0.78511398297222801</v>
      </c>
      <c r="BW162">
        <v>496.260961624044</v>
      </c>
      <c r="BX162">
        <v>-0.41244617748437767</v>
      </c>
      <c r="BY162" t="str">
        <f t="shared" si="6"/>
        <v>[[sv,wv],[yr],[ya]]</v>
      </c>
      <c r="BZ162" t="str">
        <f>SUBSTITUTE(TRIM(MID(SUBSTITUTE(SUBSTITUTE(SUBSTITUTE(Tabla1[[#This Row],[map]],"[",""),"]",""),",",REPT(" ",100)),901,200))," ",", ")</f>
        <v>2, 4</v>
      </c>
      <c r="CA162" t="str">
        <f>SUBSTITUTE(TRIM(MID(SUBSTITUTE(SUBSTITUTE(SUBSTITUTE(Tabla1[[#This Row],[map]],"[",""),"]",""),",",REPT(" ",100)),1501,200))," ",", ")</f>
        <v>3, 2</v>
      </c>
      <c r="CB162" t="str">
        <f>SUBSTITUTE(TRIM(MID(SUBSTITUTE(SUBSTITUTE(SUBSTITUTE(Tabla1[[#This Row],[map]],"[",""),"]",""),",",REPT(" ",100)),601,300))," ",", ")</f>
        <v>3, 0, 1</v>
      </c>
      <c r="CC162" t="str">
        <f>SUBSTITUTE(TRIM(MID(SUBSTITUTE(SUBSTITUTE(SUBSTITUTE(Tabla1[[#This Row],[map]],"[",""),"]",""),",",REPT(" ",100)),1201,300))," ",", ")</f>
        <v>0, 1, 4</v>
      </c>
      <c r="CD162" t="str">
        <f>SUBSTITUTE(TRIM(MID(SUBSTITUTE(SUBSTITUTE(SUBSTITUTE(Tabla1[[#This Row],[map]],"[",""),"]",""),",",REPT(" ",100)),1,300))," ",", ")</f>
        <v>2, 3, 4</v>
      </c>
      <c r="CE162" t="str">
        <f>SUBSTITUTE(TRIM(MID(SUBSTITUTE(SUBSTITUTE(SUBSTITUTE(Tabla1[[#This Row],[map]],"[",""),"]",""),",",REPT(" ",100)),1,600))," ",", ")</f>
        <v>2, 3, 4, 0, 1, -1</v>
      </c>
      <c r="CF162" t="str">
        <f>SUBSTITUTE(TRIM(MID(SUBSTITUTE(SUBSTITUTE(SUBSTITUTE(Tabla1[[#This Row],[map]],"[",""),"]",""),",",REPT(" ",100)),601,600))," ",", ")</f>
        <v>3, 0, 1, 2, 4, -1</v>
      </c>
      <c r="CG162" t="str">
        <f>SUBSTITUTE(TRIM(MID(SUBSTITUTE(SUBSTITUTE(SUBSTITUTE(Tabla1[[#This Row],[map]],"[",""),"]",""),",",REPT(" ",100)),1201,600))," ",", ")</f>
        <v>0, 1, 4, 3, 2, -1</v>
      </c>
    </row>
    <row r="163" spans="1:85" x14ac:dyDescent="0.3">
      <c r="A163" s="1">
        <v>46098.902638888889</v>
      </c>
      <c r="B163" t="s">
        <v>333</v>
      </c>
      <c r="C163">
        <v>9</v>
      </c>
      <c r="D163" t="s">
        <v>77</v>
      </c>
      <c r="E163" t="s">
        <v>78</v>
      </c>
      <c r="F163">
        <v>16590</v>
      </c>
      <c r="G163">
        <v>4.5</v>
      </c>
      <c r="H163" t="s">
        <v>79</v>
      </c>
      <c r="I163" t="s">
        <v>80</v>
      </c>
      <c r="J163">
        <v>5</v>
      </c>
      <c r="K163">
        <v>5</v>
      </c>
      <c r="L163" t="s">
        <v>81</v>
      </c>
      <c r="M163" t="s">
        <v>82</v>
      </c>
      <c r="N163" t="s">
        <v>83</v>
      </c>
      <c r="O163" t="s">
        <v>83</v>
      </c>
      <c r="P163" t="s">
        <v>84</v>
      </c>
      <c r="Q163" t="s">
        <v>111</v>
      </c>
      <c r="R163">
        <v>3</v>
      </c>
      <c r="S163" t="s">
        <v>86</v>
      </c>
      <c r="T163" t="s">
        <v>87</v>
      </c>
      <c r="U163" t="s">
        <v>88</v>
      </c>
      <c r="V163">
        <v>1</v>
      </c>
      <c r="W163" t="s">
        <v>112</v>
      </c>
      <c r="X163" t="s">
        <v>83</v>
      </c>
      <c r="Y163" t="s">
        <v>90</v>
      </c>
      <c r="Z163">
        <v>4000</v>
      </c>
      <c r="AA163">
        <v>4000</v>
      </c>
      <c r="AC163">
        <v>256</v>
      </c>
      <c r="AD163" t="s">
        <v>91</v>
      </c>
      <c r="AE163">
        <v>0.15</v>
      </c>
      <c r="AF163" t="s">
        <v>92</v>
      </c>
      <c r="AG163">
        <v>180</v>
      </c>
      <c r="AH163">
        <v>60</v>
      </c>
      <c r="AI163">
        <v>120</v>
      </c>
      <c r="AJ163">
        <v>0.10977298165853509</v>
      </c>
      <c r="AK163">
        <v>14.932098187079911</v>
      </c>
      <c r="AL163">
        <v>0.77301446777891958</v>
      </c>
      <c r="AM163">
        <v>-0.31461314114221878</v>
      </c>
      <c r="AN163">
        <v>22.073637775994669</v>
      </c>
      <c r="AO163">
        <v>0.70672101196724424</v>
      </c>
      <c r="AP163">
        <v>22.073637775994669</v>
      </c>
      <c r="AQ163">
        <v>22.073637775994669</v>
      </c>
      <c r="AR163">
        <v>0.70672101196724424</v>
      </c>
      <c r="AS163">
        <v>105.6815509618859</v>
      </c>
      <c r="AT163">
        <v>-0.24610878505305051</v>
      </c>
      <c r="AU163">
        <v>0.8</v>
      </c>
      <c r="AV163" t="s">
        <v>93</v>
      </c>
      <c r="AW163">
        <v>5.7160964954197459E-2</v>
      </c>
      <c r="AX163">
        <v>0.584937487674978</v>
      </c>
      <c r="AY163">
        <v>5.7160964954197459E-2</v>
      </c>
      <c r="AZ163">
        <v>5.7160964954197459E-2</v>
      </c>
      <c r="BA163">
        <v>0.584937487674978</v>
      </c>
      <c r="BB163">
        <v>0.1700337308963564</v>
      </c>
      <c r="BC163">
        <v>-0.2346647328712734</v>
      </c>
      <c r="BD163">
        <v>4.7910770847700748E-2</v>
      </c>
      <c r="BE163">
        <v>0.83399941189149485</v>
      </c>
      <c r="BF163">
        <v>4.7910770847700748E-2</v>
      </c>
      <c r="BG163">
        <v>4.7910770847700748E-2</v>
      </c>
      <c r="BH163">
        <v>0.83399941189149485</v>
      </c>
      <c r="BI163">
        <v>0.39890931253704742</v>
      </c>
      <c r="BJ163">
        <v>-0.38213556808775961</v>
      </c>
      <c r="BK163">
        <v>8.5010932160552485E-2</v>
      </c>
      <c r="BL163">
        <v>0.65870799649515654</v>
      </c>
      <c r="BM163">
        <v>8.5010932160552485E-2</v>
      </c>
      <c r="BN163">
        <v>8.5010932160552485E-2</v>
      </c>
      <c r="BO163">
        <v>0.65870799649515654</v>
      </c>
      <c r="BP163">
        <v>0.29066502592261573</v>
      </c>
      <c r="BQ163">
        <v>-0.166928141177932</v>
      </c>
      <c r="BR163">
        <v>88.104468436016674</v>
      </c>
      <c r="BS163">
        <v>0.74923915180735134</v>
      </c>
      <c r="BT163">
        <v>88.104468436016674</v>
      </c>
      <c r="BU163">
        <v>88.104468436016674</v>
      </c>
      <c r="BV163">
        <v>0.74923915180735134</v>
      </c>
      <c r="BW163">
        <v>421.86659577818722</v>
      </c>
      <c r="BX163">
        <v>-0.20070669807523661</v>
      </c>
      <c r="BY163" t="str">
        <f t="shared" si="6"/>
        <v>[[sv,wv],[yr],[ya]]</v>
      </c>
      <c r="BZ163" t="str">
        <f>SUBSTITUTE(TRIM(MID(SUBSTITUTE(SUBSTITUTE(SUBSTITUTE(Tabla1[[#This Row],[map]],"[",""),"]",""),",",REPT(" ",100)),901,200))," ",", ")</f>
        <v>2, 4</v>
      </c>
      <c r="CA163" t="str">
        <f>SUBSTITUTE(TRIM(MID(SUBSTITUTE(SUBSTITUTE(SUBSTITUTE(Tabla1[[#This Row],[map]],"[",""),"]",""),",",REPT(" ",100)),1501,200))," ",", ")</f>
        <v>3, 2</v>
      </c>
      <c r="CB163" t="str">
        <f>SUBSTITUTE(TRIM(MID(SUBSTITUTE(SUBSTITUTE(SUBSTITUTE(Tabla1[[#This Row],[map]],"[",""),"]",""),",",REPT(" ",100)),601,300))," ",", ")</f>
        <v>3, 0, 1</v>
      </c>
      <c r="CC163" t="str">
        <f>SUBSTITUTE(TRIM(MID(SUBSTITUTE(SUBSTITUTE(SUBSTITUTE(Tabla1[[#This Row],[map]],"[",""),"]",""),",",REPT(" ",100)),1201,300))," ",", ")</f>
        <v>0, 1, 4</v>
      </c>
      <c r="CD163" t="str">
        <f>SUBSTITUTE(TRIM(MID(SUBSTITUTE(SUBSTITUTE(SUBSTITUTE(Tabla1[[#This Row],[map]],"[",""),"]",""),",",REPT(" ",100)),1,300))," ",", ")</f>
        <v>2, 3, 4</v>
      </c>
      <c r="CE163" t="str">
        <f>SUBSTITUTE(TRIM(MID(SUBSTITUTE(SUBSTITUTE(SUBSTITUTE(Tabla1[[#This Row],[map]],"[",""),"]",""),",",REPT(" ",100)),1,600))," ",", ")</f>
        <v>2, 3, 4, 0, 1, -1</v>
      </c>
      <c r="CF163" t="str">
        <f>SUBSTITUTE(TRIM(MID(SUBSTITUTE(SUBSTITUTE(SUBSTITUTE(Tabla1[[#This Row],[map]],"[",""),"]",""),",",REPT(" ",100)),601,600))," ",", ")</f>
        <v>3, 0, 1, 2, 4, -1</v>
      </c>
      <c r="CG163" t="str">
        <f>SUBSTITUTE(TRIM(MID(SUBSTITUTE(SUBSTITUTE(SUBSTITUTE(Tabla1[[#This Row],[map]],"[",""),"]",""),",",REPT(" ",100)),1201,600))," ",", ")</f>
        <v>0, 1, 4, 3, 2, -1</v>
      </c>
    </row>
    <row r="164" spans="1:85" x14ac:dyDescent="0.3">
      <c r="A164" s="1">
        <v>46098.912164351852</v>
      </c>
      <c r="B164" t="s">
        <v>334</v>
      </c>
      <c r="C164">
        <v>4</v>
      </c>
      <c r="D164" t="s">
        <v>96</v>
      </c>
      <c r="E164" t="s">
        <v>78</v>
      </c>
      <c r="F164">
        <v>16590</v>
      </c>
      <c r="G164">
        <v>4.5</v>
      </c>
      <c r="H164" t="s">
        <v>79</v>
      </c>
      <c r="I164" t="s">
        <v>80</v>
      </c>
      <c r="J164">
        <v>5</v>
      </c>
      <c r="K164">
        <v>5</v>
      </c>
      <c r="L164" t="s">
        <v>81</v>
      </c>
      <c r="M164" t="s">
        <v>82</v>
      </c>
      <c r="N164" t="s">
        <v>83</v>
      </c>
      <c r="O164" t="s">
        <v>83</v>
      </c>
      <c r="P164" t="s">
        <v>84</v>
      </c>
      <c r="Q164" t="s">
        <v>147</v>
      </c>
      <c r="R164">
        <v>3</v>
      </c>
      <c r="S164" t="s">
        <v>86</v>
      </c>
      <c r="T164" t="s">
        <v>87</v>
      </c>
      <c r="U164" t="s">
        <v>88</v>
      </c>
      <c r="V164">
        <v>1</v>
      </c>
      <c r="W164" t="s">
        <v>148</v>
      </c>
      <c r="X164" t="s">
        <v>83</v>
      </c>
      <c r="Y164" t="s">
        <v>90</v>
      </c>
      <c r="Z164">
        <v>4000</v>
      </c>
      <c r="AA164">
        <v>4000</v>
      </c>
      <c r="AC164">
        <v>256</v>
      </c>
      <c r="AD164" t="s">
        <v>91</v>
      </c>
      <c r="AE164">
        <v>0.15</v>
      </c>
      <c r="AF164" t="s">
        <v>92</v>
      </c>
      <c r="AG164">
        <v>180</v>
      </c>
      <c r="AH164">
        <v>60</v>
      </c>
      <c r="AI164">
        <v>120</v>
      </c>
      <c r="AJ164">
        <v>9.9872913680338349E-2</v>
      </c>
      <c r="AK164">
        <v>12.415636524496341</v>
      </c>
      <c r="AL164">
        <v>0.79427977718134013</v>
      </c>
      <c r="AM164">
        <v>-0.35997051353612852</v>
      </c>
      <c r="AN164">
        <v>16.143050927421999</v>
      </c>
      <c r="AO164">
        <v>0.72189621068007737</v>
      </c>
      <c r="AP164">
        <v>16.143050927421999</v>
      </c>
      <c r="AQ164">
        <v>16.143050927421999</v>
      </c>
      <c r="AR164">
        <v>0.72189621068007737</v>
      </c>
      <c r="AS164">
        <v>158.63044089266549</v>
      </c>
      <c r="AT164">
        <v>-0.34678408094332253</v>
      </c>
      <c r="AU164">
        <v>0.8</v>
      </c>
      <c r="AV164" t="s">
        <v>93</v>
      </c>
      <c r="AW164">
        <v>6.4319094894144585E-2</v>
      </c>
      <c r="AX164">
        <v>0.53296020914575604</v>
      </c>
      <c r="AY164">
        <v>6.4319094894144585E-2</v>
      </c>
      <c r="AZ164">
        <v>6.4319094894144585E-2</v>
      </c>
      <c r="BA164">
        <v>0.53296020914575604</v>
      </c>
      <c r="BB164">
        <v>0.22115089188274609</v>
      </c>
      <c r="BC164">
        <v>-0.60584141400208247</v>
      </c>
      <c r="BD164">
        <v>4.6150624341505027E-2</v>
      </c>
      <c r="BE164">
        <v>0.84009794359983281</v>
      </c>
      <c r="BF164">
        <v>4.6150624341505027E-2</v>
      </c>
      <c r="BG164">
        <v>4.6150624341505027E-2</v>
      </c>
      <c r="BH164">
        <v>0.84009794359983281</v>
      </c>
      <c r="BI164">
        <v>0.2867236446451385</v>
      </c>
      <c r="BJ164">
        <v>6.5638103171701268E-3</v>
      </c>
      <c r="BK164">
        <v>7.5278186156624391E-2</v>
      </c>
      <c r="BL164">
        <v>0.69778189321482742</v>
      </c>
      <c r="BM164">
        <v>7.5278186156624391E-2</v>
      </c>
      <c r="BN164">
        <v>7.5278186156624391E-2</v>
      </c>
      <c r="BO164">
        <v>0.69778189321482742</v>
      </c>
      <c r="BP164">
        <v>0.24511048187060711</v>
      </c>
      <c r="BQ164">
        <v>1.595894420182464E-2</v>
      </c>
      <c r="BR164">
        <v>64.386455804296006</v>
      </c>
      <c r="BS164">
        <v>0.81674479675989387</v>
      </c>
      <c r="BT164">
        <v>64.386455804296006</v>
      </c>
      <c r="BU164">
        <v>64.386455804296006</v>
      </c>
      <c r="BV164">
        <v>0.81674479675989387</v>
      </c>
      <c r="BW164">
        <v>633.76877855226223</v>
      </c>
      <c r="BX164">
        <v>-0.80381766429018819</v>
      </c>
      <c r="BY164" t="str">
        <f t="shared" si="6"/>
        <v>[[sv,wv],[yr],[ya]]</v>
      </c>
      <c r="BZ164" t="str">
        <f>SUBSTITUTE(TRIM(MID(SUBSTITUTE(SUBSTITUTE(SUBSTITUTE(Tabla1[[#This Row],[map]],"[",""),"]",""),",",REPT(" ",100)),901,200))," ",", ")</f>
        <v>2, 3</v>
      </c>
      <c r="CA164" t="str">
        <f>SUBSTITUTE(TRIM(MID(SUBSTITUTE(SUBSTITUTE(SUBSTITUTE(Tabla1[[#This Row],[map]],"[",""),"]",""),",",REPT(" ",100)),1501,200))," ",", ")</f>
        <v>3, 4</v>
      </c>
      <c r="CB164" t="str">
        <f>SUBSTITUTE(TRIM(MID(SUBSTITUTE(SUBSTITUTE(SUBSTITUTE(Tabla1[[#This Row],[map]],"[",""),"]",""),",",REPT(" ",100)),601,300))," ",", ")</f>
        <v>4, 0, 1</v>
      </c>
      <c r="CC164" t="str">
        <f>SUBSTITUTE(TRIM(MID(SUBSTITUTE(SUBSTITUTE(SUBSTITUTE(Tabla1[[#This Row],[map]],"[",""),"]",""),",",REPT(" ",100)),1201,300))," ",", ")</f>
        <v>2, 0, 1</v>
      </c>
      <c r="CD164" t="str">
        <f>SUBSTITUTE(TRIM(MID(SUBSTITUTE(SUBSTITUTE(SUBSTITUTE(Tabla1[[#This Row],[map]],"[",""),"]",""),",",REPT(" ",100)),1,300))," ",", ")</f>
        <v>2, 3, 4</v>
      </c>
      <c r="CE164" t="str">
        <f>SUBSTITUTE(TRIM(MID(SUBSTITUTE(SUBSTITUTE(SUBSTITUTE(Tabla1[[#This Row],[map]],"[",""),"]",""),",",REPT(" ",100)),1,600))," ",", ")</f>
        <v>2, 3, 4, 0, 1, -1</v>
      </c>
      <c r="CF164" t="str">
        <f>SUBSTITUTE(TRIM(MID(SUBSTITUTE(SUBSTITUTE(SUBSTITUTE(Tabla1[[#This Row],[map]],"[",""),"]",""),",",REPT(" ",100)),601,600))," ",", ")</f>
        <v>4, 0, 1, 2, 3, -1</v>
      </c>
      <c r="CG164" t="str">
        <f>SUBSTITUTE(TRIM(MID(SUBSTITUTE(SUBSTITUTE(SUBSTITUTE(Tabla1[[#This Row],[map]],"[",""),"]",""),",",REPT(" ",100)),1201,600))," ",", ")</f>
        <v>2, 0, 1, 3, 4, -1</v>
      </c>
    </row>
    <row r="165" spans="1:85" x14ac:dyDescent="0.3">
      <c r="A165" s="1">
        <v>46098.924178240741</v>
      </c>
      <c r="B165" t="s">
        <v>335</v>
      </c>
      <c r="C165">
        <v>5</v>
      </c>
      <c r="D165" t="s">
        <v>77</v>
      </c>
      <c r="E165" t="s">
        <v>78</v>
      </c>
      <c r="F165">
        <v>16590</v>
      </c>
      <c r="G165">
        <v>4.5</v>
      </c>
      <c r="H165" t="s">
        <v>79</v>
      </c>
      <c r="I165" t="s">
        <v>80</v>
      </c>
      <c r="J165">
        <v>5</v>
      </c>
      <c r="K165">
        <v>5</v>
      </c>
      <c r="L165" t="s">
        <v>81</v>
      </c>
      <c r="M165" t="s">
        <v>82</v>
      </c>
      <c r="N165" t="s">
        <v>83</v>
      </c>
      <c r="O165" t="s">
        <v>83</v>
      </c>
      <c r="P165" t="s">
        <v>84</v>
      </c>
      <c r="Q165" t="s">
        <v>147</v>
      </c>
      <c r="R165">
        <v>3</v>
      </c>
      <c r="S165" t="s">
        <v>86</v>
      </c>
      <c r="T165" t="s">
        <v>87</v>
      </c>
      <c r="U165" t="s">
        <v>88</v>
      </c>
      <c r="V165">
        <v>1</v>
      </c>
      <c r="W165" t="s">
        <v>148</v>
      </c>
      <c r="X165" t="s">
        <v>83</v>
      </c>
      <c r="Y165" t="s">
        <v>90</v>
      </c>
      <c r="Z165">
        <v>4000</v>
      </c>
      <c r="AA165">
        <v>4000</v>
      </c>
      <c r="AC165">
        <v>256</v>
      </c>
      <c r="AD165" t="s">
        <v>91</v>
      </c>
      <c r="AE165">
        <v>0.15</v>
      </c>
      <c r="AF165" t="s">
        <v>92</v>
      </c>
      <c r="AG165">
        <v>180</v>
      </c>
      <c r="AH165">
        <v>60</v>
      </c>
      <c r="AI165">
        <v>120</v>
      </c>
      <c r="AJ165">
        <v>9.9169835223282848E-2</v>
      </c>
      <c r="AK165">
        <v>14.94166110474074</v>
      </c>
      <c r="AL165">
        <v>0.7754798966083476</v>
      </c>
      <c r="AM165">
        <v>0.20662630994191969</v>
      </c>
      <c r="AN165">
        <v>18.624451960067269</v>
      </c>
      <c r="AO165">
        <v>0.71475699819233862</v>
      </c>
      <c r="AP165">
        <v>18.624451960067269</v>
      </c>
      <c r="AQ165">
        <v>18.624451960067269</v>
      </c>
      <c r="AR165">
        <v>0.71475699819233862</v>
      </c>
      <c r="AS165">
        <v>86.739255657742049</v>
      </c>
      <c r="AT165">
        <v>0.2320902123344892</v>
      </c>
      <c r="AU165">
        <v>0.8</v>
      </c>
      <c r="AV165" t="s">
        <v>93</v>
      </c>
      <c r="AW165">
        <v>6.6603237401229129E-2</v>
      </c>
      <c r="AX165">
        <v>0.5163743812427708</v>
      </c>
      <c r="AY165">
        <v>6.6603237401229129E-2</v>
      </c>
      <c r="AZ165">
        <v>6.6603237401229129E-2</v>
      </c>
      <c r="BA165">
        <v>0.5163743812427708</v>
      </c>
      <c r="BB165">
        <v>0.16010777465921491</v>
      </c>
      <c r="BC165">
        <v>-0.16258945673978359</v>
      </c>
      <c r="BD165">
        <v>7.5880952873564833E-2</v>
      </c>
      <c r="BE165">
        <v>0.73708870509959601</v>
      </c>
      <c r="BF165">
        <v>7.5880952873564833E-2</v>
      </c>
      <c r="BG165">
        <v>7.5880952873564833E-2</v>
      </c>
      <c r="BH165">
        <v>0.73708870509959601</v>
      </c>
      <c r="BI165">
        <v>0.19652395313640081</v>
      </c>
      <c r="BJ165">
        <v>0.31908647636345799</v>
      </c>
      <c r="BK165">
        <v>4.5566834185476413E-2</v>
      </c>
      <c r="BL165">
        <v>0.81706357362176263</v>
      </c>
      <c r="BM165">
        <v>4.5566834185476413E-2</v>
      </c>
      <c r="BN165">
        <v>4.5566834185476413E-2</v>
      </c>
      <c r="BO165">
        <v>0.81706357362176263</v>
      </c>
      <c r="BP165">
        <v>6.0234333486844843E-2</v>
      </c>
      <c r="BQ165">
        <v>0.75817820328473673</v>
      </c>
      <c r="BR165">
        <v>74.309756815808825</v>
      </c>
      <c r="BS165">
        <v>0.78850133280522461</v>
      </c>
      <c r="BT165">
        <v>74.309756815808825</v>
      </c>
      <c r="BU165">
        <v>74.309756815808825</v>
      </c>
      <c r="BV165">
        <v>0.78850133280522461</v>
      </c>
      <c r="BW165">
        <v>346.54015656968431</v>
      </c>
      <c r="BX165">
        <v>1.3685626429549401E-2</v>
      </c>
      <c r="BY165" t="str">
        <f t="shared" si="6"/>
        <v>[[sv,wv],[yr],[ya]]</v>
      </c>
      <c r="BZ165" t="str">
        <f>SUBSTITUTE(TRIM(MID(SUBSTITUTE(SUBSTITUTE(SUBSTITUTE(Tabla1[[#This Row],[map]],"[",""),"]",""),",",REPT(" ",100)),901,200))," ",", ")</f>
        <v>2, 3</v>
      </c>
      <c r="CA165" t="str">
        <f>SUBSTITUTE(TRIM(MID(SUBSTITUTE(SUBSTITUTE(SUBSTITUTE(Tabla1[[#This Row],[map]],"[",""),"]",""),",",REPT(" ",100)),1501,200))," ",", ")</f>
        <v>3, 4</v>
      </c>
      <c r="CB165" t="str">
        <f>SUBSTITUTE(TRIM(MID(SUBSTITUTE(SUBSTITUTE(SUBSTITUTE(Tabla1[[#This Row],[map]],"[",""),"]",""),",",REPT(" ",100)),601,300))," ",", ")</f>
        <v>4, 0, 1</v>
      </c>
      <c r="CC165" t="str">
        <f>SUBSTITUTE(TRIM(MID(SUBSTITUTE(SUBSTITUTE(SUBSTITUTE(Tabla1[[#This Row],[map]],"[",""),"]",""),",",REPT(" ",100)),1201,300))," ",", ")</f>
        <v>2, 0, 1</v>
      </c>
      <c r="CD165" t="str">
        <f>SUBSTITUTE(TRIM(MID(SUBSTITUTE(SUBSTITUTE(SUBSTITUTE(Tabla1[[#This Row],[map]],"[",""),"]",""),",",REPT(" ",100)),1,300))," ",", ")</f>
        <v>2, 3, 4</v>
      </c>
      <c r="CE165" t="str">
        <f>SUBSTITUTE(TRIM(MID(SUBSTITUTE(SUBSTITUTE(SUBSTITUTE(Tabla1[[#This Row],[map]],"[",""),"]",""),",",REPT(" ",100)),1,600))," ",", ")</f>
        <v>2, 3, 4, 0, 1, -1</v>
      </c>
      <c r="CF165" t="str">
        <f>SUBSTITUTE(TRIM(MID(SUBSTITUTE(SUBSTITUTE(SUBSTITUTE(Tabla1[[#This Row],[map]],"[",""),"]",""),",",REPT(" ",100)),601,600))," ",", ")</f>
        <v>4, 0, 1, 2, 3, -1</v>
      </c>
      <c r="CG165" t="str">
        <f>SUBSTITUTE(TRIM(MID(SUBSTITUTE(SUBSTITUTE(SUBSTITUTE(Tabla1[[#This Row],[map]],"[",""),"]",""),",",REPT(" ",100)),1201,600))," ",", ")</f>
        <v>2, 0, 1, 3, 4, -1</v>
      </c>
    </row>
    <row r="166" spans="1:85" x14ac:dyDescent="0.3">
      <c r="A166" s="1">
        <v>46099.030752314808</v>
      </c>
      <c r="B166" t="s">
        <v>336</v>
      </c>
      <c r="C166">
        <v>7</v>
      </c>
      <c r="D166" t="s">
        <v>96</v>
      </c>
      <c r="E166" t="s">
        <v>78</v>
      </c>
      <c r="F166">
        <v>16590</v>
      </c>
      <c r="G166">
        <v>4.5</v>
      </c>
      <c r="H166" t="s">
        <v>79</v>
      </c>
      <c r="I166" t="s">
        <v>80</v>
      </c>
      <c r="J166">
        <v>5</v>
      </c>
      <c r="K166">
        <v>5</v>
      </c>
      <c r="L166" t="s">
        <v>81</v>
      </c>
      <c r="M166" t="s">
        <v>82</v>
      </c>
      <c r="N166" t="s">
        <v>83</v>
      </c>
      <c r="O166" t="s">
        <v>83</v>
      </c>
      <c r="P166" t="s">
        <v>84</v>
      </c>
      <c r="Q166" t="s">
        <v>117</v>
      </c>
      <c r="R166">
        <v>3</v>
      </c>
      <c r="S166" t="s">
        <v>86</v>
      </c>
      <c r="T166" t="s">
        <v>87</v>
      </c>
      <c r="U166" t="s">
        <v>88</v>
      </c>
      <c r="V166">
        <v>1</v>
      </c>
      <c r="W166" t="s">
        <v>118</v>
      </c>
      <c r="X166" t="s">
        <v>83</v>
      </c>
      <c r="Y166" t="s">
        <v>90</v>
      </c>
      <c r="Z166">
        <v>4000</v>
      </c>
      <c r="AA166">
        <v>4000</v>
      </c>
      <c r="AC166">
        <v>256</v>
      </c>
      <c r="AD166" t="s">
        <v>91</v>
      </c>
      <c r="AE166">
        <v>0.15</v>
      </c>
      <c r="AF166" t="s">
        <v>92</v>
      </c>
      <c r="AG166">
        <v>180</v>
      </c>
      <c r="AH166">
        <v>60</v>
      </c>
      <c r="AI166">
        <v>120</v>
      </c>
      <c r="AJ166">
        <v>0.1189193909846674</v>
      </c>
      <c r="AK166">
        <v>29.25487856418502</v>
      </c>
      <c r="AL166">
        <v>0.61805563271200281</v>
      </c>
      <c r="AM166">
        <v>-0.61370103321935709</v>
      </c>
      <c r="AN166">
        <v>34.286183483065088</v>
      </c>
      <c r="AO166">
        <v>0.57154636700120887</v>
      </c>
      <c r="AP166">
        <v>34.286183483065088</v>
      </c>
      <c r="AQ166">
        <v>34.286183483065088</v>
      </c>
      <c r="AR166">
        <v>0.57154636700120887</v>
      </c>
      <c r="AS166">
        <v>127.7769782200247</v>
      </c>
      <c r="AT166">
        <v>-0.61804782283080117</v>
      </c>
      <c r="AU166">
        <v>0.8</v>
      </c>
      <c r="AV166" t="s">
        <v>93</v>
      </c>
      <c r="AW166">
        <v>0.1029961746519211</v>
      </c>
      <c r="AX166">
        <v>0.25211460224388799</v>
      </c>
      <c r="AY166">
        <v>0.1029961746519211</v>
      </c>
      <c r="AZ166">
        <v>0.1029961746519211</v>
      </c>
      <c r="BA166">
        <v>0.25211460224388799</v>
      </c>
      <c r="BB166">
        <v>0.15264094999722291</v>
      </c>
      <c r="BC166">
        <v>-0.1083706553990398</v>
      </c>
      <c r="BD166">
        <v>8.1456208350252635E-2</v>
      </c>
      <c r="BE166">
        <v>0.71777163564714841</v>
      </c>
      <c r="BF166">
        <v>8.1456208350252635E-2</v>
      </c>
      <c r="BG166">
        <v>8.1456208350252635E-2</v>
      </c>
      <c r="BH166">
        <v>0.71777163564714841</v>
      </c>
      <c r="BI166">
        <v>0.52422673290039912</v>
      </c>
      <c r="BJ166">
        <v>-0.81633366410014041</v>
      </c>
      <c r="BK166">
        <v>7.3255126532454112E-2</v>
      </c>
      <c r="BL166">
        <v>0.70590383770825826</v>
      </c>
      <c r="BM166">
        <v>7.3255126532454112E-2</v>
      </c>
      <c r="BN166">
        <v>7.3255126532454112E-2</v>
      </c>
      <c r="BO166">
        <v>0.70590383770825826</v>
      </c>
      <c r="BP166">
        <v>0.522132371314312</v>
      </c>
      <c r="BQ166">
        <v>-1.0961963193633371</v>
      </c>
      <c r="BR166">
        <v>136.88702642272551</v>
      </c>
      <c r="BS166">
        <v>0.61039539240554697</v>
      </c>
      <c r="BT166">
        <v>136.88702642272551</v>
      </c>
      <c r="BU166">
        <v>136.88702642272551</v>
      </c>
      <c r="BV166">
        <v>0.61039539240554697</v>
      </c>
      <c r="BW166">
        <v>509.90891282588859</v>
      </c>
      <c r="BX166">
        <v>-0.45129065246071592</v>
      </c>
      <c r="BY166" t="str">
        <f t="shared" si="6"/>
        <v>[[sv,wv],[yr],[ya]]</v>
      </c>
      <c r="BZ166" t="str">
        <f>SUBSTITUTE(TRIM(MID(SUBSTITUTE(SUBSTITUTE(SUBSTITUTE(Tabla1[[#This Row],[map]],"[",""),"]",""),",",REPT(" ",100)),901,200))," ",", ")</f>
        <v>2, 3</v>
      </c>
      <c r="CA166" t="str">
        <f>SUBSTITUTE(TRIM(MID(SUBSTITUTE(SUBSTITUTE(SUBSTITUTE(Tabla1[[#This Row],[map]],"[",""),"]",""),",",REPT(" ",100)),1501,200))," ",", ")</f>
        <v>3, 2</v>
      </c>
      <c r="CB166" t="str">
        <f>SUBSTITUTE(TRIM(MID(SUBSTITUTE(SUBSTITUTE(SUBSTITUTE(Tabla1[[#This Row],[map]],"[",""),"]",""),",",REPT(" ",100)),601,300))," ",", ")</f>
        <v>0, 1, 4</v>
      </c>
      <c r="CC166" t="str">
        <f>SUBSTITUTE(TRIM(MID(SUBSTITUTE(SUBSTITUTE(SUBSTITUTE(Tabla1[[#This Row],[map]],"[",""),"]",""),",",REPT(" ",100)),1201,300))," ",", ")</f>
        <v>4, 0, 1</v>
      </c>
      <c r="CD166" t="str">
        <f>SUBSTITUTE(TRIM(MID(SUBSTITUTE(SUBSTITUTE(SUBSTITUTE(Tabla1[[#This Row],[map]],"[",""),"]",""),",",REPT(" ",100)),1,300))," ",", ")</f>
        <v>2, 3, 4</v>
      </c>
      <c r="CE166" t="str">
        <f>SUBSTITUTE(TRIM(MID(SUBSTITUTE(SUBSTITUTE(SUBSTITUTE(Tabla1[[#This Row],[map]],"[",""),"]",""),",",REPT(" ",100)),1,600))," ",", ")</f>
        <v>2, 3, 4, 0, 1, -1</v>
      </c>
      <c r="CF166" t="str">
        <f>SUBSTITUTE(TRIM(MID(SUBSTITUTE(SUBSTITUTE(SUBSTITUTE(Tabla1[[#This Row],[map]],"[",""),"]",""),",",REPT(" ",100)),601,600))," ",", ")</f>
        <v>0, 1, 4, 2, 3, -1</v>
      </c>
      <c r="CG166" t="str">
        <f>SUBSTITUTE(TRIM(MID(SUBSTITUTE(SUBSTITUTE(SUBSTITUTE(Tabla1[[#This Row],[map]],"[",""),"]",""),",",REPT(" ",100)),1201,600))," ",", ")</f>
        <v>4, 0, 1, 3, 2, -1</v>
      </c>
    </row>
    <row r="167" spans="1:85" x14ac:dyDescent="0.3">
      <c r="A167" s="1">
        <v>46099.039131944453</v>
      </c>
      <c r="B167" t="s">
        <v>337</v>
      </c>
      <c r="C167">
        <v>8</v>
      </c>
      <c r="D167" t="s">
        <v>77</v>
      </c>
      <c r="E167" t="s">
        <v>78</v>
      </c>
      <c r="F167">
        <v>16590</v>
      </c>
      <c r="G167">
        <v>4.5</v>
      </c>
      <c r="H167" t="s">
        <v>79</v>
      </c>
      <c r="I167" t="s">
        <v>80</v>
      </c>
      <c r="J167">
        <v>5</v>
      </c>
      <c r="K167">
        <v>5</v>
      </c>
      <c r="L167" t="s">
        <v>81</v>
      </c>
      <c r="M167" t="s">
        <v>82</v>
      </c>
      <c r="N167" t="s">
        <v>83</v>
      </c>
      <c r="O167" t="s">
        <v>83</v>
      </c>
      <c r="P167" t="s">
        <v>84</v>
      </c>
      <c r="Q167" t="s">
        <v>117</v>
      </c>
      <c r="R167">
        <v>3</v>
      </c>
      <c r="S167" t="s">
        <v>86</v>
      </c>
      <c r="T167" t="s">
        <v>87</v>
      </c>
      <c r="U167" t="s">
        <v>88</v>
      </c>
      <c r="V167">
        <v>1</v>
      </c>
      <c r="W167" t="s">
        <v>118</v>
      </c>
      <c r="X167" t="s">
        <v>83</v>
      </c>
      <c r="Y167" t="s">
        <v>90</v>
      </c>
      <c r="Z167">
        <v>4000</v>
      </c>
      <c r="AA167">
        <v>4000</v>
      </c>
      <c r="AC167">
        <v>256</v>
      </c>
      <c r="AD167" t="s">
        <v>91</v>
      </c>
      <c r="AE167">
        <v>0.15</v>
      </c>
      <c r="AF167" t="s">
        <v>92</v>
      </c>
      <c r="AG167">
        <v>180</v>
      </c>
      <c r="AH167">
        <v>60</v>
      </c>
      <c r="AI167">
        <v>120</v>
      </c>
      <c r="AJ167">
        <v>0.13386915217819631</v>
      </c>
      <c r="AK167">
        <v>31.592980653441749</v>
      </c>
      <c r="AL167">
        <v>0.57729791713802925</v>
      </c>
      <c r="AM167">
        <v>-0.51505226675872229</v>
      </c>
      <c r="AN167">
        <v>36.983081655024371</v>
      </c>
      <c r="AO167">
        <v>0.51629317103225614</v>
      </c>
      <c r="AP167">
        <v>36.983081655024371</v>
      </c>
      <c r="AQ167">
        <v>36.983081655024371</v>
      </c>
      <c r="AR167">
        <v>0.51629317103225614</v>
      </c>
      <c r="AS167">
        <v>117.7163105883559</v>
      </c>
      <c r="AT167">
        <v>-0.53290986352008951</v>
      </c>
      <c r="AU167">
        <v>0.8</v>
      </c>
      <c r="AV167" t="s">
        <v>93</v>
      </c>
      <c r="AW167">
        <v>0.1209804605908138</v>
      </c>
      <c r="AX167">
        <v>0.1215254333915131</v>
      </c>
      <c r="AY167">
        <v>0.1209804605908138</v>
      </c>
      <c r="AZ167">
        <v>0.1209804605908138</v>
      </c>
      <c r="BA167">
        <v>0.1215254333915131</v>
      </c>
      <c r="BB167">
        <v>0.14403123680091021</v>
      </c>
      <c r="BC167">
        <v>-4.5853005591642633E-2</v>
      </c>
      <c r="BD167">
        <v>6.4467885720580959E-2</v>
      </c>
      <c r="BE167">
        <v>0.77663254515885294</v>
      </c>
      <c r="BF167">
        <v>6.4467885720580959E-2</v>
      </c>
      <c r="BG167">
        <v>6.4467885720580959E-2</v>
      </c>
      <c r="BH167">
        <v>0.77663254515885294</v>
      </c>
      <c r="BI167">
        <v>0.64388834884292945</v>
      </c>
      <c r="BJ167">
        <v>-1.2309356057724561</v>
      </c>
      <c r="BK167">
        <v>0.1028136438340506</v>
      </c>
      <c r="BL167">
        <v>0.58723574015767532</v>
      </c>
      <c r="BM167">
        <v>0.1028136438340506</v>
      </c>
      <c r="BN167">
        <v>0.1028136438340506</v>
      </c>
      <c r="BO167">
        <v>0.58723574015767532</v>
      </c>
      <c r="BP167">
        <v>0.37811299904605761</v>
      </c>
      <c r="BQ167">
        <v>-0.51800409330807784</v>
      </c>
      <c r="BR167">
        <v>147.6440646299522</v>
      </c>
      <c r="BS167">
        <v>0.5797789654209855</v>
      </c>
      <c r="BT167">
        <v>147.6440646299522</v>
      </c>
      <c r="BU167">
        <v>147.6440646299522</v>
      </c>
      <c r="BV167">
        <v>0.5797789654209855</v>
      </c>
      <c r="BW167">
        <v>469.69920976873402</v>
      </c>
      <c r="BX167">
        <v>-0.33684674940818099</v>
      </c>
      <c r="BY167" t="str">
        <f t="shared" si="6"/>
        <v>[[sv,wv],[yr],[ya]]</v>
      </c>
      <c r="BZ167" t="str">
        <f>SUBSTITUTE(TRIM(MID(SUBSTITUTE(SUBSTITUTE(SUBSTITUTE(Tabla1[[#This Row],[map]],"[",""),"]",""),",",REPT(" ",100)),901,200))," ",", ")</f>
        <v>2, 3</v>
      </c>
      <c r="CA167" t="str">
        <f>SUBSTITUTE(TRIM(MID(SUBSTITUTE(SUBSTITUTE(SUBSTITUTE(Tabla1[[#This Row],[map]],"[",""),"]",""),",",REPT(" ",100)),1501,200))," ",", ")</f>
        <v>3, 2</v>
      </c>
      <c r="CB167" t="str">
        <f>SUBSTITUTE(TRIM(MID(SUBSTITUTE(SUBSTITUTE(SUBSTITUTE(Tabla1[[#This Row],[map]],"[",""),"]",""),",",REPT(" ",100)),601,300))," ",", ")</f>
        <v>0, 1, 4</v>
      </c>
      <c r="CC167" t="str">
        <f>SUBSTITUTE(TRIM(MID(SUBSTITUTE(SUBSTITUTE(SUBSTITUTE(Tabla1[[#This Row],[map]],"[",""),"]",""),",",REPT(" ",100)),1201,300))," ",", ")</f>
        <v>4, 0, 1</v>
      </c>
      <c r="CD167" t="str">
        <f>SUBSTITUTE(TRIM(MID(SUBSTITUTE(SUBSTITUTE(SUBSTITUTE(Tabla1[[#This Row],[map]],"[",""),"]",""),",",REPT(" ",100)),1,300))," ",", ")</f>
        <v>2, 3, 4</v>
      </c>
      <c r="CE167" t="str">
        <f>SUBSTITUTE(TRIM(MID(SUBSTITUTE(SUBSTITUTE(SUBSTITUTE(Tabla1[[#This Row],[map]],"[",""),"]",""),",",REPT(" ",100)),1,600))," ",", ")</f>
        <v>2, 3, 4, 0, 1, -1</v>
      </c>
      <c r="CF167" t="str">
        <f>SUBSTITUTE(TRIM(MID(SUBSTITUTE(SUBSTITUTE(SUBSTITUTE(Tabla1[[#This Row],[map]],"[",""),"]",""),",",REPT(" ",100)),601,600))," ",", ")</f>
        <v>0, 1, 4, 2, 3, -1</v>
      </c>
      <c r="CG167" t="str">
        <f>SUBSTITUTE(TRIM(MID(SUBSTITUTE(SUBSTITUTE(SUBSTITUTE(Tabla1[[#This Row],[map]],"[",""),"]",""),",",REPT(" ",100)),1201,600))," ",", ")</f>
        <v>4, 0, 1, 3, 2, -1</v>
      </c>
    </row>
    <row r="168" spans="1:85" x14ac:dyDescent="0.3">
      <c r="A168" s="1">
        <v>46099.043449074074</v>
      </c>
      <c r="B168" t="s">
        <v>338</v>
      </c>
      <c r="C168">
        <v>6</v>
      </c>
      <c r="D168" t="s">
        <v>96</v>
      </c>
      <c r="E168" t="s">
        <v>78</v>
      </c>
      <c r="F168">
        <v>16590</v>
      </c>
      <c r="G168">
        <v>4.5</v>
      </c>
      <c r="H168" t="s">
        <v>79</v>
      </c>
      <c r="I168" t="s">
        <v>80</v>
      </c>
      <c r="J168">
        <v>5</v>
      </c>
      <c r="K168">
        <v>5</v>
      </c>
      <c r="L168" t="s">
        <v>81</v>
      </c>
      <c r="M168" t="s">
        <v>82</v>
      </c>
      <c r="N168" t="s">
        <v>83</v>
      </c>
      <c r="O168" t="s">
        <v>83</v>
      </c>
      <c r="P168" t="s">
        <v>84</v>
      </c>
      <c r="Q168" t="s">
        <v>117</v>
      </c>
      <c r="R168">
        <v>3</v>
      </c>
      <c r="S168" t="s">
        <v>86</v>
      </c>
      <c r="T168" t="s">
        <v>87</v>
      </c>
      <c r="U168" t="s">
        <v>88</v>
      </c>
      <c r="V168">
        <v>1</v>
      </c>
      <c r="W168" t="s">
        <v>118</v>
      </c>
      <c r="X168" t="s">
        <v>83</v>
      </c>
      <c r="Y168" t="s">
        <v>90</v>
      </c>
      <c r="Z168">
        <v>4000</v>
      </c>
      <c r="AA168">
        <v>4000</v>
      </c>
      <c r="AC168">
        <v>256</v>
      </c>
      <c r="AD168" t="s">
        <v>91</v>
      </c>
      <c r="AE168">
        <v>0.15</v>
      </c>
      <c r="AF168" t="s">
        <v>92</v>
      </c>
      <c r="AG168">
        <v>180</v>
      </c>
      <c r="AH168">
        <v>60</v>
      </c>
      <c r="AI168">
        <v>120</v>
      </c>
      <c r="AJ168">
        <v>0.13476593224384781</v>
      </c>
      <c r="AK168">
        <v>42.598104371959771</v>
      </c>
      <c r="AL168">
        <v>0.6430127861991497</v>
      </c>
      <c r="AM168">
        <v>-0.41091136315531729</v>
      </c>
      <c r="AN168">
        <v>51.578222741615562</v>
      </c>
      <c r="AO168">
        <v>0.57146104642728401</v>
      </c>
      <c r="AP168">
        <v>51.578222741615562</v>
      </c>
      <c r="AQ168">
        <v>51.578222741615562</v>
      </c>
      <c r="AR168">
        <v>0.57146104642728401</v>
      </c>
      <c r="AS168">
        <v>100.8391734848674</v>
      </c>
      <c r="AT168">
        <v>-0.33077252756434727</v>
      </c>
      <c r="AU168">
        <v>0.8</v>
      </c>
      <c r="AV168" t="s">
        <v>93</v>
      </c>
      <c r="AW168">
        <v>6.6310455219050934E-2</v>
      </c>
      <c r="AX168">
        <v>0.51850035844060605</v>
      </c>
      <c r="AY168">
        <v>6.6310455219050934E-2</v>
      </c>
      <c r="AZ168">
        <v>6.6310455219050934E-2</v>
      </c>
      <c r="BA168">
        <v>0.51850035844060605</v>
      </c>
      <c r="BB168">
        <v>0.17810507352033139</v>
      </c>
      <c r="BC168">
        <v>-0.29327311623267233</v>
      </c>
      <c r="BD168">
        <v>6.8660743249991898E-2</v>
      </c>
      <c r="BE168">
        <v>0.76210518933838634</v>
      </c>
      <c r="BF168">
        <v>6.8660743249991898E-2</v>
      </c>
      <c r="BG168">
        <v>6.8660743249991898E-2</v>
      </c>
      <c r="BH168">
        <v>0.76210518933838634</v>
      </c>
      <c r="BI168">
        <v>0.40332120241571617</v>
      </c>
      <c r="BJ168">
        <v>-0.39742182421703548</v>
      </c>
      <c r="BK168">
        <v>0.10168474052673331</v>
      </c>
      <c r="BL168">
        <v>0.59176792986228777</v>
      </c>
      <c r="BM168">
        <v>0.10168474052673331</v>
      </c>
      <c r="BN168">
        <v>0.10168474052673331</v>
      </c>
      <c r="BO168">
        <v>0.59176792986228777</v>
      </c>
      <c r="BP168">
        <v>0.37041025437307779</v>
      </c>
      <c r="BQ168">
        <v>-0.48708000983887662</v>
      </c>
      <c r="BR168">
        <v>206.0762350274658</v>
      </c>
      <c r="BS168">
        <v>0.41347070806785408</v>
      </c>
      <c r="BT168">
        <v>206.0762350274658</v>
      </c>
      <c r="BU168">
        <v>206.0762350274658</v>
      </c>
      <c r="BV168">
        <v>0.41347070806785408</v>
      </c>
      <c r="BW168">
        <v>402.40485740915989</v>
      </c>
      <c r="BX168">
        <v>-0.14531515996880301</v>
      </c>
      <c r="BY168" t="str">
        <f t="shared" si="6"/>
        <v>[[sv,wv],[yr],[ya]]</v>
      </c>
      <c r="BZ168" t="str">
        <f>SUBSTITUTE(TRIM(MID(SUBSTITUTE(SUBSTITUTE(SUBSTITUTE(Tabla1[[#This Row],[map]],"[",""),"]",""),",",REPT(" ",100)),901,200))," ",", ")</f>
        <v>2, 3</v>
      </c>
      <c r="CA168" t="str">
        <f>SUBSTITUTE(TRIM(MID(SUBSTITUTE(SUBSTITUTE(SUBSTITUTE(Tabla1[[#This Row],[map]],"[",""),"]",""),",",REPT(" ",100)),1501,200))," ",", ")</f>
        <v>3, 2</v>
      </c>
      <c r="CB168" t="str">
        <f>SUBSTITUTE(TRIM(MID(SUBSTITUTE(SUBSTITUTE(SUBSTITUTE(Tabla1[[#This Row],[map]],"[",""),"]",""),",",REPT(" ",100)),601,300))," ",", ")</f>
        <v>0, 1, 4</v>
      </c>
      <c r="CC168" t="str">
        <f>SUBSTITUTE(TRIM(MID(SUBSTITUTE(SUBSTITUTE(SUBSTITUTE(Tabla1[[#This Row],[map]],"[",""),"]",""),",",REPT(" ",100)),1201,300))," ",", ")</f>
        <v>4, 0, 1</v>
      </c>
      <c r="CD168" t="str">
        <f>SUBSTITUTE(TRIM(MID(SUBSTITUTE(SUBSTITUTE(SUBSTITUTE(Tabla1[[#This Row],[map]],"[",""),"]",""),",",REPT(" ",100)),1,300))," ",", ")</f>
        <v>2, 3, 4</v>
      </c>
      <c r="CE168" t="str">
        <f>SUBSTITUTE(TRIM(MID(SUBSTITUTE(SUBSTITUTE(SUBSTITUTE(Tabla1[[#This Row],[map]],"[",""),"]",""),",",REPT(" ",100)),1,600))," ",", ")</f>
        <v>2, 3, 4, 0, 1, -1</v>
      </c>
      <c r="CF168" t="str">
        <f>SUBSTITUTE(TRIM(MID(SUBSTITUTE(SUBSTITUTE(SUBSTITUTE(Tabla1[[#This Row],[map]],"[",""),"]",""),",",REPT(" ",100)),601,600))," ",", ")</f>
        <v>0, 1, 4, 2, 3, -1</v>
      </c>
      <c r="CG168" t="str">
        <f>SUBSTITUTE(TRIM(MID(SUBSTITUTE(SUBSTITUTE(SUBSTITUTE(Tabla1[[#This Row],[map]],"[",""),"]",""),",",REPT(" ",100)),1201,600))," ",", ")</f>
        <v>4, 0, 1, 3, 2, -1</v>
      </c>
    </row>
    <row r="169" spans="1:85" x14ac:dyDescent="0.3">
      <c r="A169" s="1">
        <v>46099.044999999998</v>
      </c>
      <c r="B169" t="s">
        <v>339</v>
      </c>
      <c r="C169">
        <v>9</v>
      </c>
      <c r="D169" t="s">
        <v>96</v>
      </c>
      <c r="E169" t="s">
        <v>78</v>
      </c>
      <c r="F169">
        <v>16590</v>
      </c>
      <c r="G169">
        <v>4.5</v>
      </c>
      <c r="H169" t="s">
        <v>79</v>
      </c>
      <c r="I169" t="s">
        <v>80</v>
      </c>
      <c r="J169">
        <v>5</v>
      </c>
      <c r="K169">
        <v>5</v>
      </c>
      <c r="L169" t="s">
        <v>81</v>
      </c>
      <c r="M169" t="s">
        <v>82</v>
      </c>
      <c r="N169" t="s">
        <v>83</v>
      </c>
      <c r="O169" t="s">
        <v>83</v>
      </c>
      <c r="P169" t="s">
        <v>84</v>
      </c>
      <c r="Q169" t="s">
        <v>117</v>
      </c>
      <c r="R169">
        <v>3</v>
      </c>
      <c r="S169" t="s">
        <v>86</v>
      </c>
      <c r="T169" t="s">
        <v>87</v>
      </c>
      <c r="U169" t="s">
        <v>88</v>
      </c>
      <c r="V169">
        <v>1</v>
      </c>
      <c r="W169" t="s">
        <v>118</v>
      </c>
      <c r="X169" t="s">
        <v>83</v>
      </c>
      <c r="Y169" t="s">
        <v>90</v>
      </c>
      <c r="Z169">
        <v>4000</v>
      </c>
      <c r="AA169">
        <v>4000</v>
      </c>
      <c r="AC169">
        <v>256</v>
      </c>
      <c r="AD169" t="s">
        <v>91</v>
      </c>
      <c r="AE169">
        <v>0.15</v>
      </c>
      <c r="AF169" t="s">
        <v>92</v>
      </c>
      <c r="AG169">
        <v>180</v>
      </c>
      <c r="AH169">
        <v>60</v>
      </c>
      <c r="AI169">
        <v>120</v>
      </c>
      <c r="AJ169">
        <v>0.12694296262520691</v>
      </c>
      <c r="AK169">
        <v>46.394915713869267</v>
      </c>
      <c r="AL169">
        <v>0.6864189130906645</v>
      </c>
      <c r="AM169">
        <v>-0.25485623862511542</v>
      </c>
      <c r="AN169">
        <v>49.391364461860583</v>
      </c>
      <c r="AO169">
        <v>0.63431696910122393</v>
      </c>
      <c r="AP169">
        <v>49.391364461860583</v>
      </c>
      <c r="AQ169">
        <v>49.391364461860583</v>
      </c>
      <c r="AR169">
        <v>0.63431696910122393</v>
      </c>
      <c r="AS169">
        <v>113.7389234448225</v>
      </c>
      <c r="AT169">
        <v>-0.22540115878776701</v>
      </c>
      <c r="AU169">
        <v>0.8</v>
      </c>
      <c r="AV169" t="s">
        <v>93</v>
      </c>
      <c r="AW169">
        <v>5.6691294248620697E-2</v>
      </c>
      <c r="AX169">
        <v>0.58834790426221295</v>
      </c>
      <c r="AY169">
        <v>5.6691294248620697E-2</v>
      </c>
      <c r="AZ169">
        <v>5.6691294248620697E-2</v>
      </c>
      <c r="BA169">
        <v>0.58834790426221295</v>
      </c>
      <c r="BB169">
        <v>6.4265699862104939E-2</v>
      </c>
      <c r="BC169">
        <v>0.53334792611592619</v>
      </c>
      <c r="BD169">
        <v>5.269968745506786E-2</v>
      </c>
      <c r="BE169">
        <v>0.81740683867340647</v>
      </c>
      <c r="BF169">
        <v>5.269968745506786E-2</v>
      </c>
      <c r="BG169">
        <v>5.269968745506786E-2</v>
      </c>
      <c r="BH169">
        <v>0.81740683867340647</v>
      </c>
      <c r="BI169">
        <v>0.47203423495087321</v>
      </c>
      <c r="BJ169">
        <v>-0.63549780608369555</v>
      </c>
      <c r="BK169">
        <v>7.6396935588824419E-2</v>
      </c>
      <c r="BL169">
        <v>0.69329046810712081</v>
      </c>
      <c r="BM169">
        <v>7.6396935588824419E-2</v>
      </c>
      <c r="BN169">
        <v>7.6396935588824419E-2</v>
      </c>
      <c r="BO169">
        <v>0.69329046810712081</v>
      </c>
      <c r="BP169">
        <v>0.37541327315130218</v>
      </c>
      <c r="BQ169">
        <v>-0.50716554776907774</v>
      </c>
      <c r="BR169">
        <v>197.3796699301501</v>
      </c>
      <c r="BS169">
        <v>0.43822266536215643</v>
      </c>
      <c r="BT169">
        <v>197.3796699301501</v>
      </c>
      <c r="BU169">
        <v>197.3796699301501</v>
      </c>
      <c r="BV169">
        <v>0.43822266536215643</v>
      </c>
      <c r="BW169">
        <v>454.04398057132528</v>
      </c>
      <c r="BX169">
        <v>-0.29228920741423031</v>
      </c>
      <c r="BY169" t="str">
        <f t="shared" si="6"/>
        <v>[[sv,wv],[yr],[ya]]</v>
      </c>
      <c r="BZ169" t="str">
        <f>SUBSTITUTE(TRIM(MID(SUBSTITUTE(SUBSTITUTE(SUBSTITUTE(Tabla1[[#This Row],[map]],"[",""),"]",""),",",REPT(" ",100)),901,200))," ",", ")</f>
        <v>2, 3</v>
      </c>
      <c r="CA169" t="str">
        <f>SUBSTITUTE(TRIM(MID(SUBSTITUTE(SUBSTITUTE(SUBSTITUTE(Tabla1[[#This Row],[map]],"[",""),"]",""),",",REPT(" ",100)),1501,200))," ",", ")</f>
        <v>3, 2</v>
      </c>
      <c r="CB169" t="str">
        <f>SUBSTITUTE(TRIM(MID(SUBSTITUTE(SUBSTITUTE(SUBSTITUTE(Tabla1[[#This Row],[map]],"[",""),"]",""),",",REPT(" ",100)),601,300))," ",", ")</f>
        <v>0, 1, 4</v>
      </c>
      <c r="CC169" t="str">
        <f>SUBSTITUTE(TRIM(MID(SUBSTITUTE(SUBSTITUTE(SUBSTITUTE(Tabla1[[#This Row],[map]],"[",""),"]",""),",",REPT(" ",100)),1201,300))," ",", ")</f>
        <v>4, 0, 1</v>
      </c>
      <c r="CD169" t="str">
        <f>SUBSTITUTE(TRIM(MID(SUBSTITUTE(SUBSTITUTE(SUBSTITUTE(Tabla1[[#This Row],[map]],"[",""),"]",""),",",REPT(" ",100)),1,300))," ",", ")</f>
        <v>2, 3, 4</v>
      </c>
      <c r="CE169" t="str">
        <f>SUBSTITUTE(TRIM(MID(SUBSTITUTE(SUBSTITUTE(SUBSTITUTE(Tabla1[[#This Row],[map]],"[",""),"]",""),",",REPT(" ",100)),1,600))," ",", ")</f>
        <v>2, 3, 4, 0, 1, -1</v>
      </c>
      <c r="CF169" t="str">
        <f>SUBSTITUTE(TRIM(MID(SUBSTITUTE(SUBSTITUTE(SUBSTITUTE(Tabla1[[#This Row],[map]],"[",""),"]",""),",",REPT(" ",100)),601,600))," ",", ")</f>
        <v>0, 1, 4, 2, 3, -1</v>
      </c>
      <c r="CG169" t="str">
        <f>SUBSTITUTE(TRIM(MID(SUBSTITUTE(SUBSTITUTE(SUBSTITUTE(Tabla1[[#This Row],[map]],"[",""),"]",""),",",REPT(" ",100)),1201,600))," ",", ")</f>
        <v>4, 0, 1, 3, 2, -1</v>
      </c>
    </row>
    <row r="170" spans="1:85" x14ac:dyDescent="0.3">
      <c r="A170" s="1">
        <v>46099.053622685176</v>
      </c>
      <c r="B170" t="s">
        <v>340</v>
      </c>
      <c r="C170">
        <v>4</v>
      </c>
      <c r="D170" t="s">
        <v>77</v>
      </c>
      <c r="E170" t="s">
        <v>78</v>
      </c>
      <c r="F170">
        <v>16590</v>
      </c>
      <c r="G170">
        <v>4.5</v>
      </c>
      <c r="H170" t="s">
        <v>79</v>
      </c>
      <c r="I170" t="s">
        <v>80</v>
      </c>
      <c r="J170">
        <v>5</v>
      </c>
      <c r="K170">
        <v>5</v>
      </c>
      <c r="L170" t="s">
        <v>81</v>
      </c>
      <c r="M170" t="s">
        <v>82</v>
      </c>
      <c r="N170" t="s">
        <v>83</v>
      </c>
      <c r="O170" t="s">
        <v>83</v>
      </c>
      <c r="P170" t="s">
        <v>84</v>
      </c>
      <c r="Q170" t="s">
        <v>153</v>
      </c>
      <c r="R170">
        <v>3</v>
      </c>
      <c r="S170" t="s">
        <v>86</v>
      </c>
      <c r="T170" t="s">
        <v>87</v>
      </c>
      <c r="U170" t="s">
        <v>88</v>
      </c>
      <c r="V170">
        <v>1</v>
      </c>
      <c r="W170" t="s">
        <v>154</v>
      </c>
      <c r="X170" t="s">
        <v>83</v>
      </c>
      <c r="Y170" t="s">
        <v>90</v>
      </c>
      <c r="Z170">
        <v>4000</v>
      </c>
      <c r="AA170">
        <v>4000</v>
      </c>
      <c r="AC170">
        <v>256</v>
      </c>
      <c r="AD170" t="s">
        <v>91</v>
      </c>
      <c r="AE170">
        <v>0.15</v>
      </c>
      <c r="AF170" t="s">
        <v>92</v>
      </c>
      <c r="AG170">
        <v>180</v>
      </c>
      <c r="AH170">
        <v>60</v>
      </c>
      <c r="AI170">
        <v>120</v>
      </c>
      <c r="AJ170">
        <v>0.11148835316086381</v>
      </c>
      <c r="AK170">
        <v>37.848325641467021</v>
      </c>
      <c r="AL170">
        <v>0.725933265274742</v>
      </c>
      <c r="AM170">
        <v>-7.4746100009083688E-2</v>
      </c>
      <c r="AN170">
        <v>41.896744075085572</v>
      </c>
      <c r="AO170">
        <v>0.65724243249898073</v>
      </c>
      <c r="AP170">
        <v>41.896744075085572</v>
      </c>
      <c r="AQ170">
        <v>41.896744075085572</v>
      </c>
      <c r="AR170">
        <v>0.65724243249898073</v>
      </c>
      <c r="AS170">
        <v>123.9068751952377</v>
      </c>
      <c r="AT170">
        <v>-3.9875248476215763E-3</v>
      </c>
      <c r="AU170">
        <v>0.8</v>
      </c>
      <c r="AV170" t="s">
        <v>93</v>
      </c>
      <c r="AW170">
        <v>6.5570710214905917E-2</v>
      </c>
      <c r="AX170">
        <v>0.52387186363031635</v>
      </c>
      <c r="AY170">
        <v>6.5570710214905917E-2</v>
      </c>
      <c r="AZ170">
        <v>6.5570710214905917E-2</v>
      </c>
      <c r="BA170">
        <v>0.52387186363031635</v>
      </c>
      <c r="BB170">
        <v>0.1784585180984781</v>
      </c>
      <c r="BC170">
        <v>-0.29583958085920142</v>
      </c>
      <c r="BD170">
        <v>4.3340823206808619E-2</v>
      </c>
      <c r="BE170">
        <v>0.84983330440857952</v>
      </c>
      <c r="BF170">
        <v>4.3340823206808619E-2</v>
      </c>
      <c r="BG170">
        <v>4.3340823206808619E-2</v>
      </c>
      <c r="BH170">
        <v>0.84983330440857952</v>
      </c>
      <c r="BI170">
        <v>0.19693554489425649</v>
      </c>
      <c r="BJ170">
        <v>0.31766039883108321</v>
      </c>
      <c r="BK170">
        <v>6.6818095520100693E-2</v>
      </c>
      <c r="BL170">
        <v>0.73174648117768659</v>
      </c>
      <c r="BM170">
        <v>6.6818095520100693E-2</v>
      </c>
      <c r="BN170">
        <v>6.6818095520100693E-2</v>
      </c>
      <c r="BO170">
        <v>0.73174648117768659</v>
      </c>
      <c r="BP170">
        <v>0.1565856332329735</v>
      </c>
      <c r="BQ170">
        <v>0.37135821090367371</v>
      </c>
      <c r="BR170">
        <v>167.41124667139979</v>
      </c>
      <c r="BS170">
        <v>0.5235180807793437</v>
      </c>
      <c r="BT170">
        <v>167.41124667139979</v>
      </c>
      <c r="BU170">
        <v>167.41124667139979</v>
      </c>
      <c r="BV170">
        <v>0.5235180807793437</v>
      </c>
      <c r="BW170">
        <v>495.0955210847244</v>
      </c>
      <c r="BX170">
        <v>-0.40912912826603831</v>
      </c>
      <c r="BY170" t="str">
        <f t="shared" si="6"/>
        <v>[[sv,wv],[yr],[ya]]</v>
      </c>
      <c r="BZ170" t="str">
        <f>SUBSTITUTE(TRIM(MID(SUBSTITUTE(SUBSTITUTE(SUBSTITUTE(Tabla1[[#This Row],[map]],"[",""),"]",""),",",REPT(" ",100)),901,200))," ",", ")</f>
        <v>2, 4</v>
      </c>
      <c r="CA170" t="str">
        <f>SUBSTITUTE(TRIM(MID(SUBSTITUTE(SUBSTITUTE(SUBSTITUTE(Tabla1[[#This Row],[map]],"[",""),"]",""),",",REPT(" ",100)),1501,200))," ",", ")</f>
        <v>3, 2</v>
      </c>
      <c r="CB170" t="str">
        <f>SUBSTITUTE(TRIM(MID(SUBSTITUTE(SUBSTITUTE(SUBSTITUTE(Tabla1[[#This Row],[map]],"[",""),"]",""),",",REPT(" ",100)),601,300))," ",", ")</f>
        <v>0, 1, 3</v>
      </c>
      <c r="CC170" t="str">
        <f>SUBSTITUTE(TRIM(MID(SUBSTITUTE(SUBSTITUTE(SUBSTITUTE(Tabla1[[#This Row],[map]],"[",""),"]",""),",",REPT(" ",100)),1201,300))," ",", ")</f>
        <v>4, 0, 1</v>
      </c>
      <c r="CD170" t="str">
        <f>SUBSTITUTE(TRIM(MID(SUBSTITUTE(SUBSTITUTE(SUBSTITUTE(Tabla1[[#This Row],[map]],"[",""),"]",""),",",REPT(" ",100)),1,300))," ",", ")</f>
        <v>2, 3, 4</v>
      </c>
      <c r="CE170" t="str">
        <f>SUBSTITUTE(TRIM(MID(SUBSTITUTE(SUBSTITUTE(SUBSTITUTE(Tabla1[[#This Row],[map]],"[",""),"]",""),",",REPT(" ",100)),1,600))," ",", ")</f>
        <v>2, 3, 4, 0, 1, -1</v>
      </c>
      <c r="CF170" t="str">
        <f>SUBSTITUTE(TRIM(MID(SUBSTITUTE(SUBSTITUTE(SUBSTITUTE(Tabla1[[#This Row],[map]],"[",""),"]",""),",",REPT(" ",100)),601,600))," ",", ")</f>
        <v>0, 1, 3, 2, 4, -1</v>
      </c>
      <c r="CG170" t="str">
        <f>SUBSTITUTE(TRIM(MID(SUBSTITUTE(SUBSTITUTE(SUBSTITUTE(Tabla1[[#This Row],[map]],"[",""),"]",""),",",REPT(" ",100)),1201,600))," ",", ")</f>
        <v>4, 0, 1, 3, 2, -1</v>
      </c>
    </row>
    <row r="171" spans="1:85" x14ac:dyDescent="0.3">
      <c r="A171" s="1">
        <v>46099.067407407398</v>
      </c>
      <c r="B171" t="s">
        <v>341</v>
      </c>
      <c r="C171">
        <v>5</v>
      </c>
      <c r="D171" t="s">
        <v>77</v>
      </c>
      <c r="E171" t="s">
        <v>78</v>
      </c>
      <c r="F171">
        <v>16590</v>
      </c>
      <c r="G171">
        <v>4.5</v>
      </c>
      <c r="H171" t="s">
        <v>79</v>
      </c>
      <c r="I171" t="s">
        <v>80</v>
      </c>
      <c r="J171">
        <v>5</v>
      </c>
      <c r="K171">
        <v>5</v>
      </c>
      <c r="L171" t="s">
        <v>81</v>
      </c>
      <c r="M171" t="s">
        <v>82</v>
      </c>
      <c r="N171" t="s">
        <v>83</v>
      </c>
      <c r="O171" t="s">
        <v>83</v>
      </c>
      <c r="P171" t="s">
        <v>84</v>
      </c>
      <c r="Q171" t="s">
        <v>153</v>
      </c>
      <c r="R171">
        <v>3</v>
      </c>
      <c r="S171" t="s">
        <v>86</v>
      </c>
      <c r="T171" t="s">
        <v>87</v>
      </c>
      <c r="U171" t="s">
        <v>88</v>
      </c>
      <c r="V171">
        <v>1</v>
      </c>
      <c r="W171" t="s">
        <v>154</v>
      </c>
      <c r="X171" t="s">
        <v>83</v>
      </c>
      <c r="Y171" t="s">
        <v>90</v>
      </c>
      <c r="Z171">
        <v>4000</v>
      </c>
      <c r="AA171">
        <v>4000</v>
      </c>
      <c r="AC171">
        <v>256</v>
      </c>
      <c r="AD171" t="s">
        <v>91</v>
      </c>
      <c r="AE171">
        <v>0.15</v>
      </c>
      <c r="AF171" t="s">
        <v>92</v>
      </c>
      <c r="AG171">
        <v>180</v>
      </c>
      <c r="AH171">
        <v>60</v>
      </c>
      <c r="AI171">
        <v>120</v>
      </c>
      <c r="AJ171">
        <v>0.11557750855768011</v>
      </c>
      <c r="AK171">
        <v>45.07702980211468</v>
      </c>
      <c r="AL171">
        <v>0.69497794175569394</v>
      </c>
      <c r="AM171">
        <v>-2.0726689829899392E-3</v>
      </c>
      <c r="AN171">
        <v>49.248282667884958</v>
      </c>
      <c r="AO171">
        <v>0.63184466441352705</v>
      </c>
      <c r="AP171">
        <v>49.248282667884958</v>
      </c>
      <c r="AQ171">
        <v>49.248282667884958</v>
      </c>
      <c r="AR171">
        <v>0.63184466441352705</v>
      </c>
      <c r="AS171">
        <v>92.726273431421546</v>
      </c>
      <c r="AT171">
        <v>-2.9233468064278349E-3</v>
      </c>
      <c r="AU171">
        <v>0.8</v>
      </c>
      <c r="AV171" t="s">
        <v>93</v>
      </c>
      <c r="AW171">
        <v>6.4488599786496459E-2</v>
      </c>
      <c r="AX171">
        <v>0.53172938446448403</v>
      </c>
      <c r="AY171">
        <v>6.4488599786496459E-2</v>
      </c>
      <c r="AZ171">
        <v>6.4488599786496459E-2</v>
      </c>
      <c r="BA171">
        <v>0.53172938446448403</v>
      </c>
      <c r="BB171">
        <v>0.22858752280457589</v>
      </c>
      <c r="BC171">
        <v>-0.65984096974999407</v>
      </c>
      <c r="BD171">
        <v>6.5771268702588259E-2</v>
      </c>
      <c r="BE171">
        <v>0.77211660150535577</v>
      </c>
      <c r="BF171">
        <v>6.5771268702588259E-2</v>
      </c>
      <c r="BG171">
        <v>6.5771268702588259E-2</v>
      </c>
      <c r="BH171">
        <v>0.77211660150535577</v>
      </c>
      <c r="BI171">
        <v>0.19448094226214371</v>
      </c>
      <c r="BJ171">
        <v>0.32616507269238793</v>
      </c>
      <c r="BK171">
        <v>5.388077007589142E-2</v>
      </c>
      <c r="BL171">
        <v>0.78368575073550528</v>
      </c>
      <c r="BM171">
        <v>5.388077007589142E-2</v>
      </c>
      <c r="BN171">
        <v>5.388077007589142E-2</v>
      </c>
      <c r="BO171">
        <v>0.78368575073550528</v>
      </c>
      <c r="BP171">
        <v>0.1554301076373458</v>
      </c>
      <c r="BQ171">
        <v>0.37599728067517207</v>
      </c>
      <c r="BR171">
        <v>196.80899003297461</v>
      </c>
      <c r="BS171">
        <v>0.4398469209487631</v>
      </c>
      <c r="BT171">
        <v>196.80899003297461</v>
      </c>
      <c r="BU171">
        <v>196.80899003297461</v>
      </c>
      <c r="BV171">
        <v>0.4398469209487631</v>
      </c>
      <c r="BW171">
        <v>370.32659515298252</v>
      </c>
      <c r="BX171">
        <v>-5.4014770843284772E-2</v>
      </c>
      <c r="BY171" t="str">
        <f t="shared" si="6"/>
        <v>[[sv,wv],[yr],[ya]]</v>
      </c>
      <c r="BZ171" t="str">
        <f>SUBSTITUTE(TRIM(MID(SUBSTITUTE(SUBSTITUTE(SUBSTITUTE(Tabla1[[#This Row],[map]],"[",""),"]",""),",",REPT(" ",100)),901,200))," ",", ")</f>
        <v>2, 4</v>
      </c>
      <c r="CA171" t="str">
        <f>SUBSTITUTE(TRIM(MID(SUBSTITUTE(SUBSTITUTE(SUBSTITUTE(Tabla1[[#This Row],[map]],"[",""),"]",""),",",REPT(" ",100)),1501,200))," ",", ")</f>
        <v>3, 2</v>
      </c>
      <c r="CB171" t="str">
        <f>SUBSTITUTE(TRIM(MID(SUBSTITUTE(SUBSTITUTE(SUBSTITUTE(Tabla1[[#This Row],[map]],"[",""),"]",""),",",REPT(" ",100)),601,300))," ",", ")</f>
        <v>0, 1, 3</v>
      </c>
      <c r="CC171" t="str">
        <f>SUBSTITUTE(TRIM(MID(SUBSTITUTE(SUBSTITUTE(SUBSTITUTE(Tabla1[[#This Row],[map]],"[",""),"]",""),",",REPT(" ",100)),1201,300))," ",", ")</f>
        <v>4, 0, 1</v>
      </c>
      <c r="CD171" t="str">
        <f>SUBSTITUTE(TRIM(MID(SUBSTITUTE(SUBSTITUTE(SUBSTITUTE(Tabla1[[#This Row],[map]],"[",""),"]",""),",",REPT(" ",100)),1,300))," ",", ")</f>
        <v>2, 3, 4</v>
      </c>
      <c r="CE171" t="str">
        <f>SUBSTITUTE(TRIM(MID(SUBSTITUTE(SUBSTITUTE(SUBSTITUTE(Tabla1[[#This Row],[map]],"[",""),"]",""),",",REPT(" ",100)),1,600))," ",", ")</f>
        <v>2, 3, 4, 0, 1, -1</v>
      </c>
      <c r="CF171" t="str">
        <f>SUBSTITUTE(TRIM(MID(SUBSTITUTE(SUBSTITUTE(SUBSTITUTE(Tabla1[[#This Row],[map]],"[",""),"]",""),",",REPT(" ",100)),601,600))," ",", ")</f>
        <v>0, 1, 3, 2, 4, -1</v>
      </c>
      <c r="CG171" t="str">
        <f>SUBSTITUTE(TRIM(MID(SUBSTITUTE(SUBSTITUTE(SUBSTITUTE(Tabla1[[#This Row],[map]],"[",""),"]",""),",",REPT(" ",100)),1201,600))," ",", ")</f>
        <v>4, 0, 1, 3, 2, -1</v>
      </c>
    </row>
    <row r="172" spans="1:85" x14ac:dyDescent="0.3">
      <c r="A172" s="1">
        <v>46099.170925925922</v>
      </c>
      <c r="B172" t="s">
        <v>342</v>
      </c>
      <c r="C172">
        <v>7</v>
      </c>
      <c r="D172" t="s">
        <v>77</v>
      </c>
      <c r="E172" t="s">
        <v>78</v>
      </c>
      <c r="F172">
        <v>16590</v>
      </c>
      <c r="G172">
        <v>4.5</v>
      </c>
      <c r="H172" t="s">
        <v>79</v>
      </c>
      <c r="I172" t="s">
        <v>80</v>
      </c>
      <c r="J172">
        <v>5</v>
      </c>
      <c r="K172">
        <v>5</v>
      </c>
      <c r="L172" t="s">
        <v>81</v>
      </c>
      <c r="M172" t="s">
        <v>82</v>
      </c>
      <c r="N172" t="s">
        <v>83</v>
      </c>
      <c r="O172" t="s">
        <v>83</v>
      </c>
      <c r="P172" t="s">
        <v>84</v>
      </c>
      <c r="Q172" t="s">
        <v>123</v>
      </c>
      <c r="R172">
        <v>3</v>
      </c>
      <c r="S172" t="s">
        <v>86</v>
      </c>
      <c r="T172" t="s">
        <v>87</v>
      </c>
      <c r="U172" t="s">
        <v>88</v>
      </c>
      <c r="V172">
        <v>1</v>
      </c>
      <c r="W172" t="s">
        <v>124</v>
      </c>
      <c r="X172" t="s">
        <v>83</v>
      </c>
      <c r="Y172" t="s">
        <v>90</v>
      </c>
      <c r="Z172">
        <v>4000</v>
      </c>
      <c r="AA172">
        <v>4000</v>
      </c>
      <c r="AC172">
        <v>256</v>
      </c>
      <c r="AD172" t="s">
        <v>91</v>
      </c>
      <c r="AE172">
        <v>0.15</v>
      </c>
      <c r="AF172" t="s">
        <v>92</v>
      </c>
      <c r="AG172">
        <v>180</v>
      </c>
      <c r="AH172">
        <v>60</v>
      </c>
      <c r="AI172">
        <v>120</v>
      </c>
      <c r="AJ172">
        <v>0.1100771552916921</v>
      </c>
      <c r="AK172">
        <v>14.36825736943131</v>
      </c>
      <c r="AL172">
        <v>0.67061598229419528</v>
      </c>
      <c r="AM172">
        <v>-0.86042895811089481</v>
      </c>
      <c r="AN172">
        <v>18.84423292857819</v>
      </c>
      <c r="AO172">
        <v>0.61524606651762193</v>
      </c>
      <c r="AP172">
        <v>18.84423292857819</v>
      </c>
      <c r="AQ172">
        <v>18.84423292857819</v>
      </c>
      <c r="AR172">
        <v>0.61524606651762193</v>
      </c>
      <c r="AS172">
        <v>215.04433917603731</v>
      </c>
      <c r="AT172">
        <v>-0.84112015500224091</v>
      </c>
      <c r="AU172">
        <v>0.8</v>
      </c>
      <c r="AV172" t="s">
        <v>93</v>
      </c>
      <c r="AW172">
        <v>0.1044822238581143</v>
      </c>
      <c r="AX172">
        <v>0.24132396360691999</v>
      </c>
      <c r="AY172">
        <v>0.1044822238581143</v>
      </c>
      <c r="AZ172">
        <v>0.1044822238581143</v>
      </c>
      <c r="BA172">
        <v>0.24132396360691999</v>
      </c>
      <c r="BB172">
        <v>0.1680901469033852</v>
      </c>
      <c r="BC172">
        <v>-0.22055180010878869</v>
      </c>
      <c r="BD172">
        <v>8.6348802568492908E-2</v>
      </c>
      <c r="BE172">
        <v>0.70081984165105715</v>
      </c>
      <c r="BF172">
        <v>8.6348802568492908E-2</v>
      </c>
      <c r="BG172">
        <v>8.6348802568492908E-2</v>
      </c>
      <c r="BH172">
        <v>0.70081984165105715</v>
      </c>
      <c r="BI172">
        <v>0.71554376216678273</v>
      </c>
      <c r="BJ172">
        <v>-1.4792063086323439</v>
      </c>
      <c r="BK172">
        <v>6.65945820084691E-2</v>
      </c>
      <c r="BL172">
        <v>0.73264381722913796</v>
      </c>
      <c r="BM172">
        <v>6.65945820084691E-2</v>
      </c>
      <c r="BN172">
        <v>6.65945820084691E-2</v>
      </c>
      <c r="BO172">
        <v>0.73264381722913796</v>
      </c>
      <c r="BP172">
        <v>0.30385604939842398</v>
      </c>
      <c r="BQ172">
        <v>-0.21988592808745011</v>
      </c>
      <c r="BR172">
        <v>75.119506105877591</v>
      </c>
      <c r="BS172">
        <v>0.78619664358337771</v>
      </c>
      <c r="BT172">
        <v>75.119506105877591</v>
      </c>
      <c r="BU172">
        <v>75.119506105877591</v>
      </c>
      <c r="BV172">
        <v>0.78619664358337771</v>
      </c>
      <c r="BW172">
        <v>858.98986674568243</v>
      </c>
      <c r="BX172">
        <v>-1.4448365831804131</v>
      </c>
      <c r="BY172" t="str">
        <f t="shared" si="6"/>
        <v>[[sv,wv],[yr],[ya]]</v>
      </c>
      <c r="BZ172" t="str">
        <f>SUBSTITUTE(TRIM(MID(SUBSTITUTE(SUBSTITUTE(SUBSTITUTE(Tabla1[[#This Row],[map]],"[",""),"]",""),",",REPT(" ",100)),901,200))," ",", ")</f>
        <v>2, 3</v>
      </c>
      <c r="CA172" t="str">
        <f>SUBSTITUTE(TRIM(MID(SUBSTITUTE(SUBSTITUTE(SUBSTITUTE(Tabla1[[#This Row],[map]],"[",""),"]",""),",",REPT(" ",100)),1501,200))," ",", ")</f>
        <v>3, 4</v>
      </c>
      <c r="CB172" t="str">
        <f>SUBSTITUTE(TRIM(MID(SUBSTITUTE(SUBSTITUTE(SUBSTITUTE(Tabla1[[#This Row],[map]],"[",""),"]",""),",",REPT(" ",100)),601,300))," ",", ")</f>
        <v>0, 1, 4</v>
      </c>
      <c r="CC172" t="str">
        <f>SUBSTITUTE(TRIM(MID(SUBSTITUTE(SUBSTITUTE(SUBSTITUTE(Tabla1[[#This Row],[map]],"[",""),"]",""),",",REPT(" ",100)),1201,300))," ",", ")</f>
        <v>0, 1, 2</v>
      </c>
      <c r="CD172" t="str">
        <f>SUBSTITUTE(TRIM(MID(SUBSTITUTE(SUBSTITUTE(SUBSTITUTE(Tabla1[[#This Row],[map]],"[",""),"]",""),",",REPT(" ",100)),1,300))," ",", ")</f>
        <v>2, 3, 4</v>
      </c>
      <c r="CE172" t="str">
        <f>SUBSTITUTE(TRIM(MID(SUBSTITUTE(SUBSTITUTE(SUBSTITUTE(Tabla1[[#This Row],[map]],"[",""),"]",""),",",REPT(" ",100)),1,600))," ",", ")</f>
        <v>2, 3, 4, 0, 1, -1</v>
      </c>
      <c r="CF172" t="str">
        <f>SUBSTITUTE(TRIM(MID(SUBSTITUTE(SUBSTITUTE(SUBSTITUTE(Tabla1[[#This Row],[map]],"[",""),"]",""),",",REPT(" ",100)),601,600))," ",", ")</f>
        <v>0, 1, 4, 2, 3, -1</v>
      </c>
      <c r="CG172" t="str">
        <f>SUBSTITUTE(TRIM(MID(SUBSTITUTE(SUBSTITUTE(SUBSTITUTE(Tabla1[[#This Row],[map]],"[",""),"]",""),",",REPT(" ",100)),1201,600))," ",", ")</f>
        <v>0, 1, 2, 3, 4, -1</v>
      </c>
    </row>
    <row r="173" spans="1:85" x14ac:dyDescent="0.3">
      <c r="A173" s="1">
        <v>46099.182974537027</v>
      </c>
      <c r="B173" t="s">
        <v>343</v>
      </c>
      <c r="C173">
        <v>8</v>
      </c>
      <c r="D173" t="s">
        <v>96</v>
      </c>
      <c r="E173" t="s">
        <v>78</v>
      </c>
      <c r="F173">
        <v>16590</v>
      </c>
      <c r="G173">
        <v>4.5</v>
      </c>
      <c r="H173" t="s">
        <v>79</v>
      </c>
      <c r="I173" t="s">
        <v>80</v>
      </c>
      <c r="J173">
        <v>5</v>
      </c>
      <c r="K173">
        <v>5</v>
      </c>
      <c r="L173" t="s">
        <v>81</v>
      </c>
      <c r="M173" t="s">
        <v>82</v>
      </c>
      <c r="N173" t="s">
        <v>83</v>
      </c>
      <c r="O173" t="s">
        <v>83</v>
      </c>
      <c r="P173" t="s">
        <v>84</v>
      </c>
      <c r="Q173" t="s">
        <v>123</v>
      </c>
      <c r="R173">
        <v>3</v>
      </c>
      <c r="S173" t="s">
        <v>86</v>
      </c>
      <c r="T173" t="s">
        <v>87</v>
      </c>
      <c r="U173" t="s">
        <v>88</v>
      </c>
      <c r="V173">
        <v>1</v>
      </c>
      <c r="W173" t="s">
        <v>124</v>
      </c>
      <c r="X173" t="s">
        <v>83</v>
      </c>
      <c r="Y173" t="s">
        <v>90</v>
      </c>
      <c r="Z173">
        <v>4000</v>
      </c>
      <c r="AA173">
        <v>4000</v>
      </c>
      <c r="AC173">
        <v>256</v>
      </c>
      <c r="AD173" t="s">
        <v>91</v>
      </c>
      <c r="AE173">
        <v>0.15</v>
      </c>
      <c r="AF173" t="s">
        <v>92</v>
      </c>
      <c r="AG173">
        <v>180</v>
      </c>
      <c r="AH173">
        <v>60</v>
      </c>
      <c r="AI173">
        <v>120</v>
      </c>
      <c r="AJ173">
        <v>0.1190547642211213</v>
      </c>
      <c r="AK173">
        <v>17.646448705424412</v>
      </c>
      <c r="AL173">
        <v>0.70420677833923784</v>
      </c>
      <c r="AM173">
        <v>-0.74174196314527552</v>
      </c>
      <c r="AN173">
        <v>17.86483249257865</v>
      </c>
      <c r="AO173">
        <v>0.66678659077850899</v>
      </c>
      <c r="AP173">
        <v>17.86483249257865</v>
      </c>
      <c r="AQ173">
        <v>17.86483249257865</v>
      </c>
      <c r="AR173">
        <v>0.66678659077850899</v>
      </c>
      <c r="AS173">
        <v>130.07357823987559</v>
      </c>
      <c r="AT173">
        <v>-0.699494252951537</v>
      </c>
      <c r="AU173">
        <v>0.8</v>
      </c>
      <c r="AV173" t="s">
        <v>93</v>
      </c>
      <c r="AW173">
        <v>6.4385296144600701E-2</v>
      </c>
      <c r="AX173">
        <v>0.53247950247197284</v>
      </c>
      <c r="AY173">
        <v>6.4385296144600701E-2</v>
      </c>
      <c r="AZ173">
        <v>6.4385296144600701E-2</v>
      </c>
      <c r="BA173">
        <v>0.53247950247197284</v>
      </c>
      <c r="BB173">
        <v>0.18243273450781211</v>
      </c>
      <c r="BC173">
        <v>-0.32469753048799532</v>
      </c>
      <c r="BD173">
        <v>4.9653687914185098E-2</v>
      </c>
      <c r="BE173">
        <v>0.82796057651185828</v>
      </c>
      <c r="BF173">
        <v>4.9653687914185098E-2</v>
      </c>
      <c r="BG173">
        <v>4.9653687914185098E-2</v>
      </c>
      <c r="BH173">
        <v>0.82796057651185828</v>
      </c>
      <c r="BI173">
        <v>0.55379856751916157</v>
      </c>
      <c r="BJ173">
        <v>-0.91879375504225091</v>
      </c>
      <c r="BK173">
        <v>0.1221964843628658</v>
      </c>
      <c r="BL173">
        <v>0.50941976626386254</v>
      </c>
      <c r="BM173">
        <v>0.1221964843628658</v>
      </c>
      <c r="BN173">
        <v>0.1221964843628658</v>
      </c>
      <c r="BO173">
        <v>0.50941976626386254</v>
      </c>
      <c r="BP173">
        <v>0.51740177090450901</v>
      </c>
      <c r="BQ173">
        <v>-1.0772044550158979</v>
      </c>
      <c r="BR173">
        <v>71.223094501893144</v>
      </c>
      <c r="BS173">
        <v>0.79728651786634197</v>
      </c>
      <c r="BT173">
        <v>71.223094501893144</v>
      </c>
      <c r="BU173">
        <v>71.223094501893144</v>
      </c>
      <c r="BV173">
        <v>0.79728651786634197</v>
      </c>
      <c r="BW173">
        <v>519.04067988656971</v>
      </c>
      <c r="BX173">
        <v>-0.47728127126000031</v>
      </c>
      <c r="BY173" t="str">
        <f t="shared" si="6"/>
        <v>[[sv,wv],[yr],[ya]]</v>
      </c>
      <c r="BZ173" t="str">
        <f>SUBSTITUTE(TRIM(MID(SUBSTITUTE(SUBSTITUTE(SUBSTITUTE(Tabla1[[#This Row],[map]],"[",""),"]",""),",",REPT(" ",100)),901,200))," ",", ")</f>
        <v>2, 3</v>
      </c>
      <c r="CA173" t="str">
        <f>SUBSTITUTE(TRIM(MID(SUBSTITUTE(SUBSTITUTE(SUBSTITUTE(Tabla1[[#This Row],[map]],"[",""),"]",""),",",REPT(" ",100)),1501,200))," ",", ")</f>
        <v>3, 4</v>
      </c>
      <c r="CB173" t="str">
        <f>SUBSTITUTE(TRIM(MID(SUBSTITUTE(SUBSTITUTE(SUBSTITUTE(Tabla1[[#This Row],[map]],"[",""),"]",""),",",REPT(" ",100)),601,300))," ",", ")</f>
        <v>0, 1, 4</v>
      </c>
      <c r="CC173" t="str">
        <f>SUBSTITUTE(TRIM(MID(SUBSTITUTE(SUBSTITUTE(SUBSTITUTE(Tabla1[[#This Row],[map]],"[",""),"]",""),",",REPT(" ",100)),1201,300))," ",", ")</f>
        <v>0, 1, 2</v>
      </c>
      <c r="CD173" t="str">
        <f>SUBSTITUTE(TRIM(MID(SUBSTITUTE(SUBSTITUTE(SUBSTITUTE(Tabla1[[#This Row],[map]],"[",""),"]",""),",",REPT(" ",100)),1,300))," ",", ")</f>
        <v>2, 3, 4</v>
      </c>
      <c r="CE173" t="str">
        <f>SUBSTITUTE(TRIM(MID(SUBSTITUTE(SUBSTITUTE(SUBSTITUTE(Tabla1[[#This Row],[map]],"[",""),"]",""),",",REPT(" ",100)),1,600))," ",", ")</f>
        <v>2, 3, 4, 0, 1, -1</v>
      </c>
      <c r="CF173" t="str">
        <f>SUBSTITUTE(TRIM(MID(SUBSTITUTE(SUBSTITUTE(SUBSTITUTE(Tabla1[[#This Row],[map]],"[",""),"]",""),",",REPT(" ",100)),601,600))," ",", ")</f>
        <v>0, 1, 4, 2, 3, -1</v>
      </c>
      <c r="CG173" t="str">
        <f>SUBSTITUTE(TRIM(MID(SUBSTITUTE(SUBSTITUTE(SUBSTITUTE(Tabla1[[#This Row],[map]],"[",""),"]",""),",",REPT(" ",100)),1201,600))," ",", ")</f>
        <v>0, 1, 2, 3, 4, -1</v>
      </c>
    </row>
    <row r="174" spans="1:85" x14ac:dyDescent="0.3">
      <c r="A174" s="1">
        <v>46099.188136574077</v>
      </c>
      <c r="B174" t="s">
        <v>344</v>
      </c>
      <c r="C174">
        <v>6</v>
      </c>
      <c r="D174" t="s">
        <v>96</v>
      </c>
      <c r="E174" t="s">
        <v>78</v>
      </c>
      <c r="F174">
        <v>16590</v>
      </c>
      <c r="G174">
        <v>4.5</v>
      </c>
      <c r="H174" t="s">
        <v>79</v>
      </c>
      <c r="I174" t="s">
        <v>80</v>
      </c>
      <c r="J174">
        <v>5</v>
      </c>
      <c r="K174">
        <v>5</v>
      </c>
      <c r="L174" t="s">
        <v>81</v>
      </c>
      <c r="M174" t="s">
        <v>82</v>
      </c>
      <c r="N174" t="s">
        <v>83</v>
      </c>
      <c r="O174" t="s">
        <v>83</v>
      </c>
      <c r="P174" t="s">
        <v>84</v>
      </c>
      <c r="Q174" t="s">
        <v>123</v>
      </c>
      <c r="R174">
        <v>3</v>
      </c>
      <c r="S174" t="s">
        <v>86</v>
      </c>
      <c r="T174" t="s">
        <v>87</v>
      </c>
      <c r="U174" t="s">
        <v>88</v>
      </c>
      <c r="V174">
        <v>1</v>
      </c>
      <c r="W174" t="s">
        <v>124</v>
      </c>
      <c r="X174" t="s">
        <v>83</v>
      </c>
      <c r="Y174" t="s">
        <v>90</v>
      </c>
      <c r="Z174">
        <v>4000</v>
      </c>
      <c r="AA174">
        <v>4000</v>
      </c>
      <c r="AC174">
        <v>256</v>
      </c>
      <c r="AD174" t="s">
        <v>91</v>
      </c>
      <c r="AE174">
        <v>0.15</v>
      </c>
      <c r="AF174" t="s">
        <v>92</v>
      </c>
      <c r="AG174">
        <v>180</v>
      </c>
      <c r="AH174">
        <v>60</v>
      </c>
      <c r="AI174">
        <v>120</v>
      </c>
      <c r="AJ174">
        <v>0.11370554739301959</v>
      </c>
      <c r="AK174">
        <v>16.913918508838091</v>
      </c>
      <c r="AL174">
        <v>0.71853473824919911</v>
      </c>
      <c r="AM174">
        <v>-0.31270629248624221</v>
      </c>
      <c r="AN174">
        <v>17.945668943127661</v>
      </c>
      <c r="AO174">
        <v>0.66531062017973253</v>
      </c>
      <c r="AP174">
        <v>17.945668943127661</v>
      </c>
      <c r="AQ174">
        <v>17.945668943127661</v>
      </c>
      <c r="AR174">
        <v>0.66531062017973253</v>
      </c>
      <c r="AS174">
        <v>122.8891396785679</v>
      </c>
      <c r="AT174">
        <v>-0.22692693342653031</v>
      </c>
      <c r="AU174">
        <v>0.8</v>
      </c>
      <c r="AV174" t="s">
        <v>93</v>
      </c>
      <c r="AW174">
        <v>6.9796573111948243E-2</v>
      </c>
      <c r="AX174">
        <v>0.49318663513228539</v>
      </c>
      <c r="AY174">
        <v>6.9796573111948243E-2</v>
      </c>
      <c r="AZ174">
        <v>6.9796573111948243E-2</v>
      </c>
      <c r="BA174">
        <v>0.49318663513228539</v>
      </c>
      <c r="BB174">
        <v>0.15632397256406549</v>
      </c>
      <c r="BC174">
        <v>-0.13511416122978259</v>
      </c>
      <c r="BD174">
        <v>6.8525142230637617E-2</v>
      </c>
      <c r="BE174">
        <v>0.76257501790851046</v>
      </c>
      <c r="BF174">
        <v>6.8525142230637617E-2</v>
      </c>
      <c r="BG174">
        <v>6.8525142230637617E-2</v>
      </c>
      <c r="BH174">
        <v>0.76257501790851046</v>
      </c>
      <c r="BI174">
        <v>0.32070707453128933</v>
      </c>
      <c r="BJ174">
        <v>-0.11118151598905231</v>
      </c>
      <c r="BK174">
        <v>9.736354204535419E-2</v>
      </c>
      <c r="BL174">
        <v>0.609116174961714</v>
      </c>
      <c r="BM174">
        <v>9.736354204535419E-2</v>
      </c>
      <c r="BN174">
        <v>9.736354204535419E-2</v>
      </c>
      <c r="BO174">
        <v>0.609116174961714</v>
      </c>
      <c r="BP174">
        <v>0.31499609506956538</v>
      </c>
      <c r="BQ174">
        <v>-0.26460968783941707</v>
      </c>
      <c r="BR174">
        <v>71.546990515122843</v>
      </c>
      <c r="BS174">
        <v>0.79636465271641854</v>
      </c>
      <c r="BT174">
        <v>71.546990515122843</v>
      </c>
      <c r="BU174">
        <v>71.546990515122843</v>
      </c>
      <c r="BV174">
        <v>0.79636465271641854</v>
      </c>
      <c r="BW174">
        <v>490.76453157210813</v>
      </c>
      <c r="BX174">
        <v>-0.39680236864787188</v>
      </c>
      <c r="BY174" t="str">
        <f t="shared" si="6"/>
        <v>[[sv,wv],[yr],[ya]]</v>
      </c>
      <c r="BZ174" t="str">
        <f>SUBSTITUTE(TRIM(MID(SUBSTITUTE(SUBSTITUTE(SUBSTITUTE(Tabla1[[#This Row],[map]],"[",""),"]",""),",",REPT(" ",100)),901,200))," ",", ")</f>
        <v>2, 3</v>
      </c>
      <c r="CA174" t="str">
        <f>SUBSTITUTE(TRIM(MID(SUBSTITUTE(SUBSTITUTE(SUBSTITUTE(Tabla1[[#This Row],[map]],"[",""),"]",""),",",REPT(" ",100)),1501,200))," ",", ")</f>
        <v>3, 4</v>
      </c>
      <c r="CB174" t="str">
        <f>SUBSTITUTE(TRIM(MID(SUBSTITUTE(SUBSTITUTE(SUBSTITUTE(Tabla1[[#This Row],[map]],"[",""),"]",""),",",REPT(" ",100)),601,300))," ",", ")</f>
        <v>0, 1, 4</v>
      </c>
      <c r="CC174" t="str">
        <f>SUBSTITUTE(TRIM(MID(SUBSTITUTE(SUBSTITUTE(SUBSTITUTE(Tabla1[[#This Row],[map]],"[",""),"]",""),",",REPT(" ",100)),1201,300))," ",", ")</f>
        <v>0, 1, 2</v>
      </c>
      <c r="CD174" t="str">
        <f>SUBSTITUTE(TRIM(MID(SUBSTITUTE(SUBSTITUTE(SUBSTITUTE(Tabla1[[#This Row],[map]],"[",""),"]",""),",",REPT(" ",100)),1,300))," ",", ")</f>
        <v>2, 3, 4</v>
      </c>
      <c r="CE174" t="str">
        <f>SUBSTITUTE(TRIM(MID(SUBSTITUTE(SUBSTITUTE(SUBSTITUTE(Tabla1[[#This Row],[map]],"[",""),"]",""),",",REPT(" ",100)),1,600))," ",", ")</f>
        <v>2, 3, 4, 0, 1, -1</v>
      </c>
      <c r="CF174" t="str">
        <f>SUBSTITUTE(TRIM(MID(SUBSTITUTE(SUBSTITUTE(SUBSTITUTE(Tabla1[[#This Row],[map]],"[",""),"]",""),",",REPT(" ",100)),601,600))," ",", ")</f>
        <v>0, 1, 4, 2, 3, -1</v>
      </c>
      <c r="CG174" t="str">
        <f>SUBSTITUTE(TRIM(MID(SUBSTITUTE(SUBSTITUTE(SUBSTITUTE(Tabla1[[#This Row],[map]],"[",""),"]",""),",",REPT(" ",100)),1201,600))," ",", ")</f>
        <v>0, 1, 2, 3, 4, -1</v>
      </c>
    </row>
    <row r="175" spans="1:85" x14ac:dyDescent="0.3">
      <c r="A175" s="1">
        <v>46099.189467592587</v>
      </c>
      <c r="B175" t="s">
        <v>345</v>
      </c>
      <c r="C175">
        <v>9</v>
      </c>
      <c r="D175" t="s">
        <v>96</v>
      </c>
      <c r="E175" t="s">
        <v>78</v>
      </c>
      <c r="F175">
        <v>16590</v>
      </c>
      <c r="G175">
        <v>4.5</v>
      </c>
      <c r="H175" t="s">
        <v>79</v>
      </c>
      <c r="I175" t="s">
        <v>80</v>
      </c>
      <c r="J175">
        <v>5</v>
      </c>
      <c r="K175">
        <v>5</v>
      </c>
      <c r="L175" t="s">
        <v>81</v>
      </c>
      <c r="M175" t="s">
        <v>82</v>
      </c>
      <c r="N175" t="s">
        <v>83</v>
      </c>
      <c r="O175" t="s">
        <v>83</v>
      </c>
      <c r="P175" t="s">
        <v>84</v>
      </c>
      <c r="Q175" t="s">
        <v>123</v>
      </c>
      <c r="R175">
        <v>3</v>
      </c>
      <c r="S175" t="s">
        <v>86</v>
      </c>
      <c r="T175" t="s">
        <v>87</v>
      </c>
      <c r="U175" t="s">
        <v>88</v>
      </c>
      <c r="V175">
        <v>1</v>
      </c>
      <c r="W175" t="s">
        <v>124</v>
      </c>
      <c r="X175" t="s">
        <v>83</v>
      </c>
      <c r="Y175" t="s">
        <v>90</v>
      </c>
      <c r="Z175">
        <v>4000</v>
      </c>
      <c r="AA175">
        <v>4000</v>
      </c>
      <c r="AC175">
        <v>256</v>
      </c>
      <c r="AD175" t="s">
        <v>91</v>
      </c>
      <c r="AE175">
        <v>0.15</v>
      </c>
      <c r="AF175" t="s">
        <v>92</v>
      </c>
      <c r="AG175">
        <v>180</v>
      </c>
      <c r="AH175">
        <v>60</v>
      </c>
      <c r="AI175">
        <v>120</v>
      </c>
      <c r="AJ175">
        <v>0.1101240742837612</v>
      </c>
      <c r="AK175">
        <v>16.860152111381051</v>
      </c>
      <c r="AL175">
        <v>0.77495232016084359</v>
      </c>
      <c r="AM175">
        <v>-0.33019510394287938</v>
      </c>
      <c r="AN175">
        <v>18.936324951764771</v>
      </c>
      <c r="AO175">
        <v>0.73043622079992654</v>
      </c>
      <c r="AP175">
        <v>18.936324951764771</v>
      </c>
      <c r="AQ175">
        <v>18.936324951764771</v>
      </c>
      <c r="AR175">
        <v>0.73043622079992654</v>
      </c>
      <c r="AS175">
        <v>112.86897035362649</v>
      </c>
      <c r="AT175">
        <v>-0.29214245342922929</v>
      </c>
      <c r="AU175">
        <v>0.8</v>
      </c>
      <c r="AV175" t="s">
        <v>93</v>
      </c>
      <c r="AW175">
        <v>5.3690108514104752E-2</v>
      </c>
      <c r="AX175">
        <v>0.61014039310351165</v>
      </c>
      <c r="AY175">
        <v>5.3690108514104752E-2</v>
      </c>
      <c r="AZ175">
        <v>5.3690108514104752E-2</v>
      </c>
      <c r="BA175">
        <v>0.61014039310351165</v>
      </c>
      <c r="BB175">
        <v>0.16406535677929401</v>
      </c>
      <c r="BC175">
        <v>-0.19132661992114081</v>
      </c>
      <c r="BD175">
        <v>4.7013381463391533E-2</v>
      </c>
      <c r="BE175">
        <v>0.83710867444189707</v>
      </c>
      <c r="BF175">
        <v>4.7013381463391533E-2</v>
      </c>
      <c r="BG175">
        <v>4.7013381463391533E-2</v>
      </c>
      <c r="BH175">
        <v>0.83710867444189707</v>
      </c>
      <c r="BI175">
        <v>0.37564759703208128</v>
      </c>
      <c r="BJ175">
        <v>-0.30153869214702528</v>
      </c>
      <c r="BK175">
        <v>7.732275470739966E-2</v>
      </c>
      <c r="BL175">
        <v>0.68957359718439193</v>
      </c>
      <c r="BM175">
        <v>7.732275470739966E-2</v>
      </c>
      <c r="BN175">
        <v>7.732275470739966E-2</v>
      </c>
      <c r="BO175">
        <v>0.68957359718439193</v>
      </c>
      <c r="BP175">
        <v>0.34703815091577173</v>
      </c>
      <c r="BQ175">
        <v>-0.39324840709863618</v>
      </c>
      <c r="BR175">
        <v>75.567273562373785</v>
      </c>
      <c r="BS175">
        <v>0.78492221846990473</v>
      </c>
      <c r="BT175">
        <v>75.567273562373785</v>
      </c>
      <c r="BU175">
        <v>75.567273562373785</v>
      </c>
      <c r="BV175">
        <v>0.78492221846990473</v>
      </c>
      <c r="BW175">
        <v>450.58913030977988</v>
      </c>
      <c r="BX175">
        <v>-0.28245609455012038</v>
      </c>
      <c r="BY175" t="str">
        <f t="shared" si="6"/>
        <v>[[sv,wv],[yr],[ya]]</v>
      </c>
      <c r="BZ175" t="str">
        <f>SUBSTITUTE(TRIM(MID(SUBSTITUTE(SUBSTITUTE(SUBSTITUTE(Tabla1[[#This Row],[map]],"[",""),"]",""),",",REPT(" ",100)),901,200))," ",", ")</f>
        <v>2, 3</v>
      </c>
      <c r="CA175" t="str">
        <f>SUBSTITUTE(TRIM(MID(SUBSTITUTE(SUBSTITUTE(SUBSTITUTE(Tabla1[[#This Row],[map]],"[",""),"]",""),",",REPT(" ",100)),1501,200))," ",", ")</f>
        <v>3, 4</v>
      </c>
      <c r="CB175" t="str">
        <f>SUBSTITUTE(TRIM(MID(SUBSTITUTE(SUBSTITUTE(SUBSTITUTE(Tabla1[[#This Row],[map]],"[",""),"]",""),",",REPT(" ",100)),601,300))," ",", ")</f>
        <v>0, 1, 4</v>
      </c>
      <c r="CC175" t="str">
        <f>SUBSTITUTE(TRIM(MID(SUBSTITUTE(SUBSTITUTE(SUBSTITUTE(Tabla1[[#This Row],[map]],"[",""),"]",""),",",REPT(" ",100)),1201,300))," ",", ")</f>
        <v>0, 1, 2</v>
      </c>
      <c r="CD175" t="str">
        <f>SUBSTITUTE(TRIM(MID(SUBSTITUTE(SUBSTITUTE(SUBSTITUTE(Tabla1[[#This Row],[map]],"[",""),"]",""),",",REPT(" ",100)),1,300))," ",", ")</f>
        <v>2, 3, 4</v>
      </c>
      <c r="CE175" t="str">
        <f>SUBSTITUTE(TRIM(MID(SUBSTITUTE(SUBSTITUTE(SUBSTITUTE(Tabla1[[#This Row],[map]],"[",""),"]",""),",",REPT(" ",100)),1,600))," ",", ")</f>
        <v>2, 3, 4, 0, 1, -1</v>
      </c>
      <c r="CF175" t="str">
        <f>SUBSTITUTE(TRIM(MID(SUBSTITUTE(SUBSTITUTE(SUBSTITUTE(Tabla1[[#This Row],[map]],"[",""),"]",""),",",REPT(" ",100)),601,600))," ",", ")</f>
        <v>0, 1, 4, 2, 3, -1</v>
      </c>
      <c r="CG175" t="str">
        <f>SUBSTITUTE(TRIM(MID(SUBSTITUTE(SUBSTITUTE(SUBSTITUTE(Tabla1[[#This Row],[map]],"[",""),"]",""),",",REPT(" ",100)),1201,600))," ",", ")</f>
        <v>0, 1, 2, 3, 4, -1</v>
      </c>
    </row>
    <row r="176" spans="1:85" x14ac:dyDescent="0.3">
      <c r="A176" s="1">
        <v>46099.196620370371</v>
      </c>
      <c r="B176" t="s">
        <v>346</v>
      </c>
      <c r="C176">
        <v>4</v>
      </c>
      <c r="D176" t="s">
        <v>96</v>
      </c>
      <c r="E176" t="s">
        <v>78</v>
      </c>
      <c r="F176">
        <v>16590</v>
      </c>
      <c r="G176">
        <v>4.5</v>
      </c>
      <c r="H176" t="s">
        <v>79</v>
      </c>
      <c r="I176" t="s">
        <v>80</v>
      </c>
      <c r="J176">
        <v>5</v>
      </c>
      <c r="K176">
        <v>5</v>
      </c>
      <c r="L176" t="s">
        <v>81</v>
      </c>
      <c r="M176" t="s">
        <v>82</v>
      </c>
      <c r="N176" t="s">
        <v>83</v>
      </c>
      <c r="O176" t="s">
        <v>83</v>
      </c>
      <c r="P176" t="s">
        <v>84</v>
      </c>
      <c r="Q176" t="s">
        <v>159</v>
      </c>
      <c r="R176">
        <v>3</v>
      </c>
      <c r="S176" t="s">
        <v>86</v>
      </c>
      <c r="T176" t="s">
        <v>87</v>
      </c>
      <c r="U176" t="s">
        <v>88</v>
      </c>
      <c r="V176">
        <v>1</v>
      </c>
      <c r="W176" t="s">
        <v>160</v>
      </c>
      <c r="X176" t="s">
        <v>83</v>
      </c>
      <c r="Y176" t="s">
        <v>90</v>
      </c>
      <c r="Z176">
        <v>4000</v>
      </c>
      <c r="AA176">
        <v>4000</v>
      </c>
      <c r="AC176">
        <v>256</v>
      </c>
      <c r="AD176" t="s">
        <v>91</v>
      </c>
      <c r="AE176">
        <v>0.15</v>
      </c>
      <c r="AF176" t="s">
        <v>92</v>
      </c>
      <c r="AG176">
        <v>180</v>
      </c>
      <c r="AH176">
        <v>60</v>
      </c>
      <c r="AI176">
        <v>120</v>
      </c>
      <c r="AJ176">
        <v>9.6896835393783062E-2</v>
      </c>
      <c r="AK176">
        <v>13.10958185951942</v>
      </c>
      <c r="AL176">
        <v>0.81120476487454107</v>
      </c>
      <c r="AM176">
        <v>6.6062281831614111E-2</v>
      </c>
      <c r="AN176">
        <v>14.41362533146442</v>
      </c>
      <c r="AO176">
        <v>0.74352780134248597</v>
      </c>
      <c r="AP176">
        <v>14.41362533146442</v>
      </c>
      <c r="AQ176">
        <v>14.41362533146442</v>
      </c>
      <c r="AR176">
        <v>0.74352780134248597</v>
      </c>
      <c r="AS176">
        <v>74.801629157926371</v>
      </c>
      <c r="AT176">
        <v>2.725369669030614E-3</v>
      </c>
      <c r="AU176">
        <v>0.8</v>
      </c>
      <c r="AV176" t="s">
        <v>93</v>
      </c>
      <c r="AW176">
        <v>6.2867850535646516E-2</v>
      </c>
      <c r="AX176">
        <v>0.54349811958723282</v>
      </c>
      <c r="AY176">
        <v>6.2867850535646516E-2</v>
      </c>
      <c r="AZ176">
        <v>6.2867850535646516E-2</v>
      </c>
      <c r="BA176">
        <v>0.54349811958723282</v>
      </c>
      <c r="BB176">
        <v>0.2269594240968798</v>
      </c>
      <c r="BC176">
        <v>-0.64801886806799924</v>
      </c>
      <c r="BD176">
        <v>4.2240042788924313E-2</v>
      </c>
      <c r="BE176">
        <v>0.85364727344965352</v>
      </c>
      <c r="BF176">
        <v>4.2240042788924313E-2</v>
      </c>
      <c r="BG176">
        <v>4.2240042788924313E-2</v>
      </c>
      <c r="BH176">
        <v>0.85364727344965352</v>
      </c>
      <c r="BI176">
        <v>0.21185379350651029</v>
      </c>
      <c r="BJ176">
        <v>0.26597185365916037</v>
      </c>
      <c r="BK176">
        <v>6.4618386901778527E-2</v>
      </c>
      <c r="BL176">
        <v>0.74057761550822399</v>
      </c>
      <c r="BM176">
        <v>6.4618386901778527E-2</v>
      </c>
      <c r="BN176">
        <v>6.4618386901778527E-2</v>
      </c>
      <c r="BO176">
        <v>0.74057761550822399</v>
      </c>
      <c r="BP176">
        <v>0.1886182957862314</v>
      </c>
      <c r="BQ176">
        <v>0.24275720274452589</v>
      </c>
      <c r="BR176">
        <v>57.484775045631231</v>
      </c>
      <c r="BS176">
        <v>0.83638819682483501</v>
      </c>
      <c r="BT176">
        <v>57.484775045631231</v>
      </c>
      <c r="BU176">
        <v>57.484775045631231</v>
      </c>
      <c r="BV176">
        <v>0.83638819682483501</v>
      </c>
      <c r="BW176">
        <v>298.57908511831607</v>
      </c>
      <c r="BX176">
        <v>0.15019129034042589</v>
      </c>
      <c r="BY176" t="str">
        <f t="shared" si="6"/>
        <v>[[sv,wv],[yr],[ya]]</v>
      </c>
      <c r="BZ176" t="str">
        <f>SUBSTITUTE(TRIM(MID(SUBSTITUTE(SUBSTITUTE(SUBSTITUTE(Tabla1[[#This Row],[map]],"[",""),"]",""),",",REPT(" ",100)),901,200))," ",", ")</f>
        <v>2, 4</v>
      </c>
      <c r="CA176" t="str">
        <f>SUBSTITUTE(TRIM(MID(SUBSTITUTE(SUBSTITUTE(SUBSTITUTE(Tabla1[[#This Row],[map]],"[",""),"]",""),",",REPT(" ",100)),1501,200))," ",", ")</f>
        <v>3, 4</v>
      </c>
      <c r="CB176" t="str">
        <f>SUBSTITUTE(TRIM(MID(SUBSTITUTE(SUBSTITUTE(SUBSTITUTE(Tabla1[[#This Row],[map]],"[",""),"]",""),",",REPT(" ",100)),601,300))," ",", ")</f>
        <v>0, 1, 3</v>
      </c>
      <c r="CC176" t="str">
        <f>SUBSTITUTE(TRIM(MID(SUBSTITUTE(SUBSTITUTE(SUBSTITUTE(Tabla1[[#This Row],[map]],"[",""),"]",""),",",REPT(" ",100)),1201,300))," ",", ")</f>
        <v>0, 1, 2</v>
      </c>
      <c r="CD176" t="str">
        <f>SUBSTITUTE(TRIM(MID(SUBSTITUTE(SUBSTITUTE(SUBSTITUTE(Tabla1[[#This Row],[map]],"[",""),"]",""),",",REPT(" ",100)),1,300))," ",", ")</f>
        <v>2, 3, 4</v>
      </c>
      <c r="CE176" t="str">
        <f>SUBSTITUTE(TRIM(MID(SUBSTITUTE(SUBSTITUTE(SUBSTITUTE(Tabla1[[#This Row],[map]],"[",""),"]",""),",",REPT(" ",100)),1,600))," ",", ")</f>
        <v>2, 3, 4, 0, 1, -1</v>
      </c>
      <c r="CF176" t="str">
        <f>SUBSTITUTE(TRIM(MID(SUBSTITUTE(SUBSTITUTE(SUBSTITUTE(Tabla1[[#This Row],[map]],"[",""),"]",""),",",REPT(" ",100)),601,600))," ",", ")</f>
        <v>0, 1, 3, 2, 4, -1</v>
      </c>
      <c r="CG176" t="str">
        <f>SUBSTITUTE(TRIM(MID(SUBSTITUTE(SUBSTITUTE(SUBSTITUTE(Tabla1[[#This Row],[map]],"[",""),"]",""),",",REPT(" ",100)),1201,600))," ",", ")</f>
        <v>0, 1, 2, 3, 4, -1</v>
      </c>
    </row>
    <row r="177" spans="1:85" x14ac:dyDescent="0.3">
      <c r="A177" s="1">
        <v>46099.211793981478</v>
      </c>
      <c r="B177" t="s">
        <v>347</v>
      </c>
      <c r="C177">
        <v>5</v>
      </c>
      <c r="D177" t="s">
        <v>77</v>
      </c>
      <c r="E177" t="s">
        <v>78</v>
      </c>
      <c r="F177">
        <v>16590</v>
      </c>
      <c r="G177">
        <v>4.5</v>
      </c>
      <c r="H177" t="s">
        <v>79</v>
      </c>
      <c r="I177" t="s">
        <v>80</v>
      </c>
      <c r="J177">
        <v>5</v>
      </c>
      <c r="K177">
        <v>5</v>
      </c>
      <c r="L177" t="s">
        <v>81</v>
      </c>
      <c r="M177" t="s">
        <v>82</v>
      </c>
      <c r="N177" t="s">
        <v>83</v>
      </c>
      <c r="O177" t="s">
        <v>83</v>
      </c>
      <c r="P177" t="s">
        <v>84</v>
      </c>
      <c r="Q177" t="s">
        <v>159</v>
      </c>
      <c r="R177">
        <v>3</v>
      </c>
      <c r="S177" t="s">
        <v>86</v>
      </c>
      <c r="T177" t="s">
        <v>87</v>
      </c>
      <c r="U177" t="s">
        <v>88</v>
      </c>
      <c r="V177">
        <v>1</v>
      </c>
      <c r="W177" t="s">
        <v>160</v>
      </c>
      <c r="X177" t="s">
        <v>83</v>
      </c>
      <c r="Y177" t="s">
        <v>90</v>
      </c>
      <c r="Z177">
        <v>4000</v>
      </c>
      <c r="AA177">
        <v>4000</v>
      </c>
      <c r="AC177">
        <v>256</v>
      </c>
      <c r="AD177" t="s">
        <v>91</v>
      </c>
      <c r="AE177">
        <v>0.15</v>
      </c>
      <c r="AF177" t="s">
        <v>92</v>
      </c>
      <c r="AG177">
        <v>180</v>
      </c>
      <c r="AH177">
        <v>60</v>
      </c>
      <c r="AI177">
        <v>120</v>
      </c>
      <c r="AJ177">
        <v>9.2570421594006788E-2</v>
      </c>
      <c r="AK177">
        <v>18.560132675206852</v>
      </c>
      <c r="AL177">
        <v>0.79073148579012054</v>
      </c>
      <c r="AM177">
        <v>5.5867906880678643E-2</v>
      </c>
      <c r="AN177">
        <v>19.61493612760999</v>
      </c>
      <c r="AO177">
        <v>0.73359601067954772</v>
      </c>
      <c r="AP177">
        <v>19.61493612760999</v>
      </c>
      <c r="AQ177">
        <v>19.61493612760999</v>
      </c>
      <c r="AR177">
        <v>0.73359601067954772</v>
      </c>
      <c r="AS177">
        <v>102.0463192159344</v>
      </c>
      <c r="AT177">
        <v>4.0175248431559294E-3</v>
      </c>
      <c r="AU177">
        <v>0.8</v>
      </c>
      <c r="AV177" t="s">
        <v>93</v>
      </c>
      <c r="AW177">
        <v>6.009010870910074E-2</v>
      </c>
      <c r="AX177">
        <v>0.5636681167529598</v>
      </c>
      <c r="AY177">
        <v>6.009010870910074E-2</v>
      </c>
      <c r="AZ177">
        <v>6.009010870910074E-2</v>
      </c>
      <c r="BA177">
        <v>0.5636681167529598</v>
      </c>
      <c r="BB177">
        <v>0.19655795585238309</v>
      </c>
      <c r="BC177">
        <v>-0.42726490077508789</v>
      </c>
      <c r="BD177">
        <v>5.4048016425746422E-2</v>
      </c>
      <c r="BE177">
        <v>0.81273516676881807</v>
      </c>
      <c r="BF177">
        <v>5.4048016425746422E-2</v>
      </c>
      <c r="BG177">
        <v>5.4048016425746422E-2</v>
      </c>
      <c r="BH177">
        <v>0.81273516676881807</v>
      </c>
      <c r="BI177">
        <v>0.2031020834670543</v>
      </c>
      <c r="BJ177">
        <v>0.29629465973804708</v>
      </c>
      <c r="BK177">
        <v>5.45968856178412E-2</v>
      </c>
      <c r="BL177">
        <v>0.78081077334328697</v>
      </c>
      <c r="BM177">
        <v>5.45968856178412E-2</v>
      </c>
      <c r="BN177">
        <v>5.45968856178412E-2</v>
      </c>
      <c r="BO177">
        <v>0.78081077334328697</v>
      </c>
      <c r="BP177">
        <v>0.17257177192312709</v>
      </c>
      <c r="BQ177">
        <v>0.30717892050882573</v>
      </c>
      <c r="BR177">
        <v>78.29100949968759</v>
      </c>
      <c r="BS177">
        <v>0.77716998585312635</v>
      </c>
      <c r="BT177">
        <v>78.29100949968759</v>
      </c>
      <c r="BU177">
        <v>78.29100949968759</v>
      </c>
      <c r="BV177">
        <v>0.77716998585312635</v>
      </c>
      <c r="BW177">
        <v>407.61304505249552</v>
      </c>
      <c r="BX177">
        <v>-0.16013858009916501</v>
      </c>
      <c r="BY177" t="str">
        <f t="shared" si="6"/>
        <v>[[sv,wv],[yr],[ya]]</v>
      </c>
      <c r="BZ177" t="str">
        <f>SUBSTITUTE(TRIM(MID(SUBSTITUTE(SUBSTITUTE(SUBSTITUTE(Tabla1[[#This Row],[map]],"[",""),"]",""),",",REPT(" ",100)),901,200))," ",", ")</f>
        <v>2, 4</v>
      </c>
      <c r="CA177" t="str">
        <f>SUBSTITUTE(TRIM(MID(SUBSTITUTE(SUBSTITUTE(SUBSTITUTE(Tabla1[[#This Row],[map]],"[",""),"]",""),",",REPT(" ",100)),1501,200))," ",", ")</f>
        <v>3, 4</v>
      </c>
      <c r="CB177" t="str">
        <f>SUBSTITUTE(TRIM(MID(SUBSTITUTE(SUBSTITUTE(SUBSTITUTE(Tabla1[[#This Row],[map]],"[",""),"]",""),",",REPT(" ",100)),601,300))," ",", ")</f>
        <v>0, 1, 3</v>
      </c>
      <c r="CC177" t="str">
        <f>SUBSTITUTE(TRIM(MID(SUBSTITUTE(SUBSTITUTE(SUBSTITUTE(Tabla1[[#This Row],[map]],"[",""),"]",""),",",REPT(" ",100)),1201,300))," ",", ")</f>
        <v>0, 1, 2</v>
      </c>
      <c r="CD177" t="str">
        <f>SUBSTITUTE(TRIM(MID(SUBSTITUTE(SUBSTITUTE(SUBSTITUTE(Tabla1[[#This Row],[map]],"[",""),"]",""),",",REPT(" ",100)),1,300))," ",", ")</f>
        <v>2, 3, 4</v>
      </c>
      <c r="CE177" t="str">
        <f>SUBSTITUTE(TRIM(MID(SUBSTITUTE(SUBSTITUTE(SUBSTITUTE(Tabla1[[#This Row],[map]],"[",""),"]",""),",",REPT(" ",100)),1,600))," ",", ")</f>
        <v>2, 3, 4, 0, 1, -1</v>
      </c>
      <c r="CF177" t="str">
        <f>SUBSTITUTE(TRIM(MID(SUBSTITUTE(SUBSTITUTE(SUBSTITUTE(Tabla1[[#This Row],[map]],"[",""),"]",""),",",REPT(" ",100)),601,600))," ",", ")</f>
        <v>0, 1, 3, 2, 4, -1</v>
      </c>
      <c r="CG177" t="str">
        <f>SUBSTITUTE(TRIM(MID(SUBSTITUTE(SUBSTITUTE(SUBSTITUTE(Tabla1[[#This Row],[map]],"[",""),"]",""),",",REPT(" ",100)),1201,600))," ",", ")</f>
        <v>0, 1, 2, 3, 4, -1</v>
      </c>
    </row>
    <row r="178" spans="1:85" x14ac:dyDescent="0.3">
      <c r="A178" s="1">
        <v>46099.298877314817</v>
      </c>
      <c r="B178" t="s">
        <v>365</v>
      </c>
      <c r="C178">
        <v>7</v>
      </c>
      <c r="D178" t="s">
        <v>96</v>
      </c>
      <c r="E178" t="s">
        <v>78</v>
      </c>
      <c r="F178">
        <v>16590</v>
      </c>
      <c r="G178">
        <v>4.5</v>
      </c>
      <c r="H178" t="s">
        <v>79</v>
      </c>
      <c r="I178" t="s">
        <v>80</v>
      </c>
      <c r="J178">
        <v>5</v>
      </c>
      <c r="K178">
        <v>5</v>
      </c>
      <c r="L178" t="s">
        <v>81</v>
      </c>
      <c r="M178" t="s">
        <v>82</v>
      </c>
      <c r="N178" t="s">
        <v>83</v>
      </c>
      <c r="O178" t="s">
        <v>83</v>
      </c>
      <c r="P178" t="s">
        <v>84</v>
      </c>
      <c r="Q178" t="s">
        <v>129</v>
      </c>
      <c r="R178">
        <v>3</v>
      </c>
      <c r="S178" t="s">
        <v>86</v>
      </c>
      <c r="T178" t="s">
        <v>87</v>
      </c>
      <c r="U178" t="s">
        <v>88</v>
      </c>
      <c r="V178">
        <v>1</v>
      </c>
      <c r="W178" t="s">
        <v>130</v>
      </c>
      <c r="X178" t="s">
        <v>83</v>
      </c>
      <c r="Y178" t="s">
        <v>90</v>
      </c>
      <c r="Z178">
        <v>4000</v>
      </c>
      <c r="AA178">
        <v>4000</v>
      </c>
      <c r="AC178">
        <v>256</v>
      </c>
      <c r="AD178" t="s">
        <v>91</v>
      </c>
      <c r="AE178">
        <v>0.15</v>
      </c>
      <c r="AF178" t="s">
        <v>92</v>
      </c>
      <c r="AG178">
        <v>180</v>
      </c>
      <c r="AH178">
        <v>60</v>
      </c>
      <c r="AI178">
        <v>120</v>
      </c>
      <c r="AJ178">
        <v>9.8403872369857107E-2</v>
      </c>
      <c r="AK178">
        <v>12.98577910480663</v>
      </c>
      <c r="AL178">
        <v>0.76054654442530278</v>
      </c>
      <c r="AM178">
        <v>-0.1341731146008654</v>
      </c>
      <c r="AN178">
        <v>16.309342793525751</v>
      </c>
      <c r="AO178">
        <v>0.72286987223752419</v>
      </c>
      <c r="AP178">
        <v>16.309342793525751</v>
      </c>
      <c r="AQ178">
        <v>16.309342793525751</v>
      </c>
      <c r="AR178">
        <v>0.72286987223752419</v>
      </c>
      <c r="AS178">
        <v>116.3057139895202</v>
      </c>
      <c r="AT178">
        <v>-0.15519858617850549</v>
      </c>
      <c r="AU178">
        <v>0.8</v>
      </c>
      <c r="AV178" t="s">
        <v>93</v>
      </c>
      <c r="AW178">
        <v>7.5609145336203915E-2</v>
      </c>
      <c r="AX178">
        <v>0.45097984536931729</v>
      </c>
      <c r="AY178">
        <v>7.5609145336203915E-2</v>
      </c>
      <c r="AZ178">
        <v>7.5609145336203915E-2</v>
      </c>
      <c r="BA178">
        <v>0.45097984536931729</v>
      </c>
      <c r="BB178">
        <v>0.1520013865726218</v>
      </c>
      <c r="BC178">
        <v>-0.1037265980074473</v>
      </c>
      <c r="BD178">
        <v>3.4699984026396603E-2</v>
      </c>
      <c r="BE178">
        <v>0.87977196664089985</v>
      </c>
      <c r="BF178">
        <v>3.4699984026396603E-2</v>
      </c>
      <c r="BG178">
        <v>3.4699984026396603E-2</v>
      </c>
      <c r="BH178">
        <v>0.87977196664089985</v>
      </c>
      <c r="BI178">
        <v>0.31034608463772551</v>
      </c>
      <c r="BJ178">
        <v>-7.5282898928909381E-2</v>
      </c>
      <c r="BK178">
        <v>6.3290006767523665E-2</v>
      </c>
      <c r="BL178">
        <v>0.74591064157809051</v>
      </c>
      <c r="BM178">
        <v>6.3290006767523665E-2</v>
      </c>
      <c r="BN178">
        <v>6.3290006767523665E-2</v>
      </c>
      <c r="BO178">
        <v>0.74591064157809051</v>
      </c>
      <c r="BP178">
        <v>0.27892318837073787</v>
      </c>
      <c r="BQ178">
        <v>-0.1197883773727266</v>
      </c>
      <c r="BR178">
        <v>65.063772037973038</v>
      </c>
      <c r="BS178">
        <v>0.81481703536178895</v>
      </c>
      <c r="BT178">
        <v>65.063772037973038</v>
      </c>
      <c r="BU178">
        <v>65.063772037973038</v>
      </c>
      <c r="BV178">
        <v>0.81481703536178895</v>
      </c>
      <c r="BW178">
        <v>464.48158529849889</v>
      </c>
      <c r="BX178">
        <v>-0.32199647040494228</v>
      </c>
      <c r="BY178" t="str">
        <f t="shared" ref="BY178:BY204" si="7">_xlfn.LET(_xlpm.TextoConfig, Q178,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78" t="str">
        <f>SUBSTITUTE(TRIM(MID(SUBSTITUTE(SUBSTITUTE(SUBSTITUTE(Tabla1[[#This Row],[map]],"[",""),"]",""),",",REPT(" ",100)),901,200))," ",", ")</f>
        <v>2, 3</v>
      </c>
      <c r="CA178" t="str">
        <f>SUBSTITUTE(TRIM(MID(SUBSTITUTE(SUBSTITUTE(SUBSTITUTE(Tabla1[[#This Row],[map]],"[",""),"]",""),",",REPT(" ",100)),1501,200))," ",", ")</f>
        <v>3, 4</v>
      </c>
      <c r="CB178" t="str">
        <f>SUBSTITUTE(TRIM(MID(SUBSTITUTE(SUBSTITUTE(SUBSTITUTE(Tabla1[[#This Row],[map]],"[",""),"]",""),",",REPT(" ",100)),601,300))," ",", ")</f>
        <v>0, 1, 4</v>
      </c>
      <c r="CC178" t="str">
        <f>SUBSTITUTE(TRIM(MID(SUBSTITUTE(SUBSTITUTE(SUBSTITUTE(Tabla1[[#This Row],[map]],"[",""),"]",""),",",REPT(" ",100)),1201,300))," ",", ")</f>
        <v>2, 0, 1</v>
      </c>
      <c r="CD178" t="str">
        <f>SUBSTITUTE(TRIM(MID(SUBSTITUTE(SUBSTITUTE(SUBSTITUTE(Tabla1[[#This Row],[map]],"[",""),"]",""),",",REPT(" ",100)),1,300))," ",", ")</f>
        <v>2, 3, 4</v>
      </c>
      <c r="CE178" t="str">
        <f>SUBSTITUTE(TRIM(MID(SUBSTITUTE(SUBSTITUTE(SUBSTITUTE(Tabla1[[#This Row],[map]],"[",""),"]",""),",",REPT(" ",100)),1,600))," ",", ")</f>
        <v>2, 3, 4, 0, 1, -1</v>
      </c>
      <c r="CF178" t="str">
        <f>SUBSTITUTE(TRIM(MID(SUBSTITUTE(SUBSTITUTE(SUBSTITUTE(Tabla1[[#This Row],[map]],"[",""),"]",""),",",REPT(" ",100)),601,600))," ",", ")</f>
        <v>0, 1, 4, 2, 3, -1</v>
      </c>
      <c r="CG178" t="str">
        <f>SUBSTITUTE(TRIM(MID(SUBSTITUTE(SUBSTITUTE(SUBSTITUTE(Tabla1[[#This Row],[map]],"[",""),"]",""),",",REPT(" ",100)),1201,600))," ",", ")</f>
        <v>2, 0, 1, 3, 4, -1</v>
      </c>
    </row>
    <row r="179" spans="1:85" x14ac:dyDescent="0.3">
      <c r="A179" s="1">
        <v>46099.310231481482</v>
      </c>
      <c r="B179" t="s">
        <v>366</v>
      </c>
      <c r="C179">
        <v>8</v>
      </c>
      <c r="D179" t="s">
        <v>96</v>
      </c>
      <c r="E179" t="s">
        <v>78</v>
      </c>
      <c r="F179">
        <v>16590</v>
      </c>
      <c r="G179">
        <v>4.5</v>
      </c>
      <c r="H179" t="s">
        <v>79</v>
      </c>
      <c r="I179" t="s">
        <v>80</v>
      </c>
      <c r="J179">
        <v>5</v>
      </c>
      <c r="K179">
        <v>5</v>
      </c>
      <c r="L179" t="s">
        <v>81</v>
      </c>
      <c r="M179" t="s">
        <v>82</v>
      </c>
      <c r="N179" t="s">
        <v>83</v>
      </c>
      <c r="O179" t="s">
        <v>83</v>
      </c>
      <c r="P179" t="s">
        <v>84</v>
      </c>
      <c r="Q179" t="s">
        <v>129</v>
      </c>
      <c r="R179">
        <v>3</v>
      </c>
      <c r="S179" t="s">
        <v>86</v>
      </c>
      <c r="T179" t="s">
        <v>87</v>
      </c>
      <c r="U179" t="s">
        <v>88</v>
      </c>
      <c r="V179">
        <v>1</v>
      </c>
      <c r="W179" t="s">
        <v>130</v>
      </c>
      <c r="X179" t="s">
        <v>83</v>
      </c>
      <c r="Y179" t="s">
        <v>90</v>
      </c>
      <c r="Z179">
        <v>4000</v>
      </c>
      <c r="AA179">
        <v>4000</v>
      </c>
      <c r="AC179">
        <v>256</v>
      </c>
      <c r="AD179" t="s">
        <v>91</v>
      </c>
      <c r="AE179">
        <v>0.15</v>
      </c>
      <c r="AF179" t="s">
        <v>92</v>
      </c>
      <c r="AG179">
        <v>180</v>
      </c>
      <c r="AH179">
        <v>60</v>
      </c>
      <c r="AI179">
        <v>120</v>
      </c>
      <c r="AJ179">
        <v>0.1141172386742306</v>
      </c>
      <c r="AK179">
        <v>12.092786056422019</v>
      </c>
      <c r="AL179">
        <v>0.73856845435978546</v>
      </c>
      <c r="AM179">
        <v>-0.63887747768578262</v>
      </c>
      <c r="AN179">
        <v>17.267211343104339</v>
      </c>
      <c r="AO179">
        <v>0.6794008818919306</v>
      </c>
      <c r="AP179">
        <v>17.267211343104339</v>
      </c>
      <c r="AQ179">
        <v>17.267211343104339</v>
      </c>
      <c r="AR179">
        <v>0.6794008818919306</v>
      </c>
      <c r="AS179">
        <v>129.01961059112909</v>
      </c>
      <c r="AT179">
        <v>-0.51667347228487093</v>
      </c>
      <c r="AU179">
        <v>0.8</v>
      </c>
      <c r="AV179" t="s">
        <v>93</v>
      </c>
      <c r="AW179">
        <v>6.1346160600357101E-2</v>
      </c>
      <c r="AX179">
        <v>0.55454755599942451</v>
      </c>
      <c r="AY179">
        <v>6.1346160600357101E-2</v>
      </c>
      <c r="AZ179">
        <v>6.1346160600357101E-2</v>
      </c>
      <c r="BA179">
        <v>0.55454755599942451</v>
      </c>
      <c r="BB179">
        <v>0.25021605394176999</v>
      </c>
      <c r="BC179">
        <v>-0.81689207059997249</v>
      </c>
      <c r="BD179">
        <v>4.7821973749321518E-2</v>
      </c>
      <c r="BE179">
        <v>0.83430707487191602</v>
      </c>
      <c r="BF179">
        <v>4.7821973749321518E-2</v>
      </c>
      <c r="BG179">
        <v>4.7821973749321518E-2</v>
      </c>
      <c r="BH179">
        <v>0.83430707487191602</v>
      </c>
      <c r="BI179">
        <v>0.49661005201095332</v>
      </c>
      <c r="BJ179">
        <v>-0.72064776324444746</v>
      </c>
      <c r="BK179">
        <v>0.1183945519015517</v>
      </c>
      <c r="BL179">
        <v>0.52468332253755912</v>
      </c>
      <c r="BM179">
        <v>0.1183945519015517</v>
      </c>
      <c r="BN179">
        <v>0.1183945519015517</v>
      </c>
      <c r="BO179">
        <v>0.52468332253755912</v>
      </c>
      <c r="BP179">
        <v>0.26482364432145872</v>
      </c>
      <c r="BQ179">
        <v>-6.3183167727510758E-2</v>
      </c>
      <c r="BR179">
        <v>68.841282686166366</v>
      </c>
      <c r="BS179">
        <v>0.80406557415882363</v>
      </c>
      <c r="BT179">
        <v>68.841282686166366</v>
      </c>
      <c r="BU179">
        <v>68.841282686166366</v>
      </c>
      <c r="BV179">
        <v>0.80406557415882363</v>
      </c>
      <c r="BW179">
        <v>515.06679261424119</v>
      </c>
      <c r="BX179">
        <v>-0.4659708875675459</v>
      </c>
      <c r="BY179" t="str">
        <f t="shared" si="7"/>
        <v>[[sv,wv],[yr],[ya]]</v>
      </c>
      <c r="BZ179" t="str">
        <f>SUBSTITUTE(TRIM(MID(SUBSTITUTE(SUBSTITUTE(SUBSTITUTE(Tabla1[[#This Row],[map]],"[",""),"]",""),",",REPT(" ",100)),901,200))," ",", ")</f>
        <v>2, 3</v>
      </c>
      <c r="CA179" t="str">
        <f>SUBSTITUTE(TRIM(MID(SUBSTITUTE(SUBSTITUTE(SUBSTITUTE(Tabla1[[#This Row],[map]],"[",""),"]",""),",",REPT(" ",100)),1501,200))," ",", ")</f>
        <v>3, 4</v>
      </c>
      <c r="CB179" t="str">
        <f>SUBSTITUTE(TRIM(MID(SUBSTITUTE(SUBSTITUTE(SUBSTITUTE(Tabla1[[#This Row],[map]],"[",""),"]",""),",",REPT(" ",100)),601,300))," ",", ")</f>
        <v>0, 1, 4</v>
      </c>
      <c r="CC179" t="str">
        <f>SUBSTITUTE(TRIM(MID(SUBSTITUTE(SUBSTITUTE(SUBSTITUTE(Tabla1[[#This Row],[map]],"[",""),"]",""),",",REPT(" ",100)),1201,300))," ",", ")</f>
        <v>2, 0, 1</v>
      </c>
      <c r="CD179" t="str">
        <f>SUBSTITUTE(TRIM(MID(SUBSTITUTE(SUBSTITUTE(SUBSTITUTE(Tabla1[[#This Row],[map]],"[",""),"]",""),",",REPT(" ",100)),1,300))," ",", ")</f>
        <v>2, 3, 4</v>
      </c>
      <c r="CE179" t="str">
        <f>SUBSTITUTE(TRIM(MID(SUBSTITUTE(SUBSTITUTE(SUBSTITUTE(Tabla1[[#This Row],[map]],"[",""),"]",""),",",REPT(" ",100)),1,600))," ",", ")</f>
        <v>2, 3, 4, 0, 1, -1</v>
      </c>
      <c r="CF179" t="str">
        <f>SUBSTITUTE(TRIM(MID(SUBSTITUTE(SUBSTITUTE(SUBSTITUTE(Tabla1[[#This Row],[map]],"[",""),"]",""),",",REPT(" ",100)),601,600))," ",", ")</f>
        <v>0, 1, 4, 2, 3, -1</v>
      </c>
      <c r="CG179" t="str">
        <f>SUBSTITUTE(TRIM(MID(SUBSTITUTE(SUBSTITUTE(SUBSTITUTE(Tabla1[[#This Row],[map]],"[",""),"]",""),",",REPT(" ",100)),1201,600))," ",", ")</f>
        <v>2, 0, 1, 3, 4, -1</v>
      </c>
    </row>
    <row r="180" spans="1:85" x14ac:dyDescent="0.3">
      <c r="A180" s="1">
        <v>46099.316354166673</v>
      </c>
      <c r="B180" t="s">
        <v>367</v>
      </c>
      <c r="C180">
        <v>6</v>
      </c>
      <c r="D180" t="s">
        <v>77</v>
      </c>
      <c r="E180" t="s">
        <v>78</v>
      </c>
      <c r="F180">
        <v>16590</v>
      </c>
      <c r="G180">
        <v>4.5</v>
      </c>
      <c r="H180" t="s">
        <v>79</v>
      </c>
      <c r="I180" t="s">
        <v>80</v>
      </c>
      <c r="J180">
        <v>5</v>
      </c>
      <c r="K180">
        <v>5</v>
      </c>
      <c r="L180" t="s">
        <v>81</v>
      </c>
      <c r="M180" t="s">
        <v>82</v>
      </c>
      <c r="N180" t="s">
        <v>83</v>
      </c>
      <c r="O180" t="s">
        <v>83</v>
      </c>
      <c r="P180" t="s">
        <v>84</v>
      </c>
      <c r="Q180" t="s">
        <v>129</v>
      </c>
      <c r="R180">
        <v>3</v>
      </c>
      <c r="S180" t="s">
        <v>86</v>
      </c>
      <c r="T180" t="s">
        <v>87</v>
      </c>
      <c r="U180" t="s">
        <v>88</v>
      </c>
      <c r="V180">
        <v>1</v>
      </c>
      <c r="W180" t="s">
        <v>130</v>
      </c>
      <c r="X180" t="s">
        <v>83</v>
      </c>
      <c r="Y180" t="s">
        <v>90</v>
      </c>
      <c r="Z180">
        <v>4000</v>
      </c>
      <c r="AA180">
        <v>4000</v>
      </c>
      <c r="AC180">
        <v>256</v>
      </c>
      <c r="AD180" t="s">
        <v>91</v>
      </c>
      <c r="AE180">
        <v>0.15</v>
      </c>
      <c r="AF180" t="s">
        <v>92</v>
      </c>
      <c r="AG180">
        <v>180</v>
      </c>
      <c r="AH180">
        <v>60</v>
      </c>
      <c r="AI180">
        <v>120</v>
      </c>
      <c r="AJ180">
        <v>0.1248592407694329</v>
      </c>
      <c r="AK180">
        <v>29.252715873697351</v>
      </c>
      <c r="AL180">
        <v>0.67652165120710406</v>
      </c>
      <c r="AM180">
        <v>-0.21304031545490101</v>
      </c>
      <c r="AN180">
        <v>38.954704193652447</v>
      </c>
      <c r="AO180">
        <v>0.59908616696107675</v>
      </c>
      <c r="AP180">
        <v>38.954704193652447</v>
      </c>
      <c r="AQ180">
        <v>38.954704193652447</v>
      </c>
      <c r="AR180">
        <v>0.59908616696107675</v>
      </c>
      <c r="AS180">
        <v>94.223716221735188</v>
      </c>
      <c r="AT180">
        <v>-0.18799027591679729</v>
      </c>
      <c r="AU180">
        <v>0.8</v>
      </c>
      <c r="AV180" t="s">
        <v>93</v>
      </c>
      <c r="AW180">
        <v>6.852748743368485E-2</v>
      </c>
      <c r="AX180">
        <v>0.50240183803163796</v>
      </c>
      <c r="AY180">
        <v>6.852748743368485E-2</v>
      </c>
      <c r="AZ180">
        <v>6.852748743368485E-2</v>
      </c>
      <c r="BA180">
        <v>0.50240183803163796</v>
      </c>
      <c r="BB180">
        <v>0.1708963423205358</v>
      </c>
      <c r="BC180">
        <v>-0.24092840713161959</v>
      </c>
      <c r="BD180">
        <v>7.0163792464834326E-2</v>
      </c>
      <c r="BE180">
        <v>0.75689744483323096</v>
      </c>
      <c r="BF180">
        <v>7.0163792464834326E-2</v>
      </c>
      <c r="BG180">
        <v>7.0163792464834326E-2</v>
      </c>
      <c r="BH180">
        <v>0.75689744483323096</v>
      </c>
      <c r="BI180">
        <v>0.31709167752106532</v>
      </c>
      <c r="BJ180">
        <v>-9.8654937532389742E-2</v>
      </c>
      <c r="BK180">
        <v>0.10465566771920171</v>
      </c>
      <c r="BL180">
        <v>0.57984059689445722</v>
      </c>
      <c r="BM180">
        <v>0.10465566771920171</v>
      </c>
      <c r="BN180">
        <v>0.10465566771920171</v>
      </c>
      <c r="BO180">
        <v>0.57984059689445722</v>
      </c>
      <c r="BP180">
        <v>0.33427511141198568</v>
      </c>
      <c r="BQ180">
        <v>-0.34200884046464219</v>
      </c>
      <c r="BR180">
        <v>155.57546982699131</v>
      </c>
      <c r="BS180">
        <v>0.5572047880849802</v>
      </c>
      <c r="BT180">
        <v>155.57546982699131</v>
      </c>
      <c r="BU180">
        <v>155.57546982699131</v>
      </c>
      <c r="BV180">
        <v>0.5572047880849802</v>
      </c>
      <c r="BW180">
        <v>376.07260175568911</v>
      </c>
      <c r="BX180">
        <v>-7.0368918538547875E-2</v>
      </c>
      <c r="BY180" t="str">
        <f t="shared" si="7"/>
        <v>[[sv,wv],[yr],[ya]]</v>
      </c>
      <c r="BZ180" t="str">
        <f>SUBSTITUTE(TRIM(MID(SUBSTITUTE(SUBSTITUTE(SUBSTITUTE(Tabla1[[#This Row],[map]],"[",""),"]",""),",",REPT(" ",100)),901,200))," ",", ")</f>
        <v>2, 3</v>
      </c>
      <c r="CA180" t="str">
        <f>SUBSTITUTE(TRIM(MID(SUBSTITUTE(SUBSTITUTE(SUBSTITUTE(Tabla1[[#This Row],[map]],"[",""),"]",""),",",REPT(" ",100)),1501,200))," ",", ")</f>
        <v>3, 4</v>
      </c>
      <c r="CB180" t="str">
        <f>SUBSTITUTE(TRIM(MID(SUBSTITUTE(SUBSTITUTE(SUBSTITUTE(Tabla1[[#This Row],[map]],"[",""),"]",""),",",REPT(" ",100)),601,300))," ",", ")</f>
        <v>0, 1, 4</v>
      </c>
      <c r="CC180" t="str">
        <f>SUBSTITUTE(TRIM(MID(SUBSTITUTE(SUBSTITUTE(SUBSTITUTE(Tabla1[[#This Row],[map]],"[",""),"]",""),",",REPT(" ",100)),1201,300))," ",", ")</f>
        <v>2, 0, 1</v>
      </c>
      <c r="CD180" t="str">
        <f>SUBSTITUTE(TRIM(MID(SUBSTITUTE(SUBSTITUTE(SUBSTITUTE(Tabla1[[#This Row],[map]],"[",""),"]",""),",",REPT(" ",100)),1,300))," ",", ")</f>
        <v>2, 3, 4</v>
      </c>
      <c r="CE180" t="str">
        <f>SUBSTITUTE(TRIM(MID(SUBSTITUTE(SUBSTITUTE(SUBSTITUTE(Tabla1[[#This Row],[map]],"[",""),"]",""),",",REPT(" ",100)),1,600))," ",", ")</f>
        <v>2, 3, 4, 0, 1, -1</v>
      </c>
      <c r="CF180" t="str">
        <f>SUBSTITUTE(TRIM(MID(SUBSTITUTE(SUBSTITUTE(SUBSTITUTE(Tabla1[[#This Row],[map]],"[",""),"]",""),",",REPT(" ",100)),601,600))," ",", ")</f>
        <v>0, 1, 4, 2, 3, -1</v>
      </c>
      <c r="CG180" t="str">
        <f>SUBSTITUTE(TRIM(MID(SUBSTITUTE(SUBSTITUTE(SUBSTITUTE(Tabla1[[#This Row],[map]],"[",""),"]",""),",",REPT(" ",100)),1201,600))," ",", ")</f>
        <v>2, 0, 1, 3, 4, -1</v>
      </c>
    </row>
    <row r="181" spans="1:85" x14ac:dyDescent="0.3">
      <c r="A181" s="1">
        <v>46099.316770833328</v>
      </c>
      <c r="B181" t="s">
        <v>368</v>
      </c>
      <c r="C181">
        <v>9</v>
      </c>
      <c r="D181" t="s">
        <v>77</v>
      </c>
      <c r="E181" t="s">
        <v>78</v>
      </c>
      <c r="F181">
        <v>16590</v>
      </c>
      <c r="G181">
        <v>4.5</v>
      </c>
      <c r="H181" t="s">
        <v>79</v>
      </c>
      <c r="I181" t="s">
        <v>80</v>
      </c>
      <c r="J181">
        <v>5</v>
      </c>
      <c r="K181">
        <v>5</v>
      </c>
      <c r="L181" t="s">
        <v>81</v>
      </c>
      <c r="M181" t="s">
        <v>82</v>
      </c>
      <c r="N181" t="s">
        <v>83</v>
      </c>
      <c r="O181" t="s">
        <v>83</v>
      </c>
      <c r="P181" t="s">
        <v>84</v>
      </c>
      <c r="Q181" t="s">
        <v>129</v>
      </c>
      <c r="R181">
        <v>3</v>
      </c>
      <c r="S181" t="s">
        <v>86</v>
      </c>
      <c r="T181" t="s">
        <v>87</v>
      </c>
      <c r="U181" t="s">
        <v>88</v>
      </c>
      <c r="V181">
        <v>1</v>
      </c>
      <c r="W181" t="s">
        <v>130</v>
      </c>
      <c r="X181" t="s">
        <v>83</v>
      </c>
      <c r="Y181" t="s">
        <v>90</v>
      </c>
      <c r="Z181">
        <v>4000</v>
      </c>
      <c r="AA181">
        <v>4000</v>
      </c>
      <c r="AC181">
        <v>256</v>
      </c>
      <c r="AD181" t="s">
        <v>91</v>
      </c>
      <c r="AE181">
        <v>0.15</v>
      </c>
      <c r="AF181" t="s">
        <v>92</v>
      </c>
      <c r="AG181">
        <v>180</v>
      </c>
      <c r="AH181">
        <v>60</v>
      </c>
      <c r="AI181">
        <v>120</v>
      </c>
      <c r="AJ181">
        <v>0.1068871374501833</v>
      </c>
      <c r="AK181">
        <v>14.496623074900061</v>
      </c>
      <c r="AL181">
        <v>0.76404281008238328</v>
      </c>
      <c r="AM181">
        <v>-1.050566950436987</v>
      </c>
      <c r="AN181">
        <v>18.122708768780061</v>
      </c>
      <c r="AO181">
        <v>0.7084189023720262</v>
      </c>
      <c r="AP181">
        <v>18.122708768780061</v>
      </c>
      <c r="AQ181">
        <v>18.122708768780061</v>
      </c>
      <c r="AR181">
        <v>0.7084189023720262</v>
      </c>
      <c r="AS181">
        <v>166.94990764882209</v>
      </c>
      <c r="AT181">
        <v>-1.0224307653671629</v>
      </c>
      <c r="AU181">
        <v>0.8</v>
      </c>
      <c r="AV181" t="s">
        <v>93</v>
      </c>
      <c r="AW181">
        <v>6.8016220237668762E-2</v>
      </c>
      <c r="AX181">
        <v>0.50611429892199988</v>
      </c>
      <c r="AY181">
        <v>6.8016220237668762E-2</v>
      </c>
      <c r="AZ181">
        <v>6.8016220237668762E-2</v>
      </c>
      <c r="BA181">
        <v>0.50611429892199988</v>
      </c>
      <c r="BB181">
        <v>0.13016630039762739</v>
      </c>
      <c r="BC181">
        <v>5.4824359484060843E-2</v>
      </c>
      <c r="BD181">
        <v>6.2329696199519689E-2</v>
      </c>
      <c r="BE181">
        <v>0.78404091517051278</v>
      </c>
      <c r="BF181">
        <v>6.2329696199519689E-2</v>
      </c>
      <c r="BG181">
        <v>6.2329696199519689E-2</v>
      </c>
      <c r="BH181">
        <v>0.78404091517051278</v>
      </c>
      <c r="BI181">
        <v>0.81123324025129873</v>
      </c>
      <c r="BJ181">
        <v>-1.8107499126440469</v>
      </c>
      <c r="BK181">
        <v>6.2447418524724567E-2</v>
      </c>
      <c r="BL181">
        <v>0.74929336686066272</v>
      </c>
      <c r="BM181">
        <v>6.2447418524724567E-2</v>
      </c>
      <c r="BN181">
        <v>6.2447418524724567E-2</v>
      </c>
      <c r="BO181">
        <v>0.74929336686066272</v>
      </c>
      <c r="BP181">
        <v>0.60715355892521738</v>
      </c>
      <c r="BQ181">
        <v>-1.437529495257529</v>
      </c>
      <c r="BR181">
        <v>72.298041740157871</v>
      </c>
      <c r="BS181">
        <v>0.79422702853493132</v>
      </c>
      <c r="BT181">
        <v>72.298041740157871</v>
      </c>
      <c r="BU181">
        <v>72.298041740157871</v>
      </c>
      <c r="BV181">
        <v>0.79422702853493132</v>
      </c>
      <c r="BW181">
        <v>666.25107749571566</v>
      </c>
      <c r="BX181">
        <v>-0.8962680130511349</v>
      </c>
      <c r="BY181" t="str">
        <f t="shared" si="7"/>
        <v>[[sv,wv],[yr],[ya]]</v>
      </c>
      <c r="BZ181" t="str">
        <f>SUBSTITUTE(TRIM(MID(SUBSTITUTE(SUBSTITUTE(SUBSTITUTE(Tabla1[[#This Row],[map]],"[",""),"]",""),",",REPT(" ",100)),901,200))," ",", ")</f>
        <v>2, 3</v>
      </c>
      <c r="CA181" t="str">
        <f>SUBSTITUTE(TRIM(MID(SUBSTITUTE(SUBSTITUTE(SUBSTITUTE(Tabla1[[#This Row],[map]],"[",""),"]",""),",",REPT(" ",100)),1501,200))," ",", ")</f>
        <v>3, 4</v>
      </c>
      <c r="CB181" t="str">
        <f>SUBSTITUTE(TRIM(MID(SUBSTITUTE(SUBSTITUTE(SUBSTITUTE(Tabla1[[#This Row],[map]],"[",""),"]",""),",",REPT(" ",100)),601,300))," ",", ")</f>
        <v>0, 1, 4</v>
      </c>
      <c r="CC181" t="str">
        <f>SUBSTITUTE(TRIM(MID(SUBSTITUTE(SUBSTITUTE(SUBSTITUTE(Tabla1[[#This Row],[map]],"[",""),"]",""),",",REPT(" ",100)),1201,300))," ",", ")</f>
        <v>2, 0, 1</v>
      </c>
      <c r="CD181" t="str">
        <f>SUBSTITUTE(TRIM(MID(SUBSTITUTE(SUBSTITUTE(SUBSTITUTE(Tabla1[[#This Row],[map]],"[",""),"]",""),",",REPT(" ",100)),1,300))," ",", ")</f>
        <v>2, 3, 4</v>
      </c>
      <c r="CE181" t="str">
        <f>SUBSTITUTE(TRIM(MID(SUBSTITUTE(SUBSTITUTE(SUBSTITUTE(Tabla1[[#This Row],[map]],"[",""),"]",""),",",REPT(" ",100)),1,600))," ",", ")</f>
        <v>2, 3, 4, 0, 1, -1</v>
      </c>
      <c r="CF181" t="str">
        <f>SUBSTITUTE(TRIM(MID(SUBSTITUTE(SUBSTITUTE(SUBSTITUTE(Tabla1[[#This Row],[map]],"[",""),"]",""),",",REPT(" ",100)),601,600))," ",", ")</f>
        <v>0, 1, 4, 2, 3, -1</v>
      </c>
      <c r="CG181" t="str">
        <f>SUBSTITUTE(TRIM(MID(SUBSTITUTE(SUBSTITUTE(SUBSTITUTE(Tabla1[[#This Row],[map]],"[",""),"]",""),",",REPT(" ",100)),1201,600))," ",", ")</f>
        <v>2, 0, 1, 3, 4, -1</v>
      </c>
    </row>
    <row r="182" spans="1:85" x14ac:dyDescent="0.3">
      <c r="A182" s="1">
        <v>46099.322129629632</v>
      </c>
      <c r="B182" t="s">
        <v>369</v>
      </c>
      <c r="C182">
        <v>4</v>
      </c>
      <c r="D182" t="s">
        <v>77</v>
      </c>
      <c r="E182" t="s">
        <v>78</v>
      </c>
      <c r="F182">
        <v>16590</v>
      </c>
      <c r="G182">
        <v>4.5</v>
      </c>
      <c r="H182" t="s">
        <v>79</v>
      </c>
      <c r="I182" t="s">
        <v>80</v>
      </c>
      <c r="J182">
        <v>5</v>
      </c>
      <c r="K182">
        <v>5</v>
      </c>
      <c r="L182" t="s">
        <v>81</v>
      </c>
      <c r="M182" t="s">
        <v>82</v>
      </c>
      <c r="N182" t="s">
        <v>83</v>
      </c>
      <c r="O182" t="s">
        <v>83</v>
      </c>
      <c r="P182" t="s">
        <v>84</v>
      </c>
      <c r="Q182" t="s">
        <v>165</v>
      </c>
      <c r="R182">
        <v>3</v>
      </c>
      <c r="S182" t="s">
        <v>86</v>
      </c>
      <c r="T182" t="s">
        <v>87</v>
      </c>
      <c r="U182" t="s">
        <v>88</v>
      </c>
      <c r="V182">
        <v>1</v>
      </c>
      <c r="W182" t="s">
        <v>166</v>
      </c>
      <c r="X182" t="s">
        <v>83</v>
      </c>
      <c r="Y182" t="s">
        <v>90</v>
      </c>
      <c r="Z182">
        <v>4000</v>
      </c>
      <c r="AA182">
        <v>4000</v>
      </c>
      <c r="AC182">
        <v>256</v>
      </c>
      <c r="AD182" t="s">
        <v>91</v>
      </c>
      <c r="AE182">
        <v>0.15</v>
      </c>
      <c r="AF182" t="s">
        <v>92</v>
      </c>
      <c r="AG182">
        <v>180</v>
      </c>
      <c r="AH182">
        <v>60</v>
      </c>
      <c r="AI182">
        <v>120</v>
      </c>
      <c r="AJ182">
        <v>9.5220098706275444E-2</v>
      </c>
      <c r="AK182">
        <v>13.39627526354772</v>
      </c>
      <c r="AL182">
        <v>0.8106240134494761</v>
      </c>
      <c r="AM182">
        <v>-0.30522447704374561</v>
      </c>
      <c r="AN182">
        <v>16.018834970922669</v>
      </c>
      <c r="AO182">
        <v>0.74118412874880346</v>
      </c>
      <c r="AP182">
        <v>16.018834970922669</v>
      </c>
      <c r="AQ182">
        <v>16.018834970922669</v>
      </c>
      <c r="AR182">
        <v>0.74118412874880346</v>
      </c>
      <c r="AS182">
        <v>120.4672011405092</v>
      </c>
      <c r="AT182">
        <v>-0.1423288079780245</v>
      </c>
      <c r="AU182">
        <v>0.8</v>
      </c>
      <c r="AV182" t="s">
        <v>93</v>
      </c>
      <c r="AW182">
        <v>6.1876401342930931E-2</v>
      </c>
      <c r="AX182">
        <v>0.55069732262904436</v>
      </c>
      <c r="AY182">
        <v>6.1876401342930931E-2</v>
      </c>
      <c r="AZ182">
        <v>6.1876401342930931E-2</v>
      </c>
      <c r="BA182">
        <v>0.55069732262904436</v>
      </c>
      <c r="BB182">
        <v>0.24211729557406539</v>
      </c>
      <c r="BC182">
        <v>-0.75808461349167677</v>
      </c>
      <c r="BD182">
        <v>4.1278157352615738E-2</v>
      </c>
      <c r="BE182">
        <v>0.85698000104503702</v>
      </c>
      <c r="BF182">
        <v>4.1278157352615738E-2</v>
      </c>
      <c r="BG182">
        <v>4.1278157352615738E-2</v>
      </c>
      <c r="BH182">
        <v>0.85698000104503702</v>
      </c>
      <c r="BI182">
        <v>0.20370023506855209</v>
      </c>
      <c r="BJ182">
        <v>0.29422219219327889</v>
      </c>
      <c r="BK182">
        <v>6.5023743068301637E-2</v>
      </c>
      <c r="BL182">
        <v>0.73895023871456134</v>
      </c>
      <c r="BM182">
        <v>6.5023743068301637E-2</v>
      </c>
      <c r="BN182">
        <v>6.5023743068301637E-2</v>
      </c>
      <c r="BO182">
        <v>0.73895023871456134</v>
      </c>
      <c r="BP182">
        <v>0.1832671738211486</v>
      </c>
      <c r="BQ182">
        <v>0.26424026486426289</v>
      </c>
      <c r="BR182">
        <v>63.907161581926808</v>
      </c>
      <c r="BS182">
        <v>0.81810895260656824</v>
      </c>
      <c r="BT182">
        <v>63.907161581926808</v>
      </c>
      <c r="BU182">
        <v>63.907161581926808</v>
      </c>
      <c r="BV182">
        <v>0.81810895260656824</v>
      </c>
      <c r="BW182">
        <v>481.23971985757242</v>
      </c>
      <c r="BX182">
        <v>-0.36969307547794822</v>
      </c>
      <c r="BY182" t="str">
        <f t="shared" si="7"/>
        <v>[[sv,wv],[yr],[ya]]</v>
      </c>
      <c r="BZ182" t="str">
        <f>SUBSTITUTE(TRIM(MID(SUBSTITUTE(SUBSTITUTE(SUBSTITUTE(Tabla1[[#This Row],[map]],"[",""),"]",""),",",REPT(" ",100)),901,200))," ",", ")</f>
        <v>2, 4</v>
      </c>
      <c r="CA182" t="str">
        <f>SUBSTITUTE(TRIM(MID(SUBSTITUTE(SUBSTITUTE(SUBSTITUTE(Tabla1[[#This Row],[map]],"[",""),"]",""),",",REPT(" ",100)),1501,200))," ",", ")</f>
        <v>3, 4</v>
      </c>
      <c r="CB182" t="str">
        <f>SUBSTITUTE(TRIM(MID(SUBSTITUTE(SUBSTITUTE(SUBSTITUTE(Tabla1[[#This Row],[map]],"[",""),"]",""),",",REPT(" ",100)),601,300))," ",", ")</f>
        <v>0, 1, 3</v>
      </c>
      <c r="CC182" t="str">
        <f>SUBSTITUTE(TRIM(MID(SUBSTITUTE(SUBSTITUTE(SUBSTITUTE(Tabla1[[#This Row],[map]],"[",""),"]",""),",",REPT(" ",100)),1201,300))," ",", ")</f>
        <v>2, 0, 1</v>
      </c>
      <c r="CD182" t="str">
        <f>SUBSTITUTE(TRIM(MID(SUBSTITUTE(SUBSTITUTE(SUBSTITUTE(Tabla1[[#This Row],[map]],"[",""),"]",""),",",REPT(" ",100)),1,300))," ",", ")</f>
        <v>2, 3, 4</v>
      </c>
      <c r="CE182" t="str">
        <f>SUBSTITUTE(TRIM(MID(SUBSTITUTE(SUBSTITUTE(SUBSTITUTE(Tabla1[[#This Row],[map]],"[",""),"]",""),",",REPT(" ",100)),1,600))," ",", ")</f>
        <v>2, 3, 4, 0, 1, -1</v>
      </c>
      <c r="CF182" t="str">
        <f>SUBSTITUTE(TRIM(MID(SUBSTITUTE(SUBSTITUTE(SUBSTITUTE(Tabla1[[#This Row],[map]],"[",""),"]",""),",",REPT(" ",100)),601,600))," ",", ")</f>
        <v>0, 1, 3, 2, 4, -1</v>
      </c>
      <c r="CG182" t="str">
        <f>SUBSTITUTE(TRIM(MID(SUBSTITUTE(SUBSTITUTE(SUBSTITUTE(Tabla1[[#This Row],[map]],"[",""),"]",""),",",REPT(" ",100)),1201,600))," ",", ")</f>
        <v>2, 0, 1, 3, 4, -1</v>
      </c>
    </row>
    <row r="183" spans="1:85" x14ac:dyDescent="0.3">
      <c r="A183" s="1">
        <v>46099.336770833332</v>
      </c>
      <c r="B183" t="s">
        <v>370</v>
      </c>
      <c r="C183">
        <v>5</v>
      </c>
      <c r="D183" t="s">
        <v>77</v>
      </c>
      <c r="E183" t="s">
        <v>78</v>
      </c>
      <c r="F183">
        <v>16590</v>
      </c>
      <c r="G183">
        <v>4.5</v>
      </c>
      <c r="H183" t="s">
        <v>79</v>
      </c>
      <c r="I183" t="s">
        <v>80</v>
      </c>
      <c r="J183">
        <v>5</v>
      </c>
      <c r="K183">
        <v>5</v>
      </c>
      <c r="L183" t="s">
        <v>81</v>
      </c>
      <c r="M183" t="s">
        <v>82</v>
      </c>
      <c r="N183" t="s">
        <v>83</v>
      </c>
      <c r="O183" t="s">
        <v>83</v>
      </c>
      <c r="P183" t="s">
        <v>84</v>
      </c>
      <c r="Q183" t="s">
        <v>165</v>
      </c>
      <c r="R183">
        <v>3</v>
      </c>
      <c r="S183" t="s">
        <v>86</v>
      </c>
      <c r="T183" t="s">
        <v>87</v>
      </c>
      <c r="U183" t="s">
        <v>88</v>
      </c>
      <c r="V183">
        <v>1</v>
      </c>
      <c r="W183" t="s">
        <v>166</v>
      </c>
      <c r="X183" t="s">
        <v>83</v>
      </c>
      <c r="Y183" t="s">
        <v>90</v>
      </c>
      <c r="Z183">
        <v>4000</v>
      </c>
      <c r="AA183">
        <v>4000</v>
      </c>
      <c r="AC183">
        <v>256</v>
      </c>
      <c r="AD183" t="s">
        <v>91</v>
      </c>
      <c r="AE183">
        <v>0.15</v>
      </c>
      <c r="AF183" t="s">
        <v>92</v>
      </c>
      <c r="AG183">
        <v>180</v>
      </c>
      <c r="AH183">
        <v>60</v>
      </c>
      <c r="AI183">
        <v>120</v>
      </c>
      <c r="AJ183">
        <v>9.3166895202425895E-2</v>
      </c>
      <c r="AK183">
        <v>19.241436050084271</v>
      </c>
      <c r="AL183">
        <v>0.78180556416860503</v>
      </c>
      <c r="AM183">
        <v>-0.12742990430599249</v>
      </c>
      <c r="AN183">
        <v>25.483651328524768</v>
      </c>
      <c r="AO183">
        <v>0.71393424474041089</v>
      </c>
      <c r="AP183">
        <v>25.483651328524768</v>
      </c>
      <c r="AQ183">
        <v>25.483651328524768</v>
      </c>
      <c r="AR183">
        <v>0.71393424474041089</v>
      </c>
      <c r="AS183">
        <v>89.025641806664112</v>
      </c>
      <c r="AT183">
        <v>-0.1222309152850273</v>
      </c>
      <c r="AU183">
        <v>0.8</v>
      </c>
      <c r="AV183" t="s">
        <v>93</v>
      </c>
      <c r="AW183">
        <v>6.077110606984925E-2</v>
      </c>
      <c r="AX183">
        <v>0.5587231954125752</v>
      </c>
      <c r="AY183">
        <v>6.077110606984925E-2</v>
      </c>
      <c r="AZ183">
        <v>6.077110606984925E-2</v>
      </c>
      <c r="BA183">
        <v>0.5587231954125752</v>
      </c>
      <c r="BB183">
        <v>0.19207285379672401</v>
      </c>
      <c r="BC183">
        <v>-0.39469726080001588</v>
      </c>
      <c r="BD183">
        <v>5.6807995852808851E-2</v>
      </c>
      <c r="BE183">
        <v>0.8031724275360026</v>
      </c>
      <c r="BF183">
        <v>5.6807995852808851E-2</v>
      </c>
      <c r="BG183">
        <v>5.6807995852808851E-2</v>
      </c>
      <c r="BH183">
        <v>0.8031724275360026</v>
      </c>
      <c r="BI183">
        <v>0.39400233554187508</v>
      </c>
      <c r="BJ183">
        <v>-0.36513394084150153</v>
      </c>
      <c r="BK183">
        <v>5.3932752246830813E-2</v>
      </c>
      <c r="BL183">
        <v>0.78347705876124329</v>
      </c>
      <c r="BM183">
        <v>5.3932752246830813E-2</v>
      </c>
      <c r="BN183">
        <v>5.3932752246830813E-2</v>
      </c>
      <c r="BO183">
        <v>0.78347705876124329</v>
      </c>
      <c r="BP183">
        <v>0.1787783899377651</v>
      </c>
      <c r="BQ183">
        <v>0.28226131234515489</v>
      </c>
      <c r="BR183">
        <v>101.76309345992981</v>
      </c>
      <c r="BS183">
        <v>0.71036429725182859</v>
      </c>
      <c r="BT183">
        <v>101.76309345992981</v>
      </c>
      <c r="BU183">
        <v>101.76309345992981</v>
      </c>
      <c r="BV183">
        <v>0.71036429725182859</v>
      </c>
      <c r="BW183">
        <v>355.33771364737993</v>
      </c>
      <c r="BX183">
        <v>-1.135377184374331E-2</v>
      </c>
      <c r="BY183" t="str">
        <f t="shared" si="7"/>
        <v>[[sv,wv],[yr],[ya]]</v>
      </c>
      <c r="BZ183" t="str">
        <f>SUBSTITUTE(TRIM(MID(SUBSTITUTE(SUBSTITUTE(SUBSTITUTE(Tabla1[[#This Row],[map]],"[",""),"]",""),",",REPT(" ",100)),901,200))," ",", ")</f>
        <v>2, 4</v>
      </c>
      <c r="CA183" t="str">
        <f>SUBSTITUTE(TRIM(MID(SUBSTITUTE(SUBSTITUTE(SUBSTITUTE(Tabla1[[#This Row],[map]],"[",""),"]",""),",",REPT(" ",100)),1501,200))," ",", ")</f>
        <v>3, 4</v>
      </c>
      <c r="CB183" t="str">
        <f>SUBSTITUTE(TRIM(MID(SUBSTITUTE(SUBSTITUTE(SUBSTITUTE(Tabla1[[#This Row],[map]],"[",""),"]",""),",",REPT(" ",100)),601,300))," ",", ")</f>
        <v>0, 1, 3</v>
      </c>
      <c r="CC183" t="str">
        <f>SUBSTITUTE(TRIM(MID(SUBSTITUTE(SUBSTITUTE(SUBSTITUTE(Tabla1[[#This Row],[map]],"[",""),"]",""),",",REPT(" ",100)),1201,300))," ",", ")</f>
        <v>2, 0, 1</v>
      </c>
      <c r="CD183" t="str">
        <f>SUBSTITUTE(TRIM(MID(SUBSTITUTE(SUBSTITUTE(SUBSTITUTE(Tabla1[[#This Row],[map]],"[",""),"]",""),",",REPT(" ",100)),1,300))," ",", ")</f>
        <v>2, 3, 4</v>
      </c>
      <c r="CE183" t="str">
        <f>SUBSTITUTE(TRIM(MID(SUBSTITUTE(SUBSTITUTE(SUBSTITUTE(Tabla1[[#This Row],[map]],"[",""),"]",""),",",REPT(" ",100)),1,600))," ",", ")</f>
        <v>2, 3, 4, 0, 1, -1</v>
      </c>
      <c r="CF183" t="str">
        <f>SUBSTITUTE(TRIM(MID(SUBSTITUTE(SUBSTITUTE(SUBSTITUTE(Tabla1[[#This Row],[map]],"[",""),"]",""),",",REPT(" ",100)),601,600))," ",", ")</f>
        <v>0, 1, 3, 2, 4, -1</v>
      </c>
      <c r="CG183" t="str">
        <f>SUBSTITUTE(TRIM(MID(SUBSTITUTE(SUBSTITUTE(SUBSTITUTE(Tabla1[[#This Row],[map]],"[",""),"]",""),",",REPT(" ",100)),1201,600))," ",", ")</f>
        <v>2, 0, 1, 3, 4, -1</v>
      </c>
    </row>
    <row r="184" spans="1:85" x14ac:dyDescent="0.3">
      <c r="A184" s="1">
        <v>46099.451423611114</v>
      </c>
      <c r="B184" t="s">
        <v>371</v>
      </c>
      <c r="C184">
        <v>7</v>
      </c>
      <c r="D184" t="s">
        <v>77</v>
      </c>
      <c r="E184" t="s">
        <v>78</v>
      </c>
      <c r="F184">
        <v>16590</v>
      </c>
      <c r="G184">
        <v>4.5</v>
      </c>
      <c r="H184" t="s">
        <v>79</v>
      </c>
      <c r="I184" t="s">
        <v>80</v>
      </c>
      <c r="J184">
        <v>5</v>
      </c>
      <c r="K184">
        <v>5</v>
      </c>
      <c r="L184" t="s">
        <v>81</v>
      </c>
      <c r="M184" t="s">
        <v>82</v>
      </c>
      <c r="N184" t="s">
        <v>83</v>
      </c>
      <c r="O184" t="s">
        <v>83</v>
      </c>
      <c r="P184" t="s">
        <v>84</v>
      </c>
      <c r="Q184" t="s">
        <v>135</v>
      </c>
      <c r="R184">
        <v>3</v>
      </c>
      <c r="S184" t="s">
        <v>86</v>
      </c>
      <c r="T184" t="s">
        <v>87</v>
      </c>
      <c r="U184" t="s">
        <v>88</v>
      </c>
      <c r="V184">
        <v>1</v>
      </c>
      <c r="W184" t="s">
        <v>136</v>
      </c>
      <c r="X184" t="s">
        <v>83</v>
      </c>
      <c r="Y184" t="s">
        <v>90</v>
      </c>
      <c r="Z184">
        <v>4000</v>
      </c>
      <c r="AA184">
        <v>4000</v>
      </c>
      <c r="AC184">
        <v>256</v>
      </c>
      <c r="AD184" t="s">
        <v>91</v>
      </c>
      <c r="AE184">
        <v>0.15</v>
      </c>
      <c r="AF184" t="s">
        <v>92</v>
      </c>
      <c r="AG184">
        <v>180</v>
      </c>
      <c r="AH184">
        <v>60</v>
      </c>
      <c r="AI184">
        <v>120</v>
      </c>
      <c r="AJ184">
        <v>0.10506338895670871</v>
      </c>
      <c r="AK184">
        <v>28.51636766016107</v>
      </c>
      <c r="AL184">
        <v>0.67325003239320003</v>
      </c>
      <c r="AM184">
        <v>-2.0984689334777599E-2</v>
      </c>
      <c r="AN184">
        <v>33.75590423901383</v>
      </c>
      <c r="AO184">
        <v>0.64691471219385133</v>
      </c>
      <c r="AP184">
        <v>33.75590423901383</v>
      </c>
      <c r="AQ184">
        <v>33.75590423901383</v>
      </c>
      <c r="AR184">
        <v>0.64691471219385133</v>
      </c>
      <c r="AS184">
        <v>127.677800488687</v>
      </c>
      <c r="AT184">
        <v>2.8571830259381981E-2</v>
      </c>
      <c r="AU184">
        <v>0.8</v>
      </c>
      <c r="AV184" t="s">
        <v>93</v>
      </c>
      <c r="AW184">
        <v>9.3636136826250618E-2</v>
      </c>
      <c r="AX184">
        <v>0.32008057899905751</v>
      </c>
      <c r="AY184">
        <v>9.3636136826250618E-2</v>
      </c>
      <c r="AZ184">
        <v>9.3636136826250618E-2</v>
      </c>
      <c r="BA184">
        <v>0.32008057899905751</v>
      </c>
      <c r="BB184">
        <v>0.15442229255664869</v>
      </c>
      <c r="BC184">
        <v>-0.1213055055825389</v>
      </c>
      <c r="BD184">
        <v>4.529441265615574E-2</v>
      </c>
      <c r="BE184">
        <v>0.84306453421815475</v>
      </c>
      <c r="BF184">
        <v>4.529441265615574E-2</v>
      </c>
      <c r="BG184">
        <v>4.529441265615574E-2</v>
      </c>
      <c r="BH184">
        <v>0.84306453421815475</v>
      </c>
      <c r="BI184">
        <v>0.29870325680974869</v>
      </c>
      <c r="BJ184">
        <v>-3.4942987203549158E-2</v>
      </c>
      <c r="BK184">
        <v>4.7753845579069178E-2</v>
      </c>
      <c r="BL184">
        <v>0.80828341463235742</v>
      </c>
      <c r="BM184">
        <v>4.7753845579069178E-2</v>
      </c>
      <c r="BN184">
        <v>4.7753845579069178E-2</v>
      </c>
      <c r="BO184">
        <v>0.80828341463235742</v>
      </c>
      <c r="BP184">
        <v>6.9090473158684523E-2</v>
      </c>
      <c r="BQ184">
        <v>0.7226236037161482</v>
      </c>
      <c r="BR184">
        <v>134.83693256099431</v>
      </c>
      <c r="BS184">
        <v>0.61623032092583618</v>
      </c>
      <c r="BT184">
        <v>134.83693256099431</v>
      </c>
      <c r="BU184">
        <v>134.83693256099431</v>
      </c>
      <c r="BV184">
        <v>0.61623032092583618</v>
      </c>
      <c r="BW184">
        <v>510.18898593222258</v>
      </c>
      <c r="BX184">
        <v>-0.45208778989252801</v>
      </c>
      <c r="BY184" t="str">
        <f t="shared" si="7"/>
        <v>[[sv,wv],[yr],[ya]]</v>
      </c>
      <c r="BZ184" t="str">
        <f>SUBSTITUTE(TRIM(MID(SUBSTITUTE(SUBSTITUTE(SUBSTITUTE(Tabla1[[#This Row],[map]],"[",""),"]",""),",",REPT(" ",100)),901,200))," ",", ")</f>
        <v>2, 3</v>
      </c>
      <c r="CA184" t="str">
        <f>SUBSTITUTE(TRIM(MID(SUBSTITUTE(SUBSTITUTE(SUBSTITUTE(Tabla1[[#This Row],[map]],"[",""),"]",""),",",REPT(" ",100)),1501,200))," ",", ")</f>
        <v>3, 2</v>
      </c>
      <c r="CB184" t="str">
        <f>SUBSTITUTE(TRIM(MID(SUBSTITUTE(SUBSTITUTE(SUBSTITUTE(Tabla1[[#This Row],[map]],"[",""),"]",""),",",REPT(" ",100)),601,300))," ",", ")</f>
        <v>4, 0, 1</v>
      </c>
      <c r="CC184" t="str">
        <f>SUBSTITUTE(TRIM(MID(SUBSTITUTE(SUBSTITUTE(SUBSTITUTE(Tabla1[[#This Row],[map]],"[",""),"]",""),",",REPT(" ",100)),1201,300))," ",", ")</f>
        <v>4, 0, 1</v>
      </c>
      <c r="CD184" t="str">
        <f>SUBSTITUTE(TRIM(MID(SUBSTITUTE(SUBSTITUTE(SUBSTITUTE(Tabla1[[#This Row],[map]],"[",""),"]",""),",",REPT(" ",100)),1,300))," ",", ")</f>
        <v>2, 3, 4</v>
      </c>
      <c r="CE184" t="str">
        <f>SUBSTITUTE(TRIM(MID(SUBSTITUTE(SUBSTITUTE(SUBSTITUTE(Tabla1[[#This Row],[map]],"[",""),"]",""),",",REPT(" ",100)),1,600))," ",", ")</f>
        <v>2, 3, 4, 0, 1, -1</v>
      </c>
      <c r="CF184" t="str">
        <f>SUBSTITUTE(TRIM(MID(SUBSTITUTE(SUBSTITUTE(SUBSTITUTE(Tabla1[[#This Row],[map]],"[",""),"]",""),",",REPT(" ",100)),601,600))," ",", ")</f>
        <v>4, 0, 1, 2, 3, -1</v>
      </c>
      <c r="CG184" t="str">
        <f>SUBSTITUTE(TRIM(MID(SUBSTITUTE(SUBSTITUTE(SUBSTITUTE(Tabla1[[#This Row],[map]],"[",""),"]",""),",",REPT(" ",100)),1201,600))," ",", ")</f>
        <v>4, 0, 1, 3, 2, -1</v>
      </c>
    </row>
    <row r="185" spans="1:85" x14ac:dyDescent="0.3">
      <c r="A185" s="1">
        <v>46099.469050925924</v>
      </c>
      <c r="B185" t="s">
        <v>372</v>
      </c>
      <c r="C185">
        <v>8</v>
      </c>
      <c r="D185" t="s">
        <v>96</v>
      </c>
      <c r="E185" t="s">
        <v>78</v>
      </c>
      <c r="F185">
        <v>16590</v>
      </c>
      <c r="G185">
        <v>4.5</v>
      </c>
      <c r="H185" t="s">
        <v>79</v>
      </c>
      <c r="I185" t="s">
        <v>80</v>
      </c>
      <c r="J185">
        <v>5</v>
      </c>
      <c r="K185">
        <v>5</v>
      </c>
      <c r="L185" t="s">
        <v>81</v>
      </c>
      <c r="M185" t="s">
        <v>82</v>
      </c>
      <c r="N185" t="s">
        <v>83</v>
      </c>
      <c r="O185" t="s">
        <v>83</v>
      </c>
      <c r="P185" t="s">
        <v>84</v>
      </c>
      <c r="Q185" t="s">
        <v>135</v>
      </c>
      <c r="R185">
        <v>3</v>
      </c>
      <c r="S185" t="s">
        <v>86</v>
      </c>
      <c r="T185" t="s">
        <v>87</v>
      </c>
      <c r="U185" t="s">
        <v>88</v>
      </c>
      <c r="V185">
        <v>1</v>
      </c>
      <c r="W185" t="s">
        <v>136</v>
      </c>
      <c r="X185" t="s">
        <v>83</v>
      </c>
      <c r="Y185" t="s">
        <v>90</v>
      </c>
      <c r="Z185">
        <v>4000</v>
      </c>
      <c r="AA185">
        <v>4000</v>
      </c>
      <c r="AC185">
        <v>256</v>
      </c>
      <c r="AD185" t="s">
        <v>91</v>
      </c>
      <c r="AE185">
        <v>0.15</v>
      </c>
      <c r="AF185" t="s">
        <v>92</v>
      </c>
      <c r="AG185">
        <v>180</v>
      </c>
      <c r="AH185">
        <v>60</v>
      </c>
      <c r="AI185">
        <v>120</v>
      </c>
      <c r="AJ185">
        <v>0.10493388459747539</v>
      </c>
      <c r="AK185">
        <v>33.335444865236852</v>
      </c>
      <c r="AL185">
        <v>0.71450395995749982</v>
      </c>
      <c r="AM185">
        <v>0.31381984266879648</v>
      </c>
      <c r="AN185">
        <v>39.117178645361982</v>
      </c>
      <c r="AO185">
        <v>0.64358142441851984</v>
      </c>
      <c r="AP185">
        <v>39.117178645361982</v>
      </c>
      <c r="AQ185">
        <v>39.117178645361982</v>
      </c>
      <c r="AR185">
        <v>0.64358142441851984</v>
      </c>
      <c r="AS185">
        <v>104.1301517261025</v>
      </c>
      <c r="AT185">
        <v>0.31842222187740232</v>
      </c>
      <c r="AU185">
        <v>0.8</v>
      </c>
      <c r="AV185" t="s">
        <v>93</v>
      </c>
      <c r="AW185">
        <v>8.1585902699960203E-2</v>
      </c>
      <c r="AX185">
        <v>0.40758085920899723</v>
      </c>
      <c r="AY185">
        <v>8.1585902699960203E-2</v>
      </c>
      <c r="AZ185">
        <v>8.1585902699960203E-2</v>
      </c>
      <c r="BA185">
        <v>0.40758085920899723</v>
      </c>
      <c r="BB185">
        <v>0.12939665225592131</v>
      </c>
      <c r="BC185">
        <v>6.0413000115981497E-2</v>
      </c>
      <c r="BD185">
        <v>5.6952163754003637E-2</v>
      </c>
      <c r="BE185">
        <v>0.80267291655003292</v>
      </c>
      <c r="BF185">
        <v>5.6952163754003637E-2</v>
      </c>
      <c r="BG185">
        <v>5.6952163754003637E-2</v>
      </c>
      <c r="BH185">
        <v>0.80267291655003292</v>
      </c>
      <c r="BI185">
        <v>8.7162794155347029E-2</v>
      </c>
      <c r="BJ185">
        <v>0.6979995346565675</v>
      </c>
      <c r="BK185">
        <v>4.7605327199298442E-2</v>
      </c>
      <c r="BL185">
        <v>0.80887966895049046</v>
      </c>
      <c r="BM185">
        <v>4.7605327199298442E-2</v>
      </c>
      <c r="BN185">
        <v>4.7605327199298442E-2</v>
      </c>
      <c r="BO185">
        <v>0.80887966895049046</v>
      </c>
      <c r="BP185">
        <v>7.4741048370090948E-2</v>
      </c>
      <c r="BQ185">
        <v>0.69993833153005414</v>
      </c>
      <c r="BR185">
        <v>156.2825711877945</v>
      </c>
      <c r="BS185">
        <v>0.55519225296456298</v>
      </c>
      <c r="BT185">
        <v>156.2825711877945</v>
      </c>
      <c r="BU185">
        <v>156.2825711877945</v>
      </c>
      <c r="BV185">
        <v>0.55519225296456298</v>
      </c>
      <c r="BW185">
        <v>416.22930640962812</v>
      </c>
      <c r="BX185">
        <v>-0.18466197879299201</v>
      </c>
      <c r="BY185" t="str">
        <f t="shared" si="7"/>
        <v>[[sv,wv],[yr],[ya]]</v>
      </c>
      <c r="BZ185" t="str">
        <f>SUBSTITUTE(TRIM(MID(SUBSTITUTE(SUBSTITUTE(SUBSTITUTE(Tabla1[[#This Row],[map]],"[",""),"]",""),",",REPT(" ",100)),901,200))," ",", ")</f>
        <v>2, 3</v>
      </c>
      <c r="CA185" t="str">
        <f>SUBSTITUTE(TRIM(MID(SUBSTITUTE(SUBSTITUTE(SUBSTITUTE(Tabla1[[#This Row],[map]],"[",""),"]",""),",",REPT(" ",100)),1501,200))," ",", ")</f>
        <v>3, 2</v>
      </c>
      <c r="CB185" t="str">
        <f>SUBSTITUTE(TRIM(MID(SUBSTITUTE(SUBSTITUTE(SUBSTITUTE(Tabla1[[#This Row],[map]],"[",""),"]",""),",",REPT(" ",100)),601,300))," ",", ")</f>
        <v>4, 0, 1</v>
      </c>
      <c r="CC185" t="str">
        <f>SUBSTITUTE(TRIM(MID(SUBSTITUTE(SUBSTITUTE(SUBSTITUTE(Tabla1[[#This Row],[map]],"[",""),"]",""),",",REPT(" ",100)),1201,300))," ",", ")</f>
        <v>4, 0, 1</v>
      </c>
      <c r="CD185" t="str">
        <f>SUBSTITUTE(TRIM(MID(SUBSTITUTE(SUBSTITUTE(SUBSTITUTE(Tabla1[[#This Row],[map]],"[",""),"]",""),",",REPT(" ",100)),1,300))," ",", ")</f>
        <v>2, 3, 4</v>
      </c>
      <c r="CE185" t="str">
        <f>SUBSTITUTE(TRIM(MID(SUBSTITUTE(SUBSTITUTE(SUBSTITUTE(Tabla1[[#This Row],[map]],"[",""),"]",""),",",REPT(" ",100)),1,600))," ",", ")</f>
        <v>2, 3, 4, 0, 1, -1</v>
      </c>
      <c r="CF185" t="str">
        <f>SUBSTITUTE(TRIM(MID(SUBSTITUTE(SUBSTITUTE(SUBSTITUTE(Tabla1[[#This Row],[map]],"[",""),"]",""),",",REPT(" ",100)),601,600))," ",", ")</f>
        <v>4, 0, 1, 2, 3, -1</v>
      </c>
      <c r="CG185" t="str">
        <f>SUBSTITUTE(TRIM(MID(SUBSTITUTE(SUBSTITUTE(SUBSTITUTE(Tabla1[[#This Row],[map]],"[",""),"]",""),",",REPT(" ",100)),1201,600))," ",", ")</f>
        <v>4, 0, 1, 3, 2, -1</v>
      </c>
    </row>
    <row r="186" spans="1:85" x14ac:dyDescent="0.3">
      <c r="A186" s="1">
        <v>46099.478935185187</v>
      </c>
      <c r="B186" t="s">
        <v>373</v>
      </c>
      <c r="C186">
        <v>6</v>
      </c>
      <c r="D186" t="s">
        <v>96</v>
      </c>
      <c r="E186" t="s">
        <v>78</v>
      </c>
      <c r="F186">
        <v>16590</v>
      </c>
      <c r="G186">
        <v>4.5</v>
      </c>
      <c r="H186" t="s">
        <v>79</v>
      </c>
      <c r="I186" t="s">
        <v>80</v>
      </c>
      <c r="J186">
        <v>5</v>
      </c>
      <c r="K186">
        <v>5</v>
      </c>
      <c r="L186" t="s">
        <v>81</v>
      </c>
      <c r="M186" t="s">
        <v>82</v>
      </c>
      <c r="N186" t="s">
        <v>83</v>
      </c>
      <c r="O186" t="s">
        <v>83</v>
      </c>
      <c r="P186" t="s">
        <v>84</v>
      </c>
      <c r="Q186" t="s">
        <v>135</v>
      </c>
      <c r="R186">
        <v>3</v>
      </c>
      <c r="S186" t="s">
        <v>86</v>
      </c>
      <c r="T186" t="s">
        <v>87</v>
      </c>
      <c r="U186" t="s">
        <v>88</v>
      </c>
      <c r="V186">
        <v>1</v>
      </c>
      <c r="W186" t="s">
        <v>136</v>
      </c>
      <c r="X186" t="s">
        <v>83</v>
      </c>
      <c r="Y186" t="s">
        <v>90</v>
      </c>
      <c r="Z186">
        <v>4000</v>
      </c>
      <c r="AA186">
        <v>4000</v>
      </c>
      <c r="AC186">
        <v>256</v>
      </c>
      <c r="AD186" t="s">
        <v>91</v>
      </c>
      <c r="AE186">
        <v>0.15</v>
      </c>
      <c r="AF186" t="s">
        <v>92</v>
      </c>
      <c r="AG186">
        <v>180</v>
      </c>
      <c r="AH186">
        <v>60</v>
      </c>
      <c r="AI186">
        <v>120</v>
      </c>
      <c r="AJ186">
        <v>0.1139754709258062</v>
      </c>
      <c r="AK186">
        <v>43.848403850883628</v>
      </c>
      <c r="AL186">
        <v>0.68607595931347998</v>
      </c>
      <c r="AM186">
        <v>0.22266734452310399</v>
      </c>
      <c r="AN186">
        <v>51.841411219050677</v>
      </c>
      <c r="AO186">
        <v>0.62587344289364455</v>
      </c>
      <c r="AP186">
        <v>51.841411219050677</v>
      </c>
      <c r="AQ186">
        <v>51.841411219050677</v>
      </c>
      <c r="AR186">
        <v>0.62587344289364455</v>
      </c>
      <c r="AS186">
        <v>108.00031903876859</v>
      </c>
      <c r="AT186">
        <v>0.21912683102524691</v>
      </c>
      <c r="AU186">
        <v>0.8</v>
      </c>
      <c r="AV186" t="s">
        <v>93</v>
      </c>
      <c r="AW186">
        <v>6.5159918725528745E-2</v>
      </c>
      <c r="AX186">
        <v>0.5268547409795572</v>
      </c>
      <c r="AY186">
        <v>6.5159918725528745E-2</v>
      </c>
      <c r="AZ186">
        <v>6.5159918725528745E-2</v>
      </c>
      <c r="BA186">
        <v>0.5268547409795572</v>
      </c>
      <c r="BB186">
        <v>0.13710103095902121</v>
      </c>
      <c r="BC186">
        <v>4.4692492892693947E-3</v>
      </c>
      <c r="BD186">
        <v>7.0553455548797481E-2</v>
      </c>
      <c r="BE186">
        <v>0.75554734547232361</v>
      </c>
      <c r="BF186">
        <v>7.0553455548797481E-2</v>
      </c>
      <c r="BG186">
        <v>7.0553455548797481E-2</v>
      </c>
      <c r="BH186">
        <v>0.75554734547232361</v>
      </c>
      <c r="BI186">
        <v>0.14650141075852291</v>
      </c>
      <c r="BJ186">
        <v>0.49240390178761689</v>
      </c>
      <c r="BK186">
        <v>4.7134361343742381E-2</v>
      </c>
      <c r="BL186">
        <v>0.81077044789315078</v>
      </c>
      <c r="BM186">
        <v>4.7134361343742381E-2</v>
      </c>
      <c r="BN186">
        <v>4.7134361343742381E-2</v>
      </c>
      <c r="BO186">
        <v>0.81077044789315078</v>
      </c>
      <c r="BP186">
        <v>9.7616422006916004E-2</v>
      </c>
      <c r="BQ186">
        <v>0.60810094190245678</v>
      </c>
      <c r="BR186">
        <v>207.18279714058451</v>
      </c>
      <c r="BS186">
        <v>0.41032123722955061</v>
      </c>
      <c r="BT186">
        <v>207.18279714058451</v>
      </c>
      <c r="BU186">
        <v>207.18279714058451</v>
      </c>
      <c r="BV186">
        <v>0.41032123722955061</v>
      </c>
      <c r="BW186">
        <v>431.620057291352</v>
      </c>
      <c r="BX186">
        <v>-0.22846676887836209</v>
      </c>
      <c r="BY186" t="str">
        <f t="shared" si="7"/>
        <v>[[sv,wv],[yr],[ya]]</v>
      </c>
      <c r="BZ186" t="str">
        <f>SUBSTITUTE(TRIM(MID(SUBSTITUTE(SUBSTITUTE(SUBSTITUTE(Tabla1[[#This Row],[map]],"[",""),"]",""),",",REPT(" ",100)),901,200))," ",", ")</f>
        <v>2, 3</v>
      </c>
      <c r="CA186" t="str">
        <f>SUBSTITUTE(TRIM(MID(SUBSTITUTE(SUBSTITUTE(SUBSTITUTE(Tabla1[[#This Row],[map]],"[",""),"]",""),",",REPT(" ",100)),1501,200))," ",", ")</f>
        <v>3, 2</v>
      </c>
      <c r="CB186" t="str">
        <f>SUBSTITUTE(TRIM(MID(SUBSTITUTE(SUBSTITUTE(SUBSTITUTE(Tabla1[[#This Row],[map]],"[",""),"]",""),",",REPT(" ",100)),601,300))," ",", ")</f>
        <v>4, 0, 1</v>
      </c>
      <c r="CC186" t="str">
        <f>SUBSTITUTE(TRIM(MID(SUBSTITUTE(SUBSTITUTE(SUBSTITUTE(Tabla1[[#This Row],[map]],"[",""),"]",""),",",REPT(" ",100)),1201,300))," ",", ")</f>
        <v>4, 0, 1</v>
      </c>
      <c r="CD186" t="str">
        <f>SUBSTITUTE(TRIM(MID(SUBSTITUTE(SUBSTITUTE(SUBSTITUTE(Tabla1[[#This Row],[map]],"[",""),"]",""),",",REPT(" ",100)),1,300))," ",", ")</f>
        <v>2, 3, 4</v>
      </c>
      <c r="CE186" t="str">
        <f>SUBSTITUTE(TRIM(MID(SUBSTITUTE(SUBSTITUTE(SUBSTITUTE(Tabla1[[#This Row],[map]],"[",""),"]",""),",",REPT(" ",100)),1,600))," ",", ")</f>
        <v>2, 3, 4, 0, 1, -1</v>
      </c>
      <c r="CF186" t="str">
        <f>SUBSTITUTE(TRIM(MID(SUBSTITUTE(SUBSTITUTE(SUBSTITUTE(Tabla1[[#This Row],[map]],"[",""),"]",""),",",REPT(" ",100)),601,600))," ",", ")</f>
        <v>4, 0, 1, 2, 3, -1</v>
      </c>
      <c r="CG186" t="str">
        <f>SUBSTITUTE(TRIM(MID(SUBSTITUTE(SUBSTITUTE(SUBSTITUTE(Tabla1[[#This Row],[map]],"[",""),"]",""),",",REPT(" ",100)),1201,600))," ",", ")</f>
        <v>4, 0, 1, 3, 2, -1</v>
      </c>
    </row>
    <row r="187" spans="1:85" x14ac:dyDescent="0.3">
      <c r="A187" s="1">
        <v>46099.483148148152</v>
      </c>
      <c r="B187" t="s">
        <v>374</v>
      </c>
      <c r="C187">
        <v>4</v>
      </c>
      <c r="D187" t="s">
        <v>77</v>
      </c>
      <c r="E187" t="s">
        <v>78</v>
      </c>
      <c r="F187">
        <v>16590</v>
      </c>
      <c r="G187">
        <v>4.5</v>
      </c>
      <c r="H187" t="s">
        <v>79</v>
      </c>
      <c r="I187" t="s">
        <v>80</v>
      </c>
      <c r="J187">
        <v>5</v>
      </c>
      <c r="K187">
        <v>5</v>
      </c>
      <c r="L187" t="s">
        <v>81</v>
      </c>
      <c r="M187" t="s">
        <v>82</v>
      </c>
      <c r="N187" t="s">
        <v>83</v>
      </c>
      <c r="O187" t="s">
        <v>83</v>
      </c>
      <c r="P187" t="s">
        <v>84</v>
      </c>
      <c r="Q187" t="s">
        <v>171</v>
      </c>
      <c r="R187">
        <v>3</v>
      </c>
      <c r="S187" t="s">
        <v>86</v>
      </c>
      <c r="T187" t="s">
        <v>87</v>
      </c>
      <c r="U187" t="s">
        <v>88</v>
      </c>
      <c r="V187">
        <v>1</v>
      </c>
      <c r="W187" t="s">
        <v>172</v>
      </c>
      <c r="X187" t="s">
        <v>83</v>
      </c>
      <c r="Y187" t="s">
        <v>90</v>
      </c>
      <c r="Z187">
        <v>4000</v>
      </c>
      <c r="AA187">
        <v>4000</v>
      </c>
      <c r="AC187">
        <v>256</v>
      </c>
      <c r="AD187" t="s">
        <v>91</v>
      </c>
      <c r="AE187">
        <v>0.15</v>
      </c>
      <c r="AF187" t="s">
        <v>92</v>
      </c>
      <c r="AG187">
        <v>180</v>
      </c>
      <c r="AH187">
        <v>60</v>
      </c>
      <c r="AI187">
        <v>120</v>
      </c>
      <c r="AJ187">
        <v>0.1207626966963072</v>
      </c>
      <c r="AK187">
        <v>38.562941390203761</v>
      </c>
      <c r="AL187">
        <v>0.71405679062231697</v>
      </c>
      <c r="AM187">
        <v>-0.33937033497832819</v>
      </c>
      <c r="AN187">
        <v>42.713625897182951</v>
      </c>
      <c r="AO187">
        <v>0.626179269163742</v>
      </c>
      <c r="AP187">
        <v>42.713625897182951</v>
      </c>
      <c r="AQ187">
        <v>42.713625897182951</v>
      </c>
      <c r="AR187">
        <v>0.626179269163742</v>
      </c>
      <c r="AS187">
        <v>121.8468751402722</v>
      </c>
      <c r="AT187">
        <v>-0.28648806527067278</v>
      </c>
      <c r="AU187">
        <v>0.8</v>
      </c>
      <c r="AV187" t="s">
        <v>93</v>
      </c>
      <c r="AW187">
        <v>6.5601970370512908E-2</v>
      </c>
      <c r="AX187">
        <v>0.52364487448252461</v>
      </c>
      <c r="AY187">
        <v>6.5601970370512908E-2</v>
      </c>
      <c r="AZ187">
        <v>6.5601970370512908E-2</v>
      </c>
      <c r="BA187">
        <v>0.52364487448252461</v>
      </c>
      <c r="BB187">
        <v>0.16189941379692749</v>
      </c>
      <c r="BC187">
        <v>-0.17559907339469349</v>
      </c>
      <c r="BD187">
        <v>4.7271036875072732E-2</v>
      </c>
      <c r="BE187">
        <v>0.83621595347098265</v>
      </c>
      <c r="BF187">
        <v>4.7271036875072732E-2</v>
      </c>
      <c r="BG187">
        <v>4.7271036875072732E-2</v>
      </c>
      <c r="BH187">
        <v>0.83621595347098265</v>
      </c>
      <c r="BI187">
        <v>0.3753601300077179</v>
      </c>
      <c r="BJ187">
        <v>-0.300542680305391</v>
      </c>
      <c r="BK187">
        <v>9.2023410814463913E-2</v>
      </c>
      <c r="BL187">
        <v>0.63055511276005793</v>
      </c>
      <c r="BM187">
        <v>9.2023410814463913E-2</v>
      </c>
      <c r="BN187">
        <v>9.2023410814463913E-2</v>
      </c>
      <c r="BO187">
        <v>0.63055511276005793</v>
      </c>
      <c r="BP187">
        <v>0.32008995695377879</v>
      </c>
      <c r="BQ187">
        <v>-0.28505993210631703</v>
      </c>
      <c r="BR187">
        <v>170.64960717067129</v>
      </c>
      <c r="BS187">
        <v>0.51430113594140281</v>
      </c>
      <c r="BT187">
        <v>170.64960717067129</v>
      </c>
      <c r="BU187">
        <v>170.64960717067129</v>
      </c>
      <c r="BV187">
        <v>0.51430113594140281</v>
      </c>
      <c r="BW187">
        <v>486.53015106033058</v>
      </c>
      <c r="BX187">
        <v>-0.38475057527629208</v>
      </c>
      <c r="BY187" t="str">
        <f t="shared" si="7"/>
        <v>[[sv,wv],[yr],[ya]]</v>
      </c>
      <c r="BZ187" t="str">
        <f>SUBSTITUTE(TRIM(MID(SUBSTITUTE(SUBSTITUTE(SUBSTITUTE(Tabla1[[#This Row],[map]],"[",""),"]",""),",",REPT(" ",100)),901,200))," ",", ")</f>
        <v>2, 4</v>
      </c>
      <c r="CA187" t="str">
        <f>SUBSTITUTE(TRIM(MID(SUBSTITUTE(SUBSTITUTE(SUBSTITUTE(Tabla1[[#This Row],[map]],"[",""),"]",""),",",REPT(" ",100)),1501,200))," ",", ")</f>
        <v>3, 2</v>
      </c>
      <c r="CB187" t="str">
        <f>SUBSTITUTE(TRIM(MID(SUBSTITUTE(SUBSTITUTE(SUBSTITUTE(Tabla1[[#This Row],[map]],"[",""),"]",""),",",REPT(" ",100)),601,300))," ",", ")</f>
        <v>3, 0, 1</v>
      </c>
      <c r="CC187" t="str">
        <f>SUBSTITUTE(TRIM(MID(SUBSTITUTE(SUBSTITUTE(SUBSTITUTE(Tabla1[[#This Row],[map]],"[",""),"]",""),",",REPT(" ",100)),1201,300))," ",", ")</f>
        <v>4, 0, 1</v>
      </c>
      <c r="CD187" t="str">
        <f>SUBSTITUTE(TRIM(MID(SUBSTITUTE(SUBSTITUTE(SUBSTITUTE(Tabla1[[#This Row],[map]],"[",""),"]",""),",",REPT(" ",100)),1,300))," ",", ")</f>
        <v>2, 3, 4</v>
      </c>
      <c r="CE187" t="str">
        <f>SUBSTITUTE(TRIM(MID(SUBSTITUTE(SUBSTITUTE(SUBSTITUTE(Tabla1[[#This Row],[map]],"[",""),"]",""),",",REPT(" ",100)),1,600))," ",", ")</f>
        <v>2, 3, 4, 0, 1, -1</v>
      </c>
      <c r="CF187" t="str">
        <f>SUBSTITUTE(TRIM(MID(SUBSTITUTE(SUBSTITUTE(SUBSTITUTE(Tabla1[[#This Row],[map]],"[",""),"]",""),",",REPT(" ",100)),601,600))," ",", ")</f>
        <v>3, 0, 1, 2, 4, -1</v>
      </c>
      <c r="CG187" t="str">
        <f>SUBSTITUTE(TRIM(MID(SUBSTITUTE(SUBSTITUTE(SUBSTITUTE(Tabla1[[#This Row],[map]],"[",""),"]",""),",",REPT(" ",100)),1201,600))," ",", ")</f>
        <v>4, 0, 1, 3, 2, -1</v>
      </c>
    </row>
    <row r="188" spans="1:85" x14ac:dyDescent="0.3">
      <c r="A188" s="1">
        <v>46099.479710648149</v>
      </c>
      <c r="B188" t="s">
        <v>375</v>
      </c>
      <c r="C188">
        <v>9</v>
      </c>
      <c r="D188" t="s">
        <v>96</v>
      </c>
      <c r="E188" t="s">
        <v>78</v>
      </c>
      <c r="F188">
        <v>16590</v>
      </c>
      <c r="G188">
        <v>4.5</v>
      </c>
      <c r="H188" t="s">
        <v>79</v>
      </c>
      <c r="I188" t="s">
        <v>80</v>
      </c>
      <c r="J188">
        <v>5</v>
      </c>
      <c r="K188">
        <v>5</v>
      </c>
      <c r="L188" t="s">
        <v>81</v>
      </c>
      <c r="M188" t="s">
        <v>82</v>
      </c>
      <c r="N188" t="s">
        <v>83</v>
      </c>
      <c r="O188" t="s">
        <v>83</v>
      </c>
      <c r="P188" t="s">
        <v>84</v>
      </c>
      <c r="Q188" t="s">
        <v>135</v>
      </c>
      <c r="R188">
        <v>3</v>
      </c>
      <c r="S188" t="s">
        <v>86</v>
      </c>
      <c r="T188" t="s">
        <v>87</v>
      </c>
      <c r="U188" t="s">
        <v>88</v>
      </c>
      <c r="V188">
        <v>1</v>
      </c>
      <c r="W188" t="s">
        <v>136</v>
      </c>
      <c r="X188" t="s">
        <v>83</v>
      </c>
      <c r="Y188" t="s">
        <v>90</v>
      </c>
      <c r="Z188">
        <v>4000</v>
      </c>
      <c r="AA188">
        <v>4000</v>
      </c>
      <c r="AC188">
        <v>256</v>
      </c>
      <c r="AD188" t="s">
        <v>91</v>
      </c>
      <c r="AE188">
        <v>0.15</v>
      </c>
      <c r="AF188" t="s">
        <v>92</v>
      </c>
      <c r="AG188">
        <v>180</v>
      </c>
      <c r="AH188">
        <v>60</v>
      </c>
      <c r="AI188">
        <v>120</v>
      </c>
      <c r="AJ188">
        <v>0.12191443882167401</v>
      </c>
      <c r="AK188">
        <v>50.559038219076328</v>
      </c>
      <c r="AL188">
        <v>0.70061040360947091</v>
      </c>
      <c r="AM188">
        <v>-5.7193820744580737E-2</v>
      </c>
      <c r="AN188">
        <v>53.577455356441362</v>
      </c>
      <c r="AO188">
        <v>0.67251071062714196</v>
      </c>
      <c r="AP188">
        <v>53.577455356441362</v>
      </c>
      <c r="AQ188">
        <v>53.577455356441362</v>
      </c>
      <c r="AR188">
        <v>0.67251071062714196</v>
      </c>
      <c r="AS188">
        <v>96.585109929867855</v>
      </c>
      <c r="AT188">
        <v>-3.1184094528426409E-3</v>
      </c>
      <c r="AU188">
        <v>0.8</v>
      </c>
      <c r="AV188" t="s">
        <v>93</v>
      </c>
      <c r="AW188">
        <v>5.1008837999910052E-2</v>
      </c>
      <c r="AX188">
        <v>0.62960988380816296</v>
      </c>
      <c r="AY188">
        <v>5.1008837999910052E-2</v>
      </c>
      <c r="AZ188">
        <v>5.1008837999910052E-2</v>
      </c>
      <c r="BA188">
        <v>0.62960988380816296</v>
      </c>
      <c r="BB188">
        <v>0.1065112365440621</v>
      </c>
      <c r="BC188">
        <v>0.22659070807766729</v>
      </c>
      <c r="BD188">
        <v>4.1854045720194653E-2</v>
      </c>
      <c r="BE188">
        <v>0.85498467085077179</v>
      </c>
      <c r="BF188">
        <v>4.1854045720194653E-2</v>
      </c>
      <c r="BG188">
        <v>4.1854045720194653E-2</v>
      </c>
      <c r="BH188">
        <v>0.85498467085077179</v>
      </c>
      <c r="BI188">
        <v>0.35613039317374112</v>
      </c>
      <c r="BJ188">
        <v>-0.23391574930152231</v>
      </c>
      <c r="BK188">
        <v>4.6076762841653379E-2</v>
      </c>
      <c r="BL188">
        <v>0.81501637135861738</v>
      </c>
      <c r="BM188">
        <v>4.6076762841653379E-2</v>
      </c>
      <c r="BN188">
        <v>4.6076762841653379E-2</v>
      </c>
      <c r="BO188">
        <v>0.81501637135861738</v>
      </c>
      <c r="BP188">
        <v>0.22604912484475961</v>
      </c>
      <c r="BQ188">
        <v>9.2484263517066179E-2</v>
      </c>
      <c r="BR188">
        <v>214.1708817792028</v>
      </c>
      <c r="BS188">
        <v>0.39043191649101677</v>
      </c>
      <c r="BT188">
        <v>214.1708817792028</v>
      </c>
      <c r="BU188">
        <v>214.1708817792028</v>
      </c>
      <c r="BV188">
        <v>0.39043191649101677</v>
      </c>
      <c r="BW188">
        <v>385.6517489649089</v>
      </c>
      <c r="BX188">
        <v>-9.7632860104583497E-2</v>
      </c>
      <c r="BY188" t="str">
        <f t="shared" si="7"/>
        <v>[[sv,wv],[yr],[ya]]</v>
      </c>
      <c r="BZ188" t="str">
        <f>SUBSTITUTE(TRIM(MID(SUBSTITUTE(SUBSTITUTE(SUBSTITUTE(Tabla1[[#This Row],[map]],"[",""),"]",""),",",REPT(" ",100)),901,200))," ",", ")</f>
        <v>2, 3</v>
      </c>
      <c r="CA188" t="str">
        <f>SUBSTITUTE(TRIM(MID(SUBSTITUTE(SUBSTITUTE(SUBSTITUTE(Tabla1[[#This Row],[map]],"[",""),"]",""),",",REPT(" ",100)),1501,200))," ",", ")</f>
        <v>3, 2</v>
      </c>
      <c r="CB188" t="str">
        <f>SUBSTITUTE(TRIM(MID(SUBSTITUTE(SUBSTITUTE(SUBSTITUTE(Tabla1[[#This Row],[map]],"[",""),"]",""),",",REPT(" ",100)),601,300))," ",", ")</f>
        <v>4, 0, 1</v>
      </c>
      <c r="CC188" t="str">
        <f>SUBSTITUTE(TRIM(MID(SUBSTITUTE(SUBSTITUTE(SUBSTITUTE(Tabla1[[#This Row],[map]],"[",""),"]",""),",",REPT(" ",100)),1201,300))," ",", ")</f>
        <v>4, 0, 1</v>
      </c>
      <c r="CD188" t="str">
        <f>SUBSTITUTE(TRIM(MID(SUBSTITUTE(SUBSTITUTE(SUBSTITUTE(Tabla1[[#This Row],[map]],"[",""),"]",""),",",REPT(" ",100)),1,300))," ",", ")</f>
        <v>2, 3, 4</v>
      </c>
      <c r="CE188" t="str">
        <f>SUBSTITUTE(TRIM(MID(SUBSTITUTE(SUBSTITUTE(SUBSTITUTE(Tabla1[[#This Row],[map]],"[",""),"]",""),",",REPT(" ",100)),1,600))," ",", ")</f>
        <v>2, 3, 4, 0, 1, -1</v>
      </c>
      <c r="CF188" t="str">
        <f>SUBSTITUTE(TRIM(MID(SUBSTITUTE(SUBSTITUTE(SUBSTITUTE(Tabla1[[#This Row],[map]],"[",""),"]",""),",",REPT(" ",100)),601,600))," ",", ")</f>
        <v>4, 0, 1, 2, 3, -1</v>
      </c>
      <c r="CG188" t="str">
        <f>SUBSTITUTE(TRIM(MID(SUBSTITUTE(SUBSTITUTE(SUBSTITUTE(Tabla1[[#This Row],[map]],"[",""),"]",""),",",REPT(" ",100)),1201,600))," ",", ")</f>
        <v>4, 0, 1, 3, 2, -1</v>
      </c>
    </row>
    <row r="189" spans="1:85" x14ac:dyDescent="0.3">
      <c r="A189" s="1">
        <v>46099.506932870368</v>
      </c>
      <c r="B189" t="s">
        <v>376</v>
      </c>
      <c r="C189">
        <v>5</v>
      </c>
      <c r="D189" t="s">
        <v>96</v>
      </c>
      <c r="E189" t="s">
        <v>78</v>
      </c>
      <c r="F189">
        <v>16590</v>
      </c>
      <c r="G189">
        <v>4.5</v>
      </c>
      <c r="H189" t="s">
        <v>79</v>
      </c>
      <c r="I189" t="s">
        <v>80</v>
      </c>
      <c r="J189">
        <v>5</v>
      </c>
      <c r="K189">
        <v>5</v>
      </c>
      <c r="L189" t="s">
        <v>81</v>
      </c>
      <c r="M189" t="s">
        <v>82</v>
      </c>
      <c r="N189" t="s">
        <v>83</v>
      </c>
      <c r="O189" t="s">
        <v>83</v>
      </c>
      <c r="P189" t="s">
        <v>84</v>
      </c>
      <c r="Q189" t="s">
        <v>171</v>
      </c>
      <c r="R189">
        <v>3</v>
      </c>
      <c r="S189" t="s">
        <v>86</v>
      </c>
      <c r="T189" t="s">
        <v>87</v>
      </c>
      <c r="U189" t="s">
        <v>88</v>
      </c>
      <c r="V189">
        <v>1</v>
      </c>
      <c r="W189" t="s">
        <v>172</v>
      </c>
      <c r="X189" t="s">
        <v>83</v>
      </c>
      <c r="Y189" t="s">
        <v>90</v>
      </c>
      <c r="Z189">
        <v>4000</v>
      </c>
      <c r="AA189">
        <v>4000</v>
      </c>
      <c r="AC189">
        <v>256</v>
      </c>
      <c r="AD189" t="s">
        <v>91</v>
      </c>
      <c r="AE189">
        <v>0.15</v>
      </c>
      <c r="AF189" t="s">
        <v>92</v>
      </c>
      <c r="AG189">
        <v>180</v>
      </c>
      <c r="AH189">
        <v>60</v>
      </c>
      <c r="AI189">
        <v>120</v>
      </c>
      <c r="AJ189">
        <v>0.1422675840675309</v>
      </c>
      <c r="AK189">
        <v>45.663314178500208</v>
      </c>
      <c r="AL189">
        <v>0.63255407540014696</v>
      </c>
      <c r="AM189">
        <v>-0.18825419635760179</v>
      </c>
      <c r="AN189">
        <v>49.2892792726011</v>
      </c>
      <c r="AO189">
        <v>0.55116922735277407</v>
      </c>
      <c r="AP189">
        <v>49.2892792726011</v>
      </c>
      <c r="AQ189">
        <v>49.2892792726011</v>
      </c>
      <c r="AR189">
        <v>0.55116922735277407</v>
      </c>
      <c r="AS189">
        <v>90.039591863854028</v>
      </c>
      <c r="AT189">
        <v>-0.1791608078629523</v>
      </c>
      <c r="AU189">
        <v>0.8</v>
      </c>
      <c r="AV189" t="s">
        <v>93</v>
      </c>
      <c r="AW189">
        <v>6.7027708479876907E-2</v>
      </c>
      <c r="AX189">
        <v>0.51329217238828373</v>
      </c>
      <c r="AY189">
        <v>6.7027708479876907E-2</v>
      </c>
      <c r="AZ189">
        <v>6.7027708479876907E-2</v>
      </c>
      <c r="BA189">
        <v>0.51329217238828373</v>
      </c>
      <c r="BB189">
        <v>0.15077647289131599</v>
      </c>
      <c r="BC189">
        <v>-9.4832140918567509E-2</v>
      </c>
      <c r="BD189">
        <v>8.4367213412305686E-2</v>
      </c>
      <c r="BE189">
        <v>0.70768562484544928</v>
      </c>
      <c r="BF189">
        <v>8.4367213412305686E-2</v>
      </c>
      <c r="BG189">
        <v>8.4367213412305686E-2</v>
      </c>
      <c r="BH189">
        <v>0.70768562484544928</v>
      </c>
      <c r="BI189">
        <v>0.33071276744321881</v>
      </c>
      <c r="BJ189">
        <v>-0.14584910489287631</v>
      </c>
      <c r="BK189">
        <v>0.1135608987044959</v>
      </c>
      <c r="BL189">
        <v>0.54408891123002467</v>
      </c>
      <c r="BM189">
        <v>0.1135608987044959</v>
      </c>
      <c r="BN189">
        <v>0.1135608987044959</v>
      </c>
      <c r="BO189">
        <v>0.54408891123002467</v>
      </c>
      <c r="BP189">
        <v>0.36199327082253641</v>
      </c>
      <c r="BQ189">
        <v>-0.4532884831913826</v>
      </c>
      <c r="BR189">
        <v>196.8921612698083</v>
      </c>
      <c r="BS189">
        <v>0.43961020094733883</v>
      </c>
      <c r="BT189">
        <v>196.8921612698083</v>
      </c>
      <c r="BU189">
        <v>196.8921612698083</v>
      </c>
      <c r="BV189">
        <v>0.43961020094733883</v>
      </c>
      <c r="BW189">
        <v>359.31488494425889</v>
      </c>
      <c r="BX189">
        <v>-2.2673502448975039E-2</v>
      </c>
      <c r="BY189" t="str">
        <f t="shared" si="7"/>
        <v>[[sv,wv],[yr],[ya]]</v>
      </c>
      <c r="BZ189" t="str">
        <f>SUBSTITUTE(TRIM(MID(SUBSTITUTE(SUBSTITUTE(SUBSTITUTE(Tabla1[[#This Row],[map]],"[",""),"]",""),",",REPT(" ",100)),901,200))," ",", ")</f>
        <v>2, 4</v>
      </c>
      <c r="CA189" t="str">
        <f>SUBSTITUTE(TRIM(MID(SUBSTITUTE(SUBSTITUTE(SUBSTITUTE(Tabla1[[#This Row],[map]],"[",""),"]",""),",",REPT(" ",100)),1501,200))," ",", ")</f>
        <v>3, 2</v>
      </c>
      <c r="CB189" t="str">
        <f>SUBSTITUTE(TRIM(MID(SUBSTITUTE(SUBSTITUTE(SUBSTITUTE(Tabla1[[#This Row],[map]],"[",""),"]",""),",",REPT(" ",100)),601,300))," ",", ")</f>
        <v>3, 0, 1</v>
      </c>
      <c r="CC189" t="str">
        <f>SUBSTITUTE(TRIM(MID(SUBSTITUTE(SUBSTITUTE(SUBSTITUTE(Tabla1[[#This Row],[map]],"[",""),"]",""),",",REPT(" ",100)),1201,300))," ",", ")</f>
        <v>4, 0, 1</v>
      </c>
      <c r="CD189" t="str">
        <f>SUBSTITUTE(TRIM(MID(SUBSTITUTE(SUBSTITUTE(SUBSTITUTE(Tabla1[[#This Row],[map]],"[",""),"]",""),",",REPT(" ",100)),1,300))," ",", ")</f>
        <v>2, 3, 4</v>
      </c>
      <c r="CE189" t="str">
        <f>SUBSTITUTE(TRIM(MID(SUBSTITUTE(SUBSTITUTE(SUBSTITUTE(Tabla1[[#This Row],[map]],"[",""),"]",""),",",REPT(" ",100)),1,600))," ",", ")</f>
        <v>2, 3, 4, 0, 1, -1</v>
      </c>
      <c r="CF189" t="str">
        <f>SUBSTITUTE(TRIM(MID(SUBSTITUTE(SUBSTITUTE(SUBSTITUTE(Tabla1[[#This Row],[map]],"[",""),"]",""),",",REPT(" ",100)),601,600))," ",", ")</f>
        <v>3, 0, 1, 2, 4, -1</v>
      </c>
      <c r="CG189" t="str">
        <f>SUBSTITUTE(TRIM(MID(SUBSTITUTE(SUBSTITUTE(SUBSTITUTE(Tabla1[[#This Row],[map]],"[",""),"]",""),",",REPT(" ",100)),1201,600))," ",", ")</f>
        <v>4, 0, 1, 3, 2, -1</v>
      </c>
    </row>
    <row r="190" spans="1:85" x14ac:dyDescent="0.3">
      <c r="A190" s="1">
        <v>46099.608749999999</v>
      </c>
      <c r="B190" t="s">
        <v>377</v>
      </c>
      <c r="C190">
        <v>7</v>
      </c>
      <c r="D190" t="s">
        <v>77</v>
      </c>
      <c r="E190" t="s">
        <v>78</v>
      </c>
      <c r="F190">
        <v>16590</v>
      </c>
      <c r="G190">
        <v>4.5</v>
      </c>
      <c r="H190" t="s">
        <v>79</v>
      </c>
      <c r="I190" t="s">
        <v>80</v>
      </c>
      <c r="J190">
        <v>5</v>
      </c>
      <c r="K190">
        <v>5</v>
      </c>
      <c r="L190" t="s">
        <v>81</v>
      </c>
      <c r="M190" t="s">
        <v>82</v>
      </c>
      <c r="N190" t="s">
        <v>83</v>
      </c>
      <c r="O190" t="s">
        <v>83</v>
      </c>
      <c r="P190" t="s">
        <v>84</v>
      </c>
      <c r="Q190" t="s">
        <v>141</v>
      </c>
      <c r="R190">
        <v>3</v>
      </c>
      <c r="S190" t="s">
        <v>86</v>
      </c>
      <c r="T190" t="s">
        <v>87</v>
      </c>
      <c r="U190" t="s">
        <v>88</v>
      </c>
      <c r="V190">
        <v>1</v>
      </c>
      <c r="W190" t="s">
        <v>142</v>
      </c>
      <c r="X190" t="s">
        <v>83</v>
      </c>
      <c r="Y190" t="s">
        <v>90</v>
      </c>
      <c r="Z190">
        <v>4000</v>
      </c>
      <c r="AA190">
        <v>4000</v>
      </c>
      <c r="AC190">
        <v>256</v>
      </c>
      <c r="AD190" t="s">
        <v>91</v>
      </c>
      <c r="AE190">
        <v>0.15</v>
      </c>
      <c r="AF190" t="s">
        <v>92</v>
      </c>
      <c r="AG190">
        <v>180</v>
      </c>
      <c r="AH190">
        <v>60</v>
      </c>
      <c r="AI190">
        <v>120</v>
      </c>
      <c r="AJ190">
        <v>9.8661679952652695E-2</v>
      </c>
      <c r="AK190">
        <v>14.930752597664361</v>
      </c>
      <c r="AL190">
        <v>0.72640172328114727</v>
      </c>
      <c r="AM190">
        <v>0.13945531857623289</v>
      </c>
      <c r="AN190">
        <v>19.789269101809641</v>
      </c>
      <c r="AO190">
        <v>0.69909907323021458</v>
      </c>
      <c r="AP190">
        <v>19.789269101809641</v>
      </c>
      <c r="AQ190">
        <v>19.789269101809641</v>
      </c>
      <c r="AR190">
        <v>0.69909907323021458</v>
      </c>
      <c r="AS190">
        <v>116.0927247589736</v>
      </c>
      <c r="AT190">
        <v>0.1067827824344707</v>
      </c>
      <c r="AU190">
        <v>0.8</v>
      </c>
      <c r="AV190" t="s">
        <v>93</v>
      </c>
      <c r="AW190">
        <v>9.1107716715401743E-2</v>
      </c>
      <c r="AX190">
        <v>0.33844017814618449</v>
      </c>
      <c r="AY190">
        <v>9.1107716715401743E-2</v>
      </c>
      <c r="AZ190">
        <v>9.1107716715401743E-2</v>
      </c>
      <c r="BA190">
        <v>0.33844017814618449</v>
      </c>
      <c r="BB190">
        <v>0.15304213741020159</v>
      </c>
      <c r="BC190">
        <v>-0.111283794735956</v>
      </c>
      <c r="BD190">
        <v>3.8214398948690782E-2</v>
      </c>
      <c r="BE190">
        <v>0.86759526955095645</v>
      </c>
      <c r="BF190">
        <v>3.8214398948690782E-2</v>
      </c>
      <c r="BG190">
        <v>3.8214398948690782E-2</v>
      </c>
      <c r="BH190">
        <v>0.86759526955095645</v>
      </c>
      <c r="BI190">
        <v>0.24387642764520759</v>
      </c>
      <c r="BJ190">
        <v>0.15502026582716549</v>
      </c>
      <c r="BK190">
        <v>4.6041803556143242E-2</v>
      </c>
      <c r="BL190">
        <v>0.81515672183225196</v>
      </c>
      <c r="BM190">
        <v>4.6041803556143242E-2</v>
      </c>
      <c r="BN190">
        <v>4.6041803556143242E-2</v>
      </c>
      <c r="BO190">
        <v>0.81515672183225196</v>
      </c>
      <c r="BP190">
        <v>7.3795013421762506E-2</v>
      </c>
      <c r="BQ190">
        <v>0.70373636261493666</v>
      </c>
      <c r="BR190">
        <v>78.981712488018132</v>
      </c>
      <c r="BS190">
        <v>0.77520412339146538</v>
      </c>
      <c r="BT190">
        <v>78.981712488018132</v>
      </c>
      <c r="BU190">
        <v>78.981712488018132</v>
      </c>
      <c r="BV190">
        <v>0.77520412339146538</v>
      </c>
      <c r="BW190">
        <v>463.90018545741611</v>
      </c>
      <c r="BX190">
        <v>-0.32034170396826722</v>
      </c>
      <c r="BY190" t="str">
        <f t="shared" si="7"/>
        <v>[[sv,wv],[yr],[ya]]</v>
      </c>
      <c r="BZ190" t="str">
        <f>SUBSTITUTE(TRIM(MID(SUBSTITUTE(SUBSTITUTE(SUBSTITUTE(Tabla1[[#This Row],[map]],"[",""),"]",""),",",REPT(" ",100)),901,200))," ",", ")</f>
        <v>2, 3</v>
      </c>
      <c r="CA190" t="str">
        <f>SUBSTITUTE(TRIM(MID(SUBSTITUTE(SUBSTITUTE(SUBSTITUTE(Tabla1[[#This Row],[map]],"[",""),"]",""),",",REPT(" ",100)),1501,200))," ",", ")</f>
        <v>3, 4</v>
      </c>
      <c r="CB190" t="str">
        <f>SUBSTITUTE(TRIM(MID(SUBSTITUTE(SUBSTITUTE(SUBSTITUTE(Tabla1[[#This Row],[map]],"[",""),"]",""),",",REPT(" ",100)),601,300))," ",", ")</f>
        <v>4, 0, 1</v>
      </c>
      <c r="CC190" t="str">
        <f>SUBSTITUTE(TRIM(MID(SUBSTITUTE(SUBSTITUTE(SUBSTITUTE(Tabla1[[#This Row],[map]],"[",""),"]",""),",",REPT(" ",100)),1201,300))," ",", ")</f>
        <v>0, 1, 2</v>
      </c>
      <c r="CD190" t="str">
        <f>SUBSTITUTE(TRIM(MID(SUBSTITUTE(SUBSTITUTE(SUBSTITUTE(Tabla1[[#This Row],[map]],"[",""),"]",""),",",REPT(" ",100)),1,300))," ",", ")</f>
        <v>2, 3, 4</v>
      </c>
      <c r="CE190" t="str">
        <f>SUBSTITUTE(TRIM(MID(SUBSTITUTE(SUBSTITUTE(SUBSTITUTE(Tabla1[[#This Row],[map]],"[",""),"]",""),",",REPT(" ",100)),1,600))," ",", ")</f>
        <v>2, 3, 4, 0, 1, -1</v>
      </c>
      <c r="CF190" t="str">
        <f>SUBSTITUTE(TRIM(MID(SUBSTITUTE(SUBSTITUTE(SUBSTITUTE(Tabla1[[#This Row],[map]],"[",""),"]",""),",",REPT(" ",100)),601,600))," ",", ")</f>
        <v>4, 0, 1, 2, 3, -1</v>
      </c>
      <c r="CG190" t="str">
        <f>SUBSTITUTE(TRIM(MID(SUBSTITUTE(SUBSTITUTE(SUBSTITUTE(Tabla1[[#This Row],[map]],"[",""),"]",""),",",REPT(" ",100)),1201,600))," ",", ")</f>
        <v>0, 1, 2, 3, 4, -1</v>
      </c>
    </row>
    <row r="191" spans="1:85" x14ac:dyDescent="0.3">
      <c r="A191" s="1">
        <v>46099.628391203703</v>
      </c>
      <c r="B191" t="s">
        <v>378</v>
      </c>
      <c r="C191">
        <v>8</v>
      </c>
      <c r="D191" t="s">
        <v>96</v>
      </c>
      <c r="E191" t="s">
        <v>78</v>
      </c>
      <c r="F191">
        <v>16590</v>
      </c>
      <c r="G191">
        <v>4.5</v>
      </c>
      <c r="H191" t="s">
        <v>79</v>
      </c>
      <c r="I191" t="s">
        <v>80</v>
      </c>
      <c r="J191">
        <v>5</v>
      </c>
      <c r="K191">
        <v>5</v>
      </c>
      <c r="L191" t="s">
        <v>81</v>
      </c>
      <c r="M191" t="s">
        <v>82</v>
      </c>
      <c r="N191" t="s">
        <v>83</v>
      </c>
      <c r="O191" t="s">
        <v>83</v>
      </c>
      <c r="P191" t="s">
        <v>84</v>
      </c>
      <c r="Q191" t="s">
        <v>141</v>
      </c>
      <c r="R191">
        <v>3</v>
      </c>
      <c r="S191" t="s">
        <v>86</v>
      </c>
      <c r="T191" t="s">
        <v>87</v>
      </c>
      <c r="U191" t="s">
        <v>88</v>
      </c>
      <c r="V191">
        <v>1</v>
      </c>
      <c r="W191" t="s">
        <v>142</v>
      </c>
      <c r="X191" t="s">
        <v>83</v>
      </c>
      <c r="Y191" t="s">
        <v>90</v>
      </c>
      <c r="Z191">
        <v>4000</v>
      </c>
      <c r="AA191">
        <v>4000</v>
      </c>
      <c r="AC191">
        <v>256</v>
      </c>
      <c r="AD191" t="s">
        <v>91</v>
      </c>
      <c r="AE191">
        <v>0.15</v>
      </c>
      <c r="AF191" t="s">
        <v>92</v>
      </c>
      <c r="AG191">
        <v>180</v>
      </c>
      <c r="AH191">
        <v>60</v>
      </c>
      <c r="AI191">
        <v>120</v>
      </c>
      <c r="AJ191">
        <v>8.9268110389022992E-2</v>
      </c>
      <c r="AK191">
        <v>16.531718727299399</v>
      </c>
      <c r="AL191">
        <v>0.75860565990063544</v>
      </c>
      <c r="AM191">
        <v>0.44655774668023612</v>
      </c>
      <c r="AN191">
        <v>17.177645588229179</v>
      </c>
      <c r="AO191">
        <v>0.69371272079195812</v>
      </c>
      <c r="AP191">
        <v>17.177645588229179</v>
      </c>
      <c r="AQ191">
        <v>17.177645588229179</v>
      </c>
      <c r="AR191">
        <v>0.69371272079195812</v>
      </c>
      <c r="AS191">
        <v>59.527000185179212</v>
      </c>
      <c r="AT191">
        <v>0.43188691728976769</v>
      </c>
      <c r="AU191">
        <v>0.8</v>
      </c>
      <c r="AV191" t="s">
        <v>93</v>
      </c>
      <c r="AW191">
        <v>8.4702780898876881E-2</v>
      </c>
      <c r="AX191">
        <v>0.3849482934905899</v>
      </c>
      <c r="AY191">
        <v>8.4702780898876881E-2</v>
      </c>
      <c r="AZ191">
        <v>8.4702780898876881E-2</v>
      </c>
      <c r="BA191">
        <v>0.3849482934905899</v>
      </c>
      <c r="BB191">
        <v>0.12859342206448121</v>
      </c>
      <c r="BC191">
        <v>6.6245489849168671E-2</v>
      </c>
      <c r="BD191">
        <v>6.666168964181933E-2</v>
      </c>
      <c r="BE191">
        <v>0.76903148312881486</v>
      </c>
      <c r="BF191">
        <v>6.666168964181933E-2</v>
      </c>
      <c r="BG191">
        <v>6.666168964181933E-2</v>
      </c>
      <c r="BH191">
        <v>0.76903148312881486</v>
      </c>
      <c r="BI191">
        <v>0.1076153797223931</v>
      </c>
      <c r="BJ191">
        <v>0.62713569397110502</v>
      </c>
      <c r="BK191">
        <v>4.5863590627417558E-2</v>
      </c>
      <c r="BL191">
        <v>0.81587219037199676</v>
      </c>
      <c r="BM191">
        <v>4.5863590627417558E-2</v>
      </c>
      <c r="BN191">
        <v>4.5863590627417558E-2</v>
      </c>
      <c r="BO191">
        <v>0.81587219037199676</v>
      </c>
      <c r="BP191">
        <v>7.1989072657928699E-2</v>
      </c>
      <c r="BQ191">
        <v>0.7109866435592257</v>
      </c>
      <c r="BR191">
        <v>68.513354291748811</v>
      </c>
      <c r="BS191">
        <v>0.80499891617643438</v>
      </c>
      <c r="BT191">
        <v>68.513354291748811</v>
      </c>
      <c r="BU191">
        <v>68.513354291748811</v>
      </c>
      <c r="BV191">
        <v>0.80499891617643438</v>
      </c>
      <c r="BW191">
        <v>237.79980286627159</v>
      </c>
      <c r="BX191">
        <v>0.3231798417795787</v>
      </c>
      <c r="BY191" t="str">
        <f t="shared" si="7"/>
        <v>[[sv,wv],[yr],[ya]]</v>
      </c>
      <c r="BZ191" t="str">
        <f>SUBSTITUTE(TRIM(MID(SUBSTITUTE(SUBSTITUTE(SUBSTITUTE(Tabla1[[#This Row],[map]],"[",""),"]",""),",",REPT(" ",100)),901,200))," ",", ")</f>
        <v>2, 3</v>
      </c>
      <c r="CA191" t="str">
        <f>SUBSTITUTE(TRIM(MID(SUBSTITUTE(SUBSTITUTE(SUBSTITUTE(Tabla1[[#This Row],[map]],"[",""),"]",""),",",REPT(" ",100)),1501,200))," ",", ")</f>
        <v>3, 4</v>
      </c>
      <c r="CB191" t="str">
        <f>SUBSTITUTE(TRIM(MID(SUBSTITUTE(SUBSTITUTE(SUBSTITUTE(Tabla1[[#This Row],[map]],"[",""),"]",""),",",REPT(" ",100)),601,300))," ",", ")</f>
        <v>4, 0, 1</v>
      </c>
      <c r="CC191" t="str">
        <f>SUBSTITUTE(TRIM(MID(SUBSTITUTE(SUBSTITUTE(SUBSTITUTE(Tabla1[[#This Row],[map]],"[",""),"]",""),",",REPT(" ",100)),1201,300))," ",", ")</f>
        <v>0, 1, 2</v>
      </c>
      <c r="CD191" t="str">
        <f>SUBSTITUTE(TRIM(MID(SUBSTITUTE(SUBSTITUTE(SUBSTITUTE(Tabla1[[#This Row],[map]],"[",""),"]",""),",",REPT(" ",100)),1,300))," ",", ")</f>
        <v>2, 3, 4</v>
      </c>
      <c r="CE191" t="str">
        <f>SUBSTITUTE(TRIM(MID(SUBSTITUTE(SUBSTITUTE(SUBSTITUTE(Tabla1[[#This Row],[map]],"[",""),"]",""),",",REPT(" ",100)),1,600))," ",", ")</f>
        <v>2, 3, 4, 0, 1, -1</v>
      </c>
      <c r="CF191" t="str">
        <f>SUBSTITUTE(TRIM(MID(SUBSTITUTE(SUBSTITUTE(SUBSTITUTE(Tabla1[[#This Row],[map]],"[",""),"]",""),",",REPT(" ",100)),601,600))," ",", ")</f>
        <v>4, 0, 1, 2, 3, -1</v>
      </c>
      <c r="CG191" t="str">
        <f>SUBSTITUTE(TRIM(MID(SUBSTITUTE(SUBSTITUTE(SUBSTITUTE(Tabla1[[#This Row],[map]],"[",""),"]",""),",",REPT(" ",100)),1201,600))," ",", ")</f>
        <v>0, 1, 2, 3, 4, -1</v>
      </c>
    </row>
    <row r="192" spans="1:85" x14ac:dyDescent="0.3">
      <c r="A192" s="1">
        <v>46099.639988425923</v>
      </c>
      <c r="B192" t="s">
        <v>379</v>
      </c>
      <c r="C192">
        <v>4</v>
      </c>
      <c r="D192" t="s">
        <v>96</v>
      </c>
      <c r="E192" t="s">
        <v>78</v>
      </c>
      <c r="F192">
        <v>16590</v>
      </c>
      <c r="G192">
        <v>4.5</v>
      </c>
      <c r="H192" t="s">
        <v>79</v>
      </c>
      <c r="I192" t="s">
        <v>80</v>
      </c>
      <c r="J192">
        <v>5</v>
      </c>
      <c r="K192">
        <v>5</v>
      </c>
      <c r="L192" t="s">
        <v>81</v>
      </c>
      <c r="M192" t="s">
        <v>82</v>
      </c>
      <c r="N192" t="s">
        <v>83</v>
      </c>
      <c r="O192" t="s">
        <v>83</v>
      </c>
      <c r="P192" t="s">
        <v>84</v>
      </c>
      <c r="Q192" t="s">
        <v>177</v>
      </c>
      <c r="R192">
        <v>3</v>
      </c>
      <c r="S192" t="s">
        <v>86</v>
      </c>
      <c r="T192" t="s">
        <v>87</v>
      </c>
      <c r="U192" t="s">
        <v>88</v>
      </c>
      <c r="V192">
        <v>1</v>
      </c>
      <c r="W192" t="s">
        <v>178</v>
      </c>
      <c r="X192" t="s">
        <v>83</v>
      </c>
      <c r="Y192" t="s">
        <v>90</v>
      </c>
      <c r="Z192">
        <v>4000</v>
      </c>
      <c r="AA192">
        <v>4000</v>
      </c>
      <c r="AC192">
        <v>256</v>
      </c>
      <c r="AD192" t="s">
        <v>91</v>
      </c>
      <c r="AE192">
        <v>0.15</v>
      </c>
      <c r="AF192" t="s">
        <v>92</v>
      </c>
      <c r="AG192">
        <v>180</v>
      </c>
      <c r="AH192">
        <v>60</v>
      </c>
      <c r="AI192">
        <v>120</v>
      </c>
      <c r="AJ192">
        <v>0.1046625102045023</v>
      </c>
      <c r="AK192">
        <v>14.2942247083433</v>
      </c>
      <c r="AL192">
        <v>0.79374392161849894</v>
      </c>
      <c r="AM192">
        <v>-0.28290696146776262</v>
      </c>
      <c r="AN192">
        <v>15.75158155811582</v>
      </c>
      <c r="AO192">
        <v>0.71532589843041128</v>
      </c>
      <c r="AP192">
        <v>15.75158155811582</v>
      </c>
      <c r="AQ192">
        <v>15.75158155811582</v>
      </c>
      <c r="AR192">
        <v>0.71532589843041128</v>
      </c>
      <c r="AS192">
        <v>94.676924364511493</v>
      </c>
      <c r="AT192">
        <v>-0.21163051652617679</v>
      </c>
      <c r="AU192">
        <v>0.8</v>
      </c>
      <c r="AV192" t="s">
        <v>93</v>
      </c>
      <c r="AW192">
        <v>6.4211642876554204E-2</v>
      </c>
      <c r="AX192">
        <v>0.53374044972446555</v>
      </c>
      <c r="AY192">
        <v>6.4211642876554204E-2</v>
      </c>
      <c r="AZ192">
        <v>6.4211642876554204E-2</v>
      </c>
      <c r="BA192">
        <v>0.53374044972446555</v>
      </c>
      <c r="BB192">
        <v>0.26193369118724591</v>
      </c>
      <c r="BC192">
        <v>-0.90197726742122319</v>
      </c>
      <c r="BD192">
        <v>4.3416475445422271E-2</v>
      </c>
      <c r="BE192">
        <v>0.84957118555974054</v>
      </c>
      <c r="BF192">
        <v>4.3416475445422271E-2</v>
      </c>
      <c r="BG192">
        <v>4.3416475445422271E-2</v>
      </c>
      <c r="BH192">
        <v>0.84957118555974054</v>
      </c>
      <c r="BI192">
        <v>0.25637465208843829</v>
      </c>
      <c r="BJ192">
        <v>0.1117165875272795</v>
      </c>
      <c r="BK192">
        <v>8.5493806043969819E-2</v>
      </c>
      <c r="BL192">
        <v>0.65676941058716498</v>
      </c>
      <c r="BM192">
        <v>8.5493806043969819E-2</v>
      </c>
      <c r="BN192">
        <v>8.5493806043969819E-2</v>
      </c>
      <c r="BO192">
        <v>0.65676941058716498</v>
      </c>
      <c r="BP192">
        <v>0.24424411815619551</v>
      </c>
      <c r="BQ192">
        <v>1.94371204826943E-2</v>
      </c>
      <c r="BR192">
        <v>62.813204308097419</v>
      </c>
      <c r="BS192">
        <v>0.82122254785027826</v>
      </c>
      <c r="BT192">
        <v>62.813204308097419</v>
      </c>
      <c r="BU192">
        <v>62.813204308097419</v>
      </c>
      <c r="BV192">
        <v>0.82122254785027826</v>
      </c>
      <c r="BW192">
        <v>377.94514499661477</v>
      </c>
      <c r="BX192">
        <v>-7.5698506693465673E-2</v>
      </c>
      <c r="BY192" t="str">
        <f t="shared" si="7"/>
        <v>[[sv,wv],[yr],[ya]]</v>
      </c>
      <c r="BZ192" t="str">
        <f>SUBSTITUTE(TRIM(MID(SUBSTITUTE(SUBSTITUTE(SUBSTITUTE(Tabla1[[#This Row],[map]],"[",""),"]",""),",",REPT(" ",100)),901,200))," ",", ")</f>
        <v>2, 4</v>
      </c>
      <c r="CA192" t="str">
        <f>SUBSTITUTE(TRIM(MID(SUBSTITUTE(SUBSTITUTE(SUBSTITUTE(Tabla1[[#This Row],[map]],"[",""),"]",""),",",REPT(" ",100)),1501,200))," ",", ")</f>
        <v>3, 4</v>
      </c>
      <c r="CB192" t="str">
        <f>SUBSTITUTE(TRIM(MID(SUBSTITUTE(SUBSTITUTE(SUBSTITUTE(Tabla1[[#This Row],[map]],"[",""),"]",""),",",REPT(" ",100)),601,300))," ",", ")</f>
        <v>3, 0, 1</v>
      </c>
      <c r="CC192" t="str">
        <f>SUBSTITUTE(TRIM(MID(SUBSTITUTE(SUBSTITUTE(SUBSTITUTE(Tabla1[[#This Row],[map]],"[",""),"]",""),",",REPT(" ",100)),1201,300))," ",", ")</f>
        <v>0, 1, 2</v>
      </c>
      <c r="CD192" t="str">
        <f>SUBSTITUTE(TRIM(MID(SUBSTITUTE(SUBSTITUTE(SUBSTITUTE(Tabla1[[#This Row],[map]],"[",""),"]",""),",",REPT(" ",100)),1,300))," ",", ")</f>
        <v>2, 3, 4</v>
      </c>
      <c r="CE192" t="str">
        <f>SUBSTITUTE(TRIM(MID(SUBSTITUTE(SUBSTITUTE(SUBSTITUTE(Tabla1[[#This Row],[map]],"[",""),"]",""),",",REPT(" ",100)),1,600))," ",", ")</f>
        <v>2, 3, 4, 0, 1, -1</v>
      </c>
      <c r="CF192" t="str">
        <f>SUBSTITUTE(TRIM(MID(SUBSTITUTE(SUBSTITUTE(SUBSTITUTE(Tabla1[[#This Row],[map]],"[",""),"]",""),",",REPT(" ",100)),601,600))," ",", ")</f>
        <v>3, 0, 1, 2, 4, -1</v>
      </c>
      <c r="CG192" t="str">
        <f>SUBSTITUTE(TRIM(MID(SUBSTITUTE(SUBSTITUTE(SUBSTITUTE(Tabla1[[#This Row],[map]],"[",""),"]",""),",",REPT(" ",100)),1201,600))," ",", ")</f>
        <v>0, 1, 2, 3, 4, -1</v>
      </c>
    </row>
    <row r="193" spans="1:85" x14ac:dyDescent="0.3">
      <c r="A193" s="1">
        <v>46099.639016203713</v>
      </c>
      <c r="B193" t="s">
        <v>380</v>
      </c>
      <c r="C193">
        <v>6</v>
      </c>
      <c r="D193" t="s">
        <v>77</v>
      </c>
      <c r="E193" t="s">
        <v>78</v>
      </c>
      <c r="F193">
        <v>16590</v>
      </c>
      <c r="G193">
        <v>4.5</v>
      </c>
      <c r="H193" t="s">
        <v>79</v>
      </c>
      <c r="I193" t="s">
        <v>80</v>
      </c>
      <c r="J193">
        <v>5</v>
      </c>
      <c r="K193">
        <v>5</v>
      </c>
      <c r="L193" t="s">
        <v>81</v>
      </c>
      <c r="M193" t="s">
        <v>82</v>
      </c>
      <c r="N193" t="s">
        <v>83</v>
      </c>
      <c r="O193" t="s">
        <v>83</v>
      </c>
      <c r="P193" t="s">
        <v>84</v>
      </c>
      <c r="Q193" t="s">
        <v>141</v>
      </c>
      <c r="R193">
        <v>3</v>
      </c>
      <c r="S193" t="s">
        <v>86</v>
      </c>
      <c r="T193" t="s">
        <v>87</v>
      </c>
      <c r="U193" t="s">
        <v>88</v>
      </c>
      <c r="V193">
        <v>1</v>
      </c>
      <c r="W193" t="s">
        <v>142</v>
      </c>
      <c r="X193" t="s">
        <v>83</v>
      </c>
      <c r="Y193" t="s">
        <v>90</v>
      </c>
      <c r="Z193">
        <v>4000</v>
      </c>
      <c r="AA193">
        <v>4000</v>
      </c>
      <c r="AC193">
        <v>256</v>
      </c>
      <c r="AD193" t="s">
        <v>91</v>
      </c>
      <c r="AE193">
        <v>0.15</v>
      </c>
      <c r="AF193" t="s">
        <v>92</v>
      </c>
      <c r="AG193">
        <v>180</v>
      </c>
      <c r="AH193">
        <v>60</v>
      </c>
      <c r="AI193">
        <v>120</v>
      </c>
      <c r="AJ193">
        <v>9.7783119174769187E-2</v>
      </c>
      <c r="AK193">
        <v>19.1275810595724</v>
      </c>
      <c r="AL193">
        <v>0.75223813766250736</v>
      </c>
      <c r="AM193">
        <v>0.29910278223247039</v>
      </c>
      <c r="AN193">
        <v>20.23262887796902</v>
      </c>
      <c r="AO193">
        <v>0.69977556190168078</v>
      </c>
      <c r="AP193">
        <v>20.23262887796902</v>
      </c>
      <c r="AQ193">
        <v>20.23262887796902</v>
      </c>
      <c r="AR193">
        <v>0.69977556190168078</v>
      </c>
      <c r="AS193">
        <v>96.470620841791046</v>
      </c>
      <c r="AT193">
        <v>0.31612691555688122</v>
      </c>
      <c r="AU193">
        <v>0.8</v>
      </c>
      <c r="AV193" t="s">
        <v>93</v>
      </c>
      <c r="AW193">
        <v>6.827292192937634E-2</v>
      </c>
      <c r="AX193">
        <v>0.50425031273555954</v>
      </c>
      <c r="AY193">
        <v>6.827292192937634E-2</v>
      </c>
      <c r="AZ193">
        <v>6.827292192937634E-2</v>
      </c>
      <c r="BA193">
        <v>0.50425031273555954</v>
      </c>
      <c r="BB193">
        <v>0.131748305902397</v>
      </c>
      <c r="BC193">
        <v>4.3336954051912617E-2</v>
      </c>
      <c r="BD193">
        <v>7.212247374139609E-2</v>
      </c>
      <c r="BE193">
        <v>0.75011103254903011</v>
      </c>
      <c r="BF193">
        <v>7.212247374139609E-2</v>
      </c>
      <c r="BG193">
        <v>7.212247374139609E-2</v>
      </c>
      <c r="BH193">
        <v>0.75011103254903011</v>
      </c>
      <c r="BI193">
        <v>0.1197039736120287</v>
      </c>
      <c r="BJ193">
        <v>0.58525129804970866</v>
      </c>
      <c r="BK193">
        <v>5.6162836343407657E-2</v>
      </c>
      <c r="BL193">
        <v>0.77452397649333493</v>
      </c>
      <c r="BM193">
        <v>5.6162836343407657E-2</v>
      </c>
      <c r="BN193">
        <v>5.6162836343407657E-2</v>
      </c>
      <c r="BO193">
        <v>0.77452397649333493</v>
      </c>
      <c r="BP193">
        <v>6.6430082238158425E-2</v>
      </c>
      <c r="BQ193">
        <v>0.73330423177534465</v>
      </c>
      <c r="BR193">
        <v>80.733957279862295</v>
      </c>
      <c r="BS193">
        <v>0.77021692582880041</v>
      </c>
      <c r="BT193">
        <v>80.733957279862295</v>
      </c>
      <c r="BU193">
        <v>80.733957279862295</v>
      </c>
      <c r="BV193">
        <v>0.77021692582880041</v>
      </c>
      <c r="BW193">
        <v>385.56460100541352</v>
      </c>
      <c r="BX193">
        <v>-9.7384821649448838E-2</v>
      </c>
      <c r="BY193" t="str">
        <f t="shared" si="7"/>
        <v>[[sv,wv],[yr],[ya]]</v>
      </c>
      <c r="BZ193" t="str">
        <f>SUBSTITUTE(TRIM(MID(SUBSTITUTE(SUBSTITUTE(SUBSTITUTE(Tabla1[[#This Row],[map]],"[",""),"]",""),",",REPT(" ",100)),901,200))," ",", ")</f>
        <v>2, 3</v>
      </c>
      <c r="CA193" t="str">
        <f>SUBSTITUTE(TRIM(MID(SUBSTITUTE(SUBSTITUTE(SUBSTITUTE(Tabla1[[#This Row],[map]],"[",""),"]",""),",",REPT(" ",100)),1501,200))," ",", ")</f>
        <v>3, 4</v>
      </c>
      <c r="CB193" t="str">
        <f>SUBSTITUTE(TRIM(MID(SUBSTITUTE(SUBSTITUTE(SUBSTITUTE(Tabla1[[#This Row],[map]],"[",""),"]",""),",",REPT(" ",100)),601,300))," ",", ")</f>
        <v>4, 0, 1</v>
      </c>
      <c r="CC193" t="str">
        <f>SUBSTITUTE(TRIM(MID(SUBSTITUTE(SUBSTITUTE(SUBSTITUTE(Tabla1[[#This Row],[map]],"[",""),"]",""),",",REPT(" ",100)),1201,300))," ",", ")</f>
        <v>0, 1, 2</v>
      </c>
      <c r="CD193" t="str">
        <f>SUBSTITUTE(TRIM(MID(SUBSTITUTE(SUBSTITUTE(SUBSTITUTE(Tabla1[[#This Row],[map]],"[",""),"]",""),",",REPT(" ",100)),1,300))," ",", ")</f>
        <v>2, 3, 4</v>
      </c>
      <c r="CE193" t="str">
        <f>SUBSTITUTE(TRIM(MID(SUBSTITUTE(SUBSTITUTE(SUBSTITUTE(Tabla1[[#This Row],[map]],"[",""),"]",""),",",REPT(" ",100)),1,600))," ",", ")</f>
        <v>2, 3, 4, 0, 1, -1</v>
      </c>
      <c r="CF193" t="str">
        <f>SUBSTITUTE(TRIM(MID(SUBSTITUTE(SUBSTITUTE(SUBSTITUTE(Tabla1[[#This Row],[map]],"[",""),"]",""),",",REPT(" ",100)),601,600))," ",", ")</f>
        <v>4, 0, 1, 2, 3, -1</v>
      </c>
      <c r="CG193" t="str">
        <f>SUBSTITUTE(TRIM(MID(SUBSTITUTE(SUBSTITUTE(SUBSTITUTE(Tabla1[[#This Row],[map]],"[",""),"]",""),",",REPT(" ",100)),1201,600))," ",", ")</f>
        <v>0, 1, 2, 3, 4, -1</v>
      </c>
    </row>
    <row r="194" spans="1:85" x14ac:dyDescent="0.3">
      <c r="A194" s="1">
        <v>46099.640208333331</v>
      </c>
      <c r="B194" t="s">
        <v>381</v>
      </c>
      <c r="C194">
        <v>9</v>
      </c>
      <c r="D194" t="s">
        <v>96</v>
      </c>
      <c r="E194" t="s">
        <v>78</v>
      </c>
      <c r="F194">
        <v>16590</v>
      </c>
      <c r="G194">
        <v>4.5</v>
      </c>
      <c r="H194" t="s">
        <v>79</v>
      </c>
      <c r="I194" t="s">
        <v>80</v>
      </c>
      <c r="J194">
        <v>5</v>
      </c>
      <c r="K194">
        <v>5</v>
      </c>
      <c r="L194" t="s">
        <v>81</v>
      </c>
      <c r="M194" t="s">
        <v>82</v>
      </c>
      <c r="N194" t="s">
        <v>83</v>
      </c>
      <c r="O194" t="s">
        <v>83</v>
      </c>
      <c r="P194" t="s">
        <v>84</v>
      </c>
      <c r="Q194" t="s">
        <v>141</v>
      </c>
      <c r="R194">
        <v>3</v>
      </c>
      <c r="S194" t="s">
        <v>86</v>
      </c>
      <c r="T194" t="s">
        <v>87</v>
      </c>
      <c r="U194" t="s">
        <v>88</v>
      </c>
      <c r="V194">
        <v>1</v>
      </c>
      <c r="W194" t="s">
        <v>142</v>
      </c>
      <c r="X194" t="s">
        <v>83</v>
      </c>
      <c r="Y194" t="s">
        <v>90</v>
      </c>
      <c r="Z194">
        <v>4000</v>
      </c>
      <c r="AA194">
        <v>4000</v>
      </c>
      <c r="AC194">
        <v>256</v>
      </c>
      <c r="AD194" t="s">
        <v>91</v>
      </c>
      <c r="AE194">
        <v>0.15</v>
      </c>
      <c r="AF194" t="s">
        <v>92</v>
      </c>
      <c r="AG194">
        <v>180</v>
      </c>
      <c r="AH194">
        <v>60</v>
      </c>
      <c r="AI194">
        <v>120</v>
      </c>
      <c r="AJ194">
        <v>0.10100507133425569</v>
      </c>
      <c r="AK194">
        <v>16.840165476301259</v>
      </c>
      <c r="AL194">
        <v>0.80937542235929216</v>
      </c>
      <c r="AM194">
        <v>0.45054261409268631</v>
      </c>
      <c r="AN194">
        <v>18.96918642442818</v>
      </c>
      <c r="AO194">
        <v>0.7787259196313262</v>
      </c>
      <c r="AP194">
        <v>18.96918642442818</v>
      </c>
      <c r="AQ194">
        <v>18.96918642442818</v>
      </c>
      <c r="AR194">
        <v>0.7787259196313262</v>
      </c>
      <c r="AS194">
        <v>50.36648145694479</v>
      </c>
      <c r="AT194">
        <v>0.45443390266436212</v>
      </c>
      <c r="AU194">
        <v>0.8</v>
      </c>
      <c r="AV194" t="s">
        <v>93</v>
      </c>
      <c r="AW194">
        <v>5.2595355737196287E-2</v>
      </c>
      <c r="AX194">
        <v>0.61808971373381438</v>
      </c>
      <c r="AY194">
        <v>5.2595355737196287E-2</v>
      </c>
      <c r="AZ194">
        <v>5.2595355737196287E-2</v>
      </c>
      <c r="BA194">
        <v>0.61808971373381438</v>
      </c>
      <c r="BB194">
        <v>0.1476707843028951</v>
      </c>
      <c r="BC194">
        <v>-7.2280826240061602E-2</v>
      </c>
      <c r="BD194">
        <v>3.9516938843367343E-2</v>
      </c>
      <c r="BE194">
        <v>0.86308224701499203</v>
      </c>
      <c r="BF194">
        <v>3.9516938843367343E-2</v>
      </c>
      <c r="BG194">
        <v>3.9516938843367343E-2</v>
      </c>
      <c r="BH194">
        <v>0.86308224701499203</v>
      </c>
      <c r="BI194">
        <v>8.1691462954365482E-2</v>
      </c>
      <c r="BJ194">
        <v>0.71695652869004878</v>
      </c>
      <c r="BK194">
        <v>3.753189291732701E-2</v>
      </c>
      <c r="BL194">
        <v>0.84932132134615412</v>
      </c>
      <c r="BM194">
        <v>3.753189291732701E-2</v>
      </c>
      <c r="BN194">
        <v>3.753189291732701E-2</v>
      </c>
      <c r="BO194">
        <v>0.84932132134615412</v>
      </c>
      <c r="BP194">
        <v>6.335883658092302E-2</v>
      </c>
      <c r="BQ194">
        <v>0.74563431164829308</v>
      </c>
      <c r="BR194">
        <v>75.747101510214719</v>
      </c>
      <c r="BS194">
        <v>0.78441039643034405</v>
      </c>
      <c r="BT194">
        <v>75.747101510214719</v>
      </c>
      <c r="BU194">
        <v>75.747101510214719</v>
      </c>
      <c r="BV194">
        <v>0.78441039643034405</v>
      </c>
      <c r="BW194">
        <v>201.173204743941</v>
      </c>
      <c r="BX194">
        <v>0.42742559655916618</v>
      </c>
      <c r="BY194" t="str">
        <f t="shared" si="7"/>
        <v>[[sv,wv],[yr],[ya]]</v>
      </c>
      <c r="BZ194" t="str">
        <f>SUBSTITUTE(TRIM(MID(SUBSTITUTE(SUBSTITUTE(SUBSTITUTE(Tabla1[[#This Row],[map]],"[",""),"]",""),",",REPT(" ",100)),901,200))," ",", ")</f>
        <v>2, 3</v>
      </c>
      <c r="CA194" t="str">
        <f>SUBSTITUTE(TRIM(MID(SUBSTITUTE(SUBSTITUTE(SUBSTITUTE(Tabla1[[#This Row],[map]],"[",""),"]",""),",",REPT(" ",100)),1501,200))," ",", ")</f>
        <v>3, 4</v>
      </c>
      <c r="CB194" t="str">
        <f>SUBSTITUTE(TRIM(MID(SUBSTITUTE(SUBSTITUTE(SUBSTITUTE(Tabla1[[#This Row],[map]],"[",""),"]",""),",",REPT(" ",100)),601,300))," ",", ")</f>
        <v>4, 0, 1</v>
      </c>
      <c r="CC194" t="str">
        <f>SUBSTITUTE(TRIM(MID(SUBSTITUTE(SUBSTITUTE(SUBSTITUTE(Tabla1[[#This Row],[map]],"[",""),"]",""),",",REPT(" ",100)),1201,300))," ",", ")</f>
        <v>0, 1, 2</v>
      </c>
      <c r="CD194" t="str">
        <f>SUBSTITUTE(TRIM(MID(SUBSTITUTE(SUBSTITUTE(SUBSTITUTE(Tabla1[[#This Row],[map]],"[",""),"]",""),",",REPT(" ",100)),1,300))," ",", ")</f>
        <v>2, 3, 4</v>
      </c>
      <c r="CE194" t="str">
        <f>SUBSTITUTE(TRIM(MID(SUBSTITUTE(SUBSTITUTE(SUBSTITUTE(Tabla1[[#This Row],[map]],"[",""),"]",""),",",REPT(" ",100)),1,600))," ",", ")</f>
        <v>2, 3, 4, 0, 1, -1</v>
      </c>
      <c r="CF194" t="str">
        <f>SUBSTITUTE(TRIM(MID(SUBSTITUTE(SUBSTITUTE(SUBSTITUTE(Tabla1[[#This Row],[map]],"[",""),"]",""),",",REPT(" ",100)),601,600))," ",", ")</f>
        <v>4, 0, 1, 2, 3, -1</v>
      </c>
      <c r="CG194" t="str">
        <f>SUBSTITUTE(TRIM(MID(SUBSTITUTE(SUBSTITUTE(SUBSTITUTE(Tabla1[[#This Row],[map]],"[",""),"]",""),",",REPT(" ",100)),1201,600))," ",", ")</f>
        <v>0, 1, 2, 3, 4, -1</v>
      </c>
    </row>
    <row r="195" spans="1:85" x14ac:dyDescent="0.3">
      <c r="A195" s="1">
        <v>46099.666493055563</v>
      </c>
      <c r="B195" t="s">
        <v>382</v>
      </c>
      <c r="C195">
        <v>5</v>
      </c>
      <c r="D195" t="s">
        <v>77</v>
      </c>
      <c r="E195" t="s">
        <v>78</v>
      </c>
      <c r="F195">
        <v>16590</v>
      </c>
      <c r="G195">
        <v>4.5</v>
      </c>
      <c r="H195" t="s">
        <v>79</v>
      </c>
      <c r="I195" t="s">
        <v>80</v>
      </c>
      <c r="J195">
        <v>5</v>
      </c>
      <c r="K195">
        <v>5</v>
      </c>
      <c r="L195" t="s">
        <v>81</v>
      </c>
      <c r="M195" t="s">
        <v>82</v>
      </c>
      <c r="N195" t="s">
        <v>83</v>
      </c>
      <c r="O195" t="s">
        <v>83</v>
      </c>
      <c r="P195" t="s">
        <v>84</v>
      </c>
      <c r="Q195" t="s">
        <v>177</v>
      </c>
      <c r="R195">
        <v>3</v>
      </c>
      <c r="S195" t="s">
        <v>86</v>
      </c>
      <c r="T195" t="s">
        <v>87</v>
      </c>
      <c r="U195" t="s">
        <v>88</v>
      </c>
      <c r="V195">
        <v>1</v>
      </c>
      <c r="W195" t="s">
        <v>178</v>
      </c>
      <c r="X195" t="s">
        <v>83</v>
      </c>
      <c r="Y195" t="s">
        <v>90</v>
      </c>
      <c r="Z195">
        <v>4000</v>
      </c>
      <c r="AA195">
        <v>4000</v>
      </c>
      <c r="AC195">
        <v>256</v>
      </c>
      <c r="AD195" t="s">
        <v>91</v>
      </c>
      <c r="AE195">
        <v>0.15</v>
      </c>
      <c r="AF195" t="s">
        <v>92</v>
      </c>
      <c r="AG195">
        <v>180</v>
      </c>
      <c r="AH195">
        <v>60</v>
      </c>
      <c r="AI195">
        <v>120</v>
      </c>
      <c r="AJ195">
        <v>0.1136005508567582</v>
      </c>
      <c r="AK195">
        <v>20.079214663200968</v>
      </c>
      <c r="AL195">
        <v>0.72660688368902071</v>
      </c>
      <c r="AM195">
        <v>-0.1736876502911307</v>
      </c>
      <c r="AN195">
        <v>20.384297289556908</v>
      </c>
      <c r="AO195">
        <v>0.65555193738319317</v>
      </c>
      <c r="AP195">
        <v>20.384297289556908</v>
      </c>
      <c r="AQ195">
        <v>20.384297289556908</v>
      </c>
      <c r="AR195">
        <v>0.65555193738319317</v>
      </c>
      <c r="AS195">
        <v>103.98876057855669</v>
      </c>
      <c r="AT195">
        <v>-0.17977089345330921</v>
      </c>
      <c r="AU195">
        <v>0.8</v>
      </c>
      <c r="AV195" t="s">
        <v>93</v>
      </c>
      <c r="AW195">
        <v>6.1356362318503277E-2</v>
      </c>
      <c r="AX195">
        <v>0.55447347833528471</v>
      </c>
      <c r="AY195">
        <v>6.1356362318503277E-2</v>
      </c>
      <c r="AZ195">
        <v>6.1356362318503277E-2</v>
      </c>
      <c r="BA195">
        <v>0.55447347833528471</v>
      </c>
      <c r="BB195">
        <v>0.15287111779731469</v>
      </c>
      <c r="BC195">
        <v>-0.1100419712251286</v>
      </c>
      <c r="BD195">
        <v>6.4362486583797271E-2</v>
      </c>
      <c r="BE195">
        <v>0.77699773065644884</v>
      </c>
      <c r="BF195">
        <v>6.4362486583797271E-2</v>
      </c>
      <c r="BG195">
        <v>6.4362486583797271E-2</v>
      </c>
      <c r="BH195">
        <v>0.77699773065644884</v>
      </c>
      <c r="BI195">
        <v>0.30390852449839162</v>
      </c>
      <c r="BJ195">
        <v>-5.2978127993156932E-2</v>
      </c>
      <c r="BK195">
        <v>0.1190357438897601</v>
      </c>
      <c r="BL195">
        <v>0.52210913951514981</v>
      </c>
      <c r="BM195">
        <v>0.1190357438897601</v>
      </c>
      <c r="BN195">
        <v>0.1190357438897601</v>
      </c>
      <c r="BO195">
        <v>0.52210913951514981</v>
      </c>
      <c r="BP195">
        <v>0.34235737805403782</v>
      </c>
      <c r="BQ195">
        <v>-0.37445658459614672</v>
      </c>
      <c r="BR195">
        <v>81.292434565435585</v>
      </c>
      <c r="BS195">
        <v>0.76862740102588545</v>
      </c>
      <c r="BT195">
        <v>81.292434565435585</v>
      </c>
      <c r="BU195">
        <v>81.292434565435585</v>
      </c>
      <c r="BV195">
        <v>0.76862740102588545</v>
      </c>
      <c r="BW195">
        <v>415.15590529387651</v>
      </c>
      <c r="BX195">
        <v>-0.18160688999880331</v>
      </c>
      <c r="BY195" t="str">
        <f t="shared" si="7"/>
        <v>[[sv,wv],[yr],[ya]]</v>
      </c>
      <c r="BZ195" t="str">
        <f>SUBSTITUTE(TRIM(MID(SUBSTITUTE(SUBSTITUTE(SUBSTITUTE(Tabla1[[#This Row],[map]],"[",""),"]",""),",",REPT(" ",100)),901,200))," ",", ")</f>
        <v>2, 4</v>
      </c>
      <c r="CA195" t="str">
        <f>SUBSTITUTE(TRIM(MID(SUBSTITUTE(SUBSTITUTE(SUBSTITUTE(Tabla1[[#This Row],[map]],"[",""),"]",""),",",REPT(" ",100)),1501,200))," ",", ")</f>
        <v>3, 4</v>
      </c>
      <c r="CB195" t="str">
        <f>SUBSTITUTE(TRIM(MID(SUBSTITUTE(SUBSTITUTE(SUBSTITUTE(Tabla1[[#This Row],[map]],"[",""),"]",""),",",REPT(" ",100)),601,300))," ",", ")</f>
        <v>3, 0, 1</v>
      </c>
      <c r="CC195" t="str">
        <f>SUBSTITUTE(TRIM(MID(SUBSTITUTE(SUBSTITUTE(SUBSTITUTE(Tabla1[[#This Row],[map]],"[",""),"]",""),",",REPT(" ",100)),1201,300))," ",", ")</f>
        <v>0, 1, 2</v>
      </c>
      <c r="CD195" t="str">
        <f>SUBSTITUTE(TRIM(MID(SUBSTITUTE(SUBSTITUTE(SUBSTITUTE(Tabla1[[#This Row],[map]],"[",""),"]",""),",",REPT(" ",100)),1,300))," ",", ")</f>
        <v>2, 3, 4</v>
      </c>
      <c r="CE195" t="str">
        <f>SUBSTITUTE(TRIM(MID(SUBSTITUTE(SUBSTITUTE(SUBSTITUTE(Tabla1[[#This Row],[map]],"[",""),"]",""),",",REPT(" ",100)),1,600))," ",", ")</f>
        <v>2, 3, 4, 0, 1, -1</v>
      </c>
      <c r="CF195" t="str">
        <f>SUBSTITUTE(TRIM(MID(SUBSTITUTE(SUBSTITUTE(SUBSTITUTE(Tabla1[[#This Row],[map]],"[",""),"]",""),",",REPT(" ",100)),601,600))," ",", ")</f>
        <v>3, 0, 1, 2, 4, -1</v>
      </c>
      <c r="CG195" t="str">
        <f>SUBSTITUTE(TRIM(MID(SUBSTITUTE(SUBSTITUTE(SUBSTITUTE(Tabla1[[#This Row],[map]],"[",""),"]",""),",",REPT(" ",100)),1201,600))," ",", ")</f>
        <v>0, 1, 2, 3, 4, -1</v>
      </c>
    </row>
    <row r="196" spans="1:85" x14ac:dyDescent="0.3">
      <c r="A196" s="1">
        <v>46104.537962962961</v>
      </c>
      <c r="B196" t="s">
        <v>383</v>
      </c>
      <c r="C196">
        <v>0</v>
      </c>
      <c r="D196" t="s">
        <v>77</v>
      </c>
      <c r="E196" t="s">
        <v>78</v>
      </c>
      <c r="F196">
        <v>16590</v>
      </c>
      <c r="G196">
        <v>4.5</v>
      </c>
      <c r="H196" t="s">
        <v>79</v>
      </c>
      <c r="I196" t="s">
        <v>80</v>
      </c>
      <c r="J196">
        <v>5</v>
      </c>
      <c r="K196">
        <v>5</v>
      </c>
      <c r="L196" t="s">
        <v>81</v>
      </c>
      <c r="M196" t="s">
        <v>82</v>
      </c>
      <c r="N196" t="s">
        <v>83</v>
      </c>
      <c r="O196" t="s">
        <v>83</v>
      </c>
      <c r="P196" t="s">
        <v>84</v>
      </c>
      <c r="Q196" t="s">
        <v>384</v>
      </c>
      <c r="R196">
        <v>3</v>
      </c>
      <c r="S196" t="s">
        <v>86</v>
      </c>
      <c r="T196" t="s">
        <v>87</v>
      </c>
      <c r="U196" t="s">
        <v>88</v>
      </c>
      <c r="V196">
        <v>1</v>
      </c>
      <c r="W196" t="s">
        <v>385</v>
      </c>
      <c r="X196" t="s">
        <v>83</v>
      </c>
      <c r="Y196" t="s">
        <v>90</v>
      </c>
      <c r="Z196">
        <v>4000</v>
      </c>
      <c r="AA196">
        <v>4000</v>
      </c>
      <c r="AC196">
        <v>256</v>
      </c>
      <c r="AD196" t="s">
        <v>91</v>
      </c>
      <c r="AE196">
        <v>0.15</v>
      </c>
      <c r="AF196" t="s">
        <v>92</v>
      </c>
      <c r="AG196">
        <v>180</v>
      </c>
      <c r="AH196">
        <v>60</v>
      </c>
      <c r="AI196">
        <v>120</v>
      </c>
      <c r="AJ196">
        <v>9.4089260947520251E-2</v>
      </c>
      <c r="AK196">
        <v>18.859678528422322</v>
      </c>
      <c r="AL196">
        <v>0.78874566947005664</v>
      </c>
      <c r="AM196">
        <v>0.29527823431372152</v>
      </c>
      <c r="AN196">
        <v>23.9344190701153</v>
      </c>
      <c r="AO196">
        <v>0.73697787059702136</v>
      </c>
      <c r="AP196">
        <v>23.9344190701153</v>
      </c>
      <c r="AQ196">
        <v>23.9344190701153</v>
      </c>
      <c r="AR196">
        <v>0.73697787059702136</v>
      </c>
      <c r="AS196">
        <v>80.320785329466275</v>
      </c>
      <c r="AT196">
        <v>0.13982314770363899</v>
      </c>
      <c r="AU196">
        <v>0.8</v>
      </c>
      <c r="AV196" t="s">
        <v>93</v>
      </c>
      <c r="AW196">
        <v>6.6419897948336262E-2</v>
      </c>
      <c r="AX196">
        <v>0.51770566272108365</v>
      </c>
      <c r="AY196">
        <v>6.6419897948336262E-2</v>
      </c>
      <c r="AZ196">
        <v>6.6419897948336262E-2</v>
      </c>
      <c r="BA196">
        <v>0.51770566272108365</v>
      </c>
      <c r="BB196">
        <v>0.1562052611908695</v>
      </c>
      <c r="BC196">
        <v>-0.13425216317149641</v>
      </c>
      <c r="BD196">
        <v>5.553780719075288E-2</v>
      </c>
      <c r="BE196">
        <v>0.807573359960578</v>
      </c>
      <c r="BF196">
        <v>5.553780719075288E-2</v>
      </c>
      <c r="BG196">
        <v>5.553780719075288E-2</v>
      </c>
      <c r="BH196">
        <v>0.807573359960578</v>
      </c>
      <c r="BI196">
        <v>0.1580925553268813</v>
      </c>
      <c r="BJ196">
        <v>0.45224306151821991</v>
      </c>
      <c r="BK196">
        <v>2.6229464566251019E-2</v>
      </c>
      <c r="BL196">
        <v>0.89469699619610743</v>
      </c>
      <c r="BM196">
        <v>2.6229464566251019E-2</v>
      </c>
      <c r="BN196">
        <v>2.6229464566251019E-2</v>
      </c>
      <c r="BO196">
        <v>0.89469699619610743</v>
      </c>
      <c r="BP196">
        <v>0.21066765392670181</v>
      </c>
      <c r="BQ196">
        <v>0.15423600406451779</v>
      </c>
      <c r="BR196">
        <v>95.589489110755977</v>
      </c>
      <c r="BS196">
        <v>0.72793546351031302</v>
      </c>
      <c r="BT196">
        <v>95.589489110755977</v>
      </c>
      <c r="BU196">
        <v>95.589489110755977</v>
      </c>
      <c r="BV196">
        <v>0.72793546351031302</v>
      </c>
      <c r="BW196">
        <v>320.75817584742077</v>
      </c>
      <c r="BX196">
        <v>8.7065688403323516E-2</v>
      </c>
      <c r="BY196" t="str">
        <f t="shared" si="7"/>
        <v>[[sv,wv],[yr],[ya]]</v>
      </c>
      <c r="BZ196" t="str">
        <f>SUBSTITUTE(TRIM(MID(SUBSTITUTE(SUBSTITUTE(SUBSTITUTE(Tabla1[[#This Row],[map]],"[",""),"]",""),",",REPT(" ",100)),901,200))," ",", ")</f>
        <v>2, 3</v>
      </c>
      <c r="CA196" t="str">
        <f>SUBSTITUTE(TRIM(MID(SUBSTITUTE(SUBSTITUTE(SUBSTITUTE(Tabla1[[#This Row],[map]],"[",""),"]",""),",",REPT(" ",100)),1501,200))," ",", ")</f>
        <v>3, 2</v>
      </c>
      <c r="CB196" t="str">
        <f>SUBSTITUTE(TRIM(MID(SUBSTITUTE(SUBSTITUTE(SUBSTITUTE(Tabla1[[#This Row],[map]],"[",""),"]",""),",",REPT(" ",100)),601,300))," ",", ")</f>
        <v>1, 4, 0</v>
      </c>
      <c r="CC196" t="str">
        <f>SUBSTITUTE(TRIM(MID(SUBSTITUTE(SUBSTITUTE(SUBSTITUTE(Tabla1[[#This Row],[map]],"[",""),"]",""),",",REPT(" ",100)),1201,300))," ",", ")</f>
        <v>0, 1, 4</v>
      </c>
      <c r="CD196" t="str">
        <f>SUBSTITUTE(TRIM(MID(SUBSTITUTE(SUBSTITUTE(SUBSTITUTE(Tabla1[[#This Row],[map]],"[",""),"]",""),",",REPT(" ",100)),1,300))," ",", ")</f>
        <v>2, 3, 4</v>
      </c>
      <c r="CE196" t="str">
        <f>SUBSTITUTE(TRIM(MID(SUBSTITUTE(SUBSTITUTE(SUBSTITUTE(Tabla1[[#This Row],[map]],"[",""),"]",""),",",REPT(" ",100)),1,600))," ",", ")</f>
        <v>2, 3, 4, 0, 1, -1</v>
      </c>
      <c r="CF196" t="str">
        <f>SUBSTITUTE(TRIM(MID(SUBSTITUTE(SUBSTITUTE(SUBSTITUTE(Tabla1[[#This Row],[map]],"[",""),"]",""),",",REPT(" ",100)),601,600))," ",", ")</f>
        <v>1, 4, 0, 2, 3, -1</v>
      </c>
      <c r="CG196" t="str">
        <f>SUBSTITUTE(TRIM(MID(SUBSTITUTE(SUBSTITUTE(SUBSTITUTE(Tabla1[[#This Row],[map]],"[",""),"]",""),",",REPT(" ",100)),1201,600))," ",", ")</f>
        <v>0, 1, 4, 3, 2, -1</v>
      </c>
    </row>
    <row r="197" spans="1:85" x14ac:dyDescent="0.3">
      <c r="A197" s="1">
        <v>46104.705208333333</v>
      </c>
      <c r="B197" t="s">
        <v>386</v>
      </c>
      <c r="C197">
        <v>0</v>
      </c>
      <c r="D197" t="s">
        <v>77</v>
      </c>
      <c r="E197" t="s">
        <v>78</v>
      </c>
      <c r="F197">
        <v>16590</v>
      </c>
      <c r="G197">
        <v>4.5</v>
      </c>
      <c r="H197" t="s">
        <v>79</v>
      </c>
      <c r="I197" t="s">
        <v>80</v>
      </c>
      <c r="J197">
        <v>5</v>
      </c>
      <c r="K197">
        <v>5</v>
      </c>
      <c r="L197" t="s">
        <v>81</v>
      </c>
      <c r="M197" t="s">
        <v>82</v>
      </c>
      <c r="N197" t="s">
        <v>83</v>
      </c>
      <c r="O197" t="s">
        <v>83</v>
      </c>
      <c r="P197" t="s">
        <v>84</v>
      </c>
      <c r="Q197" t="s">
        <v>387</v>
      </c>
      <c r="R197">
        <v>3</v>
      </c>
      <c r="S197" t="s">
        <v>86</v>
      </c>
      <c r="T197" t="s">
        <v>87</v>
      </c>
      <c r="U197" t="s">
        <v>88</v>
      </c>
      <c r="V197">
        <v>1</v>
      </c>
      <c r="W197" t="s">
        <v>388</v>
      </c>
      <c r="X197" t="s">
        <v>83</v>
      </c>
      <c r="Y197" t="s">
        <v>90</v>
      </c>
      <c r="Z197">
        <v>4000</v>
      </c>
      <c r="AA197">
        <v>4000</v>
      </c>
      <c r="AC197">
        <v>256</v>
      </c>
      <c r="AD197" t="s">
        <v>91</v>
      </c>
      <c r="AE197">
        <v>0.15</v>
      </c>
      <c r="AF197" t="s">
        <v>92</v>
      </c>
      <c r="AG197">
        <v>180</v>
      </c>
      <c r="AH197">
        <v>60</v>
      </c>
      <c r="AI197">
        <v>120</v>
      </c>
      <c r="AJ197">
        <v>0.105426516179309</v>
      </c>
      <c r="AK197">
        <v>18.544246828381031</v>
      </c>
      <c r="AL197">
        <v>0.75235293721621233</v>
      </c>
      <c r="AM197">
        <v>-0.42952559962096171</v>
      </c>
      <c r="AN197">
        <v>23.204122324384709</v>
      </c>
      <c r="AO197">
        <v>0.70218678169746696</v>
      </c>
      <c r="AP197">
        <v>23.204122324384709</v>
      </c>
      <c r="AQ197">
        <v>23.204122324384709</v>
      </c>
      <c r="AR197">
        <v>0.70218678169746696</v>
      </c>
      <c r="AS197">
        <v>139.59313106843189</v>
      </c>
      <c r="AT197">
        <v>-0.43632394848890121</v>
      </c>
      <c r="AU197">
        <v>0.8</v>
      </c>
      <c r="AV197" t="s">
        <v>93</v>
      </c>
      <c r="AW197">
        <v>6.4704526848990015E-2</v>
      </c>
      <c r="AX197">
        <v>0.53016147480604225</v>
      </c>
      <c r="AY197">
        <v>6.4704526848990015E-2</v>
      </c>
      <c r="AZ197">
        <v>6.4704526848990015E-2</v>
      </c>
      <c r="BA197">
        <v>0.53016147480604225</v>
      </c>
      <c r="BB197">
        <v>0.15510047795885171</v>
      </c>
      <c r="BC197">
        <v>-0.12623000846813709</v>
      </c>
      <c r="BD197">
        <v>5.5547912273626328E-2</v>
      </c>
      <c r="BE197">
        <v>0.80753834800668545</v>
      </c>
      <c r="BF197">
        <v>5.5547912273626328E-2</v>
      </c>
      <c r="BG197">
        <v>5.5547912273626328E-2</v>
      </c>
      <c r="BH197">
        <v>0.80753834800668545</v>
      </c>
      <c r="BI197">
        <v>0.41110172021205188</v>
      </c>
      <c r="BJ197">
        <v>-0.42437965660270249</v>
      </c>
      <c r="BK197">
        <v>6.608514527896639E-2</v>
      </c>
      <c r="BL197">
        <v>0.73468904456228334</v>
      </c>
      <c r="BM197">
        <v>6.608514527896639E-2</v>
      </c>
      <c r="BN197">
        <v>6.608514527896639E-2</v>
      </c>
      <c r="BO197">
        <v>0.73468904456228334</v>
      </c>
      <c r="BP197">
        <v>0.40058227623194109</v>
      </c>
      <c r="BQ197">
        <v>-0.60821113413422601</v>
      </c>
      <c r="BR197">
        <v>92.630151713136854</v>
      </c>
      <c r="BS197">
        <v>0.73635825941486044</v>
      </c>
      <c r="BT197">
        <v>92.630151713136854</v>
      </c>
      <c r="BU197">
        <v>92.630151713136854</v>
      </c>
      <c r="BV197">
        <v>0.73635825941486044</v>
      </c>
      <c r="BW197">
        <v>557.40573979932481</v>
      </c>
      <c r="BX197">
        <v>-0.58647499475054987</v>
      </c>
      <c r="BY197" t="str">
        <f t="shared" si="7"/>
        <v>[[sv,wv],[yr],[ya]]</v>
      </c>
      <c r="BZ197" t="str">
        <f>SUBSTITUTE(TRIM(MID(SUBSTITUTE(SUBSTITUTE(SUBSTITUTE(Tabla1[[#This Row],[map]],"[",""),"]",""),",",REPT(" ",100)),901,200))," ",", ")</f>
        <v>2, 4</v>
      </c>
      <c r="CA197" t="str">
        <f>SUBSTITUTE(TRIM(MID(SUBSTITUTE(SUBSTITUTE(SUBSTITUTE(Tabla1[[#This Row],[map]],"[",""),"]",""),",",REPT(" ",100)),1501,200))," ",", ")</f>
        <v>3, 2</v>
      </c>
      <c r="CB197" t="str">
        <f>SUBSTITUTE(TRIM(MID(SUBSTITUTE(SUBSTITUTE(SUBSTITUTE(Tabla1[[#This Row],[map]],"[",""),"]",""),",",REPT(" ",100)),601,300))," ",", ")</f>
        <v>1, 3, 0</v>
      </c>
      <c r="CC197" t="str">
        <f>SUBSTITUTE(TRIM(MID(SUBSTITUTE(SUBSTITUTE(SUBSTITUTE(Tabla1[[#This Row],[map]],"[",""),"]",""),",",REPT(" ",100)),1201,300))," ",", ")</f>
        <v>0, 1, 4</v>
      </c>
      <c r="CD197" t="str">
        <f>SUBSTITUTE(TRIM(MID(SUBSTITUTE(SUBSTITUTE(SUBSTITUTE(Tabla1[[#This Row],[map]],"[",""),"]",""),",",REPT(" ",100)),1,300))," ",", ")</f>
        <v>2, 3, 4</v>
      </c>
      <c r="CE197" t="str">
        <f>SUBSTITUTE(TRIM(MID(SUBSTITUTE(SUBSTITUTE(SUBSTITUTE(Tabla1[[#This Row],[map]],"[",""),"]",""),",",REPT(" ",100)),1,600))," ",", ")</f>
        <v>2, 3, 4, 0, 1, -1</v>
      </c>
      <c r="CF197" t="str">
        <f>SUBSTITUTE(TRIM(MID(SUBSTITUTE(SUBSTITUTE(SUBSTITUTE(Tabla1[[#This Row],[map]],"[",""),"]",""),",",REPT(" ",100)),601,600))," ",", ")</f>
        <v>1, 3, 0, 2, 4, -1</v>
      </c>
      <c r="CG197" t="str">
        <f>SUBSTITUTE(TRIM(MID(SUBSTITUTE(SUBSTITUTE(SUBSTITUTE(Tabla1[[#This Row],[map]],"[",""),"]",""),",",REPT(" ",100)),1201,600))," ",", ")</f>
        <v>0, 1, 4, 3, 2, -1</v>
      </c>
    </row>
    <row r="198" spans="1:85" x14ac:dyDescent="0.3">
      <c r="A198" s="1">
        <v>46104.889976851853</v>
      </c>
      <c r="B198" t="s">
        <v>389</v>
      </c>
      <c r="C198">
        <v>0</v>
      </c>
      <c r="D198" t="s">
        <v>96</v>
      </c>
      <c r="E198" t="s">
        <v>78</v>
      </c>
      <c r="F198">
        <v>16590</v>
      </c>
      <c r="G198">
        <v>4.5</v>
      </c>
      <c r="H198" t="s">
        <v>79</v>
      </c>
      <c r="I198" t="s">
        <v>80</v>
      </c>
      <c r="J198">
        <v>5</v>
      </c>
      <c r="K198">
        <v>5</v>
      </c>
      <c r="L198" t="s">
        <v>81</v>
      </c>
      <c r="M198" t="s">
        <v>82</v>
      </c>
      <c r="N198" t="s">
        <v>83</v>
      </c>
      <c r="O198" t="s">
        <v>83</v>
      </c>
      <c r="P198" t="s">
        <v>84</v>
      </c>
      <c r="Q198" t="s">
        <v>390</v>
      </c>
      <c r="R198">
        <v>3</v>
      </c>
      <c r="S198" t="s">
        <v>86</v>
      </c>
      <c r="T198" t="s">
        <v>87</v>
      </c>
      <c r="U198" t="s">
        <v>88</v>
      </c>
      <c r="V198">
        <v>1</v>
      </c>
      <c r="W198" t="s">
        <v>391</v>
      </c>
      <c r="X198" t="s">
        <v>83</v>
      </c>
      <c r="Y198" t="s">
        <v>90</v>
      </c>
      <c r="Z198">
        <v>4000</v>
      </c>
      <c r="AA198">
        <v>4000</v>
      </c>
      <c r="AC198">
        <v>256</v>
      </c>
      <c r="AD198" t="s">
        <v>91</v>
      </c>
      <c r="AE198">
        <v>0.15</v>
      </c>
      <c r="AF198" t="s">
        <v>92</v>
      </c>
      <c r="AG198">
        <v>180</v>
      </c>
      <c r="AH198">
        <v>60</v>
      </c>
      <c r="AI198">
        <v>120</v>
      </c>
      <c r="AJ198">
        <v>9.9114841634504014E-2</v>
      </c>
      <c r="AK198">
        <v>7.3366935097694634</v>
      </c>
      <c r="AL198">
        <v>0.76168891665116223</v>
      </c>
      <c r="AM198">
        <v>-0.42425779057779928</v>
      </c>
      <c r="AN198">
        <v>11.18053411233767</v>
      </c>
      <c r="AO198">
        <v>0.70538251318420586</v>
      </c>
      <c r="AP198">
        <v>11.18053411233767</v>
      </c>
      <c r="AQ198">
        <v>11.18053411233767</v>
      </c>
      <c r="AR198">
        <v>0.70538251318420586</v>
      </c>
      <c r="AS198">
        <v>119.2177022280226</v>
      </c>
      <c r="AT198">
        <v>-0.48701864374098158</v>
      </c>
      <c r="AU198">
        <v>0.8</v>
      </c>
      <c r="AV198" t="s">
        <v>93</v>
      </c>
      <c r="AW198">
        <v>6.6356813391617933E-2</v>
      </c>
      <c r="AX198">
        <v>0.51816373816857486</v>
      </c>
      <c r="AY198">
        <v>6.6356813391617933E-2</v>
      </c>
      <c r="AZ198">
        <v>6.6356813391617933E-2</v>
      </c>
      <c r="BA198">
        <v>0.51816373816857486</v>
      </c>
      <c r="BB198">
        <v>0.11651132855083909</v>
      </c>
      <c r="BC198">
        <v>0.15397711040414819</v>
      </c>
      <c r="BD198">
        <v>5.4321187359639027E-2</v>
      </c>
      <c r="BE198">
        <v>0.81178868782727753</v>
      </c>
      <c r="BF198">
        <v>5.4321187359639027E-2</v>
      </c>
      <c r="BG198">
        <v>5.4321187359639027E-2</v>
      </c>
      <c r="BH198">
        <v>0.81178868782727753</v>
      </c>
      <c r="BI198">
        <v>0.57341838501761855</v>
      </c>
      <c r="BJ198">
        <v>-0.98677223223433086</v>
      </c>
      <c r="BK198">
        <v>9.5088287626553233E-2</v>
      </c>
      <c r="BL198">
        <v>0.61825060178589308</v>
      </c>
      <c r="BM198">
        <v>9.5088287626553233E-2</v>
      </c>
      <c r="BN198">
        <v>9.5088287626553233E-2</v>
      </c>
      <c r="BO198">
        <v>0.61825060178589308</v>
      </c>
      <c r="BP198">
        <v>0.43869790847003148</v>
      </c>
      <c r="BQ198">
        <v>-0.76123334152307764</v>
      </c>
      <c r="BR198">
        <v>44.50637016097297</v>
      </c>
      <c r="BS198">
        <v>0.87332702495507897</v>
      </c>
      <c r="BT198">
        <v>44.50637016097297</v>
      </c>
      <c r="BU198">
        <v>44.50637016097297</v>
      </c>
      <c r="BV198">
        <v>0.87332702495507897</v>
      </c>
      <c r="BW198">
        <v>475.74218129005311</v>
      </c>
      <c r="BX198">
        <v>-0.35404611161068339</v>
      </c>
      <c r="BY198" t="str">
        <f t="shared" si="7"/>
        <v>[[sv,wv],[yr],[ya]]</v>
      </c>
      <c r="BZ198" t="str">
        <f>SUBSTITUTE(TRIM(MID(SUBSTITUTE(SUBSTITUTE(SUBSTITUTE(Tabla1[[#This Row],[map]],"[",""),"]",""),",",REPT(" ",100)),901,200))," ",", ")</f>
        <v>2, 3</v>
      </c>
      <c r="CA198" t="str">
        <f>SUBSTITUTE(TRIM(MID(SUBSTITUTE(SUBSTITUTE(SUBSTITUTE(Tabla1[[#This Row],[map]],"[",""),"]",""),",",REPT(" ",100)),1501,200))," ",", ")</f>
        <v>3, 2</v>
      </c>
      <c r="CB198" t="str">
        <f>SUBSTITUTE(TRIM(MID(SUBSTITUTE(SUBSTITUTE(SUBSTITUTE(Tabla1[[#This Row],[map]],"[",""),"]",""),",",REPT(" ",100)),601,300))," ",", ")</f>
        <v>0, 1, 4</v>
      </c>
      <c r="CC198" t="str">
        <f>SUBSTITUTE(TRIM(MID(SUBSTITUTE(SUBSTITUTE(SUBSTITUTE(Tabla1[[#This Row],[map]],"[",""),"]",""),",",REPT(" ",100)),1201,300))," ",", ")</f>
        <v>1, 4, 0</v>
      </c>
      <c r="CD198" t="str">
        <f>SUBSTITUTE(TRIM(MID(SUBSTITUTE(SUBSTITUTE(SUBSTITUTE(Tabla1[[#This Row],[map]],"[",""),"]",""),",",REPT(" ",100)),1,300))," ",", ")</f>
        <v>2, 3, 4</v>
      </c>
      <c r="CE198" t="str">
        <f>SUBSTITUTE(TRIM(MID(SUBSTITUTE(SUBSTITUTE(SUBSTITUTE(Tabla1[[#This Row],[map]],"[",""),"]",""),",",REPT(" ",100)),1,600))," ",", ")</f>
        <v>2, 3, 4, 0, 1, -1</v>
      </c>
      <c r="CF198" t="str">
        <f>SUBSTITUTE(TRIM(MID(SUBSTITUTE(SUBSTITUTE(SUBSTITUTE(Tabla1[[#This Row],[map]],"[",""),"]",""),",",REPT(" ",100)),601,600))," ",", ")</f>
        <v>0, 1, 4, 2, 3, -1</v>
      </c>
      <c r="CG198" t="str">
        <f>SUBSTITUTE(TRIM(MID(SUBSTITUTE(SUBSTITUTE(SUBSTITUTE(Tabla1[[#This Row],[map]],"[",""),"]",""),",",REPT(" ",100)),1201,600))," ",", ")</f>
        <v>1, 4, 0, 3, 2, -1</v>
      </c>
    </row>
    <row r="199" spans="1:85" x14ac:dyDescent="0.3">
      <c r="A199" s="1">
        <v>46105.025648148148</v>
      </c>
      <c r="B199" t="s">
        <v>392</v>
      </c>
      <c r="C199">
        <v>0</v>
      </c>
      <c r="D199" t="s">
        <v>96</v>
      </c>
      <c r="E199" t="s">
        <v>78</v>
      </c>
      <c r="F199">
        <v>16590</v>
      </c>
      <c r="G199">
        <v>4.5</v>
      </c>
      <c r="H199" t="s">
        <v>79</v>
      </c>
      <c r="I199" t="s">
        <v>80</v>
      </c>
      <c r="J199">
        <v>5</v>
      </c>
      <c r="K199">
        <v>5</v>
      </c>
      <c r="L199" t="s">
        <v>81</v>
      </c>
      <c r="M199" t="s">
        <v>82</v>
      </c>
      <c r="N199" t="s">
        <v>83</v>
      </c>
      <c r="O199" t="s">
        <v>83</v>
      </c>
      <c r="P199" t="s">
        <v>84</v>
      </c>
      <c r="Q199" t="s">
        <v>393</v>
      </c>
      <c r="R199">
        <v>3</v>
      </c>
      <c r="S199" t="s">
        <v>86</v>
      </c>
      <c r="T199" t="s">
        <v>87</v>
      </c>
      <c r="U199" t="s">
        <v>88</v>
      </c>
      <c r="V199">
        <v>1</v>
      </c>
      <c r="W199" t="s">
        <v>394</v>
      </c>
      <c r="X199" t="s">
        <v>83</v>
      </c>
      <c r="Y199" t="s">
        <v>90</v>
      </c>
      <c r="Z199">
        <v>4000</v>
      </c>
      <c r="AA199">
        <v>4000</v>
      </c>
      <c r="AC199">
        <v>256</v>
      </c>
      <c r="AD199" t="s">
        <v>91</v>
      </c>
      <c r="AE199">
        <v>0.15</v>
      </c>
      <c r="AF199" t="s">
        <v>92</v>
      </c>
      <c r="AG199">
        <v>180</v>
      </c>
      <c r="AH199">
        <v>60</v>
      </c>
      <c r="AI199">
        <v>120</v>
      </c>
      <c r="AJ199">
        <v>0.104782985343053</v>
      </c>
      <c r="AK199">
        <v>20.33058050212728</v>
      </c>
      <c r="AL199">
        <v>0.72292167136813912</v>
      </c>
      <c r="AM199">
        <v>-0.83244870506974844</v>
      </c>
      <c r="AN199">
        <v>27.642840934415538</v>
      </c>
      <c r="AO199">
        <v>0.65800744335642025</v>
      </c>
      <c r="AP199">
        <v>27.642840934415538</v>
      </c>
      <c r="AQ199">
        <v>27.642840934415538</v>
      </c>
      <c r="AR199">
        <v>0.65800744335642025</v>
      </c>
      <c r="AS199">
        <v>142.14425406642289</v>
      </c>
      <c r="AT199">
        <v>-0.73497322786234121</v>
      </c>
      <c r="AU199">
        <v>0.8</v>
      </c>
      <c r="AV199" t="s">
        <v>93</v>
      </c>
      <c r="AW199">
        <v>6.6743650596632662E-2</v>
      </c>
      <c r="AX199">
        <v>0.51535479989570177</v>
      </c>
      <c r="AY199">
        <v>6.6743650596632662E-2</v>
      </c>
      <c r="AZ199">
        <v>6.6743650596632662E-2</v>
      </c>
      <c r="BA199">
        <v>0.51535479989570177</v>
      </c>
      <c r="BB199">
        <v>0.1849581649149451</v>
      </c>
      <c r="BC199">
        <v>-0.34303542052058278</v>
      </c>
      <c r="BD199">
        <v>5.3683696847465767E-2</v>
      </c>
      <c r="BE199">
        <v>0.81399745629545239</v>
      </c>
      <c r="BF199">
        <v>5.3683696847465767E-2</v>
      </c>
      <c r="BG199">
        <v>5.3683696847465767E-2</v>
      </c>
      <c r="BH199">
        <v>0.81399745629545239</v>
      </c>
      <c r="BI199">
        <v>0.6005651429954082</v>
      </c>
      <c r="BJ199">
        <v>-1.080829950568216</v>
      </c>
      <c r="BK199">
        <v>9.545741707271245E-2</v>
      </c>
      <c r="BL199">
        <v>0.61676866381591089</v>
      </c>
      <c r="BM199">
        <v>9.545741707271245E-2</v>
      </c>
      <c r="BN199">
        <v>9.545741707271245E-2</v>
      </c>
      <c r="BO199">
        <v>0.61676866381591089</v>
      </c>
      <c r="BP199">
        <v>0.47359666262466721</v>
      </c>
      <c r="BQ199">
        <v>-0.90134080091152402</v>
      </c>
      <c r="BR199">
        <v>110.35547897314569</v>
      </c>
      <c r="BS199">
        <v>0.68590885341861374</v>
      </c>
      <c r="BT199">
        <v>110.35547897314569</v>
      </c>
      <c r="BU199">
        <v>110.35547897314569</v>
      </c>
      <c r="BV199">
        <v>0.68590885341861374</v>
      </c>
      <c r="BW199">
        <v>567.31789629515629</v>
      </c>
      <c r="BX199">
        <v>-0.61468673944903851</v>
      </c>
      <c r="BY199" t="str">
        <f t="shared" si="7"/>
        <v>[[sv,wv],[yr],[ya]]</v>
      </c>
      <c r="BZ199" t="str">
        <f>SUBSTITUTE(TRIM(MID(SUBSTITUTE(SUBSTITUTE(SUBSTITUTE(Tabla1[[#This Row],[map]],"[",""),"]",""),",",REPT(" ",100)),901,200))," ",", ")</f>
        <v>2, 3</v>
      </c>
      <c r="CA199" t="str">
        <f>SUBSTITUTE(TRIM(MID(SUBSTITUTE(SUBSTITUTE(SUBSTITUTE(Tabla1[[#This Row],[map]],"[",""),"]",""),",",REPT(" ",100)),1501,200))," ",", ")</f>
        <v>3, 4</v>
      </c>
      <c r="CB199" t="str">
        <f>SUBSTITUTE(TRIM(MID(SUBSTITUTE(SUBSTITUTE(SUBSTITUTE(Tabla1[[#This Row],[map]],"[",""),"]",""),",",REPT(" ",100)),601,300))," ",", ")</f>
        <v>0, 1, 4</v>
      </c>
      <c r="CC199" t="str">
        <f>SUBSTITUTE(TRIM(MID(SUBSTITUTE(SUBSTITUTE(SUBSTITUTE(Tabla1[[#This Row],[map]],"[",""),"]",""),",",REPT(" ",100)),1201,300))," ",", ")</f>
        <v>1, 2, 0</v>
      </c>
      <c r="CD199" t="str">
        <f>SUBSTITUTE(TRIM(MID(SUBSTITUTE(SUBSTITUTE(SUBSTITUTE(Tabla1[[#This Row],[map]],"[",""),"]",""),",",REPT(" ",100)),1,300))," ",", ")</f>
        <v>2, 3, 4</v>
      </c>
      <c r="CE199" t="str">
        <f>SUBSTITUTE(TRIM(MID(SUBSTITUTE(SUBSTITUTE(SUBSTITUTE(Tabla1[[#This Row],[map]],"[",""),"]",""),",",REPT(" ",100)),1,600))," ",", ")</f>
        <v>2, 3, 4, 0, 1, -1</v>
      </c>
      <c r="CF199" t="str">
        <f>SUBSTITUTE(TRIM(MID(SUBSTITUTE(SUBSTITUTE(SUBSTITUTE(Tabla1[[#This Row],[map]],"[",""),"]",""),",",REPT(" ",100)),601,600))," ",", ")</f>
        <v>0, 1, 4, 2, 3, -1</v>
      </c>
      <c r="CG199" t="str">
        <f>SUBSTITUTE(TRIM(MID(SUBSTITUTE(SUBSTITUTE(SUBSTITUTE(Tabla1[[#This Row],[map]],"[",""),"]",""),",",REPT(" ",100)),1201,600))," ",", ")</f>
        <v>1, 2, 0, 3, 4, -1</v>
      </c>
    </row>
    <row r="200" spans="1:85" x14ac:dyDescent="0.3">
      <c r="A200" s="1">
        <v>46105.03465277778</v>
      </c>
      <c r="B200" t="s">
        <v>395</v>
      </c>
      <c r="C200">
        <v>1</v>
      </c>
      <c r="D200" t="s">
        <v>96</v>
      </c>
      <c r="E200" t="s">
        <v>78</v>
      </c>
      <c r="F200">
        <v>16590</v>
      </c>
      <c r="G200">
        <v>4.5</v>
      </c>
      <c r="H200" t="s">
        <v>79</v>
      </c>
      <c r="I200" t="s">
        <v>80</v>
      </c>
      <c r="J200">
        <v>5</v>
      </c>
      <c r="K200">
        <v>5</v>
      </c>
      <c r="L200" t="s">
        <v>81</v>
      </c>
      <c r="M200" t="s">
        <v>82</v>
      </c>
      <c r="N200" t="s">
        <v>83</v>
      </c>
      <c r="O200" t="s">
        <v>83</v>
      </c>
      <c r="P200" t="s">
        <v>84</v>
      </c>
      <c r="Q200" t="s">
        <v>384</v>
      </c>
      <c r="R200">
        <v>3</v>
      </c>
      <c r="S200" t="s">
        <v>86</v>
      </c>
      <c r="T200" t="s">
        <v>87</v>
      </c>
      <c r="U200" t="s">
        <v>88</v>
      </c>
      <c r="V200">
        <v>1</v>
      </c>
      <c r="W200" t="s">
        <v>385</v>
      </c>
      <c r="X200" t="s">
        <v>83</v>
      </c>
      <c r="Y200" t="s">
        <v>90</v>
      </c>
      <c r="Z200">
        <v>4000</v>
      </c>
      <c r="AA200">
        <v>4000</v>
      </c>
      <c r="AC200">
        <v>256</v>
      </c>
      <c r="AD200" t="s">
        <v>91</v>
      </c>
      <c r="AE200">
        <v>0.15</v>
      </c>
      <c r="AF200" t="s">
        <v>92</v>
      </c>
      <c r="AG200">
        <v>180</v>
      </c>
      <c r="AH200">
        <v>60</v>
      </c>
      <c r="AI200">
        <v>120</v>
      </c>
      <c r="AJ200">
        <v>0.1052780925169737</v>
      </c>
      <c r="AK200">
        <v>22.90222242103086</v>
      </c>
      <c r="AL200">
        <v>0.76264422740095905</v>
      </c>
      <c r="AM200">
        <v>0.2862574246263706</v>
      </c>
      <c r="AN200">
        <v>26.801938485570719</v>
      </c>
      <c r="AO200">
        <v>0.72020024649299108</v>
      </c>
      <c r="AP200">
        <v>26.801938485570719</v>
      </c>
      <c r="AQ200">
        <v>26.801938485570719</v>
      </c>
      <c r="AR200">
        <v>0.72020024649299108</v>
      </c>
      <c r="AS200">
        <v>98.594692612442159</v>
      </c>
      <c r="AT200">
        <v>0.30796693171412559</v>
      </c>
      <c r="AU200">
        <v>0.8</v>
      </c>
      <c r="AV200" t="s">
        <v>93</v>
      </c>
      <c r="AW200">
        <v>5.9358142342257371E-2</v>
      </c>
      <c r="AX200">
        <v>0.56898313897840458</v>
      </c>
      <c r="AY200">
        <v>5.9358142342257371E-2</v>
      </c>
      <c r="AZ200">
        <v>5.9358142342257371E-2</v>
      </c>
      <c r="BA200">
        <v>0.56898313897840458</v>
      </c>
      <c r="BB200">
        <v>0.1524820521802959</v>
      </c>
      <c r="BC200">
        <v>-0.1072168517998615</v>
      </c>
      <c r="BD200">
        <v>7.526754252554213E-2</v>
      </c>
      <c r="BE200">
        <v>0.7392140409420791</v>
      </c>
      <c r="BF200">
        <v>7.526754252554213E-2</v>
      </c>
      <c r="BG200">
        <v>7.526754252554213E-2</v>
      </c>
      <c r="BH200">
        <v>0.7392140409420791</v>
      </c>
      <c r="BI200">
        <v>8.2432594393313685E-2</v>
      </c>
      <c r="BJ200">
        <v>0.71438866654643629</v>
      </c>
      <c r="BK200">
        <v>3.0571326841818881E-2</v>
      </c>
      <c r="BL200">
        <v>0.87726579249901082</v>
      </c>
      <c r="BM200">
        <v>3.0571326841818881E-2</v>
      </c>
      <c r="BN200">
        <v>3.0571326841818881E-2</v>
      </c>
      <c r="BO200">
        <v>0.87726579249901082</v>
      </c>
      <c r="BP200">
        <v>6.3188300463246735E-2</v>
      </c>
      <c r="BQ200">
        <v>0.74631896021986455</v>
      </c>
      <c r="BR200">
        <v>107.0425569305729</v>
      </c>
      <c r="BS200">
        <v>0.69533801355247227</v>
      </c>
      <c r="BT200">
        <v>107.0425569305729</v>
      </c>
      <c r="BU200">
        <v>107.0425569305729</v>
      </c>
      <c r="BV200">
        <v>0.69533801355247227</v>
      </c>
      <c r="BW200">
        <v>394.0806675027344</v>
      </c>
      <c r="BX200">
        <v>-0.1216230481099381</v>
      </c>
      <c r="BY200" t="str">
        <f t="shared" si="7"/>
        <v>[[sv,wv],[yr],[ya]]</v>
      </c>
      <c r="BZ200" t="str">
        <f>SUBSTITUTE(TRIM(MID(SUBSTITUTE(SUBSTITUTE(SUBSTITUTE(Tabla1[[#This Row],[map]],"[",""),"]",""),",",REPT(" ",100)),901,200))," ",", ")</f>
        <v>2, 3</v>
      </c>
      <c r="CA200" t="str">
        <f>SUBSTITUTE(TRIM(MID(SUBSTITUTE(SUBSTITUTE(SUBSTITUTE(Tabla1[[#This Row],[map]],"[",""),"]",""),",",REPT(" ",100)),1501,200))," ",", ")</f>
        <v>3, 2</v>
      </c>
      <c r="CB200" t="str">
        <f>SUBSTITUTE(TRIM(MID(SUBSTITUTE(SUBSTITUTE(SUBSTITUTE(Tabla1[[#This Row],[map]],"[",""),"]",""),",",REPT(" ",100)),601,300))," ",", ")</f>
        <v>1, 4, 0</v>
      </c>
      <c r="CC200" t="str">
        <f>SUBSTITUTE(TRIM(MID(SUBSTITUTE(SUBSTITUTE(SUBSTITUTE(Tabla1[[#This Row],[map]],"[",""),"]",""),",",REPT(" ",100)),1201,300))," ",", ")</f>
        <v>0, 1, 4</v>
      </c>
      <c r="CD200" t="str">
        <f>SUBSTITUTE(TRIM(MID(SUBSTITUTE(SUBSTITUTE(SUBSTITUTE(Tabla1[[#This Row],[map]],"[",""),"]",""),",",REPT(" ",100)),1,300))," ",", ")</f>
        <v>2, 3, 4</v>
      </c>
      <c r="CE200" t="str">
        <f>SUBSTITUTE(TRIM(MID(SUBSTITUTE(SUBSTITUTE(SUBSTITUTE(Tabla1[[#This Row],[map]],"[",""),"]",""),",",REPT(" ",100)),1,600))," ",", ")</f>
        <v>2, 3, 4, 0, 1, -1</v>
      </c>
      <c r="CF200" t="str">
        <f>SUBSTITUTE(TRIM(MID(SUBSTITUTE(SUBSTITUTE(SUBSTITUTE(Tabla1[[#This Row],[map]],"[",""),"]",""),",",REPT(" ",100)),601,600))," ",", ")</f>
        <v>1, 4, 0, 2, 3, -1</v>
      </c>
      <c r="CG200" t="str">
        <f>SUBSTITUTE(TRIM(MID(SUBSTITUTE(SUBSTITUTE(SUBSTITUTE(Tabla1[[#This Row],[map]],"[",""),"]",""),",",REPT(" ",100)),1201,600))," ",", ")</f>
        <v>0, 1, 4, 3, 2, -1</v>
      </c>
    </row>
    <row r="201" spans="1:85" x14ac:dyDescent="0.3">
      <c r="A201" s="1">
        <v>46105.170069444437</v>
      </c>
      <c r="B201" t="s">
        <v>396</v>
      </c>
      <c r="C201">
        <v>0</v>
      </c>
      <c r="D201" t="s">
        <v>77</v>
      </c>
      <c r="E201" t="s">
        <v>78</v>
      </c>
      <c r="F201">
        <v>16590</v>
      </c>
      <c r="G201">
        <v>4.5</v>
      </c>
      <c r="H201" t="s">
        <v>79</v>
      </c>
      <c r="I201" t="s">
        <v>80</v>
      </c>
      <c r="J201">
        <v>5</v>
      </c>
      <c r="K201">
        <v>5</v>
      </c>
      <c r="L201" t="s">
        <v>81</v>
      </c>
      <c r="M201" t="s">
        <v>82</v>
      </c>
      <c r="N201" t="s">
        <v>83</v>
      </c>
      <c r="O201" t="s">
        <v>83</v>
      </c>
      <c r="P201" t="s">
        <v>84</v>
      </c>
      <c r="Q201" t="s">
        <v>397</v>
      </c>
      <c r="R201">
        <v>3</v>
      </c>
      <c r="S201" t="s">
        <v>86</v>
      </c>
      <c r="T201" t="s">
        <v>87</v>
      </c>
      <c r="U201" t="s">
        <v>88</v>
      </c>
      <c r="V201">
        <v>1</v>
      </c>
      <c r="W201" t="s">
        <v>398</v>
      </c>
      <c r="X201" t="s">
        <v>83</v>
      </c>
      <c r="Y201" t="s">
        <v>90</v>
      </c>
      <c r="Z201">
        <v>4000</v>
      </c>
      <c r="AA201">
        <v>4000</v>
      </c>
      <c r="AC201">
        <v>256</v>
      </c>
      <c r="AD201" t="s">
        <v>91</v>
      </c>
      <c r="AE201">
        <v>0.15</v>
      </c>
      <c r="AF201" t="s">
        <v>92</v>
      </c>
      <c r="AG201">
        <v>180</v>
      </c>
      <c r="AH201">
        <v>60</v>
      </c>
      <c r="AI201">
        <v>120</v>
      </c>
      <c r="AJ201">
        <v>7.9355697126021058E-2</v>
      </c>
      <c r="AK201">
        <v>8.7543759195512738</v>
      </c>
      <c r="AL201">
        <v>0.83410665330233924</v>
      </c>
      <c r="AM201">
        <v>-0.2414614817379922</v>
      </c>
      <c r="AN201">
        <v>13.49660644688513</v>
      </c>
      <c r="AO201">
        <v>0.77205353813395305</v>
      </c>
      <c r="AP201">
        <v>13.49660644688513</v>
      </c>
      <c r="AQ201">
        <v>13.49660644688513</v>
      </c>
      <c r="AR201">
        <v>0.77205353813395305</v>
      </c>
      <c r="AS201">
        <v>148.23735170985319</v>
      </c>
      <c r="AT201">
        <v>-0.2530622679411394</v>
      </c>
      <c r="AU201">
        <v>0.8</v>
      </c>
      <c r="AV201" t="s">
        <v>93</v>
      </c>
      <c r="AW201">
        <v>6.6335484137827486E-2</v>
      </c>
      <c r="AX201">
        <v>0.51831861612893415</v>
      </c>
      <c r="AY201">
        <v>6.6335484137827486E-2</v>
      </c>
      <c r="AZ201">
        <v>6.6335484137827486E-2</v>
      </c>
      <c r="BA201">
        <v>0.51831861612893415</v>
      </c>
      <c r="BB201">
        <v>0.25717951706267222</v>
      </c>
      <c r="BC201">
        <v>-0.86745581632680313</v>
      </c>
      <c r="BD201">
        <v>4.9974463009205959E-2</v>
      </c>
      <c r="BE201">
        <v>0.82684915931940084</v>
      </c>
      <c r="BF201">
        <v>4.9974463009205959E-2</v>
      </c>
      <c r="BG201">
        <v>4.9974463009205959E-2</v>
      </c>
      <c r="BH201">
        <v>0.82684915931940084</v>
      </c>
      <c r="BI201">
        <v>0.1558933781301822</v>
      </c>
      <c r="BJ201">
        <v>0.45986274080009448</v>
      </c>
      <c r="BK201">
        <v>2.5831000498590322E-2</v>
      </c>
      <c r="BL201">
        <v>0.89629670339282153</v>
      </c>
      <c r="BM201">
        <v>2.5831000498590322E-2</v>
      </c>
      <c r="BN201">
        <v>2.5831000498590322E-2</v>
      </c>
      <c r="BO201">
        <v>0.89629670339282153</v>
      </c>
      <c r="BP201">
        <v>0.2288709681659819</v>
      </c>
      <c r="BQ201">
        <v>8.1155455136776466E-2</v>
      </c>
      <c r="BR201">
        <v>53.844284839895067</v>
      </c>
      <c r="BS201">
        <v>0.84674967369465337</v>
      </c>
      <c r="BT201">
        <v>53.844284839895067</v>
      </c>
      <c r="BU201">
        <v>53.844284839895067</v>
      </c>
      <c r="BV201">
        <v>0.84674967369465337</v>
      </c>
      <c r="BW201">
        <v>592.30746297605469</v>
      </c>
      <c r="BX201">
        <v>-0.68581145137462762</v>
      </c>
      <c r="BY201" t="str">
        <f t="shared" si="7"/>
        <v>[[sv,wv],[yr],[ya]]</v>
      </c>
      <c r="BZ201" t="str">
        <f>SUBSTITUTE(TRIM(MID(SUBSTITUTE(SUBSTITUTE(SUBSTITUTE(Tabla1[[#This Row],[map]],"[",""),"]",""),",",REPT(" ",100)),901,200))," ",", ")</f>
        <v>2, 3</v>
      </c>
      <c r="CA201" t="str">
        <f>SUBSTITUTE(TRIM(MID(SUBSTITUTE(SUBSTITUTE(SUBSTITUTE(Tabla1[[#This Row],[map]],"[",""),"]",""),",",REPT(" ",100)),1501,200))," ",", ")</f>
        <v>3, 2</v>
      </c>
      <c r="CB201" t="str">
        <f>SUBSTITUTE(TRIM(MID(SUBSTITUTE(SUBSTITUTE(SUBSTITUTE(Tabla1[[#This Row],[map]],"[",""),"]",""),",",REPT(" ",100)),601,300))," ",", ")</f>
        <v>1, 4, 0</v>
      </c>
      <c r="CC201" t="str">
        <f>SUBSTITUTE(TRIM(MID(SUBSTITUTE(SUBSTITUTE(SUBSTITUTE(Tabla1[[#This Row],[map]],"[",""),"]",""),",",REPT(" ",100)),1201,300))," ",", ")</f>
        <v>1, 4, 0</v>
      </c>
      <c r="CD201" t="str">
        <f>SUBSTITUTE(TRIM(MID(SUBSTITUTE(SUBSTITUTE(SUBSTITUTE(Tabla1[[#This Row],[map]],"[",""),"]",""),",",REPT(" ",100)),1,300))," ",", ")</f>
        <v>2, 3, 4</v>
      </c>
      <c r="CE201" t="str">
        <f>SUBSTITUTE(TRIM(MID(SUBSTITUTE(SUBSTITUTE(SUBSTITUTE(Tabla1[[#This Row],[map]],"[",""),"]",""),",",REPT(" ",100)),1,600))," ",", ")</f>
        <v>2, 3, 4, 0, 1, -1</v>
      </c>
      <c r="CF201" t="str">
        <f>SUBSTITUTE(TRIM(MID(SUBSTITUTE(SUBSTITUTE(SUBSTITUTE(Tabla1[[#This Row],[map]],"[",""),"]",""),",",REPT(" ",100)),601,600))," ",", ")</f>
        <v>1, 4, 0, 2, 3, -1</v>
      </c>
      <c r="CG201" t="str">
        <f>SUBSTITUTE(TRIM(MID(SUBSTITUTE(SUBSTITUTE(SUBSTITUTE(Tabla1[[#This Row],[map]],"[",""),"]",""),",",REPT(" ",100)),1201,600))," ",", ")</f>
        <v>1, 4, 0, 3, 2, -1</v>
      </c>
    </row>
    <row r="202" spans="1:85" x14ac:dyDescent="0.3">
      <c r="A202" s="1">
        <v>46105.17695601852</v>
      </c>
      <c r="B202" t="s">
        <v>399</v>
      </c>
      <c r="C202">
        <v>1</v>
      </c>
      <c r="D202" t="s">
        <v>96</v>
      </c>
      <c r="E202" t="s">
        <v>78</v>
      </c>
      <c r="F202">
        <v>16590</v>
      </c>
      <c r="G202">
        <v>4.5</v>
      </c>
      <c r="H202" t="s">
        <v>79</v>
      </c>
      <c r="I202" t="s">
        <v>80</v>
      </c>
      <c r="J202">
        <v>5</v>
      </c>
      <c r="K202">
        <v>5</v>
      </c>
      <c r="L202" t="s">
        <v>81</v>
      </c>
      <c r="M202" t="s">
        <v>82</v>
      </c>
      <c r="N202" t="s">
        <v>83</v>
      </c>
      <c r="O202" t="s">
        <v>83</v>
      </c>
      <c r="P202" t="s">
        <v>84</v>
      </c>
      <c r="Q202" t="s">
        <v>387</v>
      </c>
      <c r="R202">
        <v>3</v>
      </c>
      <c r="S202" t="s">
        <v>86</v>
      </c>
      <c r="T202" t="s">
        <v>87</v>
      </c>
      <c r="U202" t="s">
        <v>88</v>
      </c>
      <c r="V202">
        <v>1</v>
      </c>
      <c r="W202" t="s">
        <v>388</v>
      </c>
      <c r="X202" t="s">
        <v>83</v>
      </c>
      <c r="Y202" t="s">
        <v>90</v>
      </c>
      <c r="Z202">
        <v>4000</v>
      </c>
      <c r="AA202">
        <v>4000</v>
      </c>
      <c r="AC202">
        <v>256</v>
      </c>
      <c r="AD202" t="s">
        <v>91</v>
      </c>
      <c r="AE202">
        <v>0.15</v>
      </c>
      <c r="AF202" t="s">
        <v>92</v>
      </c>
      <c r="AG202">
        <v>180</v>
      </c>
      <c r="AH202">
        <v>60</v>
      </c>
      <c r="AI202">
        <v>120</v>
      </c>
      <c r="AJ202">
        <v>0.1114722870059647</v>
      </c>
      <c r="AK202">
        <v>26.209009670203042</v>
      </c>
      <c r="AL202">
        <v>0.74005778621517004</v>
      </c>
      <c r="AM202">
        <v>-0.1711147544239856</v>
      </c>
      <c r="AN202">
        <v>30.747959283719709</v>
      </c>
      <c r="AO202">
        <v>0.68888236250444701</v>
      </c>
      <c r="AP202">
        <v>30.747959283719709</v>
      </c>
      <c r="AQ202">
        <v>30.747959283719709</v>
      </c>
      <c r="AR202">
        <v>0.68888236250444701</v>
      </c>
      <c r="AS202">
        <v>96.960044062829738</v>
      </c>
      <c r="AT202">
        <v>-8.4048478815334116E-2</v>
      </c>
      <c r="AU202">
        <v>0.8</v>
      </c>
      <c r="AV202" t="s">
        <v>93</v>
      </c>
      <c r="AW202">
        <v>6.4086104190527751E-2</v>
      </c>
      <c r="AX202">
        <v>0.53465202290133318</v>
      </c>
      <c r="AY202">
        <v>6.4086104190527751E-2</v>
      </c>
      <c r="AZ202">
        <v>6.4086104190527751E-2</v>
      </c>
      <c r="BA202">
        <v>0.53465202290133318</v>
      </c>
      <c r="BB202">
        <v>0.2137037575504864</v>
      </c>
      <c r="BC202">
        <v>-0.55176558991397529</v>
      </c>
      <c r="BD202">
        <v>7.9608476115683197E-2</v>
      </c>
      <c r="BE202">
        <v>0.72417363319756545</v>
      </c>
      <c r="BF202">
        <v>7.9608476115683197E-2</v>
      </c>
      <c r="BG202">
        <v>7.9608476115683197E-2</v>
      </c>
      <c r="BH202">
        <v>0.72417363319756545</v>
      </c>
      <c r="BI202">
        <v>0.2575665109493967</v>
      </c>
      <c r="BJ202">
        <v>0.1075870511336707</v>
      </c>
      <c r="BK202">
        <v>3.8298843337813117E-2</v>
      </c>
      <c r="BL202">
        <v>0.84624225799578134</v>
      </c>
      <c r="BM202">
        <v>3.8298843337813117E-2</v>
      </c>
      <c r="BN202">
        <v>3.8298843337813117E-2</v>
      </c>
      <c r="BO202">
        <v>0.84624225799578134</v>
      </c>
      <c r="BP202">
        <v>0.1967914155322939</v>
      </c>
      <c r="BQ202">
        <v>0.2099447121374293</v>
      </c>
      <c r="BR202">
        <v>122.8098437112349</v>
      </c>
      <c r="BS202">
        <v>0.65046153592311251</v>
      </c>
      <c r="BT202">
        <v>122.8098437112349</v>
      </c>
      <c r="BU202">
        <v>122.8098437112349</v>
      </c>
      <c r="BV202">
        <v>0.65046153592311251</v>
      </c>
      <c r="BW202">
        <v>387.17211456728768</v>
      </c>
      <c r="BX202">
        <v>-0.1019600886184506</v>
      </c>
      <c r="BY202" t="str">
        <f t="shared" si="7"/>
        <v>[[sv,wv],[yr],[ya]]</v>
      </c>
      <c r="BZ202" t="str">
        <f>SUBSTITUTE(TRIM(MID(SUBSTITUTE(SUBSTITUTE(SUBSTITUTE(Tabla1[[#This Row],[map]],"[",""),"]",""),",",REPT(" ",100)),901,200))," ",", ")</f>
        <v>2, 4</v>
      </c>
      <c r="CA202" t="str">
        <f>SUBSTITUTE(TRIM(MID(SUBSTITUTE(SUBSTITUTE(SUBSTITUTE(Tabla1[[#This Row],[map]],"[",""),"]",""),",",REPT(" ",100)),1501,200))," ",", ")</f>
        <v>3, 2</v>
      </c>
      <c r="CB202" t="str">
        <f>SUBSTITUTE(TRIM(MID(SUBSTITUTE(SUBSTITUTE(SUBSTITUTE(Tabla1[[#This Row],[map]],"[",""),"]",""),",",REPT(" ",100)),601,300))," ",", ")</f>
        <v>1, 3, 0</v>
      </c>
      <c r="CC202" t="str">
        <f>SUBSTITUTE(TRIM(MID(SUBSTITUTE(SUBSTITUTE(SUBSTITUTE(Tabla1[[#This Row],[map]],"[",""),"]",""),",",REPT(" ",100)),1201,300))," ",", ")</f>
        <v>0, 1, 4</v>
      </c>
      <c r="CD202" t="str">
        <f>SUBSTITUTE(TRIM(MID(SUBSTITUTE(SUBSTITUTE(SUBSTITUTE(Tabla1[[#This Row],[map]],"[",""),"]",""),",",REPT(" ",100)),1,300))," ",", ")</f>
        <v>2, 3, 4</v>
      </c>
      <c r="CE202" t="str">
        <f>SUBSTITUTE(TRIM(MID(SUBSTITUTE(SUBSTITUTE(SUBSTITUTE(Tabla1[[#This Row],[map]],"[",""),"]",""),",",REPT(" ",100)),1,600))," ",", ")</f>
        <v>2, 3, 4, 0, 1, -1</v>
      </c>
      <c r="CF202" t="str">
        <f>SUBSTITUTE(TRIM(MID(SUBSTITUTE(SUBSTITUTE(SUBSTITUTE(Tabla1[[#This Row],[map]],"[",""),"]",""),",",REPT(" ",100)),601,600))," ",", ")</f>
        <v>1, 3, 0, 2, 4, -1</v>
      </c>
      <c r="CG202" t="str">
        <f>SUBSTITUTE(TRIM(MID(SUBSTITUTE(SUBSTITUTE(SUBSTITUTE(Tabla1[[#This Row],[map]],"[",""),"]",""),",",REPT(" ",100)),1201,600))," ",", ")</f>
        <v>0, 1, 4, 3, 2, -1</v>
      </c>
    </row>
    <row r="203" spans="1:85" x14ac:dyDescent="0.3">
      <c r="A203" s="1">
        <v>46105.317291666674</v>
      </c>
      <c r="B203" t="s">
        <v>400</v>
      </c>
      <c r="C203">
        <v>0</v>
      </c>
      <c r="D203" t="s">
        <v>77</v>
      </c>
      <c r="E203" t="s">
        <v>78</v>
      </c>
      <c r="F203">
        <v>16590</v>
      </c>
      <c r="G203">
        <v>4.5</v>
      </c>
      <c r="H203" t="s">
        <v>79</v>
      </c>
      <c r="I203" t="s">
        <v>80</v>
      </c>
      <c r="J203">
        <v>5</v>
      </c>
      <c r="K203">
        <v>5</v>
      </c>
      <c r="L203" t="s">
        <v>81</v>
      </c>
      <c r="M203" t="s">
        <v>82</v>
      </c>
      <c r="N203" t="s">
        <v>83</v>
      </c>
      <c r="O203" t="s">
        <v>83</v>
      </c>
      <c r="P203" t="s">
        <v>84</v>
      </c>
      <c r="Q203" t="s">
        <v>401</v>
      </c>
      <c r="R203">
        <v>3</v>
      </c>
      <c r="S203" t="s">
        <v>86</v>
      </c>
      <c r="T203" t="s">
        <v>87</v>
      </c>
      <c r="U203" t="s">
        <v>88</v>
      </c>
      <c r="V203">
        <v>1</v>
      </c>
      <c r="W203" t="s">
        <v>402</v>
      </c>
      <c r="X203" t="s">
        <v>83</v>
      </c>
      <c r="Y203" t="s">
        <v>90</v>
      </c>
      <c r="Z203">
        <v>4000</v>
      </c>
      <c r="AA203">
        <v>4000</v>
      </c>
      <c r="AC203">
        <v>256</v>
      </c>
      <c r="AD203" t="s">
        <v>91</v>
      </c>
      <c r="AE203">
        <v>0.15</v>
      </c>
      <c r="AF203" t="s">
        <v>92</v>
      </c>
      <c r="AG203">
        <v>180</v>
      </c>
      <c r="AH203">
        <v>60</v>
      </c>
      <c r="AI203">
        <v>120</v>
      </c>
      <c r="AJ203">
        <v>9.5115651538431267E-2</v>
      </c>
      <c r="AK203">
        <v>19.351939489036809</v>
      </c>
      <c r="AL203">
        <v>0.78758926753679181</v>
      </c>
      <c r="AM203">
        <v>0.32427087670242771</v>
      </c>
      <c r="AN203">
        <v>21.383715314360899</v>
      </c>
      <c r="AO203">
        <v>0.74579828307033835</v>
      </c>
      <c r="AP203">
        <v>21.383715314360899</v>
      </c>
      <c r="AQ203">
        <v>21.383715314360899</v>
      </c>
      <c r="AR203">
        <v>0.74579828307033835</v>
      </c>
      <c r="AS203">
        <v>80.279069938957875</v>
      </c>
      <c r="AT203">
        <v>0.15409320556189501</v>
      </c>
      <c r="AU203">
        <v>0.8</v>
      </c>
      <c r="AV203" t="s">
        <v>93</v>
      </c>
      <c r="AW203">
        <v>6.5119865582408634E-2</v>
      </c>
      <c r="AX203">
        <v>0.52714557858566247</v>
      </c>
      <c r="AY203">
        <v>6.5119865582408634E-2</v>
      </c>
      <c r="AZ203">
        <v>6.5119865582408634E-2</v>
      </c>
      <c r="BA203">
        <v>0.52714557858566247</v>
      </c>
      <c r="BB203">
        <v>0.15558089183427079</v>
      </c>
      <c r="BC203">
        <v>-0.1297184343589004</v>
      </c>
      <c r="BD203">
        <v>5.6576043875175903E-2</v>
      </c>
      <c r="BE203">
        <v>0.80397609159773098</v>
      </c>
      <c r="BF203">
        <v>5.6576043875175903E-2</v>
      </c>
      <c r="BG203">
        <v>5.6576043875175903E-2</v>
      </c>
      <c r="BH203">
        <v>0.80397609159773098</v>
      </c>
      <c r="BI203">
        <v>0.1515393449828894</v>
      </c>
      <c r="BJ203">
        <v>0.47494853571230922</v>
      </c>
      <c r="BK203">
        <v>2.612957582400292E-2</v>
      </c>
      <c r="BL203">
        <v>0.89509801790123411</v>
      </c>
      <c r="BM203">
        <v>2.612957582400292E-2</v>
      </c>
      <c r="BN203">
        <v>2.612957582400292E-2</v>
      </c>
      <c r="BO203">
        <v>0.89509801790123411</v>
      </c>
      <c r="BP203">
        <v>0.20334269634709631</v>
      </c>
      <c r="BQ203">
        <v>0.18364339184859871</v>
      </c>
      <c r="BR203">
        <v>85.387035772161838</v>
      </c>
      <c r="BS203">
        <v>0.75697344419672663</v>
      </c>
      <c r="BT203">
        <v>85.387035772161838</v>
      </c>
      <c r="BU203">
        <v>85.387035772161838</v>
      </c>
      <c r="BV203">
        <v>0.75697344419672663</v>
      </c>
      <c r="BW203">
        <v>320.6058168226661</v>
      </c>
      <c r="BX203">
        <v>8.7499329045569008E-2</v>
      </c>
      <c r="BY203" t="str">
        <f t="shared" si="7"/>
        <v>[[sv,wv],[yr],[ya]]</v>
      </c>
      <c r="BZ203" t="str">
        <f>SUBSTITUTE(TRIM(MID(SUBSTITUTE(SUBSTITUTE(SUBSTITUTE(Tabla1[[#This Row],[map]],"[",""),"]",""),",",REPT(" ",100)),901,200))," ",", ")</f>
        <v>2, 3</v>
      </c>
      <c r="CA203" t="str">
        <f>SUBSTITUTE(TRIM(MID(SUBSTITUTE(SUBSTITUTE(SUBSTITUTE(Tabla1[[#This Row],[map]],"[",""),"]",""),",",REPT(" ",100)),1501,200))," ",", ")</f>
        <v>3, 4</v>
      </c>
      <c r="CB203" t="str">
        <f>SUBSTITUTE(TRIM(MID(SUBSTITUTE(SUBSTITUTE(SUBSTITUTE(Tabla1[[#This Row],[map]],"[",""),"]",""),",",REPT(" ",100)),601,300))," ",", ")</f>
        <v>1, 4, 0</v>
      </c>
      <c r="CC203" t="str">
        <f>SUBSTITUTE(TRIM(MID(SUBSTITUTE(SUBSTITUTE(SUBSTITUTE(Tabla1[[#This Row],[map]],"[",""),"]",""),",",REPT(" ",100)),1201,300))," ",", ")</f>
        <v>0, 1, 2</v>
      </c>
      <c r="CD203" t="str">
        <f>SUBSTITUTE(TRIM(MID(SUBSTITUTE(SUBSTITUTE(SUBSTITUTE(Tabla1[[#This Row],[map]],"[",""),"]",""),",",REPT(" ",100)),1,300))," ",", ")</f>
        <v>2, 3, 4</v>
      </c>
      <c r="CE203" t="str">
        <f>SUBSTITUTE(TRIM(MID(SUBSTITUTE(SUBSTITUTE(SUBSTITUTE(Tabla1[[#This Row],[map]],"[",""),"]",""),",",REPT(" ",100)),1,600))," ",", ")</f>
        <v>2, 3, 4, 0, 1, -1</v>
      </c>
      <c r="CF203" t="str">
        <f>SUBSTITUTE(TRIM(MID(SUBSTITUTE(SUBSTITUTE(SUBSTITUTE(Tabla1[[#This Row],[map]],"[",""),"]",""),",",REPT(" ",100)),601,600))," ",", ")</f>
        <v>1, 4, 0, 2, 3, -1</v>
      </c>
      <c r="CG203" t="str">
        <f>SUBSTITUTE(TRIM(MID(SUBSTITUTE(SUBSTITUTE(SUBSTITUTE(Tabla1[[#This Row],[map]],"[",""),"]",""),",",REPT(" ",100)),1201,600))," ",", ")</f>
        <v>0, 1, 2, 3, 4, -1</v>
      </c>
    </row>
    <row r="204" spans="1:85" x14ac:dyDescent="0.3">
      <c r="A204" s="1">
        <v>46105.322442129633</v>
      </c>
      <c r="B204" t="s">
        <v>403</v>
      </c>
      <c r="C204">
        <v>1</v>
      </c>
      <c r="D204" t="s">
        <v>77</v>
      </c>
      <c r="E204" t="s">
        <v>78</v>
      </c>
      <c r="F204">
        <v>16590</v>
      </c>
      <c r="G204">
        <v>4.5</v>
      </c>
      <c r="H204" t="s">
        <v>79</v>
      </c>
      <c r="I204" t="s">
        <v>80</v>
      </c>
      <c r="J204">
        <v>5</v>
      </c>
      <c r="K204">
        <v>5</v>
      </c>
      <c r="L204" t="s">
        <v>81</v>
      </c>
      <c r="M204" t="s">
        <v>82</v>
      </c>
      <c r="N204" t="s">
        <v>83</v>
      </c>
      <c r="O204" t="s">
        <v>83</v>
      </c>
      <c r="P204" t="s">
        <v>84</v>
      </c>
      <c r="Q204" t="s">
        <v>390</v>
      </c>
      <c r="R204">
        <v>3</v>
      </c>
      <c r="S204" t="s">
        <v>86</v>
      </c>
      <c r="T204" t="s">
        <v>87</v>
      </c>
      <c r="U204" t="s">
        <v>88</v>
      </c>
      <c r="V204">
        <v>1</v>
      </c>
      <c r="W204" t="s">
        <v>391</v>
      </c>
      <c r="X204" t="s">
        <v>83</v>
      </c>
      <c r="Y204" t="s">
        <v>90</v>
      </c>
      <c r="Z204">
        <v>4000</v>
      </c>
      <c r="AA204">
        <v>4000</v>
      </c>
      <c r="AC204">
        <v>256</v>
      </c>
      <c r="AD204" t="s">
        <v>91</v>
      </c>
      <c r="AE204">
        <v>0.15</v>
      </c>
      <c r="AF204" t="s">
        <v>92</v>
      </c>
      <c r="AG204">
        <v>180</v>
      </c>
      <c r="AH204">
        <v>60</v>
      </c>
      <c r="AI204">
        <v>120</v>
      </c>
      <c r="AJ204">
        <v>0.11683045068435199</v>
      </c>
      <c r="AK204">
        <v>14.194229335404961</v>
      </c>
      <c r="AL204">
        <v>0.70865193191226694</v>
      </c>
      <c r="AM204">
        <v>-0.3248968654366502</v>
      </c>
      <c r="AN204">
        <v>18.31402278659057</v>
      </c>
      <c r="AO204">
        <v>0.65363980738871863</v>
      </c>
      <c r="AP204">
        <v>18.31402278659057</v>
      </c>
      <c r="AQ204">
        <v>18.31402278659057</v>
      </c>
      <c r="AR204">
        <v>0.65363980738871863</v>
      </c>
      <c r="AS204">
        <v>125.0734167291504</v>
      </c>
      <c r="AT204">
        <v>-0.47685701637397487</v>
      </c>
      <c r="AU204">
        <v>0.8</v>
      </c>
      <c r="AV204" t="s">
        <v>93</v>
      </c>
      <c r="AW204">
        <v>6.3423545642416951E-2</v>
      </c>
      <c r="AX204">
        <v>0.5394630546213478</v>
      </c>
      <c r="AY204">
        <v>6.3423545642416951E-2</v>
      </c>
      <c r="AZ204">
        <v>6.3423545642416951E-2</v>
      </c>
      <c r="BA204">
        <v>0.5394630546213478</v>
      </c>
      <c r="BB204">
        <v>9.7133272101401658E-2</v>
      </c>
      <c r="BC204">
        <v>0.29468685525055638</v>
      </c>
      <c r="BD204">
        <v>8.5592191867028142E-2</v>
      </c>
      <c r="BE204">
        <v>0.70344133613319759</v>
      </c>
      <c r="BF204">
        <v>8.5592191867028142E-2</v>
      </c>
      <c r="BG204">
        <v>8.5592191867028142E-2</v>
      </c>
      <c r="BH204">
        <v>0.70344133613319759</v>
      </c>
      <c r="BI204">
        <v>0.46264652650972887</v>
      </c>
      <c r="BJ204">
        <v>-0.60297140138077632</v>
      </c>
      <c r="BK204">
        <v>0.10475736741879429</v>
      </c>
      <c r="BL204">
        <v>0.57943230476840157</v>
      </c>
      <c r="BM204">
        <v>0.10475736741879429</v>
      </c>
      <c r="BN204">
        <v>0.10475736741879429</v>
      </c>
      <c r="BO204">
        <v>0.57943230476840157</v>
      </c>
      <c r="BP204">
        <v>0.54259744366077256</v>
      </c>
      <c r="BQ204">
        <v>-1.1783571116930101</v>
      </c>
      <c r="BR204">
        <v>73.002318041433696</v>
      </c>
      <c r="BS204">
        <v>0.79222253403192933</v>
      </c>
      <c r="BT204">
        <v>73.002318041433696</v>
      </c>
      <c r="BU204">
        <v>73.002318041433696</v>
      </c>
      <c r="BV204">
        <v>0.79222253403192933</v>
      </c>
      <c r="BW204">
        <v>499.19128967432943</v>
      </c>
      <c r="BX204">
        <v>-0.42078640767265568</v>
      </c>
      <c r="BY204" t="str">
        <f t="shared" si="7"/>
        <v>[[sv,wv],[yr],[ya]]</v>
      </c>
      <c r="BZ204" t="str">
        <f>SUBSTITUTE(TRIM(MID(SUBSTITUTE(SUBSTITUTE(SUBSTITUTE(Tabla1[[#This Row],[map]],"[",""),"]",""),",",REPT(" ",100)),901,200))," ",", ")</f>
        <v>2, 3</v>
      </c>
      <c r="CA204" t="str">
        <f>SUBSTITUTE(TRIM(MID(SUBSTITUTE(SUBSTITUTE(SUBSTITUTE(Tabla1[[#This Row],[map]],"[",""),"]",""),",",REPT(" ",100)),1501,200))," ",", ")</f>
        <v>3, 2</v>
      </c>
      <c r="CB204" t="str">
        <f>SUBSTITUTE(TRIM(MID(SUBSTITUTE(SUBSTITUTE(SUBSTITUTE(Tabla1[[#This Row],[map]],"[",""),"]",""),",",REPT(" ",100)),601,300))," ",", ")</f>
        <v>0, 1, 4</v>
      </c>
      <c r="CC204" t="str">
        <f>SUBSTITUTE(TRIM(MID(SUBSTITUTE(SUBSTITUTE(SUBSTITUTE(Tabla1[[#This Row],[map]],"[",""),"]",""),",",REPT(" ",100)),1201,300))," ",", ")</f>
        <v>1, 4, 0</v>
      </c>
      <c r="CD204" t="str">
        <f>SUBSTITUTE(TRIM(MID(SUBSTITUTE(SUBSTITUTE(SUBSTITUTE(Tabla1[[#This Row],[map]],"[",""),"]",""),",",REPT(" ",100)),1,300))," ",", ")</f>
        <v>2, 3, 4</v>
      </c>
      <c r="CE204" t="str">
        <f>SUBSTITUTE(TRIM(MID(SUBSTITUTE(SUBSTITUTE(SUBSTITUTE(Tabla1[[#This Row],[map]],"[",""),"]",""),",",REPT(" ",100)),1,600))," ",", ")</f>
        <v>2, 3, 4, 0, 1, -1</v>
      </c>
      <c r="CF204" t="str">
        <f>SUBSTITUTE(TRIM(MID(SUBSTITUTE(SUBSTITUTE(SUBSTITUTE(Tabla1[[#This Row],[map]],"[",""),"]",""),",",REPT(" ",100)),601,600))," ",", ")</f>
        <v>0, 1, 4, 2, 3, -1</v>
      </c>
      <c r="CG204" t="str">
        <f>SUBSTITUTE(TRIM(MID(SUBSTITUTE(SUBSTITUTE(SUBSTITUTE(Tabla1[[#This Row],[map]],"[",""),"]",""),",",REPT(" ",100)),1201,600))," ",", ")</f>
        <v>1, 4, 0, 3, 2, -1</v>
      </c>
    </row>
    <row r="205" spans="1:85" x14ac:dyDescent="0.3">
      <c r="A205" s="1">
        <v>46105.46303240741</v>
      </c>
      <c r="B205" t="s">
        <v>407</v>
      </c>
      <c r="C205">
        <v>0</v>
      </c>
      <c r="D205" t="s">
        <v>96</v>
      </c>
      <c r="E205" t="s">
        <v>78</v>
      </c>
      <c r="F205">
        <v>16590</v>
      </c>
      <c r="G205">
        <v>4.5</v>
      </c>
      <c r="H205" t="s">
        <v>79</v>
      </c>
      <c r="I205" t="s">
        <v>80</v>
      </c>
      <c r="J205">
        <v>5</v>
      </c>
      <c r="K205">
        <v>5</v>
      </c>
      <c r="L205" t="s">
        <v>81</v>
      </c>
      <c r="M205" t="s">
        <v>82</v>
      </c>
      <c r="N205" t="s">
        <v>83</v>
      </c>
      <c r="O205" t="s">
        <v>83</v>
      </c>
      <c r="P205" t="s">
        <v>84</v>
      </c>
      <c r="Q205" t="s">
        <v>408</v>
      </c>
      <c r="R205">
        <v>3</v>
      </c>
      <c r="S205" t="s">
        <v>86</v>
      </c>
      <c r="T205" t="s">
        <v>87</v>
      </c>
      <c r="U205" t="s">
        <v>88</v>
      </c>
      <c r="V205">
        <v>1</v>
      </c>
      <c r="W205" t="s">
        <v>409</v>
      </c>
      <c r="X205" t="s">
        <v>83</v>
      </c>
      <c r="Y205" t="s">
        <v>90</v>
      </c>
      <c r="Z205">
        <v>4000</v>
      </c>
      <c r="AA205">
        <v>4000</v>
      </c>
      <c r="AC205">
        <v>256</v>
      </c>
      <c r="AD205" t="s">
        <v>91</v>
      </c>
      <c r="AE205">
        <v>0.15</v>
      </c>
      <c r="AF205" t="s">
        <v>92</v>
      </c>
      <c r="AG205">
        <v>180</v>
      </c>
      <c r="AH205">
        <v>60</v>
      </c>
      <c r="AI205">
        <v>120</v>
      </c>
      <c r="AJ205">
        <v>8.9818994284633094E-2</v>
      </c>
      <c r="AK205">
        <v>20.779510290276431</v>
      </c>
      <c r="AL205">
        <v>0.79764131026880469</v>
      </c>
      <c r="AM205">
        <v>-9.0417653188111902E-2</v>
      </c>
      <c r="AN205">
        <v>28.512463054214241</v>
      </c>
      <c r="AO205">
        <v>0.72885655526861615</v>
      </c>
      <c r="AP205">
        <v>28.512463054214241</v>
      </c>
      <c r="AQ205">
        <v>28.512463054214241</v>
      </c>
      <c r="AR205">
        <v>0.72885655526861615</v>
      </c>
      <c r="AS205">
        <v>101.0761940721989</v>
      </c>
      <c r="AT205">
        <v>-9.9701559955986979E-2</v>
      </c>
      <c r="AU205">
        <v>0.8</v>
      </c>
      <c r="AV205" t="s">
        <v>93</v>
      </c>
      <c r="AW205">
        <v>6.6191310681060364E-2</v>
      </c>
      <c r="AX205">
        <v>0.51936550183536501</v>
      </c>
      <c r="AY205">
        <v>6.6191310681060364E-2</v>
      </c>
      <c r="AZ205">
        <v>6.6191310681060364E-2</v>
      </c>
      <c r="BA205">
        <v>0.51936550183536501</v>
      </c>
      <c r="BB205">
        <v>0.19939645751363841</v>
      </c>
      <c r="BC205">
        <v>-0.44787609290075298</v>
      </c>
      <c r="BD205">
        <v>5.0127578850875792E-2</v>
      </c>
      <c r="BE205">
        <v>0.82631864563080426</v>
      </c>
      <c r="BF205">
        <v>5.0127578850875792E-2</v>
      </c>
      <c r="BG205">
        <v>5.0127578850875792E-2</v>
      </c>
      <c r="BH205">
        <v>0.82631864563080426</v>
      </c>
      <c r="BI205">
        <v>0.19355282259002679</v>
      </c>
      <c r="BJ205">
        <v>0.32938080912660722</v>
      </c>
      <c r="BK205">
        <v>2.641757194898511E-2</v>
      </c>
      <c r="BL205">
        <v>0.89394180455315353</v>
      </c>
      <c r="BM205">
        <v>2.641757194898511E-2</v>
      </c>
      <c r="BN205">
        <v>2.641757194898511E-2</v>
      </c>
      <c r="BO205">
        <v>0.89394180455315353</v>
      </c>
      <c r="BP205">
        <v>0.28184259427360292</v>
      </c>
      <c r="BQ205">
        <v>-0.13150886865908151</v>
      </c>
      <c r="BR205">
        <v>113.9071157553758</v>
      </c>
      <c r="BS205">
        <v>0.67580026905514301</v>
      </c>
      <c r="BT205">
        <v>113.9071157553758</v>
      </c>
      <c r="BU205">
        <v>113.9071157553758</v>
      </c>
      <c r="BV205">
        <v>0.67580026905514301</v>
      </c>
      <c r="BW205">
        <v>403.62998441441999</v>
      </c>
      <c r="BX205">
        <v>-0.1488020873907174</v>
      </c>
      <c r="BY205" t="str">
        <f t="shared" ref="BY205:BY224" si="8">_xlfn.LET(_xlpm.TextoConfig, Q205,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205" t="str">
        <f>SUBSTITUTE(TRIM(MID(SUBSTITUTE(SUBSTITUTE(SUBSTITUTE(Tabla1[[#This Row],[map]],"[",""),"]",""),",",REPT(" ",100)),901,200))," ",", ")</f>
        <v>2, 3</v>
      </c>
      <c r="CA205" t="str">
        <f>SUBSTITUTE(TRIM(MID(SUBSTITUTE(SUBSTITUTE(SUBSTITUTE(Tabla1[[#This Row],[map]],"[",""),"]",""),",",REPT(" ",100)),1501,200))," ",", ")</f>
        <v>3, 4</v>
      </c>
      <c r="CB205" t="str">
        <f>SUBSTITUTE(TRIM(MID(SUBSTITUTE(SUBSTITUTE(SUBSTITUTE(Tabla1[[#This Row],[map]],"[",""),"]",""),",",REPT(" ",100)),601,300))," ",", ")</f>
        <v>1, 4, 0</v>
      </c>
      <c r="CC205" t="str">
        <f>SUBSTITUTE(TRIM(MID(SUBSTITUTE(SUBSTITUTE(SUBSTITUTE(Tabla1[[#This Row],[map]],"[",""),"]",""),",",REPT(" ",100)),1201,300))," ",", ")</f>
        <v>1, 2, 0</v>
      </c>
      <c r="CD205" t="str">
        <f>SUBSTITUTE(TRIM(MID(SUBSTITUTE(SUBSTITUTE(SUBSTITUTE(Tabla1[[#This Row],[map]],"[",""),"]",""),",",REPT(" ",100)),1,300))," ",", ")</f>
        <v>2, 3, 4</v>
      </c>
      <c r="CE205" t="str">
        <f>SUBSTITUTE(TRIM(MID(SUBSTITUTE(SUBSTITUTE(SUBSTITUTE(Tabla1[[#This Row],[map]],"[",""),"]",""),",",REPT(" ",100)),1,600))," ",", ")</f>
        <v>2, 3, 4, 0, 1, -1</v>
      </c>
      <c r="CF205" t="str">
        <f>SUBSTITUTE(TRIM(MID(SUBSTITUTE(SUBSTITUTE(SUBSTITUTE(Tabla1[[#This Row],[map]],"[",""),"]",""),",",REPT(" ",100)),601,600))," ",", ")</f>
        <v>1, 4, 0, 2, 3, -1</v>
      </c>
      <c r="CG205" t="str">
        <f>SUBSTITUTE(TRIM(MID(SUBSTITUTE(SUBSTITUTE(SUBSTITUTE(Tabla1[[#This Row],[map]],"[",""),"]",""),",",REPT(" ",100)),1201,600))," ",", ")</f>
        <v>1, 2, 0, 3, 4, -1</v>
      </c>
    </row>
    <row r="206" spans="1:85" x14ac:dyDescent="0.3">
      <c r="A206" s="1">
        <v>46105.467719907407</v>
      </c>
      <c r="B206" t="s">
        <v>410</v>
      </c>
      <c r="C206">
        <v>1</v>
      </c>
      <c r="D206" t="s">
        <v>96</v>
      </c>
      <c r="E206" t="s">
        <v>78</v>
      </c>
      <c r="F206">
        <v>16590</v>
      </c>
      <c r="G206">
        <v>4.5</v>
      </c>
      <c r="H206" t="s">
        <v>79</v>
      </c>
      <c r="I206" t="s">
        <v>80</v>
      </c>
      <c r="J206">
        <v>5</v>
      </c>
      <c r="K206">
        <v>5</v>
      </c>
      <c r="L206" t="s">
        <v>81</v>
      </c>
      <c r="M206" t="s">
        <v>82</v>
      </c>
      <c r="N206" t="s">
        <v>83</v>
      </c>
      <c r="O206" t="s">
        <v>83</v>
      </c>
      <c r="P206" t="s">
        <v>84</v>
      </c>
      <c r="Q206" t="s">
        <v>393</v>
      </c>
      <c r="R206">
        <v>3</v>
      </c>
      <c r="S206" t="s">
        <v>86</v>
      </c>
      <c r="T206" t="s">
        <v>87</v>
      </c>
      <c r="U206" t="s">
        <v>88</v>
      </c>
      <c r="V206">
        <v>1</v>
      </c>
      <c r="W206" t="s">
        <v>394</v>
      </c>
      <c r="X206" t="s">
        <v>83</v>
      </c>
      <c r="Y206" t="s">
        <v>90</v>
      </c>
      <c r="Z206">
        <v>4000</v>
      </c>
      <c r="AA206">
        <v>4000</v>
      </c>
      <c r="AC206">
        <v>256</v>
      </c>
      <c r="AD206" t="s">
        <v>91</v>
      </c>
      <c r="AE206">
        <v>0.15</v>
      </c>
      <c r="AF206" t="s">
        <v>92</v>
      </c>
      <c r="AG206">
        <v>180</v>
      </c>
      <c r="AH206">
        <v>60</v>
      </c>
      <c r="AI206">
        <v>120</v>
      </c>
      <c r="AJ206">
        <v>0.11908190416912171</v>
      </c>
      <c r="AK206">
        <v>16.477337351724909</v>
      </c>
      <c r="AL206">
        <v>0.70628325642468281</v>
      </c>
      <c r="AM206">
        <v>-0.6543207657393133</v>
      </c>
      <c r="AN206">
        <v>23.317162345969582</v>
      </c>
      <c r="AO206">
        <v>0.64533617707396296</v>
      </c>
      <c r="AP206">
        <v>23.317162345969582</v>
      </c>
      <c r="AQ206">
        <v>23.317162345969582</v>
      </c>
      <c r="AR206">
        <v>0.64533617707396296</v>
      </c>
      <c r="AS206">
        <v>154.6436523031839</v>
      </c>
      <c r="AT206">
        <v>-0.53819605138729398</v>
      </c>
      <c r="AU206">
        <v>0.8</v>
      </c>
      <c r="AV206" t="s">
        <v>93</v>
      </c>
      <c r="AW206">
        <v>6.2420917689212721E-2</v>
      </c>
      <c r="AX206">
        <v>0.54674342991798075</v>
      </c>
      <c r="AY206">
        <v>6.2420917689212721E-2</v>
      </c>
      <c r="AZ206">
        <v>6.2420917689212721E-2</v>
      </c>
      <c r="BA206">
        <v>0.54674342991798075</v>
      </c>
      <c r="BB206">
        <v>0.22768206144789691</v>
      </c>
      <c r="BC206">
        <v>-0.65326614957651463</v>
      </c>
      <c r="BD206">
        <v>8.5333920695017745E-2</v>
      </c>
      <c r="BE206">
        <v>0.70433619058213726</v>
      </c>
      <c r="BF206">
        <v>8.5333920695017745E-2</v>
      </c>
      <c r="BG206">
        <v>8.5333920695017745E-2</v>
      </c>
      <c r="BH206">
        <v>0.70433619058213726</v>
      </c>
      <c r="BI206">
        <v>0.29936705413024772</v>
      </c>
      <c r="BJ206">
        <v>-3.7242903143911432E-2</v>
      </c>
      <c r="BK206">
        <v>0.10087557853717059</v>
      </c>
      <c r="BL206">
        <v>0.59501645931090352</v>
      </c>
      <c r="BM206">
        <v>0.10087557853717059</v>
      </c>
      <c r="BN206">
        <v>0.10087557853717059</v>
      </c>
      <c r="BO206">
        <v>0.59501645931090352</v>
      </c>
      <c r="BP206">
        <v>0.42454432372468059</v>
      </c>
      <c r="BQ206">
        <v>-0.70441117557630895</v>
      </c>
      <c r="BR206">
        <v>93.020018966957053</v>
      </c>
      <c r="BS206">
        <v>0.73524862848482997</v>
      </c>
      <c r="BT206">
        <v>93.020018966957053</v>
      </c>
      <c r="BU206">
        <v>93.020018966957053</v>
      </c>
      <c r="BV206">
        <v>0.73524862848482997</v>
      </c>
      <c r="BW206">
        <v>617.62301577343089</v>
      </c>
      <c r="BX206">
        <v>-0.75786397725242671</v>
      </c>
      <c r="BY206" t="str">
        <f t="shared" si="8"/>
        <v>[[sv,wv],[yr],[ya]]</v>
      </c>
      <c r="BZ206" t="str">
        <f>SUBSTITUTE(TRIM(MID(SUBSTITUTE(SUBSTITUTE(SUBSTITUTE(Tabla1[[#This Row],[map]],"[",""),"]",""),",",REPT(" ",100)),901,200))," ",", ")</f>
        <v>2, 3</v>
      </c>
      <c r="CA206" t="str">
        <f>SUBSTITUTE(TRIM(MID(SUBSTITUTE(SUBSTITUTE(SUBSTITUTE(Tabla1[[#This Row],[map]],"[",""),"]",""),",",REPT(" ",100)),1501,200))," ",", ")</f>
        <v>3, 4</v>
      </c>
      <c r="CB206" t="str">
        <f>SUBSTITUTE(TRIM(MID(SUBSTITUTE(SUBSTITUTE(SUBSTITUTE(Tabla1[[#This Row],[map]],"[",""),"]",""),",",REPT(" ",100)),601,300))," ",", ")</f>
        <v>0, 1, 4</v>
      </c>
      <c r="CC206" t="str">
        <f>SUBSTITUTE(TRIM(MID(SUBSTITUTE(SUBSTITUTE(SUBSTITUTE(Tabla1[[#This Row],[map]],"[",""),"]",""),",",REPT(" ",100)),1201,300))," ",", ")</f>
        <v>1, 2, 0</v>
      </c>
      <c r="CD206" t="str">
        <f>SUBSTITUTE(TRIM(MID(SUBSTITUTE(SUBSTITUTE(SUBSTITUTE(Tabla1[[#This Row],[map]],"[",""),"]",""),",",REPT(" ",100)),1,300))," ",", ")</f>
        <v>2, 3, 4</v>
      </c>
      <c r="CE206" t="str">
        <f>SUBSTITUTE(TRIM(MID(SUBSTITUTE(SUBSTITUTE(SUBSTITUTE(Tabla1[[#This Row],[map]],"[",""),"]",""),",",REPT(" ",100)),1,600))," ",", ")</f>
        <v>2, 3, 4, 0, 1, -1</v>
      </c>
      <c r="CF206" t="str">
        <f>SUBSTITUTE(TRIM(MID(SUBSTITUTE(SUBSTITUTE(SUBSTITUTE(Tabla1[[#This Row],[map]],"[",""),"]",""),",",REPT(" ",100)),601,600))," ",", ")</f>
        <v>0, 1, 4, 2, 3, -1</v>
      </c>
      <c r="CG206" t="str">
        <f>SUBSTITUTE(TRIM(MID(SUBSTITUTE(SUBSTITUTE(SUBSTITUTE(Tabla1[[#This Row],[map]],"[",""),"]",""),",",REPT(" ",100)),1201,600))," ",", ")</f>
        <v>1, 2, 0, 3, 4, -1</v>
      </c>
    </row>
    <row r="207" spans="1:85" x14ac:dyDescent="0.3">
      <c r="A207" s="1">
        <v>46105.6327662037</v>
      </c>
      <c r="B207" t="s">
        <v>411</v>
      </c>
      <c r="C207">
        <v>0</v>
      </c>
      <c r="D207" t="s">
        <v>77</v>
      </c>
      <c r="E207" t="s">
        <v>78</v>
      </c>
      <c r="F207">
        <v>16590</v>
      </c>
      <c r="G207">
        <v>4.5</v>
      </c>
      <c r="H207" t="s">
        <v>79</v>
      </c>
      <c r="I207" t="s">
        <v>80</v>
      </c>
      <c r="J207">
        <v>5</v>
      </c>
      <c r="K207">
        <v>5</v>
      </c>
      <c r="L207" t="s">
        <v>81</v>
      </c>
      <c r="M207" t="s">
        <v>82</v>
      </c>
      <c r="N207" t="s">
        <v>83</v>
      </c>
      <c r="O207" t="s">
        <v>83</v>
      </c>
      <c r="P207" t="s">
        <v>84</v>
      </c>
      <c r="Q207" t="s">
        <v>412</v>
      </c>
      <c r="R207">
        <v>3</v>
      </c>
      <c r="S207" t="s">
        <v>86</v>
      </c>
      <c r="T207" t="s">
        <v>87</v>
      </c>
      <c r="U207" t="s">
        <v>88</v>
      </c>
      <c r="V207">
        <v>1</v>
      </c>
      <c r="W207" t="s">
        <v>413</v>
      </c>
      <c r="X207" t="s">
        <v>83</v>
      </c>
      <c r="Y207" t="s">
        <v>90</v>
      </c>
      <c r="Z207">
        <v>4000</v>
      </c>
      <c r="AA207">
        <v>4000</v>
      </c>
      <c r="AC207">
        <v>256</v>
      </c>
      <c r="AD207" t="s">
        <v>91</v>
      </c>
      <c r="AE207">
        <v>0.15</v>
      </c>
      <c r="AF207" t="s">
        <v>92</v>
      </c>
      <c r="AG207">
        <v>180</v>
      </c>
      <c r="AH207">
        <v>60</v>
      </c>
      <c r="AI207">
        <v>120</v>
      </c>
      <c r="AJ207">
        <v>9.8445568105155673E-2</v>
      </c>
      <c r="AK207">
        <v>7.5958914103809674</v>
      </c>
      <c r="AL207">
        <v>0.76354849476163444</v>
      </c>
      <c r="AM207">
        <v>-0.38293125669743922</v>
      </c>
      <c r="AN207">
        <v>11.73143304961628</v>
      </c>
      <c r="AO207">
        <v>0.70746173402459611</v>
      </c>
      <c r="AP207">
        <v>11.73143304961628</v>
      </c>
      <c r="AQ207">
        <v>11.73143304961628</v>
      </c>
      <c r="AR207">
        <v>0.70746173402459611</v>
      </c>
      <c r="AS207">
        <v>111.0748248243528</v>
      </c>
      <c r="AT207">
        <v>-0.40676877982356208</v>
      </c>
      <c r="AU207">
        <v>0.8</v>
      </c>
      <c r="AV207" t="s">
        <v>93</v>
      </c>
      <c r="AW207">
        <v>6.6006255695189309E-2</v>
      </c>
      <c r="AX207">
        <v>0.52070924030121235</v>
      </c>
      <c r="AY207">
        <v>6.6006255695189309E-2</v>
      </c>
      <c r="AZ207">
        <v>6.6006255695189309E-2</v>
      </c>
      <c r="BA207">
        <v>0.52070924030121235</v>
      </c>
      <c r="BB207">
        <v>0.13376228603343099</v>
      </c>
      <c r="BC207">
        <v>2.8712854307804569E-2</v>
      </c>
      <c r="BD207">
        <v>5.3828904805759768E-2</v>
      </c>
      <c r="BE207">
        <v>0.81349434173377144</v>
      </c>
      <c r="BF207">
        <v>5.3828904805759768E-2</v>
      </c>
      <c r="BG207">
        <v>5.3828904805759768E-2</v>
      </c>
      <c r="BH207">
        <v>0.81349434173377144</v>
      </c>
      <c r="BI207">
        <v>0.54694990876170413</v>
      </c>
      <c r="BJ207">
        <v>-0.89506461519796954</v>
      </c>
      <c r="BK207">
        <v>9.251092797797085E-2</v>
      </c>
      <c r="BL207">
        <v>0.62859788555118512</v>
      </c>
      <c r="BM207">
        <v>9.251092797797085E-2</v>
      </c>
      <c r="BN207">
        <v>9.251092797797085E-2</v>
      </c>
      <c r="BO207">
        <v>0.62859788555118512</v>
      </c>
      <c r="BP207">
        <v>0.37342156815673738</v>
      </c>
      <c r="BQ207">
        <v>-0.499169482195984</v>
      </c>
      <c r="BR207">
        <v>46.713386109986111</v>
      </c>
      <c r="BS207">
        <v>0.86704546851221642</v>
      </c>
      <c r="BT207">
        <v>46.713386109986111</v>
      </c>
      <c r="BU207">
        <v>46.713386109986111</v>
      </c>
      <c r="BV207">
        <v>0.86704546851221642</v>
      </c>
      <c r="BW207">
        <v>443.24516553445989</v>
      </c>
      <c r="BX207">
        <v>-0.26155387620811271</v>
      </c>
      <c r="BY207" t="str">
        <f t="shared" si="8"/>
        <v>[[sv,wv],[yr],[ya]]</v>
      </c>
      <c r="BZ207" t="str">
        <f>SUBSTITUTE(TRIM(MID(SUBSTITUTE(SUBSTITUTE(SUBSTITUTE(Tabla1[[#This Row],[map]],"[",""),"]",""),",",REPT(" ",100)),901,200))," ",", ")</f>
        <v>2, 4</v>
      </c>
      <c r="CA207" t="str">
        <f>SUBSTITUTE(TRIM(MID(SUBSTITUTE(SUBSTITUTE(SUBSTITUTE(Tabla1[[#This Row],[map]],"[",""),"]",""),",",REPT(" ",100)),1501,200))," ",", ")</f>
        <v>3, 2</v>
      </c>
      <c r="CB207" t="str">
        <f>SUBSTITUTE(TRIM(MID(SUBSTITUTE(SUBSTITUTE(SUBSTITUTE(Tabla1[[#This Row],[map]],"[",""),"]",""),",",REPT(" ",100)),601,300))," ",", ")</f>
        <v>0, 1, 3</v>
      </c>
      <c r="CC207" t="str">
        <f>SUBSTITUTE(TRIM(MID(SUBSTITUTE(SUBSTITUTE(SUBSTITUTE(Tabla1[[#This Row],[map]],"[",""),"]",""),",",REPT(" ",100)),1201,300))," ",", ")</f>
        <v>1, 4, 0</v>
      </c>
      <c r="CD207" t="str">
        <f>SUBSTITUTE(TRIM(MID(SUBSTITUTE(SUBSTITUTE(SUBSTITUTE(Tabla1[[#This Row],[map]],"[",""),"]",""),",",REPT(" ",100)),1,300))," ",", ")</f>
        <v>2, 3, 4</v>
      </c>
      <c r="CE207" t="str">
        <f>SUBSTITUTE(TRIM(MID(SUBSTITUTE(SUBSTITUTE(SUBSTITUTE(Tabla1[[#This Row],[map]],"[",""),"]",""),",",REPT(" ",100)),1,600))," ",", ")</f>
        <v>2, 3, 4, 0, 1, -1</v>
      </c>
      <c r="CF207" t="str">
        <f>SUBSTITUTE(TRIM(MID(SUBSTITUTE(SUBSTITUTE(SUBSTITUTE(Tabla1[[#This Row],[map]],"[",""),"]",""),",",REPT(" ",100)),601,600))," ",", ")</f>
        <v>0, 1, 3, 2, 4, -1</v>
      </c>
      <c r="CG207" t="str">
        <f>SUBSTITUTE(TRIM(MID(SUBSTITUTE(SUBSTITUTE(SUBSTITUTE(Tabla1[[#This Row],[map]],"[",""),"]",""),",",REPT(" ",100)),1201,600))," ",", ")</f>
        <v>1, 4, 0, 3, 2, -1</v>
      </c>
    </row>
    <row r="208" spans="1:85" x14ac:dyDescent="0.3">
      <c r="A208" s="1">
        <v>46105.636122685188</v>
      </c>
      <c r="B208" t="s">
        <v>414</v>
      </c>
      <c r="C208">
        <v>1</v>
      </c>
      <c r="D208" t="s">
        <v>77</v>
      </c>
      <c r="E208" t="s">
        <v>78</v>
      </c>
      <c r="F208">
        <v>16590</v>
      </c>
      <c r="G208">
        <v>4.5</v>
      </c>
      <c r="H208" t="s">
        <v>79</v>
      </c>
      <c r="I208" t="s">
        <v>80</v>
      </c>
      <c r="J208">
        <v>5</v>
      </c>
      <c r="K208">
        <v>5</v>
      </c>
      <c r="L208" t="s">
        <v>81</v>
      </c>
      <c r="M208" t="s">
        <v>82</v>
      </c>
      <c r="N208" t="s">
        <v>83</v>
      </c>
      <c r="O208" t="s">
        <v>83</v>
      </c>
      <c r="P208" t="s">
        <v>84</v>
      </c>
      <c r="Q208" t="s">
        <v>397</v>
      </c>
      <c r="R208">
        <v>3</v>
      </c>
      <c r="S208" t="s">
        <v>86</v>
      </c>
      <c r="T208" t="s">
        <v>87</v>
      </c>
      <c r="U208" t="s">
        <v>88</v>
      </c>
      <c r="V208">
        <v>1</v>
      </c>
      <c r="W208" t="s">
        <v>398</v>
      </c>
      <c r="X208" t="s">
        <v>83</v>
      </c>
      <c r="Y208" t="s">
        <v>90</v>
      </c>
      <c r="Z208">
        <v>4000</v>
      </c>
      <c r="AA208">
        <v>4000</v>
      </c>
      <c r="AC208">
        <v>256</v>
      </c>
      <c r="AD208" t="s">
        <v>91</v>
      </c>
      <c r="AE208">
        <v>0.15</v>
      </c>
      <c r="AF208" t="s">
        <v>92</v>
      </c>
      <c r="AG208">
        <v>180</v>
      </c>
      <c r="AH208">
        <v>60</v>
      </c>
      <c r="AI208">
        <v>120</v>
      </c>
      <c r="AJ208">
        <v>0.100288787877405</v>
      </c>
      <c r="AK208">
        <v>14.954712446392721</v>
      </c>
      <c r="AL208">
        <v>0.76586301793390632</v>
      </c>
      <c r="AM208">
        <v>-5.5974680804992877E-2</v>
      </c>
      <c r="AN208">
        <v>19.602331913758189</v>
      </c>
      <c r="AO208">
        <v>0.71745982524030294</v>
      </c>
      <c r="AP208">
        <v>19.602331913758189</v>
      </c>
      <c r="AQ208">
        <v>19.602331913758189</v>
      </c>
      <c r="AR208">
        <v>0.71745982524030294</v>
      </c>
      <c r="AS208">
        <v>96.593183375852405</v>
      </c>
      <c r="AT208">
        <v>-6.2672840268476138E-2</v>
      </c>
      <c r="AU208">
        <v>0.8</v>
      </c>
      <c r="AV208" t="s">
        <v>93</v>
      </c>
      <c r="AW208">
        <v>6.2533561956011702E-2</v>
      </c>
      <c r="AX208">
        <v>0.54592548689665388</v>
      </c>
      <c r="AY208">
        <v>6.2533561956011702E-2</v>
      </c>
      <c r="AZ208">
        <v>6.2533561956011702E-2</v>
      </c>
      <c r="BA208">
        <v>0.54592548689665388</v>
      </c>
      <c r="BB208">
        <v>0.22381815841336339</v>
      </c>
      <c r="BC208">
        <v>-0.62520921767939175</v>
      </c>
      <c r="BD208">
        <v>8.4874822626619925E-2</v>
      </c>
      <c r="BE208">
        <v>0.70592686733404719</v>
      </c>
      <c r="BF208">
        <v>8.4874822626619925E-2</v>
      </c>
      <c r="BG208">
        <v>8.4874822626619925E-2</v>
      </c>
      <c r="BH208">
        <v>0.70592686733404719</v>
      </c>
      <c r="BI208">
        <v>0.24815322569753881</v>
      </c>
      <c r="BJ208">
        <v>0.14020207402296581</v>
      </c>
      <c r="BK208">
        <v>3.9698974391905208E-2</v>
      </c>
      <c r="BL208">
        <v>0.84062117467772102</v>
      </c>
      <c r="BM208">
        <v>3.9698974391905208E-2</v>
      </c>
      <c r="BN208">
        <v>3.9698974391905208E-2</v>
      </c>
      <c r="BO208">
        <v>0.84062117467772102</v>
      </c>
      <c r="BP208">
        <v>0.16634338214114819</v>
      </c>
      <c r="BQ208">
        <v>0.33218393543191888</v>
      </c>
      <c r="BR208">
        <v>78.222220296058239</v>
      </c>
      <c r="BS208">
        <v>0.77736577205279134</v>
      </c>
      <c r="BT208">
        <v>78.222220296058239</v>
      </c>
      <c r="BU208">
        <v>78.222220296058239</v>
      </c>
      <c r="BV208">
        <v>0.77736577205279134</v>
      </c>
      <c r="BW208">
        <v>385.73441873715552</v>
      </c>
      <c r="BX208">
        <v>-9.7868152849394763E-2</v>
      </c>
      <c r="BY208" t="str">
        <f t="shared" si="8"/>
        <v>[[sv,wv],[yr],[ya]]</v>
      </c>
      <c r="BZ208" t="str">
        <f>SUBSTITUTE(TRIM(MID(SUBSTITUTE(SUBSTITUTE(SUBSTITUTE(Tabla1[[#This Row],[map]],"[",""),"]",""),",",REPT(" ",100)),901,200))," ",", ")</f>
        <v>2, 3</v>
      </c>
      <c r="CA208" t="str">
        <f>SUBSTITUTE(TRIM(MID(SUBSTITUTE(SUBSTITUTE(SUBSTITUTE(Tabla1[[#This Row],[map]],"[",""),"]",""),",",REPT(" ",100)),1501,200))," ",", ")</f>
        <v>3, 2</v>
      </c>
      <c r="CB208" t="str">
        <f>SUBSTITUTE(TRIM(MID(SUBSTITUTE(SUBSTITUTE(SUBSTITUTE(Tabla1[[#This Row],[map]],"[",""),"]",""),",",REPT(" ",100)),601,300))," ",", ")</f>
        <v>1, 4, 0</v>
      </c>
      <c r="CC208" t="str">
        <f>SUBSTITUTE(TRIM(MID(SUBSTITUTE(SUBSTITUTE(SUBSTITUTE(Tabla1[[#This Row],[map]],"[",""),"]",""),",",REPT(" ",100)),1201,300))," ",", ")</f>
        <v>1, 4, 0</v>
      </c>
      <c r="CD208" t="str">
        <f>SUBSTITUTE(TRIM(MID(SUBSTITUTE(SUBSTITUTE(SUBSTITUTE(Tabla1[[#This Row],[map]],"[",""),"]",""),",",REPT(" ",100)),1,300))," ",", ")</f>
        <v>2, 3, 4</v>
      </c>
      <c r="CE208" t="str">
        <f>SUBSTITUTE(TRIM(MID(SUBSTITUTE(SUBSTITUTE(SUBSTITUTE(Tabla1[[#This Row],[map]],"[",""),"]",""),",",REPT(" ",100)),1,600))," ",", ")</f>
        <v>2, 3, 4, 0, 1, -1</v>
      </c>
      <c r="CF208" t="str">
        <f>SUBSTITUTE(TRIM(MID(SUBSTITUTE(SUBSTITUTE(SUBSTITUTE(Tabla1[[#This Row],[map]],"[",""),"]",""),",",REPT(" ",100)),601,600))," ",", ")</f>
        <v>1, 4, 0, 2, 3, -1</v>
      </c>
      <c r="CG208" t="str">
        <f>SUBSTITUTE(TRIM(MID(SUBSTITUTE(SUBSTITUTE(SUBSTITUTE(Tabla1[[#This Row],[map]],"[",""),"]",""),",",REPT(" ",100)),1201,600))," ",", ")</f>
        <v>1, 4, 0, 3, 2, -1</v>
      </c>
    </row>
    <row r="209" spans="1:85" x14ac:dyDescent="0.3">
      <c r="A209" s="1">
        <v>46105.784317129634</v>
      </c>
      <c r="B209" t="s">
        <v>415</v>
      </c>
      <c r="C209">
        <v>0</v>
      </c>
      <c r="D209" t="s">
        <v>96</v>
      </c>
      <c r="E209" t="s">
        <v>78</v>
      </c>
      <c r="F209">
        <v>16590</v>
      </c>
      <c r="G209">
        <v>4.5</v>
      </c>
      <c r="H209" t="s">
        <v>79</v>
      </c>
      <c r="I209" t="s">
        <v>80</v>
      </c>
      <c r="J209">
        <v>5</v>
      </c>
      <c r="K209">
        <v>5</v>
      </c>
      <c r="L209" t="s">
        <v>81</v>
      </c>
      <c r="M209" t="s">
        <v>82</v>
      </c>
      <c r="N209" t="s">
        <v>83</v>
      </c>
      <c r="O209" t="s">
        <v>83</v>
      </c>
      <c r="P209" t="s">
        <v>84</v>
      </c>
      <c r="Q209" t="s">
        <v>416</v>
      </c>
      <c r="R209">
        <v>3</v>
      </c>
      <c r="S209" t="s">
        <v>86</v>
      </c>
      <c r="T209" t="s">
        <v>87</v>
      </c>
      <c r="U209" t="s">
        <v>88</v>
      </c>
      <c r="V209">
        <v>1</v>
      </c>
      <c r="W209" t="s">
        <v>417</v>
      </c>
      <c r="X209" t="s">
        <v>83</v>
      </c>
      <c r="Y209" t="s">
        <v>90</v>
      </c>
      <c r="Z209">
        <v>4000</v>
      </c>
      <c r="AA209">
        <v>4000</v>
      </c>
      <c r="AC209">
        <v>256</v>
      </c>
      <c r="AD209" t="s">
        <v>91</v>
      </c>
      <c r="AE209">
        <v>0.15</v>
      </c>
      <c r="AF209" t="s">
        <v>92</v>
      </c>
      <c r="AG209">
        <v>180</v>
      </c>
      <c r="AH209">
        <v>60</v>
      </c>
      <c r="AI209">
        <v>120</v>
      </c>
      <c r="AJ209">
        <v>0.10264861958712169</v>
      </c>
      <c r="AK209">
        <v>17.648507460517909</v>
      </c>
      <c r="AL209">
        <v>0.72982659549932238</v>
      </c>
      <c r="AM209">
        <v>-0.31132812684890798</v>
      </c>
      <c r="AN209">
        <v>24.440587182019129</v>
      </c>
      <c r="AO209">
        <v>0.66961936253747889</v>
      </c>
      <c r="AP209">
        <v>24.440587182019129</v>
      </c>
      <c r="AQ209">
        <v>24.440587182019129</v>
      </c>
      <c r="AR209">
        <v>0.66961936253747889</v>
      </c>
      <c r="AS209">
        <v>107.4262570279711</v>
      </c>
      <c r="AT209">
        <v>-0.31855886188870408</v>
      </c>
      <c r="AU209">
        <v>0.8</v>
      </c>
      <c r="AV209" t="s">
        <v>93</v>
      </c>
      <c r="AW209">
        <v>6.669449961233706E-2</v>
      </c>
      <c r="AX209">
        <v>0.51571169959187246</v>
      </c>
      <c r="AY209">
        <v>6.669449961233706E-2</v>
      </c>
      <c r="AZ209">
        <v>6.669449961233706E-2</v>
      </c>
      <c r="BA209">
        <v>0.51571169959187246</v>
      </c>
      <c r="BB209">
        <v>0.14792222911365149</v>
      </c>
      <c r="BC209">
        <v>-7.4106640673867963E-2</v>
      </c>
      <c r="BD209">
        <v>5.2581239325561517E-2</v>
      </c>
      <c r="BE209">
        <v>0.81781723614375634</v>
      </c>
      <c r="BF209">
        <v>5.2581239325561517E-2</v>
      </c>
      <c r="BG209">
        <v>5.2581239325561517E-2</v>
      </c>
      <c r="BH209">
        <v>0.81781723614375634</v>
      </c>
      <c r="BI209">
        <v>0.44970951924207397</v>
      </c>
      <c r="BJ209">
        <v>-0.5581474343103785</v>
      </c>
      <c r="BK209">
        <v>9.4007318422620889E-2</v>
      </c>
      <c r="BL209">
        <v>0.62259035122706319</v>
      </c>
      <c r="BM209">
        <v>9.4007318422620889E-2</v>
      </c>
      <c r="BN209">
        <v>9.4007318422620889E-2</v>
      </c>
      <c r="BO209">
        <v>0.62259035122706319</v>
      </c>
      <c r="BP209">
        <v>0.35411854839546097</v>
      </c>
      <c r="BQ209">
        <v>-0.42167396343637892</v>
      </c>
      <c r="BR209">
        <v>97.549065670715834</v>
      </c>
      <c r="BS209">
        <v>0.72235816318722201</v>
      </c>
      <c r="BT209">
        <v>97.549065670715834</v>
      </c>
      <c r="BU209">
        <v>97.549065670715834</v>
      </c>
      <c r="BV209">
        <v>0.72235816318722201</v>
      </c>
      <c r="BW209">
        <v>428.75327781513232</v>
      </c>
      <c r="BX209">
        <v>-0.2203074091341943</v>
      </c>
      <c r="BY209" t="str">
        <f t="shared" si="8"/>
        <v>[[sv,wv],[yr],[ya]]</v>
      </c>
      <c r="BZ209" t="str">
        <f>SUBSTITUTE(TRIM(MID(SUBSTITUTE(SUBSTITUTE(SUBSTITUTE(Tabla1[[#This Row],[map]],"[",""),"]",""),",",REPT(" ",100)),901,200))," ",", ")</f>
        <v>2, 4</v>
      </c>
      <c r="CA209" t="str">
        <f>SUBSTITUTE(TRIM(MID(SUBSTITUTE(SUBSTITUTE(SUBSTITUTE(Tabla1[[#This Row],[map]],"[",""),"]",""),",",REPT(" ",100)),1501,200))," ",", ")</f>
        <v>3, 4</v>
      </c>
      <c r="CB209" t="str">
        <f>SUBSTITUTE(TRIM(MID(SUBSTITUTE(SUBSTITUTE(SUBSTITUTE(Tabla1[[#This Row],[map]],"[",""),"]",""),",",REPT(" ",100)),601,300))," ",", ")</f>
        <v>0, 1, 3</v>
      </c>
      <c r="CC209" t="str">
        <f>SUBSTITUTE(TRIM(MID(SUBSTITUTE(SUBSTITUTE(SUBSTITUTE(Tabla1[[#This Row],[map]],"[",""),"]",""),",",REPT(" ",100)),1201,300))," ",", ")</f>
        <v>1, 2, 0</v>
      </c>
      <c r="CD209" t="str">
        <f>SUBSTITUTE(TRIM(MID(SUBSTITUTE(SUBSTITUTE(SUBSTITUTE(Tabla1[[#This Row],[map]],"[",""),"]",""),",",REPT(" ",100)),1,300))," ",", ")</f>
        <v>2, 3, 4</v>
      </c>
      <c r="CE209" t="str">
        <f>SUBSTITUTE(TRIM(MID(SUBSTITUTE(SUBSTITUTE(SUBSTITUTE(Tabla1[[#This Row],[map]],"[",""),"]",""),",",REPT(" ",100)),1,600))," ",", ")</f>
        <v>2, 3, 4, 0, 1, -1</v>
      </c>
      <c r="CF209" t="str">
        <f>SUBSTITUTE(TRIM(MID(SUBSTITUTE(SUBSTITUTE(SUBSTITUTE(Tabla1[[#This Row],[map]],"[",""),"]",""),",",REPT(" ",100)),601,600))," ",", ")</f>
        <v>0, 1, 3, 2, 4, -1</v>
      </c>
      <c r="CG209" t="str">
        <f>SUBSTITUTE(TRIM(MID(SUBSTITUTE(SUBSTITUTE(SUBSTITUTE(Tabla1[[#This Row],[map]],"[",""),"]",""),",",REPT(" ",100)),1201,600))," ",", ")</f>
        <v>1, 2, 0, 3, 4, -1</v>
      </c>
    </row>
    <row r="210" spans="1:85" x14ac:dyDescent="0.3">
      <c r="A210" s="1">
        <v>46105.786469907413</v>
      </c>
      <c r="B210" t="s">
        <v>418</v>
      </c>
      <c r="C210">
        <v>1</v>
      </c>
      <c r="D210" t="s">
        <v>96</v>
      </c>
      <c r="E210" t="s">
        <v>78</v>
      </c>
      <c r="F210">
        <v>16590</v>
      </c>
      <c r="G210">
        <v>4.5</v>
      </c>
      <c r="H210" t="s">
        <v>79</v>
      </c>
      <c r="I210" t="s">
        <v>80</v>
      </c>
      <c r="J210">
        <v>5</v>
      </c>
      <c r="K210">
        <v>5</v>
      </c>
      <c r="L210" t="s">
        <v>81</v>
      </c>
      <c r="M210" t="s">
        <v>82</v>
      </c>
      <c r="N210" t="s">
        <v>83</v>
      </c>
      <c r="O210" t="s">
        <v>83</v>
      </c>
      <c r="P210" t="s">
        <v>84</v>
      </c>
      <c r="Q210" t="s">
        <v>401</v>
      </c>
      <c r="R210">
        <v>3</v>
      </c>
      <c r="S210" t="s">
        <v>86</v>
      </c>
      <c r="T210" t="s">
        <v>87</v>
      </c>
      <c r="U210" t="s">
        <v>88</v>
      </c>
      <c r="V210">
        <v>1</v>
      </c>
      <c r="W210" t="s">
        <v>402</v>
      </c>
      <c r="X210" t="s">
        <v>83</v>
      </c>
      <c r="Y210" t="s">
        <v>90</v>
      </c>
      <c r="Z210">
        <v>4000</v>
      </c>
      <c r="AA210">
        <v>4000</v>
      </c>
      <c r="AC210">
        <v>256</v>
      </c>
      <c r="AD210" t="s">
        <v>91</v>
      </c>
      <c r="AE210">
        <v>0.15</v>
      </c>
      <c r="AF210" t="s">
        <v>92</v>
      </c>
      <c r="AG210">
        <v>180</v>
      </c>
      <c r="AH210">
        <v>60</v>
      </c>
      <c r="AI210">
        <v>120</v>
      </c>
      <c r="AJ210">
        <v>0.1062937077905952</v>
      </c>
      <c r="AK210">
        <v>29.22682429659411</v>
      </c>
      <c r="AL210">
        <v>0.75208636225298142</v>
      </c>
      <c r="AM210">
        <v>-6.584569449934935E-2</v>
      </c>
      <c r="AN210">
        <v>35.729416941331337</v>
      </c>
      <c r="AO210">
        <v>0.70336764446200517</v>
      </c>
      <c r="AP210">
        <v>35.729416941331337</v>
      </c>
      <c r="AQ210">
        <v>35.729416941331337</v>
      </c>
      <c r="AR210">
        <v>0.70336764446200517</v>
      </c>
      <c r="AS210">
        <v>71.777600693837798</v>
      </c>
      <c r="AT210">
        <v>-0.25154341749158421</v>
      </c>
      <c r="AU210">
        <v>0.8</v>
      </c>
      <c r="AV210" t="s">
        <v>93</v>
      </c>
      <c r="AW210">
        <v>5.7764895912584817E-2</v>
      </c>
      <c r="AX210">
        <v>0.58055216805939813</v>
      </c>
      <c r="AY210">
        <v>5.7764895912584817E-2</v>
      </c>
      <c r="AZ210">
        <v>5.7764895912584817E-2</v>
      </c>
      <c r="BA210">
        <v>0.58055216805939813</v>
      </c>
      <c r="BB210">
        <v>0.2751479106098243</v>
      </c>
      <c r="BC210">
        <v>-0.99792958586693747</v>
      </c>
      <c r="BD210">
        <v>6.8791676846196498E-2</v>
      </c>
      <c r="BE210">
        <v>0.76165153239259809</v>
      </c>
      <c r="BF210">
        <v>6.8791676846196498E-2</v>
      </c>
      <c r="BG210">
        <v>6.8791676846196498E-2</v>
      </c>
      <c r="BH210">
        <v>0.76165153239259809</v>
      </c>
      <c r="BI210">
        <v>0.3960589498965526</v>
      </c>
      <c r="BJ210">
        <v>-0.3722596703246297</v>
      </c>
      <c r="BK210">
        <v>3.049087813737671E-2</v>
      </c>
      <c r="BL210">
        <v>0.87758876860126767</v>
      </c>
      <c r="BM210">
        <v>3.049087813737671E-2</v>
      </c>
      <c r="BN210">
        <v>3.049087813737671E-2</v>
      </c>
      <c r="BO210">
        <v>0.87758876860126767</v>
      </c>
      <c r="BP210">
        <v>0.20457657229152451</v>
      </c>
      <c r="BQ210">
        <v>0.17868977020903101</v>
      </c>
      <c r="BR210">
        <v>142.7606203144295</v>
      </c>
      <c r="BS210">
        <v>0.59367810879475602</v>
      </c>
      <c r="BT210">
        <v>142.7606203144295</v>
      </c>
      <c r="BU210">
        <v>142.7606203144295</v>
      </c>
      <c r="BV210">
        <v>0.59367810879475602</v>
      </c>
      <c r="BW210">
        <v>286.23461934255403</v>
      </c>
      <c r="BX210">
        <v>0.18532581601619541</v>
      </c>
      <c r="BY210" t="str">
        <f t="shared" si="8"/>
        <v>[[sv,wv],[yr],[ya]]</v>
      </c>
      <c r="BZ210" t="str">
        <f>SUBSTITUTE(TRIM(MID(SUBSTITUTE(SUBSTITUTE(SUBSTITUTE(Tabla1[[#This Row],[map]],"[",""),"]",""),",",REPT(" ",100)),901,200))," ",", ")</f>
        <v>2, 3</v>
      </c>
      <c r="CA210" t="str">
        <f>SUBSTITUTE(TRIM(MID(SUBSTITUTE(SUBSTITUTE(SUBSTITUTE(Tabla1[[#This Row],[map]],"[",""),"]",""),",",REPT(" ",100)),1501,200))," ",", ")</f>
        <v>3, 4</v>
      </c>
      <c r="CB210" t="str">
        <f>SUBSTITUTE(TRIM(MID(SUBSTITUTE(SUBSTITUTE(SUBSTITUTE(Tabla1[[#This Row],[map]],"[",""),"]",""),",",REPT(" ",100)),601,300))," ",", ")</f>
        <v>1, 4, 0</v>
      </c>
      <c r="CC210" t="str">
        <f>SUBSTITUTE(TRIM(MID(SUBSTITUTE(SUBSTITUTE(SUBSTITUTE(Tabla1[[#This Row],[map]],"[",""),"]",""),",",REPT(" ",100)),1201,300))," ",", ")</f>
        <v>0, 1, 2</v>
      </c>
      <c r="CD210" t="str">
        <f>SUBSTITUTE(TRIM(MID(SUBSTITUTE(SUBSTITUTE(SUBSTITUTE(Tabla1[[#This Row],[map]],"[",""),"]",""),",",REPT(" ",100)),1,300))," ",", ")</f>
        <v>2, 3, 4</v>
      </c>
      <c r="CE210" t="str">
        <f>SUBSTITUTE(TRIM(MID(SUBSTITUTE(SUBSTITUTE(SUBSTITUTE(Tabla1[[#This Row],[map]],"[",""),"]",""),",",REPT(" ",100)),1,600))," ",", ")</f>
        <v>2, 3, 4, 0, 1, -1</v>
      </c>
      <c r="CF210" t="str">
        <f>SUBSTITUTE(TRIM(MID(SUBSTITUTE(SUBSTITUTE(SUBSTITUTE(Tabla1[[#This Row],[map]],"[",""),"]",""),",",REPT(" ",100)),601,600))," ",", ")</f>
        <v>1, 4, 0, 2, 3, -1</v>
      </c>
      <c r="CG210" t="str">
        <f>SUBSTITUTE(TRIM(MID(SUBSTITUTE(SUBSTITUTE(SUBSTITUTE(Tabla1[[#This Row],[map]],"[",""),"]",""),",",REPT(" ",100)),1201,600))," ",", ")</f>
        <v>0, 1, 2, 3, 4, -1</v>
      </c>
    </row>
    <row r="211" spans="1:85" x14ac:dyDescent="0.3">
      <c r="A211" s="1">
        <v>46105.819571759261</v>
      </c>
      <c r="B211" t="s">
        <v>419</v>
      </c>
      <c r="C211">
        <v>2</v>
      </c>
      <c r="D211" t="s">
        <v>96</v>
      </c>
      <c r="E211" t="s">
        <v>78</v>
      </c>
      <c r="F211">
        <v>16590</v>
      </c>
      <c r="G211">
        <v>4.5</v>
      </c>
      <c r="H211" t="s">
        <v>79</v>
      </c>
      <c r="I211" t="s">
        <v>80</v>
      </c>
      <c r="J211">
        <v>5</v>
      </c>
      <c r="K211">
        <v>5</v>
      </c>
      <c r="L211" t="s">
        <v>81</v>
      </c>
      <c r="M211" t="s">
        <v>82</v>
      </c>
      <c r="N211" t="s">
        <v>83</v>
      </c>
      <c r="O211" t="s">
        <v>83</v>
      </c>
      <c r="P211" t="s">
        <v>84</v>
      </c>
      <c r="Q211" t="s">
        <v>384</v>
      </c>
      <c r="R211">
        <v>3</v>
      </c>
      <c r="S211" t="s">
        <v>86</v>
      </c>
      <c r="T211" t="s">
        <v>87</v>
      </c>
      <c r="U211" t="s">
        <v>88</v>
      </c>
      <c r="V211">
        <v>1</v>
      </c>
      <c r="W211" t="s">
        <v>385</v>
      </c>
      <c r="X211" t="s">
        <v>83</v>
      </c>
      <c r="Y211" t="s">
        <v>90</v>
      </c>
      <c r="Z211">
        <v>4000</v>
      </c>
      <c r="AA211">
        <v>4000</v>
      </c>
      <c r="AC211">
        <v>256</v>
      </c>
      <c r="AD211" t="s">
        <v>91</v>
      </c>
      <c r="AE211">
        <v>0.15</v>
      </c>
      <c r="AF211" t="s">
        <v>92</v>
      </c>
      <c r="AG211">
        <v>180</v>
      </c>
      <c r="AH211">
        <v>60</v>
      </c>
      <c r="AI211">
        <v>120</v>
      </c>
      <c r="AJ211">
        <v>8.8853261213957993E-2</v>
      </c>
      <c r="AK211">
        <v>21.285703581518749</v>
      </c>
      <c r="AL211">
        <v>0.76895204992811239</v>
      </c>
      <c r="AM211">
        <v>0.39026365262924029</v>
      </c>
      <c r="AN211">
        <v>30.396162843427291</v>
      </c>
      <c r="AO211">
        <v>0.69596819129513454</v>
      </c>
      <c r="AP211">
        <v>30.396162843427291</v>
      </c>
      <c r="AQ211">
        <v>30.396162843427291</v>
      </c>
      <c r="AR211">
        <v>0.69596819129513454</v>
      </c>
      <c r="AS211">
        <v>81.706556878091234</v>
      </c>
      <c r="AT211">
        <v>0.21478116695390351</v>
      </c>
      <c r="AU211">
        <v>0.8</v>
      </c>
      <c r="AV211" t="s">
        <v>93</v>
      </c>
      <c r="AW211">
        <v>6.7001653523833526E-2</v>
      </c>
      <c r="AX211">
        <v>0.51348136505713637</v>
      </c>
      <c r="AY211">
        <v>6.7001653523833526E-2</v>
      </c>
      <c r="AZ211">
        <v>6.7001653523833526E-2</v>
      </c>
      <c r="BA211">
        <v>0.51348136505713637</v>
      </c>
      <c r="BB211">
        <v>0.1565411576111666</v>
      </c>
      <c r="BC211">
        <v>-0.13669120548299721</v>
      </c>
      <c r="BD211">
        <v>7.6661762163034872E-2</v>
      </c>
      <c r="BE211">
        <v>0.73438336767840051</v>
      </c>
      <c r="BF211">
        <v>7.6661762163034872E-2</v>
      </c>
      <c r="BG211">
        <v>7.6661762163034872E-2</v>
      </c>
      <c r="BH211">
        <v>0.73438336767840051</v>
      </c>
      <c r="BI211">
        <v>0.1453446609557025</v>
      </c>
      <c r="BJ211">
        <v>0.49641179279344072</v>
      </c>
      <c r="BK211">
        <v>2.95000751175972E-2</v>
      </c>
      <c r="BL211">
        <v>0.88156652933279989</v>
      </c>
      <c r="BM211">
        <v>2.95000751175972E-2</v>
      </c>
      <c r="BN211">
        <v>2.95000751175972E-2</v>
      </c>
      <c r="BO211">
        <v>0.88156652933279989</v>
      </c>
      <c r="BP211">
        <v>0.1423911313295706</v>
      </c>
      <c r="BQ211">
        <v>0.42834464629784619</v>
      </c>
      <c r="BR211">
        <v>121.41148788290521</v>
      </c>
      <c r="BS211">
        <v>0.65444150311219706</v>
      </c>
      <c r="BT211">
        <v>121.41148788290521</v>
      </c>
      <c r="BU211">
        <v>121.41148788290521</v>
      </c>
      <c r="BV211">
        <v>0.65444150311219706</v>
      </c>
      <c r="BW211">
        <v>326.38195056246951</v>
      </c>
      <c r="BX211">
        <v>7.105943420732741E-2</v>
      </c>
      <c r="BY211" t="str">
        <f t="shared" si="8"/>
        <v>[[sv,wv],[yr],[ya]]</v>
      </c>
      <c r="BZ211" t="str">
        <f>SUBSTITUTE(TRIM(MID(SUBSTITUTE(SUBSTITUTE(SUBSTITUTE(Tabla1[[#This Row],[map]],"[",""),"]",""),",",REPT(" ",100)),901,200))," ",", ")</f>
        <v>2, 3</v>
      </c>
      <c r="CA211" t="str">
        <f>SUBSTITUTE(TRIM(MID(SUBSTITUTE(SUBSTITUTE(SUBSTITUTE(Tabla1[[#This Row],[map]],"[",""),"]",""),",",REPT(" ",100)),1501,200))," ",", ")</f>
        <v>3, 2</v>
      </c>
      <c r="CB211" t="str">
        <f>SUBSTITUTE(TRIM(MID(SUBSTITUTE(SUBSTITUTE(SUBSTITUTE(Tabla1[[#This Row],[map]],"[",""),"]",""),",",REPT(" ",100)),601,300))," ",", ")</f>
        <v>1, 4, 0</v>
      </c>
      <c r="CC211" t="str">
        <f>SUBSTITUTE(TRIM(MID(SUBSTITUTE(SUBSTITUTE(SUBSTITUTE(Tabla1[[#This Row],[map]],"[",""),"]",""),",",REPT(" ",100)),1201,300))," ",", ")</f>
        <v>0, 1, 4</v>
      </c>
      <c r="CD211" t="str">
        <f>SUBSTITUTE(TRIM(MID(SUBSTITUTE(SUBSTITUTE(SUBSTITUTE(Tabla1[[#This Row],[map]],"[",""),"]",""),",",REPT(" ",100)),1,300))," ",", ")</f>
        <v>2, 3, 4</v>
      </c>
      <c r="CE211" t="str">
        <f>SUBSTITUTE(TRIM(MID(SUBSTITUTE(SUBSTITUTE(SUBSTITUTE(Tabla1[[#This Row],[map]],"[",""),"]",""),",",REPT(" ",100)),1,600))," ",", ")</f>
        <v>2, 3, 4, 0, 1, -1</v>
      </c>
      <c r="CF211" t="str">
        <f>SUBSTITUTE(TRIM(MID(SUBSTITUTE(SUBSTITUTE(SUBSTITUTE(Tabla1[[#This Row],[map]],"[",""),"]",""),",",REPT(" ",100)),601,600))," ",", ")</f>
        <v>1, 4, 0, 2, 3, -1</v>
      </c>
      <c r="CG211" t="str">
        <f>SUBSTITUTE(TRIM(MID(SUBSTITUTE(SUBSTITUTE(SUBSTITUTE(Tabla1[[#This Row],[map]],"[",""),"]",""),",",REPT(" ",100)),1201,600))," ",", ")</f>
        <v>0, 1, 4, 3, 2, -1</v>
      </c>
    </row>
    <row r="212" spans="1:85" x14ac:dyDescent="0.3">
      <c r="A212" s="1">
        <v>46105.824629629627</v>
      </c>
      <c r="B212" t="s">
        <v>420</v>
      </c>
      <c r="C212">
        <v>3</v>
      </c>
      <c r="D212" t="s">
        <v>77</v>
      </c>
      <c r="E212" t="s">
        <v>78</v>
      </c>
      <c r="F212">
        <v>16590</v>
      </c>
      <c r="G212">
        <v>4.5</v>
      </c>
      <c r="H212" t="s">
        <v>79</v>
      </c>
      <c r="I212" t="s">
        <v>80</v>
      </c>
      <c r="J212">
        <v>5</v>
      </c>
      <c r="K212">
        <v>5</v>
      </c>
      <c r="L212" t="s">
        <v>81</v>
      </c>
      <c r="M212" t="s">
        <v>82</v>
      </c>
      <c r="N212" t="s">
        <v>83</v>
      </c>
      <c r="O212" t="s">
        <v>83</v>
      </c>
      <c r="P212" t="s">
        <v>84</v>
      </c>
      <c r="Q212" t="s">
        <v>384</v>
      </c>
      <c r="R212">
        <v>3</v>
      </c>
      <c r="S212" t="s">
        <v>86</v>
      </c>
      <c r="T212" t="s">
        <v>87</v>
      </c>
      <c r="U212" t="s">
        <v>88</v>
      </c>
      <c r="V212">
        <v>1</v>
      </c>
      <c r="W212" t="s">
        <v>385</v>
      </c>
      <c r="X212" t="s">
        <v>83</v>
      </c>
      <c r="Y212" t="s">
        <v>90</v>
      </c>
      <c r="Z212">
        <v>4000</v>
      </c>
      <c r="AA212">
        <v>4000</v>
      </c>
      <c r="AC212">
        <v>256</v>
      </c>
      <c r="AD212" t="s">
        <v>91</v>
      </c>
      <c r="AE212">
        <v>0.15</v>
      </c>
      <c r="AF212" t="s">
        <v>92</v>
      </c>
      <c r="AG212">
        <v>180</v>
      </c>
      <c r="AH212">
        <v>60</v>
      </c>
      <c r="AI212">
        <v>120</v>
      </c>
      <c r="AJ212">
        <v>9.5134623362328211E-2</v>
      </c>
      <c r="AK212">
        <v>16.038648900266999</v>
      </c>
      <c r="AL212">
        <v>0.8056746624249298</v>
      </c>
      <c r="AM212">
        <v>-7.4144512776125854E-2</v>
      </c>
      <c r="AN212">
        <v>26.33372439152086</v>
      </c>
      <c r="AO212">
        <v>0.74242970452338497</v>
      </c>
      <c r="AP212">
        <v>26.33372439152086</v>
      </c>
      <c r="AQ212">
        <v>26.33372439152086</v>
      </c>
      <c r="AR212">
        <v>0.74242970452338497</v>
      </c>
      <c r="AS212">
        <v>112.767883532168</v>
      </c>
      <c r="AT212">
        <v>-9.0158966830711201E-2</v>
      </c>
      <c r="AU212">
        <v>0.8</v>
      </c>
      <c r="AV212" t="s">
        <v>93</v>
      </c>
      <c r="AW212">
        <v>6.2118380759208322E-2</v>
      </c>
      <c r="AX212">
        <v>0.54894023919751889</v>
      </c>
      <c r="AY212">
        <v>6.2118380759208322E-2</v>
      </c>
      <c r="AZ212">
        <v>6.2118380759208322E-2</v>
      </c>
      <c r="BA212">
        <v>0.54894023919751889</v>
      </c>
      <c r="BB212">
        <v>0.14743253841712931</v>
      </c>
      <c r="BC212">
        <v>-7.055085306735065E-2</v>
      </c>
      <c r="BD212">
        <v>4.3714021648025472E-2</v>
      </c>
      <c r="BE212">
        <v>0.84854025151823675</v>
      </c>
      <c r="BF212">
        <v>4.3714021648025472E-2</v>
      </c>
      <c r="BG212">
        <v>4.3714021648025472E-2</v>
      </c>
      <c r="BH212">
        <v>0.84854025151823675</v>
      </c>
      <c r="BI212">
        <v>0.27206351932331418</v>
      </c>
      <c r="BJ212">
        <v>5.735801341824609E-2</v>
      </c>
      <c r="BK212">
        <v>3.1970687428761732E-2</v>
      </c>
      <c r="BL212">
        <v>0.87164780236285444</v>
      </c>
      <c r="BM212">
        <v>3.1970687428761732E-2</v>
      </c>
      <c r="BN212">
        <v>3.1970687428761732E-2</v>
      </c>
      <c r="BO212">
        <v>0.87164780236285444</v>
      </c>
      <c r="BP212">
        <v>0.26541650322472748</v>
      </c>
      <c r="BQ212">
        <v>-6.5563308701734435E-2</v>
      </c>
      <c r="BR212">
        <v>105.1970944762475</v>
      </c>
      <c r="BS212">
        <v>0.70059052501493468</v>
      </c>
      <c r="BT212">
        <v>105.1970944762475</v>
      </c>
      <c r="BU212">
        <v>105.1970944762475</v>
      </c>
      <c r="BV212">
        <v>0.70059052501493468</v>
      </c>
      <c r="BW212">
        <v>450.38662156770562</v>
      </c>
      <c r="BX212">
        <v>-0.28187971897200947</v>
      </c>
      <c r="BY212" t="str">
        <f t="shared" si="8"/>
        <v>[[sv,wv],[yr],[ya]]</v>
      </c>
      <c r="BZ212" t="str">
        <f>SUBSTITUTE(TRIM(MID(SUBSTITUTE(SUBSTITUTE(SUBSTITUTE(Tabla1[[#This Row],[map]],"[",""),"]",""),",",REPT(" ",100)),901,200))," ",", ")</f>
        <v>2, 3</v>
      </c>
      <c r="CA212" t="str">
        <f>SUBSTITUTE(TRIM(MID(SUBSTITUTE(SUBSTITUTE(SUBSTITUTE(Tabla1[[#This Row],[map]],"[",""),"]",""),",",REPT(" ",100)),1501,200))," ",", ")</f>
        <v>3, 2</v>
      </c>
      <c r="CB212" t="str">
        <f>SUBSTITUTE(TRIM(MID(SUBSTITUTE(SUBSTITUTE(SUBSTITUTE(Tabla1[[#This Row],[map]],"[",""),"]",""),",",REPT(" ",100)),601,300))," ",", ")</f>
        <v>1, 4, 0</v>
      </c>
      <c r="CC212" t="str">
        <f>SUBSTITUTE(TRIM(MID(SUBSTITUTE(SUBSTITUTE(SUBSTITUTE(Tabla1[[#This Row],[map]],"[",""),"]",""),",",REPT(" ",100)),1201,300))," ",", ")</f>
        <v>0, 1, 4</v>
      </c>
      <c r="CD212" t="str">
        <f>SUBSTITUTE(TRIM(MID(SUBSTITUTE(SUBSTITUTE(SUBSTITUTE(Tabla1[[#This Row],[map]],"[",""),"]",""),",",REPT(" ",100)),1,300))," ",", ")</f>
        <v>2, 3, 4</v>
      </c>
      <c r="CE212" t="str">
        <f>SUBSTITUTE(TRIM(MID(SUBSTITUTE(SUBSTITUTE(SUBSTITUTE(Tabla1[[#This Row],[map]],"[",""),"]",""),",",REPT(" ",100)),1,600))," ",", ")</f>
        <v>2, 3, 4, 0, 1, -1</v>
      </c>
      <c r="CF212" t="str">
        <f>SUBSTITUTE(TRIM(MID(SUBSTITUTE(SUBSTITUTE(SUBSTITUTE(Tabla1[[#This Row],[map]],"[",""),"]",""),",",REPT(" ",100)),601,600))," ",", ")</f>
        <v>1, 4, 0, 2, 3, -1</v>
      </c>
      <c r="CG212" t="str">
        <f>SUBSTITUTE(TRIM(MID(SUBSTITUTE(SUBSTITUTE(SUBSTITUTE(Tabla1[[#This Row],[map]],"[",""),"]",""),",",REPT(" ",100)),1201,600))," ",", ")</f>
        <v>0, 1, 4, 3, 2, -1</v>
      </c>
    </row>
    <row r="213" spans="1:85" x14ac:dyDescent="0.3">
      <c r="A213" s="1">
        <v>46105.947280092587</v>
      </c>
      <c r="B213" t="s">
        <v>421</v>
      </c>
      <c r="C213">
        <v>0</v>
      </c>
      <c r="D213" t="s">
        <v>77</v>
      </c>
      <c r="E213" t="s">
        <v>78</v>
      </c>
      <c r="F213">
        <v>16590</v>
      </c>
      <c r="G213">
        <v>4.5</v>
      </c>
      <c r="H213" t="s">
        <v>79</v>
      </c>
      <c r="I213" t="s">
        <v>80</v>
      </c>
      <c r="J213">
        <v>5</v>
      </c>
      <c r="K213">
        <v>5</v>
      </c>
      <c r="L213" t="s">
        <v>81</v>
      </c>
      <c r="M213" t="s">
        <v>82</v>
      </c>
      <c r="N213" t="s">
        <v>83</v>
      </c>
      <c r="O213" t="s">
        <v>83</v>
      </c>
      <c r="P213" t="s">
        <v>84</v>
      </c>
      <c r="Q213" t="s">
        <v>422</v>
      </c>
      <c r="R213">
        <v>3</v>
      </c>
      <c r="S213" t="s">
        <v>86</v>
      </c>
      <c r="T213" t="s">
        <v>87</v>
      </c>
      <c r="U213" t="s">
        <v>88</v>
      </c>
      <c r="V213">
        <v>1</v>
      </c>
      <c r="W213" t="s">
        <v>423</v>
      </c>
      <c r="X213" t="s">
        <v>83</v>
      </c>
      <c r="Y213" t="s">
        <v>90</v>
      </c>
      <c r="Z213">
        <v>4000</v>
      </c>
      <c r="AA213">
        <v>4000</v>
      </c>
      <c r="AC213">
        <v>256</v>
      </c>
      <c r="AD213" t="s">
        <v>91</v>
      </c>
      <c r="AE213">
        <v>0.15</v>
      </c>
      <c r="AF213" t="s">
        <v>92</v>
      </c>
      <c r="AG213">
        <v>180</v>
      </c>
      <c r="AH213">
        <v>60</v>
      </c>
      <c r="AI213">
        <v>120</v>
      </c>
      <c r="AJ213">
        <v>9.1688152694536937E-2</v>
      </c>
      <c r="AK213">
        <v>7.8827863505716822</v>
      </c>
      <c r="AL213">
        <v>0.80079859446523294</v>
      </c>
      <c r="AM213">
        <v>-0.38274173665083339</v>
      </c>
      <c r="AN213">
        <v>12.16699078052971</v>
      </c>
      <c r="AO213">
        <v>0.74094365047360711</v>
      </c>
      <c r="AP213">
        <v>12.16699078052971</v>
      </c>
      <c r="AQ213">
        <v>12.16699078052971</v>
      </c>
      <c r="AR213">
        <v>0.74094365047360711</v>
      </c>
      <c r="AS213">
        <v>144.34053216965751</v>
      </c>
      <c r="AT213">
        <v>-0.34745076542407932</v>
      </c>
      <c r="AU213">
        <v>0.8</v>
      </c>
      <c r="AV213" t="s">
        <v>93</v>
      </c>
      <c r="AW213">
        <v>6.544485146794056E-2</v>
      </c>
      <c r="AX213">
        <v>0.5247857608634261</v>
      </c>
      <c r="AY213">
        <v>6.544485146794056E-2</v>
      </c>
      <c r="AZ213">
        <v>6.544485146794056E-2</v>
      </c>
      <c r="BA213">
        <v>0.5247857608634261</v>
      </c>
      <c r="BB213">
        <v>0.18483119975187329</v>
      </c>
      <c r="BC213">
        <v>-0.34211348927598961</v>
      </c>
      <c r="BD213">
        <v>5.0461344103807967E-2</v>
      </c>
      <c r="BE213">
        <v>0.82516222031564812</v>
      </c>
      <c r="BF213">
        <v>5.0461344103807967E-2</v>
      </c>
      <c r="BG213">
        <v>5.0461344103807967E-2</v>
      </c>
      <c r="BH213">
        <v>0.82516222031564812</v>
      </c>
      <c r="BI213">
        <v>0.32132883833075432</v>
      </c>
      <c r="BJ213">
        <v>-0.11333579475663599</v>
      </c>
      <c r="BK213">
        <v>6.1813487007938477E-2</v>
      </c>
      <c r="BL213">
        <v>0.75183840138681246</v>
      </c>
      <c r="BM213">
        <v>6.1813487007938477E-2</v>
      </c>
      <c r="BN213">
        <v>6.1813487007938477E-2</v>
      </c>
      <c r="BO213">
        <v>0.75183840138681246</v>
      </c>
      <c r="BP213">
        <v>0.32217655773028753</v>
      </c>
      <c r="BQ213">
        <v>-0.29343697422819898</v>
      </c>
      <c r="BR213">
        <v>48.490243439539128</v>
      </c>
      <c r="BS213">
        <v>0.86198821932854286</v>
      </c>
      <c r="BT213">
        <v>48.490243439539128</v>
      </c>
      <c r="BU213">
        <v>48.490243439539128</v>
      </c>
      <c r="BV213">
        <v>0.86198821932854286</v>
      </c>
      <c r="BW213">
        <v>576.53379208281945</v>
      </c>
      <c r="BX213">
        <v>-0.64091680343549529</v>
      </c>
      <c r="BY213" t="str">
        <f t="shared" si="8"/>
        <v>[[sv,wv],[yr],[ya]]</v>
      </c>
      <c r="BZ213" t="str">
        <f>SUBSTITUTE(TRIM(MID(SUBSTITUTE(SUBSTITUTE(SUBSTITUTE(Tabla1[[#This Row],[map]],"[",""),"]",""),",",REPT(" ",100)),901,200))," ",", ")</f>
        <v>2, 4</v>
      </c>
      <c r="CA213" t="str">
        <f>SUBSTITUTE(TRIM(MID(SUBSTITUTE(SUBSTITUTE(SUBSTITUTE(Tabla1[[#This Row],[map]],"[",""),"]",""),",",REPT(" ",100)),1501,200))," ",", ")</f>
        <v>3, 2</v>
      </c>
      <c r="CB213" t="str">
        <f>SUBSTITUTE(TRIM(MID(SUBSTITUTE(SUBSTITUTE(SUBSTITUTE(Tabla1[[#This Row],[map]],"[",""),"]",""),",",REPT(" ",100)),601,300))," ",", ")</f>
        <v>1, 3, 0</v>
      </c>
      <c r="CC213" t="str">
        <f>SUBSTITUTE(TRIM(MID(SUBSTITUTE(SUBSTITUTE(SUBSTITUTE(Tabla1[[#This Row],[map]],"[",""),"]",""),",",REPT(" ",100)),1201,300))," ",", ")</f>
        <v>1, 4, 0</v>
      </c>
      <c r="CD213" t="str">
        <f>SUBSTITUTE(TRIM(MID(SUBSTITUTE(SUBSTITUTE(SUBSTITUTE(Tabla1[[#This Row],[map]],"[",""),"]",""),",",REPT(" ",100)),1,300))," ",", ")</f>
        <v>2, 3, 4</v>
      </c>
      <c r="CE213" t="str">
        <f>SUBSTITUTE(TRIM(MID(SUBSTITUTE(SUBSTITUTE(SUBSTITUTE(Tabla1[[#This Row],[map]],"[",""),"]",""),",",REPT(" ",100)),1,600))," ",", ")</f>
        <v>2, 3, 4, 0, 1, -1</v>
      </c>
      <c r="CF213" t="str">
        <f>SUBSTITUTE(TRIM(MID(SUBSTITUTE(SUBSTITUTE(SUBSTITUTE(Tabla1[[#This Row],[map]],"[",""),"]",""),",",REPT(" ",100)),601,600))," ",", ")</f>
        <v>1, 3, 0, 2, 4, -1</v>
      </c>
      <c r="CG213" t="str">
        <f>SUBSTITUTE(TRIM(MID(SUBSTITUTE(SUBSTITUTE(SUBSTITUTE(Tabla1[[#This Row],[map]],"[",""),"]",""),",",REPT(" ",100)),1201,600))," ",", ")</f>
        <v>1, 4, 0, 3, 2, -1</v>
      </c>
    </row>
    <row r="214" spans="1:85" x14ac:dyDescent="0.3">
      <c r="A214" s="1">
        <v>46105.948391203703</v>
      </c>
      <c r="B214" t="s">
        <v>424</v>
      </c>
      <c r="C214">
        <v>1</v>
      </c>
      <c r="D214" t="s">
        <v>96</v>
      </c>
      <c r="E214" t="s">
        <v>78</v>
      </c>
      <c r="F214">
        <v>16590</v>
      </c>
      <c r="G214">
        <v>4.5</v>
      </c>
      <c r="H214" t="s">
        <v>79</v>
      </c>
      <c r="I214" t="s">
        <v>80</v>
      </c>
      <c r="J214">
        <v>5</v>
      </c>
      <c r="K214">
        <v>5</v>
      </c>
      <c r="L214" t="s">
        <v>81</v>
      </c>
      <c r="M214" t="s">
        <v>82</v>
      </c>
      <c r="N214" t="s">
        <v>83</v>
      </c>
      <c r="O214" t="s">
        <v>83</v>
      </c>
      <c r="P214" t="s">
        <v>84</v>
      </c>
      <c r="Q214" t="s">
        <v>408</v>
      </c>
      <c r="R214">
        <v>3</v>
      </c>
      <c r="S214" t="s">
        <v>86</v>
      </c>
      <c r="T214" t="s">
        <v>87</v>
      </c>
      <c r="U214" t="s">
        <v>88</v>
      </c>
      <c r="V214">
        <v>1</v>
      </c>
      <c r="W214" t="s">
        <v>409</v>
      </c>
      <c r="X214" t="s">
        <v>83</v>
      </c>
      <c r="Y214" t="s">
        <v>90</v>
      </c>
      <c r="Z214">
        <v>4000</v>
      </c>
      <c r="AA214">
        <v>4000</v>
      </c>
      <c r="AC214">
        <v>256</v>
      </c>
      <c r="AD214" t="s">
        <v>91</v>
      </c>
      <c r="AE214">
        <v>0.15</v>
      </c>
      <c r="AF214" t="s">
        <v>92</v>
      </c>
      <c r="AG214">
        <v>180</v>
      </c>
      <c r="AH214">
        <v>60</v>
      </c>
      <c r="AI214">
        <v>120</v>
      </c>
      <c r="AJ214">
        <v>0.1019146484519616</v>
      </c>
      <c r="AK214">
        <v>16.34968741642302</v>
      </c>
      <c r="AL214">
        <v>0.75623925973538797</v>
      </c>
      <c r="AM214">
        <v>0.17420108241573809</v>
      </c>
      <c r="AN214">
        <v>23.212120267838539</v>
      </c>
      <c r="AO214">
        <v>0.70453325746793793</v>
      </c>
      <c r="AP214">
        <v>23.212120267838539</v>
      </c>
      <c r="AQ214">
        <v>23.212120267838539</v>
      </c>
      <c r="AR214">
        <v>0.70453325746793793</v>
      </c>
      <c r="AS214">
        <v>97.281445545611234</v>
      </c>
      <c r="AT214">
        <v>2.926126826011061E-2</v>
      </c>
      <c r="AU214">
        <v>0.8</v>
      </c>
      <c r="AV214" t="s">
        <v>93</v>
      </c>
      <c r="AW214">
        <v>6.4043138018223589E-2</v>
      </c>
      <c r="AX214">
        <v>0.53496401286574069</v>
      </c>
      <c r="AY214">
        <v>6.4043138018223589E-2</v>
      </c>
      <c r="AZ214">
        <v>6.4043138018223589E-2</v>
      </c>
      <c r="BA214">
        <v>0.53496401286574069</v>
      </c>
      <c r="BB214">
        <v>0.16470765465836551</v>
      </c>
      <c r="BC214">
        <v>-0.19599053298772559</v>
      </c>
      <c r="BD214">
        <v>8.3960955537122989E-2</v>
      </c>
      <c r="BE214">
        <v>0.70909322161358346</v>
      </c>
      <c r="BF214">
        <v>8.3960955537122989E-2</v>
      </c>
      <c r="BG214">
        <v>8.3960955537122989E-2</v>
      </c>
      <c r="BH214">
        <v>0.70909322161358346</v>
      </c>
      <c r="BI214">
        <v>0.23874744966175879</v>
      </c>
      <c r="BJ214">
        <v>0.17279107908238461</v>
      </c>
      <c r="BK214">
        <v>4.0401014507921593E-2</v>
      </c>
      <c r="BL214">
        <v>0.8378027056685412</v>
      </c>
      <c r="BM214">
        <v>4.0401014507921593E-2</v>
      </c>
      <c r="BN214">
        <v>4.0401014507921593E-2</v>
      </c>
      <c r="BO214">
        <v>0.8378027056685412</v>
      </c>
      <c r="BP214">
        <v>0.187790059358656</v>
      </c>
      <c r="BQ214">
        <v>0.2460823100284816</v>
      </c>
      <c r="BR214">
        <v>92.660075963291334</v>
      </c>
      <c r="BS214">
        <v>0.73627308972388472</v>
      </c>
      <c r="BT214">
        <v>92.660075963291334</v>
      </c>
      <c r="BU214">
        <v>92.660075963291334</v>
      </c>
      <c r="BV214">
        <v>0.73627308972388472</v>
      </c>
      <c r="BW214">
        <v>388.53453701876498</v>
      </c>
      <c r="BX214">
        <v>-0.1058377830826909</v>
      </c>
      <c r="BY214" t="str">
        <f t="shared" si="8"/>
        <v>[[sv,wv],[yr],[ya]]</v>
      </c>
      <c r="BZ214" t="str">
        <f>SUBSTITUTE(TRIM(MID(SUBSTITUTE(SUBSTITUTE(SUBSTITUTE(Tabla1[[#This Row],[map]],"[",""),"]",""),",",REPT(" ",100)),901,200))," ",", ")</f>
        <v>2, 3</v>
      </c>
      <c r="CA214" t="str">
        <f>SUBSTITUTE(TRIM(MID(SUBSTITUTE(SUBSTITUTE(SUBSTITUTE(Tabla1[[#This Row],[map]],"[",""),"]",""),",",REPT(" ",100)),1501,200))," ",", ")</f>
        <v>3, 4</v>
      </c>
      <c r="CB214" t="str">
        <f>SUBSTITUTE(TRIM(MID(SUBSTITUTE(SUBSTITUTE(SUBSTITUTE(Tabla1[[#This Row],[map]],"[",""),"]",""),",",REPT(" ",100)),601,300))," ",", ")</f>
        <v>1, 4, 0</v>
      </c>
      <c r="CC214" t="str">
        <f>SUBSTITUTE(TRIM(MID(SUBSTITUTE(SUBSTITUTE(SUBSTITUTE(Tabla1[[#This Row],[map]],"[",""),"]",""),",",REPT(" ",100)),1201,300))," ",", ")</f>
        <v>1, 2, 0</v>
      </c>
      <c r="CD214" t="str">
        <f>SUBSTITUTE(TRIM(MID(SUBSTITUTE(SUBSTITUTE(SUBSTITUTE(Tabla1[[#This Row],[map]],"[",""),"]",""),",",REPT(" ",100)),1,300))," ",", ")</f>
        <v>2, 3, 4</v>
      </c>
      <c r="CE214" t="str">
        <f>SUBSTITUTE(TRIM(MID(SUBSTITUTE(SUBSTITUTE(SUBSTITUTE(Tabla1[[#This Row],[map]],"[",""),"]",""),",",REPT(" ",100)),1,600))," ",", ")</f>
        <v>2, 3, 4, 0, 1, -1</v>
      </c>
      <c r="CF214" t="str">
        <f>SUBSTITUTE(TRIM(MID(SUBSTITUTE(SUBSTITUTE(SUBSTITUTE(Tabla1[[#This Row],[map]],"[",""),"]",""),",",REPT(" ",100)),601,600))," ",", ")</f>
        <v>1, 4, 0, 2, 3, -1</v>
      </c>
      <c r="CG214" t="str">
        <f>SUBSTITUTE(TRIM(MID(SUBSTITUTE(SUBSTITUTE(SUBSTITUTE(Tabla1[[#This Row],[map]],"[",""),"]",""),",",REPT(" ",100)),1201,600))," ",", ")</f>
        <v>1, 2, 0, 3, 4, -1</v>
      </c>
    </row>
    <row r="215" spans="1:85" x14ac:dyDescent="0.3">
      <c r="A215" s="1">
        <v>46105.981909722221</v>
      </c>
      <c r="B215" t="s">
        <v>425</v>
      </c>
      <c r="C215">
        <v>2</v>
      </c>
      <c r="D215" t="s">
        <v>96</v>
      </c>
      <c r="E215" t="s">
        <v>78</v>
      </c>
      <c r="F215">
        <v>16590</v>
      </c>
      <c r="G215">
        <v>4.5</v>
      </c>
      <c r="H215" t="s">
        <v>79</v>
      </c>
      <c r="I215" t="s">
        <v>80</v>
      </c>
      <c r="J215">
        <v>5</v>
      </c>
      <c r="K215">
        <v>5</v>
      </c>
      <c r="L215" t="s">
        <v>81</v>
      </c>
      <c r="M215" t="s">
        <v>82</v>
      </c>
      <c r="N215" t="s">
        <v>83</v>
      </c>
      <c r="O215" t="s">
        <v>83</v>
      </c>
      <c r="P215" t="s">
        <v>84</v>
      </c>
      <c r="Q215" t="s">
        <v>387</v>
      </c>
      <c r="R215">
        <v>3</v>
      </c>
      <c r="S215" t="s">
        <v>86</v>
      </c>
      <c r="T215" t="s">
        <v>87</v>
      </c>
      <c r="U215" t="s">
        <v>88</v>
      </c>
      <c r="V215">
        <v>1</v>
      </c>
      <c r="W215" t="s">
        <v>388</v>
      </c>
      <c r="X215" t="s">
        <v>83</v>
      </c>
      <c r="Y215" t="s">
        <v>90</v>
      </c>
      <c r="Z215">
        <v>4000</v>
      </c>
      <c r="AA215">
        <v>4000</v>
      </c>
      <c r="AC215">
        <v>256</v>
      </c>
      <c r="AD215" t="s">
        <v>91</v>
      </c>
      <c r="AE215">
        <v>0.15</v>
      </c>
      <c r="AF215" t="s">
        <v>92</v>
      </c>
      <c r="AG215">
        <v>180</v>
      </c>
      <c r="AH215">
        <v>60</v>
      </c>
      <c r="AI215">
        <v>120</v>
      </c>
      <c r="AJ215">
        <v>9.6890673128972413E-2</v>
      </c>
      <c r="AK215">
        <v>20.456867114547219</v>
      </c>
      <c r="AL215">
        <v>0.7353780152892212</v>
      </c>
      <c r="AM215">
        <v>-0.40968158662425103</v>
      </c>
      <c r="AN215">
        <v>29.076951130872398</v>
      </c>
      <c r="AO215">
        <v>0.66593878639031767</v>
      </c>
      <c r="AP215">
        <v>29.076951130872398</v>
      </c>
      <c r="AQ215">
        <v>29.076951130872398</v>
      </c>
      <c r="AR215">
        <v>0.66593878639031767</v>
      </c>
      <c r="AS215">
        <v>130.18945259075909</v>
      </c>
      <c r="AT215">
        <v>-0.38402531735350598</v>
      </c>
      <c r="AU215">
        <v>0.8</v>
      </c>
      <c r="AV215" t="s">
        <v>93</v>
      </c>
      <c r="AW215">
        <v>6.2768368889640755E-2</v>
      </c>
      <c r="AX215">
        <v>0.544220484962878</v>
      </c>
      <c r="AY215">
        <v>6.2768368889640755E-2</v>
      </c>
      <c r="AZ215">
        <v>6.2768368889640755E-2</v>
      </c>
      <c r="BA215">
        <v>0.544220484962878</v>
      </c>
      <c r="BB215">
        <v>0.15662899761723989</v>
      </c>
      <c r="BC215">
        <v>-0.13732903750057451</v>
      </c>
      <c r="BD215">
        <v>8.386844056888966E-2</v>
      </c>
      <c r="BE215">
        <v>0.709413766218979</v>
      </c>
      <c r="BF215">
        <v>8.386844056888966E-2</v>
      </c>
      <c r="BG215">
        <v>8.386844056888966E-2</v>
      </c>
      <c r="BH215">
        <v>0.709413766218979</v>
      </c>
      <c r="BI215">
        <v>0.39665118979470892</v>
      </c>
      <c r="BJ215">
        <v>-0.37431165507995301</v>
      </c>
      <c r="BK215">
        <v>6.4624737180434294E-2</v>
      </c>
      <c r="BL215">
        <v>0.74055212114802638</v>
      </c>
      <c r="BM215">
        <v>6.4624737180434294E-2</v>
      </c>
      <c r="BN215">
        <v>6.4624737180434294E-2</v>
      </c>
      <c r="BO215">
        <v>0.74055212114802638</v>
      </c>
      <c r="BP215">
        <v>0.38482784362340777</v>
      </c>
      <c r="BQ215">
        <v>-0.54496207036800848</v>
      </c>
      <c r="BR215">
        <v>116.0965429768508</v>
      </c>
      <c r="BS215">
        <v>0.66956877323138864</v>
      </c>
      <c r="BT215">
        <v>116.0965429768508</v>
      </c>
      <c r="BU215">
        <v>116.0965429768508</v>
      </c>
      <c r="BV215">
        <v>0.66956877323138864</v>
      </c>
      <c r="BW215">
        <v>519.81970233200127</v>
      </c>
      <c r="BX215">
        <v>-0.47949850646549241</v>
      </c>
      <c r="BY215" t="str">
        <f t="shared" si="8"/>
        <v>[[sv,wv],[yr],[ya]]</v>
      </c>
      <c r="BZ215" t="str">
        <f>SUBSTITUTE(TRIM(MID(SUBSTITUTE(SUBSTITUTE(SUBSTITUTE(Tabla1[[#This Row],[map]],"[",""),"]",""),",",REPT(" ",100)),901,200))," ",", ")</f>
        <v>2, 4</v>
      </c>
      <c r="CA215" t="str">
        <f>SUBSTITUTE(TRIM(MID(SUBSTITUTE(SUBSTITUTE(SUBSTITUTE(Tabla1[[#This Row],[map]],"[",""),"]",""),",",REPT(" ",100)),1501,200))," ",", ")</f>
        <v>3, 2</v>
      </c>
      <c r="CB215" t="str">
        <f>SUBSTITUTE(TRIM(MID(SUBSTITUTE(SUBSTITUTE(SUBSTITUTE(Tabla1[[#This Row],[map]],"[",""),"]",""),",",REPT(" ",100)),601,300))," ",", ")</f>
        <v>1, 3, 0</v>
      </c>
      <c r="CC215" t="str">
        <f>SUBSTITUTE(TRIM(MID(SUBSTITUTE(SUBSTITUTE(SUBSTITUTE(Tabla1[[#This Row],[map]],"[",""),"]",""),",",REPT(" ",100)),1201,300))," ",", ")</f>
        <v>0, 1, 4</v>
      </c>
      <c r="CD215" t="str">
        <f>SUBSTITUTE(TRIM(MID(SUBSTITUTE(SUBSTITUTE(SUBSTITUTE(Tabla1[[#This Row],[map]],"[",""),"]",""),",",REPT(" ",100)),1,300))," ",", ")</f>
        <v>2, 3, 4</v>
      </c>
      <c r="CE215" t="str">
        <f>SUBSTITUTE(TRIM(MID(SUBSTITUTE(SUBSTITUTE(SUBSTITUTE(Tabla1[[#This Row],[map]],"[",""),"]",""),",",REPT(" ",100)),1,600))," ",", ")</f>
        <v>2, 3, 4, 0, 1, -1</v>
      </c>
      <c r="CF215" t="str">
        <f>SUBSTITUTE(TRIM(MID(SUBSTITUTE(SUBSTITUTE(SUBSTITUTE(Tabla1[[#This Row],[map]],"[",""),"]",""),",",REPT(" ",100)),601,600))," ",", ")</f>
        <v>1, 3, 0, 2, 4, -1</v>
      </c>
      <c r="CG215" t="str">
        <f>SUBSTITUTE(TRIM(MID(SUBSTITUTE(SUBSTITUTE(SUBSTITUTE(Tabla1[[#This Row],[map]],"[",""),"]",""),",",REPT(" ",100)),1201,600))," ",", ")</f>
        <v>0, 1, 4, 3, 2, -1</v>
      </c>
    </row>
    <row r="216" spans="1:85" x14ac:dyDescent="0.3">
      <c r="A216" s="1">
        <v>46105.985868055563</v>
      </c>
      <c r="B216" t="s">
        <v>426</v>
      </c>
      <c r="C216">
        <v>3</v>
      </c>
      <c r="D216" t="s">
        <v>96</v>
      </c>
      <c r="E216" t="s">
        <v>78</v>
      </c>
      <c r="F216">
        <v>16590</v>
      </c>
      <c r="G216">
        <v>4.5</v>
      </c>
      <c r="H216" t="s">
        <v>79</v>
      </c>
      <c r="I216" t="s">
        <v>80</v>
      </c>
      <c r="J216">
        <v>5</v>
      </c>
      <c r="K216">
        <v>5</v>
      </c>
      <c r="L216" t="s">
        <v>81</v>
      </c>
      <c r="M216" t="s">
        <v>82</v>
      </c>
      <c r="N216" t="s">
        <v>83</v>
      </c>
      <c r="O216" t="s">
        <v>83</v>
      </c>
      <c r="P216" t="s">
        <v>84</v>
      </c>
      <c r="Q216" t="s">
        <v>387</v>
      </c>
      <c r="R216">
        <v>3</v>
      </c>
      <c r="S216" t="s">
        <v>86</v>
      </c>
      <c r="T216" t="s">
        <v>87</v>
      </c>
      <c r="U216" t="s">
        <v>88</v>
      </c>
      <c r="V216">
        <v>1</v>
      </c>
      <c r="W216" t="s">
        <v>388</v>
      </c>
      <c r="X216" t="s">
        <v>83</v>
      </c>
      <c r="Y216" t="s">
        <v>90</v>
      </c>
      <c r="Z216">
        <v>4000</v>
      </c>
      <c r="AA216">
        <v>4000</v>
      </c>
      <c r="AC216">
        <v>256</v>
      </c>
      <c r="AD216" t="s">
        <v>91</v>
      </c>
      <c r="AE216">
        <v>0.15</v>
      </c>
      <c r="AF216" t="s">
        <v>92</v>
      </c>
      <c r="AG216">
        <v>180</v>
      </c>
      <c r="AH216">
        <v>60</v>
      </c>
      <c r="AI216">
        <v>120</v>
      </c>
      <c r="AJ216">
        <v>9.9145980056663946E-2</v>
      </c>
      <c r="AK216">
        <v>19.560134604250429</v>
      </c>
      <c r="AL216">
        <v>0.7632189894133603</v>
      </c>
      <c r="AM216">
        <v>-0.21869210464986219</v>
      </c>
      <c r="AN216">
        <v>30.43000102943919</v>
      </c>
      <c r="AO216">
        <v>0.69927565931011282</v>
      </c>
      <c r="AP216">
        <v>30.43000102943919</v>
      </c>
      <c r="AQ216">
        <v>30.43000102943919</v>
      </c>
      <c r="AR216">
        <v>0.69927565931011282</v>
      </c>
      <c r="AS216">
        <v>131.83569153911449</v>
      </c>
      <c r="AT216">
        <v>-0.36732657734456958</v>
      </c>
      <c r="AU216">
        <v>0.8</v>
      </c>
      <c r="AV216" t="s">
        <v>93</v>
      </c>
      <c r="AW216">
        <v>6.3276675777605138E-2</v>
      </c>
      <c r="AX216">
        <v>0.54052951973652696</v>
      </c>
      <c r="AY216">
        <v>6.3276675777605138E-2</v>
      </c>
      <c r="AZ216">
        <v>6.3276675777605138E-2</v>
      </c>
      <c r="BA216">
        <v>0.54052951973652696</v>
      </c>
      <c r="BB216">
        <v>0.1449304206392068</v>
      </c>
      <c r="BC216">
        <v>-5.2382242865095067E-2</v>
      </c>
      <c r="BD216">
        <v>4.3195479103338617E-2</v>
      </c>
      <c r="BE216">
        <v>0.85033689068421725</v>
      </c>
      <c r="BF216">
        <v>4.3195479103338617E-2</v>
      </c>
      <c r="BG216">
        <v>4.3195479103338617E-2</v>
      </c>
      <c r="BH216">
        <v>0.85033689068421725</v>
      </c>
      <c r="BI216">
        <v>0.35276718154556391</v>
      </c>
      <c r="BJ216">
        <v>-0.2222629393313906</v>
      </c>
      <c r="BK216">
        <v>6.1724888377974532E-2</v>
      </c>
      <c r="BL216">
        <v>0.7521940968622024</v>
      </c>
      <c r="BM216">
        <v>6.1724888377974532E-2</v>
      </c>
      <c r="BN216">
        <v>6.1724888377974532E-2</v>
      </c>
      <c r="BO216">
        <v>0.7521940968622024</v>
      </c>
      <c r="BP216">
        <v>0.42254133693120688</v>
      </c>
      <c r="BQ216">
        <v>-0.69636981714905044</v>
      </c>
      <c r="BR216">
        <v>121.5518070744979</v>
      </c>
      <c r="BS216">
        <v>0.6540421299575081</v>
      </c>
      <c r="BT216">
        <v>121.5518070744979</v>
      </c>
      <c r="BU216">
        <v>121.5518070744979</v>
      </c>
      <c r="BV216">
        <v>0.6540421299575081</v>
      </c>
      <c r="BW216">
        <v>526.42252721734064</v>
      </c>
      <c r="BX216">
        <v>-0.49829131003274463</v>
      </c>
      <c r="BY216" t="str">
        <f t="shared" si="8"/>
        <v>[[sv,wv],[yr],[ya]]</v>
      </c>
      <c r="BZ216" t="str">
        <f>SUBSTITUTE(TRIM(MID(SUBSTITUTE(SUBSTITUTE(SUBSTITUTE(Tabla1[[#This Row],[map]],"[",""),"]",""),",",REPT(" ",100)),901,200))," ",", ")</f>
        <v>2, 4</v>
      </c>
      <c r="CA216" t="str">
        <f>SUBSTITUTE(TRIM(MID(SUBSTITUTE(SUBSTITUTE(SUBSTITUTE(Tabla1[[#This Row],[map]],"[",""),"]",""),",",REPT(" ",100)),1501,200))," ",", ")</f>
        <v>3, 2</v>
      </c>
      <c r="CB216" t="str">
        <f>SUBSTITUTE(TRIM(MID(SUBSTITUTE(SUBSTITUTE(SUBSTITUTE(Tabla1[[#This Row],[map]],"[",""),"]",""),",",REPT(" ",100)),601,300))," ",", ")</f>
        <v>1, 3, 0</v>
      </c>
      <c r="CC216" t="str">
        <f>SUBSTITUTE(TRIM(MID(SUBSTITUTE(SUBSTITUTE(SUBSTITUTE(Tabla1[[#This Row],[map]],"[",""),"]",""),",",REPT(" ",100)),1201,300))," ",", ")</f>
        <v>0, 1, 4</v>
      </c>
      <c r="CD216" t="str">
        <f>SUBSTITUTE(TRIM(MID(SUBSTITUTE(SUBSTITUTE(SUBSTITUTE(Tabla1[[#This Row],[map]],"[",""),"]",""),",",REPT(" ",100)),1,300))," ",", ")</f>
        <v>2, 3, 4</v>
      </c>
      <c r="CE216" t="str">
        <f>SUBSTITUTE(TRIM(MID(SUBSTITUTE(SUBSTITUTE(SUBSTITUTE(Tabla1[[#This Row],[map]],"[",""),"]",""),",",REPT(" ",100)),1,600))," ",", ")</f>
        <v>2, 3, 4, 0, 1, -1</v>
      </c>
      <c r="CF216" t="str">
        <f>SUBSTITUTE(TRIM(MID(SUBSTITUTE(SUBSTITUTE(SUBSTITUTE(Tabla1[[#This Row],[map]],"[",""),"]",""),",",REPT(" ",100)),601,600))," ",", ")</f>
        <v>1, 3, 0, 2, 4, -1</v>
      </c>
      <c r="CG216" t="str">
        <f>SUBSTITUTE(TRIM(MID(SUBSTITUTE(SUBSTITUTE(SUBSTITUTE(Tabla1[[#This Row],[map]],"[",""),"]",""),",",REPT(" ",100)),1201,600))," ",", ")</f>
        <v>0, 1, 4, 3, 2, -1</v>
      </c>
    </row>
    <row r="217" spans="1:85" x14ac:dyDescent="0.3">
      <c r="A217" s="1">
        <v>46106.08929398148</v>
      </c>
      <c r="B217" t="s">
        <v>427</v>
      </c>
      <c r="C217">
        <v>1</v>
      </c>
      <c r="D217" t="s">
        <v>96</v>
      </c>
      <c r="E217" t="s">
        <v>78</v>
      </c>
      <c r="F217">
        <v>16590</v>
      </c>
      <c r="G217">
        <v>4.5</v>
      </c>
      <c r="H217" t="s">
        <v>79</v>
      </c>
      <c r="I217" t="s">
        <v>80</v>
      </c>
      <c r="J217">
        <v>5</v>
      </c>
      <c r="K217">
        <v>5</v>
      </c>
      <c r="L217" t="s">
        <v>81</v>
      </c>
      <c r="M217" t="s">
        <v>82</v>
      </c>
      <c r="N217" t="s">
        <v>83</v>
      </c>
      <c r="O217" t="s">
        <v>83</v>
      </c>
      <c r="P217" t="s">
        <v>84</v>
      </c>
      <c r="Q217" t="s">
        <v>412</v>
      </c>
      <c r="R217">
        <v>3</v>
      </c>
      <c r="S217" t="s">
        <v>86</v>
      </c>
      <c r="T217" t="s">
        <v>87</v>
      </c>
      <c r="U217" t="s">
        <v>88</v>
      </c>
      <c r="V217">
        <v>1</v>
      </c>
      <c r="W217" t="s">
        <v>413</v>
      </c>
      <c r="X217" t="s">
        <v>83</v>
      </c>
      <c r="Y217" t="s">
        <v>90</v>
      </c>
      <c r="Z217">
        <v>4000</v>
      </c>
      <c r="AA217">
        <v>4000</v>
      </c>
      <c r="AC217">
        <v>256</v>
      </c>
      <c r="AD217" t="s">
        <v>91</v>
      </c>
      <c r="AE217">
        <v>0.15</v>
      </c>
      <c r="AF217" t="s">
        <v>92</v>
      </c>
      <c r="AG217">
        <v>180</v>
      </c>
      <c r="AH217">
        <v>60</v>
      </c>
      <c r="AI217">
        <v>120</v>
      </c>
      <c r="AJ217">
        <v>9.9406834354012305E-2</v>
      </c>
      <c r="AK217">
        <v>13.678979494846651</v>
      </c>
      <c r="AL217">
        <v>0.76103251111177472</v>
      </c>
      <c r="AM217">
        <v>-0.1068415927670955</v>
      </c>
      <c r="AN217">
        <v>18.188254282493411</v>
      </c>
      <c r="AO217">
        <v>0.69654862544785912</v>
      </c>
      <c r="AP217">
        <v>18.188254282493411</v>
      </c>
      <c r="AQ217">
        <v>18.188254282493411</v>
      </c>
      <c r="AR217">
        <v>0.69654862544785912</v>
      </c>
      <c r="AS217">
        <v>83.561119178045942</v>
      </c>
      <c r="AT217">
        <v>-1.5478016339841531E-2</v>
      </c>
      <c r="AU217">
        <v>0.8</v>
      </c>
      <c r="AV217" t="s">
        <v>93</v>
      </c>
      <c r="AW217">
        <v>6.3538808358192547E-2</v>
      </c>
      <c r="AX217">
        <v>0.53862609827490471</v>
      </c>
      <c r="AY217">
        <v>6.3538808358192547E-2</v>
      </c>
      <c r="AZ217">
        <v>6.3538808358192547E-2</v>
      </c>
      <c r="BA217">
        <v>0.53862609827490471</v>
      </c>
      <c r="BB217">
        <v>0.2928433637676876</v>
      </c>
      <c r="BC217">
        <v>-1.1264214552802301</v>
      </c>
      <c r="BD217">
        <v>8.990226151812937E-2</v>
      </c>
      <c r="BE217">
        <v>0.6885078653454747</v>
      </c>
      <c r="BF217">
        <v>8.990226151812937E-2</v>
      </c>
      <c r="BG217">
        <v>8.990226151812937E-2</v>
      </c>
      <c r="BH217">
        <v>0.6885078653454747</v>
      </c>
      <c r="BI217">
        <v>0.13048216750936481</v>
      </c>
      <c r="BJ217">
        <v>0.54790715822376468</v>
      </c>
      <c r="BK217">
        <v>5.8404227305030712E-2</v>
      </c>
      <c r="BL217">
        <v>0.76552550073864911</v>
      </c>
      <c r="BM217">
        <v>5.8404227305030712E-2</v>
      </c>
      <c r="BN217">
        <v>5.8404227305030712E-2</v>
      </c>
      <c r="BO217">
        <v>0.76552550073864911</v>
      </c>
      <c r="BP217">
        <v>0.13292759820672351</v>
      </c>
      <c r="BQ217">
        <v>0.46633773845252408</v>
      </c>
      <c r="BR217">
        <v>72.541171832792216</v>
      </c>
      <c r="BS217">
        <v>0.79353503743240938</v>
      </c>
      <c r="BT217">
        <v>72.541171832792216</v>
      </c>
      <c r="BU217">
        <v>72.541171832792216</v>
      </c>
      <c r="BV217">
        <v>0.79353503743240938</v>
      </c>
      <c r="BW217">
        <v>333.68822358270091</v>
      </c>
      <c r="BX217">
        <v>5.0264493244590369E-2</v>
      </c>
      <c r="BY217" t="str">
        <f t="shared" si="8"/>
        <v>[[sv,wv],[yr],[ya]]</v>
      </c>
      <c r="BZ217" t="str">
        <f>SUBSTITUTE(TRIM(MID(SUBSTITUTE(SUBSTITUTE(SUBSTITUTE(Tabla1[[#This Row],[map]],"[",""),"]",""),",",REPT(" ",100)),901,200))," ",", ")</f>
        <v>2, 4</v>
      </c>
      <c r="CA217" t="str">
        <f>SUBSTITUTE(TRIM(MID(SUBSTITUTE(SUBSTITUTE(SUBSTITUTE(Tabla1[[#This Row],[map]],"[",""),"]",""),",",REPT(" ",100)),1501,200))," ",", ")</f>
        <v>3, 2</v>
      </c>
      <c r="CB217" t="str">
        <f>SUBSTITUTE(TRIM(MID(SUBSTITUTE(SUBSTITUTE(SUBSTITUTE(Tabla1[[#This Row],[map]],"[",""),"]",""),",",REPT(" ",100)),601,300))," ",", ")</f>
        <v>0, 1, 3</v>
      </c>
      <c r="CC217" t="str">
        <f>SUBSTITUTE(TRIM(MID(SUBSTITUTE(SUBSTITUTE(SUBSTITUTE(Tabla1[[#This Row],[map]],"[",""),"]",""),",",REPT(" ",100)),1201,300))," ",", ")</f>
        <v>1, 4, 0</v>
      </c>
      <c r="CD217" t="str">
        <f>SUBSTITUTE(TRIM(MID(SUBSTITUTE(SUBSTITUTE(SUBSTITUTE(Tabla1[[#This Row],[map]],"[",""),"]",""),",",REPT(" ",100)),1,300))," ",", ")</f>
        <v>2, 3, 4</v>
      </c>
      <c r="CE217" t="str">
        <f>SUBSTITUTE(TRIM(MID(SUBSTITUTE(SUBSTITUTE(SUBSTITUTE(Tabla1[[#This Row],[map]],"[",""),"]",""),",",REPT(" ",100)),1,600))," ",", ")</f>
        <v>2, 3, 4, 0, 1, -1</v>
      </c>
      <c r="CF217" t="str">
        <f>SUBSTITUTE(TRIM(MID(SUBSTITUTE(SUBSTITUTE(SUBSTITUTE(Tabla1[[#This Row],[map]],"[",""),"]",""),",",REPT(" ",100)),601,600))," ",", ")</f>
        <v>0, 1, 3, 2, 4, -1</v>
      </c>
      <c r="CG217" t="str">
        <f>SUBSTITUTE(TRIM(MID(SUBSTITUTE(SUBSTITUTE(SUBSTITUTE(Tabla1[[#This Row],[map]],"[",""),"]",""),",",REPT(" ",100)),1201,600))," ",", ")</f>
        <v>1, 4, 0, 3, 2, -1</v>
      </c>
    </row>
    <row r="218" spans="1:85" x14ac:dyDescent="0.3">
      <c r="A218" s="1">
        <v>46106.089062500003</v>
      </c>
      <c r="B218" t="s">
        <v>428</v>
      </c>
      <c r="C218">
        <v>0</v>
      </c>
      <c r="D218" t="s">
        <v>96</v>
      </c>
      <c r="E218" t="s">
        <v>78</v>
      </c>
      <c r="F218">
        <v>16590</v>
      </c>
      <c r="G218">
        <v>4.5</v>
      </c>
      <c r="H218" t="s">
        <v>79</v>
      </c>
      <c r="I218" t="s">
        <v>80</v>
      </c>
      <c r="J218">
        <v>5</v>
      </c>
      <c r="K218">
        <v>5</v>
      </c>
      <c r="L218" t="s">
        <v>81</v>
      </c>
      <c r="M218" t="s">
        <v>82</v>
      </c>
      <c r="N218" t="s">
        <v>83</v>
      </c>
      <c r="O218" t="s">
        <v>83</v>
      </c>
      <c r="P218" t="s">
        <v>84</v>
      </c>
      <c r="Q218" t="s">
        <v>429</v>
      </c>
      <c r="R218">
        <v>3</v>
      </c>
      <c r="S218" t="s">
        <v>86</v>
      </c>
      <c r="T218" t="s">
        <v>87</v>
      </c>
      <c r="U218" t="s">
        <v>88</v>
      </c>
      <c r="V218">
        <v>1</v>
      </c>
      <c r="W218" t="s">
        <v>430</v>
      </c>
      <c r="X218" t="s">
        <v>83</v>
      </c>
      <c r="Y218" t="s">
        <v>90</v>
      </c>
      <c r="Z218">
        <v>4000</v>
      </c>
      <c r="AA218">
        <v>4000</v>
      </c>
      <c r="AC218">
        <v>256</v>
      </c>
      <c r="AD218" t="s">
        <v>91</v>
      </c>
      <c r="AE218">
        <v>0.15</v>
      </c>
      <c r="AF218" t="s">
        <v>92</v>
      </c>
      <c r="AG218">
        <v>180</v>
      </c>
      <c r="AH218">
        <v>60</v>
      </c>
      <c r="AI218">
        <v>120</v>
      </c>
      <c r="AJ218">
        <v>0.1070075915561524</v>
      </c>
      <c r="AK218">
        <v>19.501017650477909</v>
      </c>
      <c r="AL218">
        <v>0.75016114569958392</v>
      </c>
      <c r="AM218">
        <v>-0.51503612873520244</v>
      </c>
      <c r="AN218">
        <v>21.604406645884719</v>
      </c>
      <c r="AO218">
        <v>0.70892519939931842</v>
      </c>
      <c r="AP218">
        <v>21.604406645884719</v>
      </c>
      <c r="AQ218">
        <v>21.604406645884719</v>
      </c>
      <c r="AR218">
        <v>0.70892519939931842</v>
      </c>
      <c r="AS218">
        <v>140.36971120896209</v>
      </c>
      <c r="AT218">
        <v>-0.52199931479146933</v>
      </c>
      <c r="AU218">
        <v>0.8</v>
      </c>
      <c r="AV218" t="s">
        <v>93</v>
      </c>
      <c r="AW218">
        <v>6.3265494784878251E-2</v>
      </c>
      <c r="AX218">
        <v>0.54061070820028412</v>
      </c>
      <c r="AY218">
        <v>6.3265494784878251E-2</v>
      </c>
      <c r="AZ218">
        <v>6.3265494784878251E-2</v>
      </c>
      <c r="BA218">
        <v>0.54061070820028412</v>
      </c>
      <c r="BB218">
        <v>0.15308831523155059</v>
      </c>
      <c r="BC218">
        <v>-0.1116191054249578</v>
      </c>
      <c r="BD218">
        <v>5.6495021974660858E-2</v>
      </c>
      <c r="BE218">
        <v>0.80425681517819525</v>
      </c>
      <c r="BF218">
        <v>5.6495021974660858E-2</v>
      </c>
      <c r="BG218">
        <v>5.6495021974660858E-2</v>
      </c>
      <c r="BH218">
        <v>0.80425681517819525</v>
      </c>
      <c r="BI218">
        <v>0.47223522241236848</v>
      </c>
      <c r="BJ218">
        <v>-0.63619418471047062</v>
      </c>
      <c r="BK218">
        <v>6.5692537388539834E-2</v>
      </c>
      <c r="BL218">
        <v>0.73626524105972235</v>
      </c>
      <c r="BM218">
        <v>6.5692537388539834E-2</v>
      </c>
      <c r="BN218">
        <v>6.5692537388539834E-2</v>
      </c>
      <c r="BO218">
        <v>0.73626524105972235</v>
      </c>
      <c r="BP218">
        <v>0.43468758913527289</v>
      </c>
      <c r="BQ218">
        <v>-0.74513317786566646</v>
      </c>
      <c r="BR218">
        <v>86.232173529390963</v>
      </c>
      <c r="BS218">
        <v>0.75456803315907528</v>
      </c>
      <c r="BT218">
        <v>86.232173529390963</v>
      </c>
      <c r="BU218">
        <v>86.232173529390963</v>
      </c>
      <c r="BV218">
        <v>0.75456803315907528</v>
      </c>
      <c r="BW218">
        <v>560.41883370906805</v>
      </c>
      <c r="BX218">
        <v>-0.59505079116478088</v>
      </c>
      <c r="BY218" t="str">
        <f t="shared" si="8"/>
        <v>[[sv,wv],[yr],[ya]]</v>
      </c>
      <c r="BZ218" t="str">
        <f>SUBSTITUTE(TRIM(MID(SUBSTITUTE(SUBSTITUTE(SUBSTITUTE(Tabla1[[#This Row],[map]],"[",""),"]",""),",",REPT(" ",100)),901,200))," ",", ")</f>
        <v>2, 4</v>
      </c>
      <c r="CA218" t="str">
        <f>SUBSTITUTE(TRIM(MID(SUBSTITUTE(SUBSTITUTE(SUBSTITUTE(Tabla1[[#This Row],[map]],"[",""),"]",""),",",REPT(" ",100)),1501,200))," ",", ")</f>
        <v>3, 4</v>
      </c>
      <c r="CB218" t="str">
        <f>SUBSTITUTE(TRIM(MID(SUBSTITUTE(SUBSTITUTE(SUBSTITUTE(Tabla1[[#This Row],[map]],"[",""),"]",""),",",REPT(" ",100)),601,300))," ",", ")</f>
        <v>1, 3, 0</v>
      </c>
      <c r="CC218" t="str">
        <f>SUBSTITUTE(TRIM(MID(SUBSTITUTE(SUBSTITUTE(SUBSTITUTE(Tabla1[[#This Row],[map]],"[",""),"]",""),",",REPT(" ",100)),1201,300))," ",", ")</f>
        <v>0, 1, 2</v>
      </c>
      <c r="CD218" t="str">
        <f>SUBSTITUTE(TRIM(MID(SUBSTITUTE(SUBSTITUTE(SUBSTITUTE(Tabla1[[#This Row],[map]],"[",""),"]",""),",",REPT(" ",100)),1,300))," ",", ")</f>
        <v>2, 3, 4</v>
      </c>
      <c r="CE218" t="str">
        <f>SUBSTITUTE(TRIM(MID(SUBSTITUTE(SUBSTITUTE(SUBSTITUTE(Tabla1[[#This Row],[map]],"[",""),"]",""),",",REPT(" ",100)),1,600))," ",", ")</f>
        <v>2, 3, 4, 0, 1, -1</v>
      </c>
      <c r="CF218" t="str">
        <f>SUBSTITUTE(TRIM(MID(SUBSTITUTE(SUBSTITUTE(SUBSTITUTE(Tabla1[[#This Row],[map]],"[",""),"]",""),",",REPT(" ",100)),601,600))," ",", ")</f>
        <v>1, 3, 0, 2, 4, -1</v>
      </c>
      <c r="CG218" t="str">
        <f>SUBSTITUTE(TRIM(MID(SUBSTITUTE(SUBSTITUTE(SUBSTITUTE(Tabla1[[#This Row],[map]],"[",""),"]",""),",",REPT(" ",100)),1201,600))," ",", ")</f>
        <v>0, 1, 2, 3, 4, -1</v>
      </c>
    </row>
    <row r="219" spans="1:85" x14ac:dyDescent="0.3">
      <c r="A219" s="1">
        <v>46106.12027777778</v>
      </c>
      <c r="B219" t="s">
        <v>431</v>
      </c>
      <c r="C219">
        <v>2</v>
      </c>
      <c r="D219" t="s">
        <v>96</v>
      </c>
      <c r="E219" t="s">
        <v>78</v>
      </c>
      <c r="F219">
        <v>16590</v>
      </c>
      <c r="G219">
        <v>4.5</v>
      </c>
      <c r="H219" t="s">
        <v>79</v>
      </c>
      <c r="I219" t="s">
        <v>80</v>
      </c>
      <c r="J219">
        <v>5</v>
      </c>
      <c r="K219">
        <v>5</v>
      </c>
      <c r="L219" t="s">
        <v>81</v>
      </c>
      <c r="M219" t="s">
        <v>82</v>
      </c>
      <c r="N219" t="s">
        <v>83</v>
      </c>
      <c r="O219" t="s">
        <v>83</v>
      </c>
      <c r="P219" t="s">
        <v>84</v>
      </c>
      <c r="Q219" t="s">
        <v>390</v>
      </c>
      <c r="R219">
        <v>3</v>
      </c>
      <c r="S219" t="s">
        <v>86</v>
      </c>
      <c r="T219" t="s">
        <v>87</v>
      </c>
      <c r="U219" t="s">
        <v>88</v>
      </c>
      <c r="V219">
        <v>1</v>
      </c>
      <c r="W219" t="s">
        <v>391</v>
      </c>
      <c r="X219" t="s">
        <v>83</v>
      </c>
      <c r="Y219" t="s">
        <v>90</v>
      </c>
      <c r="Z219">
        <v>4000</v>
      </c>
      <c r="AA219">
        <v>4000</v>
      </c>
      <c r="AC219">
        <v>256</v>
      </c>
      <c r="AD219" t="s">
        <v>91</v>
      </c>
      <c r="AE219">
        <v>0.15</v>
      </c>
      <c r="AF219" t="s">
        <v>92</v>
      </c>
      <c r="AG219">
        <v>180</v>
      </c>
      <c r="AH219">
        <v>60</v>
      </c>
      <c r="AI219">
        <v>120</v>
      </c>
      <c r="AJ219">
        <v>0.1175418062737594</v>
      </c>
      <c r="AK219">
        <v>16.974854142597518</v>
      </c>
      <c r="AL219">
        <v>0.67726041830936068</v>
      </c>
      <c r="AM219">
        <v>-0.29108343002593512</v>
      </c>
      <c r="AN219">
        <v>22.962539773336189</v>
      </c>
      <c r="AO219">
        <v>0.62202654945396751</v>
      </c>
      <c r="AP219">
        <v>22.962539773336189</v>
      </c>
      <c r="AQ219">
        <v>22.962539773336189</v>
      </c>
      <c r="AR219">
        <v>0.62202654945396751</v>
      </c>
      <c r="AS219">
        <v>119.59445750473439</v>
      </c>
      <c r="AT219">
        <v>-0.29729402609371369</v>
      </c>
      <c r="AU219">
        <v>0.8</v>
      </c>
      <c r="AV219" t="s">
        <v>93</v>
      </c>
      <c r="AW219">
        <v>6.438403802819187E-2</v>
      </c>
      <c r="AX219">
        <v>0.5324886380237932</v>
      </c>
      <c r="AY219">
        <v>6.438403802819187E-2</v>
      </c>
      <c r="AZ219">
        <v>6.438403802819187E-2</v>
      </c>
      <c r="BA219">
        <v>0.5324886380237932</v>
      </c>
      <c r="BB219">
        <v>0.14935327435164361</v>
      </c>
      <c r="BC219">
        <v>-8.4497879383846008E-2</v>
      </c>
      <c r="BD219">
        <v>7.675132180490081E-2</v>
      </c>
      <c r="BE219">
        <v>0.73407306264766348</v>
      </c>
      <c r="BF219">
        <v>7.675132180490081E-2</v>
      </c>
      <c r="BG219">
        <v>7.675132180490081E-2</v>
      </c>
      <c r="BH219">
        <v>0.73407306264766348</v>
      </c>
      <c r="BI219">
        <v>0.33775083123802607</v>
      </c>
      <c r="BJ219">
        <v>-0.1702344927380659</v>
      </c>
      <c r="BK219">
        <v>0.12897717119969679</v>
      </c>
      <c r="BL219">
        <v>0.48219745335814879</v>
      </c>
      <c r="BM219">
        <v>0.12897717119969679</v>
      </c>
      <c r="BN219">
        <v>0.12897717119969679</v>
      </c>
      <c r="BO219">
        <v>0.48219745335814879</v>
      </c>
      <c r="BP219">
        <v>0.39240933246650478</v>
      </c>
      <c r="BQ219">
        <v>-0.57539935003368003</v>
      </c>
      <c r="BR219">
        <v>91.580046562312319</v>
      </c>
      <c r="BS219">
        <v>0.73934704378626215</v>
      </c>
      <c r="BT219">
        <v>91.580046562312319</v>
      </c>
      <c r="BU219">
        <v>91.580046562312319</v>
      </c>
      <c r="BV219">
        <v>0.73934704378626215</v>
      </c>
      <c r="BW219">
        <v>477.49831658088118</v>
      </c>
      <c r="BX219">
        <v>-0.35904438221927237</v>
      </c>
      <c r="BY219" t="str">
        <f t="shared" si="8"/>
        <v>[[sv,wv],[yr],[ya]]</v>
      </c>
      <c r="BZ219" t="str">
        <f>SUBSTITUTE(TRIM(MID(SUBSTITUTE(SUBSTITUTE(SUBSTITUTE(Tabla1[[#This Row],[map]],"[",""),"]",""),",",REPT(" ",100)),901,200))," ",", ")</f>
        <v>2, 3</v>
      </c>
      <c r="CA219" t="str">
        <f>SUBSTITUTE(TRIM(MID(SUBSTITUTE(SUBSTITUTE(SUBSTITUTE(Tabla1[[#This Row],[map]],"[",""),"]",""),",",REPT(" ",100)),1501,200))," ",", ")</f>
        <v>3, 2</v>
      </c>
      <c r="CB219" t="str">
        <f>SUBSTITUTE(TRIM(MID(SUBSTITUTE(SUBSTITUTE(SUBSTITUTE(Tabla1[[#This Row],[map]],"[",""),"]",""),",",REPT(" ",100)),601,300))," ",", ")</f>
        <v>0, 1, 4</v>
      </c>
      <c r="CC219" t="str">
        <f>SUBSTITUTE(TRIM(MID(SUBSTITUTE(SUBSTITUTE(SUBSTITUTE(Tabla1[[#This Row],[map]],"[",""),"]",""),",",REPT(" ",100)),1201,300))," ",", ")</f>
        <v>1, 4, 0</v>
      </c>
      <c r="CD219" t="str">
        <f>SUBSTITUTE(TRIM(MID(SUBSTITUTE(SUBSTITUTE(SUBSTITUTE(Tabla1[[#This Row],[map]],"[",""),"]",""),",",REPT(" ",100)),1,300))," ",", ")</f>
        <v>2, 3, 4</v>
      </c>
      <c r="CE219" t="str">
        <f>SUBSTITUTE(TRIM(MID(SUBSTITUTE(SUBSTITUTE(SUBSTITUTE(Tabla1[[#This Row],[map]],"[",""),"]",""),",",REPT(" ",100)),1,600))," ",", ")</f>
        <v>2, 3, 4, 0, 1, -1</v>
      </c>
      <c r="CF219" t="str">
        <f>SUBSTITUTE(TRIM(MID(SUBSTITUTE(SUBSTITUTE(SUBSTITUTE(Tabla1[[#This Row],[map]],"[",""),"]",""),",",REPT(" ",100)),601,600))," ",", ")</f>
        <v>0, 1, 4, 2, 3, -1</v>
      </c>
      <c r="CG219" t="str">
        <f>SUBSTITUTE(TRIM(MID(SUBSTITUTE(SUBSTITUTE(SUBSTITUTE(Tabla1[[#This Row],[map]],"[",""),"]",""),",",REPT(" ",100)),1201,600))," ",", ")</f>
        <v>1, 4, 0, 3, 2, -1</v>
      </c>
    </row>
    <row r="220" spans="1:85" x14ac:dyDescent="0.3">
      <c r="A220" s="1">
        <v>46106.123287037037</v>
      </c>
      <c r="B220" t="s">
        <v>432</v>
      </c>
      <c r="C220">
        <v>3</v>
      </c>
      <c r="D220" t="s">
        <v>96</v>
      </c>
      <c r="E220" t="s">
        <v>78</v>
      </c>
      <c r="F220">
        <v>16590</v>
      </c>
      <c r="G220">
        <v>4.5</v>
      </c>
      <c r="H220" t="s">
        <v>79</v>
      </c>
      <c r="I220" t="s">
        <v>80</v>
      </c>
      <c r="J220">
        <v>5</v>
      </c>
      <c r="K220">
        <v>5</v>
      </c>
      <c r="L220" t="s">
        <v>81</v>
      </c>
      <c r="M220" t="s">
        <v>82</v>
      </c>
      <c r="N220" t="s">
        <v>83</v>
      </c>
      <c r="O220" t="s">
        <v>83</v>
      </c>
      <c r="P220" t="s">
        <v>84</v>
      </c>
      <c r="Q220" t="s">
        <v>390</v>
      </c>
      <c r="R220">
        <v>3</v>
      </c>
      <c r="S220" t="s">
        <v>86</v>
      </c>
      <c r="T220" t="s">
        <v>87</v>
      </c>
      <c r="U220" t="s">
        <v>88</v>
      </c>
      <c r="V220">
        <v>1</v>
      </c>
      <c r="W220" t="s">
        <v>391</v>
      </c>
      <c r="X220" t="s">
        <v>83</v>
      </c>
      <c r="Y220" t="s">
        <v>90</v>
      </c>
      <c r="Z220">
        <v>4000</v>
      </c>
      <c r="AA220">
        <v>4000</v>
      </c>
      <c r="AC220">
        <v>256</v>
      </c>
      <c r="AD220" t="s">
        <v>91</v>
      </c>
      <c r="AE220">
        <v>0.15</v>
      </c>
      <c r="AF220" t="s">
        <v>92</v>
      </c>
      <c r="AG220">
        <v>180</v>
      </c>
      <c r="AH220">
        <v>60</v>
      </c>
      <c r="AI220">
        <v>120</v>
      </c>
      <c r="AJ220">
        <v>0.10526266712728249</v>
      </c>
      <c r="AK220">
        <v>20.80416325294917</v>
      </c>
      <c r="AL220">
        <v>0.74533265921948111</v>
      </c>
      <c r="AM220">
        <v>-1.241587581040863</v>
      </c>
      <c r="AN220">
        <v>25.975265977805229</v>
      </c>
      <c r="AO220">
        <v>0.69765416130046776</v>
      </c>
      <c r="AP220">
        <v>25.975265977805229</v>
      </c>
      <c r="AQ220">
        <v>25.975265977805229</v>
      </c>
      <c r="AR220">
        <v>0.69765416130046776</v>
      </c>
      <c r="AS220">
        <v>165.19802542943989</v>
      </c>
      <c r="AT220">
        <v>-1.310786737178312</v>
      </c>
      <c r="AU220">
        <v>0.8</v>
      </c>
      <c r="AV220" t="s">
        <v>93</v>
      </c>
      <c r="AW220">
        <v>5.7277745213187903E-2</v>
      </c>
      <c r="AX220">
        <v>0.58408951200267456</v>
      </c>
      <c r="AY220">
        <v>5.7277745213187903E-2</v>
      </c>
      <c r="AZ220">
        <v>5.7277745213187903E-2</v>
      </c>
      <c r="BA220">
        <v>0.58408951200267456</v>
      </c>
      <c r="BB220">
        <v>0.16540034943177151</v>
      </c>
      <c r="BC220">
        <v>-0.20102039266827301</v>
      </c>
      <c r="BD220">
        <v>5.7008747720012562E-2</v>
      </c>
      <c r="BE220">
        <v>0.80247686519312922</v>
      </c>
      <c r="BF220">
        <v>5.7008747720012562E-2</v>
      </c>
      <c r="BG220">
        <v>5.7008747720012562E-2</v>
      </c>
      <c r="BH220">
        <v>0.80247686519312922</v>
      </c>
      <c r="BI220">
        <v>0.95132563273020876</v>
      </c>
      <c r="BJ220">
        <v>-2.296140131368583</v>
      </c>
      <c r="BK220">
        <v>7.4916859501824362E-2</v>
      </c>
      <c r="BL220">
        <v>0.69923250544554039</v>
      </c>
      <c r="BM220">
        <v>7.4916859501824362E-2</v>
      </c>
      <c r="BN220">
        <v>7.4916859501824362E-2</v>
      </c>
      <c r="BO220">
        <v>0.69923250544554039</v>
      </c>
      <c r="BP220">
        <v>0.71499256946448098</v>
      </c>
      <c r="BQ220">
        <v>-1.870469012888222</v>
      </c>
      <c r="BR220">
        <v>103.7118605587859</v>
      </c>
      <c r="BS220">
        <v>0.70481776256052653</v>
      </c>
      <c r="BT220">
        <v>103.7118605587859</v>
      </c>
      <c r="BU220">
        <v>103.7118605587859</v>
      </c>
      <c r="BV220">
        <v>0.70481776256052653</v>
      </c>
      <c r="BW220">
        <v>658.96038316613181</v>
      </c>
      <c r="BX220">
        <v>-0.87551741178818676</v>
      </c>
      <c r="BY220" t="str">
        <f t="shared" si="8"/>
        <v>[[sv,wv],[yr],[ya]]</v>
      </c>
      <c r="BZ220" t="str">
        <f>SUBSTITUTE(TRIM(MID(SUBSTITUTE(SUBSTITUTE(SUBSTITUTE(Tabla1[[#This Row],[map]],"[",""),"]",""),",",REPT(" ",100)),901,200))," ",", ")</f>
        <v>2, 3</v>
      </c>
      <c r="CA220" t="str">
        <f>SUBSTITUTE(TRIM(MID(SUBSTITUTE(SUBSTITUTE(SUBSTITUTE(Tabla1[[#This Row],[map]],"[",""),"]",""),",",REPT(" ",100)),1501,200))," ",", ")</f>
        <v>3, 2</v>
      </c>
      <c r="CB220" t="str">
        <f>SUBSTITUTE(TRIM(MID(SUBSTITUTE(SUBSTITUTE(SUBSTITUTE(Tabla1[[#This Row],[map]],"[",""),"]",""),",",REPT(" ",100)),601,300))," ",", ")</f>
        <v>0, 1, 4</v>
      </c>
      <c r="CC220" t="str">
        <f>SUBSTITUTE(TRIM(MID(SUBSTITUTE(SUBSTITUTE(SUBSTITUTE(Tabla1[[#This Row],[map]],"[",""),"]",""),",",REPT(" ",100)),1201,300))," ",", ")</f>
        <v>1, 4, 0</v>
      </c>
      <c r="CD220" t="str">
        <f>SUBSTITUTE(TRIM(MID(SUBSTITUTE(SUBSTITUTE(SUBSTITUTE(Tabla1[[#This Row],[map]],"[",""),"]",""),",",REPT(" ",100)),1,300))," ",", ")</f>
        <v>2, 3, 4</v>
      </c>
      <c r="CE220" t="str">
        <f>SUBSTITUTE(TRIM(MID(SUBSTITUTE(SUBSTITUTE(SUBSTITUTE(Tabla1[[#This Row],[map]],"[",""),"]",""),",",REPT(" ",100)),1,600))," ",", ")</f>
        <v>2, 3, 4, 0, 1, -1</v>
      </c>
      <c r="CF220" t="str">
        <f>SUBSTITUTE(TRIM(MID(SUBSTITUTE(SUBSTITUTE(SUBSTITUTE(Tabla1[[#This Row],[map]],"[",""),"]",""),",",REPT(" ",100)),601,600))," ",", ")</f>
        <v>0, 1, 4, 2, 3, -1</v>
      </c>
      <c r="CG220" t="str">
        <f>SUBSTITUTE(TRIM(MID(SUBSTITUTE(SUBSTITUTE(SUBSTITUTE(Tabla1[[#This Row],[map]],"[",""),"]",""),",",REPT(" ",100)),1201,600))," ",", ")</f>
        <v>1, 4, 0, 3, 2, -1</v>
      </c>
    </row>
    <row r="221" spans="1:85" x14ac:dyDescent="0.3">
      <c r="A221" s="1">
        <v>46106.222025462957</v>
      </c>
      <c r="B221" t="s">
        <v>433</v>
      </c>
      <c r="C221">
        <v>1</v>
      </c>
      <c r="D221" t="s">
        <v>77</v>
      </c>
      <c r="E221" t="s">
        <v>78</v>
      </c>
      <c r="F221">
        <v>16590</v>
      </c>
      <c r="G221">
        <v>4.5</v>
      </c>
      <c r="H221" t="s">
        <v>79</v>
      </c>
      <c r="I221" t="s">
        <v>80</v>
      </c>
      <c r="J221">
        <v>5</v>
      </c>
      <c r="K221">
        <v>5</v>
      </c>
      <c r="L221" t="s">
        <v>81</v>
      </c>
      <c r="M221" t="s">
        <v>82</v>
      </c>
      <c r="N221" t="s">
        <v>83</v>
      </c>
      <c r="O221" t="s">
        <v>83</v>
      </c>
      <c r="P221" t="s">
        <v>84</v>
      </c>
      <c r="Q221" t="s">
        <v>416</v>
      </c>
      <c r="R221">
        <v>3</v>
      </c>
      <c r="S221" t="s">
        <v>86</v>
      </c>
      <c r="T221" t="s">
        <v>87</v>
      </c>
      <c r="U221" t="s">
        <v>88</v>
      </c>
      <c r="V221">
        <v>1</v>
      </c>
      <c r="W221" t="s">
        <v>417</v>
      </c>
      <c r="X221" t="s">
        <v>83</v>
      </c>
      <c r="Y221" t="s">
        <v>90</v>
      </c>
      <c r="Z221">
        <v>4000</v>
      </c>
      <c r="AA221">
        <v>4000</v>
      </c>
      <c r="AC221">
        <v>256</v>
      </c>
      <c r="AD221" t="s">
        <v>91</v>
      </c>
      <c r="AE221">
        <v>0.15</v>
      </c>
      <c r="AF221" t="s">
        <v>92</v>
      </c>
      <c r="AG221">
        <v>180</v>
      </c>
      <c r="AH221">
        <v>60</v>
      </c>
      <c r="AI221">
        <v>120</v>
      </c>
      <c r="AJ221">
        <v>0.1064378035598636</v>
      </c>
      <c r="AK221">
        <v>17.456663467486049</v>
      </c>
      <c r="AL221">
        <v>0.7464789701540081</v>
      </c>
      <c r="AM221">
        <v>-5.1717134976084073E-2</v>
      </c>
      <c r="AN221">
        <v>24.55567067157499</v>
      </c>
      <c r="AO221">
        <v>0.67817481102443478</v>
      </c>
      <c r="AP221">
        <v>24.55567067157499</v>
      </c>
      <c r="AQ221">
        <v>24.55567067157499</v>
      </c>
      <c r="AR221">
        <v>0.67817481102443478</v>
      </c>
      <c r="AS221">
        <v>92.724728415241515</v>
      </c>
      <c r="AT221">
        <v>-6.6707600267529477E-2</v>
      </c>
      <c r="AU221">
        <v>0.8</v>
      </c>
      <c r="AV221" t="s">
        <v>93</v>
      </c>
      <c r="AW221">
        <v>6.2932533945993713E-2</v>
      </c>
      <c r="AX221">
        <v>0.54302843439514459</v>
      </c>
      <c r="AY221">
        <v>6.2932533945993713E-2</v>
      </c>
      <c r="AZ221">
        <v>6.2932533945993713E-2</v>
      </c>
      <c r="BA221">
        <v>0.54302843439514459</v>
      </c>
      <c r="BB221">
        <v>0.2427779046066679</v>
      </c>
      <c r="BC221">
        <v>-0.76288148920845855</v>
      </c>
      <c r="BD221">
        <v>9.0914637985058472E-2</v>
      </c>
      <c r="BE221">
        <v>0.68500019711296689</v>
      </c>
      <c r="BF221">
        <v>9.0914637985058472E-2</v>
      </c>
      <c r="BG221">
        <v>9.0914637985058472E-2</v>
      </c>
      <c r="BH221">
        <v>0.68500019711296689</v>
      </c>
      <c r="BI221">
        <v>0.2133127181043134</v>
      </c>
      <c r="BJ221">
        <v>0.26091699152782188</v>
      </c>
      <c r="BK221">
        <v>5.8877806669206598E-2</v>
      </c>
      <c r="BL221">
        <v>0.76362422938553787</v>
      </c>
      <c r="BM221">
        <v>5.8877806669206598E-2</v>
      </c>
      <c r="BN221">
        <v>5.8877806669206598E-2</v>
      </c>
      <c r="BO221">
        <v>0.76362422938553787</v>
      </c>
      <c r="BP221">
        <v>0.17710595796376349</v>
      </c>
      <c r="BQ221">
        <v>0.28897559772735221</v>
      </c>
      <c r="BR221">
        <v>98.009957707699769</v>
      </c>
      <c r="BS221">
        <v>0.72104638320408454</v>
      </c>
      <c r="BT221">
        <v>98.009957707699769</v>
      </c>
      <c r="BU221">
        <v>98.009957707699769</v>
      </c>
      <c r="BV221">
        <v>0.72104638320408454</v>
      </c>
      <c r="BW221">
        <v>370.26571708028979</v>
      </c>
      <c r="BX221">
        <v>-5.3841501116836721E-2</v>
      </c>
      <c r="BY221" t="str">
        <f t="shared" si="8"/>
        <v>[[sv,wv],[yr],[ya]]</v>
      </c>
      <c r="BZ221" t="str">
        <f>SUBSTITUTE(TRIM(MID(SUBSTITUTE(SUBSTITUTE(SUBSTITUTE(Tabla1[[#This Row],[map]],"[",""),"]",""),",",REPT(" ",100)),901,200))," ",", ")</f>
        <v>2, 4</v>
      </c>
      <c r="CA221" t="str">
        <f>SUBSTITUTE(TRIM(MID(SUBSTITUTE(SUBSTITUTE(SUBSTITUTE(Tabla1[[#This Row],[map]],"[",""),"]",""),",",REPT(" ",100)),1501,200))," ",", ")</f>
        <v>3, 4</v>
      </c>
      <c r="CB221" t="str">
        <f>SUBSTITUTE(TRIM(MID(SUBSTITUTE(SUBSTITUTE(SUBSTITUTE(Tabla1[[#This Row],[map]],"[",""),"]",""),",",REPT(" ",100)),601,300))," ",", ")</f>
        <v>0, 1, 3</v>
      </c>
      <c r="CC221" t="str">
        <f>SUBSTITUTE(TRIM(MID(SUBSTITUTE(SUBSTITUTE(SUBSTITUTE(Tabla1[[#This Row],[map]],"[",""),"]",""),",",REPT(" ",100)),1201,300))," ",", ")</f>
        <v>1, 2, 0</v>
      </c>
      <c r="CD221" t="str">
        <f>SUBSTITUTE(TRIM(MID(SUBSTITUTE(SUBSTITUTE(SUBSTITUTE(Tabla1[[#This Row],[map]],"[",""),"]",""),",",REPT(" ",100)),1,300))," ",", ")</f>
        <v>2, 3, 4</v>
      </c>
      <c r="CE221" t="str">
        <f>SUBSTITUTE(TRIM(MID(SUBSTITUTE(SUBSTITUTE(SUBSTITUTE(Tabla1[[#This Row],[map]],"[",""),"]",""),",",REPT(" ",100)),1,600))," ",", ")</f>
        <v>2, 3, 4, 0, 1, -1</v>
      </c>
      <c r="CF221" t="str">
        <f>SUBSTITUTE(TRIM(MID(SUBSTITUTE(SUBSTITUTE(SUBSTITUTE(Tabla1[[#This Row],[map]],"[",""),"]",""),",",REPT(" ",100)),601,600))," ",", ")</f>
        <v>0, 1, 3, 2, 4, -1</v>
      </c>
      <c r="CG221" t="str">
        <f>SUBSTITUTE(TRIM(MID(SUBSTITUTE(SUBSTITUTE(SUBSTITUTE(Tabla1[[#This Row],[map]],"[",""),"]",""),",",REPT(" ",100)),1201,600))," ",", ")</f>
        <v>1, 2, 0, 3, 4, -1</v>
      </c>
    </row>
    <row r="222" spans="1:85" x14ac:dyDescent="0.3">
      <c r="A222" s="1">
        <v>46106.222384259258</v>
      </c>
      <c r="B222" t="s">
        <v>434</v>
      </c>
      <c r="C222">
        <v>0</v>
      </c>
      <c r="D222" t="s">
        <v>77</v>
      </c>
      <c r="E222" t="s">
        <v>78</v>
      </c>
      <c r="F222">
        <v>16590</v>
      </c>
      <c r="G222">
        <v>4.5</v>
      </c>
      <c r="H222" t="s">
        <v>79</v>
      </c>
      <c r="I222" t="s">
        <v>80</v>
      </c>
      <c r="J222">
        <v>5</v>
      </c>
      <c r="K222">
        <v>5</v>
      </c>
      <c r="L222" t="s">
        <v>81</v>
      </c>
      <c r="M222" t="s">
        <v>82</v>
      </c>
      <c r="N222" t="s">
        <v>83</v>
      </c>
      <c r="O222" t="s">
        <v>83</v>
      </c>
      <c r="P222" t="s">
        <v>84</v>
      </c>
      <c r="Q222" t="s">
        <v>435</v>
      </c>
      <c r="R222">
        <v>3</v>
      </c>
      <c r="S222" t="s">
        <v>86</v>
      </c>
      <c r="T222" t="s">
        <v>87</v>
      </c>
      <c r="U222" t="s">
        <v>88</v>
      </c>
      <c r="V222">
        <v>1</v>
      </c>
      <c r="W222" t="s">
        <v>436</v>
      </c>
      <c r="X222" t="s">
        <v>83</v>
      </c>
      <c r="Y222" t="s">
        <v>90</v>
      </c>
      <c r="Z222">
        <v>4000</v>
      </c>
      <c r="AA222">
        <v>4000</v>
      </c>
      <c r="AC222">
        <v>256</v>
      </c>
      <c r="AD222" t="s">
        <v>91</v>
      </c>
      <c r="AE222">
        <v>0.15</v>
      </c>
      <c r="AF222" t="s">
        <v>92</v>
      </c>
      <c r="AG222">
        <v>180</v>
      </c>
      <c r="AH222">
        <v>60</v>
      </c>
      <c r="AI222">
        <v>120</v>
      </c>
      <c r="AJ222">
        <v>9.9511531057376729E-2</v>
      </c>
      <c r="AK222">
        <v>19.38067765263181</v>
      </c>
      <c r="AL222">
        <v>0.76487671131364676</v>
      </c>
      <c r="AM222">
        <v>-0.32116900812666033</v>
      </c>
      <c r="AN222">
        <v>26.616706688922399</v>
      </c>
      <c r="AO222">
        <v>0.69925639623241809</v>
      </c>
      <c r="AP222">
        <v>26.616706688922399</v>
      </c>
      <c r="AQ222">
        <v>26.616706688922399</v>
      </c>
      <c r="AR222">
        <v>0.69925639623241809</v>
      </c>
      <c r="AS222">
        <v>132.1365619851625</v>
      </c>
      <c r="AT222">
        <v>-0.306749415722751</v>
      </c>
      <c r="AU222">
        <v>0.8</v>
      </c>
      <c r="AV222" t="s">
        <v>93</v>
      </c>
      <c r="AW222">
        <v>6.5214781371883496E-2</v>
      </c>
      <c r="AX222">
        <v>0.52645636723189482</v>
      </c>
      <c r="AY222">
        <v>6.5214781371883496E-2</v>
      </c>
      <c r="AZ222">
        <v>6.5214781371883496E-2</v>
      </c>
      <c r="BA222">
        <v>0.52645636723189482</v>
      </c>
      <c r="BB222">
        <v>0.12750993134463889</v>
      </c>
      <c r="BC222">
        <v>7.4113033383798044E-2</v>
      </c>
      <c r="BD222">
        <v>5.0482336289180023E-2</v>
      </c>
      <c r="BE222">
        <v>0.82508948687688721</v>
      </c>
      <c r="BF222">
        <v>5.0482336289180023E-2</v>
      </c>
      <c r="BG222">
        <v>5.0482336289180023E-2</v>
      </c>
      <c r="BH222">
        <v>0.82508948687688721</v>
      </c>
      <c r="BI222">
        <v>0.3837990185856649</v>
      </c>
      <c r="BJ222">
        <v>-0.3297816268331859</v>
      </c>
      <c r="BK222">
        <v>6.2770789026558749E-2</v>
      </c>
      <c r="BL222">
        <v>0.74799513657850414</v>
      </c>
      <c r="BM222">
        <v>6.2770789026558749E-2</v>
      </c>
      <c r="BN222">
        <v>6.2770789026558749E-2</v>
      </c>
      <c r="BO222">
        <v>0.74799513657850414</v>
      </c>
      <c r="BP222">
        <v>0.36602891898820988</v>
      </c>
      <c r="BQ222">
        <v>-0.46949033409335961</v>
      </c>
      <c r="BR222">
        <v>106.2883588490019</v>
      </c>
      <c r="BS222">
        <v>0.69748459424238773</v>
      </c>
      <c r="BT222">
        <v>106.2883588490019</v>
      </c>
      <c r="BU222">
        <v>106.2883588490019</v>
      </c>
      <c r="BV222">
        <v>0.69748459424238773</v>
      </c>
      <c r="BW222">
        <v>527.66891007173103</v>
      </c>
      <c r="BX222">
        <v>-0.5018387353482574</v>
      </c>
      <c r="BY222" t="str">
        <f t="shared" si="8"/>
        <v>[[sv,wv],[yr],[ya]]</v>
      </c>
      <c r="BZ222" t="str">
        <f>SUBSTITUTE(TRIM(MID(SUBSTITUTE(SUBSTITUTE(SUBSTITUTE(Tabla1[[#This Row],[map]],"[",""),"]",""),",",REPT(" ",100)),901,200))," ",", ")</f>
        <v>2, 4</v>
      </c>
      <c r="CA222" t="str">
        <f>SUBSTITUTE(TRIM(MID(SUBSTITUTE(SUBSTITUTE(SUBSTITUTE(Tabla1[[#This Row],[map]],"[",""),"]",""),",",REPT(" ",100)),1501,200))," ",", ")</f>
        <v>3, 4</v>
      </c>
      <c r="CB222" t="str">
        <f>SUBSTITUTE(TRIM(MID(SUBSTITUTE(SUBSTITUTE(SUBSTITUTE(Tabla1[[#This Row],[map]],"[",""),"]",""),",",REPT(" ",100)),601,300))," ",", ")</f>
        <v>1, 3, 0</v>
      </c>
      <c r="CC222" t="str">
        <f>SUBSTITUTE(TRIM(MID(SUBSTITUTE(SUBSTITUTE(SUBSTITUTE(Tabla1[[#This Row],[map]],"[",""),"]",""),",",REPT(" ",100)),1201,300))," ",", ")</f>
        <v>1, 2, 0</v>
      </c>
      <c r="CD222" t="str">
        <f>SUBSTITUTE(TRIM(MID(SUBSTITUTE(SUBSTITUTE(SUBSTITUTE(Tabla1[[#This Row],[map]],"[",""),"]",""),",",REPT(" ",100)),1,300))," ",", ")</f>
        <v>2, 3, 4</v>
      </c>
      <c r="CE222" t="str">
        <f>SUBSTITUTE(TRIM(MID(SUBSTITUTE(SUBSTITUTE(SUBSTITUTE(Tabla1[[#This Row],[map]],"[",""),"]",""),",",REPT(" ",100)),1,600))," ",", ")</f>
        <v>2, 3, 4, 0, 1, -1</v>
      </c>
      <c r="CF222" t="str">
        <f>SUBSTITUTE(TRIM(MID(SUBSTITUTE(SUBSTITUTE(SUBSTITUTE(Tabla1[[#This Row],[map]],"[",""),"]",""),",",REPT(" ",100)),601,600))," ",", ")</f>
        <v>1, 3, 0, 2, 4, -1</v>
      </c>
      <c r="CG222" t="str">
        <f>SUBSTITUTE(TRIM(MID(SUBSTITUTE(SUBSTITUTE(SUBSTITUTE(Tabla1[[#This Row],[map]],"[",""),"]",""),",",REPT(" ",100)),1201,600))," ",", ")</f>
        <v>1, 2, 0, 3, 4, -1</v>
      </c>
    </row>
    <row r="223" spans="1:85" x14ac:dyDescent="0.3">
      <c r="A223" s="1">
        <v>46106.256296296298</v>
      </c>
      <c r="B223" t="s">
        <v>437</v>
      </c>
      <c r="C223">
        <v>3</v>
      </c>
      <c r="D223" t="s">
        <v>77</v>
      </c>
      <c r="E223" t="s">
        <v>78</v>
      </c>
      <c r="F223">
        <v>16590</v>
      </c>
      <c r="G223">
        <v>4.5</v>
      </c>
      <c r="H223" t="s">
        <v>79</v>
      </c>
      <c r="I223" t="s">
        <v>80</v>
      </c>
      <c r="J223">
        <v>5</v>
      </c>
      <c r="K223">
        <v>5</v>
      </c>
      <c r="L223" t="s">
        <v>81</v>
      </c>
      <c r="M223" t="s">
        <v>82</v>
      </c>
      <c r="N223" t="s">
        <v>83</v>
      </c>
      <c r="O223" t="s">
        <v>83</v>
      </c>
      <c r="P223" t="s">
        <v>84</v>
      </c>
      <c r="Q223" t="s">
        <v>393</v>
      </c>
      <c r="R223">
        <v>3</v>
      </c>
      <c r="S223" t="s">
        <v>86</v>
      </c>
      <c r="T223" t="s">
        <v>87</v>
      </c>
      <c r="U223" t="s">
        <v>88</v>
      </c>
      <c r="V223">
        <v>1</v>
      </c>
      <c r="W223" t="s">
        <v>394</v>
      </c>
      <c r="X223" t="s">
        <v>83</v>
      </c>
      <c r="Y223" t="s">
        <v>90</v>
      </c>
      <c r="Z223">
        <v>4000</v>
      </c>
      <c r="AA223">
        <v>4000</v>
      </c>
      <c r="AC223">
        <v>256</v>
      </c>
      <c r="AD223" t="s">
        <v>91</v>
      </c>
      <c r="AE223">
        <v>0.15</v>
      </c>
      <c r="AF223" t="s">
        <v>92</v>
      </c>
      <c r="AG223">
        <v>180</v>
      </c>
      <c r="AH223">
        <v>60</v>
      </c>
      <c r="AI223">
        <v>120</v>
      </c>
      <c r="AJ223">
        <v>0.10802788253539231</v>
      </c>
      <c r="AK223">
        <v>16.513774669559531</v>
      </c>
      <c r="AL223">
        <v>0.74344396863945095</v>
      </c>
      <c r="AM223">
        <v>-0.52276811563497916</v>
      </c>
      <c r="AN223">
        <v>22.17171110568124</v>
      </c>
      <c r="AO223">
        <v>0.69281273005672828</v>
      </c>
      <c r="AP223">
        <v>22.17171110568124</v>
      </c>
      <c r="AQ223">
        <v>22.17171110568124</v>
      </c>
      <c r="AR223">
        <v>0.69281273005672828</v>
      </c>
      <c r="AS223">
        <v>137.52187849674951</v>
      </c>
      <c r="AT223">
        <v>-0.63754437364173233</v>
      </c>
      <c r="AU223">
        <v>0.8</v>
      </c>
      <c r="AV223" t="s">
        <v>93</v>
      </c>
      <c r="AW223">
        <v>6.403796604244788E-2</v>
      </c>
      <c r="AX223">
        <v>0.5350015680970226</v>
      </c>
      <c r="AY223">
        <v>6.403796604244788E-2</v>
      </c>
      <c r="AZ223">
        <v>6.403796604244788E-2</v>
      </c>
      <c r="BA223">
        <v>0.5350015680970226</v>
      </c>
      <c r="BB223">
        <v>0.1437542286950747</v>
      </c>
      <c r="BC223">
        <v>-4.3841568583281809E-2</v>
      </c>
      <c r="BD223">
        <v>6.481501202474832E-2</v>
      </c>
      <c r="BE223">
        <v>0.77542982665484717</v>
      </c>
      <c r="BF223">
        <v>6.481501202474832E-2</v>
      </c>
      <c r="BG223">
        <v>6.481501202474832E-2</v>
      </c>
      <c r="BH223">
        <v>0.77542982665484717</v>
      </c>
      <c r="BI223">
        <v>0.59744960757288401</v>
      </c>
      <c r="BJ223">
        <v>-1.0700352857514901</v>
      </c>
      <c r="BK223">
        <v>7.1570400930122249E-2</v>
      </c>
      <c r="BL223">
        <v>0.71266747811970366</v>
      </c>
      <c r="BM223">
        <v>7.1570400930122249E-2</v>
      </c>
      <c r="BN223">
        <v>7.1570400930122249E-2</v>
      </c>
      <c r="BO223">
        <v>0.71266747811970366</v>
      </c>
      <c r="BP223">
        <v>0.46680958358636238</v>
      </c>
      <c r="BQ223">
        <v>-0.87409282533875854</v>
      </c>
      <c r="BR223">
        <v>88.486421043727475</v>
      </c>
      <c r="BS223">
        <v>0.74815204735533913</v>
      </c>
      <c r="BT223">
        <v>88.486421043727475</v>
      </c>
      <c r="BU223">
        <v>88.486421043727475</v>
      </c>
      <c r="BV223">
        <v>0.74815204735533913</v>
      </c>
      <c r="BW223">
        <v>548.87950056714351</v>
      </c>
      <c r="BX223">
        <v>-0.56220781489340177</v>
      </c>
      <c r="BY223" t="str">
        <f t="shared" si="8"/>
        <v>[[sv,wv],[yr],[ya]]</v>
      </c>
      <c r="BZ223" t="str">
        <f>SUBSTITUTE(TRIM(MID(SUBSTITUTE(SUBSTITUTE(SUBSTITUTE(Tabla1[[#This Row],[map]],"[",""),"]",""),",",REPT(" ",100)),901,200))," ",", ")</f>
        <v>2, 3</v>
      </c>
      <c r="CA223" t="str">
        <f>SUBSTITUTE(TRIM(MID(SUBSTITUTE(SUBSTITUTE(SUBSTITUTE(Tabla1[[#This Row],[map]],"[",""),"]",""),",",REPT(" ",100)),1501,200))," ",", ")</f>
        <v>3, 4</v>
      </c>
      <c r="CB223" t="str">
        <f>SUBSTITUTE(TRIM(MID(SUBSTITUTE(SUBSTITUTE(SUBSTITUTE(Tabla1[[#This Row],[map]],"[",""),"]",""),",",REPT(" ",100)),601,300))," ",", ")</f>
        <v>0, 1, 4</v>
      </c>
      <c r="CC223" t="str">
        <f>SUBSTITUTE(TRIM(MID(SUBSTITUTE(SUBSTITUTE(SUBSTITUTE(Tabla1[[#This Row],[map]],"[",""),"]",""),",",REPT(" ",100)),1201,300))," ",", ")</f>
        <v>1, 2, 0</v>
      </c>
      <c r="CD223" t="str">
        <f>SUBSTITUTE(TRIM(MID(SUBSTITUTE(SUBSTITUTE(SUBSTITUTE(Tabla1[[#This Row],[map]],"[",""),"]",""),",",REPT(" ",100)),1,300))," ",", ")</f>
        <v>2, 3, 4</v>
      </c>
      <c r="CE223" t="str">
        <f>SUBSTITUTE(TRIM(MID(SUBSTITUTE(SUBSTITUTE(SUBSTITUTE(Tabla1[[#This Row],[map]],"[",""),"]",""),",",REPT(" ",100)),1,600))," ",", ")</f>
        <v>2, 3, 4, 0, 1, -1</v>
      </c>
      <c r="CF223" t="str">
        <f>SUBSTITUTE(TRIM(MID(SUBSTITUTE(SUBSTITUTE(SUBSTITUTE(Tabla1[[#This Row],[map]],"[",""),"]",""),",",REPT(" ",100)),601,600))," ",", ")</f>
        <v>0, 1, 4, 2, 3, -1</v>
      </c>
      <c r="CG223" t="str">
        <f>SUBSTITUTE(TRIM(MID(SUBSTITUTE(SUBSTITUTE(SUBSTITUTE(Tabla1[[#This Row],[map]],"[",""),"]",""),",",REPT(" ",100)),1201,600))," ",", ")</f>
        <v>1, 2, 0, 3, 4, -1</v>
      </c>
    </row>
    <row r="224" spans="1:85" x14ac:dyDescent="0.3">
      <c r="A224" s="1">
        <v>46106.25445601852</v>
      </c>
      <c r="B224" t="s">
        <v>438</v>
      </c>
      <c r="C224">
        <v>2</v>
      </c>
      <c r="D224" t="s">
        <v>77</v>
      </c>
      <c r="E224" t="s">
        <v>78</v>
      </c>
      <c r="F224">
        <v>16590</v>
      </c>
      <c r="G224">
        <v>4.5</v>
      </c>
      <c r="H224" t="s">
        <v>79</v>
      </c>
      <c r="I224" t="s">
        <v>80</v>
      </c>
      <c r="J224">
        <v>5</v>
      </c>
      <c r="K224">
        <v>5</v>
      </c>
      <c r="L224" t="s">
        <v>81</v>
      </c>
      <c r="M224" t="s">
        <v>82</v>
      </c>
      <c r="N224" t="s">
        <v>83</v>
      </c>
      <c r="O224" t="s">
        <v>83</v>
      </c>
      <c r="P224" t="s">
        <v>84</v>
      </c>
      <c r="Q224" t="s">
        <v>393</v>
      </c>
      <c r="R224">
        <v>3</v>
      </c>
      <c r="S224" t="s">
        <v>86</v>
      </c>
      <c r="T224" t="s">
        <v>87</v>
      </c>
      <c r="U224" t="s">
        <v>88</v>
      </c>
      <c r="V224">
        <v>1</v>
      </c>
      <c r="W224" t="s">
        <v>394</v>
      </c>
      <c r="X224" t="s">
        <v>83</v>
      </c>
      <c r="Y224" t="s">
        <v>90</v>
      </c>
      <c r="Z224">
        <v>4000</v>
      </c>
      <c r="AA224">
        <v>4000</v>
      </c>
      <c r="AC224">
        <v>256</v>
      </c>
      <c r="AD224" t="s">
        <v>91</v>
      </c>
      <c r="AE224">
        <v>0.15</v>
      </c>
      <c r="AF224" t="s">
        <v>92</v>
      </c>
      <c r="AG224">
        <v>180</v>
      </c>
      <c r="AH224">
        <v>60</v>
      </c>
      <c r="AI224">
        <v>120</v>
      </c>
      <c r="AJ224">
        <v>0.11793301666965721</v>
      </c>
      <c r="AK224">
        <v>18.279961359396118</v>
      </c>
      <c r="AL224">
        <v>0.69132907859295889</v>
      </c>
      <c r="AM224">
        <v>-0.2362365711369393</v>
      </c>
      <c r="AN224">
        <v>25.199762940146439</v>
      </c>
      <c r="AO224">
        <v>0.61473513248503897</v>
      </c>
      <c r="AP224">
        <v>25.199762940146439</v>
      </c>
      <c r="AQ224">
        <v>25.199762940146439</v>
      </c>
      <c r="AR224">
        <v>0.61473513248503897</v>
      </c>
      <c r="AS224">
        <v>125.443265288457</v>
      </c>
      <c r="AT224">
        <v>-0.23023758668676131</v>
      </c>
      <c r="AU224">
        <v>0.8</v>
      </c>
      <c r="AV224" t="s">
        <v>93</v>
      </c>
      <c r="AW224">
        <v>6.0570701421396721E-2</v>
      </c>
      <c r="AX224">
        <v>0.56017839227524147</v>
      </c>
      <c r="AY224">
        <v>6.0570701421396721E-2</v>
      </c>
      <c r="AZ224">
        <v>6.0570701421396721E-2</v>
      </c>
      <c r="BA224">
        <v>0.56017839227524147</v>
      </c>
      <c r="BB224">
        <v>0.15876002182448751</v>
      </c>
      <c r="BC224">
        <v>-0.15280302857113129</v>
      </c>
      <c r="BD224">
        <v>7.7952040741526785E-2</v>
      </c>
      <c r="BE224">
        <v>0.7299128279842193</v>
      </c>
      <c r="BF224">
        <v>7.7952040741526785E-2</v>
      </c>
      <c r="BG224">
        <v>7.7952040741526785E-2</v>
      </c>
      <c r="BH224">
        <v>0.7299128279842193</v>
      </c>
      <c r="BI224">
        <v>0.31847755533717059</v>
      </c>
      <c r="BJ224">
        <v>-0.10345670816662381</v>
      </c>
      <c r="BK224">
        <v>0.13576150015288871</v>
      </c>
      <c r="BL224">
        <v>0.45496051850725427</v>
      </c>
      <c r="BM224">
        <v>0.13576150015288871</v>
      </c>
      <c r="BN224">
        <v>0.13576150015288871</v>
      </c>
      <c r="BO224">
        <v>0.45496051850725427</v>
      </c>
      <c r="BP224">
        <v>0.30856541949483379</v>
      </c>
      <c r="BQ224">
        <v>-0.23879255944180319</v>
      </c>
      <c r="BR224">
        <v>100.52476751827029</v>
      </c>
      <c r="BS224">
        <v>0.71388879117343951</v>
      </c>
      <c r="BT224">
        <v>100.52476751827029</v>
      </c>
      <c r="BU224">
        <v>100.52476751827029</v>
      </c>
      <c r="BV224">
        <v>0.71388879117343951</v>
      </c>
      <c r="BW224">
        <v>500.98725815717302</v>
      </c>
      <c r="BX224">
        <v>-0.42589805056750157</v>
      </c>
      <c r="BY224" t="str">
        <f t="shared" si="8"/>
        <v>[[sv,wv],[yr],[ya]]</v>
      </c>
      <c r="BZ224" t="str">
        <f>SUBSTITUTE(TRIM(MID(SUBSTITUTE(SUBSTITUTE(SUBSTITUTE(Tabla1[[#This Row],[map]],"[",""),"]",""),",",REPT(" ",100)),901,200))," ",", ")</f>
        <v>2, 3</v>
      </c>
      <c r="CA224" t="str">
        <f>SUBSTITUTE(TRIM(MID(SUBSTITUTE(SUBSTITUTE(SUBSTITUTE(Tabla1[[#This Row],[map]],"[",""),"]",""),",",REPT(" ",100)),1501,200))," ",", ")</f>
        <v>3, 4</v>
      </c>
      <c r="CB224" t="str">
        <f>SUBSTITUTE(TRIM(MID(SUBSTITUTE(SUBSTITUTE(SUBSTITUTE(Tabla1[[#This Row],[map]],"[",""),"]",""),",",REPT(" ",100)),601,300))," ",", ")</f>
        <v>0, 1, 4</v>
      </c>
      <c r="CC224" t="str">
        <f>SUBSTITUTE(TRIM(MID(SUBSTITUTE(SUBSTITUTE(SUBSTITUTE(Tabla1[[#This Row],[map]],"[",""),"]",""),",",REPT(" ",100)),1201,300))," ",", ")</f>
        <v>1, 2, 0</v>
      </c>
      <c r="CD224" t="str">
        <f>SUBSTITUTE(TRIM(MID(SUBSTITUTE(SUBSTITUTE(SUBSTITUTE(Tabla1[[#This Row],[map]],"[",""),"]",""),",",REPT(" ",100)),1,300))," ",", ")</f>
        <v>2, 3, 4</v>
      </c>
      <c r="CE224" t="str">
        <f>SUBSTITUTE(TRIM(MID(SUBSTITUTE(SUBSTITUTE(SUBSTITUTE(Tabla1[[#This Row],[map]],"[",""),"]",""),",",REPT(" ",100)),1,600))," ",", ")</f>
        <v>2, 3, 4, 0, 1, -1</v>
      </c>
      <c r="CF224" t="str">
        <f>SUBSTITUTE(TRIM(MID(SUBSTITUTE(SUBSTITUTE(SUBSTITUTE(Tabla1[[#This Row],[map]],"[",""),"]",""),",",REPT(" ",100)),601,600))," ",", ")</f>
        <v>0, 1, 4, 2, 3, -1</v>
      </c>
      <c r="CG224" t="str">
        <f>SUBSTITUTE(TRIM(MID(SUBSTITUTE(SUBSTITUTE(SUBSTITUTE(Tabla1[[#This Row],[map]],"[",""),"]",""),",",REPT(" ",100)),1201,600))," ",", ")</f>
        <v>1, 2, 0, 3, 4, -1</v>
      </c>
    </row>
    <row r="225" spans="1:85" x14ac:dyDescent="0.3">
      <c r="A225" s="1">
        <v>46106.354178240741</v>
      </c>
      <c r="B225" t="s">
        <v>439</v>
      </c>
      <c r="C225">
        <v>1</v>
      </c>
      <c r="D225" t="s">
        <v>96</v>
      </c>
      <c r="E225" t="s">
        <v>78</v>
      </c>
      <c r="F225">
        <v>16590</v>
      </c>
      <c r="G225">
        <v>4.5</v>
      </c>
      <c r="H225" t="s">
        <v>79</v>
      </c>
      <c r="I225" t="s">
        <v>80</v>
      </c>
      <c r="J225">
        <v>5</v>
      </c>
      <c r="K225">
        <v>5</v>
      </c>
      <c r="L225" t="s">
        <v>81</v>
      </c>
      <c r="M225" t="s">
        <v>82</v>
      </c>
      <c r="N225" t="s">
        <v>83</v>
      </c>
      <c r="O225" t="s">
        <v>83</v>
      </c>
      <c r="P225" t="s">
        <v>84</v>
      </c>
      <c r="Q225" t="s">
        <v>422</v>
      </c>
      <c r="R225">
        <v>3</v>
      </c>
      <c r="S225" t="s">
        <v>86</v>
      </c>
      <c r="T225" t="s">
        <v>87</v>
      </c>
      <c r="U225" t="s">
        <v>88</v>
      </c>
      <c r="V225">
        <v>1</v>
      </c>
      <c r="W225" t="s">
        <v>423</v>
      </c>
      <c r="X225" t="s">
        <v>83</v>
      </c>
      <c r="Y225" t="s">
        <v>90</v>
      </c>
      <c r="Z225">
        <v>4000</v>
      </c>
      <c r="AA225">
        <v>4000</v>
      </c>
      <c r="AC225">
        <v>256</v>
      </c>
      <c r="AD225" t="s">
        <v>91</v>
      </c>
      <c r="AE225">
        <v>0.15</v>
      </c>
      <c r="AF225" t="s">
        <v>92</v>
      </c>
      <c r="AG225">
        <v>180</v>
      </c>
      <c r="AH225">
        <v>60</v>
      </c>
      <c r="AI225">
        <v>120</v>
      </c>
      <c r="AJ225">
        <v>9.8102865567190847E-2</v>
      </c>
      <c r="AK225">
        <v>14.185274615837359</v>
      </c>
      <c r="AL225">
        <v>0.77033760485889868</v>
      </c>
      <c r="AM225">
        <v>-0.26235596586441001</v>
      </c>
      <c r="AN225">
        <v>18.516102349495409</v>
      </c>
      <c r="AO225">
        <v>0.72015540805082523</v>
      </c>
      <c r="AP225">
        <v>18.516102349495409</v>
      </c>
      <c r="AQ225">
        <v>18.516102349495409</v>
      </c>
      <c r="AR225">
        <v>0.72015540805082523</v>
      </c>
      <c r="AS225">
        <v>96.796297375625954</v>
      </c>
      <c r="AT225">
        <v>-0.14716882610050941</v>
      </c>
      <c r="AU225">
        <v>0.8</v>
      </c>
      <c r="AV225" t="s">
        <v>93</v>
      </c>
      <c r="AW225">
        <v>6.451740165252004E-2</v>
      </c>
      <c r="AX225">
        <v>0.53152024567753431</v>
      </c>
      <c r="AY225">
        <v>6.451740165252004E-2</v>
      </c>
      <c r="AZ225">
        <v>6.451740165252004E-2</v>
      </c>
      <c r="BA225">
        <v>0.53152024567753431</v>
      </c>
      <c r="BB225">
        <v>0.257438999493248</v>
      </c>
      <c r="BC225">
        <v>-0.86933999427280706</v>
      </c>
      <c r="BD225">
        <v>8.5376590086404247E-2</v>
      </c>
      <c r="BE225">
        <v>0.70418835025439752</v>
      </c>
      <c r="BF225">
        <v>8.5376590086404247E-2</v>
      </c>
      <c r="BG225">
        <v>8.5376590086404247E-2</v>
      </c>
      <c r="BH225">
        <v>0.70418835025439752</v>
      </c>
      <c r="BI225">
        <v>0.25770434961758137</v>
      </c>
      <c r="BJ225">
        <v>0.1071094695882706</v>
      </c>
      <c r="BK225">
        <v>3.6071556355802961E-2</v>
      </c>
      <c r="BL225">
        <v>0.85518411073343703</v>
      </c>
      <c r="BM225">
        <v>3.6071556355802961E-2</v>
      </c>
      <c r="BN225">
        <v>3.6071556355802961E-2</v>
      </c>
      <c r="BO225">
        <v>0.85518411073343703</v>
      </c>
      <c r="BP225">
        <v>0.18094293758460089</v>
      </c>
      <c r="BQ225">
        <v>0.27357133819365298</v>
      </c>
      <c r="BR225">
        <v>73.878443849887333</v>
      </c>
      <c r="BS225">
        <v>0.7897289255379305</v>
      </c>
      <c r="BT225">
        <v>73.878443849887333</v>
      </c>
      <c r="BU225">
        <v>73.878443849887333</v>
      </c>
      <c r="BV225">
        <v>0.7897289255379305</v>
      </c>
      <c r="BW225">
        <v>386.48910321580809</v>
      </c>
      <c r="BX225">
        <v>-0.1000161179111463</v>
      </c>
      <c r="BY225" t="str">
        <f t="shared" ref="BY225:BY230" si="9">_xlfn.LET(_xlpm.TextoConfig, Q225,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225" t="str">
        <f>SUBSTITUTE(TRIM(MID(SUBSTITUTE(SUBSTITUTE(SUBSTITUTE(Tabla1[[#This Row],[map]],"[",""),"]",""),",",REPT(" ",100)),901,200))," ",", ")</f>
        <v>2, 4</v>
      </c>
      <c r="CA225" t="str">
        <f>SUBSTITUTE(TRIM(MID(SUBSTITUTE(SUBSTITUTE(SUBSTITUTE(Tabla1[[#This Row],[map]],"[",""),"]",""),",",REPT(" ",100)),1501,200))," ",", ")</f>
        <v>3, 2</v>
      </c>
      <c r="CB225" t="str">
        <f>SUBSTITUTE(TRIM(MID(SUBSTITUTE(SUBSTITUTE(SUBSTITUTE(Tabla1[[#This Row],[map]],"[",""),"]",""),",",REPT(" ",100)),601,300))," ",", ")</f>
        <v>1, 3, 0</v>
      </c>
      <c r="CC225" t="str">
        <f>SUBSTITUTE(TRIM(MID(SUBSTITUTE(SUBSTITUTE(SUBSTITUTE(Tabla1[[#This Row],[map]],"[",""),"]",""),",",REPT(" ",100)),1201,300))," ",", ")</f>
        <v>1, 4, 0</v>
      </c>
      <c r="CD225" t="str">
        <f>SUBSTITUTE(TRIM(MID(SUBSTITUTE(SUBSTITUTE(SUBSTITUTE(Tabla1[[#This Row],[map]],"[",""),"]",""),",",REPT(" ",100)),1,300))," ",", ")</f>
        <v>2, 3, 4</v>
      </c>
      <c r="CE225" t="str">
        <f>SUBSTITUTE(TRIM(MID(SUBSTITUTE(SUBSTITUTE(SUBSTITUTE(Tabla1[[#This Row],[map]],"[",""),"]",""),",",REPT(" ",100)),1,600))," ",", ")</f>
        <v>2, 3, 4, 0, 1, -1</v>
      </c>
      <c r="CF225" t="str">
        <f>SUBSTITUTE(TRIM(MID(SUBSTITUTE(SUBSTITUTE(SUBSTITUTE(Tabla1[[#This Row],[map]],"[",""),"]",""),",",REPT(" ",100)),601,600))," ",", ")</f>
        <v>1, 3, 0, 2, 4, -1</v>
      </c>
      <c r="CG225" t="str">
        <f>SUBSTITUTE(TRIM(MID(SUBSTITUTE(SUBSTITUTE(SUBSTITUTE(Tabla1[[#This Row],[map]],"[",""),"]",""),",",REPT(" ",100)),1201,600))," ",", ")</f>
        <v>1, 4, 0, 3, 2, -1</v>
      </c>
    </row>
    <row r="226" spans="1:85" x14ac:dyDescent="0.3">
      <c r="A226" s="1">
        <v>46106.355173611111</v>
      </c>
      <c r="B226" t="s">
        <v>440</v>
      </c>
      <c r="C226">
        <v>0</v>
      </c>
      <c r="D226" t="s">
        <v>96</v>
      </c>
      <c r="E226" t="s">
        <v>78</v>
      </c>
      <c r="F226">
        <v>16590</v>
      </c>
      <c r="G226">
        <v>4.5</v>
      </c>
      <c r="H226" t="s">
        <v>79</v>
      </c>
      <c r="I226" t="s">
        <v>80</v>
      </c>
      <c r="J226">
        <v>5</v>
      </c>
      <c r="K226">
        <v>5</v>
      </c>
      <c r="L226" t="s">
        <v>81</v>
      </c>
      <c r="M226" t="s">
        <v>82</v>
      </c>
      <c r="N226" t="s">
        <v>83</v>
      </c>
      <c r="O226" t="s">
        <v>83</v>
      </c>
      <c r="P226" t="s">
        <v>84</v>
      </c>
      <c r="Q226" t="s">
        <v>441</v>
      </c>
      <c r="R226">
        <v>3</v>
      </c>
      <c r="S226" t="s">
        <v>86</v>
      </c>
      <c r="T226" t="s">
        <v>87</v>
      </c>
      <c r="U226" t="s">
        <v>88</v>
      </c>
      <c r="V226">
        <v>1</v>
      </c>
      <c r="W226" t="s">
        <v>442</v>
      </c>
      <c r="X226" t="s">
        <v>83</v>
      </c>
      <c r="Y226" t="s">
        <v>90</v>
      </c>
      <c r="Z226">
        <v>4000</v>
      </c>
      <c r="AA226">
        <v>4000</v>
      </c>
      <c r="AC226">
        <v>256</v>
      </c>
      <c r="AD226" t="s">
        <v>91</v>
      </c>
      <c r="AE226">
        <v>0.15</v>
      </c>
      <c r="AF226" t="s">
        <v>92</v>
      </c>
      <c r="AG226">
        <v>180</v>
      </c>
      <c r="AH226">
        <v>60</v>
      </c>
      <c r="AI226">
        <v>120</v>
      </c>
      <c r="AJ226">
        <v>0.1028334428450208</v>
      </c>
      <c r="AK226">
        <v>19.255720437672618</v>
      </c>
      <c r="AL226">
        <v>0.76582276002332428</v>
      </c>
      <c r="AM226">
        <v>0.1629518058717529</v>
      </c>
      <c r="AN226">
        <v>24.862287609843801</v>
      </c>
      <c r="AO226">
        <v>0.70667127345218961</v>
      </c>
      <c r="AP226">
        <v>24.862287609843801</v>
      </c>
      <c r="AQ226">
        <v>24.862287609843801</v>
      </c>
      <c r="AR226">
        <v>0.70667127345218961</v>
      </c>
      <c r="AS226">
        <v>111.2726061512717</v>
      </c>
      <c r="AT226">
        <v>0.2023592130044542</v>
      </c>
      <c r="AU226">
        <v>0.8</v>
      </c>
      <c r="AV226" t="s">
        <v>93</v>
      </c>
      <c r="AW226">
        <v>6.8717053854430485E-2</v>
      </c>
      <c r="AX226">
        <v>0.50102534071550286</v>
      </c>
      <c r="AY226">
        <v>6.8717053854430485E-2</v>
      </c>
      <c r="AZ226">
        <v>6.8717053854430485E-2</v>
      </c>
      <c r="BA226">
        <v>0.50102534071550286</v>
      </c>
      <c r="BB226">
        <v>7.9110798342399799E-2</v>
      </c>
      <c r="BC226">
        <v>0.42555331705219168</v>
      </c>
      <c r="BD226">
        <v>8.2184071835986167E-2</v>
      </c>
      <c r="BE226">
        <v>0.71524974412762865</v>
      </c>
      <c r="BF226">
        <v>8.2184071835986167E-2</v>
      </c>
      <c r="BG226">
        <v>8.2184071835986167E-2</v>
      </c>
      <c r="BH226">
        <v>0.71524974412762865</v>
      </c>
      <c r="BI226">
        <v>0.16930157837597731</v>
      </c>
      <c r="BJ226">
        <v>0.41340619069878431</v>
      </c>
      <c r="BK226">
        <v>2.666350983721729E-2</v>
      </c>
      <c r="BL226">
        <v>0.89295444172252381</v>
      </c>
      <c r="BM226">
        <v>2.666350983721729E-2</v>
      </c>
      <c r="BN226">
        <v>2.666350983721729E-2</v>
      </c>
      <c r="BO226">
        <v>0.89295444172252381</v>
      </c>
      <c r="BP226">
        <v>0.19029281923589519</v>
      </c>
      <c r="BQ226">
        <v>0.2360345207490826</v>
      </c>
      <c r="BR226">
        <v>99.271585803846861</v>
      </c>
      <c r="BS226">
        <v>0.71745556724310666</v>
      </c>
      <c r="BT226">
        <v>99.271585803846861</v>
      </c>
      <c r="BU226">
        <v>99.271585803846861</v>
      </c>
      <c r="BV226">
        <v>0.71745556724310666</v>
      </c>
      <c r="BW226">
        <v>444.6517194091341</v>
      </c>
      <c r="BX226">
        <v>-0.26555717648224242</v>
      </c>
      <c r="BY226" t="str">
        <f t="shared" si="9"/>
        <v>[[sv,wv],[yr],[ya]]</v>
      </c>
      <c r="BZ226" t="str">
        <f>SUBSTITUTE(TRIM(MID(SUBSTITUTE(SUBSTITUTE(SUBSTITUTE(Tabla1[[#This Row],[map]],"[",""),"]",""),",",REPT(" ",100)),901,200))," ",", ")</f>
        <v>2, 3</v>
      </c>
      <c r="CA226" t="str">
        <f>SUBSTITUTE(TRIM(MID(SUBSTITUTE(SUBSTITUTE(SUBSTITUTE(Tabla1[[#This Row],[map]],"[",""),"]",""),",",REPT(" ",100)),1501,200))," ",", ")</f>
        <v>3, 2</v>
      </c>
      <c r="CB226" t="str">
        <f>SUBSTITUTE(TRIM(MID(SUBSTITUTE(SUBSTITUTE(SUBSTITUTE(Tabla1[[#This Row],[map]],"[",""),"]",""),",",REPT(" ",100)),601,300))," ",", ")</f>
        <v>1, 4, 0</v>
      </c>
      <c r="CC226" t="str">
        <f>SUBSTITUTE(TRIM(MID(SUBSTITUTE(SUBSTITUTE(SUBSTITUTE(Tabla1[[#This Row],[map]],"[",""),"]",""),",",REPT(" ",100)),1201,300))," ",", ")</f>
        <v>0, 1, 4</v>
      </c>
      <c r="CD226" t="str">
        <f>SUBSTITUTE(TRIM(MID(SUBSTITUTE(SUBSTITUTE(SUBSTITUTE(Tabla1[[#This Row],[map]],"[",""),"]",""),",",REPT(" ",100)),1,300))," ",", ")</f>
        <v>4, 2, 3</v>
      </c>
      <c r="CE226" t="str">
        <f>SUBSTITUTE(TRIM(MID(SUBSTITUTE(SUBSTITUTE(SUBSTITUTE(Tabla1[[#This Row],[map]],"[",""),"]",""),",",REPT(" ",100)),1,600))," ",", ")</f>
        <v>4, 2, 3, 0, 1, -1</v>
      </c>
      <c r="CF226" t="str">
        <f>SUBSTITUTE(TRIM(MID(SUBSTITUTE(SUBSTITUTE(SUBSTITUTE(Tabla1[[#This Row],[map]],"[",""),"]",""),",",REPT(" ",100)),601,600))," ",", ")</f>
        <v>1, 4, 0, 2, 3, -1</v>
      </c>
      <c r="CG226" t="str">
        <f>SUBSTITUTE(TRIM(MID(SUBSTITUTE(SUBSTITUTE(SUBSTITUTE(Tabla1[[#This Row],[map]],"[",""),"]",""),",",REPT(" ",100)),1201,600))," ",", ")</f>
        <v>0, 1, 4, 3, 2, -1</v>
      </c>
    </row>
    <row r="227" spans="1:85" x14ac:dyDescent="0.3">
      <c r="A227" s="1">
        <v>46106.389525462961</v>
      </c>
      <c r="B227" t="s">
        <v>443</v>
      </c>
      <c r="C227">
        <v>3</v>
      </c>
      <c r="D227" t="s">
        <v>77</v>
      </c>
      <c r="E227" t="s">
        <v>78</v>
      </c>
      <c r="F227">
        <v>16590</v>
      </c>
      <c r="G227">
        <v>4.5</v>
      </c>
      <c r="H227" t="s">
        <v>79</v>
      </c>
      <c r="I227" t="s">
        <v>80</v>
      </c>
      <c r="J227">
        <v>5</v>
      </c>
      <c r="K227">
        <v>5</v>
      </c>
      <c r="L227" t="s">
        <v>81</v>
      </c>
      <c r="M227" t="s">
        <v>82</v>
      </c>
      <c r="N227" t="s">
        <v>83</v>
      </c>
      <c r="O227" t="s">
        <v>83</v>
      </c>
      <c r="P227" t="s">
        <v>84</v>
      </c>
      <c r="Q227" t="s">
        <v>397</v>
      </c>
      <c r="R227">
        <v>3</v>
      </c>
      <c r="S227" t="s">
        <v>86</v>
      </c>
      <c r="T227" t="s">
        <v>87</v>
      </c>
      <c r="U227" t="s">
        <v>88</v>
      </c>
      <c r="V227">
        <v>1</v>
      </c>
      <c r="W227" t="s">
        <v>398</v>
      </c>
      <c r="X227" t="s">
        <v>83</v>
      </c>
      <c r="Y227" t="s">
        <v>90</v>
      </c>
      <c r="Z227">
        <v>4000</v>
      </c>
      <c r="AA227">
        <v>4000</v>
      </c>
      <c r="AC227">
        <v>256</v>
      </c>
      <c r="AD227" t="s">
        <v>91</v>
      </c>
      <c r="AE227">
        <v>0.15</v>
      </c>
      <c r="AF227" t="s">
        <v>92</v>
      </c>
      <c r="AG227">
        <v>180</v>
      </c>
      <c r="AH227">
        <v>60</v>
      </c>
      <c r="AI227">
        <v>120</v>
      </c>
      <c r="AJ227">
        <v>0.1032495527622964</v>
      </c>
      <c r="AK227">
        <v>14.67050267496275</v>
      </c>
      <c r="AL227">
        <v>0.77687942760382334</v>
      </c>
      <c r="AM227">
        <v>-4.1027416506518949E-2</v>
      </c>
      <c r="AN227">
        <v>19.498519936698781</v>
      </c>
      <c r="AO227">
        <v>0.73070429358122835</v>
      </c>
      <c r="AP227">
        <v>19.498519936698781</v>
      </c>
      <c r="AQ227">
        <v>19.498519936698781</v>
      </c>
      <c r="AR227">
        <v>0.73070429358122835</v>
      </c>
      <c r="AS227">
        <v>145.8117706022469</v>
      </c>
      <c r="AT227">
        <v>-0.1048590808046513</v>
      </c>
      <c r="AU227">
        <v>0.8</v>
      </c>
      <c r="AV227" t="s">
        <v>93</v>
      </c>
      <c r="AW227">
        <v>6.5014961502872823E-2</v>
      </c>
      <c r="AX227">
        <v>0.52790731783971756</v>
      </c>
      <c r="AY227">
        <v>6.5014961502872823E-2</v>
      </c>
      <c r="AZ227">
        <v>6.5014961502872823E-2</v>
      </c>
      <c r="BA227">
        <v>0.52790731783971756</v>
      </c>
      <c r="BB227">
        <v>0.16344641454478301</v>
      </c>
      <c r="BC227">
        <v>-0.18683229903194601</v>
      </c>
      <c r="BD227">
        <v>7.3190967300165666E-2</v>
      </c>
      <c r="BE227">
        <v>0.74640893057889635</v>
      </c>
      <c r="BF227">
        <v>7.3190967300165666E-2</v>
      </c>
      <c r="BG227">
        <v>7.3190967300165666E-2</v>
      </c>
      <c r="BH227">
        <v>0.74640893057889635</v>
      </c>
      <c r="BI227">
        <v>0.22232844702908969</v>
      </c>
      <c r="BJ227">
        <v>0.2296794164009848</v>
      </c>
      <c r="BK227">
        <v>3.2381055338378512E-2</v>
      </c>
      <c r="BL227">
        <v>0.87000030500589465</v>
      </c>
      <c r="BM227">
        <v>3.2381055338378512E-2</v>
      </c>
      <c r="BN227">
        <v>3.2381055338378512E-2</v>
      </c>
      <c r="BO227">
        <v>0.87000030500589465</v>
      </c>
      <c r="BP227">
        <v>0.20024674687329461</v>
      </c>
      <c r="BQ227">
        <v>0.1960726497311964</v>
      </c>
      <c r="BR227">
        <v>77.823492762654027</v>
      </c>
      <c r="BS227">
        <v>0.77850062090040484</v>
      </c>
      <c r="BT227">
        <v>77.823492762654027</v>
      </c>
      <c r="BU227">
        <v>77.823492762654027</v>
      </c>
      <c r="BV227">
        <v>0.77850062090040484</v>
      </c>
      <c r="BW227">
        <v>582.66106080054305</v>
      </c>
      <c r="BX227">
        <v>-0.65835609031884412</v>
      </c>
      <c r="BY227" t="str">
        <f t="shared" si="9"/>
        <v>[[sv,wv],[yr],[ya]]</v>
      </c>
      <c r="BZ227" t="str">
        <f>SUBSTITUTE(TRIM(MID(SUBSTITUTE(SUBSTITUTE(SUBSTITUTE(Tabla1[[#This Row],[map]],"[",""),"]",""),",",REPT(" ",100)),901,200))," ",", ")</f>
        <v>2, 3</v>
      </c>
      <c r="CA227" t="str">
        <f>SUBSTITUTE(TRIM(MID(SUBSTITUTE(SUBSTITUTE(SUBSTITUTE(Tabla1[[#This Row],[map]],"[",""),"]",""),",",REPT(" ",100)),1501,200))," ",", ")</f>
        <v>3, 2</v>
      </c>
      <c r="CB227" t="str">
        <f>SUBSTITUTE(TRIM(MID(SUBSTITUTE(SUBSTITUTE(SUBSTITUTE(Tabla1[[#This Row],[map]],"[",""),"]",""),",",REPT(" ",100)),601,300))," ",", ")</f>
        <v>1, 4, 0</v>
      </c>
      <c r="CC227" t="str">
        <f>SUBSTITUTE(TRIM(MID(SUBSTITUTE(SUBSTITUTE(SUBSTITUTE(Tabla1[[#This Row],[map]],"[",""),"]",""),",",REPT(" ",100)),1201,300))," ",", ")</f>
        <v>1, 4, 0</v>
      </c>
      <c r="CD227" t="str">
        <f>SUBSTITUTE(TRIM(MID(SUBSTITUTE(SUBSTITUTE(SUBSTITUTE(Tabla1[[#This Row],[map]],"[",""),"]",""),",",REPT(" ",100)),1,300))," ",", ")</f>
        <v>2, 3, 4</v>
      </c>
      <c r="CE227" t="str">
        <f>SUBSTITUTE(TRIM(MID(SUBSTITUTE(SUBSTITUTE(SUBSTITUTE(Tabla1[[#This Row],[map]],"[",""),"]",""),",",REPT(" ",100)),1,600))," ",", ")</f>
        <v>2, 3, 4, 0, 1, -1</v>
      </c>
      <c r="CF227" t="str">
        <f>SUBSTITUTE(TRIM(MID(SUBSTITUTE(SUBSTITUTE(SUBSTITUTE(Tabla1[[#This Row],[map]],"[",""),"]",""),",",REPT(" ",100)),601,600))," ",", ")</f>
        <v>1, 4, 0, 2, 3, -1</v>
      </c>
      <c r="CG227" t="str">
        <f>SUBSTITUTE(TRIM(MID(SUBSTITUTE(SUBSTITUTE(SUBSTITUTE(Tabla1[[#This Row],[map]],"[",""),"]",""),",",REPT(" ",100)),1201,600))," ",", ")</f>
        <v>1, 4, 0, 3, 2, -1</v>
      </c>
    </row>
    <row r="228" spans="1:85" x14ac:dyDescent="0.3">
      <c r="A228" s="1">
        <v>46106.38962962963</v>
      </c>
      <c r="B228" t="s">
        <v>444</v>
      </c>
      <c r="C228">
        <v>2</v>
      </c>
      <c r="D228" t="s">
        <v>77</v>
      </c>
      <c r="E228" t="s">
        <v>78</v>
      </c>
      <c r="F228">
        <v>16590</v>
      </c>
      <c r="G228">
        <v>4.5</v>
      </c>
      <c r="H228" t="s">
        <v>79</v>
      </c>
      <c r="I228" t="s">
        <v>80</v>
      </c>
      <c r="J228">
        <v>5</v>
      </c>
      <c r="K228">
        <v>5</v>
      </c>
      <c r="L228" t="s">
        <v>81</v>
      </c>
      <c r="M228" t="s">
        <v>82</v>
      </c>
      <c r="N228" t="s">
        <v>83</v>
      </c>
      <c r="O228" t="s">
        <v>83</v>
      </c>
      <c r="P228" t="s">
        <v>84</v>
      </c>
      <c r="Q228" t="s">
        <v>397</v>
      </c>
      <c r="R228">
        <v>3</v>
      </c>
      <c r="S228" t="s">
        <v>86</v>
      </c>
      <c r="T228" t="s">
        <v>87</v>
      </c>
      <c r="U228" t="s">
        <v>88</v>
      </c>
      <c r="V228">
        <v>1</v>
      </c>
      <c r="W228" t="s">
        <v>398</v>
      </c>
      <c r="X228" t="s">
        <v>83</v>
      </c>
      <c r="Y228" t="s">
        <v>90</v>
      </c>
      <c r="Z228">
        <v>4000</v>
      </c>
      <c r="AA228">
        <v>4000</v>
      </c>
      <c r="AC228">
        <v>256</v>
      </c>
      <c r="AD228" t="s">
        <v>91</v>
      </c>
      <c r="AE228">
        <v>0.15</v>
      </c>
      <c r="AF228" t="s">
        <v>92</v>
      </c>
      <c r="AG228">
        <v>180</v>
      </c>
      <c r="AH228">
        <v>60</v>
      </c>
      <c r="AI228">
        <v>120</v>
      </c>
      <c r="AJ228">
        <v>8.6006112871004001E-2</v>
      </c>
      <c r="AK228">
        <v>12.13090277297843</v>
      </c>
      <c r="AL228">
        <v>0.76904816148032851</v>
      </c>
      <c r="AM228">
        <v>0.141669136323991</v>
      </c>
      <c r="AN228">
        <v>20.17857600888555</v>
      </c>
      <c r="AO228">
        <v>0.72125990967871645</v>
      </c>
      <c r="AP228">
        <v>20.17857600888555</v>
      </c>
      <c r="AQ228">
        <v>20.17857600888555</v>
      </c>
      <c r="AR228">
        <v>0.72125990967871645</v>
      </c>
      <c r="AS228">
        <v>94.163748319440018</v>
      </c>
      <c r="AT228">
        <v>8.8926758823280633E-2</v>
      </c>
      <c r="AU228">
        <v>0.8</v>
      </c>
      <c r="AV228" t="s">
        <v>93</v>
      </c>
      <c r="AW228">
        <v>7.2657268360128813E-2</v>
      </c>
      <c r="AX228">
        <v>0.47241428887015519</v>
      </c>
      <c r="AY228">
        <v>7.2657268360128813E-2</v>
      </c>
      <c r="AZ228">
        <v>7.2657268360128813E-2</v>
      </c>
      <c r="BA228">
        <v>0.47241428887015519</v>
      </c>
      <c r="BB228">
        <v>0.14003690257251911</v>
      </c>
      <c r="BC228">
        <v>-1.68489745849878E-2</v>
      </c>
      <c r="BD228">
        <v>7.3697582417464505E-2</v>
      </c>
      <c r="BE228">
        <v>0.7446536174013314</v>
      </c>
      <c r="BF228">
        <v>7.3697582417464505E-2</v>
      </c>
      <c r="BG228">
        <v>7.3697582417464505E-2</v>
      </c>
      <c r="BH228">
        <v>0.7446536174013314</v>
      </c>
      <c r="BI228">
        <v>0.21033147409516581</v>
      </c>
      <c r="BJ228">
        <v>0.27124636527942819</v>
      </c>
      <c r="BK228">
        <v>2.560364948215205E-2</v>
      </c>
      <c r="BL228">
        <v>0.89720944581226159</v>
      </c>
      <c r="BM228">
        <v>2.560364948215205E-2</v>
      </c>
      <c r="BN228">
        <v>2.560364948215205E-2</v>
      </c>
      <c r="BO228">
        <v>0.89720944581226159</v>
      </c>
      <c r="BP228">
        <v>0.20630473033600111</v>
      </c>
      <c r="BQ228">
        <v>0.17175176228013839</v>
      </c>
      <c r="BR228">
        <v>80.542345535282394</v>
      </c>
      <c r="BS228">
        <v>0.77076228663112367</v>
      </c>
      <c r="BT228">
        <v>80.542345535282394</v>
      </c>
      <c r="BU228">
        <v>80.542345535282394</v>
      </c>
      <c r="BV228">
        <v>0.77076228663112367</v>
      </c>
      <c r="BW228">
        <v>376.09832017075581</v>
      </c>
      <c r="BX228">
        <v>-7.044211768146047E-2</v>
      </c>
      <c r="BY228" t="str">
        <f t="shared" si="9"/>
        <v>[[sv,wv],[yr],[ya]]</v>
      </c>
      <c r="BZ228" t="str">
        <f>SUBSTITUTE(TRIM(MID(SUBSTITUTE(SUBSTITUTE(SUBSTITUTE(Tabla1[[#This Row],[map]],"[",""),"]",""),",",REPT(" ",100)),901,200))," ",", ")</f>
        <v>2, 3</v>
      </c>
      <c r="CA228" t="str">
        <f>SUBSTITUTE(TRIM(MID(SUBSTITUTE(SUBSTITUTE(SUBSTITUTE(Tabla1[[#This Row],[map]],"[",""),"]",""),",",REPT(" ",100)),1501,200))," ",", ")</f>
        <v>3, 2</v>
      </c>
      <c r="CB228" t="str">
        <f>SUBSTITUTE(TRIM(MID(SUBSTITUTE(SUBSTITUTE(SUBSTITUTE(Tabla1[[#This Row],[map]],"[",""),"]",""),",",REPT(" ",100)),601,300))," ",", ")</f>
        <v>1, 4, 0</v>
      </c>
      <c r="CC228" t="str">
        <f>SUBSTITUTE(TRIM(MID(SUBSTITUTE(SUBSTITUTE(SUBSTITUTE(Tabla1[[#This Row],[map]],"[",""),"]",""),",",REPT(" ",100)),1201,300))," ",", ")</f>
        <v>1, 4, 0</v>
      </c>
      <c r="CD228" t="str">
        <f>SUBSTITUTE(TRIM(MID(SUBSTITUTE(SUBSTITUTE(SUBSTITUTE(Tabla1[[#This Row],[map]],"[",""),"]",""),",",REPT(" ",100)),1,300))," ",", ")</f>
        <v>2, 3, 4</v>
      </c>
      <c r="CE228" t="str">
        <f>SUBSTITUTE(TRIM(MID(SUBSTITUTE(SUBSTITUTE(SUBSTITUTE(Tabla1[[#This Row],[map]],"[",""),"]",""),",",REPT(" ",100)),1,600))," ",", ")</f>
        <v>2, 3, 4, 0, 1, -1</v>
      </c>
      <c r="CF228" t="str">
        <f>SUBSTITUTE(TRIM(MID(SUBSTITUTE(SUBSTITUTE(SUBSTITUTE(Tabla1[[#This Row],[map]],"[",""),"]",""),",",REPT(" ",100)),601,600))," ",", ")</f>
        <v>1, 4, 0, 2, 3, -1</v>
      </c>
      <c r="CG228" t="str">
        <f>SUBSTITUTE(TRIM(MID(SUBSTITUTE(SUBSTITUTE(SUBSTITUTE(Tabla1[[#This Row],[map]],"[",""),"]",""),",",REPT(" ",100)),1201,600))," ",", ")</f>
        <v>1, 4, 0, 3, 2, -1</v>
      </c>
    </row>
    <row r="229" spans="1:85" x14ac:dyDescent="0.3">
      <c r="A229" s="1">
        <v>46106.417997685188</v>
      </c>
      <c r="B229" t="s">
        <v>445</v>
      </c>
      <c r="C229">
        <v>5</v>
      </c>
      <c r="D229" t="s">
        <v>96</v>
      </c>
      <c r="E229" t="s">
        <v>78</v>
      </c>
      <c r="F229">
        <v>16590</v>
      </c>
      <c r="G229">
        <v>4.5</v>
      </c>
      <c r="H229" t="s">
        <v>79</v>
      </c>
      <c r="I229" t="s">
        <v>80</v>
      </c>
      <c r="J229">
        <v>5</v>
      </c>
      <c r="K229">
        <v>5</v>
      </c>
      <c r="L229" t="s">
        <v>81</v>
      </c>
      <c r="M229" t="s">
        <v>82</v>
      </c>
      <c r="N229" t="s">
        <v>83</v>
      </c>
      <c r="O229" t="s">
        <v>83</v>
      </c>
      <c r="P229" t="s">
        <v>84</v>
      </c>
      <c r="Q229" t="s">
        <v>384</v>
      </c>
      <c r="R229">
        <v>3</v>
      </c>
      <c r="S229" t="s">
        <v>86</v>
      </c>
      <c r="T229" t="s">
        <v>87</v>
      </c>
      <c r="U229" t="s">
        <v>88</v>
      </c>
      <c r="V229">
        <v>1</v>
      </c>
      <c r="W229" t="s">
        <v>385</v>
      </c>
      <c r="X229" t="s">
        <v>83</v>
      </c>
      <c r="Y229" t="s">
        <v>90</v>
      </c>
      <c r="Z229">
        <v>4000</v>
      </c>
      <c r="AA229">
        <v>4000</v>
      </c>
      <c r="AC229">
        <v>256</v>
      </c>
      <c r="AD229" t="s">
        <v>91</v>
      </c>
      <c r="AE229">
        <v>0.15</v>
      </c>
      <c r="AF229" t="s">
        <v>92</v>
      </c>
      <c r="AG229">
        <v>180</v>
      </c>
      <c r="AH229">
        <v>60</v>
      </c>
      <c r="AI229">
        <v>120</v>
      </c>
      <c r="AJ229">
        <v>0.11112791001431351</v>
      </c>
      <c r="AK229">
        <v>24.052531454951009</v>
      </c>
      <c r="AL229">
        <v>0.7647864492412968</v>
      </c>
      <c r="AM229">
        <v>-5.3995650841509903E-2</v>
      </c>
      <c r="AN229">
        <v>29.612563598700959</v>
      </c>
      <c r="AO229">
        <v>0.69574589128821795</v>
      </c>
      <c r="AP229">
        <v>29.612563598700959</v>
      </c>
      <c r="AQ229">
        <v>29.612563598700959</v>
      </c>
      <c r="AR229">
        <v>0.69574589128821795</v>
      </c>
      <c r="AS229">
        <v>116.237090158858</v>
      </c>
      <c r="AT229">
        <v>-9.8173738923084203E-2</v>
      </c>
      <c r="AU229">
        <v>0.8</v>
      </c>
      <c r="AV229" t="s">
        <v>93</v>
      </c>
      <c r="AW229">
        <v>6.6267478448007622E-2</v>
      </c>
      <c r="AX229">
        <v>0.51881242536556349</v>
      </c>
      <c r="AY229">
        <v>6.6267478448007622E-2</v>
      </c>
      <c r="AZ229">
        <v>6.6267478448007622E-2</v>
      </c>
      <c r="BA229">
        <v>0.51881242536556349</v>
      </c>
      <c r="BB229">
        <v>0.17179873614883451</v>
      </c>
      <c r="BC229">
        <v>-0.24748095308287049</v>
      </c>
      <c r="BD229">
        <v>6.4515364413070833E-2</v>
      </c>
      <c r="BE229">
        <v>0.77646804162997007</v>
      </c>
      <c r="BF229">
        <v>6.4515364413070833E-2</v>
      </c>
      <c r="BG229">
        <v>6.4515364413070833E-2</v>
      </c>
      <c r="BH229">
        <v>0.77646804162997007</v>
      </c>
      <c r="BI229">
        <v>0.25870975953213138</v>
      </c>
      <c r="BJ229">
        <v>0.103625938971826</v>
      </c>
      <c r="BK229">
        <v>4.375521878384963E-2</v>
      </c>
      <c r="BL229">
        <v>0.82433663644189181</v>
      </c>
      <c r="BM229">
        <v>4.375521878384963E-2</v>
      </c>
      <c r="BN229">
        <v>4.375521878384963E-2</v>
      </c>
      <c r="BO229">
        <v>0.82433663644189181</v>
      </c>
      <c r="BP229">
        <v>0.23100144118839011</v>
      </c>
      <c r="BQ229">
        <v>7.2602279824482752E-2</v>
      </c>
      <c r="BR229">
        <v>118.2757163331586</v>
      </c>
      <c r="BS229">
        <v>0.66336646171544755</v>
      </c>
      <c r="BT229">
        <v>118.2757163331586</v>
      </c>
      <c r="BU229">
        <v>118.2757163331586</v>
      </c>
      <c r="BV229">
        <v>0.66336646171544755</v>
      </c>
      <c r="BW229">
        <v>464.2868506985626</v>
      </c>
      <c r="BX229">
        <v>-0.32144222140577883</v>
      </c>
      <c r="BY229" t="str">
        <f t="shared" si="9"/>
        <v>[[sv,wv],[yr],[ya]]</v>
      </c>
      <c r="BZ229" t="str">
        <f>SUBSTITUTE(TRIM(MID(SUBSTITUTE(SUBSTITUTE(SUBSTITUTE(Tabla1[[#This Row],[map]],"[",""),"]",""),",",REPT(" ",100)),901,200))," ",", ")</f>
        <v>2, 3</v>
      </c>
      <c r="CA229" t="str">
        <f>SUBSTITUTE(TRIM(MID(SUBSTITUTE(SUBSTITUTE(SUBSTITUTE(Tabla1[[#This Row],[map]],"[",""),"]",""),",",REPT(" ",100)),1501,200))," ",", ")</f>
        <v>3, 2</v>
      </c>
      <c r="CB229" t="str">
        <f>SUBSTITUTE(TRIM(MID(SUBSTITUTE(SUBSTITUTE(SUBSTITUTE(Tabla1[[#This Row],[map]],"[",""),"]",""),",",REPT(" ",100)),601,300))," ",", ")</f>
        <v>1, 4, 0</v>
      </c>
      <c r="CC229" t="str">
        <f>SUBSTITUTE(TRIM(MID(SUBSTITUTE(SUBSTITUTE(SUBSTITUTE(Tabla1[[#This Row],[map]],"[",""),"]",""),",",REPT(" ",100)),1201,300))," ",", ")</f>
        <v>0, 1, 4</v>
      </c>
      <c r="CD229" t="str">
        <f>SUBSTITUTE(TRIM(MID(SUBSTITUTE(SUBSTITUTE(SUBSTITUTE(Tabla1[[#This Row],[map]],"[",""),"]",""),",",REPT(" ",100)),1,300))," ",", ")</f>
        <v>2, 3, 4</v>
      </c>
      <c r="CE229" t="str">
        <f>SUBSTITUTE(TRIM(MID(SUBSTITUTE(SUBSTITUTE(SUBSTITUTE(Tabla1[[#This Row],[map]],"[",""),"]",""),",",REPT(" ",100)),1,600))," ",", ")</f>
        <v>2, 3, 4, 0, 1, -1</v>
      </c>
      <c r="CF229" t="str">
        <f>SUBSTITUTE(TRIM(MID(SUBSTITUTE(SUBSTITUTE(SUBSTITUTE(Tabla1[[#This Row],[map]],"[",""),"]",""),",",REPT(" ",100)),601,600))," ",", ")</f>
        <v>1, 4, 0, 2, 3, -1</v>
      </c>
      <c r="CG229" t="str">
        <f>SUBSTITUTE(TRIM(MID(SUBSTITUTE(SUBSTITUTE(SUBSTITUTE(Tabla1[[#This Row],[map]],"[",""),"]",""),",",REPT(" ",100)),1201,600))," ",", ")</f>
        <v>0, 1, 4, 3, 2, -1</v>
      </c>
    </row>
    <row r="230" spans="1:85" x14ac:dyDescent="0.3">
      <c r="A230" s="1">
        <v>46106.416967592602</v>
      </c>
      <c r="B230" t="s">
        <v>446</v>
      </c>
      <c r="C230">
        <v>4</v>
      </c>
      <c r="D230" t="s">
        <v>96</v>
      </c>
      <c r="E230" t="s">
        <v>78</v>
      </c>
      <c r="F230">
        <v>16590</v>
      </c>
      <c r="G230">
        <v>4.5</v>
      </c>
      <c r="H230" t="s">
        <v>79</v>
      </c>
      <c r="I230" t="s">
        <v>80</v>
      </c>
      <c r="J230">
        <v>5</v>
      </c>
      <c r="K230">
        <v>5</v>
      </c>
      <c r="L230" t="s">
        <v>81</v>
      </c>
      <c r="M230" t="s">
        <v>82</v>
      </c>
      <c r="N230" t="s">
        <v>83</v>
      </c>
      <c r="O230" t="s">
        <v>83</v>
      </c>
      <c r="P230" t="s">
        <v>84</v>
      </c>
      <c r="Q230" t="s">
        <v>384</v>
      </c>
      <c r="R230">
        <v>3</v>
      </c>
      <c r="S230" t="s">
        <v>86</v>
      </c>
      <c r="T230" t="s">
        <v>87</v>
      </c>
      <c r="U230" t="s">
        <v>88</v>
      </c>
      <c r="V230">
        <v>1</v>
      </c>
      <c r="W230" t="s">
        <v>385</v>
      </c>
      <c r="X230" t="s">
        <v>83</v>
      </c>
      <c r="Y230" t="s">
        <v>90</v>
      </c>
      <c r="Z230">
        <v>4000</v>
      </c>
      <c r="AA230">
        <v>4000</v>
      </c>
      <c r="AC230">
        <v>256</v>
      </c>
      <c r="AD230" t="s">
        <v>91</v>
      </c>
      <c r="AE230">
        <v>0.15</v>
      </c>
      <c r="AF230" t="s">
        <v>92</v>
      </c>
      <c r="AG230">
        <v>180</v>
      </c>
      <c r="AH230">
        <v>60</v>
      </c>
      <c r="AI230">
        <v>120</v>
      </c>
      <c r="AJ230">
        <v>8.3598644998711891E-2</v>
      </c>
      <c r="AK230">
        <v>13.96838668004548</v>
      </c>
      <c r="AL230">
        <v>0.83107159950370157</v>
      </c>
      <c r="AM230">
        <v>-0.1146196731670991</v>
      </c>
      <c r="AN230">
        <v>17.6196991492472</v>
      </c>
      <c r="AO230">
        <v>0.76243091464976687</v>
      </c>
      <c r="AP230">
        <v>17.6196991492472</v>
      </c>
      <c r="AQ230">
        <v>17.6196991492472</v>
      </c>
      <c r="AR230">
        <v>0.76243091464976687</v>
      </c>
      <c r="AS230">
        <v>92.444594472219208</v>
      </c>
      <c r="AT230">
        <v>-0.18039208211276189</v>
      </c>
      <c r="AU230">
        <v>0.8</v>
      </c>
      <c r="AV230" t="s">
        <v>93</v>
      </c>
      <c r="AW230">
        <v>6.3730590825500991E-2</v>
      </c>
      <c r="AX230">
        <v>0.53723350959546745</v>
      </c>
      <c r="AY230">
        <v>6.3730590825500991E-2</v>
      </c>
      <c r="AZ230">
        <v>6.3730590825500991E-2</v>
      </c>
      <c r="BA230">
        <v>0.53723350959546745</v>
      </c>
      <c r="BB230">
        <v>0.2228835116081028</v>
      </c>
      <c r="BC230">
        <v>-0.61842247341363499</v>
      </c>
      <c r="BD230">
        <v>4.1814924666263423E-2</v>
      </c>
      <c r="BE230">
        <v>0.85512021694709006</v>
      </c>
      <c r="BF230">
        <v>4.1814924666263423E-2</v>
      </c>
      <c r="BG230">
        <v>4.1814924666263423E-2</v>
      </c>
      <c r="BH230">
        <v>0.85512021694709006</v>
      </c>
      <c r="BI230">
        <v>0.28454489779418168</v>
      </c>
      <c r="BJ230">
        <v>1.411270281460175E-2</v>
      </c>
      <c r="BK230">
        <v>3.5478852077227951E-2</v>
      </c>
      <c r="BL230">
        <v>0.85756363093842336</v>
      </c>
      <c r="BM230">
        <v>3.5478852077227951E-2</v>
      </c>
      <c r="BN230">
        <v>3.5478852077227951E-2</v>
      </c>
      <c r="BO230">
        <v>0.85756363093842336</v>
      </c>
      <c r="BP230">
        <v>0.26577555419090332</v>
      </c>
      <c r="BQ230">
        <v>-6.7004784762425995E-2</v>
      </c>
      <c r="BR230">
        <v>70.337772229419514</v>
      </c>
      <c r="BS230">
        <v>0.79980630111809115</v>
      </c>
      <c r="BT230">
        <v>70.337772229419514</v>
      </c>
      <c r="BU230">
        <v>70.337772229419514</v>
      </c>
      <c r="BV230">
        <v>0.79980630111809115</v>
      </c>
      <c r="BW230">
        <v>369.00517392528451</v>
      </c>
      <c r="BX230">
        <v>-5.0253773089601113E-2</v>
      </c>
      <c r="BY230" t="str">
        <f t="shared" si="9"/>
        <v>[[sv,wv],[yr],[ya]]</v>
      </c>
      <c r="BZ230" t="str">
        <f>SUBSTITUTE(TRIM(MID(SUBSTITUTE(SUBSTITUTE(SUBSTITUTE(Tabla1[[#This Row],[map]],"[",""),"]",""),",",REPT(" ",100)),901,200))," ",", ")</f>
        <v>2, 3</v>
      </c>
      <c r="CA230" t="str">
        <f>SUBSTITUTE(TRIM(MID(SUBSTITUTE(SUBSTITUTE(SUBSTITUTE(Tabla1[[#This Row],[map]],"[",""),"]",""),",",REPT(" ",100)),1501,200))," ",", ")</f>
        <v>3, 2</v>
      </c>
      <c r="CB230" t="str">
        <f>SUBSTITUTE(TRIM(MID(SUBSTITUTE(SUBSTITUTE(SUBSTITUTE(Tabla1[[#This Row],[map]],"[",""),"]",""),",",REPT(" ",100)),601,300))," ",", ")</f>
        <v>1, 4, 0</v>
      </c>
      <c r="CC230" t="str">
        <f>SUBSTITUTE(TRIM(MID(SUBSTITUTE(SUBSTITUTE(SUBSTITUTE(Tabla1[[#This Row],[map]],"[",""),"]",""),",",REPT(" ",100)),1201,300))," ",", ")</f>
        <v>0, 1, 4</v>
      </c>
      <c r="CD230" t="str">
        <f>SUBSTITUTE(TRIM(MID(SUBSTITUTE(SUBSTITUTE(SUBSTITUTE(Tabla1[[#This Row],[map]],"[",""),"]",""),",",REPT(" ",100)),1,300))," ",", ")</f>
        <v>2, 3, 4</v>
      </c>
      <c r="CE230" t="str">
        <f>SUBSTITUTE(TRIM(MID(SUBSTITUTE(SUBSTITUTE(SUBSTITUTE(Tabla1[[#This Row],[map]],"[",""),"]",""),",",REPT(" ",100)),1,600))," ",", ")</f>
        <v>2, 3, 4, 0, 1, -1</v>
      </c>
      <c r="CF230" t="str">
        <f>SUBSTITUTE(TRIM(MID(SUBSTITUTE(SUBSTITUTE(SUBSTITUTE(Tabla1[[#This Row],[map]],"[",""),"]",""),",",REPT(" ",100)),601,600))," ",", ")</f>
        <v>1, 4, 0, 2, 3, -1</v>
      </c>
      <c r="CG230" t="str">
        <f>SUBSTITUTE(TRIM(MID(SUBSTITUTE(SUBSTITUTE(SUBSTITUTE(Tabla1[[#This Row],[map]],"[",""),"]",""),",",REPT(" ",100)),1201,600))," ",", ")</f>
        <v>0, 1, 4, 3, 2, -1</v>
      </c>
    </row>
    <row r="231" spans="1:85" x14ac:dyDescent="0.3">
      <c r="A231" s="1">
        <v>46106.522824074083</v>
      </c>
      <c r="B231" t="s">
        <v>447</v>
      </c>
      <c r="C231">
        <v>1</v>
      </c>
      <c r="D231" t="s">
        <v>96</v>
      </c>
      <c r="E231" t="s">
        <v>78</v>
      </c>
      <c r="F231">
        <v>16590</v>
      </c>
      <c r="G231">
        <v>4.5</v>
      </c>
      <c r="H231" t="s">
        <v>79</v>
      </c>
      <c r="I231" t="s">
        <v>80</v>
      </c>
      <c r="J231">
        <v>5</v>
      </c>
      <c r="K231">
        <v>5</v>
      </c>
      <c r="L231" t="s">
        <v>81</v>
      </c>
      <c r="M231" t="s">
        <v>82</v>
      </c>
      <c r="N231" t="s">
        <v>83</v>
      </c>
      <c r="O231" t="s">
        <v>83</v>
      </c>
      <c r="P231" t="s">
        <v>84</v>
      </c>
      <c r="Q231" t="s">
        <v>429</v>
      </c>
      <c r="R231">
        <v>3</v>
      </c>
      <c r="S231" t="s">
        <v>86</v>
      </c>
      <c r="T231" t="s">
        <v>87</v>
      </c>
      <c r="U231" t="s">
        <v>88</v>
      </c>
      <c r="V231">
        <v>1</v>
      </c>
      <c r="W231" t="s">
        <v>430</v>
      </c>
      <c r="X231" t="s">
        <v>83</v>
      </c>
      <c r="Y231" t="s">
        <v>90</v>
      </c>
      <c r="Z231">
        <v>4000</v>
      </c>
      <c r="AA231">
        <v>4000</v>
      </c>
      <c r="AC231">
        <v>256</v>
      </c>
      <c r="AD231" t="s">
        <v>91</v>
      </c>
      <c r="AE231">
        <v>0.15</v>
      </c>
      <c r="AF231" t="s">
        <v>92</v>
      </c>
      <c r="AG231">
        <v>180</v>
      </c>
      <c r="AH231">
        <v>60</v>
      </c>
      <c r="AI231">
        <v>120</v>
      </c>
      <c r="AJ231">
        <v>0.1095014968101809</v>
      </c>
      <c r="AK231">
        <v>28.780590131070291</v>
      </c>
      <c r="AL231">
        <v>0.7393302596185084</v>
      </c>
      <c r="AM231">
        <v>-0.4590660999548079</v>
      </c>
      <c r="AN231">
        <v>35.68473682601374</v>
      </c>
      <c r="AO231">
        <v>0.68009858320464733</v>
      </c>
      <c r="AP231">
        <v>35.68473682601374</v>
      </c>
      <c r="AQ231">
        <v>35.68473682601374</v>
      </c>
      <c r="AR231">
        <v>0.68009858320464733</v>
      </c>
      <c r="AS231">
        <v>125.0997715155566</v>
      </c>
      <c r="AT231">
        <v>-0.48428365116409983</v>
      </c>
      <c r="AU231">
        <v>0.8</v>
      </c>
      <c r="AV231" t="s">
        <v>93</v>
      </c>
      <c r="AW231">
        <v>6.3010126095098373E-2</v>
      </c>
      <c r="AX231">
        <v>0.54246501506921319</v>
      </c>
      <c r="AY231">
        <v>6.3010126095098373E-2</v>
      </c>
      <c r="AZ231">
        <v>6.3010126095098373E-2</v>
      </c>
      <c r="BA231">
        <v>0.54246501506921319</v>
      </c>
      <c r="BB231">
        <v>0.19505920622549089</v>
      </c>
      <c r="BC231">
        <v>-0.41638204066272699</v>
      </c>
      <c r="BD231">
        <v>7.4528598036496571E-2</v>
      </c>
      <c r="BE231">
        <v>0.74177432577137226</v>
      </c>
      <c r="BF231">
        <v>7.4528598036496571E-2</v>
      </c>
      <c r="BG231">
        <v>7.4528598036496571E-2</v>
      </c>
      <c r="BH231">
        <v>0.74177432577137226</v>
      </c>
      <c r="BI231">
        <v>0.56779851466842568</v>
      </c>
      <c r="BJ231">
        <v>-0.96730058177758727</v>
      </c>
      <c r="BK231">
        <v>3.937753227041195E-2</v>
      </c>
      <c r="BL231">
        <v>0.84191166312276111</v>
      </c>
      <c r="BM231">
        <v>3.937753227041195E-2</v>
      </c>
      <c r="BN231">
        <v>3.937753227041195E-2</v>
      </c>
      <c r="BO231">
        <v>0.84191166312276111</v>
      </c>
      <c r="BP231">
        <v>0.28201520986610651</v>
      </c>
      <c r="BQ231">
        <v>-0.13220186566434269</v>
      </c>
      <c r="BR231">
        <v>142.56203104765399</v>
      </c>
      <c r="BS231">
        <v>0.59424332885524311</v>
      </c>
      <c r="BT231">
        <v>142.56203104765399</v>
      </c>
      <c r="BU231">
        <v>142.56203104765399</v>
      </c>
      <c r="BV231">
        <v>0.59424332885524311</v>
      </c>
      <c r="BW231">
        <v>499.35421313146497</v>
      </c>
      <c r="BX231">
        <v>-0.42125011655175171</v>
      </c>
      <c r="BY231" t="str">
        <f t="shared" ref="BY231:BY260" si="10">_xlfn.LET(_xlpm.TextoConfig, Q231,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231" t="str">
        <f>SUBSTITUTE(TRIM(MID(SUBSTITUTE(SUBSTITUTE(SUBSTITUTE(Tabla1[[#This Row],[map]],"[",""),"]",""),",",REPT(" ",100)),901,200))," ",", ")</f>
        <v>2, 4</v>
      </c>
      <c r="CA231" t="str">
        <f>SUBSTITUTE(TRIM(MID(SUBSTITUTE(SUBSTITUTE(SUBSTITUTE(Tabla1[[#This Row],[map]],"[",""),"]",""),",",REPT(" ",100)),1501,200))," ",", ")</f>
        <v>3, 4</v>
      </c>
      <c r="CB231" t="str">
        <f>SUBSTITUTE(TRIM(MID(SUBSTITUTE(SUBSTITUTE(SUBSTITUTE(Tabla1[[#This Row],[map]],"[",""),"]",""),",",REPT(" ",100)),601,300))," ",", ")</f>
        <v>1, 3, 0</v>
      </c>
      <c r="CC231" t="str">
        <f>SUBSTITUTE(TRIM(MID(SUBSTITUTE(SUBSTITUTE(SUBSTITUTE(Tabla1[[#This Row],[map]],"[",""),"]",""),",",REPT(" ",100)),1201,300))," ",", ")</f>
        <v>0, 1, 2</v>
      </c>
      <c r="CD231" t="str">
        <f>SUBSTITUTE(TRIM(MID(SUBSTITUTE(SUBSTITUTE(SUBSTITUTE(Tabla1[[#This Row],[map]],"[",""),"]",""),",",REPT(" ",100)),1,300))," ",", ")</f>
        <v>2, 3, 4</v>
      </c>
      <c r="CE231" t="str">
        <f>SUBSTITUTE(TRIM(MID(SUBSTITUTE(SUBSTITUTE(SUBSTITUTE(Tabla1[[#This Row],[map]],"[",""),"]",""),",",REPT(" ",100)),1,600))," ",", ")</f>
        <v>2, 3, 4, 0, 1, -1</v>
      </c>
      <c r="CF231" t="str">
        <f>SUBSTITUTE(TRIM(MID(SUBSTITUTE(SUBSTITUTE(SUBSTITUTE(Tabla1[[#This Row],[map]],"[",""),"]",""),",",REPT(" ",100)),601,600))," ",", ")</f>
        <v>1, 3, 0, 2, 4, -1</v>
      </c>
      <c r="CG231" t="str">
        <f>SUBSTITUTE(TRIM(MID(SUBSTITUTE(SUBSTITUTE(SUBSTITUTE(Tabla1[[#This Row],[map]],"[",""),"]",""),",",REPT(" ",100)),1201,600))," ",", ")</f>
        <v>0, 1, 2, 3, 4, -1</v>
      </c>
    </row>
    <row r="232" spans="1:85" x14ac:dyDescent="0.3">
      <c r="A232" s="1">
        <v>46106.526006944441</v>
      </c>
      <c r="B232" t="s">
        <v>448</v>
      </c>
      <c r="C232">
        <v>0</v>
      </c>
      <c r="D232" t="s">
        <v>96</v>
      </c>
      <c r="E232" t="s">
        <v>78</v>
      </c>
      <c r="F232">
        <v>16590</v>
      </c>
      <c r="G232">
        <v>4.5</v>
      </c>
      <c r="H232" t="s">
        <v>79</v>
      </c>
      <c r="I232" t="s">
        <v>80</v>
      </c>
      <c r="J232">
        <v>5</v>
      </c>
      <c r="K232">
        <v>5</v>
      </c>
      <c r="L232" t="s">
        <v>81</v>
      </c>
      <c r="M232" t="s">
        <v>82</v>
      </c>
      <c r="N232" t="s">
        <v>83</v>
      </c>
      <c r="O232" t="s">
        <v>83</v>
      </c>
      <c r="P232" t="s">
        <v>84</v>
      </c>
      <c r="Q232" t="s">
        <v>449</v>
      </c>
      <c r="R232">
        <v>3</v>
      </c>
      <c r="S232" t="s">
        <v>86</v>
      </c>
      <c r="T232" t="s">
        <v>87</v>
      </c>
      <c r="U232" t="s">
        <v>88</v>
      </c>
      <c r="V232">
        <v>1</v>
      </c>
      <c r="W232" t="s">
        <v>450</v>
      </c>
      <c r="X232" t="s">
        <v>83</v>
      </c>
      <c r="Y232" t="s">
        <v>90</v>
      </c>
      <c r="Z232">
        <v>4000</v>
      </c>
      <c r="AA232">
        <v>4000</v>
      </c>
      <c r="AC232">
        <v>256</v>
      </c>
      <c r="AD232" t="s">
        <v>91</v>
      </c>
      <c r="AE232">
        <v>0.15</v>
      </c>
      <c r="AF232" t="s">
        <v>92</v>
      </c>
      <c r="AG232">
        <v>180</v>
      </c>
      <c r="AH232">
        <v>60</v>
      </c>
      <c r="AI232">
        <v>120</v>
      </c>
      <c r="AJ232">
        <v>0.1138168043810884</v>
      </c>
      <c r="AK232">
        <v>19.0164929278843</v>
      </c>
      <c r="AL232">
        <v>0.72949619976003122</v>
      </c>
      <c r="AM232">
        <v>-0.1253708438835584</v>
      </c>
      <c r="AN232">
        <v>23.598237964491009</v>
      </c>
      <c r="AO232">
        <v>0.67630315046312195</v>
      </c>
      <c r="AP232">
        <v>23.598237964491009</v>
      </c>
      <c r="AQ232">
        <v>23.598237964491009</v>
      </c>
      <c r="AR232">
        <v>0.67630315046312195</v>
      </c>
      <c r="AS232">
        <v>122.0989093493147</v>
      </c>
      <c r="AT232">
        <v>-0.1037735282396612</v>
      </c>
      <c r="AU232">
        <v>0.8</v>
      </c>
      <c r="AV232" t="s">
        <v>93</v>
      </c>
      <c r="AW232">
        <v>6.7106948788823118E-2</v>
      </c>
      <c r="AX232">
        <v>0.51271678529090048</v>
      </c>
      <c r="AY232">
        <v>6.7106948788823118E-2</v>
      </c>
      <c r="AZ232">
        <v>6.7106948788823118E-2</v>
      </c>
      <c r="BA232">
        <v>0.51271678529090048</v>
      </c>
      <c r="BB232">
        <v>7.0022959093234388E-2</v>
      </c>
      <c r="BC232">
        <v>0.49154278020046122</v>
      </c>
      <c r="BD232">
        <v>8.0317631070541337E-2</v>
      </c>
      <c r="BE232">
        <v>0.72171656274172324</v>
      </c>
      <c r="BF232">
        <v>8.0317631070541337E-2</v>
      </c>
      <c r="BG232">
        <v>8.0317631070541337E-2</v>
      </c>
      <c r="BH232">
        <v>0.72171656274172324</v>
      </c>
      <c r="BI232">
        <v>0.1506369711279989</v>
      </c>
      <c r="BJ232">
        <v>0.47807506838868219</v>
      </c>
      <c r="BK232">
        <v>6.5052824437709197E-2</v>
      </c>
      <c r="BL232">
        <v>0.73883348621488254</v>
      </c>
      <c r="BM232">
        <v>6.5052824437709197E-2</v>
      </c>
      <c r="BN232">
        <v>6.5052824437709197E-2</v>
      </c>
      <c r="BO232">
        <v>0.73883348621488254</v>
      </c>
      <c r="BP232">
        <v>0.49734813773456638</v>
      </c>
      <c r="BQ232">
        <v>-0.99669546084094951</v>
      </c>
      <c r="BR232">
        <v>94.180474453667159</v>
      </c>
      <c r="BS232">
        <v>0.73194576760498065</v>
      </c>
      <c r="BT232">
        <v>94.180474453667159</v>
      </c>
      <c r="BU232">
        <v>94.180474453667159</v>
      </c>
      <c r="BV232">
        <v>0.73194576760498065</v>
      </c>
      <c r="BW232">
        <v>487.6776293293031</v>
      </c>
      <c r="BX232">
        <v>-0.38801650070684102</v>
      </c>
      <c r="BY232" t="str">
        <f t="shared" si="10"/>
        <v>[[sv,wv],[yr],[ya]]</v>
      </c>
      <c r="BZ232" t="str">
        <f>SUBSTITUTE(TRIM(MID(SUBSTITUTE(SUBSTITUTE(SUBSTITUTE(Tabla1[[#This Row],[map]],"[",""),"]",""),",",REPT(" ",100)),901,200))," ",", ")</f>
        <v>2, 4</v>
      </c>
      <c r="CA232" t="str">
        <f>SUBSTITUTE(TRIM(MID(SUBSTITUTE(SUBSTITUTE(SUBSTITUTE(Tabla1[[#This Row],[map]],"[",""),"]",""),",",REPT(" ",100)),1501,200))," ",", ")</f>
        <v>3, 2</v>
      </c>
      <c r="CB232" t="str">
        <f>SUBSTITUTE(TRIM(MID(SUBSTITUTE(SUBSTITUTE(SUBSTITUTE(Tabla1[[#This Row],[map]],"[",""),"]",""),",",REPT(" ",100)),601,300))," ",", ")</f>
        <v>1, 3, 0</v>
      </c>
      <c r="CC232" t="str">
        <f>SUBSTITUTE(TRIM(MID(SUBSTITUTE(SUBSTITUTE(SUBSTITUTE(Tabla1[[#This Row],[map]],"[",""),"]",""),",",REPT(" ",100)),1201,300))," ",", ")</f>
        <v>0, 1, 4</v>
      </c>
      <c r="CD232" t="str">
        <f>SUBSTITUTE(TRIM(MID(SUBSTITUTE(SUBSTITUTE(SUBSTITUTE(Tabla1[[#This Row],[map]],"[",""),"]",""),",",REPT(" ",100)),1,300))," ",", ")</f>
        <v>4, 2, 3</v>
      </c>
      <c r="CE232" t="str">
        <f>SUBSTITUTE(TRIM(MID(SUBSTITUTE(SUBSTITUTE(SUBSTITUTE(Tabla1[[#This Row],[map]],"[",""),"]",""),",",REPT(" ",100)),1,600))," ",", ")</f>
        <v>4, 2, 3, 0, 1, -1</v>
      </c>
      <c r="CF232" t="str">
        <f>SUBSTITUTE(TRIM(MID(SUBSTITUTE(SUBSTITUTE(SUBSTITUTE(Tabla1[[#This Row],[map]],"[",""),"]",""),",",REPT(" ",100)),601,600))," ",", ")</f>
        <v>1, 3, 0, 2, 4, -1</v>
      </c>
      <c r="CG232" t="str">
        <f>SUBSTITUTE(TRIM(MID(SUBSTITUTE(SUBSTITUTE(SUBSTITUTE(Tabla1[[#This Row],[map]],"[",""),"]",""),",",REPT(" ",100)),1201,600))," ",", ")</f>
        <v>0, 1, 4, 3, 2, -1</v>
      </c>
    </row>
    <row r="233" spans="1:85" x14ac:dyDescent="0.3">
      <c r="A233" s="1">
        <v>46106.568807870368</v>
      </c>
      <c r="B233" t="s">
        <v>451</v>
      </c>
      <c r="C233">
        <v>3</v>
      </c>
      <c r="D233" t="s">
        <v>96</v>
      </c>
      <c r="E233" t="s">
        <v>78</v>
      </c>
      <c r="F233">
        <v>16590</v>
      </c>
      <c r="G233">
        <v>4.5</v>
      </c>
      <c r="H233" t="s">
        <v>79</v>
      </c>
      <c r="I233" t="s">
        <v>80</v>
      </c>
      <c r="J233">
        <v>5</v>
      </c>
      <c r="K233">
        <v>5</v>
      </c>
      <c r="L233" t="s">
        <v>81</v>
      </c>
      <c r="M233" t="s">
        <v>82</v>
      </c>
      <c r="N233" t="s">
        <v>83</v>
      </c>
      <c r="O233" t="s">
        <v>83</v>
      </c>
      <c r="P233" t="s">
        <v>84</v>
      </c>
      <c r="Q233" t="s">
        <v>401</v>
      </c>
      <c r="R233">
        <v>3</v>
      </c>
      <c r="S233" t="s">
        <v>86</v>
      </c>
      <c r="T233" t="s">
        <v>87</v>
      </c>
      <c r="U233" t="s">
        <v>88</v>
      </c>
      <c r="V233">
        <v>1</v>
      </c>
      <c r="W233" t="s">
        <v>402</v>
      </c>
      <c r="X233" t="s">
        <v>83</v>
      </c>
      <c r="Y233" t="s">
        <v>90</v>
      </c>
      <c r="Z233">
        <v>4000</v>
      </c>
      <c r="AA233">
        <v>4000</v>
      </c>
      <c r="AC233">
        <v>256</v>
      </c>
      <c r="AD233" t="s">
        <v>91</v>
      </c>
      <c r="AE233">
        <v>0.15</v>
      </c>
      <c r="AF233" t="s">
        <v>92</v>
      </c>
      <c r="AG233">
        <v>180</v>
      </c>
      <c r="AH233">
        <v>60</v>
      </c>
      <c r="AI233">
        <v>120</v>
      </c>
      <c r="AJ233">
        <v>0.1032487947899009</v>
      </c>
      <c r="AK233">
        <v>30.96823200341386</v>
      </c>
      <c r="AL233">
        <v>0.75073547884803005</v>
      </c>
      <c r="AM233">
        <v>-4.7534322147518598E-2</v>
      </c>
      <c r="AN233">
        <v>36.082261783727283</v>
      </c>
      <c r="AO233">
        <v>0.70295229557470185</v>
      </c>
      <c r="AP233">
        <v>36.082261783727283</v>
      </c>
      <c r="AQ233">
        <v>36.082261783727283</v>
      </c>
      <c r="AR233">
        <v>0.70295229557470185</v>
      </c>
      <c r="AS233">
        <v>109.651982820884</v>
      </c>
      <c r="AT233">
        <v>-7.3405316759801054E-2</v>
      </c>
      <c r="AU233">
        <v>0.8</v>
      </c>
      <c r="AV233" t="s">
        <v>93</v>
      </c>
      <c r="AW233">
        <v>6.5215172968353843E-2</v>
      </c>
      <c r="AX233">
        <v>0.52645352373520204</v>
      </c>
      <c r="AY233">
        <v>6.5215172968353843E-2</v>
      </c>
      <c r="AZ233">
        <v>6.5215172968353843E-2</v>
      </c>
      <c r="BA233">
        <v>0.52645352373520204</v>
      </c>
      <c r="BB233">
        <v>0.14704824421459409</v>
      </c>
      <c r="BC233">
        <v>-6.7760380280475818E-2</v>
      </c>
      <c r="BD233">
        <v>4.9189226079850032E-2</v>
      </c>
      <c r="BE233">
        <v>0.82956983756713676</v>
      </c>
      <c r="BF233">
        <v>4.9189226079850032E-2</v>
      </c>
      <c r="BG233">
        <v>4.9189226079850032E-2</v>
      </c>
      <c r="BH233">
        <v>0.82956983756713676</v>
      </c>
      <c r="BI233">
        <v>0.25246062184345419</v>
      </c>
      <c r="BJ233">
        <v>0.1252778663596992</v>
      </c>
      <c r="BK233">
        <v>3.3339805748618903E-2</v>
      </c>
      <c r="BL233">
        <v>0.86615122536336042</v>
      </c>
      <c r="BM233">
        <v>3.3339805748618903E-2</v>
      </c>
      <c r="BN233">
        <v>3.3339805748618903E-2</v>
      </c>
      <c r="BO233">
        <v>0.86615122536336042</v>
      </c>
      <c r="BP233">
        <v>0.27516576374133062</v>
      </c>
      <c r="BQ233">
        <v>-0.1047035059662236</v>
      </c>
      <c r="BR233">
        <v>144.18130293011211</v>
      </c>
      <c r="BS233">
        <v>0.58963459563310705</v>
      </c>
      <c r="BT233">
        <v>144.18130293011211</v>
      </c>
      <c r="BU233">
        <v>144.18130293011211</v>
      </c>
      <c r="BV233">
        <v>0.58963459563310705</v>
      </c>
      <c r="BW233">
        <v>437.93325665373578</v>
      </c>
      <c r="BX233">
        <v>-0.24643524715220069</v>
      </c>
      <c r="BY233" t="str">
        <f t="shared" si="10"/>
        <v>[[sv,wv],[yr],[ya]]</v>
      </c>
      <c r="BZ233" t="str">
        <f>SUBSTITUTE(TRIM(MID(SUBSTITUTE(SUBSTITUTE(SUBSTITUTE(Tabla1[[#This Row],[map]],"[",""),"]",""),",",REPT(" ",100)),901,200))," ",", ")</f>
        <v>2, 3</v>
      </c>
      <c r="CA233" t="str">
        <f>SUBSTITUTE(TRIM(MID(SUBSTITUTE(SUBSTITUTE(SUBSTITUTE(Tabla1[[#This Row],[map]],"[",""),"]",""),",",REPT(" ",100)),1501,200))," ",", ")</f>
        <v>3, 4</v>
      </c>
      <c r="CB233" t="str">
        <f>SUBSTITUTE(TRIM(MID(SUBSTITUTE(SUBSTITUTE(SUBSTITUTE(Tabla1[[#This Row],[map]],"[",""),"]",""),",",REPT(" ",100)),601,300))," ",", ")</f>
        <v>1, 4, 0</v>
      </c>
      <c r="CC233" t="str">
        <f>SUBSTITUTE(TRIM(MID(SUBSTITUTE(SUBSTITUTE(SUBSTITUTE(Tabla1[[#This Row],[map]],"[",""),"]",""),",",REPT(" ",100)),1201,300))," ",", ")</f>
        <v>0, 1, 2</v>
      </c>
      <c r="CD233" t="str">
        <f>SUBSTITUTE(TRIM(MID(SUBSTITUTE(SUBSTITUTE(SUBSTITUTE(Tabla1[[#This Row],[map]],"[",""),"]",""),",",REPT(" ",100)),1,300))," ",", ")</f>
        <v>2, 3, 4</v>
      </c>
      <c r="CE233" t="str">
        <f>SUBSTITUTE(TRIM(MID(SUBSTITUTE(SUBSTITUTE(SUBSTITUTE(Tabla1[[#This Row],[map]],"[",""),"]",""),",",REPT(" ",100)),1,600))," ",", ")</f>
        <v>2, 3, 4, 0, 1, -1</v>
      </c>
      <c r="CF233" t="str">
        <f>SUBSTITUTE(TRIM(MID(SUBSTITUTE(SUBSTITUTE(SUBSTITUTE(Tabla1[[#This Row],[map]],"[",""),"]",""),",",REPT(" ",100)),601,600))," ",", ")</f>
        <v>1, 4, 0, 2, 3, -1</v>
      </c>
      <c r="CG233" t="str">
        <f>SUBSTITUTE(TRIM(MID(SUBSTITUTE(SUBSTITUTE(SUBSTITUTE(Tabla1[[#This Row],[map]],"[",""),"]",""),",",REPT(" ",100)),1201,600))," ",", ")</f>
        <v>0, 1, 2, 3, 4, -1</v>
      </c>
    </row>
    <row r="234" spans="1:85" x14ac:dyDescent="0.3">
      <c r="A234" s="1">
        <v>46106.571226851847</v>
      </c>
      <c r="B234" t="s">
        <v>452</v>
      </c>
      <c r="C234">
        <v>2</v>
      </c>
      <c r="D234" t="s">
        <v>96</v>
      </c>
      <c r="E234" t="s">
        <v>78</v>
      </c>
      <c r="F234">
        <v>16590</v>
      </c>
      <c r="G234">
        <v>4.5</v>
      </c>
      <c r="H234" t="s">
        <v>79</v>
      </c>
      <c r="I234" t="s">
        <v>80</v>
      </c>
      <c r="J234">
        <v>5</v>
      </c>
      <c r="K234">
        <v>5</v>
      </c>
      <c r="L234" t="s">
        <v>81</v>
      </c>
      <c r="M234" t="s">
        <v>82</v>
      </c>
      <c r="N234" t="s">
        <v>83</v>
      </c>
      <c r="O234" t="s">
        <v>83</v>
      </c>
      <c r="P234" t="s">
        <v>84</v>
      </c>
      <c r="Q234" t="s">
        <v>401</v>
      </c>
      <c r="R234">
        <v>3</v>
      </c>
      <c r="S234" t="s">
        <v>86</v>
      </c>
      <c r="T234" t="s">
        <v>87</v>
      </c>
      <c r="U234" t="s">
        <v>88</v>
      </c>
      <c r="V234">
        <v>1</v>
      </c>
      <c r="W234" t="s">
        <v>402</v>
      </c>
      <c r="X234" t="s">
        <v>83</v>
      </c>
      <c r="Y234" t="s">
        <v>90</v>
      </c>
      <c r="Z234">
        <v>4000</v>
      </c>
      <c r="AA234">
        <v>4000</v>
      </c>
      <c r="AC234">
        <v>256</v>
      </c>
      <c r="AD234" t="s">
        <v>91</v>
      </c>
      <c r="AE234">
        <v>0.15</v>
      </c>
      <c r="AF234" t="s">
        <v>92</v>
      </c>
      <c r="AG234">
        <v>180</v>
      </c>
      <c r="AH234">
        <v>60</v>
      </c>
      <c r="AI234">
        <v>120</v>
      </c>
      <c r="AJ234">
        <v>8.87734562118766E-2</v>
      </c>
      <c r="AK234">
        <v>21.282217780744588</v>
      </c>
      <c r="AL234">
        <v>0.7651583399371662</v>
      </c>
      <c r="AM234">
        <v>0.40907636510799261</v>
      </c>
      <c r="AN234">
        <v>28.765200228589869</v>
      </c>
      <c r="AO234">
        <v>0.7002643651279864</v>
      </c>
      <c r="AP234">
        <v>28.765200228589869</v>
      </c>
      <c r="AQ234">
        <v>28.765200228589869</v>
      </c>
      <c r="AR234">
        <v>0.7002643651279864</v>
      </c>
      <c r="AS234">
        <v>69.823775815533807</v>
      </c>
      <c r="AT234">
        <v>0.20687051891089481</v>
      </c>
      <c r="AU234">
        <v>0.8</v>
      </c>
      <c r="AV234" t="s">
        <v>93</v>
      </c>
      <c r="AW234">
        <v>6.575815070601243E-2</v>
      </c>
      <c r="AX234">
        <v>0.5225108033121002</v>
      </c>
      <c r="AY234">
        <v>6.575815070601243E-2</v>
      </c>
      <c r="AZ234">
        <v>6.575815070601243E-2</v>
      </c>
      <c r="BA234">
        <v>0.5225108033121002</v>
      </c>
      <c r="BB234">
        <v>0.17808854594791559</v>
      </c>
      <c r="BC234">
        <v>-0.2931531046874678</v>
      </c>
      <c r="BD234">
        <v>7.9900070518299574E-2</v>
      </c>
      <c r="BE234">
        <v>0.72316332087181845</v>
      </c>
      <c r="BF234">
        <v>7.9900070518299574E-2</v>
      </c>
      <c r="BG234">
        <v>7.9900070518299574E-2</v>
      </c>
      <c r="BH234">
        <v>0.72316332087181845</v>
      </c>
      <c r="BI234">
        <v>0.1451055004200176</v>
      </c>
      <c r="BJ234">
        <v>0.49724043296920079</v>
      </c>
      <c r="BK234">
        <v>2.9300266954588459E-2</v>
      </c>
      <c r="BL234">
        <v>0.88236869590757738</v>
      </c>
      <c r="BM234">
        <v>2.9300266954588459E-2</v>
      </c>
      <c r="BN234">
        <v>2.9300266954588459E-2</v>
      </c>
      <c r="BO234">
        <v>0.88236869590757738</v>
      </c>
      <c r="BP234">
        <v>0.14522074206022129</v>
      </c>
      <c r="BQ234">
        <v>0.41698465422554781</v>
      </c>
      <c r="BR234">
        <v>114.8858424261802</v>
      </c>
      <c r="BS234">
        <v>0.67301464042045089</v>
      </c>
      <c r="BT234">
        <v>114.8858424261802</v>
      </c>
      <c r="BU234">
        <v>114.8858424261802</v>
      </c>
      <c r="BV234">
        <v>0.67301464042045089</v>
      </c>
      <c r="BW234">
        <v>278.82668847370701</v>
      </c>
      <c r="BX234">
        <v>0.20641009313630099</v>
      </c>
      <c r="BY234" t="str">
        <f t="shared" si="10"/>
        <v>[[sv,wv],[yr],[ya]]</v>
      </c>
      <c r="BZ234" t="str">
        <f>SUBSTITUTE(TRIM(MID(SUBSTITUTE(SUBSTITUTE(SUBSTITUTE(Tabla1[[#This Row],[map]],"[",""),"]",""),",",REPT(" ",100)),901,200))," ",", ")</f>
        <v>2, 3</v>
      </c>
      <c r="CA234" t="str">
        <f>SUBSTITUTE(TRIM(MID(SUBSTITUTE(SUBSTITUTE(SUBSTITUTE(Tabla1[[#This Row],[map]],"[",""),"]",""),",",REPT(" ",100)),1501,200))," ",", ")</f>
        <v>3, 4</v>
      </c>
      <c r="CB234" t="str">
        <f>SUBSTITUTE(TRIM(MID(SUBSTITUTE(SUBSTITUTE(SUBSTITUTE(Tabla1[[#This Row],[map]],"[",""),"]",""),",",REPT(" ",100)),601,300))," ",", ")</f>
        <v>1, 4, 0</v>
      </c>
      <c r="CC234" t="str">
        <f>SUBSTITUTE(TRIM(MID(SUBSTITUTE(SUBSTITUTE(SUBSTITUTE(Tabla1[[#This Row],[map]],"[",""),"]",""),",",REPT(" ",100)),1201,300))," ",", ")</f>
        <v>0, 1, 2</v>
      </c>
      <c r="CD234" t="str">
        <f>SUBSTITUTE(TRIM(MID(SUBSTITUTE(SUBSTITUTE(SUBSTITUTE(Tabla1[[#This Row],[map]],"[",""),"]",""),",",REPT(" ",100)),1,300))," ",", ")</f>
        <v>2, 3, 4</v>
      </c>
      <c r="CE234" t="str">
        <f>SUBSTITUTE(TRIM(MID(SUBSTITUTE(SUBSTITUTE(SUBSTITUTE(Tabla1[[#This Row],[map]],"[",""),"]",""),",",REPT(" ",100)),1,600))," ",", ")</f>
        <v>2, 3, 4, 0, 1, -1</v>
      </c>
      <c r="CF234" t="str">
        <f>SUBSTITUTE(TRIM(MID(SUBSTITUTE(SUBSTITUTE(SUBSTITUTE(Tabla1[[#This Row],[map]],"[",""),"]",""),",",REPT(" ",100)),601,600))," ",", ")</f>
        <v>1, 4, 0, 2, 3, -1</v>
      </c>
      <c r="CG234" t="str">
        <f>SUBSTITUTE(TRIM(MID(SUBSTITUTE(SUBSTITUTE(SUBSTITUTE(Tabla1[[#This Row],[map]],"[",""),"]",""),",",REPT(" ",100)),1201,600))," ",", ")</f>
        <v>0, 1, 2, 3, 4, -1</v>
      </c>
    </row>
    <row r="235" spans="1:85" x14ac:dyDescent="0.3">
      <c r="A235" s="1">
        <v>46106.585509259261</v>
      </c>
      <c r="B235" t="s">
        <v>453</v>
      </c>
      <c r="C235">
        <v>5</v>
      </c>
      <c r="D235" t="s">
        <v>77</v>
      </c>
      <c r="E235" t="s">
        <v>78</v>
      </c>
      <c r="F235">
        <v>16590</v>
      </c>
      <c r="G235">
        <v>4.5</v>
      </c>
      <c r="H235" t="s">
        <v>79</v>
      </c>
      <c r="I235" t="s">
        <v>80</v>
      </c>
      <c r="J235">
        <v>5</v>
      </c>
      <c r="K235">
        <v>5</v>
      </c>
      <c r="L235" t="s">
        <v>81</v>
      </c>
      <c r="M235" t="s">
        <v>82</v>
      </c>
      <c r="N235" t="s">
        <v>83</v>
      </c>
      <c r="O235" t="s">
        <v>83</v>
      </c>
      <c r="P235" t="s">
        <v>84</v>
      </c>
      <c r="Q235" t="s">
        <v>387</v>
      </c>
      <c r="R235">
        <v>3</v>
      </c>
      <c r="S235" t="s">
        <v>86</v>
      </c>
      <c r="T235" t="s">
        <v>87</v>
      </c>
      <c r="U235" t="s">
        <v>88</v>
      </c>
      <c r="V235">
        <v>1</v>
      </c>
      <c r="W235" t="s">
        <v>388</v>
      </c>
      <c r="X235" t="s">
        <v>83</v>
      </c>
      <c r="Y235" t="s">
        <v>90</v>
      </c>
      <c r="Z235">
        <v>4000</v>
      </c>
      <c r="AA235">
        <v>4000</v>
      </c>
      <c r="AC235">
        <v>256</v>
      </c>
      <c r="AD235" t="s">
        <v>91</v>
      </c>
      <c r="AE235">
        <v>0.15</v>
      </c>
      <c r="AF235" t="s">
        <v>92</v>
      </c>
      <c r="AG235">
        <v>180</v>
      </c>
      <c r="AH235">
        <v>60</v>
      </c>
      <c r="AI235">
        <v>120</v>
      </c>
      <c r="AJ235">
        <v>9.0162374111319443E-2</v>
      </c>
      <c r="AK235">
        <v>19.965963714762129</v>
      </c>
      <c r="AL235">
        <v>0.79854401138939624</v>
      </c>
      <c r="AM235">
        <v>-2.3324701562065401E-2</v>
      </c>
      <c r="AN235">
        <v>26.113438930777338</v>
      </c>
      <c r="AO235">
        <v>0.72792352706755026</v>
      </c>
      <c r="AP235">
        <v>26.113438930777338</v>
      </c>
      <c r="AQ235">
        <v>26.113438930777338</v>
      </c>
      <c r="AR235">
        <v>0.72792352706755026</v>
      </c>
      <c r="AS235">
        <v>106.82735084066459</v>
      </c>
      <c r="AT235">
        <v>-5.9851665071268517E-2</v>
      </c>
      <c r="AU235">
        <v>0.8</v>
      </c>
      <c r="AV235" t="s">
        <v>93</v>
      </c>
      <c r="AW235">
        <v>6.1711659772667432E-2</v>
      </c>
      <c r="AX235">
        <v>0.55189355943317686</v>
      </c>
      <c r="AY235">
        <v>6.1711659772667432E-2</v>
      </c>
      <c r="AZ235">
        <v>6.1711659772667432E-2</v>
      </c>
      <c r="BA235">
        <v>0.55189355943317686</v>
      </c>
      <c r="BB235">
        <v>0.15853251199012711</v>
      </c>
      <c r="BC235">
        <v>-0.1511510130128921</v>
      </c>
      <c r="BD235">
        <v>5.4946689147158327E-2</v>
      </c>
      <c r="BE235">
        <v>0.80962145772945271</v>
      </c>
      <c r="BF235">
        <v>5.4946689147158327E-2</v>
      </c>
      <c r="BG235">
        <v>5.4946689147158327E-2</v>
      </c>
      <c r="BH235">
        <v>0.80962145772945271</v>
      </c>
      <c r="BI235">
        <v>0.23551200190713981</v>
      </c>
      <c r="BJ235">
        <v>0.18400121451870211</v>
      </c>
      <c r="BK235">
        <v>3.8102025924176948E-2</v>
      </c>
      <c r="BL235">
        <v>0.84703241765780768</v>
      </c>
      <c r="BM235">
        <v>3.8102025924176948E-2</v>
      </c>
      <c r="BN235">
        <v>3.8102025924176948E-2</v>
      </c>
      <c r="BO235">
        <v>0.84703241765780768</v>
      </c>
      <c r="BP235">
        <v>0.26351528153220399</v>
      </c>
      <c r="BQ235">
        <v>-5.7930504966295697E-2</v>
      </c>
      <c r="BR235">
        <v>104.29899534826529</v>
      </c>
      <c r="BS235">
        <v>0.70314667344976045</v>
      </c>
      <c r="BT235">
        <v>104.29899534826529</v>
      </c>
      <c r="BU235">
        <v>104.29899534826529</v>
      </c>
      <c r="BV235">
        <v>0.70314667344976045</v>
      </c>
      <c r="BW235">
        <v>426.65184356722892</v>
      </c>
      <c r="BX235">
        <v>-0.21432635682459431</v>
      </c>
      <c r="BY235" t="str">
        <f t="shared" si="10"/>
        <v>[[sv,wv],[yr],[ya]]</v>
      </c>
      <c r="BZ235" t="str">
        <f>SUBSTITUTE(TRIM(MID(SUBSTITUTE(SUBSTITUTE(SUBSTITUTE(Tabla1[[#This Row],[map]],"[",""),"]",""),",",REPT(" ",100)),901,200))," ",", ")</f>
        <v>2, 4</v>
      </c>
      <c r="CA235" t="str">
        <f>SUBSTITUTE(TRIM(MID(SUBSTITUTE(SUBSTITUTE(SUBSTITUTE(Tabla1[[#This Row],[map]],"[",""),"]",""),",",REPT(" ",100)),1501,200))," ",", ")</f>
        <v>3, 2</v>
      </c>
      <c r="CB235" t="str">
        <f>SUBSTITUTE(TRIM(MID(SUBSTITUTE(SUBSTITUTE(SUBSTITUTE(Tabla1[[#This Row],[map]],"[",""),"]",""),",",REPT(" ",100)),601,300))," ",", ")</f>
        <v>1, 3, 0</v>
      </c>
      <c r="CC235" t="str">
        <f>SUBSTITUTE(TRIM(MID(SUBSTITUTE(SUBSTITUTE(SUBSTITUTE(Tabla1[[#This Row],[map]],"[",""),"]",""),",",REPT(" ",100)),1201,300))," ",", ")</f>
        <v>0, 1, 4</v>
      </c>
      <c r="CD235" t="str">
        <f>SUBSTITUTE(TRIM(MID(SUBSTITUTE(SUBSTITUTE(SUBSTITUTE(Tabla1[[#This Row],[map]],"[",""),"]",""),",",REPT(" ",100)),1,300))," ",", ")</f>
        <v>2, 3, 4</v>
      </c>
      <c r="CE235" t="str">
        <f>SUBSTITUTE(TRIM(MID(SUBSTITUTE(SUBSTITUTE(SUBSTITUTE(Tabla1[[#This Row],[map]],"[",""),"]",""),",",REPT(" ",100)),1,600))," ",", ")</f>
        <v>2, 3, 4, 0, 1, -1</v>
      </c>
      <c r="CF235" t="str">
        <f>SUBSTITUTE(TRIM(MID(SUBSTITUTE(SUBSTITUTE(SUBSTITUTE(Tabla1[[#This Row],[map]],"[",""),"]",""),",",REPT(" ",100)),601,600))," ",", ")</f>
        <v>1, 3, 0, 2, 4, -1</v>
      </c>
      <c r="CG235" t="str">
        <f>SUBSTITUTE(TRIM(MID(SUBSTITUTE(SUBSTITUTE(SUBSTITUTE(Tabla1[[#This Row],[map]],"[",""),"]",""),",",REPT(" ",100)),1201,600))," ",", ")</f>
        <v>0, 1, 4, 3, 2, -1</v>
      </c>
    </row>
    <row r="236" spans="1:85" x14ac:dyDescent="0.3">
      <c r="A236" s="1">
        <v>46106.586030092592</v>
      </c>
      <c r="B236" t="s">
        <v>454</v>
      </c>
      <c r="C236">
        <v>4</v>
      </c>
      <c r="D236" t="s">
        <v>96</v>
      </c>
      <c r="E236" t="s">
        <v>78</v>
      </c>
      <c r="F236">
        <v>16590</v>
      </c>
      <c r="G236">
        <v>4.5</v>
      </c>
      <c r="H236" t="s">
        <v>79</v>
      </c>
      <c r="I236" t="s">
        <v>80</v>
      </c>
      <c r="J236">
        <v>5</v>
      </c>
      <c r="K236">
        <v>5</v>
      </c>
      <c r="L236" t="s">
        <v>81</v>
      </c>
      <c r="M236" t="s">
        <v>82</v>
      </c>
      <c r="N236" t="s">
        <v>83</v>
      </c>
      <c r="O236" t="s">
        <v>83</v>
      </c>
      <c r="P236" t="s">
        <v>84</v>
      </c>
      <c r="Q236" t="s">
        <v>387</v>
      </c>
      <c r="R236">
        <v>3</v>
      </c>
      <c r="S236" t="s">
        <v>86</v>
      </c>
      <c r="T236" t="s">
        <v>87</v>
      </c>
      <c r="U236" t="s">
        <v>88</v>
      </c>
      <c r="V236">
        <v>1</v>
      </c>
      <c r="W236" t="s">
        <v>388</v>
      </c>
      <c r="X236" t="s">
        <v>83</v>
      </c>
      <c r="Y236" t="s">
        <v>90</v>
      </c>
      <c r="Z236">
        <v>4000</v>
      </c>
      <c r="AA236">
        <v>4000</v>
      </c>
      <c r="AC236">
        <v>256</v>
      </c>
      <c r="AD236" t="s">
        <v>91</v>
      </c>
      <c r="AE236">
        <v>0.15</v>
      </c>
      <c r="AF236" t="s">
        <v>92</v>
      </c>
      <c r="AG236">
        <v>180</v>
      </c>
      <c r="AH236">
        <v>60</v>
      </c>
      <c r="AI236">
        <v>120</v>
      </c>
      <c r="AJ236">
        <v>8.9568928273841109E-2</v>
      </c>
      <c r="AK236">
        <v>13.80654442308925</v>
      </c>
      <c r="AL236">
        <v>0.8342322618158815</v>
      </c>
      <c r="AM236">
        <v>-0.34135198781649467</v>
      </c>
      <c r="AN236">
        <v>20.26073877410915</v>
      </c>
      <c r="AO236">
        <v>0.76103913170010529</v>
      </c>
      <c r="AP236">
        <v>20.26073877410915</v>
      </c>
      <c r="AQ236">
        <v>20.26073877410915</v>
      </c>
      <c r="AR236">
        <v>0.76103913170010529</v>
      </c>
      <c r="AS236">
        <v>100.9478981228288</v>
      </c>
      <c r="AT236">
        <v>-0.26851741347429198</v>
      </c>
      <c r="AU236">
        <v>0.8</v>
      </c>
      <c r="AV236" t="s">
        <v>93</v>
      </c>
      <c r="AW236">
        <v>6.2488141089866438E-2</v>
      </c>
      <c r="AX236">
        <v>0.54625530111216514</v>
      </c>
      <c r="AY236">
        <v>6.2488141089866438E-2</v>
      </c>
      <c r="AZ236">
        <v>6.2488141089866438E-2</v>
      </c>
      <c r="BA236">
        <v>0.54625530111216514</v>
      </c>
      <c r="BB236">
        <v>0.19350956581289941</v>
      </c>
      <c r="BC236">
        <v>-0.40512964764651449</v>
      </c>
      <c r="BD236">
        <v>4.4423798222514042E-2</v>
      </c>
      <c r="BE236">
        <v>0.84608102728314183</v>
      </c>
      <c r="BF236">
        <v>4.4423798222514042E-2</v>
      </c>
      <c r="BG236">
        <v>4.4423798222514042E-2</v>
      </c>
      <c r="BH236">
        <v>0.84608102728314183</v>
      </c>
      <c r="BI236">
        <v>0.34023000589750718</v>
      </c>
      <c r="BJ236">
        <v>-0.17882430342605901</v>
      </c>
      <c r="BK236">
        <v>2.9368476353462781E-2</v>
      </c>
      <c r="BL236">
        <v>0.88209485674585986</v>
      </c>
      <c r="BM236">
        <v>2.9368476353462781E-2</v>
      </c>
      <c r="BN236">
        <v>2.9368476353462781E-2</v>
      </c>
      <c r="BO236">
        <v>0.88209485674585986</v>
      </c>
      <c r="BP236">
        <v>0.33460297431483371</v>
      </c>
      <c r="BQ236">
        <v>-0.34332510631591601</v>
      </c>
      <c r="BR236">
        <v>80.906674680770607</v>
      </c>
      <c r="BS236">
        <v>0.76972534165925455</v>
      </c>
      <c r="BT236">
        <v>80.906674680770607</v>
      </c>
      <c r="BU236">
        <v>80.906674680770607</v>
      </c>
      <c r="BV236">
        <v>0.76972534165925455</v>
      </c>
      <c r="BW236">
        <v>402.92324994529008</v>
      </c>
      <c r="BX236">
        <v>-0.14679059650867801</v>
      </c>
      <c r="BY236" t="str">
        <f t="shared" si="10"/>
        <v>[[sv,wv],[yr],[ya]]</v>
      </c>
      <c r="BZ236" t="str">
        <f>SUBSTITUTE(TRIM(MID(SUBSTITUTE(SUBSTITUTE(SUBSTITUTE(Tabla1[[#This Row],[map]],"[",""),"]",""),",",REPT(" ",100)),901,200))," ",", ")</f>
        <v>2, 4</v>
      </c>
      <c r="CA236" t="str">
        <f>SUBSTITUTE(TRIM(MID(SUBSTITUTE(SUBSTITUTE(SUBSTITUTE(Tabla1[[#This Row],[map]],"[",""),"]",""),",",REPT(" ",100)),1501,200))," ",", ")</f>
        <v>3, 2</v>
      </c>
      <c r="CB236" t="str">
        <f>SUBSTITUTE(TRIM(MID(SUBSTITUTE(SUBSTITUTE(SUBSTITUTE(Tabla1[[#This Row],[map]],"[",""),"]",""),",",REPT(" ",100)),601,300))," ",", ")</f>
        <v>1, 3, 0</v>
      </c>
      <c r="CC236" t="str">
        <f>SUBSTITUTE(TRIM(MID(SUBSTITUTE(SUBSTITUTE(SUBSTITUTE(Tabla1[[#This Row],[map]],"[",""),"]",""),",",REPT(" ",100)),1201,300))," ",", ")</f>
        <v>0, 1, 4</v>
      </c>
      <c r="CD236" t="str">
        <f>SUBSTITUTE(TRIM(MID(SUBSTITUTE(SUBSTITUTE(SUBSTITUTE(Tabla1[[#This Row],[map]],"[",""),"]",""),",",REPT(" ",100)),1,300))," ",", ")</f>
        <v>2, 3, 4</v>
      </c>
      <c r="CE236" t="str">
        <f>SUBSTITUTE(TRIM(MID(SUBSTITUTE(SUBSTITUTE(SUBSTITUTE(Tabla1[[#This Row],[map]],"[",""),"]",""),",",REPT(" ",100)),1,600))," ",", ")</f>
        <v>2, 3, 4, 0, 1, -1</v>
      </c>
      <c r="CF236" t="str">
        <f>SUBSTITUTE(TRIM(MID(SUBSTITUTE(SUBSTITUTE(SUBSTITUTE(Tabla1[[#This Row],[map]],"[",""),"]",""),",",REPT(" ",100)),601,600))," ",", ")</f>
        <v>1, 3, 0, 2, 4, -1</v>
      </c>
      <c r="CG236" t="str">
        <f>SUBSTITUTE(TRIM(MID(SUBSTITUTE(SUBSTITUTE(SUBSTITUTE(Tabla1[[#This Row],[map]],"[",""),"]",""),",",REPT(" ",100)),1201,600))," ",", ")</f>
        <v>0, 1, 4, 3, 2, -1</v>
      </c>
    </row>
    <row r="237" spans="1:85" x14ac:dyDescent="0.3">
      <c r="A237" s="1">
        <v>46106.689722222232</v>
      </c>
      <c r="B237" t="s">
        <v>455</v>
      </c>
      <c r="C237">
        <v>1</v>
      </c>
      <c r="D237" t="s">
        <v>77</v>
      </c>
      <c r="E237" t="s">
        <v>78</v>
      </c>
      <c r="F237">
        <v>16590</v>
      </c>
      <c r="G237">
        <v>4.5</v>
      </c>
      <c r="H237" t="s">
        <v>79</v>
      </c>
      <c r="I237" t="s">
        <v>80</v>
      </c>
      <c r="J237">
        <v>5</v>
      </c>
      <c r="K237">
        <v>5</v>
      </c>
      <c r="L237" t="s">
        <v>81</v>
      </c>
      <c r="M237" t="s">
        <v>82</v>
      </c>
      <c r="N237" t="s">
        <v>83</v>
      </c>
      <c r="O237" t="s">
        <v>83</v>
      </c>
      <c r="P237" t="s">
        <v>84</v>
      </c>
      <c r="Q237" t="s">
        <v>435</v>
      </c>
      <c r="R237">
        <v>3</v>
      </c>
      <c r="S237" t="s">
        <v>86</v>
      </c>
      <c r="T237" t="s">
        <v>87</v>
      </c>
      <c r="U237" t="s">
        <v>88</v>
      </c>
      <c r="V237">
        <v>1</v>
      </c>
      <c r="W237" t="s">
        <v>436</v>
      </c>
      <c r="X237" t="s">
        <v>83</v>
      </c>
      <c r="Y237" t="s">
        <v>90</v>
      </c>
      <c r="Z237">
        <v>4000</v>
      </c>
      <c r="AA237">
        <v>4000</v>
      </c>
      <c r="AC237">
        <v>256</v>
      </c>
      <c r="AD237" t="s">
        <v>91</v>
      </c>
      <c r="AE237">
        <v>0.15</v>
      </c>
      <c r="AF237" t="s">
        <v>92</v>
      </c>
      <c r="AG237">
        <v>180</v>
      </c>
      <c r="AH237">
        <v>60</v>
      </c>
      <c r="AI237">
        <v>120</v>
      </c>
      <c r="AJ237">
        <v>0.1026174653865868</v>
      </c>
      <c r="AK237">
        <v>16.346981648918419</v>
      </c>
      <c r="AL237">
        <v>0.75891371879018865</v>
      </c>
      <c r="AM237">
        <v>-0.10074781500993291</v>
      </c>
      <c r="AN237">
        <v>23.33171902413666</v>
      </c>
      <c r="AO237">
        <v>0.70300826909812297</v>
      </c>
      <c r="AP237">
        <v>23.33171902413666</v>
      </c>
      <c r="AQ237">
        <v>23.33171902413666</v>
      </c>
      <c r="AR237">
        <v>0.70300826909812297</v>
      </c>
      <c r="AS237">
        <v>105.87067844263829</v>
      </c>
      <c r="AT237">
        <v>-0.10459576426284969</v>
      </c>
      <c r="AU237">
        <v>0.8</v>
      </c>
      <c r="AV237" t="s">
        <v>93</v>
      </c>
      <c r="AW237">
        <v>6.5855352118643101E-2</v>
      </c>
      <c r="AX237">
        <v>0.52180499537900527</v>
      </c>
      <c r="AY237">
        <v>6.5855352118643101E-2</v>
      </c>
      <c r="AZ237">
        <v>6.5855352118643101E-2</v>
      </c>
      <c r="BA237">
        <v>0.52180499537900527</v>
      </c>
      <c r="BB237">
        <v>0.2192456449425581</v>
      </c>
      <c r="BC237">
        <v>-0.5920068578110238</v>
      </c>
      <c r="BD237">
        <v>8.4094637842288614E-2</v>
      </c>
      <c r="BE237">
        <v>0.70863004097832016</v>
      </c>
      <c r="BF237">
        <v>8.4094637842288614E-2</v>
      </c>
      <c r="BG237">
        <v>8.4094637842288614E-2</v>
      </c>
      <c r="BH237">
        <v>0.70863004097832016</v>
      </c>
      <c r="BI237">
        <v>0.24636052768275049</v>
      </c>
      <c r="BJ237">
        <v>0.1464133897561605</v>
      </c>
      <c r="BK237">
        <v>3.8187987982477502E-2</v>
      </c>
      <c r="BL237">
        <v>0.84668730718369378</v>
      </c>
      <c r="BM237">
        <v>3.8187987982477502E-2</v>
      </c>
      <c r="BN237">
        <v>3.8187987982477502E-2</v>
      </c>
      <c r="BO237">
        <v>0.84668730718369378</v>
      </c>
      <c r="BP237">
        <v>0.191634962106493</v>
      </c>
      <c r="BQ237">
        <v>0.23064624164597899</v>
      </c>
      <c r="BR237">
        <v>93.138738118602831</v>
      </c>
      <c r="BS237">
        <v>0.73491073285147712</v>
      </c>
      <c r="BT237">
        <v>93.138738118602831</v>
      </c>
      <c r="BU237">
        <v>93.138738118602831</v>
      </c>
      <c r="BV237">
        <v>0.73491073285147712</v>
      </c>
      <c r="BW237">
        <v>422.82547263582182</v>
      </c>
      <c r="BX237">
        <v>-0.20343583064252971</v>
      </c>
      <c r="BY237" t="str">
        <f t="shared" si="10"/>
        <v>[[sv,wv],[yr],[ya]]</v>
      </c>
      <c r="BZ237" t="str">
        <f>SUBSTITUTE(TRIM(MID(SUBSTITUTE(SUBSTITUTE(SUBSTITUTE(Tabla1[[#This Row],[map]],"[",""),"]",""),",",REPT(" ",100)),901,200))," ",", ")</f>
        <v>2, 4</v>
      </c>
      <c r="CA237" t="str">
        <f>SUBSTITUTE(TRIM(MID(SUBSTITUTE(SUBSTITUTE(SUBSTITUTE(Tabla1[[#This Row],[map]],"[",""),"]",""),",",REPT(" ",100)),1501,200))," ",", ")</f>
        <v>3, 4</v>
      </c>
      <c r="CB237" t="str">
        <f>SUBSTITUTE(TRIM(MID(SUBSTITUTE(SUBSTITUTE(SUBSTITUTE(Tabla1[[#This Row],[map]],"[",""),"]",""),",",REPT(" ",100)),601,300))," ",", ")</f>
        <v>1, 3, 0</v>
      </c>
      <c r="CC237" t="str">
        <f>SUBSTITUTE(TRIM(MID(SUBSTITUTE(SUBSTITUTE(SUBSTITUTE(Tabla1[[#This Row],[map]],"[",""),"]",""),",",REPT(" ",100)),1201,300))," ",", ")</f>
        <v>1, 2, 0</v>
      </c>
      <c r="CD237" t="str">
        <f>SUBSTITUTE(TRIM(MID(SUBSTITUTE(SUBSTITUTE(SUBSTITUTE(Tabla1[[#This Row],[map]],"[",""),"]",""),",",REPT(" ",100)),1,300))," ",", ")</f>
        <v>2, 3, 4</v>
      </c>
      <c r="CE237" t="str">
        <f>SUBSTITUTE(TRIM(MID(SUBSTITUTE(SUBSTITUTE(SUBSTITUTE(Tabla1[[#This Row],[map]],"[",""),"]",""),",",REPT(" ",100)),1,600))," ",", ")</f>
        <v>2, 3, 4, 0, 1, -1</v>
      </c>
      <c r="CF237" t="str">
        <f>SUBSTITUTE(TRIM(MID(SUBSTITUTE(SUBSTITUTE(SUBSTITUTE(Tabla1[[#This Row],[map]],"[",""),"]",""),",",REPT(" ",100)),601,600))," ",", ")</f>
        <v>1, 3, 0, 2, 4, -1</v>
      </c>
      <c r="CG237" t="str">
        <f>SUBSTITUTE(TRIM(MID(SUBSTITUTE(SUBSTITUTE(SUBSTITUTE(Tabla1[[#This Row],[map]],"[",""),"]",""),",",REPT(" ",100)),1201,600))," ",", ")</f>
        <v>1, 2, 0, 3, 4, -1</v>
      </c>
    </row>
    <row r="238" spans="1:85" x14ac:dyDescent="0.3">
      <c r="A238" s="1">
        <v>46106.73846064815</v>
      </c>
      <c r="B238" t="s">
        <v>456</v>
      </c>
      <c r="C238">
        <v>3</v>
      </c>
      <c r="D238" t="s">
        <v>77</v>
      </c>
      <c r="E238" t="s">
        <v>78</v>
      </c>
      <c r="F238">
        <v>16590</v>
      </c>
      <c r="G238">
        <v>4.5</v>
      </c>
      <c r="H238" t="s">
        <v>79</v>
      </c>
      <c r="I238" t="s">
        <v>80</v>
      </c>
      <c r="J238">
        <v>5</v>
      </c>
      <c r="K238">
        <v>5</v>
      </c>
      <c r="L238" t="s">
        <v>81</v>
      </c>
      <c r="M238" t="s">
        <v>82</v>
      </c>
      <c r="N238" t="s">
        <v>83</v>
      </c>
      <c r="O238" t="s">
        <v>83</v>
      </c>
      <c r="P238" t="s">
        <v>84</v>
      </c>
      <c r="Q238" t="s">
        <v>408</v>
      </c>
      <c r="R238">
        <v>3</v>
      </c>
      <c r="S238" t="s">
        <v>86</v>
      </c>
      <c r="T238" t="s">
        <v>87</v>
      </c>
      <c r="U238" t="s">
        <v>88</v>
      </c>
      <c r="V238">
        <v>1</v>
      </c>
      <c r="W238" t="s">
        <v>409</v>
      </c>
      <c r="X238" t="s">
        <v>83</v>
      </c>
      <c r="Y238" t="s">
        <v>90</v>
      </c>
      <c r="Z238">
        <v>4000</v>
      </c>
      <c r="AA238">
        <v>4000</v>
      </c>
      <c r="AC238">
        <v>256</v>
      </c>
      <c r="AD238" t="s">
        <v>91</v>
      </c>
      <c r="AE238">
        <v>0.15</v>
      </c>
      <c r="AF238" t="s">
        <v>92</v>
      </c>
      <c r="AG238">
        <v>180</v>
      </c>
      <c r="AH238">
        <v>60</v>
      </c>
      <c r="AI238">
        <v>120</v>
      </c>
      <c r="AJ238">
        <v>0.10329059253601799</v>
      </c>
      <c r="AK238">
        <v>16.607963084792651</v>
      </c>
      <c r="AL238">
        <v>0.77210757866442359</v>
      </c>
      <c r="AM238">
        <v>-0.30360794972687483</v>
      </c>
      <c r="AN238">
        <v>21.639753242975839</v>
      </c>
      <c r="AO238">
        <v>0.72023724841683823</v>
      </c>
      <c r="AP238">
        <v>21.639753242975839</v>
      </c>
      <c r="AQ238">
        <v>21.639753242975839</v>
      </c>
      <c r="AR238">
        <v>0.72023724841683823</v>
      </c>
      <c r="AS238">
        <v>126.4924484631607</v>
      </c>
      <c r="AT238">
        <v>-0.32812066396388417</v>
      </c>
      <c r="AU238">
        <v>0.8</v>
      </c>
      <c r="AV238" t="s">
        <v>93</v>
      </c>
      <c r="AW238">
        <v>6.8992076869423977E-2</v>
      </c>
      <c r="AX238">
        <v>0.49902831803329528</v>
      </c>
      <c r="AY238">
        <v>6.8992076869423977E-2</v>
      </c>
      <c r="AZ238">
        <v>6.8992076869423977E-2</v>
      </c>
      <c r="BA238">
        <v>0.49902831803329528</v>
      </c>
      <c r="BB238">
        <v>0.15714067016482491</v>
      </c>
      <c r="BC238">
        <v>-0.1410444417674297</v>
      </c>
      <c r="BD238">
        <v>6.8786398524161504E-2</v>
      </c>
      <c r="BE238">
        <v>0.76166982065109479</v>
      </c>
      <c r="BF238">
        <v>6.8786398524161504E-2</v>
      </c>
      <c r="BG238">
        <v>6.8786398524161504E-2</v>
      </c>
      <c r="BH238">
        <v>0.76166982065109479</v>
      </c>
      <c r="BI238">
        <v>0.3397181825848431</v>
      </c>
      <c r="BJ238">
        <v>-0.17705094496393009</v>
      </c>
      <c r="BK238">
        <v>3.3346085580144617E-2</v>
      </c>
      <c r="BL238">
        <v>0.86612601382610732</v>
      </c>
      <c r="BM238">
        <v>3.3346085580144617E-2</v>
      </c>
      <c r="BN238">
        <v>3.3346085580144617E-2</v>
      </c>
      <c r="BO238">
        <v>0.86612601382610732</v>
      </c>
      <c r="BP238">
        <v>0.38778295059785373</v>
      </c>
      <c r="BQ238">
        <v>-0.55682589016444362</v>
      </c>
      <c r="BR238">
        <v>86.387888410929307</v>
      </c>
      <c r="BS238">
        <v>0.75412484115685419</v>
      </c>
      <c r="BT238">
        <v>86.387888410929307</v>
      </c>
      <c r="BU238">
        <v>86.387888410929307</v>
      </c>
      <c r="BV238">
        <v>0.75412484115685419</v>
      </c>
      <c r="BW238">
        <v>505.08515204929603</v>
      </c>
      <c r="BX238">
        <v>-0.43756137895973302</v>
      </c>
      <c r="BY238" t="str">
        <f t="shared" si="10"/>
        <v>[[sv,wv],[yr],[ya]]</v>
      </c>
      <c r="BZ238" t="str">
        <f>SUBSTITUTE(TRIM(MID(SUBSTITUTE(SUBSTITUTE(SUBSTITUTE(Tabla1[[#This Row],[map]],"[",""),"]",""),",",REPT(" ",100)),901,200))," ",", ")</f>
        <v>2, 3</v>
      </c>
      <c r="CA238" t="str">
        <f>SUBSTITUTE(TRIM(MID(SUBSTITUTE(SUBSTITUTE(SUBSTITUTE(Tabla1[[#This Row],[map]],"[",""),"]",""),",",REPT(" ",100)),1501,200))," ",", ")</f>
        <v>3, 4</v>
      </c>
      <c r="CB238" t="str">
        <f>SUBSTITUTE(TRIM(MID(SUBSTITUTE(SUBSTITUTE(SUBSTITUTE(Tabla1[[#This Row],[map]],"[",""),"]",""),",",REPT(" ",100)),601,300))," ",", ")</f>
        <v>1, 4, 0</v>
      </c>
      <c r="CC238" t="str">
        <f>SUBSTITUTE(TRIM(MID(SUBSTITUTE(SUBSTITUTE(SUBSTITUTE(Tabla1[[#This Row],[map]],"[",""),"]",""),",",REPT(" ",100)),1201,300))," ",", ")</f>
        <v>1, 2, 0</v>
      </c>
      <c r="CD238" t="str">
        <f>SUBSTITUTE(TRIM(MID(SUBSTITUTE(SUBSTITUTE(SUBSTITUTE(Tabla1[[#This Row],[map]],"[",""),"]",""),",",REPT(" ",100)),1,300))," ",", ")</f>
        <v>2, 3, 4</v>
      </c>
      <c r="CE238" t="str">
        <f>SUBSTITUTE(TRIM(MID(SUBSTITUTE(SUBSTITUTE(SUBSTITUTE(Tabla1[[#This Row],[map]],"[",""),"]",""),",",REPT(" ",100)),1,600))," ",", ")</f>
        <v>2, 3, 4, 0, 1, -1</v>
      </c>
      <c r="CF238" t="str">
        <f>SUBSTITUTE(TRIM(MID(SUBSTITUTE(SUBSTITUTE(SUBSTITUTE(Tabla1[[#This Row],[map]],"[",""),"]",""),",",REPT(" ",100)),601,600))," ",", ")</f>
        <v>1, 4, 0, 2, 3, -1</v>
      </c>
      <c r="CG238" t="str">
        <f>SUBSTITUTE(TRIM(MID(SUBSTITUTE(SUBSTITUTE(SUBSTITUTE(Tabla1[[#This Row],[map]],"[",""),"]",""),",",REPT(" ",100)),1201,600))," ",", ")</f>
        <v>1, 2, 0, 3, 4, -1</v>
      </c>
    </row>
    <row r="239" spans="1:85" x14ac:dyDescent="0.3">
      <c r="A239" s="1">
        <v>46106.741076388891</v>
      </c>
      <c r="B239" t="s">
        <v>457</v>
      </c>
      <c r="C239">
        <v>2</v>
      </c>
      <c r="D239" t="s">
        <v>77</v>
      </c>
      <c r="E239" t="s">
        <v>78</v>
      </c>
      <c r="F239">
        <v>16590</v>
      </c>
      <c r="G239">
        <v>4.5</v>
      </c>
      <c r="H239" t="s">
        <v>79</v>
      </c>
      <c r="I239" t="s">
        <v>80</v>
      </c>
      <c r="J239">
        <v>5</v>
      </c>
      <c r="K239">
        <v>5</v>
      </c>
      <c r="L239" t="s">
        <v>81</v>
      </c>
      <c r="M239" t="s">
        <v>82</v>
      </c>
      <c r="N239" t="s">
        <v>83</v>
      </c>
      <c r="O239" t="s">
        <v>83</v>
      </c>
      <c r="P239" t="s">
        <v>84</v>
      </c>
      <c r="Q239" t="s">
        <v>408</v>
      </c>
      <c r="R239">
        <v>3</v>
      </c>
      <c r="S239" t="s">
        <v>86</v>
      </c>
      <c r="T239" t="s">
        <v>87</v>
      </c>
      <c r="U239" t="s">
        <v>88</v>
      </c>
      <c r="V239">
        <v>1</v>
      </c>
      <c r="W239" t="s">
        <v>409</v>
      </c>
      <c r="X239" t="s">
        <v>83</v>
      </c>
      <c r="Y239" t="s">
        <v>90</v>
      </c>
      <c r="Z239">
        <v>4000</v>
      </c>
      <c r="AA239">
        <v>4000</v>
      </c>
      <c r="AC239">
        <v>256</v>
      </c>
      <c r="AD239" t="s">
        <v>91</v>
      </c>
      <c r="AE239">
        <v>0.15</v>
      </c>
      <c r="AF239" t="s">
        <v>92</v>
      </c>
      <c r="AG239">
        <v>180</v>
      </c>
      <c r="AH239">
        <v>60</v>
      </c>
      <c r="AI239">
        <v>120</v>
      </c>
      <c r="AJ239">
        <v>8.3308887740887017E-2</v>
      </c>
      <c r="AK239">
        <v>12.97187820859866</v>
      </c>
      <c r="AL239">
        <v>0.79501965704900712</v>
      </c>
      <c r="AM239">
        <v>0.14191072692552209</v>
      </c>
      <c r="AN239">
        <v>18.88259194981341</v>
      </c>
      <c r="AO239">
        <v>0.74429208566107974</v>
      </c>
      <c r="AP239">
        <v>18.88259194981341</v>
      </c>
      <c r="AQ239">
        <v>18.88259194981341</v>
      </c>
      <c r="AR239">
        <v>0.74429208566107974</v>
      </c>
      <c r="AS239">
        <v>81.297666028265283</v>
      </c>
      <c r="AT239">
        <v>-1.328771668340448E-2</v>
      </c>
      <c r="AU239">
        <v>0.8</v>
      </c>
      <c r="AV239" t="s">
        <v>93</v>
      </c>
      <c r="AW239">
        <v>6.0452906395455329E-2</v>
      </c>
      <c r="AX239">
        <v>0.56103373646766019</v>
      </c>
      <c r="AY239">
        <v>6.0452906395455329E-2</v>
      </c>
      <c r="AZ239">
        <v>6.0452906395455329E-2</v>
      </c>
      <c r="BA239">
        <v>0.56103373646766019</v>
      </c>
      <c r="BB239">
        <v>0.18881594391038981</v>
      </c>
      <c r="BC239">
        <v>-0.37104788397579203</v>
      </c>
      <c r="BD239">
        <v>7.6144916094233975E-2</v>
      </c>
      <c r="BE239">
        <v>0.73617412891777301</v>
      </c>
      <c r="BF239">
        <v>7.6144916094233975E-2</v>
      </c>
      <c r="BG239">
        <v>7.6144916094233975E-2</v>
      </c>
      <c r="BH239">
        <v>0.73617412891777301</v>
      </c>
      <c r="BI239">
        <v>0.23605901777142929</v>
      </c>
      <c r="BJ239">
        <v>0.18210592138168691</v>
      </c>
      <c r="BK239">
        <v>2.6286100179123702E-2</v>
      </c>
      <c r="BL239">
        <v>0.89446962212437586</v>
      </c>
      <c r="BM239">
        <v>2.6286100179123702E-2</v>
      </c>
      <c r="BN239">
        <v>2.6286100179123702E-2</v>
      </c>
      <c r="BO239">
        <v>0.89446962212437586</v>
      </c>
      <c r="BP239">
        <v>0.23427374949965901</v>
      </c>
      <c r="BQ239">
        <v>5.9464996992090069E-2</v>
      </c>
      <c r="BR239">
        <v>75.367483876584686</v>
      </c>
      <c r="BS239">
        <v>0.78549085513451389</v>
      </c>
      <c r="BT239">
        <v>75.367483876584686</v>
      </c>
      <c r="BU239">
        <v>75.367483876584686</v>
      </c>
      <c r="BV239">
        <v>0.78549085513451389</v>
      </c>
      <c r="BW239">
        <v>324.53151540187889</v>
      </c>
      <c r="BX239">
        <v>7.6326098868407244E-2</v>
      </c>
      <c r="BY239" t="str">
        <f t="shared" si="10"/>
        <v>[[sv,wv],[yr],[ya]]</v>
      </c>
      <c r="BZ239" t="str">
        <f>SUBSTITUTE(TRIM(MID(SUBSTITUTE(SUBSTITUTE(SUBSTITUTE(Tabla1[[#This Row],[map]],"[",""),"]",""),",",REPT(" ",100)),901,200))," ",", ")</f>
        <v>2, 3</v>
      </c>
      <c r="CA239" t="str">
        <f>SUBSTITUTE(TRIM(MID(SUBSTITUTE(SUBSTITUTE(SUBSTITUTE(Tabla1[[#This Row],[map]],"[",""),"]",""),",",REPT(" ",100)),1501,200))," ",", ")</f>
        <v>3, 4</v>
      </c>
      <c r="CB239" t="str">
        <f>SUBSTITUTE(TRIM(MID(SUBSTITUTE(SUBSTITUTE(SUBSTITUTE(Tabla1[[#This Row],[map]],"[",""),"]",""),",",REPT(" ",100)),601,300))," ",", ")</f>
        <v>1, 4, 0</v>
      </c>
      <c r="CC239" t="str">
        <f>SUBSTITUTE(TRIM(MID(SUBSTITUTE(SUBSTITUTE(SUBSTITUTE(Tabla1[[#This Row],[map]],"[",""),"]",""),",",REPT(" ",100)),1201,300))," ",", ")</f>
        <v>1, 2, 0</v>
      </c>
      <c r="CD239" t="str">
        <f>SUBSTITUTE(TRIM(MID(SUBSTITUTE(SUBSTITUTE(SUBSTITUTE(Tabla1[[#This Row],[map]],"[",""),"]",""),",",REPT(" ",100)),1,300))," ",", ")</f>
        <v>2, 3, 4</v>
      </c>
      <c r="CE239" t="str">
        <f>SUBSTITUTE(TRIM(MID(SUBSTITUTE(SUBSTITUTE(SUBSTITUTE(Tabla1[[#This Row],[map]],"[",""),"]",""),",",REPT(" ",100)),1,600))," ",", ")</f>
        <v>2, 3, 4, 0, 1, -1</v>
      </c>
      <c r="CF239" t="str">
        <f>SUBSTITUTE(TRIM(MID(SUBSTITUTE(SUBSTITUTE(SUBSTITUTE(Tabla1[[#This Row],[map]],"[",""),"]",""),",",REPT(" ",100)),601,600))," ",", ")</f>
        <v>1, 4, 0, 2, 3, -1</v>
      </c>
      <c r="CG239" t="str">
        <f>SUBSTITUTE(TRIM(MID(SUBSTITUTE(SUBSTITUTE(SUBSTITUTE(Tabla1[[#This Row],[map]],"[",""),"]",""),",",REPT(" ",100)),1201,600))," ",", ")</f>
        <v>1, 2, 0, 3, 4, -1</v>
      </c>
    </row>
    <row r="240" spans="1:85" x14ac:dyDescent="0.3">
      <c r="A240" s="1">
        <v>46106.754999999997</v>
      </c>
      <c r="B240" t="s">
        <v>458</v>
      </c>
      <c r="C240">
        <v>5</v>
      </c>
      <c r="D240" t="s">
        <v>77</v>
      </c>
      <c r="E240" t="s">
        <v>78</v>
      </c>
      <c r="F240">
        <v>16590</v>
      </c>
      <c r="G240">
        <v>4.5</v>
      </c>
      <c r="H240" t="s">
        <v>79</v>
      </c>
      <c r="I240" t="s">
        <v>80</v>
      </c>
      <c r="J240">
        <v>5</v>
      </c>
      <c r="K240">
        <v>5</v>
      </c>
      <c r="L240" t="s">
        <v>81</v>
      </c>
      <c r="M240" t="s">
        <v>82</v>
      </c>
      <c r="N240" t="s">
        <v>83</v>
      </c>
      <c r="O240" t="s">
        <v>83</v>
      </c>
      <c r="P240" t="s">
        <v>84</v>
      </c>
      <c r="Q240" t="s">
        <v>390</v>
      </c>
      <c r="R240">
        <v>3</v>
      </c>
      <c r="S240" t="s">
        <v>86</v>
      </c>
      <c r="T240" t="s">
        <v>87</v>
      </c>
      <c r="U240" t="s">
        <v>88</v>
      </c>
      <c r="V240">
        <v>1</v>
      </c>
      <c r="W240" t="s">
        <v>391</v>
      </c>
      <c r="X240" t="s">
        <v>83</v>
      </c>
      <c r="Y240" t="s">
        <v>90</v>
      </c>
      <c r="Z240">
        <v>4000</v>
      </c>
      <c r="AA240">
        <v>4000</v>
      </c>
      <c r="AC240">
        <v>256</v>
      </c>
      <c r="AD240" t="s">
        <v>91</v>
      </c>
      <c r="AE240">
        <v>0.15</v>
      </c>
      <c r="AF240" t="s">
        <v>92</v>
      </c>
      <c r="AG240">
        <v>180</v>
      </c>
      <c r="AH240">
        <v>60</v>
      </c>
      <c r="AI240">
        <v>120</v>
      </c>
      <c r="AJ240">
        <v>0.1077179901057793</v>
      </c>
      <c r="AK240">
        <v>7.2381797515917077</v>
      </c>
      <c r="AL240">
        <v>0.75085701962436424</v>
      </c>
      <c r="AM240">
        <v>-1.020145785724311</v>
      </c>
      <c r="AN240">
        <v>11.82423812442398</v>
      </c>
      <c r="AO240">
        <v>0.66805828727393557</v>
      </c>
      <c r="AP240">
        <v>11.82423812442398</v>
      </c>
      <c r="AQ240">
        <v>11.82423812442398</v>
      </c>
      <c r="AR240">
        <v>0.66805828727393557</v>
      </c>
      <c r="AS240">
        <v>171.0224424517547</v>
      </c>
      <c r="AT240">
        <v>-0.67109755693932693</v>
      </c>
      <c r="AU240">
        <v>0.8</v>
      </c>
      <c r="AV240" t="s">
        <v>93</v>
      </c>
      <c r="AW240">
        <v>6.9958861765367766E-2</v>
      </c>
      <c r="AX240">
        <v>0.49200820967595998</v>
      </c>
      <c r="AY240">
        <v>6.9958861765367766E-2</v>
      </c>
      <c r="AZ240">
        <v>6.9958861765367766E-2</v>
      </c>
      <c r="BA240">
        <v>0.49200820967595998</v>
      </c>
      <c r="BB240">
        <v>0.1669774445286753</v>
      </c>
      <c r="BC240">
        <v>-0.2124721421903619</v>
      </c>
      <c r="BD240">
        <v>7.7009539418935846E-2</v>
      </c>
      <c r="BE240">
        <v>0.73317839376566929</v>
      </c>
      <c r="BF240">
        <v>7.7009539418935846E-2</v>
      </c>
      <c r="BG240">
        <v>7.7009539418935846E-2</v>
      </c>
      <c r="BH240">
        <v>0.73317839376566929</v>
      </c>
      <c r="BI240">
        <v>0.49842813208851028</v>
      </c>
      <c r="BJ240">
        <v>-0.72694702240398357</v>
      </c>
      <c r="BK240">
        <v>0.1043801713673613</v>
      </c>
      <c r="BL240">
        <v>0.58094662760707561</v>
      </c>
      <c r="BM240">
        <v>0.1043801713673613</v>
      </c>
      <c r="BN240">
        <v>0.1043801713673613</v>
      </c>
      <c r="BO240">
        <v>0.58094662760707561</v>
      </c>
      <c r="BP240">
        <v>0.44862854963021259</v>
      </c>
      <c r="BQ240">
        <v>-0.80110172470048968</v>
      </c>
      <c r="BR240">
        <v>47.045603925144277</v>
      </c>
      <c r="BS240">
        <v>0.86609991804704034</v>
      </c>
      <c r="BT240">
        <v>47.045603925144277</v>
      </c>
      <c r="BU240">
        <v>47.045603925144277</v>
      </c>
      <c r="BV240">
        <v>0.86609991804704034</v>
      </c>
      <c r="BW240">
        <v>682.97573568077473</v>
      </c>
      <c r="BX240">
        <v>-0.94386933846249299</v>
      </c>
      <c r="BY240" t="str">
        <f t="shared" si="10"/>
        <v>[[sv,wv],[yr],[ya]]</v>
      </c>
      <c r="BZ240" t="str">
        <f>SUBSTITUTE(TRIM(MID(SUBSTITUTE(SUBSTITUTE(SUBSTITUTE(Tabla1[[#This Row],[map]],"[",""),"]",""),",",REPT(" ",100)),901,200))," ",", ")</f>
        <v>2, 3</v>
      </c>
      <c r="CA240" t="str">
        <f>SUBSTITUTE(TRIM(MID(SUBSTITUTE(SUBSTITUTE(SUBSTITUTE(Tabla1[[#This Row],[map]],"[",""),"]",""),",",REPT(" ",100)),1501,200))," ",", ")</f>
        <v>3, 2</v>
      </c>
      <c r="CB240" t="str">
        <f>SUBSTITUTE(TRIM(MID(SUBSTITUTE(SUBSTITUTE(SUBSTITUTE(Tabla1[[#This Row],[map]],"[",""),"]",""),",",REPT(" ",100)),601,300))," ",", ")</f>
        <v>0, 1, 4</v>
      </c>
      <c r="CC240" t="str">
        <f>SUBSTITUTE(TRIM(MID(SUBSTITUTE(SUBSTITUTE(SUBSTITUTE(Tabla1[[#This Row],[map]],"[",""),"]",""),",",REPT(" ",100)),1201,300))," ",", ")</f>
        <v>1, 4, 0</v>
      </c>
      <c r="CD240" t="str">
        <f>SUBSTITUTE(TRIM(MID(SUBSTITUTE(SUBSTITUTE(SUBSTITUTE(Tabla1[[#This Row],[map]],"[",""),"]",""),",",REPT(" ",100)),1,300))," ",", ")</f>
        <v>2, 3, 4</v>
      </c>
      <c r="CE240" t="str">
        <f>SUBSTITUTE(TRIM(MID(SUBSTITUTE(SUBSTITUTE(SUBSTITUTE(Tabla1[[#This Row],[map]],"[",""),"]",""),",",REPT(" ",100)),1,600))," ",", ")</f>
        <v>2, 3, 4, 0, 1, -1</v>
      </c>
      <c r="CF240" t="str">
        <f>SUBSTITUTE(TRIM(MID(SUBSTITUTE(SUBSTITUTE(SUBSTITUTE(Tabla1[[#This Row],[map]],"[",""),"]",""),",",REPT(" ",100)),601,600))," ",", ")</f>
        <v>0, 1, 4, 2, 3, -1</v>
      </c>
      <c r="CG240" t="str">
        <f>SUBSTITUTE(TRIM(MID(SUBSTITUTE(SUBSTITUTE(SUBSTITUTE(Tabla1[[#This Row],[map]],"[",""),"]",""),",",REPT(" ",100)),1201,600))," ",", ")</f>
        <v>1, 4, 0, 3, 2, -1</v>
      </c>
    </row>
    <row r="241" spans="1:85" x14ac:dyDescent="0.3">
      <c r="A241" s="1">
        <v>46106.773657407408</v>
      </c>
      <c r="B241" t="s">
        <v>459</v>
      </c>
      <c r="C241">
        <v>4</v>
      </c>
      <c r="D241" t="s">
        <v>77</v>
      </c>
      <c r="E241" t="s">
        <v>78</v>
      </c>
      <c r="F241">
        <v>16590</v>
      </c>
      <c r="G241">
        <v>4.5</v>
      </c>
      <c r="H241" t="s">
        <v>79</v>
      </c>
      <c r="I241" t="s">
        <v>80</v>
      </c>
      <c r="J241">
        <v>5</v>
      </c>
      <c r="K241">
        <v>5</v>
      </c>
      <c r="L241" t="s">
        <v>81</v>
      </c>
      <c r="M241" t="s">
        <v>82</v>
      </c>
      <c r="N241" t="s">
        <v>83</v>
      </c>
      <c r="O241" t="s">
        <v>83</v>
      </c>
      <c r="P241" t="s">
        <v>84</v>
      </c>
      <c r="Q241" t="s">
        <v>390</v>
      </c>
      <c r="R241">
        <v>3</v>
      </c>
      <c r="S241" t="s">
        <v>86</v>
      </c>
      <c r="T241" t="s">
        <v>87</v>
      </c>
      <c r="U241" t="s">
        <v>88</v>
      </c>
      <c r="V241">
        <v>1</v>
      </c>
      <c r="W241" t="s">
        <v>391</v>
      </c>
      <c r="X241" t="s">
        <v>83</v>
      </c>
      <c r="Y241" t="s">
        <v>90</v>
      </c>
      <c r="Z241">
        <v>4000</v>
      </c>
      <c r="AA241">
        <v>4000</v>
      </c>
      <c r="AC241">
        <v>256</v>
      </c>
      <c r="AD241" t="s">
        <v>91</v>
      </c>
      <c r="AE241">
        <v>0.15</v>
      </c>
      <c r="AF241" t="s">
        <v>92</v>
      </c>
      <c r="AG241">
        <v>180</v>
      </c>
      <c r="AH241">
        <v>60</v>
      </c>
      <c r="AI241">
        <v>120</v>
      </c>
      <c r="AJ241">
        <v>9.5961898147395239E-2</v>
      </c>
      <c r="AK241">
        <v>15.609239818043481</v>
      </c>
      <c r="AL241">
        <v>0.79728224455744789</v>
      </c>
      <c r="AM241">
        <v>-1.245285011009837</v>
      </c>
      <c r="AN241">
        <v>20.99814304491937</v>
      </c>
      <c r="AO241">
        <v>0.72083134761525969</v>
      </c>
      <c r="AP241">
        <v>20.99814304491937</v>
      </c>
      <c r="AQ241">
        <v>20.99814304491937</v>
      </c>
      <c r="AR241">
        <v>0.72083134761525969</v>
      </c>
      <c r="AS241">
        <v>160.77695187962351</v>
      </c>
      <c r="AT241">
        <v>-1.1751524473128141</v>
      </c>
      <c r="AU241">
        <v>0.8</v>
      </c>
      <c r="AV241" t="s">
        <v>93</v>
      </c>
      <c r="AW241">
        <v>6.4256947340430526E-2</v>
      </c>
      <c r="AX241">
        <v>0.53341148073993017</v>
      </c>
      <c r="AY241">
        <v>6.4256947340430526E-2</v>
      </c>
      <c r="AZ241">
        <v>6.4256947340430526E-2</v>
      </c>
      <c r="BA241">
        <v>0.53341148073993017</v>
      </c>
      <c r="BB241">
        <v>0.35030635224187923</v>
      </c>
      <c r="BC241">
        <v>-1.543677048864297</v>
      </c>
      <c r="BD241">
        <v>3.9922669338189012E-2</v>
      </c>
      <c r="BE241">
        <v>0.86167647750716991</v>
      </c>
      <c r="BF241">
        <v>3.9922669338189012E-2</v>
      </c>
      <c r="BG241">
        <v>3.9922669338189012E-2</v>
      </c>
      <c r="BH241">
        <v>0.86167647750716991</v>
      </c>
      <c r="BI241">
        <v>0.62417157795323852</v>
      </c>
      <c r="BJ241">
        <v>-1.1626212057872509</v>
      </c>
      <c r="BK241">
        <v>6.8048970889728722E-2</v>
      </c>
      <c r="BL241">
        <v>0.72680490589685409</v>
      </c>
      <c r="BM241">
        <v>6.8048970889728722E-2</v>
      </c>
      <c r="BN241">
        <v>6.8048970889728722E-2</v>
      </c>
      <c r="BO241">
        <v>0.72680490589685409</v>
      </c>
      <c r="BP241">
        <v>0.5400734381138228</v>
      </c>
      <c r="BQ241">
        <v>-1.1682240277697691</v>
      </c>
      <c r="BR241">
        <v>83.820343592109211</v>
      </c>
      <c r="BS241">
        <v>0.7614325263170858</v>
      </c>
      <c r="BT241">
        <v>83.820343592109211</v>
      </c>
      <c r="BU241">
        <v>83.820343592109211</v>
      </c>
      <c r="BV241">
        <v>0.7614325263170858</v>
      </c>
      <c r="BW241">
        <v>641.59325615018531</v>
      </c>
      <c r="BX241">
        <v>-0.82608750682995091</v>
      </c>
      <c r="BY241" t="str">
        <f t="shared" si="10"/>
        <v>[[sv,wv],[yr],[ya]]</v>
      </c>
      <c r="BZ241" t="str">
        <f>SUBSTITUTE(TRIM(MID(SUBSTITUTE(SUBSTITUTE(SUBSTITUTE(Tabla1[[#This Row],[map]],"[",""),"]",""),",",REPT(" ",100)),901,200))," ",", ")</f>
        <v>2, 3</v>
      </c>
      <c r="CA241" t="str">
        <f>SUBSTITUTE(TRIM(MID(SUBSTITUTE(SUBSTITUTE(SUBSTITUTE(Tabla1[[#This Row],[map]],"[",""),"]",""),",",REPT(" ",100)),1501,200))," ",", ")</f>
        <v>3, 2</v>
      </c>
      <c r="CB241" t="str">
        <f>SUBSTITUTE(TRIM(MID(SUBSTITUTE(SUBSTITUTE(SUBSTITUTE(Tabla1[[#This Row],[map]],"[",""),"]",""),",",REPT(" ",100)),601,300))," ",", ")</f>
        <v>0, 1, 4</v>
      </c>
      <c r="CC241" t="str">
        <f>SUBSTITUTE(TRIM(MID(SUBSTITUTE(SUBSTITUTE(SUBSTITUTE(Tabla1[[#This Row],[map]],"[",""),"]",""),",",REPT(" ",100)),1201,300))," ",", ")</f>
        <v>1, 4, 0</v>
      </c>
      <c r="CD241" t="str">
        <f>SUBSTITUTE(TRIM(MID(SUBSTITUTE(SUBSTITUTE(SUBSTITUTE(Tabla1[[#This Row],[map]],"[",""),"]",""),",",REPT(" ",100)),1,300))," ",", ")</f>
        <v>2, 3, 4</v>
      </c>
      <c r="CE241" t="str">
        <f>SUBSTITUTE(TRIM(MID(SUBSTITUTE(SUBSTITUTE(SUBSTITUTE(Tabla1[[#This Row],[map]],"[",""),"]",""),",",REPT(" ",100)),1,600))," ",", ")</f>
        <v>2, 3, 4, 0, 1, -1</v>
      </c>
      <c r="CF241" t="str">
        <f>SUBSTITUTE(TRIM(MID(SUBSTITUTE(SUBSTITUTE(SUBSTITUTE(Tabla1[[#This Row],[map]],"[",""),"]",""),",",REPT(" ",100)),601,600))," ",", ")</f>
        <v>0, 1, 4, 2, 3, -1</v>
      </c>
      <c r="CG241" t="str">
        <f>SUBSTITUTE(TRIM(MID(SUBSTITUTE(SUBSTITUTE(SUBSTITUTE(Tabla1[[#This Row],[map]],"[",""),"]",""),",",REPT(" ",100)),1201,600))," ",", ")</f>
        <v>1, 4, 0, 3, 2, -1</v>
      </c>
    </row>
    <row r="242" spans="1:85" x14ac:dyDescent="0.3">
      <c r="A242" s="1">
        <v>46106.807141203702</v>
      </c>
      <c r="B242" t="s">
        <v>460</v>
      </c>
      <c r="C242">
        <v>0</v>
      </c>
      <c r="D242" t="s">
        <v>77</v>
      </c>
      <c r="E242" t="s">
        <v>78</v>
      </c>
      <c r="F242">
        <v>16590</v>
      </c>
      <c r="G242">
        <v>4.5</v>
      </c>
      <c r="H242" t="s">
        <v>79</v>
      </c>
      <c r="I242" t="s">
        <v>80</v>
      </c>
      <c r="J242">
        <v>5</v>
      </c>
      <c r="K242">
        <v>5</v>
      </c>
      <c r="L242" t="s">
        <v>81</v>
      </c>
      <c r="M242" t="s">
        <v>82</v>
      </c>
      <c r="N242" t="s">
        <v>83</v>
      </c>
      <c r="O242" t="s">
        <v>83</v>
      </c>
      <c r="P242" t="s">
        <v>84</v>
      </c>
      <c r="Q242" t="s">
        <v>461</v>
      </c>
      <c r="R242">
        <v>3</v>
      </c>
      <c r="S242" t="s">
        <v>86</v>
      </c>
      <c r="T242" t="s">
        <v>87</v>
      </c>
      <c r="U242" t="s">
        <v>88</v>
      </c>
      <c r="V242">
        <v>1</v>
      </c>
      <c r="W242" t="s">
        <v>462</v>
      </c>
      <c r="X242" t="s">
        <v>83</v>
      </c>
      <c r="Y242" t="s">
        <v>90</v>
      </c>
      <c r="Z242">
        <v>4000</v>
      </c>
      <c r="AA242">
        <v>4000</v>
      </c>
      <c r="AC242">
        <v>256</v>
      </c>
      <c r="AD242" t="s">
        <v>91</v>
      </c>
      <c r="AE242">
        <v>0.15</v>
      </c>
      <c r="AF242" t="s">
        <v>92</v>
      </c>
      <c r="AG242">
        <v>180</v>
      </c>
      <c r="AH242">
        <v>60</v>
      </c>
      <c r="AI242">
        <v>120</v>
      </c>
      <c r="AJ242">
        <v>0.1178349066228252</v>
      </c>
      <c r="AK242">
        <v>7.114668995599243</v>
      </c>
      <c r="AL242">
        <v>0.68170060162855739</v>
      </c>
      <c r="AM242">
        <v>-2.2207809436774001E-2</v>
      </c>
      <c r="AN242">
        <v>10.86580285443571</v>
      </c>
      <c r="AO242">
        <v>0.62700346571944821</v>
      </c>
      <c r="AP242">
        <v>10.86580285443571</v>
      </c>
      <c r="AQ242">
        <v>10.86580285443571</v>
      </c>
      <c r="AR242">
        <v>0.62700346571944821</v>
      </c>
      <c r="AS242">
        <v>104.1681641606791</v>
      </c>
      <c r="AT242">
        <v>1.515992262118071E-3</v>
      </c>
      <c r="AU242">
        <v>0.8</v>
      </c>
      <c r="AV242" t="s">
        <v>93</v>
      </c>
      <c r="AW242">
        <v>8.2807003114943142E-2</v>
      </c>
      <c r="AX242">
        <v>0.39871409136401648</v>
      </c>
      <c r="AY242">
        <v>8.2807003114943142E-2</v>
      </c>
      <c r="AZ242">
        <v>8.2807003114943142E-2</v>
      </c>
      <c r="BA242">
        <v>0.39871409136401648</v>
      </c>
      <c r="BB242">
        <v>9.4371781624752099E-2</v>
      </c>
      <c r="BC242">
        <v>0.31473884660371532</v>
      </c>
      <c r="BD242">
        <v>0.1056307511183842</v>
      </c>
      <c r="BE242">
        <v>0.63401200820302761</v>
      </c>
      <c r="BF242">
        <v>0.1056307511183842</v>
      </c>
      <c r="BG242">
        <v>0.1056307511183842</v>
      </c>
      <c r="BH242">
        <v>0.63401200820302761</v>
      </c>
      <c r="BI242">
        <v>0.23649424853869139</v>
      </c>
      <c r="BJ242">
        <v>0.18059793973058641</v>
      </c>
      <c r="BK242">
        <v>0.1000899463644731</v>
      </c>
      <c r="BL242">
        <v>0.59817052398733095</v>
      </c>
      <c r="BM242">
        <v>0.1000899463644731</v>
      </c>
      <c r="BN242">
        <v>0.1000899463644731</v>
      </c>
      <c r="BO242">
        <v>0.59817052398733095</v>
      </c>
      <c r="BP242">
        <v>0.3251105463594145</v>
      </c>
      <c r="BQ242">
        <v>-0.30521601054795178</v>
      </c>
      <c r="BR242">
        <v>43.174683717145037</v>
      </c>
      <c r="BS242">
        <v>0.87711723932341668</v>
      </c>
      <c r="BT242">
        <v>43.174683717145037</v>
      </c>
      <c r="BU242">
        <v>43.174683717145037</v>
      </c>
      <c r="BV242">
        <v>0.87711723932341668</v>
      </c>
      <c r="BW242">
        <v>416.01668006619423</v>
      </c>
      <c r="BX242">
        <v>-0.1840568067378843</v>
      </c>
      <c r="BY242" t="str">
        <f t="shared" si="10"/>
        <v>[[sv,wv],[yr],[ya]]</v>
      </c>
      <c r="BZ242" t="str">
        <f>SUBSTITUTE(TRIM(MID(SUBSTITUTE(SUBSTITUTE(SUBSTITUTE(Tabla1[[#This Row],[map]],"[",""),"]",""),",",REPT(" ",100)),901,200))," ",", ")</f>
        <v>2, 3</v>
      </c>
      <c r="CA242" t="str">
        <f>SUBSTITUTE(TRIM(MID(SUBSTITUTE(SUBSTITUTE(SUBSTITUTE(Tabla1[[#This Row],[map]],"[",""),"]",""),",",REPT(" ",100)),1501,200))," ",", ")</f>
        <v>3, 2</v>
      </c>
      <c r="CB242" t="str">
        <f>SUBSTITUTE(TRIM(MID(SUBSTITUTE(SUBSTITUTE(SUBSTITUTE(Tabla1[[#This Row],[map]],"[",""),"]",""),",",REPT(" ",100)),601,300))," ",", ")</f>
        <v>0, 1, 4</v>
      </c>
      <c r="CC242" t="str">
        <f>SUBSTITUTE(TRIM(MID(SUBSTITUTE(SUBSTITUTE(SUBSTITUTE(Tabla1[[#This Row],[map]],"[",""),"]",""),",",REPT(" ",100)),1201,300))," ",", ")</f>
        <v>1, 4, 0</v>
      </c>
      <c r="CD242" t="str">
        <f>SUBSTITUTE(TRIM(MID(SUBSTITUTE(SUBSTITUTE(SUBSTITUTE(Tabla1[[#This Row],[map]],"[",""),"]",""),",",REPT(" ",100)),1,300))," ",", ")</f>
        <v>4, 2, 3</v>
      </c>
      <c r="CE242" t="str">
        <f>SUBSTITUTE(TRIM(MID(SUBSTITUTE(SUBSTITUTE(SUBSTITUTE(Tabla1[[#This Row],[map]],"[",""),"]",""),",",REPT(" ",100)),1,600))," ",", ")</f>
        <v>4, 2, 3, 0, 1, -1</v>
      </c>
      <c r="CF242" t="str">
        <f>SUBSTITUTE(TRIM(MID(SUBSTITUTE(SUBSTITUTE(SUBSTITUTE(Tabla1[[#This Row],[map]],"[",""),"]",""),",",REPT(" ",100)),601,600))," ",", ")</f>
        <v>0, 1, 4, 2, 3, -1</v>
      </c>
      <c r="CG242" t="str">
        <f>SUBSTITUTE(TRIM(MID(SUBSTITUTE(SUBSTITUTE(SUBSTITUTE(Tabla1[[#This Row],[map]],"[",""),"]",""),",",REPT(" ",100)),1201,600))," ",", ")</f>
        <v>1, 4, 0, 3, 2, -1</v>
      </c>
    </row>
    <row r="243" spans="1:85" x14ac:dyDescent="0.3">
      <c r="A243" s="1">
        <v>46106.867488425924</v>
      </c>
      <c r="B243" t="s">
        <v>463</v>
      </c>
      <c r="C243">
        <v>1</v>
      </c>
      <c r="D243" t="s">
        <v>77</v>
      </c>
      <c r="E243" t="s">
        <v>78</v>
      </c>
      <c r="F243">
        <v>16590</v>
      </c>
      <c r="G243">
        <v>4.5</v>
      </c>
      <c r="H243" t="s">
        <v>79</v>
      </c>
      <c r="I243" t="s">
        <v>80</v>
      </c>
      <c r="J243">
        <v>5</v>
      </c>
      <c r="K243">
        <v>5</v>
      </c>
      <c r="L243" t="s">
        <v>81</v>
      </c>
      <c r="M243" t="s">
        <v>82</v>
      </c>
      <c r="N243" t="s">
        <v>83</v>
      </c>
      <c r="O243" t="s">
        <v>83</v>
      </c>
      <c r="P243" t="s">
        <v>84</v>
      </c>
      <c r="Q243" t="s">
        <v>441</v>
      </c>
      <c r="R243">
        <v>3</v>
      </c>
      <c r="S243" t="s">
        <v>86</v>
      </c>
      <c r="T243" t="s">
        <v>87</v>
      </c>
      <c r="U243" t="s">
        <v>88</v>
      </c>
      <c r="V243">
        <v>1</v>
      </c>
      <c r="W243" t="s">
        <v>442</v>
      </c>
      <c r="X243" t="s">
        <v>83</v>
      </c>
      <c r="Y243" t="s">
        <v>90</v>
      </c>
      <c r="Z243">
        <v>4000</v>
      </c>
      <c r="AA243">
        <v>4000</v>
      </c>
      <c r="AC243">
        <v>256</v>
      </c>
      <c r="AD243" t="s">
        <v>91</v>
      </c>
      <c r="AE243">
        <v>0.15</v>
      </c>
      <c r="AF243" t="s">
        <v>92</v>
      </c>
      <c r="AG243">
        <v>180</v>
      </c>
      <c r="AH243">
        <v>60</v>
      </c>
      <c r="AI243">
        <v>120</v>
      </c>
      <c r="AJ243">
        <v>0.11917472547508839</v>
      </c>
      <c r="AK243">
        <v>21.213580794048969</v>
      </c>
      <c r="AL243">
        <v>0.68279884499550902</v>
      </c>
      <c r="AM243">
        <v>3.1931138920630602E-3</v>
      </c>
      <c r="AN243">
        <v>25.654635746360359</v>
      </c>
      <c r="AO243">
        <v>0.64907107442566381</v>
      </c>
      <c r="AP243">
        <v>25.654635746360359</v>
      </c>
      <c r="AQ243">
        <v>25.654635746360359</v>
      </c>
      <c r="AR243">
        <v>0.64907107442566381</v>
      </c>
      <c r="AS243">
        <v>157.54361883826661</v>
      </c>
      <c r="AT243">
        <v>-0.1183569719556619</v>
      </c>
      <c r="AU243">
        <v>0.8</v>
      </c>
      <c r="AV243" t="s">
        <v>93</v>
      </c>
      <c r="AW243">
        <v>8.6177802432540765E-2</v>
      </c>
      <c r="AX243">
        <v>0.37423773001450789</v>
      </c>
      <c r="AY243">
        <v>8.6177802432540765E-2</v>
      </c>
      <c r="AZ243">
        <v>8.6177802432540765E-2</v>
      </c>
      <c r="BA243">
        <v>0.37423773001450789</v>
      </c>
      <c r="BB243">
        <v>0.14524200821694719</v>
      </c>
      <c r="BC243">
        <v>-5.4644771549308579E-2</v>
      </c>
      <c r="BD243">
        <v>0.1025412812620097</v>
      </c>
      <c r="BE243">
        <v>0.64471636140018096</v>
      </c>
      <c r="BF243">
        <v>0.1025412812620097</v>
      </c>
      <c r="BG243">
        <v>0.1025412812620097</v>
      </c>
      <c r="BH243">
        <v>0.64471636140018096</v>
      </c>
      <c r="BI243">
        <v>0.21426106289257699</v>
      </c>
      <c r="BJ243">
        <v>0.25763117938587538</v>
      </c>
      <c r="BK243">
        <v>3.2687380254647722E-2</v>
      </c>
      <c r="BL243">
        <v>0.86877050735822825</v>
      </c>
      <c r="BM243">
        <v>3.2687380254647722E-2</v>
      </c>
      <c r="BN243">
        <v>3.2687380254647722E-2</v>
      </c>
      <c r="BO243">
        <v>0.86877050735822825</v>
      </c>
      <c r="BP243">
        <v>0.2203104827111417</v>
      </c>
      <c r="BQ243">
        <v>0.11552309654010411</v>
      </c>
      <c r="BR243">
        <v>102.3971365214922</v>
      </c>
      <c r="BS243">
        <v>0.70855969892974113</v>
      </c>
      <c r="BT243">
        <v>102.3971365214922</v>
      </c>
      <c r="BU243">
        <v>102.3971365214922</v>
      </c>
      <c r="BV243">
        <v>0.70855969892974113</v>
      </c>
      <c r="BW243">
        <v>629.59466179924561</v>
      </c>
      <c r="BX243">
        <v>-0.79193739219931536</v>
      </c>
      <c r="BY243" t="str">
        <f t="shared" si="10"/>
        <v>[[sv,wv],[yr],[ya]]</v>
      </c>
      <c r="BZ243" t="str">
        <f>SUBSTITUTE(TRIM(MID(SUBSTITUTE(SUBSTITUTE(SUBSTITUTE(Tabla1[[#This Row],[map]],"[",""),"]",""),",",REPT(" ",100)),901,200))," ",", ")</f>
        <v>2, 3</v>
      </c>
      <c r="CA243" t="str">
        <f>SUBSTITUTE(TRIM(MID(SUBSTITUTE(SUBSTITUTE(SUBSTITUTE(Tabla1[[#This Row],[map]],"[",""),"]",""),",",REPT(" ",100)),1501,200))," ",", ")</f>
        <v>3, 2</v>
      </c>
      <c r="CB243" t="str">
        <f>SUBSTITUTE(TRIM(MID(SUBSTITUTE(SUBSTITUTE(SUBSTITUTE(Tabla1[[#This Row],[map]],"[",""),"]",""),",",REPT(" ",100)),601,300))," ",", ")</f>
        <v>1, 4, 0</v>
      </c>
      <c r="CC243" t="str">
        <f>SUBSTITUTE(TRIM(MID(SUBSTITUTE(SUBSTITUTE(SUBSTITUTE(Tabla1[[#This Row],[map]],"[",""),"]",""),",",REPT(" ",100)),1201,300))," ",", ")</f>
        <v>0, 1, 4</v>
      </c>
      <c r="CD243" t="str">
        <f>SUBSTITUTE(TRIM(MID(SUBSTITUTE(SUBSTITUTE(SUBSTITUTE(Tabla1[[#This Row],[map]],"[",""),"]",""),",",REPT(" ",100)),1,300))," ",", ")</f>
        <v>4, 2, 3</v>
      </c>
      <c r="CE243" t="str">
        <f>SUBSTITUTE(TRIM(MID(SUBSTITUTE(SUBSTITUTE(SUBSTITUTE(Tabla1[[#This Row],[map]],"[",""),"]",""),",",REPT(" ",100)),1,600))," ",", ")</f>
        <v>4, 2, 3, 0, 1, -1</v>
      </c>
      <c r="CF243" t="str">
        <f>SUBSTITUTE(TRIM(MID(SUBSTITUTE(SUBSTITUTE(SUBSTITUTE(Tabla1[[#This Row],[map]],"[",""),"]",""),",",REPT(" ",100)),601,600))," ",", ")</f>
        <v>1, 4, 0, 2, 3, -1</v>
      </c>
      <c r="CG243" t="str">
        <f>SUBSTITUTE(TRIM(MID(SUBSTITUTE(SUBSTITUTE(SUBSTITUTE(Tabla1[[#This Row],[map]],"[",""),"]",""),",",REPT(" ",100)),1201,600))," ",", ")</f>
        <v>0, 1, 4, 3, 2, -1</v>
      </c>
    </row>
    <row r="244" spans="1:85" x14ac:dyDescent="0.3">
      <c r="A244" s="1">
        <v>46106.906990740739</v>
      </c>
      <c r="B244" t="s">
        <v>464</v>
      </c>
      <c r="C244">
        <v>3</v>
      </c>
      <c r="D244" t="s">
        <v>96</v>
      </c>
      <c r="E244" t="s">
        <v>78</v>
      </c>
      <c r="F244">
        <v>16590</v>
      </c>
      <c r="G244">
        <v>4.5</v>
      </c>
      <c r="H244" t="s">
        <v>79</v>
      </c>
      <c r="I244" t="s">
        <v>80</v>
      </c>
      <c r="J244">
        <v>5</v>
      </c>
      <c r="K244">
        <v>5</v>
      </c>
      <c r="L244" t="s">
        <v>81</v>
      </c>
      <c r="M244" t="s">
        <v>82</v>
      </c>
      <c r="N244" t="s">
        <v>83</v>
      </c>
      <c r="O244" t="s">
        <v>83</v>
      </c>
      <c r="P244" t="s">
        <v>84</v>
      </c>
      <c r="Q244" t="s">
        <v>412</v>
      </c>
      <c r="R244">
        <v>3</v>
      </c>
      <c r="S244" t="s">
        <v>86</v>
      </c>
      <c r="T244" t="s">
        <v>87</v>
      </c>
      <c r="U244" t="s">
        <v>88</v>
      </c>
      <c r="V244">
        <v>1</v>
      </c>
      <c r="W244" t="s">
        <v>413</v>
      </c>
      <c r="X244" t="s">
        <v>83</v>
      </c>
      <c r="Y244" t="s">
        <v>90</v>
      </c>
      <c r="Z244">
        <v>4000</v>
      </c>
      <c r="AA244">
        <v>4000</v>
      </c>
      <c r="AC244">
        <v>256</v>
      </c>
      <c r="AD244" t="s">
        <v>91</v>
      </c>
      <c r="AE244">
        <v>0.15</v>
      </c>
      <c r="AF244" t="s">
        <v>92</v>
      </c>
      <c r="AG244">
        <v>180</v>
      </c>
      <c r="AH244">
        <v>60</v>
      </c>
      <c r="AI244">
        <v>120</v>
      </c>
      <c r="AJ244">
        <v>9.801458818195688E-2</v>
      </c>
      <c r="AK244">
        <v>19.601157776778191</v>
      </c>
      <c r="AL244">
        <v>0.76607694024295436</v>
      </c>
      <c r="AM244">
        <v>8.918097832221264E-2</v>
      </c>
      <c r="AN244">
        <v>24.58753757808358</v>
      </c>
      <c r="AO244">
        <v>0.72209191681920437</v>
      </c>
      <c r="AP244">
        <v>24.58753757808358</v>
      </c>
      <c r="AQ244">
        <v>24.58753757808358</v>
      </c>
      <c r="AR244">
        <v>0.72209191681920437</v>
      </c>
      <c r="AS244">
        <v>131.2987913733061</v>
      </c>
      <c r="AT244">
        <v>7.7087865979483083E-2</v>
      </c>
      <c r="AU244">
        <v>0.8</v>
      </c>
      <c r="AV244" t="s">
        <v>93</v>
      </c>
      <c r="AW244">
        <v>5.3395982016904188E-2</v>
      </c>
      <c r="AX244">
        <v>0.61227613176655271</v>
      </c>
      <c r="AY244">
        <v>5.3395982016904188E-2</v>
      </c>
      <c r="AZ244">
        <v>5.3395982016904188E-2</v>
      </c>
      <c r="BA244">
        <v>0.61227613176655271</v>
      </c>
      <c r="BB244">
        <v>0.13762138143130889</v>
      </c>
      <c r="BC244">
        <v>6.9083206887543547E-4</v>
      </c>
      <c r="BD244">
        <v>5.1748346443022342E-2</v>
      </c>
      <c r="BE244">
        <v>0.82070303209081785</v>
      </c>
      <c r="BF244">
        <v>5.1748346443022342E-2</v>
      </c>
      <c r="BG244">
        <v>5.1748346443022342E-2</v>
      </c>
      <c r="BH244">
        <v>0.82070303209081785</v>
      </c>
      <c r="BI244">
        <v>0.18377154507510701</v>
      </c>
      <c r="BJ244">
        <v>0.36327084661088421</v>
      </c>
      <c r="BK244">
        <v>6.6051750479790491E-2</v>
      </c>
      <c r="BL244">
        <v>0.73482311411813606</v>
      </c>
      <c r="BM244">
        <v>6.6051750479790491E-2</v>
      </c>
      <c r="BN244">
        <v>6.6051750479790491E-2</v>
      </c>
      <c r="BO244">
        <v>0.73482311411813606</v>
      </c>
      <c r="BP244">
        <v>0.1400173687055149</v>
      </c>
      <c r="BQ244">
        <v>0.43787455240779027</v>
      </c>
      <c r="BR244">
        <v>98.178954233394833</v>
      </c>
      <c r="BS244">
        <v>0.7205653893013102</v>
      </c>
      <c r="BT244">
        <v>98.178954233394833</v>
      </c>
      <c r="BU244">
        <v>98.178954233394833</v>
      </c>
      <c r="BV244">
        <v>0.7205653893013102</v>
      </c>
      <c r="BW244">
        <v>524.73375519801266</v>
      </c>
      <c r="BX244">
        <v>-0.49348476716961809</v>
      </c>
      <c r="BY244" t="str">
        <f t="shared" si="10"/>
        <v>[[sv,wv],[yr],[ya]]</v>
      </c>
      <c r="BZ244" t="str">
        <f>SUBSTITUTE(TRIM(MID(SUBSTITUTE(SUBSTITUTE(SUBSTITUTE(Tabla1[[#This Row],[map]],"[",""),"]",""),",",REPT(" ",100)),901,200))," ",", ")</f>
        <v>2, 4</v>
      </c>
      <c r="CA244" t="str">
        <f>SUBSTITUTE(TRIM(MID(SUBSTITUTE(SUBSTITUTE(SUBSTITUTE(Tabla1[[#This Row],[map]],"[",""),"]",""),",",REPT(" ",100)),1501,200))," ",", ")</f>
        <v>3, 2</v>
      </c>
      <c r="CB244" t="str">
        <f>SUBSTITUTE(TRIM(MID(SUBSTITUTE(SUBSTITUTE(SUBSTITUTE(Tabla1[[#This Row],[map]],"[",""),"]",""),",",REPT(" ",100)),601,300))," ",", ")</f>
        <v>0, 1, 3</v>
      </c>
      <c r="CC244" t="str">
        <f>SUBSTITUTE(TRIM(MID(SUBSTITUTE(SUBSTITUTE(SUBSTITUTE(Tabla1[[#This Row],[map]],"[",""),"]",""),",",REPT(" ",100)),1201,300))," ",", ")</f>
        <v>1, 4, 0</v>
      </c>
      <c r="CD244" t="str">
        <f>SUBSTITUTE(TRIM(MID(SUBSTITUTE(SUBSTITUTE(SUBSTITUTE(Tabla1[[#This Row],[map]],"[",""),"]",""),",",REPT(" ",100)),1,300))," ",", ")</f>
        <v>2, 3, 4</v>
      </c>
      <c r="CE244" t="str">
        <f>SUBSTITUTE(TRIM(MID(SUBSTITUTE(SUBSTITUTE(SUBSTITUTE(Tabla1[[#This Row],[map]],"[",""),"]",""),",",REPT(" ",100)),1,600))," ",", ")</f>
        <v>2, 3, 4, 0, 1, -1</v>
      </c>
      <c r="CF244" t="str">
        <f>SUBSTITUTE(TRIM(MID(SUBSTITUTE(SUBSTITUTE(SUBSTITUTE(Tabla1[[#This Row],[map]],"[",""),"]",""),",",REPT(" ",100)),601,600))," ",", ")</f>
        <v>0, 1, 3, 2, 4, -1</v>
      </c>
      <c r="CG244" t="str">
        <f>SUBSTITUTE(TRIM(MID(SUBSTITUTE(SUBSTITUTE(SUBSTITUTE(Tabla1[[#This Row],[map]],"[",""),"]",""),",",REPT(" ",100)),1201,600))," ",", ")</f>
        <v>1, 4, 0, 3, 2, -1</v>
      </c>
    </row>
    <row r="245" spans="1:85" x14ac:dyDescent="0.3">
      <c r="A245" s="1">
        <v>46106.909201388888</v>
      </c>
      <c r="B245" t="s">
        <v>465</v>
      </c>
      <c r="C245">
        <v>2</v>
      </c>
      <c r="D245" t="s">
        <v>77</v>
      </c>
      <c r="E245" t="s">
        <v>78</v>
      </c>
      <c r="F245">
        <v>16590</v>
      </c>
      <c r="G245">
        <v>4.5</v>
      </c>
      <c r="H245" t="s">
        <v>79</v>
      </c>
      <c r="I245" t="s">
        <v>80</v>
      </c>
      <c r="J245">
        <v>5</v>
      </c>
      <c r="K245">
        <v>5</v>
      </c>
      <c r="L245" t="s">
        <v>81</v>
      </c>
      <c r="M245" t="s">
        <v>82</v>
      </c>
      <c r="N245" t="s">
        <v>83</v>
      </c>
      <c r="O245" t="s">
        <v>83</v>
      </c>
      <c r="P245" t="s">
        <v>84</v>
      </c>
      <c r="Q245" t="s">
        <v>412</v>
      </c>
      <c r="R245">
        <v>3</v>
      </c>
      <c r="S245" t="s">
        <v>86</v>
      </c>
      <c r="T245" t="s">
        <v>87</v>
      </c>
      <c r="U245" t="s">
        <v>88</v>
      </c>
      <c r="V245">
        <v>1</v>
      </c>
      <c r="W245" t="s">
        <v>413</v>
      </c>
      <c r="X245" t="s">
        <v>83</v>
      </c>
      <c r="Y245" t="s">
        <v>90</v>
      </c>
      <c r="Z245">
        <v>4000</v>
      </c>
      <c r="AA245">
        <v>4000</v>
      </c>
      <c r="AC245">
        <v>256</v>
      </c>
      <c r="AD245" t="s">
        <v>91</v>
      </c>
      <c r="AE245">
        <v>0.15</v>
      </c>
      <c r="AF245" t="s">
        <v>92</v>
      </c>
      <c r="AG245">
        <v>180</v>
      </c>
      <c r="AH245">
        <v>60</v>
      </c>
      <c r="AI245">
        <v>120</v>
      </c>
      <c r="AJ245">
        <v>9.9766888045055055E-2</v>
      </c>
      <c r="AK245">
        <v>16.934585868595761</v>
      </c>
      <c r="AL245">
        <v>0.73266798912294384</v>
      </c>
      <c r="AM245">
        <v>-0.14922800238141651</v>
      </c>
      <c r="AN245">
        <v>22.278500232504211</v>
      </c>
      <c r="AO245">
        <v>0.68523543614250793</v>
      </c>
      <c r="AP245">
        <v>22.278500232504211</v>
      </c>
      <c r="AQ245">
        <v>22.278500232504211</v>
      </c>
      <c r="AR245">
        <v>0.68523543614250793</v>
      </c>
      <c r="AS245">
        <v>132.65498169717151</v>
      </c>
      <c r="AT245">
        <v>-0.19318444895763651</v>
      </c>
      <c r="AU245">
        <v>0.8</v>
      </c>
      <c r="AV245" t="s">
        <v>93</v>
      </c>
      <c r="AW245">
        <v>5.7007547261464737E-2</v>
      </c>
      <c r="AX245">
        <v>0.58605149848693283</v>
      </c>
      <c r="AY245">
        <v>5.7007547261464737E-2</v>
      </c>
      <c r="AZ245">
        <v>5.7007547261464737E-2</v>
      </c>
      <c r="BA245">
        <v>0.58605149848693283</v>
      </c>
      <c r="BB245">
        <v>0.157955953463051</v>
      </c>
      <c r="BC245">
        <v>-0.1469644526400509</v>
      </c>
      <c r="BD245">
        <v>7.8275936572151789E-2</v>
      </c>
      <c r="BE245">
        <v>0.72879059810942648</v>
      </c>
      <c r="BF245">
        <v>7.8275936572151789E-2</v>
      </c>
      <c r="BG245">
        <v>7.8275936572151789E-2</v>
      </c>
      <c r="BH245">
        <v>0.72879059810942648</v>
      </c>
      <c r="BI245">
        <v>0.35051330956160742</v>
      </c>
      <c r="BJ245">
        <v>-0.2144537542934917</v>
      </c>
      <c r="BK245">
        <v>7.9926276997712195E-2</v>
      </c>
      <c r="BL245">
        <v>0.67912127868784677</v>
      </c>
      <c r="BM245">
        <v>7.9926276997712195E-2</v>
      </c>
      <c r="BN245">
        <v>7.9926276997712195E-2</v>
      </c>
      <c r="BO245">
        <v>0.67912127868784677</v>
      </c>
      <c r="BP245">
        <v>0.22496647185129451</v>
      </c>
      <c r="BQ245">
        <v>9.683077284062469E-2</v>
      </c>
      <c r="BR245">
        <v>88.898791169185344</v>
      </c>
      <c r="BS245">
        <v>0.74697836928582984</v>
      </c>
      <c r="BT245">
        <v>88.898791169185344</v>
      </c>
      <c r="BU245">
        <v>88.898791169185344</v>
      </c>
      <c r="BV245">
        <v>0.74697836928582984</v>
      </c>
      <c r="BW245">
        <v>529.88649105381126</v>
      </c>
      <c r="BX245">
        <v>-0.50815036173762884</v>
      </c>
      <c r="BY245" t="str">
        <f t="shared" si="10"/>
        <v>[[sv,wv],[yr],[ya]]</v>
      </c>
      <c r="BZ245" t="str">
        <f>SUBSTITUTE(TRIM(MID(SUBSTITUTE(SUBSTITUTE(SUBSTITUTE(Tabla1[[#This Row],[map]],"[",""),"]",""),",",REPT(" ",100)),901,200))," ",", ")</f>
        <v>2, 4</v>
      </c>
      <c r="CA245" t="str">
        <f>SUBSTITUTE(TRIM(MID(SUBSTITUTE(SUBSTITUTE(SUBSTITUTE(Tabla1[[#This Row],[map]],"[",""),"]",""),",",REPT(" ",100)),1501,200))," ",", ")</f>
        <v>3, 2</v>
      </c>
      <c r="CB245" t="str">
        <f>SUBSTITUTE(TRIM(MID(SUBSTITUTE(SUBSTITUTE(SUBSTITUTE(Tabla1[[#This Row],[map]],"[",""),"]",""),",",REPT(" ",100)),601,300))," ",", ")</f>
        <v>0, 1, 3</v>
      </c>
      <c r="CC245" t="str">
        <f>SUBSTITUTE(TRIM(MID(SUBSTITUTE(SUBSTITUTE(SUBSTITUTE(Tabla1[[#This Row],[map]],"[",""),"]",""),",",REPT(" ",100)),1201,300))," ",", ")</f>
        <v>1, 4, 0</v>
      </c>
      <c r="CD245" t="str">
        <f>SUBSTITUTE(TRIM(MID(SUBSTITUTE(SUBSTITUTE(SUBSTITUTE(Tabla1[[#This Row],[map]],"[",""),"]",""),",",REPT(" ",100)),1,300))," ",", ")</f>
        <v>2, 3, 4</v>
      </c>
      <c r="CE245" t="str">
        <f>SUBSTITUTE(TRIM(MID(SUBSTITUTE(SUBSTITUTE(SUBSTITUTE(Tabla1[[#This Row],[map]],"[",""),"]",""),",",REPT(" ",100)),1,600))," ",", ")</f>
        <v>2, 3, 4, 0, 1, -1</v>
      </c>
      <c r="CF245" t="str">
        <f>SUBSTITUTE(TRIM(MID(SUBSTITUTE(SUBSTITUTE(SUBSTITUTE(Tabla1[[#This Row],[map]],"[",""),"]",""),",",REPT(" ",100)),601,600))," ",", ")</f>
        <v>0, 1, 3, 2, 4, -1</v>
      </c>
      <c r="CG245" t="str">
        <f>SUBSTITUTE(TRIM(MID(SUBSTITUTE(SUBSTITUTE(SUBSTITUTE(Tabla1[[#This Row],[map]],"[",""),"]",""),",",REPT(" ",100)),1201,600))," ",", ")</f>
        <v>1, 4, 0, 3, 2, -1</v>
      </c>
    </row>
    <row r="246" spans="1:85" x14ac:dyDescent="0.3">
      <c r="A246" s="1">
        <v>46106.919699074067</v>
      </c>
      <c r="B246" t="s">
        <v>466</v>
      </c>
      <c r="C246">
        <v>5</v>
      </c>
      <c r="D246" t="s">
        <v>77</v>
      </c>
      <c r="E246" t="s">
        <v>78</v>
      </c>
      <c r="F246">
        <v>16590</v>
      </c>
      <c r="G246">
        <v>4.5</v>
      </c>
      <c r="H246" t="s">
        <v>79</v>
      </c>
      <c r="I246" t="s">
        <v>80</v>
      </c>
      <c r="J246">
        <v>5</v>
      </c>
      <c r="K246">
        <v>5</v>
      </c>
      <c r="L246" t="s">
        <v>81</v>
      </c>
      <c r="M246" t="s">
        <v>82</v>
      </c>
      <c r="N246" t="s">
        <v>83</v>
      </c>
      <c r="O246" t="s">
        <v>83</v>
      </c>
      <c r="P246" t="s">
        <v>84</v>
      </c>
      <c r="Q246" t="s">
        <v>393</v>
      </c>
      <c r="R246">
        <v>3</v>
      </c>
      <c r="S246" t="s">
        <v>86</v>
      </c>
      <c r="T246" t="s">
        <v>87</v>
      </c>
      <c r="U246" t="s">
        <v>88</v>
      </c>
      <c r="V246">
        <v>1</v>
      </c>
      <c r="W246" t="s">
        <v>394</v>
      </c>
      <c r="X246" t="s">
        <v>83</v>
      </c>
      <c r="Y246" t="s">
        <v>90</v>
      </c>
      <c r="Z246">
        <v>4000</v>
      </c>
      <c r="AA246">
        <v>4000</v>
      </c>
      <c r="AC246">
        <v>256</v>
      </c>
      <c r="AD246" t="s">
        <v>91</v>
      </c>
      <c r="AE246">
        <v>0.15</v>
      </c>
      <c r="AF246" t="s">
        <v>92</v>
      </c>
      <c r="AG246">
        <v>180</v>
      </c>
      <c r="AH246">
        <v>60</v>
      </c>
      <c r="AI246">
        <v>120</v>
      </c>
      <c r="AJ246">
        <v>0.11975936842498899</v>
      </c>
      <c r="AK246">
        <v>21.819749548757791</v>
      </c>
      <c r="AL246">
        <v>0.70568794064301299</v>
      </c>
      <c r="AM246">
        <v>-0.49824206503920199</v>
      </c>
      <c r="AN246">
        <v>25.525864380521949</v>
      </c>
      <c r="AO246">
        <v>0.62476485888055433</v>
      </c>
      <c r="AP246">
        <v>25.525864380521949</v>
      </c>
      <c r="AQ246">
        <v>25.525864380521949</v>
      </c>
      <c r="AR246">
        <v>0.62476485888055433</v>
      </c>
      <c r="AS246">
        <v>111.2732505511505</v>
      </c>
      <c r="AT246">
        <v>-0.46354837915949221</v>
      </c>
      <c r="AU246">
        <v>0.8</v>
      </c>
      <c r="AV246" t="s">
        <v>93</v>
      </c>
      <c r="AW246">
        <v>7.0618540454076298E-2</v>
      </c>
      <c r="AX246">
        <v>0.48721808945874467</v>
      </c>
      <c r="AY246">
        <v>7.0618540454076298E-2</v>
      </c>
      <c r="AZ246">
        <v>7.0618540454076298E-2</v>
      </c>
      <c r="BA246">
        <v>0.48721808945874467</v>
      </c>
      <c r="BB246">
        <v>0.1662859796871578</v>
      </c>
      <c r="BC246">
        <v>-0.20745121340557551</v>
      </c>
      <c r="BD246">
        <v>8.0522911540694339E-2</v>
      </c>
      <c r="BE246">
        <v>0.72100530975685861</v>
      </c>
      <c r="BF246">
        <v>8.0522911540694339E-2</v>
      </c>
      <c r="BG246">
        <v>8.0522911540694339E-2</v>
      </c>
      <c r="BH246">
        <v>0.72100530975685861</v>
      </c>
      <c r="BI246">
        <v>0.50219969293454525</v>
      </c>
      <c r="BJ246">
        <v>-0.7400146751979455</v>
      </c>
      <c r="BK246">
        <v>0.1044383521920372</v>
      </c>
      <c r="BL246">
        <v>0.58071304999870743</v>
      </c>
      <c r="BM246">
        <v>0.1044383521920372</v>
      </c>
      <c r="BN246">
        <v>0.1044383521920372</v>
      </c>
      <c r="BO246">
        <v>0.58071304999870743</v>
      </c>
      <c r="BP246">
        <v>0.40924317150531819</v>
      </c>
      <c r="BQ246">
        <v>-0.64298188919916233</v>
      </c>
      <c r="BR246">
        <v>101.8478777179011</v>
      </c>
      <c r="BS246">
        <v>0.71012298630790405</v>
      </c>
      <c r="BT246">
        <v>101.8478777179011</v>
      </c>
      <c r="BU246">
        <v>101.8478777179011</v>
      </c>
      <c r="BV246">
        <v>0.71012298630790405</v>
      </c>
      <c r="BW246">
        <v>444.0152733604744</v>
      </c>
      <c r="BX246">
        <v>-0.26374573883527802</v>
      </c>
      <c r="BY246" t="str">
        <f t="shared" si="10"/>
        <v>[[sv,wv],[yr],[ya]]</v>
      </c>
      <c r="BZ246" t="str">
        <f>SUBSTITUTE(TRIM(MID(SUBSTITUTE(SUBSTITUTE(SUBSTITUTE(Tabla1[[#This Row],[map]],"[",""),"]",""),",",REPT(" ",100)),901,200))," ",", ")</f>
        <v>2, 3</v>
      </c>
      <c r="CA246" t="str">
        <f>SUBSTITUTE(TRIM(MID(SUBSTITUTE(SUBSTITUTE(SUBSTITUTE(Tabla1[[#This Row],[map]],"[",""),"]",""),",",REPT(" ",100)),1501,200))," ",", ")</f>
        <v>3, 4</v>
      </c>
      <c r="CB246" t="str">
        <f>SUBSTITUTE(TRIM(MID(SUBSTITUTE(SUBSTITUTE(SUBSTITUTE(Tabla1[[#This Row],[map]],"[",""),"]",""),",",REPT(" ",100)),601,300))," ",", ")</f>
        <v>0, 1, 4</v>
      </c>
      <c r="CC246" t="str">
        <f>SUBSTITUTE(TRIM(MID(SUBSTITUTE(SUBSTITUTE(SUBSTITUTE(Tabla1[[#This Row],[map]],"[",""),"]",""),",",REPT(" ",100)),1201,300))," ",", ")</f>
        <v>1, 2, 0</v>
      </c>
      <c r="CD246" t="str">
        <f>SUBSTITUTE(TRIM(MID(SUBSTITUTE(SUBSTITUTE(SUBSTITUTE(Tabla1[[#This Row],[map]],"[",""),"]",""),",",REPT(" ",100)),1,300))," ",", ")</f>
        <v>2, 3, 4</v>
      </c>
      <c r="CE246" t="str">
        <f>SUBSTITUTE(TRIM(MID(SUBSTITUTE(SUBSTITUTE(SUBSTITUTE(Tabla1[[#This Row],[map]],"[",""),"]",""),",",REPT(" ",100)),1,600))," ",", ")</f>
        <v>2, 3, 4, 0, 1, -1</v>
      </c>
      <c r="CF246" t="str">
        <f>SUBSTITUTE(TRIM(MID(SUBSTITUTE(SUBSTITUTE(SUBSTITUTE(Tabla1[[#This Row],[map]],"[",""),"]",""),",",REPT(" ",100)),601,600))," ",", ")</f>
        <v>0, 1, 4, 2, 3, -1</v>
      </c>
      <c r="CG246" t="str">
        <f>SUBSTITUTE(TRIM(MID(SUBSTITUTE(SUBSTITUTE(SUBSTITUTE(Tabla1[[#This Row],[map]],"[",""),"]",""),",",REPT(" ",100)),1201,600))," ",", ")</f>
        <v>1, 2, 0, 3, 4, -1</v>
      </c>
    </row>
    <row r="247" spans="1:85" x14ac:dyDescent="0.3">
      <c r="A247" s="1">
        <v>46106.922222222223</v>
      </c>
      <c r="B247" t="s">
        <v>467</v>
      </c>
      <c r="C247">
        <v>4</v>
      </c>
      <c r="D247" t="s">
        <v>96</v>
      </c>
      <c r="E247" t="s">
        <v>78</v>
      </c>
      <c r="F247">
        <v>16590</v>
      </c>
      <c r="G247">
        <v>4.5</v>
      </c>
      <c r="H247" t="s">
        <v>79</v>
      </c>
      <c r="I247" t="s">
        <v>80</v>
      </c>
      <c r="J247">
        <v>5</v>
      </c>
      <c r="K247">
        <v>5</v>
      </c>
      <c r="L247" t="s">
        <v>81</v>
      </c>
      <c r="M247" t="s">
        <v>82</v>
      </c>
      <c r="N247" t="s">
        <v>83</v>
      </c>
      <c r="O247" t="s">
        <v>83</v>
      </c>
      <c r="P247" t="s">
        <v>84</v>
      </c>
      <c r="Q247" t="s">
        <v>393</v>
      </c>
      <c r="R247">
        <v>3</v>
      </c>
      <c r="S247" t="s">
        <v>86</v>
      </c>
      <c r="T247" t="s">
        <v>87</v>
      </c>
      <c r="U247" t="s">
        <v>88</v>
      </c>
      <c r="V247">
        <v>1</v>
      </c>
      <c r="W247" t="s">
        <v>394</v>
      </c>
      <c r="X247" t="s">
        <v>83</v>
      </c>
      <c r="Y247" t="s">
        <v>90</v>
      </c>
      <c r="Z247">
        <v>4000</v>
      </c>
      <c r="AA247">
        <v>4000</v>
      </c>
      <c r="AC247">
        <v>256</v>
      </c>
      <c r="AD247" t="s">
        <v>91</v>
      </c>
      <c r="AE247">
        <v>0.15</v>
      </c>
      <c r="AF247" t="s">
        <v>92</v>
      </c>
      <c r="AG247">
        <v>180</v>
      </c>
      <c r="AH247">
        <v>60</v>
      </c>
      <c r="AI247">
        <v>120</v>
      </c>
      <c r="AJ247">
        <v>9.5153500925011042E-2</v>
      </c>
      <c r="AK247">
        <v>16.531035225811411</v>
      </c>
      <c r="AL247">
        <v>0.7923401894698765</v>
      </c>
      <c r="AM247">
        <v>-1.120242844612745</v>
      </c>
      <c r="AN247">
        <v>24.652671730091161</v>
      </c>
      <c r="AO247">
        <v>0.70812818862753413</v>
      </c>
      <c r="AP247">
        <v>24.652671730091161</v>
      </c>
      <c r="AQ247">
        <v>24.652671730091161</v>
      </c>
      <c r="AR247">
        <v>0.70812818862753413</v>
      </c>
      <c r="AS247">
        <v>184.02791285794041</v>
      </c>
      <c r="AT247">
        <v>-1.0182824690997041</v>
      </c>
      <c r="AU247">
        <v>0.8</v>
      </c>
      <c r="AV247" t="s">
        <v>93</v>
      </c>
      <c r="AW247">
        <v>6.3194102365058832E-2</v>
      </c>
      <c r="AX247">
        <v>0.54112910947561166</v>
      </c>
      <c r="AY247">
        <v>6.3194102365058832E-2</v>
      </c>
      <c r="AZ247">
        <v>6.3194102365058832E-2</v>
      </c>
      <c r="BA247">
        <v>0.54112910947561166</v>
      </c>
      <c r="BB247">
        <v>0.21439663225244129</v>
      </c>
      <c r="BC247">
        <v>-0.55679675610842794</v>
      </c>
      <c r="BD247">
        <v>4.2176221272609032E-2</v>
      </c>
      <c r="BE247">
        <v>0.85386840137255826</v>
      </c>
      <c r="BF247">
        <v>4.2176221272609032E-2</v>
      </c>
      <c r="BG247">
        <v>4.2176221272609032E-2</v>
      </c>
      <c r="BH247">
        <v>0.85386840137255826</v>
      </c>
      <c r="BI247">
        <v>0.640146671833424</v>
      </c>
      <c r="BJ247">
        <v>-1.21797149408942</v>
      </c>
      <c r="BK247">
        <v>7.0322205046477251E-2</v>
      </c>
      <c r="BL247">
        <v>0.71767858978580268</v>
      </c>
      <c r="BM247">
        <v>7.0322205046477251E-2</v>
      </c>
      <c r="BN247">
        <v>7.0322205046477251E-2</v>
      </c>
      <c r="BO247">
        <v>0.71767858978580268</v>
      </c>
      <c r="BP247">
        <v>0.54979551729579301</v>
      </c>
      <c r="BQ247">
        <v>-1.2072551005732151</v>
      </c>
      <c r="BR247">
        <v>98.434994391680519</v>
      </c>
      <c r="BS247">
        <v>0.71983665387616291</v>
      </c>
      <c r="BT247">
        <v>98.434994391680519</v>
      </c>
      <c r="BU247">
        <v>98.434994391680519</v>
      </c>
      <c r="BV247">
        <v>0.71983665387616291</v>
      </c>
      <c r="BW247">
        <v>734.70731261038247</v>
      </c>
      <c r="BX247">
        <v>-1.091106525627777</v>
      </c>
      <c r="BY247" t="str">
        <f t="shared" si="10"/>
        <v>[[sv,wv],[yr],[ya]]</v>
      </c>
      <c r="BZ247" t="str">
        <f>SUBSTITUTE(TRIM(MID(SUBSTITUTE(SUBSTITUTE(SUBSTITUTE(Tabla1[[#This Row],[map]],"[",""),"]",""),",",REPT(" ",100)),901,200))," ",", ")</f>
        <v>2, 3</v>
      </c>
      <c r="CA247" t="str">
        <f>SUBSTITUTE(TRIM(MID(SUBSTITUTE(SUBSTITUTE(SUBSTITUTE(Tabla1[[#This Row],[map]],"[",""),"]",""),",",REPT(" ",100)),1501,200))," ",", ")</f>
        <v>3, 4</v>
      </c>
      <c r="CB247" t="str">
        <f>SUBSTITUTE(TRIM(MID(SUBSTITUTE(SUBSTITUTE(SUBSTITUTE(Tabla1[[#This Row],[map]],"[",""),"]",""),",",REPT(" ",100)),601,300))," ",", ")</f>
        <v>0, 1, 4</v>
      </c>
      <c r="CC247" t="str">
        <f>SUBSTITUTE(TRIM(MID(SUBSTITUTE(SUBSTITUTE(SUBSTITUTE(Tabla1[[#This Row],[map]],"[",""),"]",""),",",REPT(" ",100)),1201,300))," ",", ")</f>
        <v>1, 2, 0</v>
      </c>
      <c r="CD247" t="str">
        <f>SUBSTITUTE(TRIM(MID(SUBSTITUTE(SUBSTITUTE(SUBSTITUTE(Tabla1[[#This Row],[map]],"[",""),"]",""),",",REPT(" ",100)),1,300))," ",", ")</f>
        <v>2, 3, 4</v>
      </c>
      <c r="CE247" t="str">
        <f>SUBSTITUTE(TRIM(MID(SUBSTITUTE(SUBSTITUTE(SUBSTITUTE(Tabla1[[#This Row],[map]],"[",""),"]",""),",",REPT(" ",100)),1,600))," ",", ")</f>
        <v>2, 3, 4, 0, 1, -1</v>
      </c>
      <c r="CF247" t="str">
        <f>SUBSTITUTE(TRIM(MID(SUBSTITUTE(SUBSTITUTE(SUBSTITUTE(Tabla1[[#This Row],[map]],"[",""),"]",""),",",REPT(" ",100)),601,600))," ",", ")</f>
        <v>0, 1, 4, 2, 3, -1</v>
      </c>
      <c r="CG247" t="str">
        <f>SUBSTITUTE(TRIM(MID(SUBSTITUTE(SUBSTITUTE(SUBSTITUTE(Tabla1[[#This Row],[map]],"[",""),"]",""),",",REPT(" ",100)),1201,600))," ",", ")</f>
        <v>1, 2, 0, 3, 4, -1</v>
      </c>
    </row>
    <row r="248" spans="1:85" x14ac:dyDescent="0.3">
      <c r="A248" s="1">
        <v>46106.949502314812</v>
      </c>
      <c r="B248" t="s">
        <v>468</v>
      </c>
      <c r="C248">
        <v>0</v>
      </c>
      <c r="D248" t="s">
        <v>77</v>
      </c>
      <c r="E248" t="s">
        <v>78</v>
      </c>
      <c r="F248">
        <v>16590</v>
      </c>
      <c r="G248">
        <v>4.5</v>
      </c>
      <c r="H248" t="s">
        <v>79</v>
      </c>
      <c r="I248" t="s">
        <v>80</v>
      </c>
      <c r="J248">
        <v>5</v>
      </c>
      <c r="K248">
        <v>5</v>
      </c>
      <c r="L248" t="s">
        <v>81</v>
      </c>
      <c r="M248" t="s">
        <v>82</v>
      </c>
      <c r="N248" t="s">
        <v>83</v>
      </c>
      <c r="O248" t="s">
        <v>83</v>
      </c>
      <c r="P248" t="s">
        <v>84</v>
      </c>
      <c r="Q248" t="s">
        <v>469</v>
      </c>
      <c r="R248">
        <v>3</v>
      </c>
      <c r="S248" t="s">
        <v>86</v>
      </c>
      <c r="T248" t="s">
        <v>87</v>
      </c>
      <c r="U248" t="s">
        <v>88</v>
      </c>
      <c r="V248">
        <v>1</v>
      </c>
      <c r="W248" t="s">
        <v>470</v>
      </c>
      <c r="X248" t="s">
        <v>83</v>
      </c>
      <c r="Y248" t="s">
        <v>90</v>
      </c>
      <c r="Z248">
        <v>4000</v>
      </c>
      <c r="AA248">
        <v>4000</v>
      </c>
      <c r="AC248">
        <v>256</v>
      </c>
      <c r="AD248" t="s">
        <v>91</v>
      </c>
      <c r="AE248">
        <v>0.15</v>
      </c>
      <c r="AF248" t="s">
        <v>92</v>
      </c>
      <c r="AG248">
        <v>180</v>
      </c>
      <c r="AH248">
        <v>60</v>
      </c>
      <c r="AI248">
        <v>120</v>
      </c>
      <c r="AJ248">
        <v>0.1214638681467627</v>
      </c>
      <c r="AK248">
        <v>17.488330417843802</v>
      </c>
      <c r="AL248">
        <v>0.65064502966788507</v>
      </c>
      <c r="AM248">
        <v>-6.2124560891558211E-2</v>
      </c>
      <c r="AN248">
        <v>24.67517129312407</v>
      </c>
      <c r="AO248">
        <v>0.58640948842744933</v>
      </c>
      <c r="AP248">
        <v>24.67517129312407</v>
      </c>
      <c r="AQ248">
        <v>24.67517129312407</v>
      </c>
      <c r="AR248">
        <v>0.58640948842744933</v>
      </c>
      <c r="AS248">
        <v>124.0824335310276</v>
      </c>
      <c r="AT248">
        <v>-4.7404567989014823E-2</v>
      </c>
      <c r="AU248">
        <v>0.8</v>
      </c>
      <c r="AV248" t="s">
        <v>93</v>
      </c>
      <c r="AW248">
        <v>8.2838024026304038E-2</v>
      </c>
      <c r="AX248">
        <v>0.39848883943878421</v>
      </c>
      <c r="AY248">
        <v>8.2838024026304038E-2</v>
      </c>
      <c r="AZ248">
        <v>8.2838024026304038E-2</v>
      </c>
      <c r="BA248">
        <v>0.39848883943878421</v>
      </c>
      <c r="BB248">
        <v>9.140930368853549E-2</v>
      </c>
      <c r="BC248">
        <v>0.33625026678178249</v>
      </c>
      <c r="BD248">
        <v>0.1052205207059478</v>
      </c>
      <c r="BE248">
        <v>0.63543336896428348</v>
      </c>
      <c r="BF248">
        <v>0.1052205207059478</v>
      </c>
      <c r="BG248">
        <v>0.1052205207059478</v>
      </c>
      <c r="BH248">
        <v>0.63543336896428348</v>
      </c>
      <c r="BI248">
        <v>0.23647543584245451</v>
      </c>
      <c r="BJ248">
        <v>0.18066312170499371</v>
      </c>
      <c r="BK248">
        <v>0.1016740960526149</v>
      </c>
      <c r="BL248">
        <v>0.59181066405900551</v>
      </c>
      <c r="BM248">
        <v>0.1016740960526149</v>
      </c>
      <c r="BN248">
        <v>0.1016740960526149</v>
      </c>
      <c r="BO248">
        <v>0.59181066405900551</v>
      </c>
      <c r="BP248">
        <v>0.32275059870376482</v>
      </c>
      <c r="BQ248">
        <v>-0.29574156716645672</v>
      </c>
      <c r="BR248">
        <v>98.410952531711132</v>
      </c>
      <c r="BS248">
        <v>0.71990508124772612</v>
      </c>
      <c r="BT248">
        <v>98.410952531711132</v>
      </c>
      <c r="BU248">
        <v>98.410952531711132</v>
      </c>
      <c r="BV248">
        <v>0.71990508124772612</v>
      </c>
      <c r="BW248">
        <v>495.6790987858738</v>
      </c>
      <c r="BX248">
        <v>-0.41079009327637511</v>
      </c>
      <c r="BY248" t="str">
        <f t="shared" si="10"/>
        <v>[[sv,wv],[yr],[ya]]</v>
      </c>
      <c r="BZ248" t="str">
        <f>SUBSTITUTE(TRIM(MID(SUBSTITUTE(SUBSTITUTE(SUBSTITUTE(Tabla1[[#This Row],[map]],"[",""),"]",""),",",REPT(" ",100)),901,200))," ",", ")</f>
        <v>2, 3</v>
      </c>
      <c r="CA248" t="str">
        <f>SUBSTITUTE(TRIM(MID(SUBSTITUTE(SUBSTITUTE(SUBSTITUTE(Tabla1[[#This Row],[map]],"[",""),"]",""),",",REPT(" ",100)),1501,200))," ",", ")</f>
        <v>3, 4</v>
      </c>
      <c r="CB248" t="str">
        <f>SUBSTITUTE(TRIM(MID(SUBSTITUTE(SUBSTITUTE(SUBSTITUTE(Tabla1[[#This Row],[map]],"[",""),"]",""),",",REPT(" ",100)),601,300))," ",", ")</f>
        <v>0, 1, 4</v>
      </c>
      <c r="CC248" t="str">
        <f>SUBSTITUTE(TRIM(MID(SUBSTITUTE(SUBSTITUTE(SUBSTITUTE(Tabla1[[#This Row],[map]],"[",""),"]",""),",",REPT(" ",100)),1201,300))," ",", ")</f>
        <v>1, 2, 0</v>
      </c>
      <c r="CD248" t="str">
        <f>SUBSTITUTE(TRIM(MID(SUBSTITUTE(SUBSTITUTE(SUBSTITUTE(Tabla1[[#This Row],[map]],"[",""),"]",""),",",REPT(" ",100)),1,300))," ",", ")</f>
        <v>4, 2, 3</v>
      </c>
      <c r="CE248" t="str">
        <f>SUBSTITUTE(TRIM(MID(SUBSTITUTE(SUBSTITUTE(SUBSTITUTE(Tabla1[[#This Row],[map]],"[",""),"]",""),",",REPT(" ",100)),1,600))," ",", ")</f>
        <v>4, 2, 3, 0, 1, -1</v>
      </c>
      <c r="CF248" t="str">
        <f>SUBSTITUTE(TRIM(MID(SUBSTITUTE(SUBSTITUTE(SUBSTITUTE(Tabla1[[#This Row],[map]],"[",""),"]",""),",",REPT(" ",100)),601,600))," ",", ")</f>
        <v>0, 1, 4, 2, 3, -1</v>
      </c>
      <c r="CG248" t="str">
        <f>SUBSTITUTE(TRIM(MID(SUBSTITUTE(SUBSTITUTE(SUBSTITUTE(Tabla1[[#This Row],[map]],"[",""),"]",""),",",REPT(" ",100)),1201,600))," ",", ")</f>
        <v>1, 2, 0, 3, 4, -1</v>
      </c>
    </row>
    <row r="249" spans="1:85" x14ac:dyDescent="0.3">
      <c r="A249" s="1">
        <v>46107.013425925928</v>
      </c>
      <c r="B249" t="s">
        <v>471</v>
      </c>
      <c r="C249">
        <v>1</v>
      </c>
      <c r="D249" t="s">
        <v>77</v>
      </c>
      <c r="E249" t="s">
        <v>78</v>
      </c>
      <c r="F249">
        <v>16590</v>
      </c>
      <c r="G249">
        <v>4.5</v>
      </c>
      <c r="H249" t="s">
        <v>79</v>
      </c>
      <c r="I249" t="s">
        <v>80</v>
      </c>
      <c r="J249">
        <v>5</v>
      </c>
      <c r="K249">
        <v>5</v>
      </c>
      <c r="L249" t="s">
        <v>81</v>
      </c>
      <c r="M249" t="s">
        <v>82</v>
      </c>
      <c r="N249" t="s">
        <v>83</v>
      </c>
      <c r="O249" t="s">
        <v>83</v>
      </c>
      <c r="P249" t="s">
        <v>84</v>
      </c>
      <c r="Q249" t="s">
        <v>449</v>
      </c>
      <c r="R249">
        <v>3</v>
      </c>
      <c r="S249" t="s">
        <v>86</v>
      </c>
      <c r="T249" t="s">
        <v>87</v>
      </c>
      <c r="U249" t="s">
        <v>88</v>
      </c>
      <c r="V249">
        <v>1</v>
      </c>
      <c r="W249" t="s">
        <v>450</v>
      </c>
      <c r="X249" t="s">
        <v>83</v>
      </c>
      <c r="Y249" t="s">
        <v>90</v>
      </c>
      <c r="Z249">
        <v>4000</v>
      </c>
      <c r="AA249">
        <v>4000</v>
      </c>
      <c r="AC249">
        <v>256</v>
      </c>
      <c r="AD249" t="s">
        <v>91</v>
      </c>
      <c r="AE249">
        <v>0.15</v>
      </c>
      <c r="AF249" t="s">
        <v>92</v>
      </c>
      <c r="AG249">
        <v>180</v>
      </c>
      <c r="AH249">
        <v>60</v>
      </c>
      <c r="AI249">
        <v>120</v>
      </c>
      <c r="AJ249">
        <v>0.1190477154578241</v>
      </c>
      <c r="AK249">
        <v>23.545975246484041</v>
      </c>
      <c r="AL249">
        <v>0.68211102333381091</v>
      </c>
      <c r="AM249">
        <v>2.3949171757507409E-2</v>
      </c>
      <c r="AN249">
        <v>28.63112593995837</v>
      </c>
      <c r="AO249">
        <v>0.64301000678130182</v>
      </c>
      <c r="AP249">
        <v>28.63112593995837</v>
      </c>
      <c r="AQ249">
        <v>28.63112593995837</v>
      </c>
      <c r="AR249">
        <v>0.64301000678130182</v>
      </c>
      <c r="AS249">
        <v>128.6068943992301</v>
      </c>
      <c r="AT249">
        <v>4.2980881941189403E-2</v>
      </c>
      <c r="AU249">
        <v>0.8</v>
      </c>
      <c r="AV249" t="s">
        <v>93</v>
      </c>
      <c r="AW249">
        <v>8.3164961231958462E-2</v>
      </c>
      <c r="AX249">
        <v>0.39611485260948248</v>
      </c>
      <c r="AY249">
        <v>8.3164961231958462E-2</v>
      </c>
      <c r="AZ249">
        <v>8.3164961231958462E-2</v>
      </c>
      <c r="BA249">
        <v>0.39611485260948248</v>
      </c>
      <c r="BB249">
        <v>0.15372454429868421</v>
      </c>
      <c r="BC249">
        <v>-0.1162389510701505</v>
      </c>
      <c r="BD249">
        <v>0.1026317955920745</v>
      </c>
      <c r="BE249">
        <v>0.64440274857873914</v>
      </c>
      <c r="BF249">
        <v>0.1026317955920745</v>
      </c>
      <c r="BG249">
        <v>0.1026317955920745</v>
      </c>
      <c r="BH249">
        <v>0.64440274857873914</v>
      </c>
      <c r="BI249">
        <v>0.15633222759341969</v>
      </c>
      <c r="BJ249">
        <v>0.45834222114032708</v>
      </c>
      <c r="BK249">
        <v>3.565684242414352E-2</v>
      </c>
      <c r="BL249">
        <v>0.85684905599424321</v>
      </c>
      <c r="BM249">
        <v>3.565684242414352E-2</v>
      </c>
      <c r="BN249">
        <v>3.565684242414352E-2</v>
      </c>
      <c r="BO249">
        <v>0.85684905599424321</v>
      </c>
      <c r="BP249">
        <v>0.1762062012091021</v>
      </c>
      <c r="BQ249">
        <v>0.29258783650254239</v>
      </c>
      <c r="BR249">
        <v>114.3030501605854</v>
      </c>
      <c r="BS249">
        <v>0.67467336994274296</v>
      </c>
      <c r="BT249">
        <v>114.3030501605854</v>
      </c>
      <c r="BU249">
        <v>114.3030501605854</v>
      </c>
      <c r="BV249">
        <v>0.67467336994274296</v>
      </c>
      <c r="BW249">
        <v>513.94131462381745</v>
      </c>
      <c r="BX249">
        <v>-0.46276757880794789</v>
      </c>
      <c r="BY249" t="str">
        <f t="shared" si="10"/>
        <v>[[sv,wv],[yr],[ya]]</v>
      </c>
      <c r="BZ249" t="str">
        <f>SUBSTITUTE(TRIM(MID(SUBSTITUTE(SUBSTITUTE(SUBSTITUTE(Tabla1[[#This Row],[map]],"[",""),"]",""),",",REPT(" ",100)),901,200))," ",", ")</f>
        <v>2, 4</v>
      </c>
      <c r="CA249" t="str">
        <f>SUBSTITUTE(TRIM(MID(SUBSTITUTE(SUBSTITUTE(SUBSTITUTE(Tabla1[[#This Row],[map]],"[",""),"]",""),",",REPT(" ",100)),1501,200))," ",", ")</f>
        <v>3, 2</v>
      </c>
      <c r="CB249" t="str">
        <f>SUBSTITUTE(TRIM(MID(SUBSTITUTE(SUBSTITUTE(SUBSTITUTE(Tabla1[[#This Row],[map]],"[",""),"]",""),",",REPT(" ",100)),601,300))," ",", ")</f>
        <v>1, 3, 0</v>
      </c>
      <c r="CC249" t="str">
        <f>SUBSTITUTE(TRIM(MID(SUBSTITUTE(SUBSTITUTE(SUBSTITUTE(Tabla1[[#This Row],[map]],"[",""),"]",""),",",REPT(" ",100)),1201,300))," ",", ")</f>
        <v>0, 1, 4</v>
      </c>
      <c r="CD249" t="str">
        <f>SUBSTITUTE(TRIM(MID(SUBSTITUTE(SUBSTITUTE(SUBSTITUTE(Tabla1[[#This Row],[map]],"[",""),"]",""),",",REPT(" ",100)),1,300))," ",", ")</f>
        <v>4, 2, 3</v>
      </c>
      <c r="CE249" t="str">
        <f>SUBSTITUTE(TRIM(MID(SUBSTITUTE(SUBSTITUTE(SUBSTITUTE(Tabla1[[#This Row],[map]],"[",""),"]",""),",",REPT(" ",100)),1,600))," ",", ")</f>
        <v>4, 2, 3, 0, 1, -1</v>
      </c>
      <c r="CF249" t="str">
        <f>SUBSTITUTE(TRIM(MID(SUBSTITUTE(SUBSTITUTE(SUBSTITUTE(Tabla1[[#This Row],[map]],"[",""),"]",""),",",REPT(" ",100)),601,600))," ",", ")</f>
        <v>1, 3, 0, 2, 4, -1</v>
      </c>
      <c r="CG249" t="str">
        <f>SUBSTITUTE(TRIM(MID(SUBSTITUTE(SUBSTITUTE(SUBSTITUTE(Tabla1[[#This Row],[map]],"[",""),"]",""),",",REPT(" ",100)),1201,600))," ",", ")</f>
        <v>0, 1, 4, 3, 2, -1</v>
      </c>
    </row>
    <row r="250" spans="1:85" x14ac:dyDescent="0.3">
      <c r="A250" s="1">
        <v>46107.053715277783</v>
      </c>
      <c r="B250" t="s">
        <v>472</v>
      </c>
      <c r="C250">
        <v>3</v>
      </c>
      <c r="D250" t="s">
        <v>96</v>
      </c>
      <c r="E250" t="s">
        <v>78</v>
      </c>
      <c r="F250">
        <v>16590</v>
      </c>
      <c r="G250">
        <v>4.5</v>
      </c>
      <c r="H250" t="s">
        <v>79</v>
      </c>
      <c r="I250" t="s">
        <v>80</v>
      </c>
      <c r="J250">
        <v>5</v>
      </c>
      <c r="K250">
        <v>5</v>
      </c>
      <c r="L250" t="s">
        <v>81</v>
      </c>
      <c r="M250" t="s">
        <v>82</v>
      </c>
      <c r="N250" t="s">
        <v>83</v>
      </c>
      <c r="O250" t="s">
        <v>83</v>
      </c>
      <c r="P250" t="s">
        <v>84</v>
      </c>
      <c r="Q250" t="s">
        <v>416</v>
      </c>
      <c r="R250">
        <v>3</v>
      </c>
      <c r="S250" t="s">
        <v>86</v>
      </c>
      <c r="T250" t="s">
        <v>87</v>
      </c>
      <c r="U250" t="s">
        <v>88</v>
      </c>
      <c r="V250">
        <v>1</v>
      </c>
      <c r="W250" t="s">
        <v>417</v>
      </c>
      <c r="X250" t="s">
        <v>83</v>
      </c>
      <c r="Y250" t="s">
        <v>90</v>
      </c>
      <c r="Z250">
        <v>4000</v>
      </c>
      <c r="AA250">
        <v>4000</v>
      </c>
      <c r="AC250">
        <v>256</v>
      </c>
      <c r="AD250" t="s">
        <v>91</v>
      </c>
      <c r="AE250">
        <v>0.15</v>
      </c>
      <c r="AF250" t="s">
        <v>92</v>
      </c>
      <c r="AG250">
        <v>180</v>
      </c>
      <c r="AH250">
        <v>60</v>
      </c>
      <c r="AI250">
        <v>120</v>
      </c>
      <c r="AJ250">
        <v>0.10035304210497591</v>
      </c>
      <c r="AK250">
        <v>16.904942012143561</v>
      </c>
      <c r="AL250">
        <v>0.76827252768033882</v>
      </c>
      <c r="AM250">
        <v>0.33682768620572479</v>
      </c>
      <c r="AN250">
        <v>22.275346918024422</v>
      </c>
      <c r="AO250">
        <v>0.72217383284751357</v>
      </c>
      <c r="AP250">
        <v>22.275346918024422</v>
      </c>
      <c r="AQ250">
        <v>22.275346918024422</v>
      </c>
      <c r="AR250">
        <v>0.72217383284751357</v>
      </c>
      <c r="AS250">
        <v>84.193138308788875</v>
      </c>
      <c r="AT250">
        <v>0.31471731764520527</v>
      </c>
      <c r="AU250">
        <v>0.8</v>
      </c>
      <c r="AV250" t="s">
        <v>93</v>
      </c>
      <c r="AW250">
        <v>5.7224349761585108E-2</v>
      </c>
      <c r="AX250">
        <v>0.58447723201941582</v>
      </c>
      <c r="AY250">
        <v>5.7224349761585108E-2</v>
      </c>
      <c r="AZ250">
        <v>5.7224349761585108E-2</v>
      </c>
      <c r="BA250">
        <v>0.58447723201941582</v>
      </c>
      <c r="BB250">
        <v>0.13773228685643041</v>
      </c>
      <c r="BC250">
        <v>-1.144847136220761E-4</v>
      </c>
      <c r="BD250">
        <v>5.6154361432833803E-2</v>
      </c>
      <c r="BE250">
        <v>0.80543713119666238</v>
      </c>
      <c r="BF250">
        <v>5.6154361432833803E-2</v>
      </c>
      <c r="BG250">
        <v>5.6154361432833803E-2</v>
      </c>
      <c r="BH250">
        <v>0.80543713119666238</v>
      </c>
      <c r="BI250">
        <v>0.1155855212786643</v>
      </c>
      <c r="BJ250">
        <v>0.59952085575748537</v>
      </c>
      <c r="BK250">
        <v>6.1802969387737813E-2</v>
      </c>
      <c r="BL250">
        <v>0.75188062630517494</v>
      </c>
      <c r="BM250">
        <v>6.1802969387737813E-2</v>
      </c>
      <c r="BN250">
        <v>6.1802969387737813E-2</v>
      </c>
      <c r="BO250">
        <v>0.75188062630517494</v>
      </c>
      <c r="BP250">
        <v>9.5403672972215622E-2</v>
      </c>
      <c r="BQ250">
        <v>0.61698442938004427</v>
      </c>
      <c r="BR250">
        <v>88.926205991515801</v>
      </c>
      <c r="BS250">
        <v>0.7469003418688025</v>
      </c>
      <c r="BT250">
        <v>88.926205991515801</v>
      </c>
      <c r="BU250">
        <v>88.926205991515801</v>
      </c>
      <c r="BV250">
        <v>0.7469003418688025</v>
      </c>
      <c r="BW250">
        <v>336.42383175404927</v>
      </c>
      <c r="BX250">
        <v>4.2478470156916533E-2</v>
      </c>
      <c r="BY250" t="str">
        <f t="shared" si="10"/>
        <v>[[sv,wv],[yr],[ya]]</v>
      </c>
      <c r="BZ250" t="str">
        <f>SUBSTITUTE(TRIM(MID(SUBSTITUTE(SUBSTITUTE(SUBSTITUTE(Tabla1[[#This Row],[map]],"[",""),"]",""),",",REPT(" ",100)),901,200))," ",", ")</f>
        <v>2, 4</v>
      </c>
      <c r="CA250" t="str">
        <f>SUBSTITUTE(TRIM(MID(SUBSTITUTE(SUBSTITUTE(SUBSTITUTE(Tabla1[[#This Row],[map]],"[",""),"]",""),",",REPT(" ",100)),1501,200))," ",", ")</f>
        <v>3, 4</v>
      </c>
      <c r="CB250" t="str">
        <f>SUBSTITUTE(TRIM(MID(SUBSTITUTE(SUBSTITUTE(SUBSTITUTE(Tabla1[[#This Row],[map]],"[",""),"]",""),",",REPT(" ",100)),601,300))," ",", ")</f>
        <v>0, 1, 3</v>
      </c>
      <c r="CC250" t="str">
        <f>SUBSTITUTE(TRIM(MID(SUBSTITUTE(SUBSTITUTE(SUBSTITUTE(Tabla1[[#This Row],[map]],"[",""),"]",""),",",REPT(" ",100)),1201,300))," ",", ")</f>
        <v>1, 2, 0</v>
      </c>
      <c r="CD250" t="str">
        <f>SUBSTITUTE(TRIM(MID(SUBSTITUTE(SUBSTITUTE(SUBSTITUTE(Tabla1[[#This Row],[map]],"[",""),"]",""),",",REPT(" ",100)),1,300))," ",", ")</f>
        <v>2, 3, 4</v>
      </c>
      <c r="CE250" t="str">
        <f>SUBSTITUTE(TRIM(MID(SUBSTITUTE(SUBSTITUTE(SUBSTITUTE(Tabla1[[#This Row],[map]],"[",""),"]",""),",",REPT(" ",100)),1,600))," ",", ")</f>
        <v>2, 3, 4, 0, 1, -1</v>
      </c>
      <c r="CF250" t="str">
        <f>SUBSTITUTE(TRIM(MID(SUBSTITUTE(SUBSTITUTE(SUBSTITUTE(Tabla1[[#This Row],[map]],"[",""),"]",""),",",REPT(" ",100)),601,600))," ",", ")</f>
        <v>0, 1, 3, 2, 4, -1</v>
      </c>
      <c r="CG250" t="str">
        <f>SUBSTITUTE(TRIM(MID(SUBSTITUTE(SUBSTITUTE(SUBSTITUTE(Tabla1[[#This Row],[map]],"[",""),"]",""),",",REPT(" ",100)),1201,600))," ",", ")</f>
        <v>1, 2, 0, 3, 4, -1</v>
      </c>
    </row>
    <row r="251" spans="1:85" x14ac:dyDescent="0.3">
      <c r="A251" s="1">
        <v>46107.056516203702</v>
      </c>
      <c r="B251" t="s">
        <v>473</v>
      </c>
      <c r="C251">
        <v>2</v>
      </c>
      <c r="D251" t="s">
        <v>77</v>
      </c>
      <c r="E251" t="s">
        <v>78</v>
      </c>
      <c r="F251">
        <v>16590</v>
      </c>
      <c r="G251">
        <v>4.5</v>
      </c>
      <c r="H251" t="s">
        <v>79</v>
      </c>
      <c r="I251" t="s">
        <v>80</v>
      </c>
      <c r="J251">
        <v>5</v>
      </c>
      <c r="K251">
        <v>5</v>
      </c>
      <c r="L251" t="s">
        <v>81</v>
      </c>
      <c r="M251" t="s">
        <v>82</v>
      </c>
      <c r="N251" t="s">
        <v>83</v>
      </c>
      <c r="O251" t="s">
        <v>83</v>
      </c>
      <c r="P251" t="s">
        <v>84</v>
      </c>
      <c r="Q251" t="s">
        <v>416</v>
      </c>
      <c r="R251">
        <v>3</v>
      </c>
      <c r="S251" t="s">
        <v>86</v>
      </c>
      <c r="T251" t="s">
        <v>87</v>
      </c>
      <c r="U251" t="s">
        <v>88</v>
      </c>
      <c r="V251">
        <v>1</v>
      </c>
      <c r="W251" t="s">
        <v>417</v>
      </c>
      <c r="X251" t="s">
        <v>83</v>
      </c>
      <c r="Y251" t="s">
        <v>90</v>
      </c>
      <c r="Z251">
        <v>4000</v>
      </c>
      <c r="AA251">
        <v>4000</v>
      </c>
      <c r="AC251">
        <v>256</v>
      </c>
      <c r="AD251" t="s">
        <v>91</v>
      </c>
      <c r="AE251">
        <v>0.15</v>
      </c>
      <c r="AF251" t="s">
        <v>92</v>
      </c>
      <c r="AG251">
        <v>180</v>
      </c>
      <c r="AH251">
        <v>60</v>
      </c>
      <c r="AI251">
        <v>120</v>
      </c>
      <c r="AJ251">
        <v>0.1001054898442709</v>
      </c>
      <c r="AK251">
        <v>16.368074163317729</v>
      </c>
      <c r="AL251">
        <v>0.74460740776439938</v>
      </c>
      <c r="AM251">
        <v>-0.139776235361665</v>
      </c>
      <c r="AN251">
        <v>22.911716767411729</v>
      </c>
      <c r="AO251">
        <v>0.68225862527071512</v>
      </c>
      <c r="AP251">
        <v>22.911716767411729</v>
      </c>
      <c r="AQ251">
        <v>22.911716767411729</v>
      </c>
      <c r="AR251">
        <v>0.68225862527071512</v>
      </c>
      <c r="AS251">
        <v>138.2924058980924</v>
      </c>
      <c r="AT251">
        <v>-0.18988673955091759</v>
      </c>
      <c r="AU251">
        <v>0.8</v>
      </c>
      <c r="AV251" t="s">
        <v>93</v>
      </c>
      <c r="AW251">
        <v>5.7186089556057702E-2</v>
      </c>
      <c r="AX251">
        <v>0.58475505058040422</v>
      </c>
      <c r="AY251">
        <v>5.7186089556057702E-2</v>
      </c>
      <c r="AZ251">
        <v>5.7186089556057702E-2</v>
      </c>
      <c r="BA251">
        <v>0.58475505058040422</v>
      </c>
      <c r="BB251">
        <v>0.1788364057129668</v>
      </c>
      <c r="BC251">
        <v>-0.29858353353340622</v>
      </c>
      <c r="BD251">
        <v>7.9241278541524976E-2</v>
      </c>
      <c r="BE251">
        <v>0.72544589436522733</v>
      </c>
      <c r="BF251">
        <v>7.9241278541524976E-2</v>
      </c>
      <c r="BG251">
        <v>7.9241278541524976E-2</v>
      </c>
      <c r="BH251">
        <v>0.72544589436522733</v>
      </c>
      <c r="BI251">
        <v>0.28813011614663758</v>
      </c>
      <c r="BJ251">
        <v>1.690686961487331E-3</v>
      </c>
      <c r="BK251">
        <v>7.9941323471121192E-2</v>
      </c>
      <c r="BL251">
        <v>0.67906087185633779</v>
      </c>
      <c r="BM251">
        <v>7.9941323471121192E-2</v>
      </c>
      <c r="BN251">
        <v>7.9941323471121192E-2</v>
      </c>
      <c r="BO251">
        <v>0.67906087185633779</v>
      </c>
      <c r="BP251">
        <v>0.2217350315280382</v>
      </c>
      <c r="BQ251">
        <v>0.10980398362776909</v>
      </c>
      <c r="BR251">
        <v>91.430498378077644</v>
      </c>
      <c r="BS251">
        <v>0.73977268428089382</v>
      </c>
      <c r="BT251">
        <v>91.430498378077644</v>
      </c>
      <c r="BU251">
        <v>91.430498378077644</v>
      </c>
      <c r="BV251">
        <v>0.73977268428089382</v>
      </c>
      <c r="BW251">
        <v>552.48092203898045</v>
      </c>
      <c r="BX251">
        <v>-0.57245809525952107</v>
      </c>
      <c r="BY251" t="str">
        <f t="shared" si="10"/>
        <v>[[sv,wv],[yr],[ya]]</v>
      </c>
      <c r="BZ251" t="str">
        <f>SUBSTITUTE(TRIM(MID(SUBSTITUTE(SUBSTITUTE(SUBSTITUTE(Tabla1[[#This Row],[map]],"[",""),"]",""),",",REPT(" ",100)),901,200))," ",", ")</f>
        <v>2, 4</v>
      </c>
      <c r="CA251" t="str">
        <f>SUBSTITUTE(TRIM(MID(SUBSTITUTE(SUBSTITUTE(SUBSTITUTE(Tabla1[[#This Row],[map]],"[",""),"]",""),",",REPT(" ",100)),1501,200))," ",", ")</f>
        <v>3, 4</v>
      </c>
      <c r="CB251" t="str">
        <f>SUBSTITUTE(TRIM(MID(SUBSTITUTE(SUBSTITUTE(SUBSTITUTE(Tabla1[[#This Row],[map]],"[",""),"]",""),",",REPT(" ",100)),601,300))," ",", ")</f>
        <v>0, 1, 3</v>
      </c>
      <c r="CC251" t="str">
        <f>SUBSTITUTE(TRIM(MID(SUBSTITUTE(SUBSTITUTE(SUBSTITUTE(Tabla1[[#This Row],[map]],"[",""),"]",""),",",REPT(" ",100)),1201,300))," ",", ")</f>
        <v>1, 2, 0</v>
      </c>
      <c r="CD251" t="str">
        <f>SUBSTITUTE(TRIM(MID(SUBSTITUTE(SUBSTITUTE(SUBSTITUTE(Tabla1[[#This Row],[map]],"[",""),"]",""),",",REPT(" ",100)),1,300))," ",", ")</f>
        <v>2, 3, 4</v>
      </c>
      <c r="CE251" t="str">
        <f>SUBSTITUTE(TRIM(MID(SUBSTITUTE(SUBSTITUTE(SUBSTITUTE(Tabla1[[#This Row],[map]],"[",""),"]",""),",",REPT(" ",100)),1,600))," ",", ")</f>
        <v>2, 3, 4, 0, 1, -1</v>
      </c>
      <c r="CF251" t="str">
        <f>SUBSTITUTE(TRIM(MID(SUBSTITUTE(SUBSTITUTE(SUBSTITUTE(Tabla1[[#This Row],[map]],"[",""),"]",""),",",REPT(" ",100)),601,600))," ",", ")</f>
        <v>0, 1, 3, 2, 4, -1</v>
      </c>
      <c r="CG251" t="str">
        <f>SUBSTITUTE(TRIM(MID(SUBSTITUTE(SUBSTITUTE(SUBSTITUTE(Tabla1[[#This Row],[map]],"[",""),"]",""),",",REPT(" ",100)),1201,600))," ",", ")</f>
        <v>1, 2, 0, 3, 4, -1</v>
      </c>
    </row>
    <row r="252" spans="1:85" x14ac:dyDescent="0.3">
      <c r="A252" s="1">
        <v>46107.066446759258</v>
      </c>
      <c r="B252" t="s">
        <v>474</v>
      </c>
      <c r="C252">
        <v>5</v>
      </c>
      <c r="D252" t="s">
        <v>96</v>
      </c>
      <c r="E252" t="s">
        <v>78</v>
      </c>
      <c r="F252">
        <v>16590</v>
      </c>
      <c r="G252">
        <v>4.5</v>
      </c>
      <c r="H252" t="s">
        <v>79</v>
      </c>
      <c r="I252" t="s">
        <v>80</v>
      </c>
      <c r="J252">
        <v>5</v>
      </c>
      <c r="K252">
        <v>5</v>
      </c>
      <c r="L252" t="s">
        <v>81</v>
      </c>
      <c r="M252" t="s">
        <v>82</v>
      </c>
      <c r="N252" t="s">
        <v>83</v>
      </c>
      <c r="O252" t="s">
        <v>83</v>
      </c>
      <c r="P252" t="s">
        <v>84</v>
      </c>
      <c r="Q252" t="s">
        <v>397</v>
      </c>
      <c r="R252">
        <v>3</v>
      </c>
      <c r="S252" t="s">
        <v>86</v>
      </c>
      <c r="T252" t="s">
        <v>87</v>
      </c>
      <c r="U252" t="s">
        <v>88</v>
      </c>
      <c r="V252">
        <v>1</v>
      </c>
      <c r="W252" t="s">
        <v>398</v>
      </c>
      <c r="X252" t="s">
        <v>83</v>
      </c>
      <c r="Y252" t="s">
        <v>90</v>
      </c>
      <c r="Z252">
        <v>4000</v>
      </c>
      <c r="AA252">
        <v>4000</v>
      </c>
      <c r="AC252">
        <v>256</v>
      </c>
      <c r="AD252" t="s">
        <v>91</v>
      </c>
      <c r="AE252">
        <v>0.15</v>
      </c>
      <c r="AF252" t="s">
        <v>92</v>
      </c>
      <c r="AG252">
        <v>180</v>
      </c>
      <c r="AH252">
        <v>60</v>
      </c>
      <c r="AI252">
        <v>120</v>
      </c>
      <c r="AJ252">
        <v>9.9455629495113801E-2</v>
      </c>
      <c r="AK252">
        <v>8.3088632941659508</v>
      </c>
      <c r="AL252">
        <v>0.79783990304253316</v>
      </c>
      <c r="AM252">
        <v>-6.6573292741361534E-2</v>
      </c>
      <c r="AN252">
        <v>12.92497195147158</v>
      </c>
      <c r="AO252">
        <v>0.72625970502269888</v>
      </c>
      <c r="AP252">
        <v>12.92497195147158</v>
      </c>
      <c r="AQ252">
        <v>12.92497195147158</v>
      </c>
      <c r="AR252">
        <v>0.72625970502269888</v>
      </c>
      <c r="AS252">
        <v>116.8338523252019</v>
      </c>
      <c r="AT252">
        <v>-6.5852355036981891E-2</v>
      </c>
      <c r="AU252">
        <v>0.8</v>
      </c>
      <c r="AV252" t="s">
        <v>93</v>
      </c>
      <c r="AW252">
        <v>7.0912742682797167E-2</v>
      </c>
      <c r="AX252">
        <v>0.4850818008869483</v>
      </c>
      <c r="AY252">
        <v>7.0912742682797167E-2</v>
      </c>
      <c r="AZ252">
        <v>7.0912742682797167E-2</v>
      </c>
      <c r="BA252">
        <v>0.4850818008869483</v>
      </c>
      <c r="BB252">
        <v>0.1819213868692528</v>
      </c>
      <c r="BC252">
        <v>-0.32098448548076108</v>
      </c>
      <c r="BD252">
        <v>8.3980153343711478E-2</v>
      </c>
      <c r="BE252">
        <v>0.70902670531406042</v>
      </c>
      <c r="BF252">
        <v>8.3980153343711478E-2</v>
      </c>
      <c r="BG252">
        <v>8.3980153343711478E-2</v>
      </c>
      <c r="BH252">
        <v>0.70902670531406042</v>
      </c>
      <c r="BI252">
        <v>0.20572248369482771</v>
      </c>
      <c r="BJ252">
        <v>0.28721553261916211</v>
      </c>
      <c r="BK252">
        <v>3.5485869876234838E-2</v>
      </c>
      <c r="BL252">
        <v>0.85753545669515385</v>
      </c>
      <c r="BM252">
        <v>3.5485869876234838E-2</v>
      </c>
      <c r="BN252">
        <v>3.5485869876234838E-2</v>
      </c>
      <c r="BO252">
        <v>0.85753545669515385</v>
      </c>
      <c r="BP252">
        <v>0.22449184658942339</v>
      </c>
      <c r="BQ252">
        <v>9.8736243142162783E-2</v>
      </c>
      <c r="BR252">
        <v>51.509509039983612</v>
      </c>
      <c r="BS252">
        <v>0.85339485719463282</v>
      </c>
      <c r="BT252">
        <v>51.509509039983612</v>
      </c>
      <c r="BU252">
        <v>51.509509039983612</v>
      </c>
      <c r="BV252">
        <v>0.85339485719463282</v>
      </c>
      <c r="BW252">
        <v>466.72327358365442</v>
      </c>
      <c r="BX252">
        <v>-0.3283767104284927</v>
      </c>
      <c r="BY252" t="str">
        <f t="shared" si="10"/>
        <v>[[sv,wv],[yr],[ya]]</v>
      </c>
      <c r="BZ252" t="str">
        <f>SUBSTITUTE(TRIM(MID(SUBSTITUTE(SUBSTITUTE(SUBSTITUTE(Tabla1[[#This Row],[map]],"[",""),"]",""),",",REPT(" ",100)),901,200))," ",", ")</f>
        <v>2, 3</v>
      </c>
      <c r="CA252" t="str">
        <f>SUBSTITUTE(TRIM(MID(SUBSTITUTE(SUBSTITUTE(SUBSTITUTE(Tabla1[[#This Row],[map]],"[",""),"]",""),",",REPT(" ",100)),1501,200))," ",", ")</f>
        <v>3, 2</v>
      </c>
      <c r="CB252" t="str">
        <f>SUBSTITUTE(TRIM(MID(SUBSTITUTE(SUBSTITUTE(SUBSTITUTE(Tabla1[[#This Row],[map]],"[",""),"]",""),",",REPT(" ",100)),601,300))," ",", ")</f>
        <v>1, 4, 0</v>
      </c>
      <c r="CC252" t="str">
        <f>SUBSTITUTE(TRIM(MID(SUBSTITUTE(SUBSTITUTE(SUBSTITUTE(Tabla1[[#This Row],[map]],"[",""),"]",""),",",REPT(" ",100)),1201,300))," ",", ")</f>
        <v>1, 4, 0</v>
      </c>
      <c r="CD252" t="str">
        <f>SUBSTITUTE(TRIM(MID(SUBSTITUTE(SUBSTITUTE(SUBSTITUTE(Tabla1[[#This Row],[map]],"[",""),"]",""),",",REPT(" ",100)),1,300))," ",", ")</f>
        <v>2, 3, 4</v>
      </c>
      <c r="CE252" t="str">
        <f>SUBSTITUTE(TRIM(MID(SUBSTITUTE(SUBSTITUTE(SUBSTITUTE(Tabla1[[#This Row],[map]],"[",""),"]",""),",",REPT(" ",100)),1,600))," ",", ")</f>
        <v>2, 3, 4, 0, 1, -1</v>
      </c>
      <c r="CF252" t="str">
        <f>SUBSTITUTE(TRIM(MID(SUBSTITUTE(SUBSTITUTE(SUBSTITUTE(Tabla1[[#This Row],[map]],"[",""),"]",""),",",REPT(" ",100)),601,600))," ",", ")</f>
        <v>1, 4, 0, 2, 3, -1</v>
      </c>
      <c r="CG252" t="str">
        <f>SUBSTITUTE(TRIM(MID(SUBSTITUTE(SUBSTITUTE(SUBSTITUTE(Tabla1[[#This Row],[map]],"[",""),"]",""),",",REPT(" ",100)),1201,600))," ",", ")</f>
        <v>1, 4, 0, 3, 2, -1</v>
      </c>
    </row>
    <row r="253" spans="1:85" x14ac:dyDescent="0.3">
      <c r="A253" s="1">
        <v>46107.071018518523</v>
      </c>
      <c r="B253" t="s">
        <v>475</v>
      </c>
      <c r="C253">
        <v>4</v>
      </c>
      <c r="D253" t="s">
        <v>77</v>
      </c>
      <c r="E253" t="s">
        <v>78</v>
      </c>
      <c r="F253">
        <v>16590</v>
      </c>
      <c r="G253">
        <v>4.5</v>
      </c>
      <c r="H253" t="s">
        <v>79</v>
      </c>
      <c r="I253" t="s">
        <v>80</v>
      </c>
      <c r="J253">
        <v>5</v>
      </c>
      <c r="K253">
        <v>5</v>
      </c>
      <c r="L253" t="s">
        <v>81</v>
      </c>
      <c r="M253" t="s">
        <v>82</v>
      </c>
      <c r="N253" t="s">
        <v>83</v>
      </c>
      <c r="O253" t="s">
        <v>83</v>
      </c>
      <c r="P253" t="s">
        <v>84</v>
      </c>
      <c r="Q253" t="s">
        <v>397</v>
      </c>
      <c r="R253">
        <v>3</v>
      </c>
      <c r="S253" t="s">
        <v>86</v>
      </c>
      <c r="T253" t="s">
        <v>87</v>
      </c>
      <c r="U253" t="s">
        <v>88</v>
      </c>
      <c r="V253">
        <v>1</v>
      </c>
      <c r="W253" t="s">
        <v>398</v>
      </c>
      <c r="X253" t="s">
        <v>83</v>
      </c>
      <c r="Y253" t="s">
        <v>90</v>
      </c>
      <c r="Z253">
        <v>4000</v>
      </c>
      <c r="AA253">
        <v>4000</v>
      </c>
      <c r="AC253">
        <v>256</v>
      </c>
      <c r="AD253" t="s">
        <v>91</v>
      </c>
      <c r="AE253">
        <v>0.15</v>
      </c>
      <c r="AF253" t="s">
        <v>92</v>
      </c>
      <c r="AG253">
        <v>180</v>
      </c>
      <c r="AH253">
        <v>60</v>
      </c>
      <c r="AI253">
        <v>120</v>
      </c>
      <c r="AJ253">
        <v>8.5407837132843292E-2</v>
      </c>
      <c r="AK253">
        <v>15.816865728038371</v>
      </c>
      <c r="AL253">
        <v>0.81769961942176261</v>
      </c>
      <c r="AM253">
        <v>7.6733316448939493E-3</v>
      </c>
      <c r="AN253">
        <v>20.418707601097239</v>
      </c>
      <c r="AO253">
        <v>0.74493911735923601</v>
      </c>
      <c r="AP253">
        <v>20.418707601097239</v>
      </c>
      <c r="AQ253">
        <v>20.418707601097239</v>
      </c>
      <c r="AR253">
        <v>0.74493911735923601</v>
      </c>
      <c r="AS253">
        <v>106.06136411290341</v>
      </c>
      <c r="AT253">
        <v>-9.1848402963499498E-2</v>
      </c>
      <c r="AU253">
        <v>0.8</v>
      </c>
      <c r="AV253" t="s">
        <v>93</v>
      </c>
      <c r="AW253">
        <v>6.412027951743729E-2</v>
      </c>
      <c r="AX253">
        <v>0.53440386584068933</v>
      </c>
      <c r="AY253">
        <v>6.412027951743729E-2</v>
      </c>
      <c r="AZ253">
        <v>6.412027951743729E-2</v>
      </c>
      <c r="BA253">
        <v>0.53440386584068933</v>
      </c>
      <c r="BB253">
        <v>0.29054202561513159</v>
      </c>
      <c r="BC253">
        <v>-1.109710764757865</v>
      </c>
      <c r="BD253">
        <v>3.838663492657348E-2</v>
      </c>
      <c r="BE253">
        <v>0.86699850867409944</v>
      </c>
      <c r="BF253">
        <v>3.838663492657348E-2</v>
      </c>
      <c r="BG253">
        <v>3.838663492657348E-2</v>
      </c>
      <c r="BH253">
        <v>0.86699850867409944</v>
      </c>
      <c r="BI253">
        <v>0.1127673182117697</v>
      </c>
      <c r="BJ253">
        <v>0.60928532746679731</v>
      </c>
      <c r="BK253">
        <v>4.7229403448051703E-2</v>
      </c>
      <c r="BL253">
        <v>0.81038888390634756</v>
      </c>
      <c r="BM253">
        <v>4.7229403448051703E-2</v>
      </c>
      <c r="BN253">
        <v>4.7229403448051703E-2</v>
      </c>
      <c r="BO253">
        <v>0.81038888390634756</v>
      </c>
      <c r="BP253">
        <v>0.16467234915715559</v>
      </c>
      <c r="BQ253">
        <v>0.33889260431173318</v>
      </c>
      <c r="BR253">
        <v>81.525094086497134</v>
      </c>
      <c r="BS253">
        <v>0.76796521101580828</v>
      </c>
      <c r="BT253">
        <v>81.525094086497134</v>
      </c>
      <c r="BU253">
        <v>81.525094086497134</v>
      </c>
      <c r="BV253">
        <v>0.76796521101580828</v>
      </c>
      <c r="BW253">
        <v>423.6774747586299</v>
      </c>
      <c r="BX253">
        <v>-0.20586077887466669</v>
      </c>
      <c r="BY253" t="str">
        <f t="shared" si="10"/>
        <v>[[sv,wv],[yr],[ya]]</v>
      </c>
      <c r="BZ253" t="str">
        <f>SUBSTITUTE(TRIM(MID(SUBSTITUTE(SUBSTITUTE(SUBSTITUTE(Tabla1[[#This Row],[map]],"[",""),"]",""),",",REPT(" ",100)),901,200))," ",", ")</f>
        <v>2, 3</v>
      </c>
      <c r="CA253" t="str">
        <f>SUBSTITUTE(TRIM(MID(SUBSTITUTE(SUBSTITUTE(SUBSTITUTE(Tabla1[[#This Row],[map]],"[",""),"]",""),",",REPT(" ",100)),1501,200))," ",", ")</f>
        <v>3, 2</v>
      </c>
      <c r="CB253" t="str">
        <f>SUBSTITUTE(TRIM(MID(SUBSTITUTE(SUBSTITUTE(SUBSTITUTE(Tabla1[[#This Row],[map]],"[",""),"]",""),",",REPT(" ",100)),601,300))," ",", ")</f>
        <v>1, 4, 0</v>
      </c>
      <c r="CC253" t="str">
        <f>SUBSTITUTE(TRIM(MID(SUBSTITUTE(SUBSTITUTE(SUBSTITUTE(Tabla1[[#This Row],[map]],"[",""),"]",""),",",REPT(" ",100)),1201,300))," ",", ")</f>
        <v>1, 4, 0</v>
      </c>
      <c r="CD253" t="str">
        <f>SUBSTITUTE(TRIM(MID(SUBSTITUTE(SUBSTITUTE(SUBSTITUTE(Tabla1[[#This Row],[map]],"[",""),"]",""),",",REPT(" ",100)),1,300))," ",", ")</f>
        <v>2, 3, 4</v>
      </c>
      <c r="CE253" t="str">
        <f>SUBSTITUTE(TRIM(MID(SUBSTITUTE(SUBSTITUTE(SUBSTITUTE(Tabla1[[#This Row],[map]],"[",""),"]",""),",",REPT(" ",100)),1,600))," ",", ")</f>
        <v>2, 3, 4, 0, 1, -1</v>
      </c>
      <c r="CF253" t="str">
        <f>SUBSTITUTE(TRIM(MID(SUBSTITUTE(SUBSTITUTE(SUBSTITUTE(Tabla1[[#This Row],[map]],"[",""),"]",""),",",REPT(" ",100)),601,600))," ",", ")</f>
        <v>1, 4, 0, 2, 3, -1</v>
      </c>
      <c r="CG253" t="str">
        <f>SUBSTITUTE(TRIM(MID(SUBSTITUTE(SUBSTITUTE(SUBSTITUTE(Tabla1[[#This Row],[map]],"[",""),"]",""),",",REPT(" ",100)),1201,600))," ",", ")</f>
        <v>1, 4, 0, 3, 2, -1</v>
      </c>
    </row>
    <row r="254" spans="1:85" x14ac:dyDescent="0.3">
      <c r="A254" s="1">
        <v>46107.094004629631</v>
      </c>
      <c r="B254" t="s">
        <v>476</v>
      </c>
      <c r="C254">
        <v>0</v>
      </c>
      <c r="D254" t="s">
        <v>77</v>
      </c>
      <c r="E254" t="s">
        <v>78</v>
      </c>
      <c r="F254">
        <v>16590</v>
      </c>
      <c r="G254">
        <v>4.5</v>
      </c>
      <c r="H254" t="s">
        <v>79</v>
      </c>
      <c r="I254" t="s">
        <v>80</v>
      </c>
      <c r="J254">
        <v>5</v>
      </c>
      <c r="K254">
        <v>5</v>
      </c>
      <c r="L254" t="s">
        <v>81</v>
      </c>
      <c r="M254" t="s">
        <v>82</v>
      </c>
      <c r="N254" t="s">
        <v>83</v>
      </c>
      <c r="O254" t="s">
        <v>83</v>
      </c>
      <c r="P254" t="s">
        <v>84</v>
      </c>
      <c r="Q254" t="s">
        <v>477</v>
      </c>
      <c r="R254">
        <v>3</v>
      </c>
      <c r="S254" t="s">
        <v>86</v>
      </c>
      <c r="T254" t="s">
        <v>87</v>
      </c>
      <c r="U254" t="s">
        <v>88</v>
      </c>
      <c r="V254">
        <v>1</v>
      </c>
      <c r="W254" t="s">
        <v>478</v>
      </c>
      <c r="X254" t="s">
        <v>83</v>
      </c>
      <c r="Y254" t="s">
        <v>90</v>
      </c>
      <c r="Z254">
        <v>4000</v>
      </c>
      <c r="AA254">
        <v>4000</v>
      </c>
      <c r="AC254">
        <v>256</v>
      </c>
      <c r="AD254" t="s">
        <v>91</v>
      </c>
      <c r="AE254">
        <v>0.15</v>
      </c>
      <c r="AF254" t="s">
        <v>92</v>
      </c>
      <c r="AG254">
        <v>180</v>
      </c>
      <c r="AH254">
        <v>60</v>
      </c>
      <c r="AI254">
        <v>120</v>
      </c>
      <c r="AJ254">
        <v>9.2644858265554381E-2</v>
      </c>
      <c r="AK254">
        <v>8.0381717473936067</v>
      </c>
      <c r="AL254">
        <v>0.79984113735122042</v>
      </c>
      <c r="AM254">
        <v>0.12992043367648959</v>
      </c>
      <c r="AN254">
        <v>12.8487774265458</v>
      </c>
      <c r="AO254">
        <v>0.74202882840367412</v>
      </c>
      <c r="AP254">
        <v>12.8487774265458</v>
      </c>
      <c r="AQ254">
        <v>12.8487774265458</v>
      </c>
      <c r="AR254">
        <v>0.74202882840367412</v>
      </c>
      <c r="AS254">
        <v>125.7246225031012</v>
      </c>
      <c r="AT254">
        <v>0.155865226780248</v>
      </c>
      <c r="AU254">
        <v>0.8</v>
      </c>
      <c r="AV254" t="s">
        <v>93</v>
      </c>
      <c r="AW254">
        <v>6.582871629780189E-2</v>
      </c>
      <c r="AX254">
        <v>0.52199840587732438</v>
      </c>
      <c r="AY254">
        <v>6.582871629780189E-2</v>
      </c>
      <c r="AZ254">
        <v>6.582871629780189E-2</v>
      </c>
      <c r="BA254">
        <v>0.52199840587732438</v>
      </c>
      <c r="BB254">
        <v>8.6990643875983667E-2</v>
      </c>
      <c r="BC254">
        <v>0.36833545016482983</v>
      </c>
      <c r="BD254">
        <v>8.6943374720488867E-2</v>
      </c>
      <c r="BE254">
        <v>0.69875977613430695</v>
      </c>
      <c r="BF254">
        <v>8.6943374720488867E-2</v>
      </c>
      <c r="BG254">
        <v>8.6943374720488867E-2</v>
      </c>
      <c r="BH254">
        <v>0.69875977613430695</v>
      </c>
      <c r="BI254">
        <v>0.140668470202506</v>
      </c>
      <c r="BJ254">
        <v>0.51261379500304249</v>
      </c>
      <c r="BK254">
        <v>2.6620754699744939E-2</v>
      </c>
      <c r="BL254">
        <v>0.8931260900759439</v>
      </c>
      <c r="BM254">
        <v>2.6620754699744939E-2</v>
      </c>
      <c r="BN254">
        <v>2.6620754699744939E-2</v>
      </c>
      <c r="BO254">
        <v>0.8931260900759439</v>
      </c>
      <c r="BP254">
        <v>0.20608973772803951</v>
      </c>
      <c r="BQ254">
        <v>0.17261488959853319</v>
      </c>
      <c r="BR254">
        <v>51.21571686046515</v>
      </c>
      <c r="BS254">
        <v>0.85423104152712115</v>
      </c>
      <c r="BT254">
        <v>51.21571686046515</v>
      </c>
      <c r="BU254">
        <v>51.21571686046515</v>
      </c>
      <c r="BV254">
        <v>0.85423104152712115</v>
      </c>
      <c r="BW254">
        <v>502.46474116059932</v>
      </c>
      <c r="BX254">
        <v>-0.43010322764542092</v>
      </c>
      <c r="BY254" t="str">
        <f t="shared" si="10"/>
        <v>[[sv,wv],[yr],[ya]]</v>
      </c>
      <c r="BZ254" t="str">
        <f>SUBSTITUTE(TRIM(MID(SUBSTITUTE(SUBSTITUTE(SUBSTITUTE(Tabla1[[#This Row],[map]],"[",""),"]",""),",",REPT(" ",100)),901,200))," ",", ")</f>
        <v>2, 3</v>
      </c>
      <c r="CA254" t="str">
        <f>SUBSTITUTE(TRIM(MID(SUBSTITUTE(SUBSTITUTE(SUBSTITUTE(Tabla1[[#This Row],[map]],"[",""),"]",""),",",REPT(" ",100)),1501,200))," ",", ")</f>
        <v>3, 2</v>
      </c>
      <c r="CB254" t="str">
        <f>SUBSTITUTE(TRIM(MID(SUBSTITUTE(SUBSTITUTE(SUBSTITUTE(Tabla1[[#This Row],[map]],"[",""),"]",""),",",REPT(" ",100)),601,300))," ",", ")</f>
        <v>1, 4, 0</v>
      </c>
      <c r="CC254" t="str">
        <f>SUBSTITUTE(TRIM(MID(SUBSTITUTE(SUBSTITUTE(SUBSTITUTE(Tabla1[[#This Row],[map]],"[",""),"]",""),",",REPT(" ",100)),1201,300))," ",", ")</f>
        <v>1, 4, 0</v>
      </c>
      <c r="CD254" t="str">
        <f>SUBSTITUTE(TRIM(MID(SUBSTITUTE(SUBSTITUTE(SUBSTITUTE(Tabla1[[#This Row],[map]],"[",""),"]",""),",",REPT(" ",100)),1,300))," ",", ")</f>
        <v>4, 2, 3</v>
      </c>
      <c r="CE254" t="str">
        <f>SUBSTITUTE(TRIM(MID(SUBSTITUTE(SUBSTITUTE(SUBSTITUTE(Tabla1[[#This Row],[map]],"[",""),"]",""),",",REPT(" ",100)),1,600))," ",", ")</f>
        <v>4, 2, 3, 0, 1, -1</v>
      </c>
      <c r="CF254" t="str">
        <f>SUBSTITUTE(TRIM(MID(SUBSTITUTE(SUBSTITUTE(SUBSTITUTE(Tabla1[[#This Row],[map]],"[",""),"]",""),",",REPT(" ",100)),601,600))," ",", ")</f>
        <v>1, 4, 0, 2, 3, -1</v>
      </c>
      <c r="CG254" t="str">
        <f>SUBSTITUTE(TRIM(MID(SUBSTITUTE(SUBSTITUTE(SUBSTITUTE(Tabla1[[#This Row],[map]],"[",""),"]",""),",",REPT(" ",100)),1201,600))," ",", ")</f>
        <v>1, 4, 0, 3, 2, -1</v>
      </c>
    </row>
    <row r="255" spans="1:85" x14ac:dyDescent="0.3">
      <c r="A255" s="1">
        <v>46107.159421296303</v>
      </c>
      <c r="B255" t="s">
        <v>479</v>
      </c>
      <c r="C255">
        <v>1</v>
      </c>
      <c r="D255" t="s">
        <v>96</v>
      </c>
      <c r="E255" t="s">
        <v>78</v>
      </c>
      <c r="F255">
        <v>16590</v>
      </c>
      <c r="G255">
        <v>4.5</v>
      </c>
      <c r="H255" t="s">
        <v>79</v>
      </c>
      <c r="I255" t="s">
        <v>80</v>
      </c>
      <c r="J255">
        <v>5</v>
      </c>
      <c r="K255">
        <v>5</v>
      </c>
      <c r="L255" t="s">
        <v>81</v>
      </c>
      <c r="M255" t="s">
        <v>82</v>
      </c>
      <c r="N255" t="s">
        <v>83</v>
      </c>
      <c r="O255" t="s">
        <v>83</v>
      </c>
      <c r="P255" t="s">
        <v>84</v>
      </c>
      <c r="Q255" t="s">
        <v>461</v>
      </c>
      <c r="R255">
        <v>3</v>
      </c>
      <c r="S255" t="s">
        <v>86</v>
      </c>
      <c r="T255" t="s">
        <v>87</v>
      </c>
      <c r="U255" t="s">
        <v>88</v>
      </c>
      <c r="V255">
        <v>1</v>
      </c>
      <c r="W255" t="s">
        <v>462</v>
      </c>
      <c r="X255" t="s">
        <v>83</v>
      </c>
      <c r="Y255" t="s">
        <v>90</v>
      </c>
      <c r="Z255">
        <v>4000</v>
      </c>
      <c r="AA255">
        <v>4000</v>
      </c>
      <c r="AC255">
        <v>256</v>
      </c>
      <c r="AD255" t="s">
        <v>91</v>
      </c>
      <c r="AE255">
        <v>0.15</v>
      </c>
      <c r="AF255" t="s">
        <v>92</v>
      </c>
      <c r="AG255">
        <v>180</v>
      </c>
      <c r="AH255">
        <v>60</v>
      </c>
      <c r="AI255">
        <v>120</v>
      </c>
      <c r="AJ255">
        <v>0.13454553944802311</v>
      </c>
      <c r="AK255">
        <v>15.096080312855751</v>
      </c>
      <c r="AL255">
        <v>0.62071443758837141</v>
      </c>
      <c r="AM255">
        <v>-1.442788435691833E-2</v>
      </c>
      <c r="AN255">
        <v>19.649340245475219</v>
      </c>
      <c r="AO255">
        <v>0.59540707652923697</v>
      </c>
      <c r="AP255">
        <v>19.649340245475219</v>
      </c>
      <c r="AQ255">
        <v>19.649340245475219</v>
      </c>
      <c r="AR255">
        <v>0.59540707652923697</v>
      </c>
      <c r="AS255">
        <v>104.1922720318783</v>
      </c>
      <c r="AT255">
        <v>-0.12030427489055311</v>
      </c>
      <c r="AU255">
        <v>0.8</v>
      </c>
      <c r="AV255" t="s">
        <v>93</v>
      </c>
      <c r="AW255">
        <v>8.6276124825840197E-2</v>
      </c>
      <c r="AX255">
        <v>0.37352378231237632</v>
      </c>
      <c r="AY255">
        <v>8.6276124825840197E-2</v>
      </c>
      <c r="AZ255">
        <v>8.6276124825840197E-2</v>
      </c>
      <c r="BA255">
        <v>0.37352378231237632</v>
      </c>
      <c r="BB255">
        <v>0.1859211102772611</v>
      </c>
      <c r="BC255">
        <v>-0.35002764889942251</v>
      </c>
      <c r="BD255">
        <v>9.5348649692507961E-2</v>
      </c>
      <c r="BE255">
        <v>0.66963729357179091</v>
      </c>
      <c r="BF255">
        <v>9.5348649692507961E-2</v>
      </c>
      <c r="BG255">
        <v>9.5348649692507961E-2</v>
      </c>
      <c r="BH255">
        <v>0.66963729357179091</v>
      </c>
      <c r="BI255">
        <v>0.18110836093068899</v>
      </c>
      <c r="BJ255">
        <v>0.37249821086306772</v>
      </c>
      <c r="BK255">
        <v>0.1092635878297205</v>
      </c>
      <c r="BL255">
        <v>0.5613412551446324</v>
      </c>
      <c r="BM255">
        <v>0.1092635878297205</v>
      </c>
      <c r="BN255">
        <v>0.1092635878297205</v>
      </c>
      <c r="BO255">
        <v>0.5613412551446324</v>
      </c>
      <c r="BP255">
        <v>0.32866086729988558</v>
      </c>
      <c r="BQ255">
        <v>-0.31946942615066681</v>
      </c>
      <c r="BR255">
        <v>78.306472619552821</v>
      </c>
      <c r="BS255">
        <v>0.77712597508815673</v>
      </c>
      <c r="BT255">
        <v>78.306472619552821</v>
      </c>
      <c r="BU255">
        <v>78.306472619552821</v>
      </c>
      <c r="BV255">
        <v>0.77712597508815673</v>
      </c>
      <c r="BW255">
        <v>416.07339778900598</v>
      </c>
      <c r="BX255">
        <v>-0.18421823537518639</v>
      </c>
      <c r="BY255" t="str">
        <f t="shared" si="10"/>
        <v>[[sv,wv],[yr],[ya]]</v>
      </c>
      <c r="BZ255" t="str">
        <f>SUBSTITUTE(TRIM(MID(SUBSTITUTE(SUBSTITUTE(SUBSTITUTE(Tabla1[[#This Row],[map]],"[",""),"]",""),",",REPT(" ",100)),901,200))," ",", ")</f>
        <v>2, 3</v>
      </c>
      <c r="CA255" t="str">
        <f>SUBSTITUTE(TRIM(MID(SUBSTITUTE(SUBSTITUTE(SUBSTITUTE(Tabla1[[#This Row],[map]],"[",""),"]",""),",",REPT(" ",100)),1501,200))," ",", ")</f>
        <v>3, 2</v>
      </c>
      <c r="CB255" t="str">
        <f>SUBSTITUTE(TRIM(MID(SUBSTITUTE(SUBSTITUTE(SUBSTITUTE(Tabla1[[#This Row],[map]],"[",""),"]",""),",",REPT(" ",100)),601,300))," ",", ")</f>
        <v>0, 1, 4</v>
      </c>
      <c r="CC255" t="str">
        <f>SUBSTITUTE(TRIM(MID(SUBSTITUTE(SUBSTITUTE(SUBSTITUTE(Tabla1[[#This Row],[map]],"[",""),"]",""),",",REPT(" ",100)),1201,300))," ",", ")</f>
        <v>1, 4, 0</v>
      </c>
      <c r="CD255" t="str">
        <f>SUBSTITUTE(TRIM(MID(SUBSTITUTE(SUBSTITUTE(SUBSTITUTE(Tabla1[[#This Row],[map]],"[",""),"]",""),",",REPT(" ",100)),1,300))," ",", ")</f>
        <v>4, 2, 3</v>
      </c>
      <c r="CE255" t="str">
        <f>SUBSTITUTE(TRIM(MID(SUBSTITUTE(SUBSTITUTE(SUBSTITUTE(Tabla1[[#This Row],[map]],"[",""),"]",""),",",REPT(" ",100)),1,600))," ",", ")</f>
        <v>4, 2, 3, 0, 1, -1</v>
      </c>
      <c r="CF255" t="str">
        <f>SUBSTITUTE(TRIM(MID(SUBSTITUTE(SUBSTITUTE(SUBSTITUTE(Tabla1[[#This Row],[map]],"[",""),"]",""),",",REPT(" ",100)),601,600))," ",", ")</f>
        <v>0, 1, 4, 2, 3, -1</v>
      </c>
      <c r="CG255" t="str">
        <f>SUBSTITUTE(TRIM(MID(SUBSTITUTE(SUBSTITUTE(SUBSTITUTE(Tabla1[[#This Row],[map]],"[",""),"]",""),",",REPT(" ",100)),1201,600))," ",", ")</f>
        <v>1, 4, 0, 3, 2, -1</v>
      </c>
    </row>
    <row r="256" spans="1:85" x14ac:dyDescent="0.3">
      <c r="A256" s="1">
        <v>46107.199120370373</v>
      </c>
      <c r="B256" t="s">
        <v>480</v>
      </c>
      <c r="C256">
        <v>3</v>
      </c>
      <c r="D256" t="s">
        <v>96</v>
      </c>
      <c r="E256" t="s">
        <v>78</v>
      </c>
      <c r="F256">
        <v>16590</v>
      </c>
      <c r="G256">
        <v>4.5</v>
      </c>
      <c r="H256" t="s">
        <v>79</v>
      </c>
      <c r="I256" t="s">
        <v>80</v>
      </c>
      <c r="J256">
        <v>5</v>
      </c>
      <c r="K256">
        <v>5</v>
      </c>
      <c r="L256" t="s">
        <v>81</v>
      </c>
      <c r="M256" t="s">
        <v>82</v>
      </c>
      <c r="N256" t="s">
        <v>83</v>
      </c>
      <c r="O256" t="s">
        <v>83</v>
      </c>
      <c r="P256" t="s">
        <v>84</v>
      </c>
      <c r="Q256" t="s">
        <v>422</v>
      </c>
      <c r="R256">
        <v>3</v>
      </c>
      <c r="S256" t="s">
        <v>86</v>
      </c>
      <c r="T256" t="s">
        <v>87</v>
      </c>
      <c r="U256" t="s">
        <v>88</v>
      </c>
      <c r="V256">
        <v>1</v>
      </c>
      <c r="W256" t="s">
        <v>423</v>
      </c>
      <c r="X256" t="s">
        <v>83</v>
      </c>
      <c r="Y256" t="s">
        <v>90</v>
      </c>
      <c r="Z256">
        <v>4000</v>
      </c>
      <c r="AA256">
        <v>4000</v>
      </c>
      <c r="AC256">
        <v>256</v>
      </c>
      <c r="AD256" t="s">
        <v>91</v>
      </c>
      <c r="AE256">
        <v>0.15</v>
      </c>
      <c r="AF256" t="s">
        <v>92</v>
      </c>
      <c r="AG256">
        <v>180</v>
      </c>
      <c r="AH256">
        <v>60</v>
      </c>
      <c r="AI256">
        <v>120</v>
      </c>
      <c r="AJ256">
        <v>9.98047165538027E-2</v>
      </c>
      <c r="AK256">
        <v>13.33074742133625</v>
      </c>
      <c r="AL256">
        <v>0.77484988461444693</v>
      </c>
      <c r="AM256">
        <v>-0.19331027552294899</v>
      </c>
      <c r="AN256">
        <v>18.5490794258831</v>
      </c>
      <c r="AO256">
        <v>0.72263447530709302</v>
      </c>
      <c r="AP256">
        <v>18.5490794258831</v>
      </c>
      <c r="AQ256">
        <v>18.5490794258831</v>
      </c>
      <c r="AR256">
        <v>0.72263447530709302</v>
      </c>
      <c r="AS256">
        <v>151.19651198338391</v>
      </c>
      <c r="AT256">
        <v>-0.21817049898789359</v>
      </c>
      <c r="AU256">
        <v>0.8</v>
      </c>
      <c r="AV256" t="s">
        <v>93</v>
      </c>
      <c r="AW256">
        <v>6.6844056375492497E-2</v>
      </c>
      <c r="AX256">
        <v>0.51462572412067042</v>
      </c>
      <c r="AY256">
        <v>6.6844056375492497E-2</v>
      </c>
      <c r="AZ256">
        <v>6.6844056375492497E-2</v>
      </c>
      <c r="BA256">
        <v>0.51462572412067042</v>
      </c>
      <c r="BB256">
        <v>0.17423241453976479</v>
      </c>
      <c r="BC256">
        <v>-0.26515260484627401</v>
      </c>
      <c r="BD256">
        <v>7.2205606786016022E-2</v>
      </c>
      <c r="BE256">
        <v>0.74982299430514487</v>
      </c>
      <c r="BF256">
        <v>7.2205606786016022E-2</v>
      </c>
      <c r="BG256">
        <v>7.2205606786016022E-2</v>
      </c>
      <c r="BH256">
        <v>0.74982299430514487</v>
      </c>
      <c r="BI256">
        <v>0.2677330285005935</v>
      </c>
      <c r="BJ256">
        <v>7.2362239204035617E-2</v>
      </c>
      <c r="BK256">
        <v>4.0662359001112203E-2</v>
      </c>
      <c r="BL256">
        <v>0.83675349019214196</v>
      </c>
      <c r="BM256">
        <v>4.0662359001112203E-2</v>
      </c>
      <c r="BN256">
        <v>4.0662359001112203E-2</v>
      </c>
      <c r="BO256">
        <v>0.83675349019214196</v>
      </c>
      <c r="BP256">
        <v>0.23924743531271611</v>
      </c>
      <c r="BQ256">
        <v>3.9497221638962521E-2</v>
      </c>
      <c r="BR256">
        <v>74.016605681369825</v>
      </c>
      <c r="BS256">
        <v>0.7893356926104137</v>
      </c>
      <c r="BT256">
        <v>74.016605681369825</v>
      </c>
      <c r="BU256">
        <v>74.016605681369825</v>
      </c>
      <c r="BV256">
        <v>0.7893356926104137</v>
      </c>
      <c r="BW256">
        <v>604.10483505518198</v>
      </c>
      <c r="BX256">
        <v>-0.71938885194829583</v>
      </c>
      <c r="BY256" t="str">
        <f t="shared" si="10"/>
        <v>[[sv,wv],[yr],[ya]]</v>
      </c>
      <c r="BZ256" t="str">
        <f>SUBSTITUTE(TRIM(MID(SUBSTITUTE(SUBSTITUTE(SUBSTITUTE(Tabla1[[#This Row],[map]],"[",""),"]",""),",",REPT(" ",100)),901,200))," ",", ")</f>
        <v>2, 4</v>
      </c>
      <c r="CA256" t="str">
        <f>SUBSTITUTE(TRIM(MID(SUBSTITUTE(SUBSTITUTE(SUBSTITUTE(Tabla1[[#This Row],[map]],"[",""),"]",""),",",REPT(" ",100)),1501,200))," ",", ")</f>
        <v>3, 2</v>
      </c>
      <c r="CB256" t="str">
        <f>SUBSTITUTE(TRIM(MID(SUBSTITUTE(SUBSTITUTE(SUBSTITUTE(Tabla1[[#This Row],[map]],"[",""),"]",""),",",REPT(" ",100)),601,300))," ",", ")</f>
        <v>1, 3, 0</v>
      </c>
      <c r="CC256" t="str">
        <f>SUBSTITUTE(TRIM(MID(SUBSTITUTE(SUBSTITUTE(SUBSTITUTE(Tabla1[[#This Row],[map]],"[",""),"]",""),",",REPT(" ",100)),1201,300))," ",", ")</f>
        <v>1, 4, 0</v>
      </c>
      <c r="CD256" t="str">
        <f>SUBSTITUTE(TRIM(MID(SUBSTITUTE(SUBSTITUTE(SUBSTITUTE(Tabla1[[#This Row],[map]],"[",""),"]",""),",",REPT(" ",100)),1,300))," ",", ")</f>
        <v>2, 3, 4</v>
      </c>
      <c r="CE256" t="str">
        <f>SUBSTITUTE(TRIM(MID(SUBSTITUTE(SUBSTITUTE(SUBSTITUTE(Tabla1[[#This Row],[map]],"[",""),"]",""),",",REPT(" ",100)),1,600))," ",", ")</f>
        <v>2, 3, 4, 0, 1, -1</v>
      </c>
      <c r="CF256" t="str">
        <f>SUBSTITUTE(TRIM(MID(SUBSTITUTE(SUBSTITUTE(SUBSTITUTE(Tabla1[[#This Row],[map]],"[",""),"]",""),",",REPT(" ",100)),601,600))," ",", ")</f>
        <v>1, 3, 0, 2, 4, -1</v>
      </c>
      <c r="CG256" t="str">
        <f>SUBSTITUTE(TRIM(MID(SUBSTITUTE(SUBSTITUTE(SUBSTITUTE(Tabla1[[#This Row],[map]],"[",""),"]",""),",",REPT(" ",100)),1201,600))," ",", ")</f>
        <v>1, 4, 0, 3, 2, -1</v>
      </c>
    </row>
    <row r="257" spans="1:85" x14ac:dyDescent="0.3">
      <c r="A257" s="1">
        <v>46107.202824074076</v>
      </c>
      <c r="B257" t="s">
        <v>481</v>
      </c>
      <c r="C257">
        <v>2</v>
      </c>
      <c r="D257" t="s">
        <v>77</v>
      </c>
      <c r="E257" t="s">
        <v>78</v>
      </c>
      <c r="F257">
        <v>16590</v>
      </c>
      <c r="G257">
        <v>4.5</v>
      </c>
      <c r="H257" t="s">
        <v>79</v>
      </c>
      <c r="I257" t="s">
        <v>80</v>
      </c>
      <c r="J257">
        <v>5</v>
      </c>
      <c r="K257">
        <v>5</v>
      </c>
      <c r="L257" t="s">
        <v>81</v>
      </c>
      <c r="M257" t="s">
        <v>82</v>
      </c>
      <c r="N257" t="s">
        <v>83</v>
      </c>
      <c r="O257" t="s">
        <v>83</v>
      </c>
      <c r="P257" t="s">
        <v>84</v>
      </c>
      <c r="Q257" t="s">
        <v>422</v>
      </c>
      <c r="R257">
        <v>3</v>
      </c>
      <c r="S257" t="s">
        <v>86</v>
      </c>
      <c r="T257" t="s">
        <v>87</v>
      </c>
      <c r="U257" t="s">
        <v>88</v>
      </c>
      <c r="V257">
        <v>1</v>
      </c>
      <c r="W257" t="s">
        <v>423</v>
      </c>
      <c r="X257" t="s">
        <v>83</v>
      </c>
      <c r="Y257" t="s">
        <v>90</v>
      </c>
      <c r="Z257">
        <v>4000</v>
      </c>
      <c r="AA257">
        <v>4000</v>
      </c>
      <c r="AC257">
        <v>256</v>
      </c>
      <c r="AD257" t="s">
        <v>91</v>
      </c>
      <c r="AE257">
        <v>0.15</v>
      </c>
      <c r="AF257" t="s">
        <v>92</v>
      </c>
      <c r="AG257">
        <v>180</v>
      </c>
      <c r="AH257">
        <v>60</v>
      </c>
      <c r="AI257">
        <v>120</v>
      </c>
      <c r="AJ257">
        <v>9.5103354282347466E-2</v>
      </c>
      <c r="AK257">
        <v>16.462705310849771</v>
      </c>
      <c r="AL257">
        <v>0.736465761754313</v>
      </c>
      <c r="AM257">
        <v>-0.44982814825743722</v>
      </c>
      <c r="AN257">
        <v>21.398526940285169</v>
      </c>
      <c r="AO257">
        <v>0.69390557835046585</v>
      </c>
      <c r="AP257">
        <v>21.398526940285169</v>
      </c>
      <c r="AQ257">
        <v>21.398526940285169</v>
      </c>
      <c r="AR257">
        <v>0.69390557835046585</v>
      </c>
      <c r="AS257">
        <v>114.4593554080023</v>
      </c>
      <c r="AT257">
        <v>-0.42411254152794309</v>
      </c>
      <c r="AU257">
        <v>0.8</v>
      </c>
      <c r="AV257" t="s">
        <v>93</v>
      </c>
      <c r="AW257">
        <v>6.2051433077399493E-2</v>
      </c>
      <c r="AX257">
        <v>0.54942636592802752</v>
      </c>
      <c r="AY257">
        <v>6.2051433077399493E-2</v>
      </c>
      <c r="AZ257">
        <v>6.2051433077399493E-2</v>
      </c>
      <c r="BA257">
        <v>0.54942636592802752</v>
      </c>
      <c r="BB257">
        <v>0.17703800678290399</v>
      </c>
      <c r="BC257">
        <v>-0.28552483204590301</v>
      </c>
      <c r="BD257">
        <v>7.7648188831635018E-2</v>
      </c>
      <c r="BE257">
        <v>0.7309656099546924</v>
      </c>
      <c r="BF257">
        <v>7.7648188831635018E-2</v>
      </c>
      <c r="BG257">
        <v>7.7648188831635018E-2</v>
      </c>
      <c r="BH257">
        <v>0.7309656099546924</v>
      </c>
      <c r="BI257">
        <v>0.39339084805286539</v>
      </c>
      <c r="BJ257">
        <v>-0.36301526729481037</v>
      </c>
      <c r="BK257">
        <v>6.5194901743219527E-2</v>
      </c>
      <c r="BL257">
        <v>0.7382630907725809</v>
      </c>
      <c r="BM257">
        <v>6.5194901743219527E-2</v>
      </c>
      <c r="BN257">
        <v>6.5194901743219527E-2</v>
      </c>
      <c r="BO257">
        <v>0.7382630907725809</v>
      </c>
      <c r="BP257">
        <v>0.43532361143011361</v>
      </c>
      <c r="BQ257">
        <v>-0.74768660620438832</v>
      </c>
      <c r="BR257">
        <v>85.389213237488207</v>
      </c>
      <c r="BS257">
        <v>0.75696724674656501</v>
      </c>
      <c r="BT257">
        <v>85.389213237488207</v>
      </c>
      <c r="BU257">
        <v>85.389213237488207</v>
      </c>
      <c r="BV257">
        <v>0.75696724674656501</v>
      </c>
      <c r="BW257">
        <v>456.8316691657422</v>
      </c>
      <c r="BX257">
        <v>-0.30022346056667509</v>
      </c>
      <c r="BY257" t="str">
        <f t="shared" si="10"/>
        <v>[[sv,wv],[yr],[ya]]</v>
      </c>
      <c r="BZ257" t="str">
        <f>SUBSTITUTE(TRIM(MID(SUBSTITUTE(SUBSTITUTE(SUBSTITUTE(Tabla1[[#This Row],[map]],"[",""),"]",""),",",REPT(" ",100)),901,200))," ",", ")</f>
        <v>2, 4</v>
      </c>
      <c r="CA257" t="str">
        <f>SUBSTITUTE(TRIM(MID(SUBSTITUTE(SUBSTITUTE(SUBSTITUTE(Tabla1[[#This Row],[map]],"[",""),"]",""),",",REPT(" ",100)),1501,200))," ",", ")</f>
        <v>3, 2</v>
      </c>
      <c r="CB257" t="str">
        <f>SUBSTITUTE(TRIM(MID(SUBSTITUTE(SUBSTITUTE(SUBSTITUTE(Tabla1[[#This Row],[map]],"[",""),"]",""),",",REPT(" ",100)),601,300))," ",", ")</f>
        <v>1, 3, 0</v>
      </c>
      <c r="CC257" t="str">
        <f>SUBSTITUTE(TRIM(MID(SUBSTITUTE(SUBSTITUTE(SUBSTITUTE(Tabla1[[#This Row],[map]],"[",""),"]",""),",",REPT(" ",100)),1201,300))," ",", ")</f>
        <v>1, 4, 0</v>
      </c>
      <c r="CD257" t="str">
        <f>SUBSTITUTE(TRIM(MID(SUBSTITUTE(SUBSTITUTE(SUBSTITUTE(Tabla1[[#This Row],[map]],"[",""),"]",""),",",REPT(" ",100)),1,300))," ",", ")</f>
        <v>2, 3, 4</v>
      </c>
      <c r="CE257" t="str">
        <f>SUBSTITUTE(TRIM(MID(SUBSTITUTE(SUBSTITUTE(SUBSTITUTE(Tabla1[[#This Row],[map]],"[",""),"]",""),",",REPT(" ",100)),1,600))," ",", ")</f>
        <v>2, 3, 4, 0, 1, -1</v>
      </c>
      <c r="CF257" t="str">
        <f>SUBSTITUTE(TRIM(MID(SUBSTITUTE(SUBSTITUTE(SUBSTITUTE(Tabla1[[#This Row],[map]],"[",""),"]",""),",",REPT(" ",100)),601,600))," ",", ")</f>
        <v>1, 3, 0, 2, 4, -1</v>
      </c>
      <c r="CG257" t="str">
        <f>SUBSTITUTE(TRIM(MID(SUBSTITUTE(SUBSTITUTE(SUBSTITUTE(Tabla1[[#This Row],[map]],"[",""),"]",""),",",REPT(" ",100)),1201,600))," ",", ")</f>
        <v>1, 4, 0, 3, 2, -1</v>
      </c>
    </row>
    <row r="258" spans="1:85" x14ac:dyDescent="0.3">
      <c r="A258" s="1">
        <v>46107.21230324074</v>
      </c>
      <c r="B258" t="s">
        <v>482</v>
      </c>
      <c r="C258">
        <v>5</v>
      </c>
      <c r="D258" t="s">
        <v>77</v>
      </c>
      <c r="E258" t="s">
        <v>78</v>
      </c>
      <c r="F258">
        <v>16590</v>
      </c>
      <c r="G258">
        <v>4.5</v>
      </c>
      <c r="H258" t="s">
        <v>79</v>
      </c>
      <c r="I258" t="s">
        <v>80</v>
      </c>
      <c r="J258">
        <v>5</v>
      </c>
      <c r="K258">
        <v>5</v>
      </c>
      <c r="L258" t="s">
        <v>81</v>
      </c>
      <c r="M258" t="s">
        <v>82</v>
      </c>
      <c r="N258" t="s">
        <v>83</v>
      </c>
      <c r="O258" t="s">
        <v>83</v>
      </c>
      <c r="P258" t="s">
        <v>84</v>
      </c>
      <c r="Q258" t="s">
        <v>401</v>
      </c>
      <c r="R258">
        <v>3</v>
      </c>
      <c r="S258" t="s">
        <v>86</v>
      </c>
      <c r="T258" t="s">
        <v>87</v>
      </c>
      <c r="U258" t="s">
        <v>88</v>
      </c>
      <c r="V258">
        <v>1</v>
      </c>
      <c r="W258" t="s">
        <v>402</v>
      </c>
      <c r="X258" t="s">
        <v>83</v>
      </c>
      <c r="Y258" t="s">
        <v>90</v>
      </c>
      <c r="Z258">
        <v>4000</v>
      </c>
      <c r="AA258">
        <v>4000</v>
      </c>
      <c r="AC258">
        <v>256</v>
      </c>
      <c r="AD258" t="s">
        <v>91</v>
      </c>
      <c r="AE258">
        <v>0.15</v>
      </c>
      <c r="AF258" t="s">
        <v>92</v>
      </c>
      <c r="AG258">
        <v>180</v>
      </c>
      <c r="AH258">
        <v>60</v>
      </c>
      <c r="AI258">
        <v>120</v>
      </c>
      <c r="AJ258">
        <v>0.1107256041984519</v>
      </c>
      <c r="AK258">
        <v>22.904824957985412</v>
      </c>
      <c r="AL258">
        <v>0.76725061436477326</v>
      </c>
      <c r="AM258">
        <v>2.5776208898539901E-2</v>
      </c>
      <c r="AN258">
        <v>22.484625718698769</v>
      </c>
      <c r="AO258">
        <v>0.71479384854475758</v>
      </c>
      <c r="AP258">
        <v>22.484625718698769</v>
      </c>
      <c r="AQ258">
        <v>22.484625718698769</v>
      </c>
      <c r="AR258">
        <v>0.71479384854475758</v>
      </c>
      <c r="AS258">
        <v>102.537523064702</v>
      </c>
      <c r="AT258">
        <v>-4.2331956696494533E-2</v>
      </c>
      <c r="AU258">
        <v>0.8</v>
      </c>
      <c r="AV258" t="s">
        <v>93</v>
      </c>
      <c r="AW258">
        <v>6.5451304926433543E-2</v>
      </c>
      <c r="AX258">
        <v>0.52473890041071281</v>
      </c>
      <c r="AY258">
        <v>6.5451304926433543E-2</v>
      </c>
      <c r="AZ258">
        <v>6.5451304926433543E-2</v>
      </c>
      <c r="BA258">
        <v>0.52473890041071281</v>
      </c>
      <c r="BB258">
        <v>0.2034545902185442</v>
      </c>
      <c r="BC258">
        <v>-0.47734338333568882</v>
      </c>
      <c r="BD258">
        <v>6.5980411064674019E-2</v>
      </c>
      <c r="BE258">
        <v>0.77139196788977493</v>
      </c>
      <c r="BF258">
        <v>6.5980411064674019E-2</v>
      </c>
      <c r="BG258">
        <v>6.5980411064674019E-2</v>
      </c>
      <c r="BH258">
        <v>0.77139196788977493</v>
      </c>
      <c r="BI258">
        <v>0.2014403406977818</v>
      </c>
      <c r="BJ258">
        <v>0.30205224351521393</v>
      </c>
      <c r="BK258">
        <v>4.5203405536596707E-2</v>
      </c>
      <c r="BL258">
        <v>0.81852262469384074</v>
      </c>
      <c r="BM258">
        <v>4.5203405536596707E-2</v>
      </c>
      <c r="BN258">
        <v>4.5203405536596707E-2</v>
      </c>
      <c r="BO258">
        <v>0.81852262469384074</v>
      </c>
      <c r="BP258">
        <v>0.20634674787649551</v>
      </c>
      <c r="BQ258">
        <v>0.17158307514528151</v>
      </c>
      <c r="BR258">
        <v>89.761867753267225</v>
      </c>
      <c r="BS258">
        <v>0.74452190118470563</v>
      </c>
      <c r="BT258">
        <v>89.761867753267225</v>
      </c>
      <c r="BU258">
        <v>89.761867753267225</v>
      </c>
      <c r="BV258">
        <v>0.74452190118470563</v>
      </c>
      <c r="BW258">
        <v>409.53885058001379</v>
      </c>
      <c r="BX258">
        <v>-0.16561976211078219</v>
      </c>
      <c r="BY258" t="str">
        <f t="shared" si="10"/>
        <v>[[sv,wv],[yr],[ya]]</v>
      </c>
      <c r="BZ258" t="str">
        <f>SUBSTITUTE(TRIM(MID(SUBSTITUTE(SUBSTITUTE(SUBSTITUTE(Tabla1[[#This Row],[map]],"[",""),"]",""),",",REPT(" ",100)),901,200))," ",", ")</f>
        <v>2, 3</v>
      </c>
      <c r="CA258" t="str">
        <f>SUBSTITUTE(TRIM(MID(SUBSTITUTE(SUBSTITUTE(SUBSTITUTE(Tabla1[[#This Row],[map]],"[",""),"]",""),",",REPT(" ",100)),1501,200))," ",", ")</f>
        <v>3, 4</v>
      </c>
      <c r="CB258" t="str">
        <f>SUBSTITUTE(TRIM(MID(SUBSTITUTE(SUBSTITUTE(SUBSTITUTE(Tabla1[[#This Row],[map]],"[",""),"]",""),",",REPT(" ",100)),601,300))," ",", ")</f>
        <v>1, 4, 0</v>
      </c>
      <c r="CC258" t="str">
        <f>SUBSTITUTE(TRIM(MID(SUBSTITUTE(SUBSTITUTE(SUBSTITUTE(Tabla1[[#This Row],[map]],"[",""),"]",""),",",REPT(" ",100)),1201,300))," ",", ")</f>
        <v>0, 1, 2</v>
      </c>
      <c r="CD258" t="str">
        <f>SUBSTITUTE(TRIM(MID(SUBSTITUTE(SUBSTITUTE(SUBSTITUTE(Tabla1[[#This Row],[map]],"[",""),"]",""),",",REPT(" ",100)),1,300))," ",", ")</f>
        <v>2, 3, 4</v>
      </c>
      <c r="CE258" t="str">
        <f>SUBSTITUTE(TRIM(MID(SUBSTITUTE(SUBSTITUTE(SUBSTITUTE(Tabla1[[#This Row],[map]],"[",""),"]",""),",",REPT(" ",100)),1,600))," ",", ")</f>
        <v>2, 3, 4, 0, 1, -1</v>
      </c>
      <c r="CF258" t="str">
        <f>SUBSTITUTE(TRIM(MID(SUBSTITUTE(SUBSTITUTE(SUBSTITUTE(Tabla1[[#This Row],[map]],"[",""),"]",""),",",REPT(" ",100)),601,600))," ",", ")</f>
        <v>1, 4, 0, 2, 3, -1</v>
      </c>
      <c r="CG258" t="str">
        <f>SUBSTITUTE(TRIM(MID(SUBSTITUTE(SUBSTITUTE(SUBSTITUTE(Tabla1[[#This Row],[map]],"[",""),"]",""),",",REPT(" ",100)),1201,600))," ",", ")</f>
        <v>0, 1, 2, 3, 4, -1</v>
      </c>
    </row>
    <row r="259" spans="1:85" x14ac:dyDescent="0.3">
      <c r="A259" s="1">
        <v>46107.217881944453</v>
      </c>
      <c r="B259" t="s">
        <v>483</v>
      </c>
      <c r="C259">
        <v>4</v>
      </c>
      <c r="D259" t="s">
        <v>96</v>
      </c>
      <c r="E259" t="s">
        <v>78</v>
      </c>
      <c r="F259">
        <v>16590</v>
      </c>
      <c r="G259">
        <v>4.5</v>
      </c>
      <c r="H259" t="s">
        <v>79</v>
      </c>
      <c r="I259" t="s">
        <v>80</v>
      </c>
      <c r="J259">
        <v>5</v>
      </c>
      <c r="K259">
        <v>5</v>
      </c>
      <c r="L259" t="s">
        <v>81</v>
      </c>
      <c r="M259" t="s">
        <v>82</v>
      </c>
      <c r="N259" t="s">
        <v>83</v>
      </c>
      <c r="O259" t="s">
        <v>83</v>
      </c>
      <c r="P259" t="s">
        <v>84</v>
      </c>
      <c r="Q259" t="s">
        <v>401</v>
      </c>
      <c r="R259">
        <v>3</v>
      </c>
      <c r="S259" t="s">
        <v>86</v>
      </c>
      <c r="T259" t="s">
        <v>87</v>
      </c>
      <c r="U259" t="s">
        <v>88</v>
      </c>
      <c r="V259">
        <v>1</v>
      </c>
      <c r="W259" t="s">
        <v>402</v>
      </c>
      <c r="X259" t="s">
        <v>83</v>
      </c>
      <c r="Y259" t="s">
        <v>90</v>
      </c>
      <c r="Z259">
        <v>4000</v>
      </c>
      <c r="AA259">
        <v>4000</v>
      </c>
      <c r="AC259">
        <v>256</v>
      </c>
      <c r="AD259" t="s">
        <v>91</v>
      </c>
      <c r="AE259">
        <v>0.15</v>
      </c>
      <c r="AF259" t="s">
        <v>92</v>
      </c>
      <c r="AG259">
        <v>180</v>
      </c>
      <c r="AH259">
        <v>60</v>
      </c>
      <c r="AI259">
        <v>120</v>
      </c>
      <c r="AJ259">
        <v>8.5340017363903301E-2</v>
      </c>
      <c r="AK259">
        <v>12.44562247914909</v>
      </c>
      <c r="AL259">
        <v>0.83793232377567906</v>
      </c>
      <c r="AM259">
        <v>-2.3072728578458018E-2</v>
      </c>
      <c r="AN259">
        <v>13.518462958824481</v>
      </c>
      <c r="AO259">
        <v>0.77770653050809979</v>
      </c>
      <c r="AP259">
        <v>13.518462958824481</v>
      </c>
      <c r="AQ259">
        <v>13.518462958824481</v>
      </c>
      <c r="AR259">
        <v>0.77770653050809979</v>
      </c>
      <c r="AS259">
        <v>88.090459733177468</v>
      </c>
      <c r="AT259">
        <v>-0.18909445856590859</v>
      </c>
      <c r="AU259">
        <v>0.8</v>
      </c>
      <c r="AV259" t="s">
        <v>93</v>
      </c>
      <c r="AW259">
        <v>6.2612763806781505E-2</v>
      </c>
      <c r="AX259">
        <v>0.54535037905535622</v>
      </c>
      <c r="AY259">
        <v>6.2612763806781505E-2</v>
      </c>
      <c r="AZ259">
        <v>6.2612763806781505E-2</v>
      </c>
      <c r="BA259">
        <v>0.54535037905535622</v>
      </c>
      <c r="BB259">
        <v>0.24149626274860431</v>
      </c>
      <c r="BC259">
        <v>-0.75357511220913698</v>
      </c>
      <c r="BD259">
        <v>4.0503250516964663E-2</v>
      </c>
      <c r="BE259">
        <v>0.85966488772440797</v>
      </c>
      <c r="BF259">
        <v>4.0503250516964663E-2</v>
      </c>
      <c r="BG259">
        <v>4.0503250516964663E-2</v>
      </c>
      <c r="BH259">
        <v>0.85966488772440797</v>
      </c>
      <c r="BI259">
        <v>0.29406143516578909</v>
      </c>
      <c r="BJ259">
        <v>-1.8860066616829929E-2</v>
      </c>
      <c r="BK259">
        <v>3.5041029427212302E-2</v>
      </c>
      <c r="BL259">
        <v>0.85932135039409796</v>
      </c>
      <c r="BM259">
        <v>3.5041029427212302E-2</v>
      </c>
      <c r="BN259">
        <v>3.5041029427212302E-2</v>
      </c>
      <c r="BO259">
        <v>0.85932135039409796</v>
      </c>
      <c r="BP259">
        <v>0.24492094554953789</v>
      </c>
      <c r="BQ259">
        <v>1.671987258021812E-2</v>
      </c>
      <c r="BR259">
        <v>53.935694791547043</v>
      </c>
      <c r="BS259">
        <v>0.8464895048585388</v>
      </c>
      <c r="BT259">
        <v>53.935694791547043</v>
      </c>
      <c r="BU259">
        <v>53.935694791547043</v>
      </c>
      <c r="BV259">
        <v>0.8464895048585388</v>
      </c>
      <c r="BW259">
        <v>351.58136028924571</v>
      </c>
      <c r="BX259">
        <v>-6.6252801788579951E-4</v>
      </c>
      <c r="BY259" t="str">
        <f t="shared" si="10"/>
        <v>[[sv,wv],[yr],[ya]]</v>
      </c>
      <c r="BZ259" t="str">
        <f>SUBSTITUTE(TRIM(MID(SUBSTITUTE(SUBSTITUTE(SUBSTITUTE(Tabla1[[#This Row],[map]],"[",""),"]",""),",",REPT(" ",100)),901,200))," ",", ")</f>
        <v>2, 3</v>
      </c>
      <c r="CA259" t="str">
        <f>SUBSTITUTE(TRIM(MID(SUBSTITUTE(SUBSTITUTE(SUBSTITUTE(Tabla1[[#This Row],[map]],"[",""),"]",""),",",REPT(" ",100)),1501,200))," ",", ")</f>
        <v>3, 4</v>
      </c>
      <c r="CB259" t="str">
        <f>SUBSTITUTE(TRIM(MID(SUBSTITUTE(SUBSTITUTE(SUBSTITUTE(Tabla1[[#This Row],[map]],"[",""),"]",""),",",REPT(" ",100)),601,300))," ",", ")</f>
        <v>1, 4, 0</v>
      </c>
      <c r="CC259" t="str">
        <f>SUBSTITUTE(TRIM(MID(SUBSTITUTE(SUBSTITUTE(SUBSTITUTE(Tabla1[[#This Row],[map]],"[",""),"]",""),",",REPT(" ",100)),1201,300))," ",", ")</f>
        <v>0, 1, 2</v>
      </c>
      <c r="CD259" t="str">
        <f>SUBSTITUTE(TRIM(MID(SUBSTITUTE(SUBSTITUTE(SUBSTITUTE(Tabla1[[#This Row],[map]],"[",""),"]",""),",",REPT(" ",100)),1,300))," ",", ")</f>
        <v>2, 3, 4</v>
      </c>
      <c r="CE259" t="str">
        <f>SUBSTITUTE(TRIM(MID(SUBSTITUTE(SUBSTITUTE(SUBSTITUTE(Tabla1[[#This Row],[map]],"[",""),"]",""),",",REPT(" ",100)),1,600))," ",", ")</f>
        <v>2, 3, 4, 0, 1, -1</v>
      </c>
      <c r="CF259" t="str">
        <f>SUBSTITUTE(TRIM(MID(SUBSTITUTE(SUBSTITUTE(SUBSTITUTE(Tabla1[[#This Row],[map]],"[",""),"]",""),",",REPT(" ",100)),601,600))," ",", ")</f>
        <v>1, 4, 0, 2, 3, -1</v>
      </c>
      <c r="CG259" t="str">
        <f>SUBSTITUTE(TRIM(MID(SUBSTITUTE(SUBSTITUTE(SUBSTITUTE(Tabla1[[#This Row],[map]],"[",""),"]",""),",",REPT(" ",100)),1201,600))," ",", ")</f>
        <v>0, 1, 2, 3, 4, -1</v>
      </c>
    </row>
    <row r="260" spans="1:85" x14ac:dyDescent="0.3">
      <c r="A260" s="1">
        <v>46107.239039351851</v>
      </c>
      <c r="B260" t="s">
        <v>484</v>
      </c>
      <c r="C260">
        <v>0</v>
      </c>
      <c r="D260" t="s">
        <v>77</v>
      </c>
      <c r="E260" t="s">
        <v>78</v>
      </c>
      <c r="F260">
        <v>16590</v>
      </c>
      <c r="G260">
        <v>4.5</v>
      </c>
      <c r="H260" t="s">
        <v>79</v>
      </c>
      <c r="I260" t="s">
        <v>80</v>
      </c>
      <c r="J260">
        <v>5</v>
      </c>
      <c r="K260">
        <v>5</v>
      </c>
      <c r="L260" t="s">
        <v>81</v>
      </c>
      <c r="M260" t="s">
        <v>82</v>
      </c>
      <c r="N260" t="s">
        <v>83</v>
      </c>
      <c r="O260" t="s">
        <v>83</v>
      </c>
      <c r="P260" t="s">
        <v>84</v>
      </c>
      <c r="Q260" t="s">
        <v>485</v>
      </c>
      <c r="R260">
        <v>3</v>
      </c>
      <c r="S260" t="s">
        <v>86</v>
      </c>
      <c r="T260" t="s">
        <v>87</v>
      </c>
      <c r="U260" t="s">
        <v>88</v>
      </c>
      <c r="V260">
        <v>1</v>
      </c>
      <c r="W260" t="s">
        <v>486</v>
      </c>
      <c r="X260" t="s">
        <v>83</v>
      </c>
      <c r="Y260" t="s">
        <v>90</v>
      </c>
      <c r="Z260">
        <v>4000</v>
      </c>
      <c r="AA260">
        <v>4000</v>
      </c>
      <c r="AC260">
        <v>256</v>
      </c>
      <c r="AD260" t="s">
        <v>91</v>
      </c>
      <c r="AE260">
        <v>0.15</v>
      </c>
      <c r="AF260" t="s">
        <v>92</v>
      </c>
      <c r="AG260">
        <v>180</v>
      </c>
      <c r="AH260">
        <v>60</v>
      </c>
      <c r="AI260">
        <v>120</v>
      </c>
      <c r="AJ260">
        <v>0.10393650750585449</v>
      </c>
      <c r="AK260">
        <v>19.73460150802827</v>
      </c>
      <c r="AL260">
        <v>0.7654267544774519</v>
      </c>
      <c r="AM260">
        <v>0.185802957144554</v>
      </c>
      <c r="AN260">
        <v>22.140480162809929</v>
      </c>
      <c r="AO260">
        <v>0.7159017696988802</v>
      </c>
      <c r="AP260">
        <v>22.140480162809929</v>
      </c>
      <c r="AQ260">
        <v>22.140480162809929</v>
      </c>
      <c r="AR260">
        <v>0.7159017696988802</v>
      </c>
      <c r="AS260">
        <v>92.573429643202019</v>
      </c>
      <c r="AT260">
        <v>0.24496046265373761</v>
      </c>
      <c r="AU260">
        <v>0.8</v>
      </c>
      <c r="AV260" t="s">
        <v>93</v>
      </c>
      <c r="AW260">
        <v>6.7857287504228897E-2</v>
      </c>
      <c r="AX260">
        <v>0.50726835606020759</v>
      </c>
      <c r="AY260">
        <v>6.7857287504228897E-2</v>
      </c>
      <c r="AZ260">
        <v>6.7857287504228897E-2</v>
      </c>
      <c r="BA260">
        <v>0.50726835606020759</v>
      </c>
      <c r="BB260">
        <v>8.0515888068152741E-2</v>
      </c>
      <c r="BC260">
        <v>0.41535054892047091</v>
      </c>
      <c r="BD260">
        <v>8.2157191037338401E-2</v>
      </c>
      <c r="BE260">
        <v>0.71534288035368809</v>
      </c>
      <c r="BF260">
        <v>8.2157191037338401E-2</v>
      </c>
      <c r="BG260">
        <v>8.2157191037338401E-2</v>
      </c>
      <c r="BH260">
        <v>0.71534288035368809</v>
      </c>
      <c r="BI260">
        <v>0.16964257494212651</v>
      </c>
      <c r="BJ260">
        <v>0.41222471042780978</v>
      </c>
      <c r="BK260">
        <v>2.6762870342647519E-2</v>
      </c>
      <c r="BL260">
        <v>0.89255554072113863</v>
      </c>
      <c r="BM260">
        <v>2.6762870342647519E-2</v>
      </c>
      <c r="BN260">
        <v>2.6762870342647519E-2</v>
      </c>
      <c r="BO260">
        <v>0.89255554072113863</v>
      </c>
      <c r="BP260">
        <v>0.19804496099251481</v>
      </c>
      <c r="BQ260">
        <v>0.2049121236134592</v>
      </c>
      <c r="BR260">
        <v>88.385143302355957</v>
      </c>
      <c r="BS260">
        <v>0.74844030166048603</v>
      </c>
      <c r="BT260">
        <v>88.385143302355957</v>
      </c>
      <c r="BU260">
        <v>88.385143302355957</v>
      </c>
      <c r="BV260">
        <v>0.74844030166048603</v>
      </c>
      <c r="BW260">
        <v>369.84551514880479</v>
      </c>
      <c r="BX260">
        <v>-5.2645532346786261E-2</v>
      </c>
      <c r="BY260" t="str">
        <f t="shared" si="10"/>
        <v>[[sv,wv],[yr],[ya]]</v>
      </c>
      <c r="BZ260" t="str">
        <f>SUBSTITUTE(TRIM(MID(SUBSTITUTE(SUBSTITUTE(SUBSTITUTE(Tabla1[[#This Row],[map]],"[",""),"]",""),",",REPT(" ",100)),901,200))," ",", ")</f>
        <v>2, 3</v>
      </c>
      <c r="CA260" t="str">
        <f>SUBSTITUTE(TRIM(MID(SUBSTITUTE(SUBSTITUTE(SUBSTITUTE(Tabla1[[#This Row],[map]],"[",""),"]",""),",",REPT(" ",100)),1501,200))," ",", ")</f>
        <v>3, 4</v>
      </c>
      <c r="CB260" t="str">
        <f>SUBSTITUTE(TRIM(MID(SUBSTITUTE(SUBSTITUTE(SUBSTITUTE(Tabla1[[#This Row],[map]],"[",""),"]",""),",",REPT(" ",100)),601,300))," ",", ")</f>
        <v>1, 4, 0</v>
      </c>
      <c r="CC260" t="str">
        <f>SUBSTITUTE(TRIM(MID(SUBSTITUTE(SUBSTITUTE(SUBSTITUTE(Tabla1[[#This Row],[map]],"[",""),"]",""),",",REPT(" ",100)),1201,300))," ",", ")</f>
        <v>0, 1, 2</v>
      </c>
      <c r="CD260" t="str">
        <f>SUBSTITUTE(TRIM(MID(SUBSTITUTE(SUBSTITUTE(SUBSTITUTE(Tabla1[[#This Row],[map]],"[",""),"]",""),",",REPT(" ",100)),1,300))," ",", ")</f>
        <v>4, 2, 3</v>
      </c>
      <c r="CE260" t="str">
        <f>SUBSTITUTE(TRIM(MID(SUBSTITUTE(SUBSTITUTE(SUBSTITUTE(Tabla1[[#This Row],[map]],"[",""),"]",""),",",REPT(" ",100)),1,600))," ",", ")</f>
        <v>4, 2, 3, 0, 1, -1</v>
      </c>
      <c r="CF260" t="str">
        <f>SUBSTITUTE(TRIM(MID(SUBSTITUTE(SUBSTITUTE(SUBSTITUTE(Tabla1[[#This Row],[map]],"[",""),"]",""),",",REPT(" ",100)),601,600))," ",", ")</f>
        <v>1, 4, 0, 2, 3, -1</v>
      </c>
      <c r="CG260" t="str">
        <f>SUBSTITUTE(TRIM(MID(SUBSTITUTE(SUBSTITUTE(SUBSTITUTE(Tabla1[[#This Row],[map]],"[",""),"]",""),",",REPT(" ",100)),1201,600))," ",", ")</f>
        <v>0, 1, 2, 3, 4, -1</v>
      </c>
    </row>
    <row r="261" spans="1:85" x14ac:dyDescent="0.3">
      <c r="A261" s="1">
        <v>46107.306238425917</v>
      </c>
      <c r="B261" t="s">
        <v>487</v>
      </c>
      <c r="C261">
        <v>1</v>
      </c>
      <c r="D261" t="s">
        <v>96</v>
      </c>
      <c r="E261" t="s">
        <v>78</v>
      </c>
      <c r="F261">
        <v>16590</v>
      </c>
      <c r="G261">
        <v>4.5</v>
      </c>
      <c r="H261" t="s">
        <v>79</v>
      </c>
      <c r="I261" t="s">
        <v>80</v>
      </c>
      <c r="J261">
        <v>5</v>
      </c>
      <c r="K261">
        <v>5</v>
      </c>
      <c r="L261" t="s">
        <v>81</v>
      </c>
      <c r="M261" t="s">
        <v>82</v>
      </c>
      <c r="N261" t="s">
        <v>83</v>
      </c>
      <c r="O261" t="s">
        <v>83</v>
      </c>
      <c r="P261" t="s">
        <v>84</v>
      </c>
      <c r="Q261" t="s">
        <v>469</v>
      </c>
      <c r="R261">
        <v>3</v>
      </c>
      <c r="S261" t="s">
        <v>86</v>
      </c>
      <c r="T261" t="s">
        <v>87</v>
      </c>
      <c r="U261" t="s">
        <v>88</v>
      </c>
      <c r="V261">
        <v>1</v>
      </c>
      <c r="W261" t="s">
        <v>470</v>
      </c>
      <c r="X261" t="s">
        <v>83</v>
      </c>
      <c r="Y261" t="s">
        <v>90</v>
      </c>
      <c r="Z261">
        <v>4000</v>
      </c>
      <c r="AA261">
        <v>4000</v>
      </c>
      <c r="AC261">
        <v>256</v>
      </c>
      <c r="AD261" t="s">
        <v>91</v>
      </c>
      <c r="AE261">
        <v>0.15</v>
      </c>
      <c r="AF261" t="s">
        <v>92</v>
      </c>
      <c r="AG261">
        <v>180</v>
      </c>
      <c r="AH261">
        <v>60</v>
      </c>
      <c r="AI261">
        <v>120</v>
      </c>
      <c r="AJ261">
        <v>0.13542414037142261</v>
      </c>
      <c r="AK261">
        <v>16.057165866621791</v>
      </c>
      <c r="AL261">
        <v>0.6156974534076558</v>
      </c>
      <c r="AM261">
        <v>-8.503658781257431E-2</v>
      </c>
      <c r="AN261">
        <v>22.502530530093651</v>
      </c>
      <c r="AO261">
        <v>0.58672103872407322</v>
      </c>
      <c r="AP261">
        <v>22.502530530093651</v>
      </c>
      <c r="AQ261">
        <v>22.502530530093651</v>
      </c>
      <c r="AR261">
        <v>0.58672103872407322</v>
      </c>
      <c r="AS261">
        <v>105.8714707309254</v>
      </c>
      <c r="AT261">
        <v>-0.10859279038999781</v>
      </c>
      <c r="AU261">
        <v>0.8</v>
      </c>
      <c r="AV261" t="s">
        <v>93</v>
      </c>
      <c r="AW261">
        <v>8.7499310602881991E-2</v>
      </c>
      <c r="AX261">
        <v>0.3646418720425616</v>
      </c>
      <c r="AY261">
        <v>8.7499310602881991E-2</v>
      </c>
      <c r="AZ261">
        <v>8.7499310602881991E-2</v>
      </c>
      <c r="BA261">
        <v>0.3646418720425616</v>
      </c>
      <c r="BB261">
        <v>0.1829780968591912</v>
      </c>
      <c r="BC261">
        <v>-0.32865756628991522</v>
      </c>
      <c r="BD261">
        <v>9.7078758921891425E-2</v>
      </c>
      <c r="BE261">
        <v>0.66364283461218543</v>
      </c>
      <c r="BF261">
        <v>9.7078758921891425E-2</v>
      </c>
      <c r="BG261">
        <v>9.7078758921891425E-2</v>
      </c>
      <c r="BH261">
        <v>0.66364283461218543</v>
      </c>
      <c r="BI261">
        <v>0.20935247358153219</v>
      </c>
      <c r="BJ261">
        <v>0.27463839296227022</v>
      </c>
      <c r="BK261">
        <v>0.10612125158616589</v>
      </c>
      <c r="BL261">
        <v>0.57395674123556484</v>
      </c>
      <c r="BM261">
        <v>0.10612125158616589</v>
      </c>
      <c r="BN261">
        <v>0.10612125158616589</v>
      </c>
      <c r="BO261">
        <v>0.57395674123556484</v>
      </c>
      <c r="BP261">
        <v>0.2931706852686139</v>
      </c>
      <c r="BQ261">
        <v>-0.17698757090729081</v>
      </c>
      <c r="BR261">
        <v>89.719422799263285</v>
      </c>
      <c r="BS261">
        <v>0.74464270700598201</v>
      </c>
      <c r="BT261">
        <v>89.719422799263285</v>
      </c>
      <c r="BU261">
        <v>89.719422799263285</v>
      </c>
      <c r="BV261">
        <v>0.74464270700598201</v>
      </c>
      <c r="BW261">
        <v>422.80038166799199</v>
      </c>
      <c r="BX261">
        <v>-0.20336441732505911</v>
      </c>
      <c r="BY261" t="str">
        <f t="shared" ref="BY261:BY298" si="11">_xlfn.LET(_xlpm.TextoConfig, Q261,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261" t="str">
        <f>SUBSTITUTE(TRIM(MID(SUBSTITUTE(SUBSTITUTE(SUBSTITUTE(Tabla1[[#This Row],[map]],"[",""),"]",""),",",REPT(" ",100)),901,200))," ",", ")</f>
        <v>2, 3</v>
      </c>
      <c r="CA261" t="str">
        <f>SUBSTITUTE(TRIM(MID(SUBSTITUTE(SUBSTITUTE(SUBSTITUTE(Tabla1[[#This Row],[map]],"[",""),"]",""),",",REPT(" ",100)),1501,200))," ",", ")</f>
        <v>3, 4</v>
      </c>
      <c r="CB261" t="str">
        <f>SUBSTITUTE(TRIM(MID(SUBSTITUTE(SUBSTITUTE(SUBSTITUTE(Tabla1[[#This Row],[map]],"[",""),"]",""),",",REPT(" ",100)),601,300))," ",", ")</f>
        <v>0, 1, 4</v>
      </c>
      <c r="CC261" t="str">
        <f>SUBSTITUTE(TRIM(MID(SUBSTITUTE(SUBSTITUTE(SUBSTITUTE(Tabla1[[#This Row],[map]],"[",""),"]",""),",",REPT(" ",100)),1201,300))," ",", ")</f>
        <v>1, 2, 0</v>
      </c>
      <c r="CD261" t="str">
        <f>SUBSTITUTE(TRIM(MID(SUBSTITUTE(SUBSTITUTE(SUBSTITUTE(Tabla1[[#This Row],[map]],"[",""),"]",""),",",REPT(" ",100)),1,300))," ",", ")</f>
        <v>4, 2, 3</v>
      </c>
      <c r="CE261" t="str">
        <f>SUBSTITUTE(TRIM(MID(SUBSTITUTE(SUBSTITUTE(SUBSTITUTE(Tabla1[[#This Row],[map]],"[",""),"]",""),",",REPT(" ",100)),1,600))," ",", ")</f>
        <v>4, 2, 3, 0, 1, -1</v>
      </c>
      <c r="CF261" t="str">
        <f>SUBSTITUTE(TRIM(MID(SUBSTITUTE(SUBSTITUTE(SUBSTITUTE(Tabla1[[#This Row],[map]],"[",""),"]",""),",",REPT(" ",100)),601,600))," ",", ")</f>
        <v>0, 1, 4, 2, 3, -1</v>
      </c>
      <c r="CG261" t="str">
        <f>SUBSTITUTE(TRIM(MID(SUBSTITUTE(SUBSTITUTE(SUBSTITUTE(Tabla1[[#This Row],[map]],"[",""),"]",""),",",REPT(" ",100)),1201,600))," ",", ")</f>
        <v>1, 2, 0, 3, 4, -1</v>
      </c>
    </row>
    <row r="262" spans="1:85" x14ac:dyDescent="0.3">
      <c r="A262" s="1">
        <v>46107.345312500001</v>
      </c>
      <c r="B262" t="s">
        <v>488</v>
      </c>
      <c r="C262">
        <v>3</v>
      </c>
      <c r="D262" t="s">
        <v>96</v>
      </c>
      <c r="E262" t="s">
        <v>78</v>
      </c>
      <c r="F262">
        <v>16590</v>
      </c>
      <c r="G262">
        <v>4.5</v>
      </c>
      <c r="H262" t="s">
        <v>79</v>
      </c>
      <c r="I262" t="s">
        <v>80</v>
      </c>
      <c r="J262">
        <v>5</v>
      </c>
      <c r="K262">
        <v>5</v>
      </c>
      <c r="L262" t="s">
        <v>81</v>
      </c>
      <c r="M262" t="s">
        <v>82</v>
      </c>
      <c r="N262" t="s">
        <v>83</v>
      </c>
      <c r="O262" t="s">
        <v>83</v>
      </c>
      <c r="P262" t="s">
        <v>84</v>
      </c>
      <c r="Q262" t="s">
        <v>429</v>
      </c>
      <c r="R262">
        <v>3</v>
      </c>
      <c r="S262" t="s">
        <v>86</v>
      </c>
      <c r="T262" t="s">
        <v>87</v>
      </c>
      <c r="U262" t="s">
        <v>88</v>
      </c>
      <c r="V262">
        <v>1</v>
      </c>
      <c r="W262" t="s">
        <v>430</v>
      </c>
      <c r="X262" t="s">
        <v>83</v>
      </c>
      <c r="Y262" t="s">
        <v>90</v>
      </c>
      <c r="Z262">
        <v>4000</v>
      </c>
      <c r="AA262">
        <v>4000</v>
      </c>
      <c r="AC262">
        <v>256</v>
      </c>
      <c r="AD262" t="s">
        <v>91</v>
      </c>
      <c r="AE262">
        <v>0.15</v>
      </c>
      <c r="AF262" t="s">
        <v>92</v>
      </c>
      <c r="AG262">
        <v>180</v>
      </c>
      <c r="AH262">
        <v>60</v>
      </c>
      <c r="AI262">
        <v>120</v>
      </c>
      <c r="AJ262">
        <v>9.7943472616213861E-2</v>
      </c>
      <c r="AK262">
        <v>29.219748168209819</v>
      </c>
      <c r="AL262">
        <v>0.7527865485641132</v>
      </c>
      <c r="AM262">
        <v>7.2023134215018214E-2</v>
      </c>
      <c r="AN262">
        <v>35.607911411219163</v>
      </c>
      <c r="AO262">
        <v>0.69990538933170043</v>
      </c>
      <c r="AP262">
        <v>35.607911411219163</v>
      </c>
      <c r="AQ262">
        <v>35.607911411219163</v>
      </c>
      <c r="AR262">
        <v>0.69990538933170043</v>
      </c>
      <c r="AS262">
        <v>109.59116192112199</v>
      </c>
      <c r="AT262">
        <v>7.2023549652695806E-3</v>
      </c>
      <c r="AU262">
        <v>0.8</v>
      </c>
      <c r="AV262" t="s">
        <v>93</v>
      </c>
      <c r="AW262">
        <v>6.5036375589767964E-2</v>
      </c>
      <c r="AX262">
        <v>0.52775182388133235</v>
      </c>
      <c r="AY262">
        <v>6.5036375589767964E-2</v>
      </c>
      <c r="AZ262">
        <v>6.5036375589767964E-2</v>
      </c>
      <c r="BA262">
        <v>0.52775182388133235</v>
      </c>
      <c r="BB262">
        <v>0.12915708636843409</v>
      </c>
      <c r="BC262">
        <v>6.2152558207897557E-2</v>
      </c>
      <c r="BD262">
        <v>4.5543389385667148E-2</v>
      </c>
      <c r="BE262">
        <v>0.84220188302734822</v>
      </c>
      <c r="BF262">
        <v>4.5543389385667148E-2</v>
      </c>
      <c r="BG262">
        <v>4.5543389385667148E-2</v>
      </c>
      <c r="BH262">
        <v>0.84220188302734822</v>
      </c>
      <c r="BI262">
        <v>0.21264540371248</v>
      </c>
      <c r="BJ262">
        <v>0.26322909336917499</v>
      </c>
      <c r="BK262">
        <v>4.1193419943640397E-2</v>
      </c>
      <c r="BL262">
        <v>0.83462144848347886</v>
      </c>
      <c r="BM262">
        <v>4.1193419943640397E-2</v>
      </c>
      <c r="BN262">
        <v>4.1193419943640397E-2</v>
      </c>
      <c r="BO262">
        <v>0.83462144848347886</v>
      </c>
      <c r="BP262">
        <v>0.26169604179515749</v>
      </c>
      <c r="BQ262">
        <v>-5.0626832851048409E-2</v>
      </c>
      <c r="BR262">
        <v>142.27987245995701</v>
      </c>
      <c r="BS262">
        <v>0.5950464019346422</v>
      </c>
      <c r="BT262">
        <v>142.27987245995701</v>
      </c>
      <c r="BU262">
        <v>142.27987245995701</v>
      </c>
      <c r="BV262">
        <v>0.5950464019346422</v>
      </c>
      <c r="BW262">
        <v>437.76114915261132</v>
      </c>
      <c r="BX262">
        <v>-0.24594539886495251</v>
      </c>
      <c r="BY262" t="str">
        <f t="shared" si="11"/>
        <v>[[sv,wv],[yr],[ya]]</v>
      </c>
      <c r="BZ262" t="str">
        <f>SUBSTITUTE(TRIM(MID(SUBSTITUTE(SUBSTITUTE(SUBSTITUTE(Tabla1[[#This Row],[map]],"[",""),"]",""),",",REPT(" ",100)),901,200))," ",", ")</f>
        <v>2, 4</v>
      </c>
      <c r="CA262" t="str">
        <f>SUBSTITUTE(TRIM(MID(SUBSTITUTE(SUBSTITUTE(SUBSTITUTE(Tabla1[[#This Row],[map]],"[",""),"]",""),",",REPT(" ",100)),1501,200))," ",", ")</f>
        <v>3, 4</v>
      </c>
      <c r="CB262" t="str">
        <f>SUBSTITUTE(TRIM(MID(SUBSTITUTE(SUBSTITUTE(SUBSTITUTE(Tabla1[[#This Row],[map]],"[",""),"]",""),",",REPT(" ",100)),601,300))," ",", ")</f>
        <v>1, 3, 0</v>
      </c>
      <c r="CC262" t="str">
        <f>SUBSTITUTE(TRIM(MID(SUBSTITUTE(SUBSTITUTE(SUBSTITUTE(Tabla1[[#This Row],[map]],"[",""),"]",""),",",REPT(" ",100)),1201,300))," ",", ")</f>
        <v>0, 1, 2</v>
      </c>
      <c r="CD262" t="str">
        <f>SUBSTITUTE(TRIM(MID(SUBSTITUTE(SUBSTITUTE(SUBSTITUTE(Tabla1[[#This Row],[map]],"[",""),"]",""),",",REPT(" ",100)),1,300))," ",", ")</f>
        <v>2, 3, 4</v>
      </c>
      <c r="CE262" t="str">
        <f>SUBSTITUTE(TRIM(MID(SUBSTITUTE(SUBSTITUTE(SUBSTITUTE(Tabla1[[#This Row],[map]],"[",""),"]",""),",",REPT(" ",100)),1,600))," ",", ")</f>
        <v>2, 3, 4, 0, 1, -1</v>
      </c>
      <c r="CF262" t="str">
        <f>SUBSTITUTE(TRIM(MID(SUBSTITUTE(SUBSTITUTE(SUBSTITUTE(Tabla1[[#This Row],[map]],"[",""),"]",""),",",REPT(" ",100)),601,600))," ",", ")</f>
        <v>1, 3, 0, 2, 4, -1</v>
      </c>
      <c r="CG262" t="str">
        <f>SUBSTITUTE(TRIM(MID(SUBSTITUTE(SUBSTITUTE(SUBSTITUTE(Tabla1[[#This Row],[map]],"[",""),"]",""),",",REPT(" ",100)),1201,600))," ",", ")</f>
        <v>0, 1, 2, 3, 4, -1</v>
      </c>
    </row>
    <row r="263" spans="1:85" x14ac:dyDescent="0.3">
      <c r="A263" s="1">
        <v>46107.349421296298</v>
      </c>
      <c r="B263" t="s">
        <v>489</v>
      </c>
      <c r="C263">
        <v>2</v>
      </c>
      <c r="D263" t="s">
        <v>96</v>
      </c>
      <c r="E263" t="s">
        <v>78</v>
      </c>
      <c r="F263">
        <v>16590</v>
      </c>
      <c r="G263">
        <v>4.5</v>
      </c>
      <c r="H263" t="s">
        <v>79</v>
      </c>
      <c r="I263" t="s">
        <v>80</v>
      </c>
      <c r="J263">
        <v>5</v>
      </c>
      <c r="K263">
        <v>5</v>
      </c>
      <c r="L263" t="s">
        <v>81</v>
      </c>
      <c r="M263" t="s">
        <v>82</v>
      </c>
      <c r="N263" t="s">
        <v>83</v>
      </c>
      <c r="O263" t="s">
        <v>83</v>
      </c>
      <c r="P263" t="s">
        <v>84</v>
      </c>
      <c r="Q263" t="s">
        <v>429</v>
      </c>
      <c r="R263">
        <v>3</v>
      </c>
      <c r="S263" t="s">
        <v>86</v>
      </c>
      <c r="T263" t="s">
        <v>87</v>
      </c>
      <c r="U263" t="s">
        <v>88</v>
      </c>
      <c r="V263">
        <v>1</v>
      </c>
      <c r="W263" t="s">
        <v>430</v>
      </c>
      <c r="X263" t="s">
        <v>83</v>
      </c>
      <c r="Y263" t="s">
        <v>90</v>
      </c>
      <c r="Z263">
        <v>4000</v>
      </c>
      <c r="AA263">
        <v>4000</v>
      </c>
      <c r="AC263">
        <v>256</v>
      </c>
      <c r="AD263" t="s">
        <v>91</v>
      </c>
      <c r="AE263">
        <v>0.15</v>
      </c>
      <c r="AF263" t="s">
        <v>92</v>
      </c>
      <c r="AG263">
        <v>180</v>
      </c>
      <c r="AH263">
        <v>60</v>
      </c>
      <c r="AI263">
        <v>120</v>
      </c>
      <c r="AJ263">
        <v>9.5490915360858922E-2</v>
      </c>
      <c r="AK263">
        <v>20.552402863882769</v>
      </c>
      <c r="AL263">
        <v>0.73596465945066081</v>
      </c>
      <c r="AM263">
        <v>-0.37497762210243157</v>
      </c>
      <c r="AN263">
        <v>27.83053036256775</v>
      </c>
      <c r="AO263">
        <v>0.67442453144556036</v>
      </c>
      <c r="AP263">
        <v>27.83053036256775</v>
      </c>
      <c r="AQ263">
        <v>27.83053036256775</v>
      </c>
      <c r="AR263">
        <v>0.67442453144556036</v>
      </c>
      <c r="AS263">
        <v>131.09204707605161</v>
      </c>
      <c r="AT263">
        <v>-0.35143095571646782</v>
      </c>
      <c r="AU263">
        <v>0.8</v>
      </c>
      <c r="AV263" t="s">
        <v>93</v>
      </c>
      <c r="AW263">
        <v>6.0407714841315838E-2</v>
      </c>
      <c r="AX263">
        <v>0.56136188558151856</v>
      </c>
      <c r="AY263">
        <v>6.0407714841315838E-2</v>
      </c>
      <c r="AZ263">
        <v>6.0407714841315838E-2</v>
      </c>
      <c r="BA263">
        <v>0.56136188558151856</v>
      </c>
      <c r="BB263">
        <v>0.15620515411877919</v>
      </c>
      <c r="BC263">
        <v>-0.1342513856896812</v>
      </c>
      <c r="BD263">
        <v>8.4439020016662744E-2</v>
      </c>
      <c r="BE263">
        <v>0.70743683029795101</v>
      </c>
      <c r="BF263">
        <v>8.4439020016662744E-2</v>
      </c>
      <c r="BG263">
        <v>8.4439020016662744E-2</v>
      </c>
      <c r="BH263">
        <v>0.70743683029795101</v>
      </c>
      <c r="BI263">
        <v>0.38221050480416718</v>
      </c>
      <c r="BJ263">
        <v>-0.32427776585826412</v>
      </c>
      <c r="BK263">
        <v>6.3479756242034127E-2</v>
      </c>
      <c r="BL263">
        <v>0.74514885745605119</v>
      </c>
      <c r="BM263">
        <v>6.3479756242034127E-2</v>
      </c>
      <c r="BN263">
        <v>6.3479756242034127E-2</v>
      </c>
      <c r="BO263">
        <v>0.74514885745605119</v>
      </c>
      <c r="BP263">
        <v>0.36299645484846721</v>
      </c>
      <c r="BQ263">
        <v>-0.45731594974647649</v>
      </c>
      <c r="BR263">
        <v>111.1137949591714</v>
      </c>
      <c r="BS263">
        <v>0.68375055244671756</v>
      </c>
      <c r="BT263">
        <v>111.1137949591714</v>
      </c>
      <c r="BU263">
        <v>111.1137949591714</v>
      </c>
      <c r="BV263">
        <v>0.68375055244671756</v>
      </c>
      <c r="BW263">
        <v>523.46677619043612</v>
      </c>
      <c r="BX263">
        <v>-0.48987872157145551</v>
      </c>
      <c r="BY263" t="str">
        <f t="shared" si="11"/>
        <v>[[sv,wv],[yr],[ya]]</v>
      </c>
      <c r="BZ263" t="str">
        <f>SUBSTITUTE(TRIM(MID(SUBSTITUTE(SUBSTITUTE(SUBSTITUTE(Tabla1[[#This Row],[map]],"[",""),"]",""),",",REPT(" ",100)),901,200))," ",", ")</f>
        <v>2, 4</v>
      </c>
      <c r="CA263" t="str">
        <f>SUBSTITUTE(TRIM(MID(SUBSTITUTE(SUBSTITUTE(SUBSTITUTE(Tabla1[[#This Row],[map]],"[",""),"]",""),",",REPT(" ",100)),1501,200))," ",", ")</f>
        <v>3, 4</v>
      </c>
      <c r="CB263" t="str">
        <f>SUBSTITUTE(TRIM(MID(SUBSTITUTE(SUBSTITUTE(SUBSTITUTE(Tabla1[[#This Row],[map]],"[",""),"]",""),",",REPT(" ",100)),601,300))," ",", ")</f>
        <v>1, 3, 0</v>
      </c>
      <c r="CC263" t="str">
        <f>SUBSTITUTE(TRIM(MID(SUBSTITUTE(SUBSTITUTE(SUBSTITUTE(Tabla1[[#This Row],[map]],"[",""),"]",""),",",REPT(" ",100)),1201,300))," ",", ")</f>
        <v>0, 1, 2</v>
      </c>
      <c r="CD263" t="str">
        <f>SUBSTITUTE(TRIM(MID(SUBSTITUTE(SUBSTITUTE(SUBSTITUTE(Tabla1[[#This Row],[map]],"[",""),"]",""),",",REPT(" ",100)),1,300))," ",", ")</f>
        <v>2, 3, 4</v>
      </c>
      <c r="CE263" t="str">
        <f>SUBSTITUTE(TRIM(MID(SUBSTITUTE(SUBSTITUTE(SUBSTITUTE(Tabla1[[#This Row],[map]],"[",""),"]",""),",",REPT(" ",100)),1,600))," ",", ")</f>
        <v>2, 3, 4, 0, 1, -1</v>
      </c>
      <c r="CF263" t="str">
        <f>SUBSTITUTE(TRIM(MID(SUBSTITUTE(SUBSTITUTE(SUBSTITUTE(Tabla1[[#This Row],[map]],"[",""),"]",""),",",REPT(" ",100)),601,600))," ",", ")</f>
        <v>1, 3, 0, 2, 4, -1</v>
      </c>
      <c r="CG263" t="str">
        <f>SUBSTITUTE(TRIM(MID(SUBSTITUTE(SUBSTITUTE(SUBSTITUTE(Tabla1[[#This Row],[map]],"[",""),"]",""),",",REPT(" ",100)),1201,600))," ",", ")</f>
        <v>0, 1, 2, 3, 4, -1</v>
      </c>
    </row>
    <row r="264" spans="1:85" x14ac:dyDescent="0.3">
      <c r="A264" s="1">
        <v>46107.357835648138</v>
      </c>
      <c r="B264" t="s">
        <v>490</v>
      </c>
      <c r="C264">
        <v>5</v>
      </c>
      <c r="D264" t="s">
        <v>96</v>
      </c>
      <c r="E264" t="s">
        <v>78</v>
      </c>
      <c r="F264">
        <v>16590</v>
      </c>
      <c r="G264">
        <v>4.5</v>
      </c>
      <c r="H264" t="s">
        <v>79</v>
      </c>
      <c r="I264" t="s">
        <v>80</v>
      </c>
      <c r="J264">
        <v>5</v>
      </c>
      <c r="K264">
        <v>5</v>
      </c>
      <c r="L264" t="s">
        <v>81</v>
      </c>
      <c r="M264" t="s">
        <v>82</v>
      </c>
      <c r="N264" t="s">
        <v>83</v>
      </c>
      <c r="O264" t="s">
        <v>83</v>
      </c>
      <c r="P264" t="s">
        <v>84</v>
      </c>
      <c r="Q264" t="s">
        <v>408</v>
      </c>
      <c r="R264">
        <v>3</v>
      </c>
      <c r="S264" t="s">
        <v>86</v>
      </c>
      <c r="T264" t="s">
        <v>87</v>
      </c>
      <c r="U264" t="s">
        <v>88</v>
      </c>
      <c r="V264">
        <v>1</v>
      </c>
      <c r="W264" t="s">
        <v>409</v>
      </c>
      <c r="X264" t="s">
        <v>83</v>
      </c>
      <c r="Y264" t="s">
        <v>90</v>
      </c>
      <c r="Z264">
        <v>4000</v>
      </c>
      <c r="AA264">
        <v>4000</v>
      </c>
      <c r="AC264">
        <v>256</v>
      </c>
      <c r="AD264" t="s">
        <v>91</v>
      </c>
      <c r="AE264">
        <v>0.15</v>
      </c>
      <c r="AF264" t="s">
        <v>92</v>
      </c>
      <c r="AG264">
        <v>180</v>
      </c>
      <c r="AH264">
        <v>60</v>
      </c>
      <c r="AI264">
        <v>120</v>
      </c>
      <c r="AJ264">
        <v>0.1140345688318332</v>
      </c>
      <c r="AK264">
        <v>28.030231580869959</v>
      </c>
      <c r="AL264">
        <v>0.73690614948879185</v>
      </c>
      <c r="AM264">
        <v>-0.12644361921422489</v>
      </c>
      <c r="AN264">
        <v>31.65617714273742</v>
      </c>
      <c r="AO264">
        <v>0.6721977042770777</v>
      </c>
      <c r="AP264">
        <v>31.65617714273742</v>
      </c>
      <c r="AQ264">
        <v>31.65617714273742</v>
      </c>
      <c r="AR264">
        <v>0.6721977042770777</v>
      </c>
      <c r="AS264">
        <v>115.00395563998779</v>
      </c>
      <c r="AT264">
        <v>-0.1138589548883893</v>
      </c>
      <c r="AU264">
        <v>0.8</v>
      </c>
      <c r="AV264" t="s">
        <v>93</v>
      </c>
      <c r="AW264">
        <v>7.034328496882479E-2</v>
      </c>
      <c r="AX264">
        <v>0.48921680017559982</v>
      </c>
      <c r="AY264">
        <v>7.034328496882479E-2</v>
      </c>
      <c r="AZ264">
        <v>7.034328496882479E-2</v>
      </c>
      <c r="BA264">
        <v>0.48921680017559982</v>
      </c>
      <c r="BB264">
        <v>0.162415162804736</v>
      </c>
      <c r="BC264">
        <v>-0.17934407803346469</v>
      </c>
      <c r="BD264">
        <v>8.6947382906480783E-2</v>
      </c>
      <c r="BE264">
        <v>0.69874588862592146</v>
      </c>
      <c r="BF264">
        <v>8.6947382906480783E-2</v>
      </c>
      <c r="BG264">
        <v>8.6947382906480783E-2</v>
      </c>
      <c r="BH264">
        <v>0.69874588862592146</v>
      </c>
      <c r="BI264">
        <v>0.26000397737820791</v>
      </c>
      <c r="BJ264">
        <v>9.9141750556821173E-2</v>
      </c>
      <c r="BK264">
        <v>3.4703126922121762E-2</v>
      </c>
      <c r="BL264">
        <v>0.86067792207283056</v>
      </c>
      <c r="BM264">
        <v>3.4703126922121762E-2</v>
      </c>
      <c r="BN264">
        <v>3.4703126922121762E-2</v>
      </c>
      <c r="BO264">
        <v>0.86067792207283056</v>
      </c>
      <c r="BP264">
        <v>0.26600021640528348</v>
      </c>
      <c r="BQ264">
        <v>-6.7906732492076127E-2</v>
      </c>
      <c r="BR264">
        <v>126.4327147761518</v>
      </c>
      <c r="BS264">
        <v>0.64015020623396146</v>
      </c>
      <c r="BT264">
        <v>126.4327147761518</v>
      </c>
      <c r="BU264">
        <v>126.4327147761518</v>
      </c>
      <c r="BV264">
        <v>0.64015020623396146</v>
      </c>
      <c r="BW264">
        <v>459.32740320336262</v>
      </c>
      <c r="BX264">
        <v>-0.30732675958483369</v>
      </c>
      <c r="BY264" t="str">
        <f t="shared" si="11"/>
        <v>[[sv,wv],[yr],[ya]]</v>
      </c>
      <c r="BZ264" t="str">
        <f>SUBSTITUTE(TRIM(MID(SUBSTITUTE(SUBSTITUTE(SUBSTITUTE(Tabla1[[#This Row],[map]],"[",""),"]",""),",",REPT(" ",100)),901,200))," ",", ")</f>
        <v>2, 3</v>
      </c>
      <c r="CA264" t="str">
        <f>SUBSTITUTE(TRIM(MID(SUBSTITUTE(SUBSTITUTE(SUBSTITUTE(Tabla1[[#This Row],[map]],"[",""),"]",""),",",REPT(" ",100)),1501,200))," ",", ")</f>
        <v>3, 4</v>
      </c>
      <c r="CB264" t="str">
        <f>SUBSTITUTE(TRIM(MID(SUBSTITUTE(SUBSTITUTE(SUBSTITUTE(Tabla1[[#This Row],[map]],"[",""),"]",""),",",REPT(" ",100)),601,300))," ",", ")</f>
        <v>1, 4, 0</v>
      </c>
      <c r="CC264" t="str">
        <f>SUBSTITUTE(TRIM(MID(SUBSTITUTE(SUBSTITUTE(SUBSTITUTE(Tabla1[[#This Row],[map]],"[",""),"]",""),",",REPT(" ",100)),1201,300))," ",", ")</f>
        <v>1, 2, 0</v>
      </c>
      <c r="CD264" t="str">
        <f>SUBSTITUTE(TRIM(MID(SUBSTITUTE(SUBSTITUTE(SUBSTITUTE(Tabla1[[#This Row],[map]],"[",""),"]",""),",",REPT(" ",100)),1,300))," ",", ")</f>
        <v>2, 3, 4</v>
      </c>
      <c r="CE264" t="str">
        <f>SUBSTITUTE(TRIM(MID(SUBSTITUTE(SUBSTITUTE(SUBSTITUTE(Tabla1[[#This Row],[map]],"[",""),"]",""),",",REPT(" ",100)),1,600))," ",", ")</f>
        <v>2, 3, 4, 0, 1, -1</v>
      </c>
      <c r="CF264" t="str">
        <f>SUBSTITUTE(TRIM(MID(SUBSTITUTE(SUBSTITUTE(SUBSTITUTE(Tabla1[[#This Row],[map]],"[",""),"]",""),",",REPT(" ",100)),601,600))," ",", ")</f>
        <v>1, 4, 0, 2, 3, -1</v>
      </c>
      <c r="CG264" t="str">
        <f>SUBSTITUTE(TRIM(MID(SUBSTITUTE(SUBSTITUTE(SUBSTITUTE(Tabla1[[#This Row],[map]],"[",""),"]",""),",",REPT(" ",100)),1201,600))," ",", ")</f>
        <v>1, 2, 0, 3, 4, -1</v>
      </c>
    </row>
    <row r="265" spans="1:85" x14ac:dyDescent="0.3">
      <c r="A265" s="1">
        <v>46107.365057870367</v>
      </c>
      <c r="B265" t="s">
        <v>491</v>
      </c>
      <c r="C265">
        <v>4</v>
      </c>
      <c r="D265" t="s">
        <v>96</v>
      </c>
      <c r="E265" t="s">
        <v>78</v>
      </c>
      <c r="F265">
        <v>16590</v>
      </c>
      <c r="G265">
        <v>4.5</v>
      </c>
      <c r="H265" t="s">
        <v>79</v>
      </c>
      <c r="I265" t="s">
        <v>80</v>
      </c>
      <c r="J265">
        <v>5</v>
      </c>
      <c r="K265">
        <v>5</v>
      </c>
      <c r="L265" t="s">
        <v>81</v>
      </c>
      <c r="M265" t="s">
        <v>82</v>
      </c>
      <c r="N265" t="s">
        <v>83</v>
      </c>
      <c r="O265" t="s">
        <v>83</v>
      </c>
      <c r="P265" t="s">
        <v>84</v>
      </c>
      <c r="Q265" t="s">
        <v>408</v>
      </c>
      <c r="R265">
        <v>3</v>
      </c>
      <c r="S265" t="s">
        <v>86</v>
      </c>
      <c r="T265" t="s">
        <v>87</v>
      </c>
      <c r="U265" t="s">
        <v>88</v>
      </c>
      <c r="V265">
        <v>1</v>
      </c>
      <c r="W265" t="s">
        <v>409</v>
      </c>
      <c r="X265" t="s">
        <v>83</v>
      </c>
      <c r="Y265" t="s">
        <v>90</v>
      </c>
      <c r="Z265">
        <v>4000</v>
      </c>
      <c r="AA265">
        <v>4000</v>
      </c>
      <c r="AC265">
        <v>256</v>
      </c>
      <c r="AD265" t="s">
        <v>91</v>
      </c>
      <c r="AE265">
        <v>0.15</v>
      </c>
      <c r="AF265" t="s">
        <v>92</v>
      </c>
      <c r="AG265">
        <v>180</v>
      </c>
      <c r="AH265">
        <v>60</v>
      </c>
      <c r="AI265">
        <v>120</v>
      </c>
      <c r="AJ265">
        <v>8.3443187676694106E-2</v>
      </c>
      <c r="AK265">
        <v>14.457360977751399</v>
      </c>
      <c r="AL265">
        <v>0.82538601946488288</v>
      </c>
      <c r="AM265">
        <v>2.8447014646453911E-2</v>
      </c>
      <c r="AN265">
        <v>20.350207786355099</v>
      </c>
      <c r="AO265">
        <v>0.7485678901743682</v>
      </c>
      <c r="AP265">
        <v>20.350207786355099</v>
      </c>
      <c r="AQ265">
        <v>20.350207786355099</v>
      </c>
      <c r="AR265">
        <v>0.7485678901743682</v>
      </c>
      <c r="AS265">
        <v>74.193807865509612</v>
      </c>
      <c r="AT265">
        <v>0.1704842643325587</v>
      </c>
      <c r="AU265">
        <v>0.8</v>
      </c>
      <c r="AV265" t="s">
        <v>93</v>
      </c>
      <c r="AW265">
        <v>6.1768322968633847E-2</v>
      </c>
      <c r="AX265">
        <v>0.55148211136729774</v>
      </c>
      <c r="AY265">
        <v>6.1768322968633847E-2</v>
      </c>
      <c r="AZ265">
        <v>6.1768322968633847E-2</v>
      </c>
      <c r="BA265">
        <v>0.55148211136729774</v>
      </c>
      <c r="BB265">
        <v>0.2516798971063548</v>
      </c>
      <c r="BC265">
        <v>-0.82752146466337284</v>
      </c>
      <c r="BD265">
        <v>3.926871897369353E-2</v>
      </c>
      <c r="BE265">
        <v>0.86394227584811301</v>
      </c>
      <c r="BF265">
        <v>3.926871897369353E-2</v>
      </c>
      <c r="BG265">
        <v>3.926871897369353E-2</v>
      </c>
      <c r="BH265">
        <v>0.86394227584811301</v>
      </c>
      <c r="BI265">
        <v>8.3056584359750038E-2</v>
      </c>
      <c r="BJ265">
        <v>0.71222667458576616</v>
      </c>
      <c r="BK265">
        <v>4.7299842022351463E-2</v>
      </c>
      <c r="BL265">
        <v>0.81010609531038924</v>
      </c>
      <c r="BM265">
        <v>4.7299842022351463E-2</v>
      </c>
      <c r="BN265">
        <v>4.7299842022351463E-2</v>
      </c>
      <c r="BO265">
        <v>0.81010609531038924</v>
      </c>
      <c r="BP265">
        <v>8.9496707058066546E-2</v>
      </c>
      <c r="BQ265">
        <v>0.64069902914078236</v>
      </c>
      <c r="BR265">
        <v>81.252494261455595</v>
      </c>
      <c r="BS265">
        <v>0.76874107817167481</v>
      </c>
      <c r="BT265">
        <v>81.252494261455595</v>
      </c>
      <c r="BU265">
        <v>81.252494261455595</v>
      </c>
      <c r="BV265">
        <v>0.76874107817167481</v>
      </c>
      <c r="BW265">
        <v>296.35099827351502</v>
      </c>
      <c r="BX265">
        <v>0.15653281826707091</v>
      </c>
      <c r="BY265" t="str">
        <f t="shared" si="11"/>
        <v>[[sv,wv],[yr],[ya]]</v>
      </c>
      <c r="BZ265" t="str">
        <f>SUBSTITUTE(TRIM(MID(SUBSTITUTE(SUBSTITUTE(SUBSTITUTE(Tabla1[[#This Row],[map]],"[",""),"]",""),",",REPT(" ",100)),901,200))," ",", ")</f>
        <v>2, 3</v>
      </c>
      <c r="CA265" t="str">
        <f>SUBSTITUTE(TRIM(MID(SUBSTITUTE(SUBSTITUTE(SUBSTITUTE(Tabla1[[#This Row],[map]],"[",""),"]",""),",",REPT(" ",100)),1501,200))," ",", ")</f>
        <v>3, 4</v>
      </c>
      <c r="CB265" t="str">
        <f>SUBSTITUTE(TRIM(MID(SUBSTITUTE(SUBSTITUTE(SUBSTITUTE(Tabla1[[#This Row],[map]],"[",""),"]",""),",",REPT(" ",100)),601,300))," ",", ")</f>
        <v>1, 4, 0</v>
      </c>
      <c r="CC265" t="str">
        <f>SUBSTITUTE(TRIM(MID(SUBSTITUTE(SUBSTITUTE(SUBSTITUTE(Tabla1[[#This Row],[map]],"[",""),"]",""),",",REPT(" ",100)),1201,300))," ",", ")</f>
        <v>1, 2, 0</v>
      </c>
      <c r="CD265" t="str">
        <f>SUBSTITUTE(TRIM(MID(SUBSTITUTE(SUBSTITUTE(SUBSTITUTE(Tabla1[[#This Row],[map]],"[",""),"]",""),",",REPT(" ",100)),1,300))," ",", ")</f>
        <v>2, 3, 4</v>
      </c>
      <c r="CE265" t="str">
        <f>SUBSTITUTE(TRIM(MID(SUBSTITUTE(SUBSTITUTE(SUBSTITUTE(Tabla1[[#This Row],[map]],"[",""),"]",""),",",REPT(" ",100)),1,600))," ",", ")</f>
        <v>2, 3, 4, 0, 1, -1</v>
      </c>
      <c r="CF265" t="str">
        <f>SUBSTITUTE(TRIM(MID(SUBSTITUTE(SUBSTITUTE(SUBSTITUTE(Tabla1[[#This Row],[map]],"[",""),"]",""),",",REPT(" ",100)),601,600))," ",", ")</f>
        <v>1, 4, 0, 2, 3, -1</v>
      </c>
      <c r="CG265" t="str">
        <f>SUBSTITUTE(TRIM(MID(SUBSTITUTE(SUBSTITUTE(SUBSTITUTE(Tabla1[[#This Row],[map]],"[",""),"]",""),",",REPT(" ",100)),1201,600))," ",", ")</f>
        <v>1, 2, 0, 3, 4, -1</v>
      </c>
    </row>
    <row r="266" spans="1:85" x14ac:dyDescent="0.3">
      <c r="A266" s="1">
        <v>46107.397060185183</v>
      </c>
      <c r="B266" t="s">
        <v>492</v>
      </c>
      <c r="C266">
        <v>0</v>
      </c>
      <c r="D266" t="s">
        <v>77</v>
      </c>
      <c r="E266" t="s">
        <v>78</v>
      </c>
      <c r="F266">
        <v>16590</v>
      </c>
      <c r="G266">
        <v>4.5</v>
      </c>
      <c r="H266" t="s">
        <v>79</v>
      </c>
      <c r="I266" t="s">
        <v>80</v>
      </c>
      <c r="J266">
        <v>5</v>
      </c>
      <c r="K266">
        <v>5</v>
      </c>
      <c r="L266" t="s">
        <v>81</v>
      </c>
      <c r="M266" t="s">
        <v>82</v>
      </c>
      <c r="N266" t="s">
        <v>83</v>
      </c>
      <c r="O266" t="s">
        <v>83</v>
      </c>
      <c r="P266" t="s">
        <v>84</v>
      </c>
      <c r="Q266" t="s">
        <v>493</v>
      </c>
      <c r="R266">
        <v>3</v>
      </c>
      <c r="S266" t="s">
        <v>86</v>
      </c>
      <c r="T266" t="s">
        <v>87</v>
      </c>
      <c r="U266" t="s">
        <v>88</v>
      </c>
      <c r="V266">
        <v>1</v>
      </c>
      <c r="W266" t="s">
        <v>494</v>
      </c>
      <c r="X266" t="s">
        <v>83</v>
      </c>
      <c r="Y266" t="s">
        <v>90</v>
      </c>
      <c r="Z266">
        <v>4000</v>
      </c>
      <c r="AA266">
        <v>4000</v>
      </c>
      <c r="AC266">
        <v>256</v>
      </c>
      <c r="AD266" t="s">
        <v>91</v>
      </c>
      <c r="AE266">
        <v>0.15</v>
      </c>
      <c r="AF266" t="s">
        <v>92</v>
      </c>
      <c r="AG266">
        <v>180</v>
      </c>
      <c r="AH266">
        <v>60</v>
      </c>
      <c r="AI266">
        <v>120</v>
      </c>
      <c r="AJ266">
        <v>0.10222775248158721</v>
      </c>
      <c r="AK266">
        <v>20.00819510021757</v>
      </c>
      <c r="AL266">
        <v>0.76328115475758462</v>
      </c>
      <c r="AM266">
        <v>0.15006379519647159</v>
      </c>
      <c r="AN266">
        <v>27.75590586410636</v>
      </c>
      <c r="AO266">
        <v>0.69892394855359052</v>
      </c>
      <c r="AP266">
        <v>27.75590586410636</v>
      </c>
      <c r="AQ266">
        <v>27.75590586410636</v>
      </c>
      <c r="AR266">
        <v>0.69892394855359052</v>
      </c>
      <c r="AS266">
        <v>102.89607302171861</v>
      </c>
      <c r="AT266">
        <v>0.18297152349706619</v>
      </c>
      <c r="AU266">
        <v>0.8</v>
      </c>
      <c r="AV266" t="s">
        <v>93</v>
      </c>
      <c r="AW266">
        <v>6.5836248648270146E-2</v>
      </c>
      <c r="AX266">
        <v>0.52194371127390804</v>
      </c>
      <c r="AY266">
        <v>6.5836248648270146E-2</v>
      </c>
      <c r="AZ266">
        <v>6.5836248648270146E-2</v>
      </c>
      <c r="BA266">
        <v>0.52194371127390804</v>
      </c>
      <c r="BB266">
        <v>8.2065797991931158E-2</v>
      </c>
      <c r="BC266">
        <v>0.40409619890457399</v>
      </c>
      <c r="BD266">
        <v>8.6984438221333837E-2</v>
      </c>
      <c r="BE266">
        <v>0.69861749987430422</v>
      </c>
      <c r="BF266">
        <v>8.6984438221333837E-2</v>
      </c>
      <c r="BG266">
        <v>8.6984438221333837E-2</v>
      </c>
      <c r="BH266">
        <v>0.69861749987430422</v>
      </c>
      <c r="BI266">
        <v>0.1449626251675529</v>
      </c>
      <c r="BJ266">
        <v>0.49773546520340728</v>
      </c>
      <c r="BK266">
        <v>2.7246259947566919E-2</v>
      </c>
      <c r="BL266">
        <v>0.89061488435444003</v>
      </c>
      <c r="BM266">
        <v>2.7246259947566919E-2</v>
      </c>
      <c r="BN266">
        <v>2.7246259947566919E-2</v>
      </c>
      <c r="BO266">
        <v>0.89061488435444003</v>
      </c>
      <c r="BP266">
        <v>0.2490505356685955</v>
      </c>
      <c r="BQ266">
        <v>1.4087444942267879E-4</v>
      </c>
      <c r="BR266">
        <v>110.8435565096085</v>
      </c>
      <c r="BS266">
        <v>0.6845196987117097</v>
      </c>
      <c r="BT266">
        <v>110.8435565096085</v>
      </c>
      <c r="BU266">
        <v>110.8435565096085</v>
      </c>
      <c r="BV266">
        <v>0.6845196987117097</v>
      </c>
      <c r="BW266">
        <v>411.10821312804683</v>
      </c>
      <c r="BX266">
        <v>-0.17008644456914501</v>
      </c>
      <c r="BY266" t="str">
        <f t="shared" si="11"/>
        <v>[[sv,wv],[yr],[ya]]</v>
      </c>
      <c r="BZ266" t="str">
        <f>SUBSTITUTE(TRIM(MID(SUBSTITUTE(SUBSTITUTE(SUBSTITUTE(Tabla1[[#This Row],[map]],"[",""),"]",""),",",REPT(" ",100)),901,200))," ",", ")</f>
        <v>2, 3</v>
      </c>
      <c r="CA266" t="str">
        <f>SUBSTITUTE(TRIM(MID(SUBSTITUTE(SUBSTITUTE(SUBSTITUTE(Tabla1[[#This Row],[map]],"[",""),"]",""),",",REPT(" ",100)),1501,200))," ",", ")</f>
        <v>3, 4</v>
      </c>
      <c r="CB266" t="str">
        <f>SUBSTITUTE(TRIM(MID(SUBSTITUTE(SUBSTITUTE(SUBSTITUTE(Tabla1[[#This Row],[map]],"[",""),"]",""),",",REPT(" ",100)),601,300))," ",", ")</f>
        <v>1, 4, 0</v>
      </c>
      <c r="CC266" t="str">
        <f>SUBSTITUTE(TRIM(MID(SUBSTITUTE(SUBSTITUTE(SUBSTITUTE(Tabla1[[#This Row],[map]],"[",""),"]",""),",",REPT(" ",100)),1201,300))," ",", ")</f>
        <v>1, 2, 0</v>
      </c>
      <c r="CD266" t="str">
        <f>SUBSTITUTE(TRIM(MID(SUBSTITUTE(SUBSTITUTE(SUBSTITUTE(Tabla1[[#This Row],[map]],"[",""),"]",""),",",REPT(" ",100)),1,300))," ",", ")</f>
        <v>4, 2, 3</v>
      </c>
      <c r="CE266" t="str">
        <f>SUBSTITUTE(TRIM(MID(SUBSTITUTE(SUBSTITUTE(SUBSTITUTE(Tabla1[[#This Row],[map]],"[",""),"]",""),",",REPT(" ",100)),1,600))," ",", ")</f>
        <v>4, 2, 3, 0, 1, -1</v>
      </c>
      <c r="CF266" t="str">
        <f>SUBSTITUTE(TRIM(MID(SUBSTITUTE(SUBSTITUTE(SUBSTITUTE(Tabla1[[#This Row],[map]],"[",""),"]",""),",",REPT(" ",100)),601,600))," ",", ")</f>
        <v>1, 4, 0, 2, 3, -1</v>
      </c>
      <c r="CG266" t="str">
        <f>SUBSTITUTE(TRIM(MID(SUBSTITUTE(SUBSTITUTE(SUBSTITUTE(Tabla1[[#This Row],[map]],"[",""),"]",""),",",REPT(" ",100)),1201,600))," ",", ")</f>
        <v>1, 2, 0, 3, 4, -1</v>
      </c>
    </row>
    <row r="267" spans="1:85" x14ac:dyDescent="0.3">
      <c r="A267" s="1">
        <v>46107.479363425933</v>
      </c>
      <c r="B267" t="s">
        <v>495</v>
      </c>
      <c r="C267">
        <v>1</v>
      </c>
      <c r="D267" t="s">
        <v>96</v>
      </c>
      <c r="E267" t="s">
        <v>78</v>
      </c>
      <c r="F267">
        <v>16590</v>
      </c>
      <c r="G267">
        <v>4.5</v>
      </c>
      <c r="H267" t="s">
        <v>79</v>
      </c>
      <c r="I267" t="s">
        <v>80</v>
      </c>
      <c r="J267">
        <v>5</v>
      </c>
      <c r="K267">
        <v>5</v>
      </c>
      <c r="L267" t="s">
        <v>81</v>
      </c>
      <c r="M267" t="s">
        <v>82</v>
      </c>
      <c r="N267" t="s">
        <v>83</v>
      </c>
      <c r="O267" t="s">
        <v>83</v>
      </c>
      <c r="P267" t="s">
        <v>84</v>
      </c>
      <c r="Q267" t="s">
        <v>477</v>
      </c>
      <c r="R267">
        <v>3</v>
      </c>
      <c r="S267" t="s">
        <v>86</v>
      </c>
      <c r="T267" t="s">
        <v>87</v>
      </c>
      <c r="U267" t="s">
        <v>88</v>
      </c>
      <c r="V267">
        <v>1</v>
      </c>
      <c r="W267" t="s">
        <v>478</v>
      </c>
      <c r="X267" t="s">
        <v>83</v>
      </c>
      <c r="Y267" t="s">
        <v>90</v>
      </c>
      <c r="Z267">
        <v>4000</v>
      </c>
      <c r="AA267">
        <v>4000</v>
      </c>
      <c r="AC267">
        <v>256</v>
      </c>
      <c r="AD267" t="s">
        <v>91</v>
      </c>
      <c r="AE267">
        <v>0.15</v>
      </c>
      <c r="AF267" t="s">
        <v>92</v>
      </c>
      <c r="AG267">
        <v>180</v>
      </c>
      <c r="AH267">
        <v>60</v>
      </c>
      <c r="AI267">
        <v>120</v>
      </c>
      <c r="AJ267">
        <v>0.1140952023135772</v>
      </c>
      <c r="AK267">
        <v>14.229934668792151</v>
      </c>
      <c r="AL267">
        <v>0.67730508114373622</v>
      </c>
      <c r="AM267">
        <v>-0.14575948857205309</v>
      </c>
      <c r="AN267">
        <v>19.220595685332199</v>
      </c>
      <c r="AO267">
        <v>0.66846594704911677</v>
      </c>
      <c r="AP267">
        <v>19.220595685332199</v>
      </c>
      <c r="AQ267">
        <v>19.220595685332199</v>
      </c>
      <c r="AR267">
        <v>0.66846594704911677</v>
      </c>
      <c r="AS267">
        <v>125.6942175944352</v>
      </c>
      <c r="AT267">
        <v>-0.1434505183304817</v>
      </c>
      <c r="AU267">
        <v>0.8</v>
      </c>
      <c r="AV267" t="s">
        <v>93</v>
      </c>
      <c r="AW267">
        <v>8.7346207509414672E-2</v>
      </c>
      <c r="AX267">
        <v>0.36575359845708588</v>
      </c>
      <c r="AY267">
        <v>8.7346207509414672E-2</v>
      </c>
      <c r="AZ267">
        <v>8.7346207509414672E-2</v>
      </c>
      <c r="BA267">
        <v>0.36575359845708588</v>
      </c>
      <c r="BB267">
        <v>0.12992050907564459</v>
      </c>
      <c r="BC267">
        <v>5.660912227964332E-2</v>
      </c>
      <c r="BD267">
        <v>8.9675385675256208E-2</v>
      </c>
      <c r="BE267">
        <v>0.68929394168443148</v>
      </c>
      <c r="BF267">
        <v>8.9675385675256208E-2</v>
      </c>
      <c r="BG267">
        <v>8.9675385675256208E-2</v>
      </c>
      <c r="BH267">
        <v>0.68929394168443148</v>
      </c>
      <c r="BI267">
        <v>0.2288890290526554</v>
      </c>
      <c r="BJ267">
        <v>0.20694840091163039</v>
      </c>
      <c r="BK267">
        <v>4.0596552487121559E-2</v>
      </c>
      <c r="BL267">
        <v>0.83701768253108866</v>
      </c>
      <c r="BM267">
        <v>4.0596552487121559E-2</v>
      </c>
      <c r="BN267">
        <v>4.0596552487121559E-2</v>
      </c>
      <c r="BO267">
        <v>0.83701768253108866</v>
      </c>
      <c r="BP267">
        <v>0.35080912964122302</v>
      </c>
      <c r="BQ267">
        <v>-0.40838769391356911</v>
      </c>
      <c r="BR267">
        <v>76.664764595657132</v>
      </c>
      <c r="BS267">
        <v>0.78179856552385896</v>
      </c>
      <c r="BT267">
        <v>76.664764595657132</v>
      </c>
      <c r="BU267">
        <v>76.664764595657132</v>
      </c>
      <c r="BV267">
        <v>0.78179856552385896</v>
      </c>
      <c r="BW267">
        <v>502.06725170997203</v>
      </c>
      <c r="BX267">
        <v>-0.42897190259963919</v>
      </c>
      <c r="BY267" t="str">
        <f t="shared" si="11"/>
        <v>[[sv,wv],[yr],[ya]]</v>
      </c>
      <c r="BZ267" t="str">
        <f>SUBSTITUTE(TRIM(MID(SUBSTITUTE(SUBSTITUTE(SUBSTITUTE(Tabla1[[#This Row],[map]],"[",""),"]",""),",",REPT(" ",100)),901,200))," ",", ")</f>
        <v>2, 3</v>
      </c>
      <c r="CA267" t="str">
        <f>SUBSTITUTE(TRIM(MID(SUBSTITUTE(SUBSTITUTE(SUBSTITUTE(Tabla1[[#This Row],[map]],"[",""),"]",""),",",REPT(" ",100)),1501,200))," ",", ")</f>
        <v>3, 2</v>
      </c>
      <c r="CB267" t="str">
        <f>SUBSTITUTE(TRIM(MID(SUBSTITUTE(SUBSTITUTE(SUBSTITUTE(Tabla1[[#This Row],[map]],"[",""),"]",""),",",REPT(" ",100)),601,300))," ",", ")</f>
        <v>1, 4, 0</v>
      </c>
      <c r="CC267" t="str">
        <f>SUBSTITUTE(TRIM(MID(SUBSTITUTE(SUBSTITUTE(SUBSTITUTE(Tabla1[[#This Row],[map]],"[",""),"]",""),",",REPT(" ",100)),1201,300))," ",", ")</f>
        <v>1, 4, 0</v>
      </c>
      <c r="CD267" t="str">
        <f>SUBSTITUTE(TRIM(MID(SUBSTITUTE(SUBSTITUTE(SUBSTITUTE(Tabla1[[#This Row],[map]],"[",""),"]",""),",",REPT(" ",100)),1,300))," ",", ")</f>
        <v>4, 2, 3</v>
      </c>
      <c r="CE267" t="str">
        <f>SUBSTITUTE(TRIM(MID(SUBSTITUTE(SUBSTITUTE(SUBSTITUTE(Tabla1[[#This Row],[map]],"[",""),"]",""),",",REPT(" ",100)),1,600))," ",", ")</f>
        <v>4, 2, 3, 0, 1, -1</v>
      </c>
      <c r="CF267" t="str">
        <f>SUBSTITUTE(TRIM(MID(SUBSTITUTE(SUBSTITUTE(SUBSTITUTE(Tabla1[[#This Row],[map]],"[",""),"]",""),",",REPT(" ",100)),601,600))," ",", ")</f>
        <v>1, 4, 0, 2, 3, -1</v>
      </c>
      <c r="CG267" t="str">
        <f>SUBSTITUTE(TRIM(MID(SUBSTITUTE(SUBSTITUTE(SUBSTITUTE(Tabla1[[#This Row],[map]],"[",""),"]",""),",",REPT(" ",100)),1201,600))," ",", ")</f>
        <v>1, 4, 0, 3, 2, -1</v>
      </c>
    </row>
    <row r="268" spans="1:85" x14ac:dyDescent="0.3">
      <c r="A268" s="1">
        <v>46107.519699074073</v>
      </c>
      <c r="B268" t="s">
        <v>496</v>
      </c>
      <c r="C268">
        <v>3</v>
      </c>
      <c r="D268" t="s">
        <v>96</v>
      </c>
      <c r="E268" t="s">
        <v>78</v>
      </c>
      <c r="F268">
        <v>16590</v>
      </c>
      <c r="G268">
        <v>4.5</v>
      </c>
      <c r="H268" t="s">
        <v>79</v>
      </c>
      <c r="I268" t="s">
        <v>80</v>
      </c>
      <c r="J268">
        <v>5</v>
      </c>
      <c r="K268">
        <v>5</v>
      </c>
      <c r="L268" t="s">
        <v>81</v>
      </c>
      <c r="M268" t="s">
        <v>82</v>
      </c>
      <c r="N268" t="s">
        <v>83</v>
      </c>
      <c r="O268" t="s">
        <v>83</v>
      </c>
      <c r="P268" t="s">
        <v>84</v>
      </c>
      <c r="Q268" t="s">
        <v>435</v>
      </c>
      <c r="R268">
        <v>3</v>
      </c>
      <c r="S268" t="s">
        <v>86</v>
      </c>
      <c r="T268" t="s">
        <v>87</v>
      </c>
      <c r="U268" t="s">
        <v>88</v>
      </c>
      <c r="V268">
        <v>1</v>
      </c>
      <c r="W268" t="s">
        <v>436</v>
      </c>
      <c r="X268" t="s">
        <v>83</v>
      </c>
      <c r="Y268" t="s">
        <v>90</v>
      </c>
      <c r="Z268">
        <v>4000</v>
      </c>
      <c r="AA268">
        <v>4000</v>
      </c>
      <c r="AC268">
        <v>256</v>
      </c>
      <c r="AD268" t="s">
        <v>91</v>
      </c>
      <c r="AE268">
        <v>0.15</v>
      </c>
      <c r="AF268" t="s">
        <v>92</v>
      </c>
      <c r="AG268">
        <v>180</v>
      </c>
      <c r="AH268">
        <v>60</v>
      </c>
      <c r="AI268">
        <v>120</v>
      </c>
      <c r="AJ268">
        <v>9.9005546979515968E-2</v>
      </c>
      <c r="AK268">
        <v>15.87959634705371</v>
      </c>
      <c r="AL268">
        <v>0.77142202756128175</v>
      </c>
      <c r="AM268">
        <v>-0.13444055892733089</v>
      </c>
      <c r="AN268">
        <v>21.47547448227235</v>
      </c>
      <c r="AO268">
        <v>0.7157658183029787</v>
      </c>
      <c r="AP268">
        <v>21.47547448227235</v>
      </c>
      <c r="AQ268">
        <v>21.47547448227235</v>
      </c>
      <c r="AR268">
        <v>0.7157658183029787</v>
      </c>
      <c r="AS268">
        <v>123.1829110784828</v>
      </c>
      <c r="AT268">
        <v>-0.19633859206003801</v>
      </c>
      <c r="AU268">
        <v>0.8</v>
      </c>
      <c r="AV268" t="s">
        <v>93</v>
      </c>
      <c r="AW268">
        <v>7.0030345065563687E-2</v>
      </c>
      <c r="AX268">
        <v>0.49148914849159447</v>
      </c>
      <c r="AY268">
        <v>7.0030345065563687E-2</v>
      </c>
      <c r="AZ268">
        <v>7.0030345065563687E-2</v>
      </c>
      <c r="BA268">
        <v>0.49148914849159447</v>
      </c>
      <c r="BB268">
        <v>0.14874096768560591</v>
      </c>
      <c r="BC268">
        <v>-8.0051741301281565E-2</v>
      </c>
      <c r="BD268">
        <v>6.6781972309991236E-2</v>
      </c>
      <c r="BE268">
        <v>0.76861472937381337</v>
      </c>
      <c r="BF268">
        <v>6.6781972309991236E-2</v>
      </c>
      <c r="BG268">
        <v>6.6781972309991236E-2</v>
      </c>
      <c r="BH268">
        <v>0.76861472937381337</v>
      </c>
      <c r="BI268">
        <v>0.30572090521165057</v>
      </c>
      <c r="BJ268">
        <v>-5.9257640072682083E-2</v>
      </c>
      <c r="BK268">
        <v>3.8121696487636282E-2</v>
      </c>
      <c r="BL268">
        <v>0.84695344656735516</v>
      </c>
      <c r="BM268">
        <v>3.8121696487636282E-2</v>
      </c>
      <c r="BN268">
        <v>3.8121696487636282E-2</v>
      </c>
      <c r="BO268">
        <v>0.84695344656735516</v>
      </c>
      <c r="BP268">
        <v>0.31031599371263291</v>
      </c>
      <c r="BQ268">
        <v>-0.2458205612163071</v>
      </c>
      <c r="BR268">
        <v>85.726963915226165</v>
      </c>
      <c r="BS268">
        <v>0.75600594877915583</v>
      </c>
      <c r="BT268">
        <v>85.726963915226165</v>
      </c>
      <c r="BU268">
        <v>85.726963915226165</v>
      </c>
      <c r="BV268">
        <v>0.75600594877915583</v>
      </c>
      <c r="BW268">
        <v>491.96686644732108</v>
      </c>
      <c r="BX268">
        <v>-0.40022442564988392</v>
      </c>
      <c r="BY268" t="str">
        <f t="shared" si="11"/>
        <v>[[sv,wv],[yr],[ya]]</v>
      </c>
      <c r="BZ268" t="str">
        <f>SUBSTITUTE(TRIM(MID(SUBSTITUTE(SUBSTITUTE(SUBSTITUTE(Tabla1[[#This Row],[map]],"[",""),"]",""),",",REPT(" ",100)),901,200))," ",", ")</f>
        <v>2, 4</v>
      </c>
      <c r="CA268" t="str">
        <f>SUBSTITUTE(TRIM(MID(SUBSTITUTE(SUBSTITUTE(SUBSTITUTE(Tabla1[[#This Row],[map]],"[",""),"]",""),",",REPT(" ",100)),1501,200))," ",", ")</f>
        <v>3, 4</v>
      </c>
      <c r="CB268" t="str">
        <f>SUBSTITUTE(TRIM(MID(SUBSTITUTE(SUBSTITUTE(SUBSTITUTE(Tabla1[[#This Row],[map]],"[",""),"]",""),",",REPT(" ",100)),601,300))," ",", ")</f>
        <v>1, 3, 0</v>
      </c>
      <c r="CC268" t="str">
        <f>SUBSTITUTE(TRIM(MID(SUBSTITUTE(SUBSTITUTE(SUBSTITUTE(Tabla1[[#This Row],[map]],"[",""),"]",""),",",REPT(" ",100)),1201,300))," ",", ")</f>
        <v>1, 2, 0</v>
      </c>
      <c r="CD268" t="str">
        <f>SUBSTITUTE(TRIM(MID(SUBSTITUTE(SUBSTITUTE(SUBSTITUTE(Tabla1[[#This Row],[map]],"[",""),"]",""),",",REPT(" ",100)),1,300))," ",", ")</f>
        <v>2, 3, 4</v>
      </c>
      <c r="CE268" t="str">
        <f>SUBSTITUTE(TRIM(MID(SUBSTITUTE(SUBSTITUTE(SUBSTITUTE(Tabla1[[#This Row],[map]],"[",""),"]",""),",",REPT(" ",100)),1,600))," ",", ")</f>
        <v>2, 3, 4, 0, 1, -1</v>
      </c>
      <c r="CF268" t="str">
        <f>SUBSTITUTE(TRIM(MID(SUBSTITUTE(SUBSTITUTE(SUBSTITUTE(Tabla1[[#This Row],[map]],"[",""),"]",""),",",REPT(" ",100)),601,600))," ",", ")</f>
        <v>1, 3, 0, 2, 4, -1</v>
      </c>
      <c r="CG268" t="str">
        <f>SUBSTITUTE(TRIM(MID(SUBSTITUTE(SUBSTITUTE(SUBSTITUTE(Tabla1[[#This Row],[map]],"[",""),"]",""),",",REPT(" ",100)),1201,600))," ",", ")</f>
        <v>1, 2, 0, 3, 4, -1</v>
      </c>
    </row>
    <row r="269" spans="1:85" x14ac:dyDescent="0.3">
      <c r="A269" s="1">
        <v>46107.526284722233</v>
      </c>
      <c r="B269" t="s">
        <v>497</v>
      </c>
      <c r="C269">
        <v>2</v>
      </c>
      <c r="D269" t="s">
        <v>96</v>
      </c>
      <c r="E269" t="s">
        <v>78</v>
      </c>
      <c r="F269">
        <v>16590</v>
      </c>
      <c r="G269">
        <v>4.5</v>
      </c>
      <c r="H269" t="s">
        <v>79</v>
      </c>
      <c r="I269" t="s">
        <v>80</v>
      </c>
      <c r="J269">
        <v>5</v>
      </c>
      <c r="K269">
        <v>5</v>
      </c>
      <c r="L269" t="s">
        <v>81</v>
      </c>
      <c r="M269" t="s">
        <v>82</v>
      </c>
      <c r="N269" t="s">
        <v>83</v>
      </c>
      <c r="O269" t="s">
        <v>83</v>
      </c>
      <c r="P269" t="s">
        <v>84</v>
      </c>
      <c r="Q269" t="s">
        <v>435</v>
      </c>
      <c r="R269">
        <v>3</v>
      </c>
      <c r="S269" t="s">
        <v>86</v>
      </c>
      <c r="T269" t="s">
        <v>87</v>
      </c>
      <c r="U269" t="s">
        <v>88</v>
      </c>
      <c r="V269">
        <v>1</v>
      </c>
      <c r="W269" t="s">
        <v>436</v>
      </c>
      <c r="X269" t="s">
        <v>83</v>
      </c>
      <c r="Y269" t="s">
        <v>90</v>
      </c>
      <c r="Z269">
        <v>4000</v>
      </c>
      <c r="AA269">
        <v>4000</v>
      </c>
      <c r="AC269">
        <v>256</v>
      </c>
      <c r="AD269" t="s">
        <v>91</v>
      </c>
      <c r="AE269">
        <v>0.15</v>
      </c>
      <c r="AF269" t="s">
        <v>92</v>
      </c>
      <c r="AG269">
        <v>180</v>
      </c>
      <c r="AH269">
        <v>60</v>
      </c>
      <c r="AI269">
        <v>120</v>
      </c>
      <c r="AJ269">
        <v>9.1536042686096789E-2</v>
      </c>
      <c r="AK269">
        <v>13.210082200279439</v>
      </c>
      <c r="AL269">
        <v>0.76468373172956527</v>
      </c>
      <c r="AM269">
        <v>-0.35001005470587671</v>
      </c>
      <c r="AN269">
        <v>18.94599088461219</v>
      </c>
      <c r="AO269">
        <v>0.7113430126707776</v>
      </c>
      <c r="AP269">
        <v>18.94599088461219</v>
      </c>
      <c r="AQ269">
        <v>18.94599088461219</v>
      </c>
      <c r="AR269">
        <v>0.7113430126707776</v>
      </c>
      <c r="AS269">
        <v>108.18040036664981</v>
      </c>
      <c r="AT269">
        <v>-0.31277273849537179</v>
      </c>
      <c r="AU269">
        <v>0.8</v>
      </c>
      <c r="AV269" t="s">
        <v>93</v>
      </c>
      <c r="AW269">
        <v>5.7474448422430838E-2</v>
      </c>
      <c r="AX269">
        <v>0.58266119237447755</v>
      </c>
      <c r="AY269">
        <v>5.7474448422430838E-2</v>
      </c>
      <c r="AZ269">
        <v>5.7474448422430838E-2</v>
      </c>
      <c r="BA269">
        <v>0.58266119237447755</v>
      </c>
      <c r="BB269">
        <v>0.18140643103053519</v>
      </c>
      <c r="BC269">
        <v>-0.3172452402751238</v>
      </c>
      <c r="BD269">
        <v>7.740215233429748E-2</v>
      </c>
      <c r="BE269">
        <v>0.73181807386899722</v>
      </c>
      <c r="BF269">
        <v>7.740215233429748E-2</v>
      </c>
      <c r="BG269">
        <v>7.740215233429748E-2</v>
      </c>
      <c r="BH269">
        <v>0.73181807386899722</v>
      </c>
      <c r="BI269">
        <v>0.41960865118317331</v>
      </c>
      <c r="BJ269">
        <v>-0.45385435549021502</v>
      </c>
      <c r="BK269">
        <v>6.326192857063366E-2</v>
      </c>
      <c r="BL269">
        <v>0.74602336665741675</v>
      </c>
      <c r="BM269">
        <v>6.326192857063366E-2</v>
      </c>
      <c r="BN269">
        <v>6.326192857063366E-2</v>
      </c>
      <c r="BO269">
        <v>0.74602336665741675</v>
      </c>
      <c r="BP269">
        <v>0.31160284745036543</v>
      </c>
      <c r="BQ269">
        <v>-0.2509868719390147</v>
      </c>
      <c r="BR269">
        <v>75.58582500912155</v>
      </c>
      <c r="BS269">
        <v>0.7848694177822183</v>
      </c>
      <c r="BT269">
        <v>75.58582500912155</v>
      </c>
      <c r="BU269">
        <v>75.58582500912155</v>
      </c>
      <c r="BV269">
        <v>0.7848694177822183</v>
      </c>
      <c r="BW269">
        <v>431.80898353693601</v>
      </c>
      <c r="BX269">
        <v>-0.22900448627714409</v>
      </c>
      <c r="BY269" t="str">
        <f t="shared" si="11"/>
        <v>[[sv,wv],[yr],[ya]]</v>
      </c>
      <c r="BZ269" t="str">
        <f>SUBSTITUTE(TRIM(MID(SUBSTITUTE(SUBSTITUTE(SUBSTITUTE(Tabla1[[#This Row],[map]],"[",""),"]",""),",",REPT(" ",100)),901,200))," ",", ")</f>
        <v>2, 4</v>
      </c>
      <c r="CA269" t="str">
        <f>SUBSTITUTE(TRIM(MID(SUBSTITUTE(SUBSTITUTE(SUBSTITUTE(Tabla1[[#This Row],[map]],"[",""),"]",""),",",REPT(" ",100)),1501,200))," ",", ")</f>
        <v>3, 4</v>
      </c>
      <c r="CB269" t="str">
        <f>SUBSTITUTE(TRIM(MID(SUBSTITUTE(SUBSTITUTE(SUBSTITUTE(Tabla1[[#This Row],[map]],"[",""),"]",""),",",REPT(" ",100)),601,300))," ",", ")</f>
        <v>1, 3, 0</v>
      </c>
      <c r="CC269" t="str">
        <f>SUBSTITUTE(TRIM(MID(SUBSTITUTE(SUBSTITUTE(SUBSTITUTE(Tabla1[[#This Row],[map]],"[",""),"]",""),",",REPT(" ",100)),1201,300))," ",", ")</f>
        <v>1, 2, 0</v>
      </c>
      <c r="CD269" t="str">
        <f>SUBSTITUTE(TRIM(MID(SUBSTITUTE(SUBSTITUTE(SUBSTITUTE(Tabla1[[#This Row],[map]],"[",""),"]",""),",",REPT(" ",100)),1,300))," ",", ")</f>
        <v>2, 3, 4</v>
      </c>
      <c r="CE269" t="str">
        <f>SUBSTITUTE(TRIM(MID(SUBSTITUTE(SUBSTITUTE(SUBSTITUTE(Tabla1[[#This Row],[map]],"[",""),"]",""),",",REPT(" ",100)),1,600))," ",", ")</f>
        <v>2, 3, 4, 0, 1, -1</v>
      </c>
      <c r="CF269" t="str">
        <f>SUBSTITUTE(TRIM(MID(SUBSTITUTE(SUBSTITUTE(SUBSTITUTE(Tabla1[[#This Row],[map]],"[",""),"]",""),",",REPT(" ",100)),601,600))," ",", ")</f>
        <v>1, 3, 0, 2, 4, -1</v>
      </c>
      <c r="CG269" t="str">
        <f>SUBSTITUTE(TRIM(MID(SUBSTITUTE(SUBSTITUTE(SUBSTITUTE(Tabla1[[#This Row],[map]],"[",""),"]",""),",",REPT(" ",100)),1201,600))," ",", ")</f>
        <v>1, 2, 0, 3, 4, -1</v>
      </c>
    </row>
    <row r="270" spans="1:85" x14ac:dyDescent="0.3">
      <c r="A270" s="1">
        <v>46107.533958333333</v>
      </c>
      <c r="B270" t="s">
        <v>498</v>
      </c>
      <c r="C270">
        <v>5</v>
      </c>
      <c r="D270" t="s">
        <v>77</v>
      </c>
      <c r="E270" t="s">
        <v>78</v>
      </c>
      <c r="F270">
        <v>16590</v>
      </c>
      <c r="G270">
        <v>4.5</v>
      </c>
      <c r="H270" t="s">
        <v>79</v>
      </c>
      <c r="I270" t="s">
        <v>80</v>
      </c>
      <c r="J270">
        <v>5</v>
      </c>
      <c r="K270">
        <v>5</v>
      </c>
      <c r="L270" t="s">
        <v>81</v>
      </c>
      <c r="M270" t="s">
        <v>82</v>
      </c>
      <c r="N270" t="s">
        <v>83</v>
      </c>
      <c r="O270" t="s">
        <v>83</v>
      </c>
      <c r="P270" t="s">
        <v>84</v>
      </c>
      <c r="Q270" t="s">
        <v>412</v>
      </c>
      <c r="R270">
        <v>3</v>
      </c>
      <c r="S270" t="s">
        <v>86</v>
      </c>
      <c r="T270" t="s">
        <v>87</v>
      </c>
      <c r="U270" t="s">
        <v>88</v>
      </c>
      <c r="V270">
        <v>1</v>
      </c>
      <c r="W270" t="s">
        <v>413</v>
      </c>
      <c r="X270" t="s">
        <v>83</v>
      </c>
      <c r="Y270" t="s">
        <v>90</v>
      </c>
      <c r="Z270">
        <v>4000</v>
      </c>
      <c r="AA270">
        <v>4000</v>
      </c>
      <c r="AC270">
        <v>256</v>
      </c>
      <c r="AD270" t="s">
        <v>91</v>
      </c>
      <c r="AE270">
        <v>0.15</v>
      </c>
      <c r="AF270" t="s">
        <v>92</v>
      </c>
      <c r="AG270">
        <v>180</v>
      </c>
      <c r="AH270">
        <v>60</v>
      </c>
      <c r="AI270">
        <v>120</v>
      </c>
      <c r="AJ270">
        <v>8.7537948265438759E-2</v>
      </c>
      <c r="AK270">
        <v>6.6998495781812997</v>
      </c>
      <c r="AL270">
        <v>0.80829078081332206</v>
      </c>
      <c r="AM270">
        <v>4.1512844496239237E-2</v>
      </c>
      <c r="AN270">
        <v>10.843822692580121</v>
      </c>
      <c r="AO270">
        <v>0.74171308092322774</v>
      </c>
      <c r="AP270">
        <v>10.843822692580121</v>
      </c>
      <c r="AQ270">
        <v>10.843822692580121</v>
      </c>
      <c r="AR270">
        <v>0.74171308092322774</v>
      </c>
      <c r="AS270">
        <v>101.17933314032661</v>
      </c>
      <c r="AT270">
        <v>2.917889350582575E-2</v>
      </c>
      <c r="AU270">
        <v>0.8</v>
      </c>
      <c r="AV270" t="s">
        <v>93</v>
      </c>
      <c r="AW270">
        <v>6.635888504493509E-2</v>
      </c>
      <c r="AX270">
        <v>0.51814869528693042</v>
      </c>
      <c r="AY270">
        <v>6.635888504493509E-2</v>
      </c>
      <c r="AZ270">
        <v>6.635888504493509E-2</v>
      </c>
      <c r="BA270">
        <v>0.51814869528693042</v>
      </c>
      <c r="BB270">
        <v>0.21735916965553909</v>
      </c>
      <c r="BC270">
        <v>-0.57830860809294071</v>
      </c>
      <c r="BD270">
        <v>6.2692198880821115E-2</v>
      </c>
      <c r="BE270">
        <v>0.78278492080385498</v>
      </c>
      <c r="BF270">
        <v>6.2692198880821115E-2</v>
      </c>
      <c r="BG270">
        <v>6.2692198880821115E-2</v>
      </c>
      <c r="BH270">
        <v>0.78278492080385498</v>
      </c>
      <c r="BI270">
        <v>0.1526098385164284</v>
      </c>
      <c r="BJ270">
        <v>0.47123950425675792</v>
      </c>
      <c r="BK270">
        <v>5.2593074787201592E-2</v>
      </c>
      <c r="BL270">
        <v>0.78885544001912233</v>
      </c>
      <c r="BM270">
        <v>5.2593074787201592E-2</v>
      </c>
      <c r="BN270">
        <v>5.2593074787201592E-2</v>
      </c>
      <c r="BO270">
        <v>0.78885544001912233</v>
      </c>
      <c r="BP270">
        <v>0.15588154900616899</v>
      </c>
      <c r="BQ270">
        <v>0.37418488637111158</v>
      </c>
      <c r="BR270">
        <v>43.193646611607591</v>
      </c>
      <c r="BS270">
        <v>0.87706326758300412</v>
      </c>
      <c r="BT270">
        <v>43.193646611607591</v>
      </c>
      <c r="BU270">
        <v>43.193646611607591</v>
      </c>
      <c r="BV270">
        <v>0.87706326758300412</v>
      </c>
      <c r="BW270">
        <v>404.19148200413042</v>
      </c>
      <c r="BX270">
        <v>-0.1504002085116245</v>
      </c>
      <c r="BY270" t="str">
        <f t="shared" si="11"/>
        <v>[[sv,wv],[yr],[ya]]</v>
      </c>
      <c r="BZ270" t="str">
        <f>SUBSTITUTE(TRIM(MID(SUBSTITUTE(SUBSTITUTE(SUBSTITUTE(Tabla1[[#This Row],[map]],"[",""),"]",""),",",REPT(" ",100)),901,200))," ",", ")</f>
        <v>2, 4</v>
      </c>
      <c r="CA270" t="str">
        <f>SUBSTITUTE(TRIM(MID(SUBSTITUTE(SUBSTITUTE(SUBSTITUTE(Tabla1[[#This Row],[map]],"[",""),"]",""),",",REPT(" ",100)),1501,200))," ",", ")</f>
        <v>3, 2</v>
      </c>
      <c r="CB270" t="str">
        <f>SUBSTITUTE(TRIM(MID(SUBSTITUTE(SUBSTITUTE(SUBSTITUTE(Tabla1[[#This Row],[map]],"[",""),"]",""),",",REPT(" ",100)),601,300))," ",", ")</f>
        <v>0, 1, 3</v>
      </c>
      <c r="CC270" t="str">
        <f>SUBSTITUTE(TRIM(MID(SUBSTITUTE(SUBSTITUTE(SUBSTITUTE(Tabla1[[#This Row],[map]],"[",""),"]",""),",",REPT(" ",100)),1201,300))," ",", ")</f>
        <v>1, 4, 0</v>
      </c>
      <c r="CD270" t="str">
        <f>SUBSTITUTE(TRIM(MID(SUBSTITUTE(SUBSTITUTE(SUBSTITUTE(Tabla1[[#This Row],[map]],"[",""),"]",""),",",REPT(" ",100)),1,300))," ",", ")</f>
        <v>2, 3, 4</v>
      </c>
      <c r="CE270" t="str">
        <f>SUBSTITUTE(TRIM(MID(SUBSTITUTE(SUBSTITUTE(SUBSTITUTE(Tabla1[[#This Row],[map]],"[",""),"]",""),",",REPT(" ",100)),1,600))," ",", ")</f>
        <v>2, 3, 4, 0, 1, -1</v>
      </c>
      <c r="CF270" t="str">
        <f>SUBSTITUTE(TRIM(MID(SUBSTITUTE(SUBSTITUTE(SUBSTITUTE(Tabla1[[#This Row],[map]],"[",""),"]",""),",",REPT(" ",100)),601,600))," ",", ")</f>
        <v>0, 1, 3, 2, 4, -1</v>
      </c>
      <c r="CG270" t="str">
        <f>SUBSTITUTE(TRIM(MID(SUBSTITUTE(SUBSTITUTE(SUBSTITUTE(Tabla1[[#This Row],[map]],"[",""),"]",""),",",REPT(" ",100)),1201,600))," ",", ")</f>
        <v>1, 4, 0, 3, 2, -1</v>
      </c>
    </row>
    <row r="271" spans="1:85" x14ac:dyDescent="0.3">
      <c r="A271" s="1">
        <v>46107.543368055558</v>
      </c>
      <c r="B271" t="s">
        <v>499</v>
      </c>
      <c r="C271">
        <v>4</v>
      </c>
      <c r="D271" t="s">
        <v>96</v>
      </c>
      <c r="E271" t="s">
        <v>78</v>
      </c>
      <c r="F271">
        <v>16590</v>
      </c>
      <c r="G271">
        <v>4.5</v>
      </c>
      <c r="H271" t="s">
        <v>79</v>
      </c>
      <c r="I271" t="s">
        <v>80</v>
      </c>
      <c r="J271">
        <v>5</v>
      </c>
      <c r="K271">
        <v>5</v>
      </c>
      <c r="L271" t="s">
        <v>81</v>
      </c>
      <c r="M271" t="s">
        <v>82</v>
      </c>
      <c r="N271" t="s">
        <v>83</v>
      </c>
      <c r="O271" t="s">
        <v>83</v>
      </c>
      <c r="P271" t="s">
        <v>84</v>
      </c>
      <c r="Q271" t="s">
        <v>412</v>
      </c>
      <c r="R271">
        <v>3</v>
      </c>
      <c r="S271" t="s">
        <v>86</v>
      </c>
      <c r="T271" t="s">
        <v>87</v>
      </c>
      <c r="U271" t="s">
        <v>88</v>
      </c>
      <c r="V271">
        <v>1</v>
      </c>
      <c r="W271" t="s">
        <v>413</v>
      </c>
      <c r="X271" t="s">
        <v>83</v>
      </c>
      <c r="Y271" t="s">
        <v>90</v>
      </c>
      <c r="Z271">
        <v>4000</v>
      </c>
      <c r="AA271">
        <v>4000</v>
      </c>
      <c r="AC271">
        <v>256</v>
      </c>
      <c r="AD271" t="s">
        <v>91</v>
      </c>
      <c r="AE271">
        <v>0.15</v>
      </c>
      <c r="AF271" t="s">
        <v>92</v>
      </c>
      <c r="AG271">
        <v>180</v>
      </c>
      <c r="AH271">
        <v>60</v>
      </c>
      <c r="AI271">
        <v>120</v>
      </c>
      <c r="AJ271">
        <v>9.6023990038364773E-2</v>
      </c>
      <c r="AK271">
        <v>15.26440260135916</v>
      </c>
      <c r="AL271">
        <v>0.79992780765888516</v>
      </c>
      <c r="AM271">
        <v>-0.19024231999183799</v>
      </c>
      <c r="AN271">
        <v>20.260619383646549</v>
      </c>
      <c r="AO271">
        <v>0.72726546835815964</v>
      </c>
      <c r="AP271">
        <v>20.260619383646549</v>
      </c>
      <c r="AQ271">
        <v>20.260619383646549</v>
      </c>
      <c r="AR271">
        <v>0.72726546835815964</v>
      </c>
      <c r="AS271">
        <v>112.6716329839942</v>
      </c>
      <c r="AT271">
        <v>-0.1596836333431966</v>
      </c>
      <c r="AU271">
        <v>0.8</v>
      </c>
      <c r="AV271" t="s">
        <v>93</v>
      </c>
      <c r="AW271">
        <v>6.4173314884337182E-2</v>
      </c>
      <c r="AX271">
        <v>0.53401876050446573</v>
      </c>
      <c r="AY271">
        <v>6.4173314884337182E-2</v>
      </c>
      <c r="AZ271">
        <v>6.4173314884337182E-2</v>
      </c>
      <c r="BA271">
        <v>0.53401876050446573</v>
      </c>
      <c r="BB271">
        <v>0.29140308026448247</v>
      </c>
      <c r="BC271">
        <v>-1.1159631348201109</v>
      </c>
      <c r="BD271">
        <v>3.8575289476406698E-2</v>
      </c>
      <c r="BE271">
        <v>0.86634486095214536</v>
      </c>
      <c r="BF271">
        <v>3.8575289476406698E-2</v>
      </c>
      <c r="BG271">
        <v>3.8575289476406698E-2</v>
      </c>
      <c r="BH271">
        <v>0.86634486095214536</v>
      </c>
      <c r="BI271">
        <v>0.1753402337814482</v>
      </c>
      <c r="BJ271">
        <v>0.39248353946699199</v>
      </c>
      <c r="BK271">
        <v>6.5040772474854375E-2</v>
      </c>
      <c r="BL271">
        <v>0.73888187103368586</v>
      </c>
      <c r="BM271">
        <v>6.5040772474854375E-2</v>
      </c>
      <c r="BN271">
        <v>6.5040772474854375E-2</v>
      </c>
      <c r="BO271">
        <v>0.73888187103368586</v>
      </c>
      <c r="BP271">
        <v>0.15799494659836941</v>
      </c>
      <c r="BQ271">
        <v>0.36570026351011142</v>
      </c>
      <c r="BR271">
        <v>80.87468815775091</v>
      </c>
      <c r="BS271">
        <v>0.76981638094234128</v>
      </c>
      <c r="BT271">
        <v>80.87468815775091</v>
      </c>
      <c r="BU271">
        <v>80.87468815775091</v>
      </c>
      <c r="BV271">
        <v>0.76981638094234128</v>
      </c>
      <c r="BW271">
        <v>450.06179367533258</v>
      </c>
      <c r="BX271">
        <v>-0.28095520152977321</v>
      </c>
      <c r="BY271" t="str">
        <f t="shared" si="11"/>
        <v>[[sv,wv],[yr],[ya]]</v>
      </c>
      <c r="BZ271" t="str">
        <f>SUBSTITUTE(TRIM(MID(SUBSTITUTE(SUBSTITUTE(SUBSTITUTE(Tabla1[[#This Row],[map]],"[",""),"]",""),",",REPT(" ",100)),901,200))," ",", ")</f>
        <v>2, 4</v>
      </c>
      <c r="CA271" t="str">
        <f>SUBSTITUTE(TRIM(MID(SUBSTITUTE(SUBSTITUTE(SUBSTITUTE(Tabla1[[#This Row],[map]],"[",""),"]",""),",",REPT(" ",100)),1501,200))," ",", ")</f>
        <v>3, 2</v>
      </c>
      <c r="CB271" t="str">
        <f>SUBSTITUTE(TRIM(MID(SUBSTITUTE(SUBSTITUTE(SUBSTITUTE(Tabla1[[#This Row],[map]],"[",""),"]",""),",",REPT(" ",100)),601,300))," ",", ")</f>
        <v>0, 1, 3</v>
      </c>
      <c r="CC271" t="str">
        <f>SUBSTITUTE(TRIM(MID(SUBSTITUTE(SUBSTITUTE(SUBSTITUTE(Tabla1[[#This Row],[map]],"[",""),"]",""),",",REPT(" ",100)),1201,300))," ",", ")</f>
        <v>1, 4, 0</v>
      </c>
      <c r="CD271" t="str">
        <f>SUBSTITUTE(TRIM(MID(SUBSTITUTE(SUBSTITUTE(SUBSTITUTE(Tabla1[[#This Row],[map]],"[",""),"]",""),",",REPT(" ",100)),1,300))," ",", ")</f>
        <v>2, 3, 4</v>
      </c>
      <c r="CE271" t="str">
        <f>SUBSTITUTE(TRIM(MID(SUBSTITUTE(SUBSTITUTE(SUBSTITUTE(Tabla1[[#This Row],[map]],"[",""),"]",""),",",REPT(" ",100)),1,600))," ",", ")</f>
        <v>2, 3, 4, 0, 1, -1</v>
      </c>
      <c r="CF271" t="str">
        <f>SUBSTITUTE(TRIM(MID(SUBSTITUTE(SUBSTITUTE(SUBSTITUTE(Tabla1[[#This Row],[map]],"[",""),"]",""),",",REPT(" ",100)),601,600))," ",", ")</f>
        <v>0, 1, 3, 2, 4, -1</v>
      </c>
      <c r="CG271" t="str">
        <f>SUBSTITUTE(TRIM(MID(SUBSTITUTE(SUBSTITUTE(SUBSTITUTE(Tabla1[[#This Row],[map]],"[",""),"]",""),",",REPT(" ",100)),1201,600))," ",", ")</f>
        <v>1, 4, 0, 3, 2, -1</v>
      </c>
    </row>
    <row r="272" spans="1:85" x14ac:dyDescent="0.3">
      <c r="A272" s="1">
        <v>46107.561469907407</v>
      </c>
      <c r="B272" t="s">
        <v>500</v>
      </c>
      <c r="C272">
        <v>0</v>
      </c>
      <c r="D272" t="s">
        <v>96</v>
      </c>
      <c r="E272" t="s">
        <v>78</v>
      </c>
      <c r="F272">
        <v>16590</v>
      </c>
      <c r="G272">
        <v>4.5</v>
      </c>
      <c r="H272" t="s">
        <v>79</v>
      </c>
      <c r="I272" t="s">
        <v>80</v>
      </c>
      <c r="J272">
        <v>5</v>
      </c>
      <c r="K272">
        <v>5</v>
      </c>
      <c r="L272" t="s">
        <v>81</v>
      </c>
      <c r="M272" t="s">
        <v>82</v>
      </c>
      <c r="N272" t="s">
        <v>83</v>
      </c>
      <c r="O272" t="s">
        <v>83</v>
      </c>
      <c r="P272" t="s">
        <v>84</v>
      </c>
      <c r="Q272" t="s">
        <v>501</v>
      </c>
      <c r="R272">
        <v>3</v>
      </c>
      <c r="S272" t="s">
        <v>86</v>
      </c>
      <c r="T272" t="s">
        <v>87</v>
      </c>
      <c r="U272" t="s">
        <v>88</v>
      </c>
      <c r="V272">
        <v>1</v>
      </c>
      <c r="W272" t="s">
        <v>502</v>
      </c>
      <c r="X272" t="s">
        <v>83</v>
      </c>
      <c r="Y272" t="s">
        <v>90</v>
      </c>
      <c r="Z272">
        <v>4000</v>
      </c>
      <c r="AA272">
        <v>4000</v>
      </c>
      <c r="AC272">
        <v>256</v>
      </c>
      <c r="AD272" t="s">
        <v>91</v>
      </c>
      <c r="AE272">
        <v>0.15</v>
      </c>
      <c r="AF272" t="s">
        <v>92</v>
      </c>
      <c r="AG272">
        <v>180</v>
      </c>
      <c r="AH272">
        <v>60</v>
      </c>
      <c r="AI272">
        <v>120</v>
      </c>
      <c r="AJ272">
        <v>0.1088967338352151</v>
      </c>
      <c r="AK272">
        <v>7.4132141491917167</v>
      </c>
      <c r="AL272">
        <v>0.71036803991805475</v>
      </c>
      <c r="AM272">
        <v>-0.38165662372129289</v>
      </c>
      <c r="AN272">
        <v>11.67693526697013</v>
      </c>
      <c r="AO272">
        <v>0.65646439711884008</v>
      </c>
      <c r="AP272">
        <v>11.67693526697013</v>
      </c>
      <c r="AQ272">
        <v>11.67693526697013</v>
      </c>
      <c r="AR272">
        <v>0.65646439711884008</v>
      </c>
      <c r="AS272">
        <v>134.53744999609771</v>
      </c>
      <c r="AT272">
        <v>-0.21274095500333459</v>
      </c>
      <c r="AU272">
        <v>0.8</v>
      </c>
      <c r="AV272" t="s">
        <v>93</v>
      </c>
      <c r="AW272">
        <v>8.0675518407051436E-2</v>
      </c>
      <c r="AX272">
        <v>0.4141914262646571</v>
      </c>
      <c r="AY272">
        <v>8.0675518407051436E-2</v>
      </c>
      <c r="AZ272">
        <v>8.0675518407051436E-2</v>
      </c>
      <c r="BA272">
        <v>0.4141914262646571</v>
      </c>
      <c r="BB272">
        <v>0.119978560315007</v>
      </c>
      <c r="BC272">
        <v>0.12880052480938459</v>
      </c>
      <c r="BD272">
        <v>0.1037653742991716</v>
      </c>
      <c r="BE272">
        <v>0.64047514047066745</v>
      </c>
      <c r="BF272">
        <v>0.1037653742991716</v>
      </c>
      <c r="BG272">
        <v>0.1037653742991716</v>
      </c>
      <c r="BH272">
        <v>0.64047514047066745</v>
      </c>
      <c r="BI272">
        <v>0.30086611722193862</v>
      </c>
      <c r="BJ272">
        <v>-4.2436836583711113E-2</v>
      </c>
      <c r="BK272">
        <v>7.388022651445722E-2</v>
      </c>
      <c r="BL272">
        <v>0.70339425900083086</v>
      </c>
      <c r="BM272">
        <v>7.388022651445722E-2</v>
      </c>
      <c r="BN272">
        <v>7.388022651445722E-2</v>
      </c>
      <c r="BO272">
        <v>0.70339425900083086</v>
      </c>
      <c r="BP272">
        <v>0.35067624327263441</v>
      </c>
      <c r="BQ272">
        <v>-0.40785419717589749</v>
      </c>
      <c r="BR272">
        <v>46.449419948659973</v>
      </c>
      <c r="BS272">
        <v>0.8677967627392098</v>
      </c>
      <c r="BT272">
        <v>46.449419948659973</v>
      </c>
      <c r="BU272">
        <v>46.449419948659973</v>
      </c>
      <c r="BV272">
        <v>0.8677967627392098</v>
      </c>
      <c r="BW272">
        <v>537.3782790635787</v>
      </c>
      <c r="BX272">
        <v>-0.52947331106310069</v>
      </c>
      <c r="BY272" t="str">
        <f t="shared" si="11"/>
        <v>[[sv,wv],[yr],[ya]]</v>
      </c>
      <c r="BZ272" t="str">
        <f>SUBSTITUTE(TRIM(MID(SUBSTITUTE(SUBSTITUTE(SUBSTITUTE(Tabla1[[#This Row],[map]],"[",""),"]",""),",",REPT(" ",100)),901,200))," ",", ")</f>
        <v>2, 4</v>
      </c>
      <c r="CA272" t="str">
        <f>SUBSTITUTE(TRIM(MID(SUBSTITUTE(SUBSTITUTE(SUBSTITUTE(Tabla1[[#This Row],[map]],"[",""),"]",""),",",REPT(" ",100)),1501,200))," ",", ")</f>
        <v>3, 2</v>
      </c>
      <c r="CB272" t="str">
        <f>SUBSTITUTE(TRIM(MID(SUBSTITUTE(SUBSTITUTE(SUBSTITUTE(Tabla1[[#This Row],[map]],"[",""),"]",""),",",REPT(" ",100)),601,300))," ",", ")</f>
        <v>0, 1, 3</v>
      </c>
      <c r="CC272" t="str">
        <f>SUBSTITUTE(TRIM(MID(SUBSTITUTE(SUBSTITUTE(SUBSTITUTE(Tabla1[[#This Row],[map]],"[",""),"]",""),",",REPT(" ",100)),1201,300))," ",", ")</f>
        <v>1, 4, 0</v>
      </c>
      <c r="CD272" t="str">
        <f>SUBSTITUTE(TRIM(MID(SUBSTITUTE(SUBSTITUTE(SUBSTITUTE(Tabla1[[#This Row],[map]],"[",""),"]",""),",",REPT(" ",100)),1,300))," ",", ")</f>
        <v>4, 2, 3</v>
      </c>
      <c r="CE272" t="str">
        <f>SUBSTITUTE(TRIM(MID(SUBSTITUTE(SUBSTITUTE(SUBSTITUTE(Tabla1[[#This Row],[map]],"[",""),"]",""),",",REPT(" ",100)),1,600))," ",", ")</f>
        <v>4, 2, 3, 0, 1, -1</v>
      </c>
      <c r="CF272" t="str">
        <f>SUBSTITUTE(TRIM(MID(SUBSTITUTE(SUBSTITUTE(SUBSTITUTE(Tabla1[[#This Row],[map]],"[",""),"]",""),",",REPT(" ",100)),601,600))," ",", ")</f>
        <v>0, 1, 3, 2, 4, -1</v>
      </c>
      <c r="CG272" t="str">
        <f>SUBSTITUTE(TRIM(MID(SUBSTITUTE(SUBSTITUTE(SUBSTITUTE(Tabla1[[#This Row],[map]],"[",""),"]",""),",",REPT(" ",100)),1201,600))," ",", ")</f>
        <v>1, 4, 0, 3, 2, -1</v>
      </c>
    </row>
    <row r="273" spans="1:85" x14ac:dyDescent="0.3">
      <c r="A273" s="1">
        <v>46107.638726851852</v>
      </c>
      <c r="B273" t="s">
        <v>503</v>
      </c>
      <c r="C273">
        <v>1</v>
      </c>
      <c r="D273" t="s">
        <v>96</v>
      </c>
      <c r="E273" t="s">
        <v>78</v>
      </c>
      <c r="F273">
        <v>16590</v>
      </c>
      <c r="G273">
        <v>4.5</v>
      </c>
      <c r="H273" t="s">
        <v>79</v>
      </c>
      <c r="I273" t="s">
        <v>80</v>
      </c>
      <c r="J273">
        <v>5</v>
      </c>
      <c r="K273">
        <v>5</v>
      </c>
      <c r="L273" t="s">
        <v>81</v>
      </c>
      <c r="M273" t="s">
        <v>82</v>
      </c>
      <c r="N273" t="s">
        <v>83</v>
      </c>
      <c r="O273" t="s">
        <v>83</v>
      </c>
      <c r="P273" t="s">
        <v>84</v>
      </c>
      <c r="Q273" t="s">
        <v>485</v>
      </c>
      <c r="R273">
        <v>3</v>
      </c>
      <c r="S273" t="s">
        <v>86</v>
      </c>
      <c r="T273" t="s">
        <v>87</v>
      </c>
      <c r="U273" t="s">
        <v>88</v>
      </c>
      <c r="V273">
        <v>1</v>
      </c>
      <c r="W273" t="s">
        <v>486</v>
      </c>
      <c r="X273" t="s">
        <v>83</v>
      </c>
      <c r="Y273" t="s">
        <v>90</v>
      </c>
      <c r="Z273">
        <v>4000</v>
      </c>
      <c r="AA273">
        <v>4000</v>
      </c>
      <c r="AC273">
        <v>256</v>
      </c>
      <c r="AD273" t="s">
        <v>91</v>
      </c>
      <c r="AE273">
        <v>0.15</v>
      </c>
      <c r="AF273" t="s">
        <v>92</v>
      </c>
      <c r="AG273">
        <v>180</v>
      </c>
      <c r="AH273">
        <v>60</v>
      </c>
      <c r="AI273">
        <v>120</v>
      </c>
      <c r="AJ273">
        <v>0.12088506113121859</v>
      </c>
      <c r="AK273">
        <v>27.695818698153811</v>
      </c>
      <c r="AL273">
        <v>0.67089073447137137</v>
      </c>
      <c r="AM273">
        <v>7.496904499600493E-2</v>
      </c>
      <c r="AN273">
        <v>35.646870539348882</v>
      </c>
      <c r="AO273">
        <v>0.62029752431914842</v>
      </c>
      <c r="AP273">
        <v>35.646870539348882</v>
      </c>
      <c r="AQ273">
        <v>35.646870539348882</v>
      </c>
      <c r="AR273">
        <v>0.62029752431914842</v>
      </c>
      <c r="AS273">
        <v>155.2453042646579</v>
      </c>
      <c r="AT273">
        <v>-0.20575583742437301</v>
      </c>
      <c r="AU273">
        <v>0.8</v>
      </c>
      <c r="AV273" t="s">
        <v>93</v>
      </c>
      <c r="AW273">
        <v>8.5452737887407287E-2</v>
      </c>
      <c r="AX273">
        <v>0.37950263609056939</v>
      </c>
      <c r="AY273">
        <v>8.5452737887407287E-2</v>
      </c>
      <c r="AZ273">
        <v>8.5452737887407287E-2</v>
      </c>
      <c r="BA273">
        <v>0.37950263609056939</v>
      </c>
      <c r="BB273">
        <v>0.15146029241002529</v>
      </c>
      <c r="BC273">
        <v>-9.9797554774680775E-2</v>
      </c>
      <c r="BD273">
        <v>0.1024833430695118</v>
      </c>
      <c r="BE273">
        <v>0.64491710486263076</v>
      </c>
      <c r="BF273">
        <v>0.1024833430695118</v>
      </c>
      <c r="BG273">
        <v>0.1024833430695118</v>
      </c>
      <c r="BH273">
        <v>0.64491710486263076</v>
      </c>
      <c r="BI273">
        <v>0.22654012413981439</v>
      </c>
      <c r="BJ273">
        <v>0.21508685475079009</v>
      </c>
      <c r="BK273">
        <v>3.4382108610495239E-2</v>
      </c>
      <c r="BL273">
        <v>0.86196670905530759</v>
      </c>
      <c r="BM273">
        <v>3.4382108610495239E-2</v>
      </c>
      <c r="BN273">
        <v>3.4382108610495239E-2</v>
      </c>
      <c r="BO273">
        <v>0.86196670905530759</v>
      </c>
      <c r="BP273">
        <v>0.29212710859483931</v>
      </c>
      <c r="BQ273">
        <v>-0.17279794064737539</v>
      </c>
      <c r="BR273">
        <v>142.3651639678294</v>
      </c>
      <c r="BS273">
        <v>0.59480364726808121</v>
      </c>
      <c r="BT273">
        <v>142.3651639678294</v>
      </c>
      <c r="BU273">
        <v>142.3651639678294</v>
      </c>
      <c r="BV273">
        <v>0.59480364726808121</v>
      </c>
      <c r="BW273">
        <v>620.31108953348655</v>
      </c>
      <c r="BX273">
        <v>-0.76551470902621288</v>
      </c>
      <c r="BY273" t="str">
        <f t="shared" si="11"/>
        <v>[[sv,wv],[yr],[ya]]</v>
      </c>
      <c r="BZ273" t="str">
        <f>SUBSTITUTE(TRIM(MID(SUBSTITUTE(SUBSTITUTE(SUBSTITUTE(Tabla1[[#This Row],[map]],"[",""),"]",""),",",REPT(" ",100)),901,200))," ",", ")</f>
        <v>2, 3</v>
      </c>
      <c r="CA273" t="str">
        <f>SUBSTITUTE(TRIM(MID(SUBSTITUTE(SUBSTITUTE(SUBSTITUTE(Tabla1[[#This Row],[map]],"[",""),"]",""),",",REPT(" ",100)),1501,200))," ",", ")</f>
        <v>3, 4</v>
      </c>
      <c r="CB273" t="str">
        <f>SUBSTITUTE(TRIM(MID(SUBSTITUTE(SUBSTITUTE(SUBSTITUTE(Tabla1[[#This Row],[map]],"[",""),"]",""),",",REPT(" ",100)),601,300))," ",", ")</f>
        <v>1, 4, 0</v>
      </c>
      <c r="CC273" t="str">
        <f>SUBSTITUTE(TRIM(MID(SUBSTITUTE(SUBSTITUTE(SUBSTITUTE(Tabla1[[#This Row],[map]],"[",""),"]",""),",",REPT(" ",100)),1201,300))," ",", ")</f>
        <v>0, 1, 2</v>
      </c>
      <c r="CD273" t="str">
        <f>SUBSTITUTE(TRIM(MID(SUBSTITUTE(SUBSTITUTE(SUBSTITUTE(Tabla1[[#This Row],[map]],"[",""),"]",""),",",REPT(" ",100)),1,300))," ",", ")</f>
        <v>4, 2, 3</v>
      </c>
      <c r="CE273" t="str">
        <f>SUBSTITUTE(TRIM(MID(SUBSTITUTE(SUBSTITUTE(SUBSTITUTE(Tabla1[[#This Row],[map]],"[",""),"]",""),",",REPT(" ",100)),1,600))," ",", ")</f>
        <v>4, 2, 3, 0, 1, -1</v>
      </c>
      <c r="CF273" t="str">
        <f>SUBSTITUTE(TRIM(MID(SUBSTITUTE(SUBSTITUTE(SUBSTITUTE(Tabla1[[#This Row],[map]],"[",""),"]",""),",",REPT(" ",100)),601,600))," ",", ")</f>
        <v>1, 4, 0, 2, 3, -1</v>
      </c>
      <c r="CG273" t="str">
        <f>SUBSTITUTE(TRIM(MID(SUBSTITUTE(SUBSTITUTE(SUBSTITUTE(Tabla1[[#This Row],[map]],"[",""),"]",""),",",REPT(" ",100)),1201,600))," ",", ")</f>
        <v>0, 1, 2, 3, 4, -1</v>
      </c>
    </row>
    <row r="274" spans="1:85" x14ac:dyDescent="0.3">
      <c r="A274" s="1">
        <v>46107.68478009259</v>
      </c>
      <c r="B274" t="s">
        <v>504</v>
      </c>
      <c r="C274">
        <v>3</v>
      </c>
      <c r="D274" t="s">
        <v>77</v>
      </c>
      <c r="E274" t="s">
        <v>78</v>
      </c>
      <c r="F274">
        <v>16590</v>
      </c>
      <c r="G274">
        <v>4.5</v>
      </c>
      <c r="H274" t="s">
        <v>79</v>
      </c>
      <c r="I274" t="s">
        <v>80</v>
      </c>
      <c r="J274">
        <v>5</v>
      </c>
      <c r="K274">
        <v>5</v>
      </c>
      <c r="L274" t="s">
        <v>81</v>
      </c>
      <c r="M274" t="s">
        <v>82</v>
      </c>
      <c r="N274" t="s">
        <v>83</v>
      </c>
      <c r="O274" t="s">
        <v>83</v>
      </c>
      <c r="P274" t="s">
        <v>84</v>
      </c>
      <c r="Q274" t="s">
        <v>441</v>
      </c>
      <c r="R274">
        <v>3</v>
      </c>
      <c r="S274" t="s">
        <v>86</v>
      </c>
      <c r="T274" t="s">
        <v>87</v>
      </c>
      <c r="U274" t="s">
        <v>88</v>
      </c>
      <c r="V274">
        <v>1</v>
      </c>
      <c r="W274" t="s">
        <v>442</v>
      </c>
      <c r="X274" t="s">
        <v>83</v>
      </c>
      <c r="Y274" t="s">
        <v>90</v>
      </c>
      <c r="Z274">
        <v>4000</v>
      </c>
      <c r="AA274">
        <v>4000</v>
      </c>
      <c r="AC274">
        <v>256</v>
      </c>
      <c r="AD274" t="s">
        <v>91</v>
      </c>
      <c r="AE274">
        <v>0.15</v>
      </c>
      <c r="AF274" t="s">
        <v>92</v>
      </c>
      <c r="AG274">
        <v>180</v>
      </c>
      <c r="AH274">
        <v>60</v>
      </c>
      <c r="AI274">
        <v>120</v>
      </c>
      <c r="AJ274">
        <v>0.1041462812818077</v>
      </c>
      <c r="AK274">
        <v>15.13602290537434</v>
      </c>
      <c r="AL274">
        <v>0.7288666676189941</v>
      </c>
      <c r="AM274">
        <v>0.3360127966437042</v>
      </c>
      <c r="AN274">
        <v>25.130944909850701</v>
      </c>
      <c r="AO274">
        <v>0.67009028694578343</v>
      </c>
      <c r="AP274">
        <v>25.130944909850701</v>
      </c>
      <c r="AQ274">
        <v>25.130944909850701</v>
      </c>
      <c r="AR274">
        <v>0.67009028694578343</v>
      </c>
      <c r="AS274">
        <v>70.908139919045936</v>
      </c>
      <c r="AT274">
        <v>0.33969795509309081</v>
      </c>
      <c r="AU274">
        <v>0.8</v>
      </c>
      <c r="AV274" t="s">
        <v>93</v>
      </c>
      <c r="AW274">
        <v>8.408670266622896E-2</v>
      </c>
      <c r="AX274">
        <v>0.3894218180232234</v>
      </c>
      <c r="AY274">
        <v>8.408670266622896E-2</v>
      </c>
      <c r="AZ274">
        <v>8.408670266622896E-2</v>
      </c>
      <c r="BA274">
        <v>0.3894218180232234</v>
      </c>
      <c r="BB274">
        <v>0.1046797065450151</v>
      </c>
      <c r="BC274">
        <v>0.23988998396309441</v>
      </c>
      <c r="BD274">
        <v>7.9204846986550614E-2</v>
      </c>
      <c r="BE274">
        <v>0.72557212192208875</v>
      </c>
      <c r="BF274">
        <v>7.9204846986550614E-2</v>
      </c>
      <c r="BG274">
        <v>7.9204846986550614E-2</v>
      </c>
      <c r="BH274">
        <v>0.72557212192208875</v>
      </c>
      <c r="BI274">
        <v>0.1224443223579786</v>
      </c>
      <c r="BJ274">
        <v>0.57575657493418775</v>
      </c>
      <c r="BK274">
        <v>3.7137384238054467E-2</v>
      </c>
      <c r="BL274">
        <v>0.85090514890958657</v>
      </c>
      <c r="BM274">
        <v>3.7137384238054467E-2</v>
      </c>
      <c r="BN274">
        <v>3.7137384238054467E-2</v>
      </c>
      <c r="BO274">
        <v>0.85090514890958657</v>
      </c>
      <c r="BP274">
        <v>0.16207857534845471</v>
      </c>
      <c r="BQ274">
        <v>0.34930578573807108</v>
      </c>
      <c r="BR274">
        <v>100.323350705512</v>
      </c>
      <c r="BS274">
        <v>0.71446205892823245</v>
      </c>
      <c r="BT274">
        <v>100.323350705512</v>
      </c>
      <c r="BU274">
        <v>100.323350705512</v>
      </c>
      <c r="BV274">
        <v>0.71446205892823245</v>
      </c>
      <c r="BW274">
        <v>283.24335707193302</v>
      </c>
      <c r="BX274">
        <v>0.1938394757370111</v>
      </c>
      <c r="BY274" t="str">
        <f t="shared" si="11"/>
        <v>[[sv,wv],[yr],[ya]]</v>
      </c>
      <c r="BZ274" t="str">
        <f>SUBSTITUTE(TRIM(MID(SUBSTITUTE(SUBSTITUTE(SUBSTITUTE(Tabla1[[#This Row],[map]],"[",""),"]",""),",",REPT(" ",100)),901,200))," ",", ")</f>
        <v>2, 3</v>
      </c>
      <c r="CA274" t="str">
        <f>SUBSTITUTE(TRIM(MID(SUBSTITUTE(SUBSTITUTE(SUBSTITUTE(Tabla1[[#This Row],[map]],"[",""),"]",""),",",REPT(" ",100)),1501,200))," ",", ")</f>
        <v>3, 2</v>
      </c>
      <c r="CB274" t="str">
        <f>SUBSTITUTE(TRIM(MID(SUBSTITUTE(SUBSTITUTE(SUBSTITUTE(Tabla1[[#This Row],[map]],"[",""),"]",""),",",REPT(" ",100)),601,300))," ",", ")</f>
        <v>1, 4, 0</v>
      </c>
      <c r="CC274" t="str">
        <f>SUBSTITUTE(TRIM(MID(SUBSTITUTE(SUBSTITUTE(SUBSTITUTE(Tabla1[[#This Row],[map]],"[",""),"]",""),",",REPT(" ",100)),1201,300))," ",", ")</f>
        <v>0, 1, 4</v>
      </c>
      <c r="CD274" t="str">
        <f>SUBSTITUTE(TRIM(MID(SUBSTITUTE(SUBSTITUTE(SUBSTITUTE(Tabla1[[#This Row],[map]],"[",""),"]",""),",",REPT(" ",100)),1,300))," ",", ")</f>
        <v>4, 2, 3</v>
      </c>
      <c r="CE274" t="str">
        <f>SUBSTITUTE(TRIM(MID(SUBSTITUTE(SUBSTITUTE(SUBSTITUTE(Tabla1[[#This Row],[map]],"[",""),"]",""),",",REPT(" ",100)),1,600))," ",", ")</f>
        <v>4, 2, 3, 0, 1, -1</v>
      </c>
      <c r="CF274" t="str">
        <f>SUBSTITUTE(TRIM(MID(SUBSTITUTE(SUBSTITUTE(SUBSTITUTE(Tabla1[[#This Row],[map]],"[",""),"]",""),",",REPT(" ",100)),601,600))," ",", ")</f>
        <v>1, 4, 0, 2, 3, -1</v>
      </c>
      <c r="CG274" t="str">
        <f>SUBSTITUTE(TRIM(MID(SUBSTITUTE(SUBSTITUTE(SUBSTITUTE(Tabla1[[#This Row],[map]],"[",""),"]",""),",",REPT(" ",100)),1201,600))," ",", ")</f>
        <v>0, 1, 4, 3, 2, -1</v>
      </c>
    </row>
    <row r="275" spans="1:85" x14ac:dyDescent="0.3">
      <c r="A275" s="1">
        <v>46107.696215277778</v>
      </c>
      <c r="B275" t="s">
        <v>505</v>
      </c>
      <c r="C275">
        <v>2</v>
      </c>
      <c r="D275" t="s">
        <v>96</v>
      </c>
      <c r="E275" t="s">
        <v>78</v>
      </c>
      <c r="F275">
        <v>16590</v>
      </c>
      <c r="G275">
        <v>4.5</v>
      </c>
      <c r="H275" t="s">
        <v>79</v>
      </c>
      <c r="I275" t="s">
        <v>80</v>
      </c>
      <c r="J275">
        <v>5</v>
      </c>
      <c r="K275">
        <v>5</v>
      </c>
      <c r="L275" t="s">
        <v>81</v>
      </c>
      <c r="M275" t="s">
        <v>82</v>
      </c>
      <c r="N275" t="s">
        <v>83</v>
      </c>
      <c r="O275" t="s">
        <v>83</v>
      </c>
      <c r="P275" t="s">
        <v>84</v>
      </c>
      <c r="Q275" t="s">
        <v>441</v>
      </c>
      <c r="R275">
        <v>3</v>
      </c>
      <c r="S275" t="s">
        <v>86</v>
      </c>
      <c r="T275" t="s">
        <v>87</v>
      </c>
      <c r="U275" t="s">
        <v>88</v>
      </c>
      <c r="V275">
        <v>1</v>
      </c>
      <c r="W275" t="s">
        <v>442</v>
      </c>
      <c r="X275" t="s">
        <v>83</v>
      </c>
      <c r="Y275" t="s">
        <v>90</v>
      </c>
      <c r="Z275">
        <v>4000</v>
      </c>
      <c r="AA275">
        <v>4000</v>
      </c>
      <c r="AC275">
        <v>256</v>
      </c>
      <c r="AD275" t="s">
        <v>91</v>
      </c>
      <c r="AE275">
        <v>0.15</v>
      </c>
      <c r="AF275" t="s">
        <v>92</v>
      </c>
      <c r="AG275">
        <v>180</v>
      </c>
      <c r="AH275">
        <v>60</v>
      </c>
      <c r="AI275">
        <v>120</v>
      </c>
      <c r="AJ275">
        <v>0.1046108051665488</v>
      </c>
      <c r="AK275">
        <v>21.461002310661939</v>
      </c>
      <c r="AL275">
        <v>0.71866976235290614</v>
      </c>
      <c r="AM275">
        <v>0.28141034410439569</v>
      </c>
      <c r="AN275">
        <v>30.262262428462329</v>
      </c>
      <c r="AO275">
        <v>0.66833151052769446</v>
      </c>
      <c r="AP275">
        <v>30.262262428462329</v>
      </c>
      <c r="AQ275">
        <v>30.262262428462329</v>
      </c>
      <c r="AR275">
        <v>0.66833151052769446</v>
      </c>
      <c r="AS275">
        <v>94.739687475285393</v>
      </c>
      <c r="AT275">
        <v>0.180969181350769</v>
      </c>
      <c r="AU275">
        <v>0.8</v>
      </c>
      <c r="AV275" t="s">
        <v>93</v>
      </c>
      <c r="AW275">
        <v>7.2323267033063063E-2</v>
      </c>
      <c r="AX275">
        <v>0.47483957035451929</v>
      </c>
      <c r="AY275">
        <v>7.2323267033063063E-2</v>
      </c>
      <c r="AZ275">
        <v>7.2323267033063063E-2</v>
      </c>
      <c r="BA275">
        <v>0.47483957035451929</v>
      </c>
      <c r="BB275">
        <v>0.1216438707524224</v>
      </c>
      <c r="BC275">
        <v>0.11670821785640351</v>
      </c>
      <c r="BD275">
        <v>9.9225176815522828E-2</v>
      </c>
      <c r="BE275">
        <v>0.6562059550470023</v>
      </c>
      <c r="BF275">
        <v>9.9225176815522828E-2</v>
      </c>
      <c r="BG275">
        <v>9.9225176815522828E-2</v>
      </c>
      <c r="BH275">
        <v>0.6562059550470023</v>
      </c>
      <c r="BI275">
        <v>0.16827817097292341</v>
      </c>
      <c r="BJ275">
        <v>0.41695207876895518</v>
      </c>
      <c r="BK275">
        <v>2.8336343587212039E-2</v>
      </c>
      <c r="BL275">
        <v>0.88623854333679652</v>
      </c>
      <c r="BM275">
        <v>2.8336343587212039E-2</v>
      </c>
      <c r="BN275">
        <v>2.8336343587212039E-2</v>
      </c>
      <c r="BO275">
        <v>0.88623854333679652</v>
      </c>
      <c r="BP275">
        <v>0.1824663465432331</v>
      </c>
      <c r="BQ275">
        <v>0.26745533308190023</v>
      </c>
      <c r="BR275">
        <v>120.84916492641339</v>
      </c>
      <c r="BS275">
        <v>0.65604197337245962</v>
      </c>
      <c r="BT275">
        <v>120.84916492641339</v>
      </c>
      <c r="BU275">
        <v>120.84916492641339</v>
      </c>
      <c r="BV275">
        <v>0.65604197337245962</v>
      </c>
      <c r="BW275">
        <v>378.48636151287423</v>
      </c>
      <c r="BX275">
        <v>-7.7238904304191225E-2</v>
      </c>
      <c r="BY275" t="str">
        <f t="shared" si="11"/>
        <v>[[sv,wv],[yr],[ya]]</v>
      </c>
      <c r="BZ275" t="str">
        <f>SUBSTITUTE(TRIM(MID(SUBSTITUTE(SUBSTITUTE(SUBSTITUTE(Tabla1[[#This Row],[map]],"[",""),"]",""),",",REPT(" ",100)),901,200))," ",", ")</f>
        <v>2, 3</v>
      </c>
      <c r="CA275" t="str">
        <f>SUBSTITUTE(TRIM(MID(SUBSTITUTE(SUBSTITUTE(SUBSTITUTE(Tabla1[[#This Row],[map]],"[",""),"]",""),",",REPT(" ",100)),1501,200))," ",", ")</f>
        <v>3, 2</v>
      </c>
      <c r="CB275" t="str">
        <f>SUBSTITUTE(TRIM(MID(SUBSTITUTE(SUBSTITUTE(SUBSTITUTE(Tabla1[[#This Row],[map]],"[",""),"]",""),",",REPT(" ",100)),601,300))," ",", ")</f>
        <v>1, 4, 0</v>
      </c>
      <c r="CC275" t="str">
        <f>SUBSTITUTE(TRIM(MID(SUBSTITUTE(SUBSTITUTE(SUBSTITUTE(Tabla1[[#This Row],[map]],"[",""),"]",""),",",REPT(" ",100)),1201,300))," ",", ")</f>
        <v>0, 1, 4</v>
      </c>
      <c r="CD275" t="str">
        <f>SUBSTITUTE(TRIM(MID(SUBSTITUTE(SUBSTITUTE(SUBSTITUTE(Tabla1[[#This Row],[map]],"[",""),"]",""),",",REPT(" ",100)),1,300))," ",", ")</f>
        <v>4, 2, 3</v>
      </c>
      <c r="CE275" t="str">
        <f>SUBSTITUTE(TRIM(MID(SUBSTITUTE(SUBSTITUTE(SUBSTITUTE(Tabla1[[#This Row],[map]],"[",""),"]",""),",",REPT(" ",100)),1,600))," ",", ")</f>
        <v>4, 2, 3, 0, 1, -1</v>
      </c>
      <c r="CF275" t="str">
        <f>SUBSTITUTE(TRIM(MID(SUBSTITUTE(SUBSTITUTE(SUBSTITUTE(Tabla1[[#This Row],[map]],"[",""),"]",""),",",REPT(" ",100)),601,600))," ",", ")</f>
        <v>1, 4, 0, 2, 3, -1</v>
      </c>
      <c r="CG275" t="str">
        <f>SUBSTITUTE(TRIM(MID(SUBSTITUTE(SUBSTITUTE(SUBSTITUTE(Tabla1[[#This Row],[map]],"[",""),"]",""),",",REPT(" ",100)),1201,600))," ",", ")</f>
        <v>0, 1, 4, 3, 2, -1</v>
      </c>
    </row>
    <row r="276" spans="1:85" x14ac:dyDescent="0.3">
      <c r="A276" s="1">
        <v>46107.703321759262</v>
      </c>
      <c r="B276" t="s">
        <v>506</v>
      </c>
      <c r="C276">
        <v>5</v>
      </c>
      <c r="D276" t="s">
        <v>96</v>
      </c>
      <c r="E276" t="s">
        <v>78</v>
      </c>
      <c r="F276">
        <v>16590</v>
      </c>
      <c r="G276">
        <v>4.5</v>
      </c>
      <c r="H276" t="s">
        <v>79</v>
      </c>
      <c r="I276" t="s">
        <v>80</v>
      </c>
      <c r="J276">
        <v>5</v>
      </c>
      <c r="K276">
        <v>5</v>
      </c>
      <c r="L276" t="s">
        <v>81</v>
      </c>
      <c r="M276" t="s">
        <v>82</v>
      </c>
      <c r="N276" t="s">
        <v>83</v>
      </c>
      <c r="O276" t="s">
        <v>83</v>
      </c>
      <c r="P276" t="s">
        <v>84</v>
      </c>
      <c r="Q276" t="s">
        <v>416</v>
      </c>
      <c r="R276">
        <v>3</v>
      </c>
      <c r="S276" t="s">
        <v>86</v>
      </c>
      <c r="T276" t="s">
        <v>87</v>
      </c>
      <c r="U276" t="s">
        <v>88</v>
      </c>
      <c r="V276">
        <v>1</v>
      </c>
      <c r="W276" t="s">
        <v>417</v>
      </c>
      <c r="X276" t="s">
        <v>83</v>
      </c>
      <c r="Y276" t="s">
        <v>90</v>
      </c>
      <c r="Z276">
        <v>4000</v>
      </c>
      <c r="AA276">
        <v>4000</v>
      </c>
      <c r="AC276">
        <v>256</v>
      </c>
      <c r="AD276" t="s">
        <v>91</v>
      </c>
      <c r="AE276">
        <v>0.15</v>
      </c>
      <c r="AF276" t="s">
        <v>92</v>
      </c>
      <c r="AG276">
        <v>180</v>
      </c>
      <c r="AH276">
        <v>60</v>
      </c>
      <c r="AI276">
        <v>120</v>
      </c>
      <c r="AJ276">
        <v>9.6212216192090083E-2</v>
      </c>
      <c r="AK276">
        <v>18.240263779616662</v>
      </c>
      <c r="AL276">
        <v>0.77277834619320096</v>
      </c>
      <c r="AM276">
        <v>5.3747799685047393E-2</v>
      </c>
      <c r="AN276">
        <v>21.58015274037302</v>
      </c>
      <c r="AO276">
        <v>0.70799408638285444</v>
      </c>
      <c r="AP276">
        <v>21.58015274037302</v>
      </c>
      <c r="AQ276">
        <v>21.58015274037302</v>
      </c>
      <c r="AR276">
        <v>0.70799408638285444</v>
      </c>
      <c r="AS276">
        <v>97.857911449137902</v>
      </c>
      <c r="AT276">
        <v>4.5519889236360467E-2</v>
      </c>
      <c r="AU276">
        <v>0.8</v>
      </c>
      <c r="AV276" t="s">
        <v>93</v>
      </c>
      <c r="AW276">
        <v>6.663992476664099E-2</v>
      </c>
      <c r="AX276">
        <v>0.51610798353463849</v>
      </c>
      <c r="AY276">
        <v>6.663992476664099E-2</v>
      </c>
      <c r="AZ276">
        <v>6.663992476664099E-2</v>
      </c>
      <c r="BA276">
        <v>0.51610798353463849</v>
      </c>
      <c r="BB276">
        <v>0.20508228449716201</v>
      </c>
      <c r="BC276">
        <v>-0.4891625483396651</v>
      </c>
      <c r="BD276">
        <v>6.513739699570685E-2</v>
      </c>
      <c r="BE276">
        <v>0.7743128315861062</v>
      </c>
      <c r="BF276">
        <v>6.513739699570685E-2</v>
      </c>
      <c r="BG276">
        <v>6.513739699570685E-2</v>
      </c>
      <c r="BH276">
        <v>0.7743128315861062</v>
      </c>
      <c r="BI276">
        <v>0.17947054874945151</v>
      </c>
      <c r="BJ276">
        <v>0.37817288026383689</v>
      </c>
      <c r="BK276">
        <v>5.3126741687651143E-2</v>
      </c>
      <c r="BL276">
        <v>0.78671293621367444</v>
      </c>
      <c r="BM276">
        <v>5.3126741687651143E-2</v>
      </c>
      <c r="BN276">
        <v>5.3126741687651143E-2</v>
      </c>
      <c r="BO276">
        <v>0.78671293621367444</v>
      </c>
      <c r="BP276">
        <v>0.148047325330524</v>
      </c>
      <c r="BQ276">
        <v>0.40563681644895477</v>
      </c>
      <c r="BR276">
        <v>86.135706898041988</v>
      </c>
      <c r="BS276">
        <v>0.75484259419699717</v>
      </c>
      <c r="BT276">
        <v>86.135706898041988</v>
      </c>
      <c r="BU276">
        <v>86.135706898041988</v>
      </c>
      <c r="BV276">
        <v>0.75484259419699717</v>
      </c>
      <c r="BW276">
        <v>390.89904563797381</v>
      </c>
      <c r="BX276">
        <v>-0.1125675914276807</v>
      </c>
      <c r="BY276" t="str">
        <f t="shared" si="11"/>
        <v>[[sv,wv],[yr],[ya]]</v>
      </c>
      <c r="BZ276" t="str">
        <f>SUBSTITUTE(TRIM(MID(SUBSTITUTE(SUBSTITUTE(SUBSTITUTE(Tabla1[[#This Row],[map]],"[",""),"]",""),",",REPT(" ",100)),901,200))," ",", ")</f>
        <v>2, 4</v>
      </c>
      <c r="CA276" t="str">
        <f>SUBSTITUTE(TRIM(MID(SUBSTITUTE(SUBSTITUTE(SUBSTITUTE(Tabla1[[#This Row],[map]],"[",""),"]",""),",",REPT(" ",100)),1501,200))," ",", ")</f>
        <v>3, 4</v>
      </c>
      <c r="CB276" t="str">
        <f>SUBSTITUTE(TRIM(MID(SUBSTITUTE(SUBSTITUTE(SUBSTITUTE(Tabla1[[#This Row],[map]],"[",""),"]",""),",",REPT(" ",100)),601,300))," ",", ")</f>
        <v>0, 1, 3</v>
      </c>
      <c r="CC276" t="str">
        <f>SUBSTITUTE(TRIM(MID(SUBSTITUTE(SUBSTITUTE(SUBSTITUTE(Tabla1[[#This Row],[map]],"[",""),"]",""),",",REPT(" ",100)),1201,300))," ",", ")</f>
        <v>1, 2, 0</v>
      </c>
      <c r="CD276" t="str">
        <f>SUBSTITUTE(TRIM(MID(SUBSTITUTE(SUBSTITUTE(SUBSTITUTE(Tabla1[[#This Row],[map]],"[",""),"]",""),",",REPT(" ",100)),1,300))," ",", ")</f>
        <v>2, 3, 4</v>
      </c>
      <c r="CE276" t="str">
        <f>SUBSTITUTE(TRIM(MID(SUBSTITUTE(SUBSTITUTE(SUBSTITUTE(Tabla1[[#This Row],[map]],"[",""),"]",""),",",REPT(" ",100)),1,600))," ",", ")</f>
        <v>2, 3, 4, 0, 1, -1</v>
      </c>
      <c r="CF276" t="str">
        <f>SUBSTITUTE(TRIM(MID(SUBSTITUTE(SUBSTITUTE(SUBSTITUTE(Tabla1[[#This Row],[map]],"[",""),"]",""),",",REPT(" ",100)),601,600))," ",", ")</f>
        <v>0, 1, 3, 2, 4, -1</v>
      </c>
      <c r="CG276" t="str">
        <f>SUBSTITUTE(TRIM(MID(SUBSTITUTE(SUBSTITUTE(SUBSTITUTE(Tabla1[[#This Row],[map]],"[",""),"]",""),",",REPT(" ",100)),1201,600))," ",", ")</f>
        <v>1, 2, 0, 3, 4, -1</v>
      </c>
    </row>
    <row r="277" spans="1:85" x14ac:dyDescent="0.3">
      <c r="A277" s="1">
        <v>46107.717534722222</v>
      </c>
      <c r="B277" t="s">
        <v>507</v>
      </c>
      <c r="C277">
        <v>4</v>
      </c>
      <c r="D277" t="s">
        <v>96</v>
      </c>
      <c r="E277" t="s">
        <v>78</v>
      </c>
      <c r="F277">
        <v>16590</v>
      </c>
      <c r="G277">
        <v>4.5</v>
      </c>
      <c r="H277" t="s">
        <v>79</v>
      </c>
      <c r="I277" t="s">
        <v>80</v>
      </c>
      <c r="J277">
        <v>5</v>
      </c>
      <c r="K277">
        <v>5</v>
      </c>
      <c r="L277" t="s">
        <v>81</v>
      </c>
      <c r="M277" t="s">
        <v>82</v>
      </c>
      <c r="N277" t="s">
        <v>83</v>
      </c>
      <c r="O277" t="s">
        <v>83</v>
      </c>
      <c r="P277" t="s">
        <v>84</v>
      </c>
      <c r="Q277" t="s">
        <v>416</v>
      </c>
      <c r="R277">
        <v>3</v>
      </c>
      <c r="S277" t="s">
        <v>86</v>
      </c>
      <c r="T277" t="s">
        <v>87</v>
      </c>
      <c r="U277" t="s">
        <v>88</v>
      </c>
      <c r="V277">
        <v>1</v>
      </c>
      <c r="W277" t="s">
        <v>417</v>
      </c>
      <c r="X277" t="s">
        <v>83</v>
      </c>
      <c r="Y277" t="s">
        <v>90</v>
      </c>
      <c r="Z277">
        <v>4000</v>
      </c>
      <c r="AA277">
        <v>4000</v>
      </c>
      <c r="AC277">
        <v>256</v>
      </c>
      <c r="AD277" t="s">
        <v>91</v>
      </c>
      <c r="AE277">
        <v>0.15</v>
      </c>
      <c r="AF277" t="s">
        <v>92</v>
      </c>
      <c r="AG277">
        <v>180</v>
      </c>
      <c r="AH277">
        <v>60</v>
      </c>
      <c r="AI277">
        <v>120</v>
      </c>
      <c r="AJ277">
        <v>9.4209099458810452E-2</v>
      </c>
      <c r="AK277">
        <v>16.72453051302001</v>
      </c>
      <c r="AL277">
        <v>0.79696450448378342</v>
      </c>
      <c r="AM277">
        <v>-6.4499642115715414E-3</v>
      </c>
      <c r="AN277">
        <v>25.171167910270022</v>
      </c>
      <c r="AO277">
        <v>0.71429861287760144</v>
      </c>
      <c r="AP277">
        <v>25.171167910270022</v>
      </c>
      <c r="AQ277">
        <v>25.171167910270022</v>
      </c>
      <c r="AR277">
        <v>0.71429861287760144</v>
      </c>
      <c r="AS277">
        <v>73.88092625149379</v>
      </c>
      <c r="AT277">
        <v>6.3938737242462573E-2</v>
      </c>
      <c r="AU277">
        <v>0.8</v>
      </c>
      <c r="AV277" t="s">
        <v>93</v>
      </c>
      <c r="AW277">
        <v>6.2818522393341264E-2</v>
      </c>
      <c r="AX277">
        <v>0.54385630567961152</v>
      </c>
      <c r="AY277">
        <v>6.2818522393341264E-2</v>
      </c>
      <c r="AZ277">
        <v>6.2818522393341264E-2</v>
      </c>
      <c r="BA277">
        <v>0.54385630567961152</v>
      </c>
      <c r="BB277">
        <v>0.22162681018980571</v>
      </c>
      <c r="BC277">
        <v>-0.60929719625397238</v>
      </c>
      <c r="BD277">
        <v>4.0421184215588282E-2</v>
      </c>
      <c r="BE277">
        <v>0.85994922993079137</v>
      </c>
      <c r="BF277">
        <v>4.0421184215588282E-2</v>
      </c>
      <c r="BG277">
        <v>4.0421184215588282E-2</v>
      </c>
      <c r="BH277">
        <v>0.85994922993079137</v>
      </c>
      <c r="BI277">
        <v>0.17728646611731641</v>
      </c>
      <c r="BJ277">
        <v>0.38574026010342438</v>
      </c>
      <c r="BK277">
        <v>6.4892607674283578E-2</v>
      </c>
      <c r="BL277">
        <v>0.73947670584316894</v>
      </c>
      <c r="BM277">
        <v>6.4892607674283578E-2</v>
      </c>
      <c r="BN277">
        <v>6.4892607674283578E-2</v>
      </c>
      <c r="BO277">
        <v>0.73947670584316894</v>
      </c>
      <c r="BP277">
        <v>0.16967559863133841</v>
      </c>
      <c r="BQ277">
        <v>0.31880614021022857</v>
      </c>
      <c r="BR277">
        <v>100.5165393267968</v>
      </c>
      <c r="BS277">
        <v>0.71391221005683581</v>
      </c>
      <c r="BT277">
        <v>100.5165393267968</v>
      </c>
      <c r="BU277">
        <v>100.5165393267968</v>
      </c>
      <c r="BV277">
        <v>0.71391221005683581</v>
      </c>
      <c r="BW277">
        <v>294.95511613103599</v>
      </c>
      <c r="BX277">
        <v>0.16050574491016409</v>
      </c>
      <c r="BY277" t="str">
        <f t="shared" si="11"/>
        <v>[[sv,wv],[yr],[ya]]</v>
      </c>
      <c r="BZ277" t="str">
        <f>SUBSTITUTE(TRIM(MID(SUBSTITUTE(SUBSTITUTE(SUBSTITUTE(Tabla1[[#This Row],[map]],"[",""),"]",""),",",REPT(" ",100)),901,200))," ",", ")</f>
        <v>2, 4</v>
      </c>
      <c r="CA277" t="str">
        <f>SUBSTITUTE(TRIM(MID(SUBSTITUTE(SUBSTITUTE(SUBSTITUTE(Tabla1[[#This Row],[map]],"[",""),"]",""),",",REPT(" ",100)),1501,200))," ",", ")</f>
        <v>3, 4</v>
      </c>
      <c r="CB277" t="str">
        <f>SUBSTITUTE(TRIM(MID(SUBSTITUTE(SUBSTITUTE(SUBSTITUTE(Tabla1[[#This Row],[map]],"[",""),"]",""),",",REPT(" ",100)),601,300))," ",", ")</f>
        <v>0, 1, 3</v>
      </c>
      <c r="CC277" t="str">
        <f>SUBSTITUTE(TRIM(MID(SUBSTITUTE(SUBSTITUTE(SUBSTITUTE(Tabla1[[#This Row],[map]],"[",""),"]",""),",",REPT(" ",100)),1201,300))," ",", ")</f>
        <v>1, 2, 0</v>
      </c>
      <c r="CD277" t="str">
        <f>SUBSTITUTE(TRIM(MID(SUBSTITUTE(SUBSTITUTE(SUBSTITUTE(Tabla1[[#This Row],[map]],"[",""),"]",""),",",REPT(" ",100)),1,300))," ",", ")</f>
        <v>2, 3, 4</v>
      </c>
      <c r="CE277" t="str">
        <f>SUBSTITUTE(TRIM(MID(SUBSTITUTE(SUBSTITUTE(SUBSTITUTE(Tabla1[[#This Row],[map]],"[",""),"]",""),",",REPT(" ",100)),1,600))," ",", ")</f>
        <v>2, 3, 4, 0, 1, -1</v>
      </c>
      <c r="CF277" t="str">
        <f>SUBSTITUTE(TRIM(MID(SUBSTITUTE(SUBSTITUTE(SUBSTITUTE(Tabla1[[#This Row],[map]],"[",""),"]",""),",",REPT(" ",100)),601,600))," ",", ")</f>
        <v>0, 1, 3, 2, 4, -1</v>
      </c>
      <c r="CG277" t="str">
        <f>SUBSTITUTE(TRIM(MID(SUBSTITUTE(SUBSTITUTE(SUBSTITUTE(Tabla1[[#This Row],[map]],"[",""),"]",""),",",REPT(" ",100)),1201,600))," ",", ")</f>
        <v>1, 2, 0, 3, 4, -1</v>
      </c>
    </row>
    <row r="278" spans="1:85" x14ac:dyDescent="0.3">
      <c r="A278" s="1">
        <v>46107.733807870369</v>
      </c>
      <c r="B278" t="s">
        <v>508</v>
      </c>
      <c r="C278">
        <v>0</v>
      </c>
      <c r="D278" t="s">
        <v>96</v>
      </c>
      <c r="E278" t="s">
        <v>78</v>
      </c>
      <c r="F278">
        <v>16590</v>
      </c>
      <c r="G278">
        <v>4.5</v>
      </c>
      <c r="H278" t="s">
        <v>79</v>
      </c>
      <c r="I278" t="s">
        <v>80</v>
      </c>
      <c r="J278">
        <v>5</v>
      </c>
      <c r="K278">
        <v>5</v>
      </c>
      <c r="L278" t="s">
        <v>81</v>
      </c>
      <c r="M278" t="s">
        <v>82</v>
      </c>
      <c r="N278" t="s">
        <v>83</v>
      </c>
      <c r="O278" t="s">
        <v>83</v>
      </c>
      <c r="P278" t="s">
        <v>84</v>
      </c>
      <c r="Q278" t="s">
        <v>509</v>
      </c>
      <c r="R278">
        <v>3</v>
      </c>
      <c r="S278" t="s">
        <v>86</v>
      </c>
      <c r="T278" t="s">
        <v>87</v>
      </c>
      <c r="U278" t="s">
        <v>88</v>
      </c>
      <c r="V278">
        <v>1</v>
      </c>
      <c r="W278" t="s">
        <v>510</v>
      </c>
      <c r="X278" t="s">
        <v>83</v>
      </c>
      <c r="Y278" t="s">
        <v>90</v>
      </c>
      <c r="Z278">
        <v>4000</v>
      </c>
      <c r="AA278">
        <v>4000</v>
      </c>
      <c r="AC278">
        <v>256</v>
      </c>
      <c r="AD278" t="s">
        <v>91</v>
      </c>
      <c r="AE278">
        <v>0.15</v>
      </c>
      <c r="AF278" t="s">
        <v>92</v>
      </c>
      <c r="AG278">
        <v>180</v>
      </c>
      <c r="AH278">
        <v>60</v>
      </c>
      <c r="AI278">
        <v>120</v>
      </c>
      <c r="AJ278">
        <v>0.1119070948171207</v>
      </c>
      <c r="AK278">
        <v>16.06631557009317</v>
      </c>
      <c r="AL278">
        <v>0.68446107334832784</v>
      </c>
      <c r="AM278">
        <v>-0.28181313521279489</v>
      </c>
      <c r="AN278">
        <v>22.83627252870599</v>
      </c>
      <c r="AO278">
        <v>0.62400205683936116</v>
      </c>
      <c r="AP278">
        <v>22.83627252870599</v>
      </c>
      <c r="AQ278">
        <v>22.83627252870599</v>
      </c>
      <c r="AR278">
        <v>0.62400205683936116</v>
      </c>
      <c r="AS278">
        <v>100.31832324533271</v>
      </c>
      <c r="AT278">
        <v>-5.345011268246011E-2</v>
      </c>
      <c r="AU278">
        <v>0.8</v>
      </c>
      <c r="AV278" t="s">
        <v>93</v>
      </c>
      <c r="AW278">
        <v>8.1501004514506134E-2</v>
      </c>
      <c r="AX278">
        <v>0.40819732980522733</v>
      </c>
      <c r="AY278">
        <v>8.1501004514506134E-2</v>
      </c>
      <c r="AZ278">
        <v>8.1501004514506134E-2</v>
      </c>
      <c r="BA278">
        <v>0.40819732980522733</v>
      </c>
      <c r="BB278">
        <v>0.12832943591449711</v>
      </c>
      <c r="BC278">
        <v>6.8162370621199009E-2</v>
      </c>
      <c r="BD278">
        <v>0.10344214137656151</v>
      </c>
      <c r="BE278">
        <v>0.64159507351077405</v>
      </c>
      <c r="BF278">
        <v>0.10344214137656151</v>
      </c>
      <c r="BG278">
        <v>0.10344214137656151</v>
      </c>
      <c r="BH278">
        <v>0.64159507351077405</v>
      </c>
      <c r="BI278">
        <v>0.2412876488396746</v>
      </c>
      <c r="BJ278">
        <v>0.16398983147175461</v>
      </c>
      <c r="BK278">
        <v>7.3364468627365981E-2</v>
      </c>
      <c r="BL278">
        <v>0.70546486378230011</v>
      </c>
      <c r="BM278">
        <v>7.3364468627365981E-2</v>
      </c>
      <c r="BN278">
        <v>7.3364468627365981E-2</v>
      </c>
      <c r="BO278">
        <v>0.70546486378230011</v>
      </c>
      <c r="BP278">
        <v>0.32526494728929572</v>
      </c>
      <c r="BQ278">
        <v>-0.30583588144411639</v>
      </c>
      <c r="BR278">
        <v>91.086782500305645</v>
      </c>
      <c r="BS278">
        <v>0.74075096025914311</v>
      </c>
      <c r="BT278">
        <v>91.086782500305645</v>
      </c>
      <c r="BU278">
        <v>91.086782500305645</v>
      </c>
      <c r="BV278">
        <v>0.74075096025914311</v>
      </c>
      <c r="BW278">
        <v>400.57841094928489</v>
      </c>
      <c r="BX278">
        <v>-0.14011677137867931</v>
      </c>
      <c r="BY278" t="str">
        <f t="shared" si="11"/>
        <v>[[sv,wv],[yr],[ya]]</v>
      </c>
      <c r="BZ278" t="str">
        <f>SUBSTITUTE(TRIM(MID(SUBSTITUTE(SUBSTITUTE(SUBSTITUTE(Tabla1[[#This Row],[map]],"[",""),"]",""),",",REPT(" ",100)),901,200))," ",", ")</f>
        <v>2, 4</v>
      </c>
      <c r="CA278" t="str">
        <f>SUBSTITUTE(TRIM(MID(SUBSTITUTE(SUBSTITUTE(SUBSTITUTE(Tabla1[[#This Row],[map]],"[",""),"]",""),",",REPT(" ",100)),1501,200))," ",", ")</f>
        <v>3, 4</v>
      </c>
      <c r="CB278" t="str">
        <f>SUBSTITUTE(TRIM(MID(SUBSTITUTE(SUBSTITUTE(SUBSTITUTE(Tabla1[[#This Row],[map]],"[",""),"]",""),",",REPT(" ",100)),601,300))," ",", ")</f>
        <v>0, 1, 3</v>
      </c>
      <c r="CC278" t="str">
        <f>SUBSTITUTE(TRIM(MID(SUBSTITUTE(SUBSTITUTE(SUBSTITUTE(Tabla1[[#This Row],[map]],"[",""),"]",""),",",REPT(" ",100)),1201,300))," ",", ")</f>
        <v>1, 2, 0</v>
      </c>
      <c r="CD278" t="str">
        <f>SUBSTITUTE(TRIM(MID(SUBSTITUTE(SUBSTITUTE(SUBSTITUTE(Tabla1[[#This Row],[map]],"[",""),"]",""),",",REPT(" ",100)),1,300))," ",", ")</f>
        <v>4, 2, 3</v>
      </c>
      <c r="CE278" t="str">
        <f>SUBSTITUTE(TRIM(MID(SUBSTITUTE(SUBSTITUTE(SUBSTITUTE(Tabla1[[#This Row],[map]],"[",""),"]",""),",",REPT(" ",100)),1,600))," ",", ")</f>
        <v>4, 2, 3, 0, 1, -1</v>
      </c>
      <c r="CF278" t="str">
        <f>SUBSTITUTE(TRIM(MID(SUBSTITUTE(SUBSTITUTE(SUBSTITUTE(Tabla1[[#This Row],[map]],"[",""),"]",""),",",REPT(" ",100)),601,600))," ",", ")</f>
        <v>0, 1, 3, 2, 4, -1</v>
      </c>
      <c r="CG278" t="str">
        <f>SUBSTITUTE(TRIM(MID(SUBSTITUTE(SUBSTITUTE(SUBSTITUTE(Tabla1[[#This Row],[map]],"[",""),"]",""),",",REPT(" ",100)),1201,600))," ",", ")</f>
        <v>1, 2, 0, 3, 4, -1</v>
      </c>
    </row>
    <row r="279" spans="1:85" x14ac:dyDescent="0.3">
      <c r="A279" s="1">
        <v>46107.801388888889</v>
      </c>
      <c r="B279" t="s">
        <v>511</v>
      </c>
      <c r="C279">
        <v>1</v>
      </c>
      <c r="D279" t="s">
        <v>77</v>
      </c>
      <c r="E279" t="s">
        <v>78</v>
      </c>
      <c r="F279">
        <v>16590</v>
      </c>
      <c r="G279">
        <v>4.5</v>
      </c>
      <c r="H279" t="s">
        <v>79</v>
      </c>
      <c r="I279" t="s">
        <v>80</v>
      </c>
      <c r="J279">
        <v>5</v>
      </c>
      <c r="K279">
        <v>5</v>
      </c>
      <c r="L279" t="s">
        <v>81</v>
      </c>
      <c r="M279" t="s">
        <v>82</v>
      </c>
      <c r="N279" t="s">
        <v>83</v>
      </c>
      <c r="O279" t="s">
        <v>83</v>
      </c>
      <c r="P279" t="s">
        <v>84</v>
      </c>
      <c r="Q279" t="s">
        <v>493</v>
      </c>
      <c r="R279">
        <v>3</v>
      </c>
      <c r="S279" t="s">
        <v>86</v>
      </c>
      <c r="T279" t="s">
        <v>87</v>
      </c>
      <c r="U279" t="s">
        <v>88</v>
      </c>
      <c r="V279">
        <v>1</v>
      </c>
      <c r="W279" t="s">
        <v>494</v>
      </c>
      <c r="X279" t="s">
        <v>83</v>
      </c>
      <c r="Y279" t="s">
        <v>90</v>
      </c>
      <c r="Z279">
        <v>4000</v>
      </c>
      <c r="AA279">
        <v>4000</v>
      </c>
      <c r="AC279">
        <v>256</v>
      </c>
      <c r="AD279" t="s">
        <v>91</v>
      </c>
      <c r="AE279">
        <v>0.15</v>
      </c>
      <c r="AF279" t="s">
        <v>92</v>
      </c>
      <c r="AG279">
        <v>180</v>
      </c>
      <c r="AH279">
        <v>60</v>
      </c>
      <c r="AI279">
        <v>120</v>
      </c>
      <c r="AJ279">
        <v>0.1148216861749658</v>
      </c>
      <c r="AK279">
        <v>15.902336724619801</v>
      </c>
      <c r="AL279">
        <v>0.67023122375203592</v>
      </c>
      <c r="AM279">
        <v>-0.26115866470367127</v>
      </c>
      <c r="AN279">
        <v>22.20984091151043</v>
      </c>
      <c r="AO279">
        <v>0.65309646106833352</v>
      </c>
      <c r="AP279">
        <v>22.20984091151043</v>
      </c>
      <c r="AQ279">
        <v>22.20984091151043</v>
      </c>
      <c r="AR279">
        <v>0.65309646106833352</v>
      </c>
      <c r="AS279">
        <v>134.59260377852729</v>
      </c>
      <c r="AT279">
        <v>-0.25716863828905989</v>
      </c>
      <c r="AU279">
        <v>0.8</v>
      </c>
      <c r="AV279" t="s">
        <v>93</v>
      </c>
      <c r="AW279">
        <v>8.8747567759100254E-2</v>
      </c>
      <c r="AX279">
        <v>0.3555779111436721</v>
      </c>
      <c r="AY279">
        <v>8.8747567759100254E-2</v>
      </c>
      <c r="AZ279">
        <v>8.8747567759100254E-2</v>
      </c>
      <c r="BA279">
        <v>0.3555779111436721</v>
      </c>
      <c r="BB279">
        <v>0.12732903276123231</v>
      </c>
      <c r="BC279">
        <v>7.5426590993697973E-2</v>
      </c>
      <c r="BD279">
        <v>9.2706146742614209E-2</v>
      </c>
      <c r="BE279">
        <v>0.67879300190207914</v>
      </c>
      <c r="BF279">
        <v>9.2706146742614209E-2</v>
      </c>
      <c r="BG279">
        <v>9.2706146742614209E-2</v>
      </c>
      <c r="BH279">
        <v>0.67879300190207914</v>
      </c>
      <c r="BI279">
        <v>0.26591464522395453</v>
      </c>
      <c r="BJ279">
        <v>7.866254888363311E-2</v>
      </c>
      <c r="BK279">
        <v>4.2287113473695119E-2</v>
      </c>
      <c r="BL279">
        <v>0.83023061489765604</v>
      </c>
      <c r="BM279">
        <v>4.2287113473695119E-2</v>
      </c>
      <c r="BN279">
        <v>4.2287113473695119E-2</v>
      </c>
      <c r="BO279">
        <v>0.83023061489765604</v>
      </c>
      <c r="BP279">
        <v>0.41167814492104943</v>
      </c>
      <c r="BQ279">
        <v>-0.65275753727659325</v>
      </c>
      <c r="BR279">
        <v>88.615622818066257</v>
      </c>
      <c r="BS279">
        <v>0.74778431632992914</v>
      </c>
      <c r="BT279">
        <v>88.615622818066257</v>
      </c>
      <c r="BU279">
        <v>88.615622818066257</v>
      </c>
      <c r="BV279">
        <v>0.74778431632992914</v>
      </c>
      <c r="BW279">
        <v>537.56549329120446</v>
      </c>
      <c r="BX279">
        <v>-0.53000615575697951</v>
      </c>
      <c r="BY279" t="str">
        <f t="shared" si="11"/>
        <v>[[sv,wv],[yr],[ya]]</v>
      </c>
      <c r="BZ279" t="str">
        <f>SUBSTITUTE(TRIM(MID(SUBSTITUTE(SUBSTITUTE(SUBSTITUTE(Tabla1[[#This Row],[map]],"[",""),"]",""),",",REPT(" ",100)),901,200))," ",", ")</f>
        <v>2, 3</v>
      </c>
      <c r="CA279" t="str">
        <f>SUBSTITUTE(TRIM(MID(SUBSTITUTE(SUBSTITUTE(SUBSTITUTE(Tabla1[[#This Row],[map]],"[",""),"]",""),",",REPT(" ",100)),1501,200))," ",", ")</f>
        <v>3, 4</v>
      </c>
      <c r="CB279" t="str">
        <f>SUBSTITUTE(TRIM(MID(SUBSTITUTE(SUBSTITUTE(SUBSTITUTE(Tabla1[[#This Row],[map]],"[",""),"]",""),",",REPT(" ",100)),601,300))," ",", ")</f>
        <v>1, 4, 0</v>
      </c>
      <c r="CC279" t="str">
        <f>SUBSTITUTE(TRIM(MID(SUBSTITUTE(SUBSTITUTE(SUBSTITUTE(Tabla1[[#This Row],[map]],"[",""),"]",""),",",REPT(" ",100)),1201,300))," ",", ")</f>
        <v>1, 2, 0</v>
      </c>
      <c r="CD279" t="str">
        <f>SUBSTITUTE(TRIM(MID(SUBSTITUTE(SUBSTITUTE(SUBSTITUTE(Tabla1[[#This Row],[map]],"[",""),"]",""),",",REPT(" ",100)),1,300))," ",", ")</f>
        <v>4, 2, 3</v>
      </c>
      <c r="CE279" t="str">
        <f>SUBSTITUTE(TRIM(MID(SUBSTITUTE(SUBSTITUTE(SUBSTITUTE(Tabla1[[#This Row],[map]],"[",""),"]",""),",",REPT(" ",100)),1,600))," ",", ")</f>
        <v>4, 2, 3, 0, 1, -1</v>
      </c>
      <c r="CF279" t="str">
        <f>SUBSTITUTE(TRIM(MID(SUBSTITUTE(SUBSTITUTE(SUBSTITUTE(Tabla1[[#This Row],[map]],"[",""),"]",""),",",REPT(" ",100)),601,600))," ",", ")</f>
        <v>1, 4, 0, 2, 3, -1</v>
      </c>
      <c r="CG279" t="str">
        <f>SUBSTITUTE(TRIM(MID(SUBSTITUTE(SUBSTITUTE(SUBSTITUTE(Tabla1[[#This Row],[map]],"[",""),"]",""),",",REPT(" ",100)),1201,600))," ",", ")</f>
        <v>1, 2, 0, 3, 4, -1</v>
      </c>
    </row>
    <row r="280" spans="1:85" x14ac:dyDescent="0.3">
      <c r="A280" s="1">
        <v>46107.837280092594</v>
      </c>
      <c r="B280" t="s">
        <v>512</v>
      </c>
      <c r="C280">
        <v>3</v>
      </c>
      <c r="D280" t="s">
        <v>77</v>
      </c>
      <c r="E280" t="s">
        <v>78</v>
      </c>
      <c r="F280">
        <v>16590</v>
      </c>
      <c r="G280">
        <v>4.5</v>
      </c>
      <c r="H280" t="s">
        <v>79</v>
      </c>
      <c r="I280" t="s">
        <v>80</v>
      </c>
      <c r="J280">
        <v>5</v>
      </c>
      <c r="K280">
        <v>5</v>
      </c>
      <c r="L280" t="s">
        <v>81</v>
      </c>
      <c r="M280" t="s">
        <v>82</v>
      </c>
      <c r="N280" t="s">
        <v>83</v>
      </c>
      <c r="O280" t="s">
        <v>83</v>
      </c>
      <c r="P280" t="s">
        <v>84</v>
      </c>
      <c r="Q280" t="s">
        <v>449</v>
      </c>
      <c r="R280">
        <v>3</v>
      </c>
      <c r="S280" t="s">
        <v>86</v>
      </c>
      <c r="T280" t="s">
        <v>87</v>
      </c>
      <c r="U280" t="s">
        <v>88</v>
      </c>
      <c r="V280">
        <v>1</v>
      </c>
      <c r="W280" t="s">
        <v>450</v>
      </c>
      <c r="X280" t="s">
        <v>83</v>
      </c>
      <c r="Y280" t="s">
        <v>90</v>
      </c>
      <c r="Z280">
        <v>4000</v>
      </c>
      <c r="AA280">
        <v>4000</v>
      </c>
      <c r="AC280">
        <v>256</v>
      </c>
      <c r="AD280" t="s">
        <v>91</v>
      </c>
      <c r="AE280">
        <v>0.15</v>
      </c>
      <c r="AF280" t="s">
        <v>92</v>
      </c>
      <c r="AG280">
        <v>180</v>
      </c>
      <c r="AH280">
        <v>60</v>
      </c>
      <c r="AI280">
        <v>120</v>
      </c>
      <c r="AJ280">
        <v>0.1201198693074282</v>
      </c>
      <c r="AK280">
        <v>16.54250211599517</v>
      </c>
      <c r="AL280">
        <v>0.6506513608164648</v>
      </c>
      <c r="AM280">
        <v>-9.8262514329634482E-2</v>
      </c>
      <c r="AN280">
        <v>26.31063267546693</v>
      </c>
      <c r="AO280">
        <v>0.59877008802185872</v>
      </c>
      <c r="AP280">
        <v>26.31063267546693</v>
      </c>
      <c r="AQ280">
        <v>26.31063267546693</v>
      </c>
      <c r="AR280">
        <v>0.59877008802185872</v>
      </c>
      <c r="AS280">
        <v>92.88209514034952</v>
      </c>
      <c r="AT280">
        <v>-9.4430056282955976E-2</v>
      </c>
      <c r="AU280">
        <v>0.8</v>
      </c>
      <c r="AV280" t="s">
        <v>93</v>
      </c>
      <c r="AW280">
        <v>8.4700863296508125E-2</v>
      </c>
      <c r="AX280">
        <v>0.38496221776316741</v>
      </c>
      <c r="AY280">
        <v>8.4700863296508125E-2</v>
      </c>
      <c r="AZ280">
        <v>8.4700863296508125E-2</v>
      </c>
      <c r="BA280">
        <v>0.38496221776316741</v>
      </c>
      <c r="BB280">
        <v>0.1302406998866073</v>
      </c>
      <c r="BC280">
        <v>5.4284122998612072E-2</v>
      </c>
      <c r="BD280">
        <v>7.8939325495698459E-2</v>
      </c>
      <c r="BE280">
        <v>0.72649209717727758</v>
      </c>
      <c r="BF280">
        <v>7.8939325495698459E-2</v>
      </c>
      <c r="BG280">
        <v>7.8939325495698459E-2</v>
      </c>
      <c r="BH280">
        <v>0.72649209717727758</v>
      </c>
      <c r="BI280">
        <v>0.1308272609959506</v>
      </c>
      <c r="BJ280">
        <v>0.5467114829985058</v>
      </c>
      <c r="BK280">
        <v>0.1040174022290016</v>
      </c>
      <c r="BL280">
        <v>0.58240303095302015</v>
      </c>
      <c r="BM280">
        <v>0.1040174022290016</v>
      </c>
      <c r="BN280">
        <v>0.1040174022290016</v>
      </c>
      <c r="BO280">
        <v>0.58240303095302015</v>
      </c>
      <c r="BP280">
        <v>0.47908809919372181</v>
      </c>
      <c r="BQ280">
        <v>-0.92338718178443102</v>
      </c>
      <c r="BR280">
        <v>104.9748731108461</v>
      </c>
      <c r="BS280">
        <v>0.70122300619396871</v>
      </c>
      <c r="BT280">
        <v>104.9748731108461</v>
      </c>
      <c r="BU280">
        <v>104.9748731108461</v>
      </c>
      <c r="BV280">
        <v>0.70122300619396871</v>
      </c>
      <c r="BW280">
        <v>370.78822450132259</v>
      </c>
      <c r="BX280">
        <v>-5.5328649344514647E-2</v>
      </c>
      <c r="BY280" t="str">
        <f t="shared" si="11"/>
        <v>[[sv,wv],[yr],[ya]]</v>
      </c>
      <c r="BZ280" t="str">
        <f>SUBSTITUTE(TRIM(MID(SUBSTITUTE(SUBSTITUTE(SUBSTITUTE(Tabla1[[#This Row],[map]],"[",""),"]",""),",",REPT(" ",100)),901,200))," ",", ")</f>
        <v>2, 4</v>
      </c>
      <c r="CA280" t="str">
        <f>SUBSTITUTE(TRIM(MID(SUBSTITUTE(SUBSTITUTE(SUBSTITUTE(Tabla1[[#This Row],[map]],"[",""),"]",""),",",REPT(" ",100)),1501,200))," ",", ")</f>
        <v>3, 2</v>
      </c>
      <c r="CB280" t="str">
        <f>SUBSTITUTE(TRIM(MID(SUBSTITUTE(SUBSTITUTE(SUBSTITUTE(Tabla1[[#This Row],[map]],"[",""),"]",""),",",REPT(" ",100)),601,300))," ",", ")</f>
        <v>1, 3, 0</v>
      </c>
      <c r="CC280" t="str">
        <f>SUBSTITUTE(TRIM(MID(SUBSTITUTE(SUBSTITUTE(SUBSTITUTE(Tabla1[[#This Row],[map]],"[",""),"]",""),",",REPT(" ",100)),1201,300))," ",", ")</f>
        <v>0, 1, 4</v>
      </c>
      <c r="CD280" t="str">
        <f>SUBSTITUTE(TRIM(MID(SUBSTITUTE(SUBSTITUTE(SUBSTITUTE(Tabla1[[#This Row],[map]],"[",""),"]",""),",",REPT(" ",100)),1,300))," ",", ")</f>
        <v>4, 2, 3</v>
      </c>
      <c r="CE280" t="str">
        <f>SUBSTITUTE(TRIM(MID(SUBSTITUTE(SUBSTITUTE(SUBSTITUTE(Tabla1[[#This Row],[map]],"[",""),"]",""),",",REPT(" ",100)),1,600))," ",", ")</f>
        <v>4, 2, 3, 0, 1, -1</v>
      </c>
      <c r="CF280" t="str">
        <f>SUBSTITUTE(TRIM(MID(SUBSTITUTE(SUBSTITUTE(SUBSTITUTE(Tabla1[[#This Row],[map]],"[",""),"]",""),",",REPT(" ",100)),601,600))," ",", ")</f>
        <v>1, 3, 0, 2, 4, -1</v>
      </c>
      <c r="CG280" t="str">
        <f>SUBSTITUTE(TRIM(MID(SUBSTITUTE(SUBSTITUTE(SUBSTITUTE(Tabla1[[#This Row],[map]],"[",""),"]",""),",",REPT(" ",100)),1201,600))," ",", ")</f>
        <v>0, 1, 4, 3, 2, -1</v>
      </c>
    </row>
    <row r="281" spans="1:85" x14ac:dyDescent="0.3">
      <c r="A281" s="1">
        <v>46107.847326388888</v>
      </c>
      <c r="B281" t="s">
        <v>513</v>
      </c>
      <c r="C281">
        <v>2</v>
      </c>
      <c r="D281" t="s">
        <v>77</v>
      </c>
      <c r="E281" t="s">
        <v>78</v>
      </c>
      <c r="F281">
        <v>16590</v>
      </c>
      <c r="G281">
        <v>4.5</v>
      </c>
      <c r="H281" t="s">
        <v>79</v>
      </c>
      <c r="I281" t="s">
        <v>80</v>
      </c>
      <c r="J281">
        <v>5</v>
      </c>
      <c r="K281">
        <v>5</v>
      </c>
      <c r="L281" t="s">
        <v>81</v>
      </c>
      <c r="M281" t="s">
        <v>82</v>
      </c>
      <c r="N281" t="s">
        <v>83</v>
      </c>
      <c r="O281" t="s">
        <v>83</v>
      </c>
      <c r="P281" t="s">
        <v>84</v>
      </c>
      <c r="Q281" t="s">
        <v>449</v>
      </c>
      <c r="R281">
        <v>3</v>
      </c>
      <c r="S281" t="s">
        <v>86</v>
      </c>
      <c r="T281" t="s">
        <v>87</v>
      </c>
      <c r="U281" t="s">
        <v>88</v>
      </c>
      <c r="V281">
        <v>1</v>
      </c>
      <c r="W281" t="s">
        <v>450</v>
      </c>
      <c r="X281" t="s">
        <v>83</v>
      </c>
      <c r="Y281" t="s">
        <v>90</v>
      </c>
      <c r="Z281">
        <v>4000</v>
      </c>
      <c r="AA281">
        <v>4000</v>
      </c>
      <c r="AC281">
        <v>256</v>
      </c>
      <c r="AD281" t="s">
        <v>91</v>
      </c>
      <c r="AE281">
        <v>0.15</v>
      </c>
      <c r="AF281" t="s">
        <v>92</v>
      </c>
      <c r="AG281">
        <v>180</v>
      </c>
      <c r="AH281">
        <v>60</v>
      </c>
      <c r="AI281">
        <v>120</v>
      </c>
      <c r="AJ281">
        <v>0.1100035121615149</v>
      </c>
      <c r="AK281">
        <v>20.471789750840721</v>
      </c>
      <c r="AL281">
        <v>0.69347097873274355</v>
      </c>
      <c r="AM281">
        <v>-0.25054035582274048</v>
      </c>
      <c r="AN281">
        <v>28.783809356234659</v>
      </c>
      <c r="AO281">
        <v>0.63825602401341808</v>
      </c>
      <c r="AP281">
        <v>28.783809356234659</v>
      </c>
      <c r="AQ281">
        <v>28.783809356234659</v>
      </c>
      <c r="AR281">
        <v>0.63825602401341808</v>
      </c>
      <c r="AS281">
        <v>121.2060510936777</v>
      </c>
      <c r="AT281">
        <v>-0.2866537780544689</v>
      </c>
      <c r="AU281">
        <v>0.8</v>
      </c>
      <c r="AV281" t="s">
        <v>93</v>
      </c>
      <c r="AW281">
        <v>7.2785053649950041E-2</v>
      </c>
      <c r="AX281">
        <v>0.47148640244497192</v>
      </c>
      <c r="AY281">
        <v>7.2785053649950041E-2</v>
      </c>
      <c r="AZ281">
        <v>7.2785053649950041E-2</v>
      </c>
      <c r="BA281">
        <v>0.47148640244497192</v>
      </c>
      <c r="BB281">
        <v>0.1265969294207738</v>
      </c>
      <c r="BC281">
        <v>8.0742607824689339E-2</v>
      </c>
      <c r="BD281">
        <v>9.9188461885100138E-2</v>
      </c>
      <c r="BE281">
        <v>0.65633316443926826</v>
      </c>
      <c r="BF281">
        <v>9.9188461885100138E-2</v>
      </c>
      <c r="BG281">
        <v>9.9188461885100138E-2</v>
      </c>
      <c r="BH281">
        <v>0.65633316443926826</v>
      </c>
      <c r="BI281">
        <v>0.2874728193205604</v>
      </c>
      <c r="BJ281">
        <v>3.9680800770668379E-3</v>
      </c>
      <c r="BK281">
        <v>6.1714801438392031E-2</v>
      </c>
      <c r="BL281">
        <v>0.75223459273410787</v>
      </c>
      <c r="BM281">
        <v>6.1714801438392031E-2</v>
      </c>
      <c r="BN281">
        <v>6.1714801438392031E-2</v>
      </c>
      <c r="BO281">
        <v>0.75223459273410787</v>
      </c>
      <c r="BP281">
        <v>0.4617856917826712</v>
      </c>
      <c r="BQ281">
        <v>-0.85392348881348545</v>
      </c>
      <c r="BR281">
        <v>114.9015491079651</v>
      </c>
      <c r="BS281">
        <v>0.67296993643532299</v>
      </c>
      <c r="BT281">
        <v>114.9015491079651</v>
      </c>
      <c r="BU281">
        <v>114.9015491079651</v>
      </c>
      <c r="BV281">
        <v>0.67296993643532299</v>
      </c>
      <c r="BW281">
        <v>483.94834893418579</v>
      </c>
      <c r="BX281">
        <v>-0.37740231130614132</v>
      </c>
      <c r="BY281" t="str">
        <f t="shared" si="11"/>
        <v>[[sv,wv],[yr],[ya]]</v>
      </c>
      <c r="BZ281" t="str">
        <f>SUBSTITUTE(TRIM(MID(SUBSTITUTE(SUBSTITUTE(SUBSTITUTE(Tabla1[[#This Row],[map]],"[",""),"]",""),",",REPT(" ",100)),901,200))," ",", ")</f>
        <v>2, 4</v>
      </c>
      <c r="CA281" t="str">
        <f>SUBSTITUTE(TRIM(MID(SUBSTITUTE(SUBSTITUTE(SUBSTITUTE(Tabla1[[#This Row],[map]],"[",""),"]",""),",",REPT(" ",100)),1501,200))," ",", ")</f>
        <v>3, 2</v>
      </c>
      <c r="CB281" t="str">
        <f>SUBSTITUTE(TRIM(MID(SUBSTITUTE(SUBSTITUTE(SUBSTITUTE(Tabla1[[#This Row],[map]],"[",""),"]",""),",",REPT(" ",100)),601,300))," ",", ")</f>
        <v>1, 3, 0</v>
      </c>
      <c r="CC281" t="str">
        <f>SUBSTITUTE(TRIM(MID(SUBSTITUTE(SUBSTITUTE(SUBSTITUTE(Tabla1[[#This Row],[map]],"[",""),"]",""),",",REPT(" ",100)),1201,300))," ",", ")</f>
        <v>0, 1, 4</v>
      </c>
      <c r="CD281" t="str">
        <f>SUBSTITUTE(TRIM(MID(SUBSTITUTE(SUBSTITUTE(SUBSTITUTE(Tabla1[[#This Row],[map]],"[",""),"]",""),",",REPT(" ",100)),1,300))," ",", ")</f>
        <v>4, 2, 3</v>
      </c>
      <c r="CE281" t="str">
        <f>SUBSTITUTE(TRIM(MID(SUBSTITUTE(SUBSTITUTE(SUBSTITUTE(Tabla1[[#This Row],[map]],"[",""),"]",""),",",REPT(" ",100)),1,600))," ",", ")</f>
        <v>4, 2, 3, 0, 1, -1</v>
      </c>
      <c r="CF281" t="str">
        <f>SUBSTITUTE(TRIM(MID(SUBSTITUTE(SUBSTITUTE(SUBSTITUTE(Tabla1[[#This Row],[map]],"[",""),"]",""),",",REPT(" ",100)),601,600))," ",", ")</f>
        <v>1, 3, 0, 2, 4, -1</v>
      </c>
      <c r="CG281" t="str">
        <f>SUBSTITUTE(TRIM(MID(SUBSTITUTE(SUBSTITUTE(SUBSTITUTE(Tabla1[[#This Row],[map]],"[",""),"]",""),",",REPT(" ",100)),1201,600))," ",", ")</f>
        <v>0, 1, 4, 3, 2, -1</v>
      </c>
    </row>
    <row r="282" spans="1:85" x14ac:dyDescent="0.3">
      <c r="A282" s="1">
        <v>46107.850949074083</v>
      </c>
      <c r="B282" t="s">
        <v>514</v>
      </c>
      <c r="C282">
        <v>5</v>
      </c>
      <c r="D282" t="s">
        <v>77</v>
      </c>
      <c r="E282" t="s">
        <v>78</v>
      </c>
      <c r="F282">
        <v>16590</v>
      </c>
      <c r="G282">
        <v>4.5</v>
      </c>
      <c r="H282" t="s">
        <v>79</v>
      </c>
      <c r="I282" t="s">
        <v>80</v>
      </c>
      <c r="J282">
        <v>5</v>
      </c>
      <c r="K282">
        <v>5</v>
      </c>
      <c r="L282" t="s">
        <v>81</v>
      </c>
      <c r="M282" t="s">
        <v>82</v>
      </c>
      <c r="N282" t="s">
        <v>83</v>
      </c>
      <c r="O282" t="s">
        <v>83</v>
      </c>
      <c r="P282" t="s">
        <v>84</v>
      </c>
      <c r="Q282" t="s">
        <v>422</v>
      </c>
      <c r="R282">
        <v>3</v>
      </c>
      <c r="S282" t="s">
        <v>86</v>
      </c>
      <c r="T282" t="s">
        <v>87</v>
      </c>
      <c r="U282" t="s">
        <v>88</v>
      </c>
      <c r="V282">
        <v>1</v>
      </c>
      <c r="W282" t="s">
        <v>423</v>
      </c>
      <c r="X282" t="s">
        <v>83</v>
      </c>
      <c r="Y282" t="s">
        <v>90</v>
      </c>
      <c r="Z282">
        <v>4000</v>
      </c>
      <c r="AA282">
        <v>4000</v>
      </c>
      <c r="AC282">
        <v>256</v>
      </c>
      <c r="AD282" t="s">
        <v>91</v>
      </c>
      <c r="AE282">
        <v>0.15</v>
      </c>
      <c r="AF282" t="s">
        <v>92</v>
      </c>
      <c r="AG282">
        <v>180</v>
      </c>
      <c r="AH282">
        <v>60</v>
      </c>
      <c r="AI282">
        <v>120</v>
      </c>
      <c r="AJ282">
        <v>8.8067246005174307E-2</v>
      </c>
      <c r="AK282">
        <v>8.1194260707882986</v>
      </c>
      <c r="AL282">
        <v>0.81137309611275665</v>
      </c>
      <c r="AM282">
        <v>4.7495546095261271E-2</v>
      </c>
      <c r="AN282">
        <v>12.677724758125439</v>
      </c>
      <c r="AO282">
        <v>0.7453724214652051</v>
      </c>
      <c r="AP282">
        <v>12.677724758125439</v>
      </c>
      <c r="AQ282">
        <v>12.677724758125439</v>
      </c>
      <c r="AR282">
        <v>0.7453724214652051</v>
      </c>
      <c r="AS282">
        <v>120.0404285894834</v>
      </c>
      <c r="AT282">
        <v>6.830516827597824E-2</v>
      </c>
      <c r="AU282">
        <v>0.8</v>
      </c>
      <c r="AV282" t="s">
        <v>93</v>
      </c>
      <c r="AW282">
        <v>6.6673427961460641E-2</v>
      </c>
      <c r="AX282">
        <v>0.51586470702200615</v>
      </c>
      <c r="AY282">
        <v>6.6673427961460641E-2</v>
      </c>
      <c r="AZ282">
        <v>6.6673427961460641E-2</v>
      </c>
      <c r="BA282">
        <v>0.51586470702200615</v>
      </c>
      <c r="BB282">
        <v>0.1577314354034153</v>
      </c>
      <c r="BC282">
        <v>-0.1453341612345542</v>
      </c>
      <c r="BD282">
        <v>6.8947318980255162E-2</v>
      </c>
      <c r="BE282">
        <v>0.76111226564044476</v>
      </c>
      <c r="BF282">
        <v>6.8947318980255162E-2</v>
      </c>
      <c r="BG282">
        <v>6.8947318980255162E-2</v>
      </c>
      <c r="BH282">
        <v>0.76111226564044476</v>
      </c>
      <c r="BI282">
        <v>0.15757631697451269</v>
      </c>
      <c r="BJ282">
        <v>0.45403171714995161</v>
      </c>
      <c r="BK282">
        <v>3.7773496205956603E-2</v>
      </c>
      <c r="BL282">
        <v>0.84835136056188676</v>
      </c>
      <c r="BM282">
        <v>3.7773496205956603E-2</v>
      </c>
      <c r="BN282">
        <v>3.7773496205956603E-2</v>
      </c>
      <c r="BO282">
        <v>0.84835136056188676</v>
      </c>
      <c r="BP282">
        <v>0.16694330685616729</v>
      </c>
      <c r="BQ282">
        <v>0.32977542745844751</v>
      </c>
      <c r="BR282">
        <v>50.537504789353981</v>
      </c>
      <c r="BS282">
        <v>0.85616135263648152</v>
      </c>
      <c r="BT282">
        <v>50.537504789353981</v>
      </c>
      <c r="BU282">
        <v>50.537504789353981</v>
      </c>
      <c r="BV282">
        <v>0.85616135263648152</v>
      </c>
      <c r="BW282">
        <v>479.6794632987</v>
      </c>
      <c r="BX282">
        <v>-0.36525231026993721</v>
      </c>
      <c r="BY282" t="str">
        <f t="shared" si="11"/>
        <v>[[sv,wv],[yr],[ya]]</v>
      </c>
      <c r="BZ282" t="str">
        <f>SUBSTITUTE(TRIM(MID(SUBSTITUTE(SUBSTITUTE(SUBSTITUTE(Tabla1[[#This Row],[map]],"[",""),"]",""),",",REPT(" ",100)),901,200))," ",", ")</f>
        <v>2, 4</v>
      </c>
      <c r="CA282" t="str">
        <f>SUBSTITUTE(TRIM(MID(SUBSTITUTE(SUBSTITUTE(SUBSTITUTE(Tabla1[[#This Row],[map]],"[",""),"]",""),",",REPT(" ",100)),1501,200))," ",", ")</f>
        <v>3, 2</v>
      </c>
      <c r="CB282" t="str">
        <f>SUBSTITUTE(TRIM(MID(SUBSTITUTE(SUBSTITUTE(SUBSTITUTE(Tabla1[[#This Row],[map]],"[",""),"]",""),",",REPT(" ",100)),601,300))," ",", ")</f>
        <v>1, 3, 0</v>
      </c>
      <c r="CC282" t="str">
        <f>SUBSTITUTE(TRIM(MID(SUBSTITUTE(SUBSTITUTE(SUBSTITUTE(Tabla1[[#This Row],[map]],"[",""),"]",""),",",REPT(" ",100)),1201,300))," ",", ")</f>
        <v>1, 4, 0</v>
      </c>
      <c r="CD282" t="str">
        <f>SUBSTITUTE(TRIM(MID(SUBSTITUTE(SUBSTITUTE(SUBSTITUTE(Tabla1[[#This Row],[map]],"[",""),"]",""),",",REPT(" ",100)),1,300))," ",", ")</f>
        <v>2, 3, 4</v>
      </c>
      <c r="CE282" t="str">
        <f>SUBSTITUTE(TRIM(MID(SUBSTITUTE(SUBSTITUTE(SUBSTITUTE(Tabla1[[#This Row],[map]],"[",""),"]",""),",",REPT(" ",100)),1,600))," ",", ")</f>
        <v>2, 3, 4, 0, 1, -1</v>
      </c>
      <c r="CF282" t="str">
        <f>SUBSTITUTE(TRIM(MID(SUBSTITUTE(SUBSTITUTE(SUBSTITUTE(Tabla1[[#This Row],[map]],"[",""),"]",""),",",REPT(" ",100)),601,600))," ",", ")</f>
        <v>1, 3, 0, 2, 4, -1</v>
      </c>
      <c r="CG282" t="str">
        <f>SUBSTITUTE(TRIM(MID(SUBSTITUTE(SUBSTITUTE(SUBSTITUTE(Tabla1[[#This Row],[map]],"[",""),"]",""),",",REPT(" ",100)),1201,600))," ",", ")</f>
        <v>1, 4, 0, 3, 2, -1</v>
      </c>
    </row>
    <row r="283" spans="1:85" x14ac:dyDescent="0.3">
      <c r="A283" s="1">
        <v>46107.863993055558</v>
      </c>
      <c r="B283" t="s">
        <v>515</v>
      </c>
      <c r="C283">
        <v>4</v>
      </c>
      <c r="D283" t="s">
        <v>77</v>
      </c>
      <c r="E283" t="s">
        <v>78</v>
      </c>
      <c r="F283">
        <v>16590</v>
      </c>
      <c r="G283">
        <v>4.5</v>
      </c>
      <c r="H283" t="s">
        <v>79</v>
      </c>
      <c r="I283" t="s">
        <v>80</v>
      </c>
      <c r="J283">
        <v>5</v>
      </c>
      <c r="K283">
        <v>5</v>
      </c>
      <c r="L283" t="s">
        <v>81</v>
      </c>
      <c r="M283" t="s">
        <v>82</v>
      </c>
      <c r="N283" t="s">
        <v>83</v>
      </c>
      <c r="O283" t="s">
        <v>83</v>
      </c>
      <c r="P283" t="s">
        <v>84</v>
      </c>
      <c r="Q283" t="s">
        <v>422</v>
      </c>
      <c r="R283">
        <v>3</v>
      </c>
      <c r="S283" t="s">
        <v>86</v>
      </c>
      <c r="T283" t="s">
        <v>87</v>
      </c>
      <c r="U283" t="s">
        <v>88</v>
      </c>
      <c r="V283">
        <v>1</v>
      </c>
      <c r="W283" t="s">
        <v>423</v>
      </c>
      <c r="X283" t="s">
        <v>83</v>
      </c>
      <c r="Y283" t="s">
        <v>90</v>
      </c>
      <c r="Z283">
        <v>4000</v>
      </c>
      <c r="AA283">
        <v>4000</v>
      </c>
      <c r="AC283">
        <v>256</v>
      </c>
      <c r="AD283" t="s">
        <v>91</v>
      </c>
      <c r="AE283">
        <v>0.15</v>
      </c>
      <c r="AF283" t="s">
        <v>92</v>
      </c>
      <c r="AG283">
        <v>180</v>
      </c>
      <c r="AH283">
        <v>60</v>
      </c>
      <c r="AI283">
        <v>120</v>
      </c>
      <c r="AJ283">
        <v>0.1015052626264584</v>
      </c>
      <c r="AK283">
        <v>27.829174648595099</v>
      </c>
      <c r="AL283">
        <v>0.78515939028648929</v>
      </c>
      <c r="AM283">
        <v>-0.36228606357959992</v>
      </c>
      <c r="AN283">
        <v>35.849398046570293</v>
      </c>
      <c r="AO283">
        <v>0.71027228799334663</v>
      </c>
      <c r="AP283">
        <v>35.849398046570293</v>
      </c>
      <c r="AQ283">
        <v>35.849398046570293</v>
      </c>
      <c r="AR283">
        <v>0.71027228799334663</v>
      </c>
      <c r="AS283">
        <v>127.0044072002912</v>
      </c>
      <c r="AT283">
        <v>-0.27294237747150729</v>
      </c>
      <c r="AU283">
        <v>0.8</v>
      </c>
      <c r="AV283" t="s">
        <v>93</v>
      </c>
      <c r="AW283">
        <v>6.2588010944263334E-2</v>
      </c>
      <c r="AX283">
        <v>0.54553011684166308</v>
      </c>
      <c r="AY283">
        <v>6.2588010944263334E-2</v>
      </c>
      <c r="AZ283">
        <v>6.2588010944263334E-2</v>
      </c>
      <c r="BA283">
        <v>0.54553011684166308</v>
      </c>
      <c r="BB283">
        <v>0.23030789333276541</v>
      </c>
      <c r="BC283">
        <v>-0.67233308415240933</v>
      </c>
      <c r="BD283">
        <v>4.0086496222643583E-2</v>
      </c>
      <c r="BE283">
        <v>0.86110885234301027</v>
      </c>
      <c r="BF283">
        <v>4.0086496222643583E-2</v>
      </c>
      <c r="BG283">
        <v>4.0086496222643583E-2</v>
      </c>
      <c r="BH283">
        <v>0.86110885234301027</v>
      </c>
      <c r="BI283">
        <v>0.27431480377481371</v>
      </c>
      <c r="BJ283">
        <v>4.9557793627660662E-2</v>
      </c>
      <c r="BK283">
        <v>3.9310470741356733E-2</v>
      </c>
      <c r="BL283">
        <v>0.84218089395022844</v>
      </c>
      <c r="BM283">
        <v>3.9310470741356733E-2</v>
      </c>
      <c r="BN283">
        <v>3.9310470741356733E-2</v>
      </c>
      <c r="BO283">
        <v>0.84218089395022844</v>
      </c>
      <c r="BP283">
        <v>0.25537493335892258</v>
      </c>
      <c r="BQ283">
        <v>-2.5249581858204358E-2</v>
      </c>
      <c r="BR283">
        <v>143.2556072083724</v>
      </c>
      <c r="BS283">
        <v>0.59226928883848451</v>
      </c>
      <c r="BT283">
        <v>143.2556072083724</v>
      </c>
      <c r="BU283">
        <v>143.2556072083724</v>
      </c>
      <c r="BV283">
        <v>0.59226928883848451</v>
      </c>
      <c r="BW283">
        <v>507.25763117069789</v>
      </c>
      <c r="BX283">
        <v>-0.44374463750307452</v>
      </c>
      <c r="BY283" t="str">
        <f t="shared" si="11"/>
        <v>[[sv,wv],[yr],[ya]]</v>
      </c>
      <c r="BZ283" t="str">
        <f>SUBSTITUTE(TRIM(MID(SUBSTITUTE(SUBSTITUTE(SUBSTITUTE(Tabla1[[#This Row],[map]],"[",""),"]",""),",",REPT(" ",100)),901,200))," ",", ")</f>
        <v>2, 4</v>
      </c>
      <c r="CA283" t="str">
        <f>SUBSTITUTE(TRIM(MID(SUBSTITUTE(SUBSTITUTE(SUBSTITUTE(Tabla1[[#This Row],[map]],"[",""),"]",""),",",REPT(" ",100)),1501,200))," ",", ")</f>
        <v>3, 2</v>
      </c>
      <c r="CB283" t="str">
        <f>SUBSTITUTE(TRIM(MID(SUBSTITUTE(SUBSTITUTE(SUBSTITUTE(Tabla1[[#This Row],[map]],"[",""),"]",""),",",REPT(" ",100)),601,300))," ",", ")</f>
        <v>1, 3, 0</v>
      </c>
      <c r="CC283" t="str">
        <f>SUBSTITUTE(TRIM(MID(SUBSTITUTE(SUBSTITUTE(SUBSTITUTE(Tabla1[[#This Row],[map]],"[",""),"]",""),",",REPT(" ",100)),1201,300))," ",", ")</f>
        <v>1, 4, 0</v>
      </c>
      <c r="CD283" t="str">
        <f>SUBSTITUTE(TRIM(MID(SUBSTITUTE(SUBSTITUTE(SUBSTITUTE(Tabla1[[#This Row],[map]],"[",""),"]",""),",",REPT(" ",100)),1,300))," ",", ")</f>
        <v>2, 3, 4</v>
      </c>
      <c r="CE283" t="str">
        <f>SUBSTITUTE(TRIM(MID(SUBSTITUTE(SUBSTITUTE(SUBSTITUTE(Tabla1[[#This Row],[map]],"[",""),"]",""),",",REPT(" ",100)),1,600))," ",", ")</f>
        <v>2, 3, 4, 0, 1, -1</v>
      </c>
      <c r="CF283" t="str">
        <f>SUBSTITUTE(TRIM(MID(SUBSTITUTE(SUBSTITUTE(SUBSTITUTE(Tabla1[[#This Row],[map]],"[",""),"]",""),",",REPT(" ",100)),601,600))," ",", ")</f>
        <v>1, 3, 0, 2, 4, -1</v>
      </c>
      <c r="CG283" t="str">
        <f>SUBSTITUTE(TRIM(MID(SUBSTITUTE(SUBSTITUTE(SUBSTITUTE(Tabla1[[#This Row],[map]],"[",""),"]",""),",",REPT(" ",100)),1201,600))," ",", ")</f>
        <v>1, 4, 0, 3, 2, -1</v>
      </c>
    </row>
    <row r="284" spans="1:85" x14ac:dyDescent="0.3">
      <c r="A284" s="1">
        <v>46107.879837962973</v>
      </c>
      <c r="B284" t="s">
        <v>516</v>
      </c>
      <c r="C284">
        <v>0</v>
      </c>
      <c r="D284" t="s">
        <v>96</v>
      </c>
      <c r="E284" t="s">
        <v>78</v>
      </c>
      <c r="F284">
        <v>16590</v>
      </c>
      <c r="G284">
        <v>4.5</v>
      </c>
      <c r="H284" t="s">
        <v>79</v>
      </c>
      <c r="I284" t="s">
        <v>80</v>
      </c>
      <c r="J284">
        <v>5</v>
      </c>
      <c r="K284">
        <v>5</v>
      </c>
      <c r="L284" t="s">
        <v>81</v>
      </c>
      <c r="M284" t="s">
        <v>82</v>
      </c>
      <c r="N284" t="s">
        <v>83</v>
      </c>
      <c r="O284" t="s">
        <v>83</v>
      </c>
      <c r="P284" t="s">
        <v>84</v>
      </c>
      <c r="Q284" t="s">
        <v>517</v>
      </c>
      <c r="R284">
        <v>3</v>
      </c>
      <c r="S284" t="s">
        <v>86</v>
      </c>
      <c r="T284" t="s">
        <v>87</v>
      </c>
      <c r="U284" t="s">
        <v>88</v>
      </c>
      <c r="V284">
        <v>1</v>
      </c>
      <c r="W284" t="s">
        <v>518</v>
      </c>
      <c r="X284" t="s">
        <v>83</v>
      </c>
      <c r="Y284" t="s">
        <v>90</v>
      </c>
      <c r="Z284">
        <v>4000</v>
      </c>
      <c r="AA284">
        <v>4000</v>
      </c>
      <c r="AC284">
        <v>256</v>
      </c>
      <c r="AD284" t="s">
        <v>91</v>
      </c>
      <c r="AE284">
        <v>0.15</v>
      </c>
      <c r="AF284" t="s">
        <v>92</v>
      </c>
      <c r="AG284">
        <v>180</v>
      </c>
      <c r="AH284">
        <v>60</v>
      </c>
      <c r="AI284">
        <v>120</v>
      </c>
      <c r="AJ284">
        <v>0.109886376298264</v>
      </c>
      <c r="AK284">
        <v>7.4121269156428156</v>
      </c>
      <c r="AL284">
        <v>0.74001648108464446</v>
      </c>
      <c r="AM284">
        <v>4.0607429155031849E-2</v>
      </c>
      <c r="AN284">
        <v>11.90580682827215</v>
      </c>
      <c r="AO284">
        <v>0.68386916717093971</v>
      </c>
      <c r="AP284">
        <v>11.90580682827215</v>
      </c>
      <c r="AQ284">
        <v>11.90580682827215</v>
      </c>
      <c r="AR284">
        <v>0.68386916717093971</v>
      </c>
      <c r="AS284">
        <v>113.7375702514551</v>
      </c>
      <c r="AT284">
        <v>5.2420992622955881E-2</v>
      </c>
      <c r="AU284">
        <v>0.8</v>
      </c>
      <c r="AV284" t="s">
        <v>93</v>
      </c>
      <c r="AW284">
        <v>7.8188867324176209E-2</v>
      </c>
      <c r="AX284">
        <v>0.43224772826307428</v>
      </c>
      <c r="AY284">
        <v>7.8188867324176209E-2</v>
      </c>
      <c r="AZ284">
        <v>7.8188867324176209E-2</v>
      </c>
      <c r="BA284">
        <v>0.43224772826307428</v>
      </c>
      <c r="BB284">
        <v>0.1194565373200821</v>
      </c>
      <c r="BC284">
        <v>0.1325910867066262</v>
      </c>
      <c r="BD284">
        <v>9.3608491902355845E-2</v>
      </c>
      <c r="BE284">
        <v>0.67566656864826802</v>
      </c>
      <c r="BF284">
        <v>9.3608491902355845E-2</v>
      </c>
      <c r="BG284">
        <v>9.3608491902355845E-2</v>
      </c>
      <c r="BH284">
        <v>0.67566656864826802</v>
      </c>
      <c r="BI284">
        <v>0.1185031920900133</v>
      </c>
      <c r="BJ284">
        <v>0.58941174955815989</v>
      </c>
      <c r="BK284">
        <v>5.9170515397793291E-2</v>
      </c>
      <c r="BL284">
        <v>0.76244909642459069</v>
      </c>
      <c r="BM284">
        <v>5.9170515397793291E-2</v>
      </c>
      <c r="BN284">
        <v>5.9170515397793291E-2</v>
      </c>
      <c r="BO284">
        <v>0.76244909642459069</v>
      </c>
      <c r="BP284">
        <v>0.30363329428803709</v>
      </c>
      <c r="BQ284">
        <v>-0.21899163677711281</v>
      </c>
      <c r="BR284">
        <v>47.392259438464201</v>
      </c>
      <c r="BS284">
        <v>0.86511327534782367</v>
      </c>
      <c r="BT284">
        <v>47.392259438464201</v>
      </c>
      <c r="BU284">
        <v>47.392259438464201</v>
      </c>
      <c r="BV284">
        <v>0.86511327534782367</v>
      </c>
      <c r="BW284">
        <v>454.40868798212131</v>
      </c>
      <c r="BX284">
        <v>-0.29332722899584551</v>
      </c>
      <c r="BY284" t="str">
        <f t="shared" si="11"/>
        <v>[[sv,wv],[yr],[ya]]</v>
      </c>
      <c r="BZ284" t="str">
        <f>SUBSTITUTE(TRIM(MID(SUBSTITUTE(SUBSTITUTE(SUBSTITUTE(Tabla1[[#This Row],[map]],"[",""),"]",""),",",REPT(" ",100)),901,200))," ",", ")</f>
        <v>2, 4</v>
      </c>
      <c r="CA284" t="str">
        <f>SUBSTITUTE(TRIM(MID(SUBSTITUTE(SUBSTITUTE(SUBSTITUTE(Tabla1[[#This Row],[map]],"[",""),"]",""),",",REPT(" ",100)),1501,200))," ",", ")</f>
        <v>3, 2</v>
      </c>
      <c r="CB284" t="str">
        <f>SUBSTITUTE(TRIM(MID(SUBSTITUTE(SUBSTITUTE(SUBSTITUTE(Tabla1[[#This Row],[map]],"[",""),"]",""),",",REPT(" ",100)),601,300))," ",", ")</f>
        <v>1, 3, 0</v>
      </c>
      <c r="CC284" t="str">
        <f>SUBSTITUTE(TRIM(MID(SUBSTITUTE(SUBSTITUTE(SUBSTITUTE(Tabla1[[#This Row],[map]],"[",""),"]",""),",",REPT(" ",100)),1201,300))," ",", ")</f>
        <v>1, 4, 0</v>
      </c>
      <c r="CD284" t="str">
        <f>SUBSTITUTE(TRIM(MID(SUBSTITUTE(SUBSTITUTE(SUBSTITUTE(Tabla1[[#This Row],[map]],"[",""),"]",""),",",REPT(" ",100)),1,300))," ",", ")</f>
        <v>4, 2, 3</v>
      </c>
      <c r="CE284" t="str">
        <f>SUBSTITUTE(TRIM(MID(SUBSTITUTE(SUBSTITUTE(SUBSTITUTE(Tabla1[[#This Row],[map]],"[",""),"]",""),",",REPT(" ",100)),1,600))," ",", ")</f>
        <v>4, 2, 3, 0, 1, -1</v>
      </c>
      <c r="CF284" t="str">
        <f>SUBSTITUTE(TRIM(MID(SUBSTITUTE(SUBSTITUTE(SUBSTITUTE(Tabla1[[#This Row],[map]],"[",""),"]",""),",",REPT(" ",100)),601,600))," ",", ")</f>
        <v>1, 3, 0, 2, 4, -1</v>
      </c>
      <c r="CG284" t="str">
        <f>SUBSTITUTE(TRIM(MID(SUBSTITUTE(SUBSTITUTE(SUBSTITUTE(Tabla1[[#This Row],[map]],"[",""),"]",""),",",REPT(" ",100)),1201,600))," ",", ")</f>
        <v>1, 4, 0, 3, 2, -1</v>
      </c>
    </row>
    <row r="285" spans="1:85" x14ac:dyDescent="0.3">
      <c r="A285" s="1">
        <v>46107.949074074073</v>
      </c>
      <c r="B285" t="s">
        <v>519</v>
      </c>
      <c r="C285">
        <v>1</v>
      </c>
      <c r="D285" t="s">
        <v>96</v>
      </c>
      <c r="E285" t="s">
        <v>78</v>
      </c>
      <c r="F285">
        <v>16590</v>
      </c>
      <c r="G285">
        <v>4.5</v>
      </c>
      <c r="H285" t="s">
        <v>79</v>
      </c>
      <c r="I285" t="s">
        <v>80</v>
      </c>
      <c r="J285">
        <v>5</v>
      </c>
      <c r="K285">
        <v>5</v>
      </c>
      <c r="L285" t="s">
        <v>81</v>
      </c>
      <c r="M285" t="s">
        <v>82</v>
      </c>
      <c r="N285" t="s">
        <v>83</v>
      </c>
      <c r="O285" t="s">
        <v>83</v>
      </c>
      <c r="P285" t="s">
        <v>84</v>
      </c>
      <c r="Q285" t="s">
        <v>501</v>
      </c>
      <c r="R285">
        <v>3</v>
      </c>
      <c r="S285" t="s">
        <v>86</v>
      </c>
      <c r="T285" t="s">
        <v>87</v>
      </c>
      <c r="U285" t="s">
        <v>88</v>
      </c>
      <c r="V285">
        <v>1</v>
      </c>
      <c r="W285" t="s">
        <v>502</v>
      </c>
      <c r="X285" t="s">
        <v>83</v>
      </c>
      <c r="Y285" t="s">
        <v>90</v>
      </c>
      <c r="Z285">
        <v>4000</v>
      </c>
      <c r="AA285">
        <v>4000</v>
      </c>
      <c r="AC285">
        <v>256</v>
      </c>
      <c r="AD285" t="s">
        <v>91</v>
      </c>
      <c r="AE285">
        <v>0.15</v>
      </c>
      <c r="AF285" t="s">
        <v>92</v>
      </c>
      <c r="AG285">
        <v>180</v>
      </c>
      <c r="AH285">
        <v>60</v>
      </c>
      <c r="AI285">
        <v>120</v>
      </c>
      <c r="AJ285">
        <v>0.1184323947028163</v>
      </c>
      <c r="AK285">
        <v>14.44743132215938</v>
      </c>
      <c r="AL285">
        <v>0.67634628839849675</v>
      </c>
      <c r="AM285">
        <v>0.11639666401326131</v>
      </c>
      <c r="AN285">
        <v>19.44425165958987</v>
      </c>
      <c r="AO285">
        <v>0.64789868834686737</v>
      </c>
      <c r="AP285">
        <v>19.44425165958987</v>
      </c>
      <c r="AQ285">
        <v>19.44425165958987</v>
      </c>
      <c r="AR285">
        <v>0.64789868834686737</v>
      </c>
      <c r="AS285">
        <v>73.582805536616277</v>
      </c>
      <c r="AT285">
        <v>6.958361465253371E-2</v>
      </c>
      <c r="AU285">
        <v>0.8</v>
      </c>
      <c r="AV285" t="s">
        <v>93</v>
      </c>
      <c r="AW285">
        <v>8.4236991701604827E-2</v>
      </c>
      <c r="AX285">
        <v>0.38833052530890361</v>
      </c>
      <c r="AY285">
        <v>8.4236991701604827E-2</v>
      </c>
      <c r="AZ285">
        <v>8.4236991701604827E-2</v>
      </c>
      <c r="BA285">
        <v>0.38833052530890361</v>
      </c>
      <c r="BB285">
        <v>0.14630245290303409</v>
      </c>
      <c r="BC285">
        <v>-6.2344971081307772E-2</v>
      </c>
      <c r="BD285">
        <v>9.9113683406177822E-2</v>
      </c>
      <c r="BE285">
        <v>0.65659225589739623</v>
      </c>
      <c r="BF285">
        <v>9.9113683406177822E-2</v>
      </c>
      <c r="BG285">
        <v>9.9113683406177822E-2</v>
      </c>
      <c r="BH285">
        <v>0.65659225589739623</v>
      </c>
      <c r="BI285">
        <v>0.17139588672438971</v>
      </c>
      <c r="BJ285">
        <v>0.40614985957812388</v>
      </c>
      <c r="BK285">
        <v>5.7949207439655238E-2</v>
      </c>
      <c r="BL285">
        <v>0.76735226157448144</v>
      </c>
      <c r="BM285">
        <v>5.7949207439655238E-2</v>
      </c>
      <c r="BN285">
        <v>5.7949207439655238E-2</v>
      </c>
      <c r="BO285">
        <v>0.76735226157448144</v>
      </c>
      <c r="BP285">
        <v>0.30625769509704648</v>
      </c>
      <c r="BQ285">
        <v>-0.22952777592231019</v>
      </c>
      <c r="BR285">
        <v>77.535706755811802</v>
      </c>
      <c r="BS285">
        <v>0.7793197106066907</v>
      </c>
      <c r="BT285">
        <v>77.535706755811802</v>
      </c>
      <c r="BU285">
        <v>77.535706755811802</v>
      </c>
      <c r="BV285">
        <v>0.7793197106066907</v>
      </c>
      <c r="BW285">
        <v>293.7072661117403</v>
      </c>
      <c r="BX285">
        <v>0.16405734603562849</v>
      </c>
      <c r="BY285" t="str">
        <f t="shared" si="11"/>
        <v>[[sv,wv],[yr],[ya]]</v>
      </c>
      <c r="BZ285" t="str">
        <f>SUBSTITUTE(TRIM(MID(SUBSTITUTE(SUBSTITUTE(SUBSTITUTE(Tabla1[[#This Row],[map]],"[",""),"]",""),",",REPT(" ",100)),901,200))," ",", ")</f>
        <v>2, 4</v>
      </c>
      <c r="CA285" t="str">
        <f>SUBSTITUTE(TRIM(MID(SUBSTITUTE(SUBSTITUTE(SUBSTITUTE(Tabla1[[#This Row],[map]],"[",""),"]",""),",",REPT(" ",100)),1501,200))," ",", ")</f>
        <v>3, 2</v>
      </c>
      <c r="CB285" t="str">
        <f>SUBSTITUTE(TRIM(MID(SUBSTITUTE(SUBSTITUTE(SUBSTITUTE(Tabla1[[#This Row],[map]],"[",""),"]",""),",",REPT(" ",100)),601,300))," ",", ")</f>
        <v>0, 1, 3</v>
      </c>
      <c r="CC285" t="str">
        <f>SUBSTITUTE(TRIM(MID(SUBSTITUTE(SUBSTITUTE(SUBSTITUTE(Tabla1[[#This Row],[map]],"[",""),"]",""),",",REPT(" ",100)),1201,300))," ",", ")</f>
        <v>1, 4, 0</v>
      </c>
      <c r="CD285" t="str">
        <f>SUBSTITUTE(TRIM(MID(SUBSTITUTE(SUBSTITUTE(SUBSTITUTE(Tabla1[[#This Row],[map]],"[",""),"]",""),",",REPT(" ",100)),1,300))," ",", ")</f>
        <v>4, 2, 3</v>
      </c>
      <c r="CE285" t="str">
        <f>SUBSTITUTE(TRIM(MID(SUBSTITUTE(SUBSTITUTE(SUBSTITUTE(Tabla1[[#This Row],[map]],"[",""),"]",""),",",REPT(" ",100)),1,600))," ",", ")</f>
        <v>4, 2, 3, 0, 1, -1</v>
      </c>
      <c r="CF285" t="str">
        <f>SUBSTITUTE(TRIM(MID(SUBSTITUTE(SUBSTITUTE(SUBSTITUTE(Tabla1[[#This Row],[map]],"[",""),"]",""),",",REPT(" ",100)),601,600))," ",", ")</f>
        <v>0, 1, 3, 2, 4, -1</v>
      </c>
      <c r="CG285" t="str">
        <f>SUBSTITUTE(TRIM(MID(SUBSTITUTE(SUBSTITUTE(SUBSTITUTE(Tabla1[[#This Row],[map]],"[",""),"]",""),",",REPT(" ",100)),1201,600))," ",", ")</f>
        <v>1, 4, 0, 3, 2, -1</v>
      </c>
    </row>
    <row r="286" spans="1:85" x14ac:dyDescent="0.3">
      <c r="A286" s="1">
        <v>46107.983576388891</v>
      </c>
      <c r="B286" t="s">
        <v>520</v>
      </c>
      <c r="C286">
        <v>3</v>
      </c>
      <c r="D286" t="s">
        <v>96</v>
      </c>
      <c r="E286" t="s">
        <v>78</v>
      </c>
      <c r="F286">
        <v>16590</v>
      </c>
      <c r="G286">
        <v>4.5</v>
      </c>
      <c r="H286" t="s">
        <v>79</v>
      </c>
      <c r="I286" t="s">
        <v>80</v>
      </c>
      <c r="J286">
        <v>5</v>
      </c>
      <c r="K286">
        <v>5</v>
      </c>
      <c r="L286" t="s">
        <v>81</v>
      </c>
      <c r="M286" t="s">
        <v>82</v>
      </c>
      <c r="N286" t="s">
        <v>83</v>
      </c>
      <c r="O286" t="s">
        <v>83</v>
      </c>
      <c r="P286" t="s">
        <v>84</v>
      </c>
      <c r="Q286" t="s">
        <v>461</v>
      </c>
      <c r="R286">
        <v>3</v>
      </c>
      <c r="S286" t="s">
        <v>86</v>
      </c>
      <c r="T286" t="s">
        <v>87</v>
      </c>
      <c r="U286" t="s">
        <v>88</v>
      </c>
      <c r="V286">
        <v>1</v>
      </c>
      <c r="W286" t="s">
        <v>462</v>
      </c>
      <c r="X286" t="s">
        <v>83</v>
      </c>
      <c r="Y286" t="s">
        <v>90</v>
      </c>
      <c r="Z286">
        <v>4000</v>
      </c>
      <c r="AA286">
        <v>4000</v>
      </c>
      <c r="AC286">
        <v>256</v>
      </c>
      <c r="AD286" t="s">
        <v>91</v>
      </c>
      <c r="AE286">
        <v>0.15</v>
      </c>
      <c r="AF286" t="s">
        <v>92</v>
      </c>
      <c r="AG286">
        <v>180</v>
      </c>
      <c r="AH286">
        <v>60</v>
      </c>
      <c r="AI286">
        <v>120</v>
      </c>
      <c r="AJ286">
        <v>0.1090046254025873</v>
      </c>
      <c r="AK286">
        <v>18.79772488918184</v>
      </c>
      <c r="AL286">
        <v>0.68189091488877063</v>
      </c>
      <c r="AM286">
        <v>0.31464724531388372</v>
      </c>
      <c r="AN286">
        <v>23.820768642486389</v>
      </c>
      <c r="AO286">
        <v>0.64051224387790895</v>
      </c>
      <c r="AP286">
        <v>23.820768642486389</v>
      </c>
      <c r="AQ286">
        <v>23.820768642486389</v>
      </c>
      <c r="AR286">
        <v>0.64051224387790895</v>
      </c>
      <c r="AS286">
        <v>82.489852891726215</v>
      </c>
      <c r="AT286">
        <v>0.30888682774623472</v>
      </c>
      <c r="AU286">
        <v>0.8</v>
      </c>
      <c r="AV286" t="s">
        <v>93</v>
      </c>
      <c r="AW286">
        <v>8.2546916801742129E-2</v>
      </c>
      <c r="AX286">
        <v>0.40060265427867459</v>
      </c>
      <c r="AY286">
        <v>8.2546916801742129E-2</v>
      </c>
      <c r="AZ286">
        <v>8.2546916801742129E-2</v>
      </c>
      <c r="BA286">
        <v>0.40060265427867459</v>
      </c>
      <c r="BB286">
        <v>0.1205137079519876</v>
      </c>
      <c r="BC286">
        <v>0.1249146610411999</v>
      </c>
      <c r="BD286">
        <v>8.2572409032896976E-2</v>
      </c>
      <c r="BE286">
        <v>0.71390423868217212</v>
      </c>
      <c r="BF286">
        <v>8.2572409032896976E-2</v>
      </c>
      <c r="BG286">
        <v>8.2572409032896976E-2</v>
      </c>
      <c r="BH286">
        <v>0.71390423868217212</v>
      </c>
      <c r="BI286">
        <v>0.14635394283941139</v>
      </c>
      <c r="BJ286">
        <v>0.49291484663084378</v>
      </c>
      <c r="BK286">
        <v>7.0226036805777048E-2</v>
      </c>
      <c r="BL286">
        <v>0.71806467485401626</v>
      </c>
      <c r="BM286">
        <v>7.0226036805777048E-2</v>
      </c>
      <c r="BN286">
        <v>7.0226036805777048E-2</v>
      </c>
      <c r="BO286">
        <v>0.71806467485401626</v>
      </c>
      <c r="BP286">
        <v>0.1106523123645521</v>
      </c>
      <c r="BQ286">
        <v>0.55576596539349932</v>
      </c>
      <c r="BR286">
        <v>95.047729207305281</v>
      </c>
      <c r="BS286">
        <v>0.72947740769677316</v>
      </c>
      <c r="BT286">
        <v>95.047729207305281</v>
      </c>
      <c r="BU286">
        <v>95.047729207305281</v>
      </c>
      <c r="BV286">
        <v>0.72947740769677316</v>
      </c>
      <c r="BW286">
        <v>329.58189160374889</v>
      </c>
      <c r="BX286">
        <v>6.1951837919400073E-2</v>
      </c>
      <c r="BY286" t="str">
        <f t="shared" si="11"/>
        <v>[[sv,wv],[yr],[ya]]</v>
      </c>
      <c r="BZ286" t="str">
        <f>SUBSTITUTE(TRIM(MID(SUBSTITUTE(SUBSTITUTE(SUBSTITUTE(Tabla1[[#This Row],[map]],"[",""),"]",""),",",REPT(" ",100)),901,200))," ",", ")</f>
        <v>2, 3</v>
      </c>
      <c r="CA286" t="str">
        <f>SUBSTITUTE(TRIM(MID(SUBSTITUTE(SUBSTITUTE(SUBSTITUTE(Tabla1[[#This Row],[map]],"[",""),"]",""),",",REPT(" ",100)),1501,200))," ",", ")</f>
        <v>3, 2</v>
      </c>
      <c r="CB286" t="str">
        <f>SUBSTITUTE(TRIM(MID(SUBSTITUTE(SUBSTITUTE(SUBSTITUTE(Tabla1[[#This Row],[map]],"[",""),"]",""),",",REPT(" ",100)),601,300))," ",", ")</f>
        <v>0, 1, 4</v>
      </c>
      <c r="CC286" t="str">
        <f>SUBSTITUTE(TRIM(MID(SUBSTITUTE(SUBSTITUTE(SUBSTITUTE(Tabla1[[#This Row],[map]],"[",""),"]",""),",",REPT(" ",100)),1201,300))," ",", ")</f>
        <v>1, 4, 0</v>
      </c>
      <c r="CD286" t="str">
        <f>SUBSTITUTE(TRIM(MID(SUBSTITUTE(SUBSTITUTE(SUBSTITUTE(Tabla1[[#This Row],[map]],"[",""),"]",""),",",REPT(" ",100)),1,300))," ",", ")</f>
        <v>4, 2, 3</v>
      </c>
      <c r="CE286" t="str">
        <f>SUBSTITUTE(TRIM(MID(SUBSTITUTE(SUBSTITUTE(SUBSTITUTE(Tabla1[[#This Row],[map]],"[",""),"]",""),",",REPT(" ",100)),1,600))," ",", ")</f>
        <v>4, 2, 3, 0, 1, -1</v>
      </c>
      <c r="CF286" t="str">
        <f>SUBSTITUTE(TRIM(MID(SUBSTITUTE(SUBSTITUTE(SUBSTITUTE(Tabla1[[#This Row],[map]],"[",""),"]",""),",",REPT(" ",100)),601,600))," ",", ")</f>
        <v>0, 1, 4, 2, 3, -1</v>
      </c>
      <c r="CG286" t="str">
        <f>SUBSTITUTE(TRIM(MID(SUBSTITUTE(SUBSTITUTE(SUBSTITUTE(Tabla1[[#This Row],[map]],"[",""),"]",""),",",REPT(" ",100)),1201,600))," ",", ")</f>
        <v>1, 4, 0, 3, 2, -1</v>
      </c>
    </row>
    <row r="287" spans="1:85" x14ac:dyDescent="0.3">
      <c r="A287" s="1">
        <v>46107.994479166657</v>
      </c>
      <c r="B287" t="s">
        <v>521</v>
      </c>
      <c r="C287">
        <v>2</v>
      </c>
      <c r="D287" t="s">
        <v>77</v>
      </c>
      <c r="E287" t="s">
        <v>78</v>
      </c>
      <c r="F287">
        <v>16590</v>
      </c>
      <c r="G287">
        <v>4.5</v>
      </c>
      <c r="H287" t="s">
        <v>79</v>
      </c>
      <c r="I287" t="s">
        <v>80</v>
      </c>
      <c r="J287">
        <v>5</v>
      </c>
      <c r="K287">
        <v>5</v>
      </c>
      <c r="L287" t="s">
        <v>81</v>
      </c>
      <c r="M287" t="s">
        <v>82</v>
      </c>
      <c r="N287" t="s">
        <v>83</v>
      </c>
      <c r="O287" t="s">
        <v>83</v>
      </c>
      <c r="P287" t="s">
        <v>84</v>
      </c>
      <c r="Q287" t="s">
        <v>461</v>
      </c>
      <c r="R287">
        <v>3</v>
      </c>
      <c r="S287" t="s">
        <v>86</v>
      </c>
      <c r="T287" t="s">
        <v>87</v>
      </c>
      <c r="U287" t="s">
        <v>88</v>
      </c>
      <c r="V287">
        <v>1</v>
      </c>
      <c r="W287" t="s">
        <v>462</v>
      </c>
      <c r="X287" t="s">
        <v>83</v>
      </c>
      <c r="Y287" t="s">
        <v>90</v>
      </c>
      <c r="Z287">
        <v>4000</v>
      </c>
      <c r="AA287">
        <v>4000</v>
      </c>
      <c r="AC287">
        <v>256</v>
      </c>
      <c r="AD287" t="s">
        <v>91</v>
      </c>
      <c r="AE287">
        <v>0.15</v>
      </c>
      <c r="AF287" t="s">
        <v>92</v>
      </c>
      <c r="AG287">
        <v>180</v>
      </c>
      <c r="AH287">
        <v>60</v>
      </c>
      <c r="AI287">
        <v>120</v>
      </c>
      <c r="AJ287">
        <v>0.12854728074613411</v>
      </c>
      <c r="AK287">
        <v>10.409062181650009</v>
      </c>
      <c r="AL287">
        <v>0.66834988802160089</v>
      </c>
      <c r="AM287">
        <v>-0.2074614914068586</v>
      </c>
      <c r="AN287">
        <v>17.60619210714059</v>
      </c>
      <c r="AO287">
        <v>0.59596133372259763</v>
      </c>
      <c r="AP287">
        <v>17.60619210714059</v>
      </c>
      <c r="AQ287">
        <v>17.60619210714059</v>
      </c>
      <c r="AR287">
        <v>0.59596133372259763</v>
      </c>
      <c r="AS287">
        <v>103.9146038033274</v>
      </c>
      <c r="AT287">
        <v>-0.1962177463569538</v>
      </c>
      <c r="AU287">
        <v>0.8</v>
      </c>
      <c r="AV287" t="s">
        <v>93</v>
      </c>
      <c r="AW287">
        <v>7.2036462884936078E-2</v>
      </c>
      <c r="AX287">
        <v>0.47692213929579269</v>
      </c>
      <c r="AY287">
        <v>7.2036462884936078E-2</v>
      </c>
      <c r="AZ287">
        <v>7.2036462884936078E-2</v>
      </c>
      <c r="BA287">
        <v>0.47692213929579269</v>
      </c>
      <c r="BB287">
        <v>0.10678482483896599</v>
      </c>
      <c r="BC287">
        <v>0.2246041033183441</v>
      </c>
      <c r="BD287">
        <v>0.1000691062387149</v>
      </c>
      <c r="BE287">
        <v>0.65328191984378492</v>
      </c>
      <c r="BF287">
        <v>0.1000691062387149</v>
      </c>
      <c r="BG287">
        <v>0.1000691062387149</v>
      </c>
      <c r="BH287">
        <v>0.65328191984378492</v>
      </c>
      <c r="BI287">
        <v>0.39778822244043321</v>
      </c>
      <c r="BJ287">
        <v>-0.37825123034766861</v>
      </c>
      <c r="BK287">
        <v>0.1361987514863314</v>
      </c>
      <c r="BL287">
        <v>0.45320509270691139</v>
      </c>
      <c r="BM287">
        <v>0.1361987514863314</v>
      </c>
      <c r="BN287">
        <v>0.1361987514863314</v>
      </c>
      <c r="BO287">
        <v>0.45320509270691139</v>
      </c>
      <c r="BP287">
        <v>0.36133637829111998</v>
      </c>
      <c r="BQ287">
        <v>-0.450651267454105</v>
      </c>
      <c r="BR287">
        <v>70.116464107952382</v>
      </c>
      <c r="BS287">
        <v>0.80043618304390196</v>
      </c>
      <c r="BT287">
        <v>70.116464107952382</v>
      </c>
      <c r="BU287">
        <v>70.116464107952382</v>
      </c>
      <c r="BV287">
        <v>0.80043618304390196</v>
      </c>
      <c r="BW287">
        <v>414.79250578774088</v>
      </c>
      <c r="BX287">
        <v>-0.1805725909444085</v>
      </c>
      <c r="BY287" t="str">
        <f t="shared" si="11"/>
        <v>[[sv,wv],[yr],[ya]]</v>
      </c>
      <c r="BZ287" t="str">
        <f>SUBSTITUTE(TRIM(MID(SUBSTITUTE(SUBSTITUTE(SUBSTITUTE(Tabla1[[#This Row],[map]],"[",""),"]",""),",",REPT(" ",100)),901,200))," ",", ")</f>
        <v>2, 3</v>
      </c>
      <c r="CA287" t="str">
        <f>SUBSTITUTE(TRIM(MID(SUBSTITUTE(SUBSTITUTE(SUBSTITUTE(Tabla1[[#This Row],[map]],"[",""),"]",""),",",REPT(" ",100)),1501,200))," ",", ")</f>
        <v>3, 2</v>
      </c>
      <c r="CB287" t="str">
        <f>SUBSTITUTE(TRIM(MID(SUBSTITUTE(SUBSTITUTE(SUBSTITUTE(Tabla1[[#This Row],[map]],"[",""),"]",""),",",REPT(" ",100)),601,300))," ",", ")</f>
        <v>0, 1, 4</v>
      </c>
      <c r="CC287" t="str">
        <f>SUBSTITUTE(TRIM(MID(SUBSTITUTE(SUBSTITUTE(SUBSTITUTE(Tabla1[[#This Row],[map]],"[",""),"]",""),",",REPT(" ",100)),1201,300))," ",", ")</f>
        <v>1, 4, 0</v>
      </c>
      <c r="CD287" t="str">
        <f>SUBSTITUTE(TRIM(MID(SUBSTITUTE(SUBSTITUTE(SUBSTITUTE(Tabla1[[#This Row],[map]],"[",""),"]",""),",",REPT(" ",100)),1,300))," ",", ")</f>
        <v>4, 2, 3</v>
      </c>
      <c r="CE287" t="str">
        <f>SUBSTITUTE(TRIM(MID(SUBSTITUTE(SUBSTITUTE(SUBSTITUTE(Tabla1[[#This Row],[map]],"[",""),"]",""),",",REPT(" ",100)),1,600))," ",", ")</f>
        <v>4, 2, 3, 0, 1, -1</v>
      </c>
      <c r="CF287" t="str">
        <f>SUBSTITUTE(TRIM(MID(SUBSTITUTE(SUBSTITUTE(SUBSTITUTE(Tabla1[[#This Row],[map]],"[",""),"]",""),",",REPT(" ",100)),601,600))," ",", ")</f>
        <v>0, 1, 4, 2, 3, -1</v>
      </c>
      <c r="CG287" t="str">
        <f>SUBSTITUTE(TRIM(MID(SUBSTITUTE(SUBSTITUTE(SUBSTITUTE(Tabla1[[#This Row],[map]],"[",""),"]",""),",",REPT(" ",100)),1201,600))," ",", ")</f>
        <v>1, 4, 0, 3, 2, -1</v>
      </c>
    </row>
    <row r="288" spans="1:85" x14ac:dyDescent="0.3">
      <c r="A288" s="1">
        <v>46107.997708333343</v>
      </c>
      <c r="B288" t="s">
        <v>522</v>
      </c>
      <c r="C288">
        <v>5</v>
      </c>
      <c r="D288" t="s">
        <v>96</v>
      </c>
      <c r="E288" t="s">
        <v>78</v>
      </c>
      <c r="F288">
        <v>16590</v>
      </c>
      <c r="G288">
        <v>4.5</v>
      </c>
      <c r="H288" t="s">
        <v>79</v>
      </c>
      <c r="I288" t="s">
        <v>80</v>
      </c>
      <c r="J288">
        <v>5</v>
      </c>
      <c r="K288">
        <v>5</v>
      </c>
      <c r="L288" t="s">
        <v>81</v>
      </c>
      <c r="M288" t="s">
        <v>82</v>
      </c>
      <c r="N288" t="s">
        <v>83</v>
      </c>
      <c r="O288" t="s">
        <v>83</v>
      </c>
      <c r="P288" t="s">
        <v>84</v>
      </c>
      <c r="Q288" t="s">
        <v>429</v>
      </c>
      <c r="R288">
        <v>3</v>
      </c>
      <c r="S288" t="s">
        <v>86</v>
      </c>
      <c r="T288" t="s">
        <v>87</v>
      </c>
      <c r="U288" t="s">
        <v>88</v>
      </c>
      <c r="V288">
        <v>1</v>
      </c>
      <c r="W288" t="s">
        <v>430</v>
      </c>
      <c r="X288" t="s">
        <v>83</v>
      </c>
      <c r="Y288" t="s">
        <v>90</v>
      </c>
      <c r="Z288">
        <v>4000</v>
      </c>
      <c r="AA288">
        <v>4000</v>
      </c>
      <c r="AC288">
        <v>256</v>
      </c>
      <c r="AD288" t="s">
        <v>91</v>
      </c>
      <c r="AE288">
        <v>0.15</v>
      </c>
      <c r="AF288" t="s">
        <v>92</v>
      </c>
      <c r="AG288">
        <v>180</v>
      </c>
      <c r="AH288">
        <v>60</v>
      </c>
      <c r="AI288">
        <v>120</v>
      </c>
      <c r="AJ288">
        <v>8.8524182662909026E-2</v>
      </c>
      <c r="AK288">
        <v>19.193571544335221</v>
      </c>
      <c r="AL288">
        <v>0.80368793506041458</v>
      </c>
      <c r="AM288">
        <v>-8.9368400323973446E-2</v>
      </c>
      <c r="AN288">
        <v>19.702601008591319</v>
      </c>
      <c r="AO288">
        <v>0.74931052586756763</v>
      </c>
      <c r="AP288">
        <v>19.702601008591319</v>
      </c>
      <c r="AQ288">
        <v>19.702601008591319</v>
      </c>
      <c r="AR288">
        <v>0.74931052586756763</v>
      </c>
      <c r="AS288">
        <v>119.2523179392106</v>
      </c>
      <c r="AT288">
        <v>-0.114909048938157</v>
      </c>
      <c r="AU288">
        <v>0.8</v>
      </c>
      <c r="AV288" t="s">
        <v>93</v>
      </c>
      <c r="AW288">
        <v>6.1201768801520111E-2</v>
      </c>
      <c r="AX288">
        <v>0.55559602715158984</v>
      </c>
      <c r="AY288">
        <v>6.1201768801520111E-2</v>
      </c>
      <c r="AZ288">
        <v>6.1201768801520111E-2</v>
      </c>
      <c r="BA288">
        <v>0.55559602715158984</v>
      </c>
      <c r="BB288">
        <v>0.1534571706465809</v>
      </c>
      <c r="BC288">
        <v>-0.11429747265283501</v>
      </c>
      <c r="BD288">
        <v>5.2765413330331253E-2</v>
      </c>
      <c r="BE288">
        <v>0.81717911255348352</v>
      </c>
      <c r="BF288">
        <v>5.2765413330331253E-2</v>
      </c>
      <c r="BG288">
        <v>5.2765413330331253E-2</v>
      </c>
      <c r="BH288">
        <v>0.81717911255348352</v>
      </c>
      <c r="BI288">
        <v>0.25400981056759592</v>
      </c>
      <c r="BJ288">
        <v>0.11991025830939089</v>
      </c>
      <c r="BK288">
        <v>3.7775484064322767E-2</v>
      </c>
      <c r="BL288">
        <v>0.84834337993930997</v>
      </c>
      <c r="BM288">
        <v>3.7775484064322767E-2</v>
      </c>
      <c r="BN288">
        <v>3.7775484064322767E-2</v>
      </c>
      <c r="BO288">
        <v>0.84834337993930997</v>
      </c>
      <c r="BP288">
        <v>0.27637117001754452</v>
      </c>
      <c r="BQ288">
        <v>-0.10954283089292161</v>
      </c>
      <c r="BR288">
        <v>78.658661368169163</v>
      </c>
      <c r="BS288">
        <v>0.77612358382588975</v>
      </c>
      <c r="BT288">
        <v>78.658661368169163</v>
      </c>
      <c r="BU288">
        <v>78.658661368169163</v>
      </c>
      <c r="BV288">
        <v>0.77612358382588975</v>
      </c>
      <c r="BW288">
        <v>476.32543360561078</v>
      </c>
      <c r="BX288">
        <v>-0.35570615051626731</v>
      </c>
      <c r="BY288" t="str">
        <f t="shared" si="11"/>
        <v>[[sv,wv],[yr],[ya]]</v>
      </c>
      <c r="BZ288" t="str">
        <f>SUBSTITUTE(TRIM(MID(SUBSTITUTE(SUBSTITUTE(SUBSTITUTE(Tabla1[[#This Row],[map]],"[",""),"]",""),",",REPT(" ",100)),901,200))," ",", ")</f>
        <v>2, 4</v>
      </c>
      <c r="CA288" t="str">
        <f>SUBSTITUTE(TRIM(MID(SUBSTITUTE(SUBSTITUTE(SUBSTITUTE(Tabla1[[#This Row],[map]],"[",""),"]",""),",",REPT(" ",100)),1501,200))," ",", ")</f>
        <v>3, 4</v>
      </c>
      <c r="CB288" t="str">
        <f>SUBSTITUTE(TRIM(MID(SUBSTITUTE(SUBSTITUTE(SUBSTITUTE(Tabla1[[#This Row],[map]],"[",""),"]",""),",",REPT(" ",100)),601,300))," ",", ")</f>
        <v>1, 3, 0</v>
      </c>
      <c r="CC288" t="str">
        <f>SUBSTITUTE(TRIM(MID(SUBSTITUTE(SUBSTITUTE(SUBSTITUTE(Tabla1[[#This Row],[map]],"[",""),"]",""),",",REPT(" ",100)),1201,300))," ",", ")</f>
        <v>0, 1, 2</v>
      </c>
      <c r="CD288" t="str">
        <f>SUBSTITUTE(TRIM(MID(SUBSTITUTE(SUBSTITUTE(SUBSTITUTE(Tabla1[[#This Row],[map]],"[",""),"]",""),",",REPT(" ",100)),1,300))," ",", ")</f>
        <v>2, 3, 4</v>
      </c>
      <c r="CE288" t="str">
        <f>SUBSTITUTE(TRIM(MID(SUBSTITUTE(SUBSTITUTE(SUBSTITUTE(Tabla1[[#This Row],[map]],"[",""),"]",""),",",REPT(" ",100)),1,600))," ",", ")</f>
        <v>2, 3, 4, 0, 1, -1</v>
      </c>
      <c r="CF288" t="str">
        <f>SUBSTITUTE(TRIM(MID(SUBSTITUTE(SUBSTITUTE(SUBSTITUTE(Tabla1[[#This Row],[map]],"[",""),"]",""),",",REPT(" ",100)),601,600))," ",", ")</f>
        <v>1, 3, 0, 2, 4, -1</v>
      </c>
      <c r="CG288" t="str">
        <f>SUBSTITUTE(TRIM(MID(SUBSTITUTE(SUBSTITUTE(SUBSTITUTE(Tabla1[[#This Row],[map]],"[",""),"]",""),",",REPT(" ",100)),1201,600))," ",", ")</f>
        <v>0, 1, 2, 3, 4, -1</v>
      </c>
    </row>
    <row r="289" spans="1:85" x14ac:dyDescent="0.3">
      <c r="A289" s="1">
        <v>46108.011689814812</v>
      </c>
      <c r="B289" t="s">
        <v>523</v>
      </c>
      <c r="C289">
        <v>4</v>
      </c>
      <c r="D289" t="s">
        <v>77</v>
      </c>
      <c r="E289" t="s">
        <v>78</v>
      </c>
      <c r="F289">
        <v>16590</v>
      </c>
      <c r="G289">
        <v>4.5</v>
      </c>
      <c r="H289" t="s">
        <v>79</v>
      </c>
      <c r="I289" t="s">
        <v>80</v>
      </c>
      <c r="J289">
        <v>5</v>
      </c>
      <c r="K289">
        <v>5</v>
      </c>
      <c r="L289" t="s">
        <v>81</v>
      </c>
      <c r="M289" t="s">
        <v>82</v>
      </c>
      <c r="N289" t="s">
        <v>83</v>
      </c>
      <c r="O289" t="s">
        <v>83</v>
      </c>
      <c r="P289" t="s">
        <v>84</v>
      </c>
      <c r="Q289" t="s">
        <v>429</v>
      </c>
      <c r="R289">
        <v>3</v>
      </c>
      <c r="S289" t="s">
        <v>86</v>
      </c>
      <c r="T289" t="s">
        <v>87</v>
      </c>
      <c r="U289" t="s">
        <v>88</v>
      </c>
      <c r="V289">
        <v>1</v>
      </c>
      <c r="W289" t="s">
        <v>430</v>
      </c>
      <c r="X289" t="s">
        <v>83</v>
      </c>
      <c r="Y289" t="s">
        <v>90</v>
      </c>
      <c r="Z289">
        <v>4000</v>
      </c>
      <c r="AA289">
        <v>4000</v>
      </c>
      <c r="AC289">
        <v>256</v>
      </c>
      <c r="AD289" t="s">
        <v>91</v>
      </c>
      <c r="AE289">
        <v>0.15</v>
      </c>
      <c r="AF289" t="s">
        <v>92</v>
      </c>
      <c r="AG289">
        <v>180</v>
      </c>
      <c r="AH289">
        <v>60</v>
      </c>
      <c r="AI289">
        <v>120</v>
      </c>
      <c r="AJ289">
        <v>9.29771341043754E-2</v>
      </c>
      <c r="AK289">
        <v>12.874594412889699</v>
      </c>
      <c r="AL289">
        <v>0.83801698952222992</v>
      </c>
      <c r="AM289">
        <v>-0.51650120044169023</v>
      </c>
      <c r="AN289">
        <v>14.149417666213941</v>
      </c>
      <c r="AO289">
        <v>0.77993740782258092</v>
      </c>
      <c r="AP289">
        <v>14.149417666213941</v>
      </c>
      <c r="AQ289">
        <v>14.149417666213941</v>
      </c>
      <c r="AR289">
        <v>0.77993740782258092</v>
      </c>
      <c r="AS289">
        <v>123.5500204184895</v>
      </c>
      <c r="AT289">
        <v>-0.45470874023892932</v>
      </c>
      <c r="AU289">
        <v>0.8</v>
      </c>
      <c r="AV289" t="s">
        <v>93</v>
      </c>
      <c r="AW289">
        <v>6.214686427711609E-2</v>
      </c>
      <c r="AX289">
        <v>0.54873341202950077</v>
      </c>
      <c r="AY289">
        <v>6.214686427711609E-2</v>
      </c>
      <c r="AZ289">
        <v>6.214686427711609E-2</v>
      </c>
      <c r="BA289">
        <v>0.54873341202950077</v>
      </c>
      <c r="BB289">
        <v>0.21775348506970471</v>
      </c>
      <c r="BC289">
        <v>-0.58117184783326392</v>
      </c>
      <c r="BD289">
        <v>4.3419710081869137E-2</v>
      </c>
      <c r="BE289">
        <v>0.84955997823531226</v>
      </c>
      <c r="BF289">
        <v>4.3419710081869137E-2</v>
      </c>
      <c r="BG289">
        <v>4.3419710081869137E-2</v>
      </c>
      <c r="BH289">
        <v>0.84955997823531226</v>
      </c>
      <c r="BI289">
        <v>0.37233482532092671</v>
      </c>
      <c r="BJ289">
        <v>-0.29006064571631801</v>
      </c>
      <c r="BK289">
        <v>2.935245300562914E-2</v>
      </c>
      <c r="BL289">
        <v>0.88215918541919647</v>
      </c>
      <c r="BM289">
        <v>2.935245300562914E-2</v>
      </c>
      <c r="BN289">
        <v>2.935245300562914E-2</v>
      </c>
      <c r="BO289">
        <v>0.88215918541919647</v>
      </c>
      <c r="BP289">
        <v>0.38453736087613433</v>
      </c>
      <c r="BQ289">
        <v>-0.54379587401795138</v>
      </c>
      <c r="BR289">
        <v>56.462751637491017</v>
      </c>
      <c r="BS289">
        <v>0.83929705560631784</v>
      </c>
      <c r="BT289">
        <v>56.462751637491017</v>
      </c>
      <c r="BU289">
        <v>56.462751637491017</v>
      </c>
      <c r="BV289">
        <v>0.83929705560631784</v>
      </c>
      <c r="BW289">
        <v>493.22545600269081</v>
      </c>
      <c r="BX289">
        <v>-0.40380659338817632</v>
      </c>
      <c r="BY289" t="str">
        <f t="shared" si="11"/>
        <v>[[sv,wv],[yr],[ya]]</v>
      </c>
      <c r="BZ289" t="str">
        <f>SUBSTITUTE(TRIM(MID(SUBSTITUTE(SUBSTITUTE(SUBSTITUTE(Tabla1[[#This Row],[map]],"[",""),"]",""),",",REPT(" ",100)),901,200))," ",", ")</f>
        <v>2, 4</v>
      </c>
      <c r="CA289" t="str">
        <f>SUBSTITUTE(TRIM(MID(SUBSTITUTE(SUBSTITUTE(SUBSTITUTE(Tabla1[[#This Row],[map]],"[",""),"]",""),",",REPT(" ",100)),1501,200))," ",", ")</f>
        <v>3, 4</v>
      </c>
      <c r="CB289" t="str">
        <f>SUBSTITUTE(TRIM(MID(SUBSTITUTE(SUBSTITUTE(SUBSTITUTE(Tabla1[[#This Row],[map]],"[",""),"]",""),",",REPT(" ",100)),601,300))," ",", ")</f>
        <v>1, 3, 0</v>
      </c>
      <c r="CC289" t="str">
        <f>SUBSTITUTE(TRIM(MID(SUBSTITUTE(SUBSTITUTE(SUBSTITUTE(Tabla1[[#This Row],[map]],"[",""),"]",""),",",REPT(" ",100)),1201,300))," ",", ")</f>
        <v>0, 1, 2</v>
      </c>
      <c r="CD289" t="str">
        <f>SUBSTITUTE(TRIM(MID(SUBSTITUTE(SUBSTITUTE(SUBSTITUTE(Tabla1[[#This Row],[map]],"[",""),"]",""),",",REPT(" ",100)),1,300))," ",", ")</f>
        <v>2, 3, 4</v>
      </c>
      <c r="CE289" t="str">
        <f>SUBSTITUTE(TRIM(MID(SUBSTITUTE(SUBSTITUTE(SUBSTITUTE(Tabla1[[#This Row],[map]],"[",""),"]",""),",",REPT(" ",100)),1,600))," ",", ")</f>
        <v>2, 3, 4, 0, 1, -1</v>
      </c>
      <c r="CF289" t="str">
        <f>SUBSTITUTE(TRIM(MID(SUBSTITUTE(SUBSTITUTE(SUBSTITUTE(Tabla1[[#This Row],[map]],"[",""),"]",""),",",REPT(" ",100)),601,600))," ",", ")</f>
        <v>1, 3, 0, 2, 4, -1</v>
      </c>
      <c r="CG289" t="str">
        <f>SUBSTITUTE(TRIM(MID(SUBSTITUTE(SUBSTITUTE(SUBSTITUTE(Tabla1[[#This Row],[map]],"[",""),"]",""),",",REPT(" ",100)),1201,600))," ",", ")</f>
        <v>0, 1, 2, 3, 4, -1</v>
      </c>
    </row>
    <row r="290" spans="1:85" x14ac:dyDescent="0.3">
      <c r="A290" s="1">
        <v>46108.027118055557</v>
      </c>
      <c r="B290" t="s">
        <v>524</v>
      </c>
      <c r="C290">
        <v>0</v>
      </c>
      <c r="D290" t="s">
        <v>77</v>
      </c>
      <c r="E290" t="s">
        <v>78</v>
      </c>
      <c r="F290">
        <v>16590</v>
      </c>
      <c r="G290">
        <v>4.5</v>
      </c>
      <c r="H290" t="s">
        <v>79</v>
      </c>
      <c r="I290" t="s">
        <v>80</v>
      </c>
      <c r="J290">
        <v>5</v>
      </c>
      <c r="K290">
        <v>5</v>
      </c>
      <c r="L290" t="s">
        <v>81</v>
      </c>
      <c r="M290" t="s">
        <v>82</v>
      </c>
      <c r="N290" t="s">
        <v>83</v>
      </c>
      <c r="O290" t="s">
        <v>83</v>
      </c>
      <c r="P290" t="s">
        <v>84</v>
      </c>
      <c r="Q290" t="s">
        <v>525</v>
      </c>
      <c r="R290">
        <v>3</v>
      </c>
      <c r="S290" t="s">
        <v>86</v>
      </c>
      <c r="T290" t="s">
        <v>87</v>
      </c>
      <c r="U290" t="s">
        <v>88</v>
      </c>
      <c r="V290">
        <v>1</v>
      </c>
      <c r="W290" t="s">
        <v>526</v>
      </c>
      <c r="X290" t="s">
        <v>83</v>
      </c>
      <c r="Y290" t="s">
        <v>90</v>
      </c>
      <c r="Z290">
        <v>4000</v>
      </c>
      <c r="AA290">
        <v>4000</v>
      </c>
      <c r="AC290">
        <v>256</v>
      </c>
      <c r="AD290" t="s">
        <v>91</v>
      </c>
      <c r="AE290">
        <v>0.15</v>
      </c>
      <c r="AF290" t="s">
        <v>92</v>
      </c>
      <c r="AG290">
        <v>180</v>
      </c>
      <c r="AH290">
        <v>60</v>
      </c>
      <c r="AI290">
        <v>120</v>
      </c>
      <c r="AJ290">
        <v>0.1145141257481104</v>
      </c>
      <c r="AK290">
        <v>19.309726144267319</v>
      </c>
      <c r="AL290">
        <v>0.72900576719432042</v>
      </c>
      <c r="AM290">
        <v>6.7563969544224639E-2</v>
      </c>
      <c r="AN290">
        <v>21.581143480192679</v>
      </c>
      <c r="AO290">
        <v>0.6835495046637079</v>
      </c>
      <c r="AP290">
        <v>21.581143480192679</v>
      </c>
      <c r="AQ290">
        <v>21.581143480192679</v>
      </c>
      <c r="AR290">
        <v>0.6835495046637079</v>
      </c>
      <c r="AS290">
        <v>87.359668295932565</v>
      </c>
      <c r="AT290">
        <v>5.0339451479563563E-2</v>
      </c>
      <c r="AU290">
        <v>0.8</v>
      </c>
      <c r="AV290" t="s">
        <v>93</v>
      </c>
      <c r="AW290">
        <v>6.6416105593752287E-2</v>
      </c>
      <c r="AX290">
        <v>0.51773320011872048</v>
      </c>
      <c r="AY290">
        <v>6.6416105593752287E-2</v>
      </c>
      <c r="AZ290">
        <v>6.6416105593752287E-2</v>
      </c>
      <c r="BA290">
        <v>0.51773320011872048</v>
      </c>
      <c r="BB290">
        <v>7.21110285427711E-2</v>
      </c>
      <c r="BC290">
        <v>0.47638069620960671</v>
      </c>
      <c r="BD290">
        <v>8.0372187894376904E-2</v>
      </c>
      <c r="BE290">
        <v>0.72152753499948907</v>
      </c>
      <c r="BF290">
        <v>8.0372187894376904E-2</v>
      </c>
      <c r="BG290">
        <v>8.0372187894376904E-2</v>
      </c>
      <c r="BH290">
        <v>0.72152753499948907</v>
      </c>
      <c r="BI290">
        <v>0.14456558140056189</v>
      </c>
      <c r="BJ290">
        <v>0.49911113705462479</v>
      </c>
      <c r="BK290">
        <v>6.4754752844968497E-2</v>
      </c>
      <c r="BL290">
        <v>0.74003014937912392</v>
      </c>
      <c r="BM290">
        <v>6.4754752844968497E-2</v>
      </c>
      <c r="BN290">
        <v>6.4754752844968497E-2</v>
      </c>
      <c r="BO290">
        <v>0.74003014937912392</v>
      </c>
      <c r="BP290">
        <v>0.44373348987584471</v>
      </c>
      <c r="BQ290">
        <v>-0.78144960810342678</v>
      </c>
      <c r="BR290">
        <v>86.113030874437499</v>
      </c>
      <c r="BS290">
        <v>0.75490713415749677</v>
      </c>
      <c r="BT290">
        <v>86.113030874437499</v>
      </c>
      <c r="BU290">
        <v>86.113030874437499</v>
      </c>
      <c r="BV290">
        <v>0.75490713415749677</v>
      </c>
      <c r="BW290">
        <v>348.77826308391042</v>
      </c>
      <c r="BX290">
        <v>7.3155807574573073E-3</v>
      </c>
      <c r="BY290" t="str">
        <f t="shared" si="11"/>
        <v>[[sv,wv],[yr],[ya]]</v>
      </c>
      <c r="BZ290" t="str">
        <f>SUBSTITUTE(TRIM(MID(SUBSTITUTE(SUBSTITUTE(SUBSTITUTE(Tabla1[[#This Row],[map]],"[",""),"]",""),",",REPT(" ",100)),901,200))," ",", ")</f>
        <v>2, 4</v>
      </c>
      <c r="CA290" t="str">
        <f>SUBSTITUTE(TRIM(MID(SUBSTITUTE(SUBSTITUTE(SUBSTITUTE(Tabla1[[#This Row],[map]],"[",""),"]",""),",",REPT(" ",100)),1501,200))," ",", ")</f>
        <v>3, 4</v>
      </c>
      <c r="CB290" t="str">
        <f>SUBSTITUTE(TRIM(MID(SUBSTITUTE(SUBSTITUTE(SUBSTITUTE(Tabla1[[#This Row],[map]],"[",""),"]",""),",",REPT(" ",100)),601,300))," ",", ")</f>
        <v>1, 3, 0</v>
      </c>
      <c r="CC290" t="str">
        <f>SUBSTITUTE(TRIM(MID(SUBSTITUTE(SUBSTITUTE(SUBSTITUTE(Tabla1[[#This Row],[map]],"[",""),"]",""),",",REPT(" ",100)),1201,300))," ",", ")</f>
        <v>0, 1, 2</v>
      </c>
      <c r="CD290" t="str">
        <f>SUBSTITUTE(TRIM(MID(SUBSTITUTE(SUBSTITUTE(SUBSTITUTE(Tabla1[[#This Row],[map]],"[",""),"]",""),",",REPT(" ",100)),1,300))," ",", ")</f>
        <v>4, 2, 3</v>
      </c>
      <c r="CE290" t="str">
        <f>SUBSTITUTE(TRIM(MID(SUBSTITUTE(SUBSTITUTE(SUBSTITUTE(Tabla1[[#This Row],[map]],"[",""),"]",""),",",REPT(" ",100)),1,600))," ",", ")</f>
        <v>4, 2, 3, 0, 1, -1</v>
      </c>
      <c r="CF290" t="str">
        <f>SUBSTITUTE(TRIM(MID(SUBSTITUTE(SUBSTITUTE(SUBSTITUTE(Tabla1[[#This Row],[map]],"[",""),"]",""),",",REPT(" ",100)),601,600))," ",", ")</f>
        <v>1, 3, 0, 2, 4, -1</v>
      </c>
      <c r="CG290" t="str">
        <f>SUBSTITUTE(TRIM(MID(SUBSTITUTE(SUBSTITUTE(SUBSTITUTE(Tabla1[[#This Row],[map]],"[",""),"]",""),",",REPT(" ",100)),1201,600))," ",", ")</f>
        <v>0, 1, 2, 3, 4, -1</v>
      </c>
    </row>
    <row r="291" spans="1:85" x14ac:dyDescent="0.3">
      <c r="A291" s="1">
        <v>46108.095196759263</v>
      </c>
      <c r="B291" t="s">
        <v>527</v>
      </c>
      <c r="C291">
        <v>1</v>
      </c>
      <c r="D291" t="s">
        <v>96</v>
      </c>
      <c r="E291" t="s">
        <v>78</v>
      </c>
      <c r="F291">
        <v>16590</v>
      </c>
      <c r="G291">
        <v>4.5</v>
      </c>
      <c r="H291" t="s">
        <v>79</v>
      </c>
      <c r="I291" t="s">
        <v>80</v>
      </c>
      <c r="J291">
        <v>5</v>
      </c>
      <c r="K291">
        <v>5</v>
      </c>
      <c r="L291" t="s">
        <v>81</v>
      </c>
      <c r="M291" t="s">
        <v>82</v>
      </c>
      <c r="N291" t="s">
        <v>83</v>
      </c>
      <c r="O291" t="s">
        <v>83</v>
      </c>
      <c r="P291" t="s">
        <v>84</v>
      </c>
      <c r="Q291" t="s">
        <v>509</v>
      </c>
      <c r="R291">
        <v>3</v>
      </c>
      <c r="S291" t="s">
        <v>86</v>
      </c>
      <c r="T291" t="s">
        <v>87</v>
      </c>
      <c r="U291" t="s">
        <v>88</v>
      </c>
      <c r="V291">
        <v>1</v>
      </c>
      <c r="W291" t="s">
        <v>510</v>
      </c>
      <c r="X291" t="s">
        <v>83</v>
      </c>
      <c r="Y291" t="s">
        <v>90</v>
      </c>
      <c r="Z291">
        <v>4000</v>
      </c>
      <c r="AA291">
        <v>4000</v>
      </c>
      <c r="AC291">
        <v>256</v>
      </c>
      <c r="AD291" t="s">
        <v>91</v>
      </c>
      <c r="AE291">
        <v>0.15</v>
      </c>
      <c r="AF291" t="s">
        <v>92</v>
      </c>
      <c r="AG291">
        <v>180</v>
      </c>
      <c r="AH291">
        <v>60</v>
      </c>
      <c r="AI291">
        <v>120</v>
      </c>
      <c r="AJ291">
        <v>0.1223948176228354</v>
      </c>
      <c r="AK291">
        <v>16.942214920079241</v>
      </c>
      <c r="AL291">
        <v>0.66698846388793864</v>
      </c>
      <c r="AM291">
        <v>4.9730303204661867E-2</v>
      </c>
      <c r="AN291">
        <v>23.416137708360509</v>
      </c>
      <c r="AO291">
        <v>0.63318423033415572</v>
      </c>
      <c r="AP291">
        <v>23.416137708360509</v>
      </c>
      <c r="AQ291">
        <v>23.416137708360509</v>
      </c>
      <c r="AR291">
        <v>0.63318423033415572</v>
      </c>
      <c r="AS291">
        <v>103.01557423058949</v>
      </c>
      <c r="AT291">
        <v>-1.7343137147327738E-2</v>
      </c>
      <c r="AU291">
        <v>0.8</v>
      </c>
      <c r="AV291" t="s">
        <v>93</v>
      </c>
      <c r="AW291">
        <v>8.4780129360841588E-2</v>
      </c>
      <c r="AX291">
        <v>0.38438664364837211</v>
      </c>
      <c r="AY291">
        <v>8.4780129360841588E-2</v>
      </c>
      <c r="AZ291">
        <v>8.4780129360841588E-2</v>
      </c>
      <c r="BA291">
        <v>0.38438664364837211</v>
      </c>
      <c r="BB291">
        <v>0.14829935631530669</v>
      </c>
      <c r="BC291">
        <v>-7.6845071767719153E-2</v>
      </c>
      <c r="BD291">
        <v>0.10191750208233449</v>
      </c>
      <c r="BE291">
        <v>0.64687762302974416</v>
      </c>
      <c r="BF291">
        <v>0.10191750208233449</v>
      </c>
      <c r="BG291">
        <v>0.10191750208233449</v>
      </c>
      <c r="BH291">
        <v>0.64687762302974416</v>
      </c>
      <c r="BI291">
        <v>0.1780389220271611</v>
      </c>
      <c r="BJ291">
        <v>0.38313316108685902</v>
      </c>
      <c r="BK291">
        <v>5.7946737778487502E-2</v>
      </c>
      <c r="BL291">
        <v>0.76736217648291138</v>
      </c>
      <c r="BM291">
        <v>5.7946737778487502E-2</v>
      </c>
      <c r="BN291">
        <v>5.7946737778487502E-2</v>
      </c>
      <c r="BO291">
        <v>0.76736217648291138</v>
      </c>
      <c r="BP291">
        <v>0.30005889131754898</v>
      </c>
      <c r="BQ291">
        <v>-0.2046415394410708</v>
      </c>
      <c r="BR291">
        <v>93.419906464220119</v>
      </c>
      <c r="BS291">
        <v>0.73411047817559627</v>
      </c>
      <c r="BT291">
        <v>93.419906464220119</v>
      </c>
      <c r="BU291">
        <v>93.419906464220119</v>
      </c>
      <c r="BV291">
        <v>0.73411047817559627</v>
      </c>
      <c r="BW291">
        <v>411.43589975269867</v>
      </c>
      <c r="BX291">
        <v>-0.17101909846738361</v>
      </c>
      <c r="BY291" t="str">
        <f t="shared" si="11"/>
        <v>[[sv,wv],[yr],[ya]]</v>
      </c>
      <c r="BZ291" t="str">
        <f>SUBSTITUTE(TRIM(MID(SUBSTITUTE(SUBSTITUTE(SUBSTITUTE(Tabla1[[#This Row],[map]],"[",""),"]",""),",",REPT(" ",100)),901,200))," ",", ")</f>
        <v>2, 4</v>
      </c>
      <c r="CA291" t="str">
        <f>SUBSTITUTE(TRIM(MID(SUBSTITUTE(SUBSTITUTE(SUBSTITUTE(Tabla1[[#This Row],[map]],"[",""),"]",""),",",REPT(" ",100)),1501,200))," ",", ")</f>
        <v>3, 4</v>
      </c>
      <c r="CB291" t="str">
        <f>SUBSTITUTE(TRIM(MID(SUBSTITUTE(SUBSTITUTE(SUBSTITUTE(Tabla1[[#This Row],[map]],"[",""),"]",""),",",REPT(" ",100)),601,300))," ",", ")</f>
        <v>0, 1, 3</v>
      </c>
      <c r="CC291" t="str">
        <f>SUBSTITUTE(TRIM(MID(SUBSTITUTE(SUBSTITUTE(SUBSTITUTE(Tabla1[[#This Row],[map]],"[",""),"]",""),",",REPT(" ",100)),1201,300))," ",", ")</f>
        <v>1, 2, 0</v>
      </c>
      <c r="CD291" t="str">
        <f>SUBSTITUTE(TRIM(MID(SUBSTITUTE(SUBSTITUTE(SUBSTITUTE(Tabla1[[#This Row],[map]],"[",""),"]",""),",",REPT(" ",100)),1,300))," ",", ")</f>
        <v>4, 2, 3</v>
      </c>
      <c r="CE291" t="str">
        <f>SUBSTITUTE(TRIM(MID(SUBSTITUTE(SUBSTITUTE(SUBSTITUTE(Tabla1[[#This Row],[map]],"[",""),"]",""),",",REPT(" ",100)),1,600))," ",", ")</f>
        <v>4, 2, 3, 0, 1, -1</v>
      </c>
      <c r="CF291" t="str">
        <f>SUBSTITUTE(TRIM(MID(SUBSTITUTE(SUBSTITUTE(SUBSTITUTE(Tabla1[[#This Row],[map]],"[",""),"]",""),",",REPT(" ",100)),601,600))," ",", ")</f>
        <v>0, 1, 3, 2, 4, -1</v>
      </c>
      <c r="CG291" t="str">
        <f>SUBSTITUTE(TRIM(MID(SUBSTITUTE(SUBSTITUTE(SUBSTITUTE(Tabla1[[#This Row],[map]],"[",""),"]",""),",",REPT(" ",100)),1201,600))," ",", ")</f>
        <v>1, 2, 0, 3, 4, -1</v>
      </c>
    </row>
    <row r="292" spans="1:85" x14ac:dyDescent="0.3">
      <c r="A292" s="1">
        <v>46108.128206018519</v>
      </c>
      <c r="B292" t="s">
        <v>528</v>
      </c>
      <c r="C292">
        <v>3</v>
      </c>
      <c r="D292" t="s">
        <v>96</v>
      </c>
      <c r="E292" t="s">
        <v>78</v>
      </c>
      <c r="F292">
        <v>16590</v>
      </c>
      <c r="G292">
        <v>4.5</v>
      </c>
      <c r="H292" t="s">
        <v>79</v>
      </c>
      <c r="I292" t="s">
        <v>80</v>
      </c>
      <c r="J292">
        <v>5</v>
      </c>
      <c r="K292">
        <v>5</v>
      </c>
      <c r="L292" t="s">
        <v>81</v>
      </c>
      <c r="M292" t="s">
        <v>82</v>
      </c>
      <c r="N292" t="s">
        <v>83</v>
      </c>
      <c r="O292" t="s">
        <v>83</v>
      </c>
      <c r="P292" t="s">
        <v>84</v>
      </c>
      <c r="Q292" t="s">
        <v>469</v>
      </c>
      <c r="R292">
        <v>3</v>
      </c>
      <c r="S292" t="s">
        <v>86</v>
      </c>
      <c r="T292" t="s">
        <v>87</v>
      </c>
      <c r="U292" t="s">
        <v>88</v>
      </c>
      <c r="V292">
        <v>1</v>
      </c>
      <c r="W292" t="s">
        <v>470</v>
      </c>
      <c r="X292" t="s">
        <v>83</v>
      </c>
      <c r="Y292" t="s">
        <v>90</v>
      </c>
      <c r="Z292">
        <v>4000</v>
      </c>
      <c r="AA292">
        <v>4000</v>
      </c>
      <c r="AC292">
        <v>256</v>
      </c>
      <c r="AD292" t="s">
        <v>91</v>
      </c>
      <c r="AE292">
        <v>0.15</v>
      </c>
      <c r="AF292" t="s">
        <v>92</v>
      </c>
      <c r="AG292">
        <v>180</v>
      </c>
      <c r="AH292">
        <v>60</v>
      </c>
      <c r="AI292">
        <v>120</v>
      </c>
      <c r="AJ292">
        <v>0.1133185777972064</v>
      </c>
      <c r="AK292">
        <v>16.61264124934614</v>
      </c>
      <c r="AL292">
        <v>0.67592484626694915</v>
      </c>
      <c r="AM292">
        <v>0.15283846030051179</v>
      </c>
      <c r="AN292">
        <v>22.655198445076891</v>
      </c>
      <c r="AO292">
        <v>0.63424796279987117</v>
      </c>
      <c r="AP292">
        <v>22.655198445076891</v>
      </c>
      <c r="AQ292">
        <v>22.655198445076891</v>
      </c>
      <c r="AR292">
        <v>0.63424796279987117</v>
      </c>
      <c r="AS292">
        <v>101.7860188971456</v>
      </c>
      <c r="AT292">
        <v>0.15093672309461131</v>
      </c>
      <c r="AU292">
        <v>0.8</v>
      </c>
      <c r="AV292" t="s">
        <v>93</v>
      </c>
      <c r="AW292">
        <v>8.8335216307806413E-2</v>
      </c>
      <c r="AX292">
        <v>0.35857211583339399</v>
      </c>
      <c r="AY292">
        <v>8.8335216307806413E-2</v>
      </c>
      <c r="AZ292">
        <v>8.8335216307806413E-2</v>
      </c>
      <c r="BA292">
        <v>0.35857211583339399</v>
      </c>
      <c r="BB292">
        <v>0.1302233383808796</v>
      </c>
      <c r="BC292">
        <v>5.4410189977902479E-2</v>
      </c>
      <c r="BD292">
        <v>8.6205432710694849E-2</v>
      </c>
      <c r="BE292">
        <v>0.70131658758710502</v>
      </c>
      <c r="BF292">
        <v>8.6205432710694849E-2</v>
      </c>
      <c r="BG292">
        <v>8.6205432710694849E-2</v>
      </c>
      <c r="BH292">
        <v>0.70131658758710502</v>
      </c>
      <c r="BI292">
        <v>0.15929759838633739</v>
      </c>
      <c r="BJ292">
        <v>0.44806784469272409</v>
      </c>
      <c r="BK292">
        <v>6.6171890195723601E-2</v>
      </c>
      <c r="BL292">
        <v>0.73434079115908557</v>
      </c>
      <c r="BM292">
        <v>6.6171890195723601E-2</v>
      </c>
      <c r="BN292">
        <v>6.6171890195723601E-2</v>
      </c>
      <c r="BO292">
        <v>0.73434079115908557</v>
      </c>
      <c r="BP292">
        <v>0.18464141569834641</v>
      </c>
      <c r="BQ292">
        <v>0.25872311840263701</v>
      </c>
      <c r="BR292">
        <v>90.380081241093308</v>
      </c>
      <c r="BS292">
        <v>0.74276235661990309</v>
      </c>
      <c r="BT292">
        <v>90.380081241093308</v>
      </c>
      <c r="BU292">
        <v>90.380081241093308</v>
      </c>
      <c r="BV292">
        <v>0.74276235661990309</v>
      </c>
      <c r="BW292">
        <v>406.66991323611592</v>
      </c>
      <c r="BX292">
        <v>-0.15745426069481441</v>
      </c>
      <c r="BY292" t="str">
        <f t="shared" si="11"/>
        <v>[[sv,wv],[yr],[ya]]</v>
      </c>
      <c r="BZ292" t="str">
        <f>SUBSTITUTE(TRIM(MID(SUBSTITUTE(SUBSTITUTE(SUBSTITUTE(Tabla1[[#This Row],[map]],"[",""),"]",""),",",REPT(" ",100)),901,200))," ",", ")</f>
        <v>2, 3</v>
      </c>
      <c r="CA292" t="str">
        <f>SUBSTITUTE(TRIM(MID(SUBSTITUTE(SUBSTITUTE(SUBSTITUTE(Tabla1[[#This Row],[map]],"[",""),"]",""),",",REPT(" ",100)),1501,200))," ",", ")</f>
        <v>3, 4</v>
      </c>
      <c r="CB292" t="str">
        <f>SUBSTITUTE(TRIM(MID(SUBSTITUTE(SUBSTITUTE(SUBSTITUTE(Tabla1[[#This Row],[map]],"[",""),"]",""),",",REPT(" ",100)),601,300))," ",", ")</f>
        <v>0, 1, 4</v>
      </c>
      <c r="CC292" t="str">
        <f>SUBSTITUTE(TRIM(MID(SUBSTITUTE(SUBSTITUTE(SUBSTITUTE(Tabla1[[#This Row],[map]],"[",""),"]",""),",",REPT(" ",100)),1201,300))," ",", ")</f>
        <v>1, 2, 0</v>
      </c>
      <c r="CD292" t="str">
        <f>SUBSTITUTE(TRIM(MID(SUBSTITUTE(SUBSTITUTE(SUBSTITUTE(Tabla1[[#This Row],[map]],"[",""),"]",""),",",REPT(" ",100)),1,300))," ",", ")</f>
        <v>4, 2, 3</v>
      </c>
      <c r="CE292" t="str">
        <f>SUBSTITUTE(TRIM(MID(SUBSTITUTE(SUBSTITUTE(SUBSTITUTE(Tabla1[[#This Row],[map]],"[",""),"]",""),",",REPT(" ",100)),1,600))," ",", ")</f>
        <v>4, 2, 3, 0, 1, -1</v>
      </c>
      <c r="CF292" t="str">
        <f>SUBSTITUTE(TRIM(MID(SUBSTITUTE(SUBSTITUTE(SUBSTITUTE(Tabla1[[#This Row],[map]],"[",""),"]",""),",",REPT(" ",100)),601,600))," ",", ")</f>
        <v>0, 1, 4, 2, 3, -1</v>
      </c>
      <c r="CG292" t="str">
        <f>SUBSTITUTE(TRIM(MID(SUBSTITUTE(SUBSTITUTE(SUBSTITUTE(Tabla1[[#This Row],[map]],"[",""),"]",""),",",REPT(" ",100)),1201,600))," ",", ")</f>
        <v>1, 2, 0, 3, 4, -1</v>
      </c>
    </row>
    <row r="293" spans="1:85" x14ac:dyDescent="0.3">
      <c r="A293" s="1">
        <v>46108.142476851863</v>
      </c>
      <c r="B293" t="s">
        <v>529</v>
      </c>
      <c r="C293">
        <v>5</v>
      </c>
      <c r="D293" t="s">
        <v>96</v>
      </c>
      <c r="E293" t="s">
        <v>78</v>
      </c>
      <c r="F293">
        <v>16590</v>
      </c>
      <c r="G293">
        <v>4.5</v>
      </c>
      <c r="H293" t="s">
        <v>79</v>
      </c>
      <c r="I293" t="s">
        <v>80</v>
      </c>
      <c r="J293">
        <v>5</v>
      </c>
      <c r="K293">
        <v>5</v>
      </c>
      <c r="L293" t="s">
        <v>81</v>
      </c>
      <c r="M293" t="s">
        <v>82</v>
      </c>
      <c r="N293" t="s">
        <v>83</v>
      </c>
      <c r="O293" t="s">
        <v>83</v>
      </c>
      <c r="P293" t="s">
        <v>84</v>
      </c>
      <c r="Q293" t="s">
        <v>435</v>
      </c>
      <c r="R293">
        <v>3</v>
      </c>
      <c r="S293" t="s">
        <v>86</v>
      </c>
      <c r="T293" t="s">
        <v>87</v>
      </c>
      <c r="U293" t="s">
        <v>88</v>
      </c>
      <c r="V293">
        <v>1</v>
      </c>
      <c r="W293" t="s">
        <v>436</v>
      </c>
      <c r="X293" t="s">
        <v>83</v>
      </c>
      <c r="Y293" t="s">
        <v>90</v>
      </c>
      <c r="Z293">
        <v>4000</v>
      </c>
      <c r="AA293">
        <v>4000</v>
      </c>
      <c r="AC293">
        <v>256</v>
      </c>
      <c r="AD293" t="s">
        <v>91</v>
      </c>
      <c r="AE293">
        <v>0.15</v>
      </c>
      <c r="AF293" t="s">
        <v>92</v>
      </c>
      <c r="AG293">
        <v>180</v>
      </c>
      <c r="AH293">
        <v>60</v>
      </c>
      <c r="AI293">
        <v>120</v>
      </c>
      <c r="AJ293">
        <v>0.1026465131524924</v>
      </c>
      <c r="AK293">
        <v>28.5863742335825</v>
      </c>
      <c r="AL293">
        <v>0.74969836777682342</v>
      </c>
      <c r="AM293">
        <v>-5.2958626378971002E-2</v>
      </c>
      <c r="AN293">
        <v>32.400519151129792</v>
      </c>
      <c r="AO293">
        <v>0.6873592846980221</v>
      </c>
      <c r="AP293">
        <v>32.400519151129792</v>
      </c>
      <c r="AQ293">
        <v>32.400519151129792</v>
      </c>
      <c r="AR293">
        <v>0.6873592846980221</v>
      </c>
      <c r="AS293">
        <v>101.01671551594031</v>
      </c>
      <c r="AT293">
        <v>-4.7612095310094388E-2</v>
      </c>
      <c r="AU293">
        <v>0.8</v>
      </c>
      <c r="AV293" t="s">
        <v>93</v>
      </c>
      <c r="AW293">
        <v>6.6265779035888872E-2</v>
      </c>
      <c r="AX293">
        <v>0.51882476529481503</v>
      </c>
      <c r="AY293">
        <v>6.6265779035888872E-2</v>
      </c>
      <c r="AZ293">
        <v>6.6265779035888872E-2</v>
      </c>
      <c r="BA293">
        <v>0.51882476529481503</v>
      </c>
      <c r="BB293">
        <v>0.1470530835284419</v>
      </c>
      <c r="BC293">
        <v>-6.7795519956042938E-2</v>
      </c>
      <c r="BD293">
        <v>7.2824206091712099E-2</v>
      </c>
      <c r="BE293">
        <v>0.74767967983259154</v>
      </c>
      <c r="BF293">
        <v>7.2824206091712099E-2</v>
      </c>
      <c r="BG293">
        <v>7.2824206091712099E-2</v>
      </c>
      <c r="BH293">
        <v>0.74767967983259154</v>
      </c>
      <c r="BI293">
        <v>0.30105836618394421</v>
      </c>
      <c r="BJ293">
        <v>-4.3102938176140748E-2</v>
      </c>
      <c r="BK293">
        <v>3.7038594888298318E-2</v>
      </c>
      <c r="BL293">
        <v>0.85130175690159804</v>
      </c>
      <c r="BM293">
        <v>3.7038594888298318E-2</v>
      </c>
      <c r="BN293">
        <v>3.7038594888298318E-2</v>
      </c>
      <c r="BO293">
        <v>0.85130175690159804</v>
      </c>
      <c r="BP293">
        <v>0.23200835129345071</v>
      </c>
      <c r="BQ293">
        <v>6.8559854240248463E-2</v>
      </c>
      <c r="BR293">
        <v>129.42594802450259</v>
      </c>
      <c r="BS293">
        <v>0.63163093676308346</v>
      </c>
      <c r="BT293">
        <v>129.42594802450259</v>
      </c>
      <c r="BU293">
        <v>129.42594802450259</v>
      </c>
      <c r="BV293">
        <v>0.63163093676308346</v>
      </c>
      <c r="BW293">
        <v>403.38674226275452</v>
      </c>
      <c r="BX293">
        <v>-0.148109777348439</v>
      </c>
      <c r="BY293" t="str">
        <f t="shared" si="11"/>
        <v>[[sv,wv],[yr],[ya]]</v>
      </c>
      <c r="BZ293" t="str">
        <f>SUBSTITUTE(TRIM(MID(SUBSTITUTE(SUBSTITUTE(SUBSTITUTE(Tabla1[[#This Row],[map]],"[",""),"]",""),",",REPT(" ",100)),901,200))," ",", ")</f>
        <v>2, 4</v>
      </c>
      <c r="CA293" t="str">
        <f>SUBSTITUTE(TRIM(MID(SUBSTITUTE(SUBSTITUTE(SUBSTITUTE(Tabla1[[#This Row],[map]],"[",""),"]",""),",",REPT(" ",100)),1501,200))," ",", ")</f>
        <v>3, 4</v>
      </c>
      <c r="CB293" t="str">
        <f>SUBSTITUTE(TRIM(MID(SUBSTITUTE(SUBSTITUTE(SUBSTITUTE(Tabla1[[#This Row],[map]],"[",""),"]",""),",",REPT(" ",100)),601,300))," ",", ")</f>
        <v>1, 3, 0</v>
      </c>
      <c r="CC293" t="str">
        <f>SUBSTITUTE(TRIM(MID(SUBSTITUTE(SUBSTITUTE(SUBSTITUTE(Tabla1[[#This Row],[map]],"[",""),"]",""),",",REPT(" ",100)),1201,300))," ",", ")</f>
        <v>1, 2, 0</v>
      </c>
      <c r="CD293" t="str">
        <f>SUBSTITUTE(TRIM(MID(SUBSTITUTE(SUBSTITUTE(SUBSTITUTE(Tabla1[[#This Row],[map]],"[",""),"]",""),",",REPT(" ",100)),1,300))," ",", ")</f>
        <v>2, 3, 4</v>
      </c>
      <c r="CE293" t="str">
        <f>SUBSTITUTE(TRIM(MID(SUBSTITUTE(SUBSTITUTE(SUBSTITUTE(Tabla1[[#This Row],[map]],"[",""),"]",""),",",REPT(" ",100)),1,600))," ",", ")</f>
        <v>2, 3, 4, 0, 1, -1</v>
      </c>
      <c r="CF293" t="str">
        <f>SUBSTITUTE(TRIM(MID(SUBSTITUTE(SUBSTITUTE(SUBSTITUTE(Tabla1[[#This Row],[map]],"[",""),"]",""),",",REPT(" ",100)),601,600))," ",", ")</f>
        <v>1, 3, 0, 2, 4, -1</v>
      </c>
      <c r="CG293" t="str">
        <f>SUBSTITUTE(TRIM(MID(SUBSTITUTE(SUBSTITUTE(SUBSTITUTE(Tabla1[[#This Row],[map]],"[",""),"]",""),",",REPT(" ",100)),1201,600))," ",", ")</f>
        <v>1, 2, 0, 3, 4, -1</v>
      </c>
    </row>
    <row r="294" spans="1:85" x14ac:dyDescent="0.3">
      <c r="A294" s="1">
        <v>46108.142129629632</v>
      </c>
      <c r="B294" t="s">
        <v>530</v>
      </c>
      <c r="C294">
        <v>2</v>
      </c>
      <c r="D294" t="s">
        <v>96</v>
      </c>
      <c r="E294" t="s">
        <v>78</v>
      </c>
      <c r="F294">
        <v>16590</v>
      </c>
      <c r="G294">
        <v>4.5</v>
      </c>
      <c r="H294" t="s">
        <v>79</v>
      </c>
      <c r="I294" t="s">
        <v>80</v>
      </c>
      <c r="J294">
        <v>5</v>
      </c>
      <c r="K294">
        <v>5</v>
      </c>
      <c r="L294" t="s">
        <v>81</v>
      </c>
      <c r="M294" t="s">
        <v>82</v>
      </c>
      <c r="N294" t="s">
        <v>83</v>
      </c>
      <c r="O294" t="s">
        <v>83</v>
      </c>
      <c r="P294" t="s">
        <v>84</v>
      </c>
      <c r="Q294" t="s">
        <v>469</v>
      </c>
      <c r="R294">
        <v>3</v>
      </c>
      <c r="S294" t="s">
        <v>86</v>
      </c>
      <c r="T294" t="s">
        <v>87</v>
      </c>
      <c r="U294" t="s">
        <v>88</v>
      </c>
      <c r="V294">
        <v>1</v>
      </c>
      <c r="W294" t="s">
        <v>470</v>
      </c>
      <c r="X294" t="s">
        <v>83</v>
      </c>
      <c r="Y294" t="s">
        <v>90</v>
      </c>
      <c r="Z294">
        <v>4000</v>
      </c>
      <c r="AA294">
        <v>4000</v>
      </c>
      <c r="AC294">
        <v>256</v>
      </c>
      <c r="AD294" t="s">
        <v>91</v>
      </c>
      <c r="AE294">
        <v>0.15</v>
      </c>
      <c r="AF294" t="s">
        <v>92</v>
      </c>
      <c r="AG294">
        <v>180</v>
      </c>
      <c r="AH294">
        <v>60</v>
      </c>
      <c r="AI294">
        <v>120</v>
      </c>
      <c r="AJ294">
        <v>0.1330043889570765</v>
      </c>
      <c r="AK294">
        <v>15.50179768647709</v>
      </c>
      <c r="AL294">
        <v>0.66093216787979836</v>
      </c>
      <c r="AM294">
        <v>-0.18521809922046539</v>
      </c>
      <c r="AN294">
        <v>25.823877974794829</v>
      </c>
      <c r="AO294">
        <v>0.57443697097993907</v>
      </c>
      <c r="AP294">
        <v>25.823877974794829</v>
      </c>
      <c r="AQ294">
        <v>25.823877974794829</v>
      </c>
      <c r="AR294">
        <v>0.57443697097993907</v>
      </c>
      <c r="AS294">
        <v>107.2830543567963</v>
      </c>
      <c r="AT294">
        <v>-9.9189396491079218E-2</v>
      </c>
      <c r="AU294">
        <v>0.8</v>
      </c>
      <c r="AV294" t="s">
        <v>93</v>
      </c>
      <c r="AW294">
        <v>7.3519902485611341E-2</v>
      </c>
      <c r="AX294">
        <v>0.46615044976899628</v>
      </c>
      <c r="AY294">
        <v>7.3519902485611341E-2</v>
      </c>
      <c r="AZ294">
        <v>7.3519902485611341E-2</v>
      </c>
      <c r="BA294">
        <v>0.46615044976899628</v>
      </c>
      <c r="BB294">
        <v>0.1082367505410087</v>
      </c>
      <c r="BC294">
        <v>0.2140612454417842</v>
      </c>
      <c r="BD294">
        <v>0.10103792101124209</v>
      </c>
      <c r="BE294">
        <v>0.64992518357838547</v>
      </c>
      <c r="BF294">
        <v>0.10103792101124209</v>
      </c>
      <c r="BG294">
        <v>0.10103792101124209</v>
      </c>
      <c r="BH294">
        <v>0.64992518357838547</v>
      </c>
      <c r="BI294">
        <v>0.37923609920766882</v>
      </c>
      <c r="BJ294">
        <v>-0.31397208574592539</v>
      </c>
      <c r="BK294">
        <v>0.13081968877102901</v>
      </c>
      <c r="BL294">
        <v>0.47480032810106748</v>
      </c>
      <c r="BM294">
        <v>0.13081968877102901</v>
      </c>
      <c r="BN294">
        <v>0.13081968877102901</v>
      </c>
      <c r="BO294">
        <v>0.47480032810106748</v>
      </c>
      <c r="BP294">
        <v>0.26841771018815991</v>
      </c>
      <c r="BQ294">
        <v>-7.7612205372436183E-2</v>
      </c>
      <c r="BR294">
        <v>102.99013438691181</v>
      </c>
      <c r="BS294">
        <v>0.70687192247130803</v>
      </c>
      <c r="BT294">
        <v>102.99013438691181</v>
      </c>
      <c r="BU294">
        <v>102.99013438691181</v>
      </c>
      <c r="BV294">
        <v>0.70687192247130803</v>
      </c>
      <c r="BW294">
        <v>428.37632686724851</v>
      </c>
      <c r="BX294">
        <v>-0.2192345402877407</v>
      </c>
      <c r="BY294" t="str">
        <f t="shared" si="11"/>
        <v>[[sv,wv],[yr],[ya]]</v>
      </c>
      <c r="BZ294" t="str">
        <f>SUBSTITUTE(TRIM(MID(SUBSTITUTE(SUBSTITUTE(SUBSTITUTE(Tabla1[[#This Row],[map]],"[",""),"]",""),",",REPT(" ",100)),901,200))," ",", ")</f>
        <v>2, 3</v>
      </c>
      <c r="CA294" t="str">
        <f>SUBSTITUTE(TRIM(MID(SUBSTITUTE(SUBSTITUTE(SUBSTITUTE(Tabla1[[#This Row],[map]],"[",""),"]",""),",",REPT(" ",100)),1501,200))," ",", ")</f>
        <v>3, 4</v>
      </c>
      <c r="CB294" t="str">
        <f>SUBSTITUTE(TRIM(MID(SUBSTITUTE(SUBSTITUTE(SUBSTITUTE(Tabla1[[#This Row],[map]],"[",""),"]",""),",",REPT(" ",100)),601,300))," ",", ")</f>
        <v>0, 1, 4</v>
      </c>
      <c r="CC294" t="str">
        <f>SUBSTITUTE(TRIM(MID(SUBSTITUTE(SUBSTITUTE(SUBSTITUTE(Tabla1[[#This Row],[map]],"[",""),"]",""),",",REPT(" ",100)),1201,300))," ",", ")</f>
        <v>1, 2, 0</v>
      </c>
      <c r="CD294" t="str">
        <f>SUBSTITUTE(TRIM(MID(SUBSTITUTE(SUBSTITUTE(SUBSTITUTE(Tabla1[[#This Row],[map]],"[",""),"]",""),",",REPT(" ",100)),1,300))," ",", ")</f>
        <v>4, 2, 3</v>
      </c>
      <c r="CE294" t="str">
        <f>SUBSTITUTE(TRIM(MID(SUBSTITUTE(SUBSTITUTE(SUBSTITUTE(Tabla1[[#This Row],[map]],"[",""),"]",""),",",REPT(" ",100)),1,600))," ",", ")</f>
        <v>4, 2, 3, 0, 1, -1</v>
      </c>
      <c r="CF294" t="str">
        <f>SUBSTITUTE(TRIM(MID(SUBSTITUTE(SUBSTITUTE(SUBSTITUTE(Tabla1[[#This Row],[map]],"[",""),"]",""),",",REPT(" ",100)),601,600))," ",", ")</f>
        <v>0, 1, 4, 2, 3, -1</v>
      </c>
      <c r="CG294" t="str">
        <f>SUBSTITUTE(TRIM(MID(SUBSTITUTE(SUBSTITUTE(SUBSTITUTE(Tabla1[[#This Row],[map]],"[",""),"]",""),",",REPT(" ",100)),1201,600))," ",", ")</f>
        <v>1, 2, 0, 3, 4, -1</v>
      </c>
    </row>
    <row r="295" spans="1:85" x14ac:dyDescent="0.3">
      <c r="A295" s="1">
        <v>46108.159930555557</v>
      </c>
      <c r="B295" t="s">
        <v>531</v>
      </c>
      <c r="C295">
        <v>4</v>
      </c>
      <c r="D295" t="s">
        <v>77</v>
      </c>
      <c r="E295" t="s">
        <v>78</v>
      </c>
      <c r="F295">
        <v>16590</v>
      </c>
      <c r="G295">
        <v>4.5</v>
      </c>
      <c r="H295" t="s">
        <v>79</v>
      </c>
      <c r="I295" t="s">
        <v>80</v>
      </c>
      <c r="J295">
        <v>5</v>
      </c>
      <c r="K295">
        <v>5</v>
      </c>
      <c r="L295" t="s">
        <v>81</v>
      </c>
      <c r="M295" t="s">
        <v>82</v>
      </c>
      <c r="N295" t="s">
        <v>83</v>
      </c>
      <c r="O295" t="s">
        <v>83</v>
      </c>
      <c r="P295" t="s">
        <v>84</v>
      </c>
      <c r="Q295" t="s">
        <v>435</v>
      </c>
      <c r="R295">
        <v>3</v>
      </c>
      <c r="S295" t="s">
        <v>86</v>
      </c>
      <c r="T295" t="s">
        <v>87</v>
      </c>
      <c r="U295" t="s">
        <v>88</v>
      </c>
      <c r="V295">
        <v>1</v>
      </c>
      <c r="W295" t="s">
        <v>436</v>
      </c>
      <c r="X295" t="s">
        <v>83</v>
      </c>
      <c r="Y295" t="s">
        <v>90</v>
      </c>
      <c r="Z295">
        <v>4000</v>
      </c>
      <c r="AA295">
        <v>4000</v>
      </c>
      <c r="AC295">
        <v>256</v>
      </c>
      <c r="AD295" t="s">
        <v>91</v>
      </c>
      <c r="AE295">
        <v>0.15</v>
      </c>
      <c r="AF295" t="s">
        <v>92</v>
      </c>
      <c r="AG295">
        <v>180</v>
      </c>
      <c r="AH295">
        <v>60</v>
      </c>
      <c r="AI295">
        <v>120</v>
      </c>
      <c r="AJ295">
        <v>8.9679870393790079E-2</v>
      </c>
      <c r="AK295">
        <v>17.460489508817549</v>
      </c>
      <c r="AL295">
        <v>0.81574429641611723</v>
      </c>
      <c r="AM295">
        <v>-0.38196956926869291</v>
      </c>
      <c r="AN295">
        <v>24.74322787906139</v>
      </c>
      <c r="AO295">
        <v>0.74057095050617971</v>
      </c>
      <c r="AP295">
        <v>24.74322787906139</v>
      </c>
      <c r="AQ295">
        <v>24.74322787906139</v>
      </c>
      <c r="AR295">
        <v>0.74057095050617971</v>
      </c>
      <c r="AS295">
        <v>115.54155977002191</v>
      </c>
      <c r="AT295">
        <v>-0.32855337533953921</v>
      </c>
      <c r="AU295">
        <v>0.8</v>
      </c>
      <c r="AV295" t="s">
        <v>93</v>
      </c>
      <c r="AW295">
        <v>5.9991615736508297E-2</v>
      </c>
      <c r="AX295">
        <v>0.56438330308131057</v>
      </c>
      <c r="AY295">
        <v>5.9991615736508297E-2</v>
      </c>
      <c r="AZ295">
        <v>5.9991615736508297E-2</v>
      </c>
      <c r="BA295">
        <v>0.56438330308131057</v>
      </c>
      <c r="BB295">
        <v>0.2088223335114604</v>
      </c>
      <c r="BC295">
        <v>-0.51632013991176851</v>
      </c>
      <c r="BD295">
        <v>4.1579445180065303E-2</v>
      </c>
      <c r="BE295">
        <v>0.85593610307258439</v>
      </c>
      <c r="BF295">
        <v>4.1579445180065303E-2</v>
      </c>
      <c r="BG295">
        <v>4.1579445180065303E-2</v>
      </c>
      <c r="BH295">
        <v>0.85593610307258439</v>
      </c>
      <c r="BI295">
        <v>0.32671026762556921</v>
      </c>
      <c r="BJ295">
        <v>-0.13198129788667989</v>
      </c>
      <c r="BK295">
        <v>4.4027291541292757E-2</v>
      </c>
      <c r="BL295">
        <v>0.82324435037788901</v>
      </c>
      <c r="BM295">
        <v>4.4027291541292757E-2</v>
      </c>
      <c r="BN295">
        <v>4.4027291541292757E-2</v>
      </c>
      <c r="BO295">
        <v>0.82324435037788901</v>
      </c>
      <c r="BP295">
        <v>0.33701008315392872</v>
      </c>
      <c r="BQ295">
        <v>-0.35298888693177138</v>
      </c>
      <c r="BR295">
        <v>98.827313163787906</v>
      </c>
      <c r="BS295">
        <v>0.71872004549293433</v>
      </c>
      <c r="BT295">
        <v>98.827313163787906</v>
      </c>
      <c r="BU295">
        <v>98.827313163787906</v>
      </c>
      <c r="BV295">
        <v>0.71872004549293433</v>
      </c>
      <c r="BW295">
        <v>461.29369639579602</v>
      </c>
      <c r="BX295">
        <v>-0.31292317662795011</v>
      </c>
      <c r="BY295" t="str">
        <f t="shared" si="11"/>
        <v>[[sv,wv],[yr],[ya]]</v>
      </c>
      <c r="BZ295" t="str">
        <f>SUBSTITUTE(TRIM(MID(SUBSTITUTE(SUBSTITUTE(SUBSTITUTE(Tabla1[[#This Row],[map]],"[",""),"]",""),",",REPT(" ",100)),901,200))," ",", ")</f>
        <v>2, 4</v>
      </c>
      <c r="CA295" t="str">
        <f>SUBSTITUTE(TRIM(MID(SUBSTITUTE(SUBSTITUTE(SUBSTITUTE(Tabla1[[#This Row],[map]],"[",""),"]",""),",",REPT(" ",100)),1501,200))," ",", ")</f>
        <v>3, 4</v>
      </c>
      <c r="CB295" t="str">
        <f>SUBSTITUTE(TRIM(MID(SUBSTITUTE(SUBSTITUTE(SUBSTITUTE(Tabla1[[#This Row],[map]],"[",""),"]",""),",",REPT(" ",100)),601,300))," ",", ")</f>
        <v>1, 3, 0</v>
      </c>
      <c r="CC295" t="str">
        <f>SUBSTITUTE(TRIM(MID(SUBSTITUTE(SUBSTITUTE(SUBSTITUTE(Tabla1[[#This Row],[map]],"[",""),"]",""),",",REPT(" ",100)),1201,300))," ",", ")</f>
        <v>1, 2, 0</v>
      </c>
      <c r="CD295" t="str">
        <f>SUBSTITUTE(TRIM(MID(SUBSTITUTE(SUBSTITUTE(SUBSTITUTE(Tabla1[[#This Row],[map]],"[",""),"]",""),",",REPT(" ",100)),1,300))," ",", ")</f>
        <v>2, 3, 4</v>
      </c>
      <c r="CE295" t="str">
        <f>SUBSTITUTE(TRIM(MID(SUBSTITUTE(SUBSTITUTE(SUBSTITUTE(Tabla1[[#This Row],[map]],"[",""),"]",""),",",REPT(" ",100)),1,600))," ",", ")</f>
        <v>2, 3, 4, 0, 1, -1</v>
      </c>
      <c r="CF295" t="str">
        <f>SUBSTITUTE(TRIM(MID(SUBSTITUTE(SUBSTITUTE(SUBSTITUTE(Tabla1[[#This Row],[map]],"[",""),"]",""),",",REPT(" ",100)),601,600))," ",", ")</f>
        <v>1, 3, 0, 2, 4, -1</v>
      </c>
      <c r="CG295" t="str">
        <f>SUBSTITUTE(TRIM(MID(SUBSTITUTE(SUBSTITUTE(SUBSTITUTE(Tabla1[[#This Row],[map]],"[",""),"]",""),",",REPT(" ",100)),1201,600))," ",", ")</f>
        <v>1, 2, 0, 3, 4, -1</v>
      </c>
    </row>
    <row r="296" spans="1:85" x14ac:dyDescent="0.3">
      <c r="A296" s="1">
        <v>46108.173564814817</v>
      </c>
      <c r="B296" t="s">
        <v>532</v>
      </c>
      <c r="C296">
        <v>0</v>
      </c>
      <c r="D296" t="s">
        <v>77</v>
      </c>
      <c r="E296" t="s">
        <v>78</v>
      </c>
      <c r="F296">
        <v>16590</v>
      </c>
      <c r="G296">
        <v>4.5</v>
      </c>
      <c r="H296" t="s">
        <v>79</v>
      </c>
      <c r="I296" t="s">
        <v>80</v>
      </c>
      <c r="J296">
        <v>5</v>
      </c>
      <c r="K296">
        <v>5</v>
      </c>
      <c r="L296" t="s">
        <v>81</v>
      </c>
      <c r="M296" t="s">
        <v>82</v>
      </c>
      <c r="N296" t="s">
        <v>83</v>
      </c>
      <c r="O296" t="s">
        <v>83</v>
      </c>
      <c r="P296" t="s">
        <v>84</v>
      </c>
      <c r="Q296" t="s">
        <v>533</v>
      </c>
      <c r="R296">
        <v>3</v>
      </c>
      <c r="S296" t="s">
        <v>86</v>
      </c>
      <c r="T296" t="s">
        <v>87</v>
      </c>
      <c r="U296" t="s">
        <v>88</v>
      </c>
      <c r="V296">
        <v>1</v>
      </c>
      <c r="W296" t="s">
        <v>534</v>
      </c>
      <c r="X296" t="s">
        <v>83</v>
      </c>
      <c r="Y296" t="s">
        <v>90</v>
      </c>
      <c r="Z296">
        <v>4000</v>
      </c>
      <c r="AA296">
        <v>4000</v>
      </c>
      <c r="AC296">
        <v>256</v>
      </c>
      <c r="AD296" t="s">
        <v>91</v>
      </c>
      <c r="AE296">
        <v>0.15</v>
      </c>
      <c r="AF296" t="s">
        <v>92</v>
      </c>
      <c r="AG296">
        <v>180</v>
      </c>
      <c r="AH296">
        <v>60</v>
      </c>
      <c r="AI296">
        <v>120</v>
      </c>
      <c r="AJ296">
        <v>0.11839805738217379</v>
      </c>
      <c r="AK296">
        <v>19.989496180703391</v>
      </c>
      <c r="AL296">
        <v>0.70085226160815184</v>
      </c>
      <c r="AM296">
        <v>-4.9037538820280453E-2</v>
      </c>
      <c r="AN296">
        <v>27.660150043243739</v>
      </c>
      <c r="AO296">
        <v>0.6387051800786594</v>
      </c>
      <c r="AP296">
        <v>27.660150043243739</v>
      </c>
      <c r="AQ296">
        <v>27.660150043243739</v>
      </c>
      <c r="AR296">
        <v>0.6387051800786594</v>
      </c>
      <c r="AS296">
        <v>77.607216705881413</v>
      </c>
      <c r="AT296">
        <v>-4.7750383486460962E-2</v>
      </c>
      <c r="AU296">
        <v>0.8</v>
      </c>
      <c r="AV296" t="s">
        <v>93</v>
      </c>
      <c r="AW296">
        <v>7.7898222614863177E-2</v>
      </c>
      <c r="AX296">
        <v>0.43435818464424469</v>
      </c>
      <c r="AY296">
        <v>7.7898222614863177E-2</v>
      </c>
      <c r="AZ296">
        <v>7.7898222614863177E-2</v>
      </c>
      <c r="BA296">
        <v>0.43435818464424469</v>
      </c>
      <c r="BB296">
        <v>0.12620199590314471</v>
      </c>
      <c r="BC296">
        <v>8.3610335795339497E-2</v>
      </c>
      <c r="BD296">
        <v>9.2837620284532782E-2</v>
      </c>
      <c r="BE296">
        <v>0.67833747415971468</v>
      </c>
      <c r="BF296">
        <v>9.2837620284532782E-2</v>
      </c>
      <c r="BG296">
        <v>9.2837620284532782E-2</v>
      </c>
      <c r="BH296">
        <v>0.67833747415971468</v>
      </c>
      <c r="BI296">
        <v>0.12715784579398409</v>
      </c>
      <c r="BJ296">
        <v>0.55942522295224206</v>
      </c>
      <c r="BK296">
        <v>6.0684967846885679E-2</v>
      </c>
      <c r="BL296">
        <v>0.75636904886567913</v>
      </c>
      <c r="BM296">
        <v>6.0684967846885679E-2</v>
      </c>
      <c r="BN296">
        <v>6.0684967846885679E-2</v>
      </c>
      <c r="BO296">
        <v>0.75636904886567913</v>
      </c>
      <c r="BP296">
        <v>0.48636638736910748</v>
      </c>
      <c r="BQ296">
        <v>-0.9526072066721909</v>
      </c>
      <c r="BR296">
        <v>110.4091793622287</v>
      </c>
      <c r="BS296">
        <v>0.68575601264499864</v>
      </c>
      <c r="BT296">
        <v>110.4091793622287</v>
      </c>
      <c r="BU296">
        <v>110.4091793622287</v>
      </c>
      <c r="BV296">
        <v>0.68575601264499864</v>
      </c>
      <c r="BW296">
        <v>309.68914059445927</v>
      </c>
      <c r="BX296">
        <v>0.118570113978772</v>
      </c>
      <c r="BY296" t="str">
        <f t="shared" si="11"/>
        <v>[[sv,wv],[yr],[ya]]</v>
      </c>
      <c r="BZ296" t="str">
        <f>SUBSTITUTE(TRIM(MID(SUBSTITUTE(SUBSTITUTE(SUBSTITUTE(Tabla1[[#This Row],[map]],"[",""),"]",""),",",REPT(" ",100)),901,200))," ",", ")</f>
        <v>2, 4</v>
      </c>
      <c r="CA296" t="str">
        <f>SUBSTITUTE(TRIM(MID(SUBSTITUTE(SUBSTITUTE(SUBSTITUTE(Tabla1[[#This Row],[map]],"[",""),"]",""),",",REPT(" ",100)),1501,200))," ",", ")</f>
        <v>3, 4</v>
      </c>
      <c r="CB296" t="str">
        <f>SUBSTITUTE(TRIM(MID(SUBSTITUTE(SUBSTITUTE(SUBSTITUTE(Tabla1[[#This Row],[map]],"[",""),"]",""),",",REPT(" ",100)),601,300))," ",", ")</f>
        <v>1, 3, 0</v>
      </c>
      <c r="CC296" t="str">
        <f>SUBSTITUTE(TRIM(MID(SUBSTITUTE(SUBSTITUTE(SUBSTITUTE(Tabla1[[#This Row],[map]],"[",""),"]",""),",",REPT(" ",100)),1201,300))," ",", ")</f>
        <v>1, 2, 0</v>
      </c>
      <c r="CD296" t="str">
        <f>SUBSTITUTE(TRIM(MID(SUBSTITUTE(SUBSTITUTE(SUBSTITUTE(Tabla1[[#This Row],[map]],"[",""),"]",""),",",REPT(" ",100)),1,300))," ",", ")</f>
        <v>4, 2, 3</v>
      </c>
      <c r="CE296" t="str">
        <f>SUBSTITUTE(TRIM(MID(SUBSTITUTE(SUBSTITUTE(SUBSTITUTE(Tabla1[[#This Row],[map]],"[",""),"]",""),",",REPT(" ",100)),1,600))," ",", ")</f>
        <v>4, 2, 3, 0, 1, -1</v>
      </c>
      <c r="CF296" t="str">
        <f>SUBSTITUTE(TRIM(MID(SUBSTITUTE(SUBSTITUTE(SUBSTITUTE(Tabla1[[#This Row],[map]],"[",""),"]",""),",",REPT(" ",100)),601,600))," ",", ")</f>
        <v>1, 3, 0, 2, 4, -1</v>
      </c>
      <c r="CG296" t="str">
        <f>SUBSTITUTE(TRIM(MID(SUBSTITUTE(SUBSTITUTE(SUBSTITUTE(Tabla1[[#This Row],[map]],"[",""),"]",""),",",REPT(" ",100)),1201,600))," ",", ")</f>
        <v>1, 2, 0, 3, 4, -1</v>
      </c>
    </row>
    <row r="297" spans="1:85" x14ac:dyDescent="0.3">
      <c r="A297" s="1">
        <v>46108.241851851853</v>
      </c>
      <c r="B297" t="s">
        <v>535</v>
      </c>
      <c r="C297">
        <v>1</v>
      </c>
      <c r="D297" t="s">
        <v>96</v>
      </c>
      <c r="E297" t="s">
        <v>78</v>
      </c>
      <c r="F297">
        <v>16590</v>
      </c>
      <c r="G297">
        <v>4.5</v>
      </c>
      <c r="H297" t="s">
        <v>79</v>
      </c>
      <c r="I297" t="s">
        <v>80</v>
      </c>
      <c r="J297">
        <v>5</v>
      </c>
      <c r="K297">
        <v>5</v>
      </c>
      <c r="L297" t="s">
        <v>81</v>
      </c>
      <c r="M297" t="s">
        <v>82</v>
      </c>
      <c r="N297" t="s">
        <v>83</v>
      </c>
      <c r="O297" t="s">
        <v>83</v>
      </c>
      <c r="P297" t="s">
        <v>84</v>
      </c>
      <c r="Q297" t="s">
        <v>517</v>
      </c>
      <c r="R297">
        <v>3</v>
      </c>
      <c r="S297" t="s">
        <v>86</v>
      </c>
      <c r="T297" t="s">
        <v>87</v>
      </c>
      <c r="U297" t="s">
        <v>88</v>
      </c>
      <c r="V297">
        <v>1</v>
      </c>
      <c r="W297" t="s">
        <v>518</v>
      </c>
      <c r="X297" t="s">
        <v>83</v>
      </c>
      <c r="Y297" t="s">
        <v>90</v>
      </c>
      <c r="Z297">
        <v>4000</v>
      </c>
      <c r="AA297">
        <v>4000</v>
      </c>
      <c r="AC297">
        <v>256</v>
      </c>
      <c r="AD297" t="s">
        <v>91</v>
      </c>
      <c r="AE297">
        <v>0.15</v>
      </c>
      <c r="AF297" t="s">
        <v>92</v>
      </c>
      <c r="AG297">
        <v>180</v>
      </c>
      <c r="AH297">
        <v>60</v>
      </c>
      <c r="AI297">
        <v>120</v>
      </c>
      <c r="AJ297">
        <v>0.1151610537541107</v>
      </c>
      <c r="AK297">
        <v>13.077953293217981</v>
      </c>
      <c r="AL297">
        <v>0.68555769340631323</v>
      </c>
      <c r="AM297">
        <v>0.18334394532593359</v>
      </c>
      <c r="AN297">
        <v>17.679863768280629</v>
      </c>
      <c r="AO297">
        <v>0.68594451103068255</v>
      </c>
      <c r="AP297">
        <v>17.679863768280629</v>
      </c>
      <c r="AQ297">
        <v>17.679863768280629</v>
      </c>
      <c r="AR297">
        <v>0.68594451103068255</v>
      </c>
      <c r="AS297">
        <v>99.925798786535026</v>
      </c>
      <c r="AT297">
        <v>9.2902717335811319E-2</v>
      </c>
      <c r="AU297">
        <v>0.8</v>
      </c>
      <c r="AV297" t="s">
        <v>93</v>
      </c>
      <c r="AW297">
        <v>8.2603504061327285E-2</v>
      </c>
      <c r="AX297">
        <v>0.40019175760910602</v>
      </c>
      <c r="AY297">
        <v>8.2603504061327285E-2</v>
      </c>
      <c r="AZ297">
        <v>8.2603504061327285E-2</v>
      </c>
      <c r="BA297">
        <v>0.40019175760910602</v>
      </c>
      <c r="BB297">
        <v>0.16624636487923131</v>
      </c>
      <c r="BC297">
        <v>-0.20716355867972491</v>
      </c>
      <c r="BD297">
        <v>8.6894882683402661E-2</v>
      </c>
      <c r="BE297">
        <v>0.69892779068578392</v>
      </c>
      <c r="BF297">
        <v>8.6894882683402661E-2</v>
      </c>
      <c r="BG297">
        <v>8.6894882683402661E-2</v>
      </c>
      <c r="BH297">
        <v>0.69892779068578392</v>
      </c>
      <c r="BI297">
        <v>0.1750784690926212</v>
      </c>
      <c r="BJ297">
        <v>0.39339049820554911</v>
      </c>
      <c r="BK297">
        <v>3.8521971560803767E-2</v>
      </c>
      <c r="BL297">
        <v>0.84534646875635577</v>
      </c>
      <c r="BM297">
        <v>3.8521971560803767E-2</v>
      </c>
      <c r="BN297">
        <v>3.8521971560803767E-2</v>
      </c>
      <c r="BO297">
        <v>0.84534646875635577</v>
      </c>
      <c r="BP297">
        <v>0.16899034026723639</v>
      </c>
      <c r="BQ297">
        <v>0.3215572357935722</v>
      </c>
      <c r="BR297">
        <v>70.51143471481717</v>
      </c>
      <c r="BS297">
        <v>0.79931202707148941</v>
      </c>
      <c r="BT297">
        <v>70.51143471481717</v>
      </c>
      <c r="BU297">
        <v>70.51143471481717</v>
      </c>
      <c r="BV297">
        <v>0.79931202707148941</v>
      </c>
      <c r="BW297">
        <v>399.19287997190099</v>
      </c>
      <c r="BX297">
        <v>-0.1361733059761463</v>
      </c>
      <c r="BY297" t="str">
        <f t="shared" si="11"/>
        <v>[[sv,wv],[yr],[ya]]</v>
      </c>
      <c r="BZ297" t="str">
        <f>SUBSTITUTE(TRIM(MID(SUBSTITUTE(SUBSTITUTE(SUBSTITUTE(Tabla1[[#This Row],[map]],"[",""),"]",""),",",REPT(" ",100)),901,200))," ",", ")</f>
        <v>2, 4</v>
      </c>
      <c r="CA297" t="str">
        <f>SUBSTITUTE(TRIM(MID(SUBSTITUTE(SUBSTITUTE(SUBSTITUTE(Tabla1[[#This Row],[map]],"[",""),"]",""),",",REPT(" ",100)),1501,200))," ",", ")</f>
        <v>3, 2</v>
      </c>
      <c r="CB297" t="str">
        <f>SUBSTITUTE(TRIM(MID(SUBSTITUTE(SUBSTITUTE(SUBSTITUTE(Tabla1[[#This Row],[map]],"[",""),"]",""),",",REPT(" ",100)),601,300))," ",", ")</f>
        <v>1, 3, 0</v>
      </c>
      <c r="CC297" t="str">
        <f>SUBSTITUTE(TRIM(MID(SUBSTITUTE(SUBSTITUTE(SUBSTITUTE(Tabla1[[#This Row],[map]],"[",""),"]",""),",",REPT(" ",100)),1201,300))," ",", ")</f>
        <v>1, 4, 0</v>
      </c>
      <c r="CD297" t="str">
        <f>SUBSTITUTE(TRIM(MID(SUBSTITUTE(SUBSTITUTE(SUBSTITUTE(Tabla1[[#This Row],[map]],"[",""),"]",""),",",REPT(" ",100)),1,300))," ",", ")</f>
        <v>4, 2, 3</v>
      </c>
      <c r="CE297" t="str">
        <f>SUBSTITUTE(TRIM(MID(SUBSTITUTE(SUBSTITUTE(SUBSTITUTE(Tabla1[[#This Row],[map]],"[",""),"]",""),",",REPT(" ",100)),1,600))," ",", ")</f>
        <v>4, 2, 3, 0, 1, -1</v>
      </c>
      <c r="CF297" t="str">
        <f>SUBSTITUTE(TRIM(MID(SUBSTITUTE(SUBSTITUTE(SUBSTITUTE(Tabla1[[#This Row],[map]],"[",""),"]",""),",",REPT(" ",100)),601,600))," ",", ")</f>
        <v>1, 3, 0, 2, 4, -1</v>
      </c>
      <c r="CG297" t="str">
        <f>SUBSTITUTE(TRIM(MID(SUBSTITUTE(SUBSTITUTE(SUBSTITUTE(Tabla1[[#This Row],[map]],"[",""),"]",""),",",REPT(" ",100)),1201,600))," ",", ")</f>
        <v>1, 4, 0, 3, 2, -1</v>
      </c>
    </row>
    <row r="298" spans="1:85" x14ac:dyDescent="0.3">
      <c r="A298" s="1">
        <v>46108.272476851853</v>
      </c>
      <c r="B298" t="s">
        <v>536</v>
      </c>
      <c r="C298">
        <v>3</v>
      </c>
      <c r="D298" t="s">
        <v>77</v>
      </c>
      <c r="E298" t="s">
        <v>78</v>
      </c>
      <c r="F298">
        <v>16590</v>
      </c>
      <c r="G298">
        <v>4.5</v>
      </c>
      <c r="H298" t="s">
        <v>79</v>
      </c>
      <c r="I298" t="s">
        <v>80</v>
      </c>
      <c r="J298">
        <v>5</v>
      </c>
      <c r="K298">
        <v>5</v>
      </c>
      <c r="L298" t="s">
        <v>81</v>
      </c>
      <c r="M298" t="s">
        <v>82</v>
      </c>
      <c r="N298" t="s">
        <v>83</v>
      </c>
      <c r="O298" t="s">
        <v>83</v>
      </c>
      <c r="P298" t="s">
        <v>84</v>
      </c>
      <c r="Q298" t="s">
        <v>477</v>
      </c>
      <c r="R298">
        <v>3</v>
      </c>
      <c r="S298" t="s">
        <v>86</v>
      </c>
      <c r="T298" t="s">
        <v>87</v>
      </c>
      <c r="U298" t="s">
        <v>88</v>
      </c>
      <c r="V298">
        <v>1</v>
      </c>
      <c r="W298" t="s">
        <v>478</v>
      </c>
      <c r="X298" t="s">
        <v>83</v>
      </c>
      <c r="Y298" t="s">
        <v>90</v>
      </c>
      <c r="Z298">
        <v>4000</v>
      </c>
      <c r="AA298">
        <v>4000</v>
      </c>
      <c r="AC298">
        <v>256</v>
      </c>
      <c r="AD298" t="s">
        <v>91</v>
      </c>
      <c r="AE298">
        <v>0.15</v>
      </c>
      <c r="AF298" t="s">
        <v>92</v>
      </c>
      <c r="AG298">
        <v>180</v>
      </c>
      <c r="AH298">
        <v>60</v>
      </c>
      <c r="AI298">
        <v>120</v>
      </c>
      <c r="AJ298">
        <v>0.1038937362651555</v>
      </c>
      <c r="AK298">
        <v>13.262461769125681</v>
      </c>
      <c r="AL298">
        <v>0.7505687070052014</v>
      </c>
      <c r="AM298">
        <v>0.19685680206979181</v>
      </c>
      <c r="AN298">
        <v>18.10717798387547</v>
      </c>
      <c r="AO298">
        <v>0.69299990763836194</v>
      </c>
      <c r="AP298">
        <v>18.10717798387547</v>
      </c>
      <c r="AQ298">
        <v>18.10717798387547</v>
      </c>
      <c r="AR298">
        <v>0.69299990763836194</v>
      </c>
      <c r="AS298">
        <v>81.801959396159845</v>
      </c>
      <c r="AT298">
        <v>0.22290762078005491</v>
      </c>
      <c r="AU298">
        <v>0.8</v>
      </c>
      <c r="AV298" t="s">
        <v>93</v>
      </c>
      <c r="AW298">
        <v>7.6964801102371833E-2</v>
      </c>
      <c r="AX298">
        <v>0.44113603170024379</v>
      </c>
      <c r="AY298">
        <v>7.6964801102371833E-2</v>
      </c>
      <c r="AZ298">
        <v>7.6964801102371833E-2</v>
      </c>
      <c r="BA298">
        <v>0.44113603170024379</v>
      </c>
      <c r="BB298">
        <v>8.8357992753182957E-2</v>
      </c>
      <c r="BC298">
        <v>0.35840672939096102</v>
      </c>
      <c r="BD298">
        <v>9.1824747297591117E-2</v>
      </c>
      <c r="BE298">
        <v>0.68184686272801831</v>
      </c>
      <c r="BF298">
        <v>9.1824747297591117E-2</v>
      </c>
      <c r="BG298">
        <v>9.1824747297591117E-2</v>
      </c>
      <c r="BH298">
        <v>0.68184686272801831</v>
      </c>
      <c r="BI298">
        <v>0.14159436347400831</v>
      </c>
      <c r="BJ298">
        <v>0.50940577257143405</v>
      </c>
      <c r="BK298">
        <v>3.6222500541957442E-2</v>
      </c>
      <c r="BL298">
        <v>0.85457811756996038</v>
      </c>
      <c r="BM298">
        <v>3.6222500541957442E-2</v>
      </c>
      <c r="BN298">
        <v>3.6222500541957442E-2</v>
      </c>
      <c r="BO298">
        <v>0.85457811756996038</v>
      </c>
      <c r="BP298">
        <v>0.26061507033961961</v>
      </c>
      <c r="BQ298">
        <v>-4.6287074370394032E-2</v>
      </c>
      <c r="BR298">
        <v>72.223699886559842</v>
      </c>
      <c r="BS298">
        <v>0.79443861855522624</v>
      </c>
      <c r="BT298">
        <v>72.223699886559842</v>
      </c>
      <c r="BU298">
        <v>72.223699886559842</v>
      </c>
      <c r="BV298">
        <v>0.79443861855522624</v>
      </c>
      <c r="BW298">
        <v>326.71727015807261</v>
      </c>
      <c r="BX298">
        <v>7.0105055528224436E-2</v>
      </c>
      <c r="BY298" t="str">
        <f t="shared" si="11"/>
        <v>[[sv,wv],[yr],[ya]]</v>
      </c>
      <c r="BZ298" t="str">
        <f>SUBSTITUTE(TRIM(MID(SUBSTITUTE(SUBSTITUTE(SUBSTITUTE(Tabla1[[#This Row],[map]],"[",""),"]",""),",",REPT(" ",100)),901,200))," ",", ")</f>
        <v>2, 3</v>
      </c>
      <c r="CA298" t="str">
        <f>SUBSTITUTE(TRIM(MID(SUBSTITUTE(SUBSTITUTE(SUBSTITUTE(Tabla1[[#This Row],[map]],"[",""),"]",""),",",REPT(" ",100)),1501,200))," ",", ")</f>
        <v>3, 2</v>
      </c>
      <c r="CB298" t="str">
        <f>SUBSTITUTE(TRIM(MID(SUBSTITUTE(SUBSTITUTE(SUBSTITUTE(Tabla1[[#This Row],[map]],"[",""),"]",""),",",REPT(" ",100)),601,300))," ",", ")</f>
        <v>1, 4, 0</v>
      </c>
      <c r="CC298" t="str">
        <f>SUBSTITUTE(TRIM(MID(SUBSTITUTE(SUBSTITUTE(SUBSTITUTE(Tabla1[[#This Row],[map]],"[",""),"]",""),",",REPT(" ",100)),1201,300))," ",", ")</f>
        <v>1, 4, 0</v>
      </c>
      <c r="CD298" t="str">
        <f>SUBSTITUTE(TRIM(MID(SUBSTITUTE(SUBSTITUTE(SUBSTITUTE(Tabla1[[#This Row],[map]],"[",""),"]",""),",",REPT(" ",100)),1,300))," ",", ")</f>
        <v>4, 2, 3</v>
      </c>
      <c r="CE298" t="str">
        <f>SUBSTITUTE(TRIM(MID(SUBSTITUTE(SUBSTITUTE(SUBSTITUTE(Tabla1[[#This Row],[map]],"[",""),"]",""),",",REPT(" ",100)),1,600))," ",", ")</f>
        <v>4, 2, 3, 0, 1, -1</v>
      </c>
      <c r="CF298" t="str">
        <f>SUBSTITUTE(TRIM(MID(SUBSTITUTE(SUBSTITUTE(SUBSTITUTE(Tabla1[[#This Row],[map]],"[",""),"]",""),",",REPT(" ",100)),601,600))," ",", ")</f>
        <v>1, 4, 0, 2, 3, -1</v>
      </c>
      <c r="CG298" t="str">
        <f>SUBSTITUTE(TRIM(MID(SUBSTITUTE(SUBSTITUTE(SUBSTITUTE(Tabla1[[#This Row],[map]],"[",""),"]",""),",",REPT(" ",100)),1201,600))," ",", ")</f>
        <v>1, 4, 0, 3, 2, -1</v>
      </c>
    </row>
    <row r="299" spans="1:85" x14ac:dyDescent="0.3">
      <c r="A299" s="1">
        <v>46108.287048611113</v>
      </c>
      <c r="B299" t="s">
        <v>537</v>
      </c>
      <c r="C299">
        <v>5</v>
      </c>
      <c r="D299" t="s">
        <v>96</v>
      </c>
      <c r="E299" t="s">
        <v>78</v>
      </c>
      <c r="F299">
        <v>16590</v>
      </c>
      <c r="G299">
        <v>4.5</v>
      </c>
      <c r="H299" t="s">
        <v>79</v>
      </c>
      <c r="I299" t="s">
        <v>80</v>
      </c>
      <c r="J299">
        <v>5</v>
      </c>
      <c r="K299">
        <v>5</v>
      </c>
      <c r="L299" t="s">
        <v>81</v>
      </c>
      <c r="M299" t="s">
        <v>82</v>
      </c>
      <c r="N299" t="s">
        <v>83</v>
      </c>
      <c r="O299" t="s">
        <v>83</v>
      </c>
      <c r="P299" t="s">
        <v>84</v>
      </c>
      <c r="Q299" t="s">
        <v>189</v>
      </c>
      <c r="R299">
        <v>3</v>
      </c>
      <c r="S299" t="s">
        <v>86</v>
      </c>
      <c r="T299" t="s">
        <v>87</v>
      </c>
      <c r="U299" t="s">
        <v>88</v>
      </c>
      <c r="V299">
        <v>1</v>
      </c>
      <c r="W299" t="s">
        <v>190</v>
      </c>
      <c r="X299" t="s">
        <v>83</v>
      </c>
      <c r="Y299" t="s">
        <v>90</v>
      </c>
      <c r="Z299">
        <v>4000</v>
      </c>
      <c r="AA299">
        <v>4000</v>
      </c>
      <c r="AC299">
        <v>256</v>
      </c>
      <c r="AD299" t="s">
        <v>91</v>
      </c>
      <c r="AE299">
        <v>0.15</v>
      </c>
      <c r="AF299" t="s">
        <v>92</v>
      </c>
      <c r="AG299">
        <v>180</v>
      </c>
      <c r="AH299">
        <v>60</v>
      </c>
      <c r="AI299">
        <v>120</v>
      </c>
      <c r="AJ299">
        <v>0.14183351328637159</v>
      </c>
      <c r="AK299">
        <v>21.49365219840772</v>
      </c>
      <c r="AL299">
        <v>0.62754679045087125</v>
      </c>
      <c r="AM299">
        <v>-0.145403072108825</v>
      </c>
      <c r="AN299">
        <v>26.23885808866536</v>
      </c>
      <c r="AO299">
        <v>0.584714951813605</v>
      </c>
      <c r="AP299">
        <v>26.23885808866536</v>
      </c>
      <c r="AQ299">
        <v>26.23885808866536</v>
      </c>
      <c r="AR299">
        <v>0.584714951813605</v>
      </c>
      <c r="AS299">
        <v>95.752432025745861</v>
      </c>
      <c r="AT299">
        <v>-8.9793221469339463E-2</v>
      </c>
      <c r="AU299">
        <v>0.8</v>
      </c>
      <c r="AV299" t="s">
        <v>93</v>
      </c>
      <c r="AW299">
        <v>7.6453478584760481E-2</v>
      </c>
      <c r="AX299">
        <v>0.44484889429691599</v>
      </c>
      <c r="AY299">
        <v>7.6453478584760481E-2</v>
      </c>
      <c r="AZ299">
        <v>7.6453478584760481E-2</v>
      </c>
      <c r="BA299">
        <v>0.44484889429691599</v>
      </c>
      <c r="BB299">
        <v>0.14272567958389751</v>
      </c>
      <c r="BC299">
        <v>-3.6372972164782968E-2</v>
      </c>
      <c r="BD299">
        <v>0.1027946008914449</v>
      </c>
      <c r="BE299">
        <v>0.64383866298870385</v>
      </c>
      <c r="BF299">
        <v>0.1027946008914449</v>
      </c>
      <c r="BG299">
        <v>0.1027946008914449</v>
      </c>
      <c r="BH299">
        <v>0.64383866298870385</v>
      </c>
      <c r="BI299">
        <v>0.25002570487016901</v>
      </c>
      <c r="BJ299">
        <v>0.13371433361766921</v>
      </c>
      <c r="BK299">
        <v>0.11257092472475901</v>
      </c>
      <c r="BL299">
        <v>0.54806334362801279</v>
      </c>
      <c r="BM299">
        <v>0.11257092472475901</v>
      </c>
      <c r="BN299">
        <v>0.11257092472475901</v>
      </c>
      <c r="BO299">
        <v>0.54806334362801279</v>
      </c>
      <c r="BP299">
        <v>0.34087095416280638</v>
      </c>
      <c r="BQ299">
        <v>-0.36848906283156091</v>
      </c>
      <c r="BR299">
        <v>104.66361335046049</v>
      </c>
      <c r="BS299">
        <v>0.70210890634078371</v>
      </c>
      <c r="BT299">
        <v>104.66361335046049</v>
      </c>
      <c r="BU299">
        <v>104.66361335046049</v>
      </c>
      <c r="BV299">
        <v>0.70210890634078371</v>
      </c>
      <c r="BW299">
        <v>382.27610576436552</v>
      </c>
      <c r="BX299">
        <v>-8.8025184498677689E-2</v>
      </c>
      <c r="BY299" t="str">
        <f t="shared" ref="BY299:BY330" si="12">_xlfn.LET(_xlpm.TextoConfig, Q299,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299" t="str">
        <f>SUBSTITUTE(TRIM(MID(SUBSTITUTE(SUBSTITUTE(SUBSTITUTE(Tabla1[[#This Row],[map]],"[",""),"]",""),",",REPT(" ",100)),901,200))," ",", ")</f>
        <v>2, 3</v>
      </c>
      <c r="CA299" t="str">
        <f>SUBSTITUTE(TRIM(MID(SUBSTITUTE(SUBSTITUTE(SUBSTITUTE(Tabla1[[#This Row],[map]],"[",""),"]",""),",",REPT(" ",100)),1501,200))," ",", ")</f>
        <v>3, 2</v>
      </c>
      <c r="CB299" t="str">
        <f>SUBSTITUTE(TRIM(MID(SUBSTITUTE(SUBSTITUTE(SUBSTITUTE(Tabla1[[#This Row],[map]],"[",""),"]",""),",",REPT(" ",100)),601,300))," ",", ")</f>
        <v>0, 1, 4</v>
      </c>
      <c r="CC299" t="str">
        <f>SUBSTITUTE(TRIM(MID(SUBSTITUTE(SUBSTITUTE(SUBSTITUTE(Tabla1[[#This Row],[map]],"[",""),"]",""),",",REPT(" ",100)),1201,300))," ",", ")</f>
        <v>0, 1, 4</v>
      </c>
      <c r="CD299" t="str">
        <f>SUBSTITUTE(TRIM(MID(SUBSTITUTE(SUBSTITUTE(SUBSTITUTE(Tabla1[[#This Row],[map]],"[",""),"]",""),",",REPT(" ",100)),1,300))," ",", ")</f>
        <v>4, 2, 3</v>
      </c>
      <c r="CE299" t="str">
        <f>SUBSTITUTE(TRIM(MID(SUBSTITUTE(SUBSTITUTE(SUBSTITUTE(Tabla1[[#This Row],[map]],"[",""),"]",""),",",REPT(" ",100)),1,600))," ",", ")</f>
        <v>4, 2, 3, 0, 1, -1</v>
      </c>
      <c r="CF299" t="str">
        <f>SUBSTITUTE(TRIM(MID(SUBSTITUTE(SUBSTITUTE(SUBSTITUTE(Tabla1[[#This Row],[map]],"[",""),"]",""),",",REPT(" ",100)),601,600))," ",", ")</f>
        <v>0, 1, 4, 2, 3, -1</v>
      </c>
      <c r="CG299" t="str">
        <f>SUBSTITUTE(TRIM(MID(SUBSTITUTE(SUBSTITUTE(SUBSTITUTE(Tabla1[[#This Row],[map]],"[",""),"]",""),",",REPT(" ",100)),1201,600))," ",", ")</f>
        <v>0, 1, 4, 3, 2, -1</v>
      </c>
    </row>
    <row r="300" spans="1:85" x14ac:dyDescent="0.3">
      <c r="A300" s="1">
        <v>46108.287604166668</v>
      </c>
      <c r="B300" t="s">
        <v>538</v>
      </c>
      <c r="C300">
        <v>2</v>
      </c>
      <c r="D300" t="s">
        <v>77</v>
      </c>
      <c r="E300" t="s">
        <v>78</v>
      </c>
      <c r="F300">
        <v>16590</v>
      </c>
      <c r="G300">
        <v>4.5</v>
      </c>
      <c r="H300" t="s">
        <v>79</v>
      </c>
      <c r="I300" t="s">
        <v>80</v>
      </c>
      <c r="J300">
        <v>5</v>
      </c>
      <c r="K300">
        <v>5</v>
      </c>
      <c r="L300" t="s">
        <v>81</v>
      </c>
      <c r="M300" t="s">
        <v>82</v>
      </c>
      <c r="N300" t="s">
        <v>83</v>
      </c>
      <c r="O300" t="s">
        <v>83</v>
      </c>
      <c r="P300" t="s">
        <v>84</v>
      </c>
      <c r="Q300" t="s">
        <v>477</v>
      </c>
      <c r="R300">
        <v>3</v>
      </c>
      <c r="S300" t="s">
        <v>86</v>
      </c>
      <c r="T300" t="s">
        <v>87</v>
      </c>
      <c r="U300" t="s">
        <v>88</v>
      </c>
      <c r="V300">
        <v>1</v>
      </c>
      <c r="W300" t="s">
        <v>478</v>
      </c>
      <c r="X300" t="s">
        <v>83</v>
      </c>
      <c r="Y300" t="s">
        <v>90</v>
      </c>
      <c r="Z300">
        <v>4000</v>
      </c>
      <c r="AA300">
        <v>4000</v>
      </c>
      <c r="AC300">
        <v>256</v>
      </c>
      <c r="AD300" t="s">
        <v>91</v>
      </c>
      <c r="AE300">
        <v>0.15</v>
      </c>
      <c r="AF300" t="s">
        <v>92</v>
      </c>
      <c r="AG300">
        <v>180</v>
      </c>
      <c r="AH300">
        <v>60</v>
      </c>
      <c r="AI300">
        <v>120</v>
      </c>
      <c r="AJ300">
        <v>9.3867547405083268E-2</v>
      </c>
      <c r="AK300">
        <v>9.1247938022647936</v>
      </c>
      <c r="AL300">
        <v>0.75200012990226872</v>
      </c>
      <c r="AM300">
        <v>0.37086669796978722</v>
      </c>
      <c r="AN300">
        <v>14.79691199524782</v>
      </c>
      <c r="AO300">
        <v>0.71803942284975097</v>
      </c>
      <c r="AP300">
        <v>14.79691199524782</v>
      </c>
      <c r="AQ300">
        <v>14.79691199524782</v>
      </c>
      <c r="AR300">
        <v>0.71803942284975097</v>
      </c>
      <c r="AS300">
        <v>79.607338618487489</v>
      </c>
      <c r="AT300">
        <v>0.1584407295972369</v>
      </c>
      <c r="AU300">
        <v>0.8</v>
      </c>
      <c r="AV300" t="s">
        <v>93</v>
      </c>
      <c r="AW300">
        <v>7.286990429997986E-2</v>
      </c>
      <c r="AX300">
        <v>0.47087027701738321</v>
      </c>
      <c r="AY300">
        <v>7.286990429997986E-2</v>
      </c>
      <c r="AZ300">
        <v>7.286990429997986E-2</v>
      </c>
      <c r="BA300">
        <v>0.47087027701738321</v>
      </c>
      <c r="BB300">
        <v>0.13342107034547759</v>
      </c>
      <c r="BC300">
        <v>3.1190521380082051E-2</v>
      </c>
      <c r="BD300">
        <v>9.7051116567012305E-2</v>
      </c>
      <c r="BE300">
        <v>0.66373860946793184</v>
      </c>
      <c r="BF300">
        <v>9.7051116567012305E-2</v>
      </c>
      <c r="BG300">
        <v>9.7051116567012305E-2</v>
      </c>
      <c r="BH300">
        <v>0.66373860946793184</v>
      </c>
      <c r="BI300">
        <v>0.1607404062344833</v>
      </c>
      <c r="BJ300">
        <v>0.44306882365670019</v>
      </c>
      <c r="BK300">
        <v>2.3549393518692532E-2</v>
      </c>
      <c r="BL300">
        <v>0.90545663374047725</v>
      </c>
      <c r="BM300">
        <v>2.3549393518692532E-2</v>
      </c>
      <c r="BN300">
        <v>2.3549393518692532E-2</v>
      </c>
      <c r="BO300">
        <v>0.90545663374047725</v>
      </c>
      <c r="BP300">
        <v>0.2330671622508089</v>
      </c>
      <c r="BQ300">
        <v>6.430906315037821E-2</v>
      </c>
      <c r="BR300">
        <v>58.994177566605607</v>
      </c>
      <c r="BS300">
        <v>0.83209217117321299</v>
      </c>
      <c r="BT300">
        <v>58.994177566605607</v>
      </c>
      <c r="BU300">
        <v>58.994177566605607</v>
      </c>
      <c r="BV300">
        <v>0.83209217117321299</v>
      </c>
      <c r="BW300">
        <v>317.90212583511851</v>
      </c>
      <c r="BX300">
        <v>9.5194510201796367E-2</v>
      </c>
      <c r="BY300" t="str">
        <f t="shared" si="12"/>
        <v>[[sv,wv],[yr],[ya]]</v>
      </c>
      <c r="BZ300" t="str">
        <f>SUBSTITUTE(TRIM(MID(SUBSTITUTE(SUBSTITUTE(SUBSTITUTE(Tabla1[[#This Row],[map]],"[",""),"]",""),",",REPT(" ",100)),901,200))," ",", ")</f>
        <v>2, 3</v>
      </c>
      <c r="CA300" t="str">
        <f>SUBSTITUTE(TRIM(MID(SUBSTITUTE(SUBSTITUTE(SUBSTITUTE(Tabla1[[#This Row],[map]],"[",""),"]",""),",",REPT(" ",100)),1501,200))," ",", ")</f>
        <v>3, 2</v>
      </c>
      <c r="CB300" t="str">
        <f>SUBSTITUTE(TRIM(MID(SUBSTITUTE(SUBSTITUTE(SUBSTITUTE(Tabla1[[#This Row],[map]],"[",""),"]",""),",",REPT(" ",100)),601,300))," ",", ")</f>
        <v>1, 4, 0</v>
      </c>
      <c r="CC300" t="str">
        <f>SUBSTITUTE(TRIM(MID(SUBSTITUTE(SUBSTITUTE(SUBSTITUTE(Tabla1[[#This Row],[map]],"[",""),"]",""),",",REPT(" ",100)),1201,300))," ",", ")</f>
        <v>1, 4, 0</v>
      </c>
      <c r="CD300" t="str">
        <f>SUBSTITUTE(TRIM(MID(SUBSTITUTE(SUBSTITUTE(SUBSTITUTE(Tabla1[[#This Row],[map]],"[",""),"]",""),",",REPT(" ",100)),1,300))," ",", ")</f>
        <v>4, 2, 3</v>
      </c>
      <c r="CE300" t="str">
        <f>SUBSTITUTE(TRIM(MID(SUBSTITUTE(SUBSTITUTE(SUBSTITUTE(Tabla1[[#This Row],[map]],"[",""),"]",""),",",REPT(" ",100)),1,600))," ",", ")</f>
        <v>4, 2, 3, 0, 1, -1</v>
      </c>
      <c r="CF300" t="str">
        <f>SUBSTITUTE(TRIM(MID(SUBSTITUTE(SUBSTITUTE(SUBSTITUTE(Tabla1[[#This Row],[map]],"[",""),"]",""),",",REPT(" ",100)),601,600))," ",", ")</f>
        <v>1, 4, 0, 2, 3, -1</v>
      </c>
      <c r="CG300" t="str">
        <f>SUBSTITUTE(TRIM(MID(SUBSTITUTE(SUBSTITUTE(SUBSTITUTE(Tabla1[[#This Row],[map]],"[",""),"]",""),",",REPT(" ",100)),1201,600))," ",", ")</f>
        <v>1, 4, 0, 3, 2, -1</v>
      </c>
    </row>
    <row r="301" spans="1:85" x14ac:dyDescent="0.3">
      <c r="A301" s="1">
        <v>46108.306562500002</v>
      </c>
      <c r="B301" t="s">
        <v>539</v>
      </c>
      <c r="C301">
        <v>4</v>
      </c>
      <c r="D301" t="s">
        <v>96</v>
      </c>
      <c r="E301" t="s">
        <v>78</v>
      </c>
      <c r="F301">
        <v>16590</v>
      </c>
      <c r="G301">
        <v>4.5</v>
      </c>
      <c r="H301" t="s">
        <v>79</v>
      </c>
      <c r="I301" t="s">
        <v>80</v>
      </c>
      <c r="J301">
        <v>5</v>
      </c>
      <c r="K301">
        <v>5</v>
      </c>
      <c r="L301" t="s">
        <v>81</v>
      </c>
      <c r="M301" t="s">
        <v>82</v>
      </c>
      <c r="N301" t="s">
        <v>83</v>
      </c>
      <c r="O301" t="s">
        <v>83</v>
      </c>
      <c r="P301" t="s">
        <v>84</v>
      </c>
      <c r="Q301" t="s">
        <v>189</v>
      </c>
      <c r="R301">
        <v>3</v>
      </c>
      <c r="S301" t="s">
        <v>86</v>
      </c>
      <c r="T301" t="s">
        <v>87</v>
      </c>
      <c r="U301" t="s">
        <v>88</v>
      </c>
      <c r="V301">
        <v>1</v>
      </c>
      <c r="W301" t="s">
        <v>190</v>
      </c>
      <c r="X301" t="s">
        <v>83</v>
      </c>
      <c r="Y301" t="s">
        <v>90</v>
      </c>
      <c r="Z301">
        <v>4000</v>
      </c>
      <c r="AA301">
        <v>4000</v>
      </c>
      <c r="AC301">
        <v>256</v>
      </c>
      <c r="AD301" t="s">
        <v>91</v>
      </c>
      <c r="AE301">
        <v>0.15</v>
      </c>
      <c r="AF301" t="s">
        <v>92</v>
      </c>
      <c r="AG301">
        <v>180</v>
      </c>
      <c r="AH301">
        <v>60</v>
      </c>
      <c r="AI301">
        <v>120</v>
      </c>
      <c r="AJ301">
        <v>0.1074946827986983</v>
      </c>
      <c r="AK301">
        <v>18.15136373202478</v>
      </c>
      <c r="AL301">
        <v>0.71657355734754147</v>
      </c>
      <c r="AM301">
        <v>0.31858577153991952</v>
      </c>
      <c r="AN301">
        <v>23.939952480712002</v>
      </c>
      <c r="AO301">
        <v>0.66140365370636411</v>
      </c>
      <c r="AP301">
        <v>23.939952480712002</v>
      </c>
      <c r="AQ301">
        <v>23.939952480712002</v>
      </c>
      <c r="AR301">
        <v>0.66140365370636411</v>
      </c>
      <c r="AS301">
        <v>87.45196174274426</v>
      </c>
      <c r="AT301">
        <v>0.34432605319257231</v>
      </c>
      <c r="AU301">
        <v>0.8</v>
      </c>
      <c r="AV301" t="s">
        <v>93</v>
      </c>
      <c r="AW301">
        <v>7.7885956513816065E-2</v>
      </c>
      <c r="AX301">
        <v>0.43444725239740678</v>
      </c>
      <c r="AY301">
        <v>7.7885956513816065E-2</v>
      </c>
      <c r="AZ301">
        <v>7.7885956513816065E-2</v>
      </c>
      <c r="BA301">
        <v>0.43444725239740678</v>
      </c>
      <c r="BB301">
        <v>0.13161522252148389</v>
      </c>
      <c r="BC301">
        <v>4.4303311468634747E-2</v>
      </c>
      <c r="BD301">
        <v>7.5671560617109793E-2</v>
      </c>
      <c r="BE301">
        <v>0.73781420454579361</v>
      </c>
      <c r="BF301">
        <v>7.5671560617109793E-2</v>
      </c>
      <c r="BG301">
        <v>7.5671560617109793E-2</v>
      </c>
      <c r="BH301">
        <v>0.73781420454579361</v>
      </c>
      <c r="BI301">
        <v>0.1188322762269178</v>
      </c>
      <c r="BJ301">
        <v>0.58827154331023768</v>
      </c>
      <c r="BK301">
        <v>6.3445888062880457E-2</v>
      </c>
      <c r="BL301">
        <v>0.74528482748278357</v>
      </c>
      <c r="BM301">
        <v>6.3445888062880457E-2</v>
      </c>
      <c r="BN301">
        <v>6.3445888062880457E-2</v>
      </c>
      <c r="BO301">
        <v>0.74528482748278357</v>
      </c>
      <c r="BP301">
        <v>6.4900101722258408E-2</v>
      </c>
      <c r="BQ301">
        <v>0.73944661961093161</v>
      </c>
      <c r="BR301">
        <v>95.542806517653915</v>
      </c>
      <c r="BS301">
        <v>0.72806833039947216</v>
      </c>
      <c r="BT301">
        <v>95.542806517653915</v>
      </c>
      <c r="BU301">
        <v>95.542806517653915</v>
      </c>
      <c r="BV301">
        <v>0.72806833039947216</v>
      </c>
      <c r="BW301">
        <v>349.4924993705049</v>
      </c>
      <c r="BX301">
        <v>5.2827383804957551E-3</v>
      </c>
      <c r="BY301" t="str">
        <f t="shared" si="12"/>
        <v>[[sv,wv],[yr],[ya]]</v>
      </c>
      <c r="BZ301" t="str">
        <f>SUBSTITUTE(TRIM(MID(SUBSTITUTE(SUBSTITUTE(SUBSTITUTE(Tabla1[[#This Row],[map]],"[",""),"]",""),",",REPT(" ",100)),901,200))," ",", ")</f>
        <v>2, 3</v>
      </c>
      <c r="CA301" t="str">
        <f>SUBSTITUTE(TRIM(MID(SUBSTITUTE(SUBSTITUTE(SUBSTITUTE(Tabla1[[#This Row],[map]],"[",""),"]",""),",",REPT(" ",100)),1501,200))," ",", ")</f>
        <v>3, 2</v>
      </c>
      <c r="CB301" t="str">
        <f>SUBSTITUTE(TRIM(MID(SUBSTITUTE(SUBSTITUTE(SUBSTITUTE(Tabla1[[#This Row],[map]],"[",""),"]",""),",",REPT(" ",100)),601,300))," ",", ")</f>
        <v>0, 1, 4</v>
      </c>
      <c r="CC301" t="str">
        <f>SUBSTITUTE(TRIM(MID(SUBSTITUTE(SUBSTITUTE(SUBSTITUTE(Tabla1[[#This Row],[map]],"[",""),"]",""),",",REPT(" ",100)),1201,300))," ",", ")</f>
        <v>0, 1, 4</v>
      </c>
      <c r="CD301" t="str">
        <f>SUBSTITUTE(TRIM(MID(SUBSTITUTE(SUBSTITUTE(SUBSTITUTE(Tabla1[[#This Row],[map]],"[",""),"]",""),",",REPT(" ",100)),1,300))," ",", ")</f>
        <v>4, 2, 3</v>
      </c>
      <c r="CE301" t="str">
        <f>SUBSTITUTE(TRIM(MID(SUBSTITUTE(SUBSTITUTE(SUBSTITUTE(Tabla1[[#This Row],[map]],"[",""),"]",""),",",REPT(" ",100)),1,600))," ",", ")</f>
        <v>4, 2, 3, 0, 1, -1</v>
      </c>
      <c r="CF301" t="str">
        <f>SUBSTITUTE(TRIM(MID(SUBSTITUTE(SUBSTITUTE(SUBSTITUTE(Tabla1[[#This Row],[map]],"[",""),"]",""),",",REPT(" ",100)),601,600))," ",", ")</f>
        <v>0, 1, 4, 2, 3, -1</v>
      </c>
      <c r="CG301" t="str">
        <f>SUBSTITUTE(TRIM(MID(SUBSTITUTE(SUBSTITUTE(SUBSTITUTE(Tabla1[[#This Row],[map]],"[",""),"]",""),",",REPT(" ",100)),1201,600))," ",", ")</f>
        <v>0, 1, 4, 3, 2, -1</v>
      </c>
    </row>
    <row r="302" spans="1:85" x14ac:dyDescent="0.3">
      <c r="A302" s="1">
        <v>46108.382824074077</v>
      </c>
      <c r="B302" t="s">
        <v>540</v>
      </c>
      <c r="C302">
        <v>1</v>
      </c>
      <c r="D302" t="s">
        <v>96</v>
      </c>
      <c r="E302" t="s">
        <v>78</v>
      </c>
      <c r="F302">
        <v>16590</v>
      </c>
      <c r="G302">
        <v>4.5</v>
      </c>
      <c r="H302" t="s">
        <v>79</v>
      </c>
      <c r="I302" t="s">
        <v>80</v>
      </c>
      <c r="J302">
        <v>5</v>
      </c>
      <c r="K302">
        <v>5</v>
      </c>
      <c r="L302" t="s">
        <v>81</v>
      </c>
      <c r="M302" t="s">
        <v>82</v>
      </c>
      <c r="N302" t="s">
        <v>83</v>
      </c>
      <c r="O302" t="s">
        <v>83</v>
      </c>
      <c r="P302" t="s">
        <v>84</v>
      </c>
      <c r="Q302" t="s">
        <v>525</v>
      </c>
      <c r="R302">
        <v>3</v>
      </c>
      <c r="S302" t="s">
        <v>86</v>
      </c>
      <c r="T302" t="s">
        <v>87</v>
      </c>
      <c r="U302" t="s">
        <v>88</v>
      </c>
      <c r="V302">
        <v>1</v>
      </c>
      <c r="W302" t="s">
        <v>526</v>
      </c>
      <c r="X302" t="s">
        <v>83</v>
      </c>
      <c r="Y302" t="s">
        <v>90</v>
      </c>
      <c r="Z302">
        <v>4000</v>
      </c>
      <c r="AA302">
        <v>4000</v>
      </c>
      <c r="AC302">
        <v>256</v>
      </c>
      <c r="AD302" t="s">
        <v>91</v>
      </c>
      <c r="AE302">
        <v>0.15</v>
      </c>
      <c r="AF302" t="s">
        <v>92</v>
      </c>
      <c r="AG302">
        <v>180</v>
      </c>
      <c r="AH302">
        <v>60</v>
      </c>
      <c r="AI302">
        <v>120</v>
      </c>
      <c r="AJ302">
        <v>0.1213787893634853</v>
      </c>
      <c r="AK302">
        <v>29.72359330063275</v>
      </c>
      <c r="AL302">
        <v>0.6703704622023402</v>
      </c>
      <c r="AM302">
        <v>0.24071174016392699</v>
      </c>
      <c r="AN302">
        <v>38.503191948869237</v>
      </c>
      <c r="AO302">
        <v>0.61429332283628058</v>
      </c>
      <c r="AP302">
        <v>38.503191948869237</v>
      </c>
      <c r="AQ302">
        <v>38.503191948869237</v>
      </c>
      <c r="AR302">
        <v>0.61429332283628058</v>
      </c>
      <c r="AS302">
        <v>106.7058345075498</v>
      </c>
      <c r="AT302">
        <v>0.1239399143542886</v>
      </c>
      <c r="AU302">
        <v>0.8</v>
      </c>
      <c r="AV302" t="s">
        <v>93</v>
      </c>
      <c r="AW302">
        <v>8.244145657559622E-2</v>
      </c>
      <c r="AX302">
        <v>0.40136843187619342</v>
      </c>
      <c r="AY302">
        <v>8.244145657559622E-2</v>
      </c>
      <c r="AZ302">
        <v>8.244145657559622E-2</v>
      </c>
      <c r="BA302">
        <v>0.40136843187619342</v>
      </c>
      <c r="BB302">
        <v>0.14178570545589439</v>
      </c>
      <c r="BC302">
        <v>-2.9547544647908101E-2</v>
      </c>
      <c r="BD302">
        <v>0.1032097264556015</v>
      </c>
      <c r="BE302">
        <v>0.64240034157225401</v>
      </c>
      <c r="BF302">
        <v>0.1032097264556015</v>
      </c>
      <c r="BG302">
        <v>0.1032097264556015</v>
      </c>
      <c r="BH302">
        <v>0.64240034157225401</v>
      </c>
      <c r="BI302">
        <v>0.1627664033355945</v>
      </c>
      <c r="BJ302">
        <v>0.43604917641788449</v>
      </c>
      <c r="BK302">
        <v>3.7084351204892917E-2</v>
      </c>
      <c r="BL302">
        <v>0.85111805976328081</v>
      </c>
      <c r="BM302">
        <v>3.7084351204892917E-2</v>
      </c>
      <c r="BN302">
        <v>3.7084351204892917E-2</v>
      </c>
      <c r="BO302">
        <v>0.85111805976328081</v>
      </c>
      <c r="BP302">
        <v>0.17368458200377601</v>
      </c>
      <c r="BQ302">
        <v>0.30271134001896882</v>
      </c>
      <c r="BR302">
        <v>153.79003226124061</v>
      </c>
      <c r="BS302">
        <v>0.5622864581333934</v>
      </c>
      <c r="BT302">
        <v>153.79003226124061</v>
      </c>
      <c r="BU302">
        <v>153.79003226124061</v>
      </c>
      <c r="BV302">
        <v>0.5622864581333934</v>
      </c>
      <c r="BW302">
        <v>426.34510133940478</v>
      </c>
      <c r="BX302">
        <v>-0.21345331437179799</v>
      </c>
      <c r="BY302" t="str">
        <f t="shared" si="12"/>
        <v>[[sv,wv],[yr],[ya]]</v>
      </c>
      <c r="BZ302" t="str">
        <f>SUBSTITUTE(TRIM(MID(SUBSTITUTE(SUBSTITUTE(SUBSTITUTE(Tabla1[[#This Row],[map]],"[",""),"]",""),",",REPT(" ",100)),901,200))," ",", ")</f>
        <v>2, 4</v>
      </c>
      <c r="CA302" t="str">
        <f>SUBSTITUTE(TRIM(MID(SUBSTITUTE(SUBSTITUTE(SUBSTITUTE(Tabla1[[#This Row],[map]],"[",""),"]",""),",",REPT(" ",100)),1501,200))," ",", ")</f>
        <v>3, 4</v>
      </c>
      <c r="CB302" t="str">
        <f>SUBSTITUTE(TRIM(MID(SUBSTITUTE(SUBSTITUTE(SUBSTITUTE(Tabla1[[#This Row],[map]],"[",""),"]",""),",",REPT(" ",100)),601,300))," ",", ")</f>
        <v>1, 3, 0</v>
      </c>
      <c r="CC302" t="str">
        <f>SUBSTITUTE(TRIM(MID(SUBSTITUTE(SUBSTITUTE(SUBSTITUTE(Tabla1[[#This Row],[map]],"[",""),"]",""),",",REPT(" ",100)),1201,300))," ",", ")</f>
        <v>0, 1, 2</v>
      </c>
      <c r="CD302" t="str">
        <f>SUBSTITUTE(TRIM(MID(SUBSTITUTE(SUBSTITUTE(SUBSTITUTE(Tabla1[[#This Row],[map]],"[",""),"]",""),",",REPT(" ",100)),1,300))," ",", ")</f>
        <v>4, 2, 3</v>
      </c>
      <c r="CE302" t="str">
        <f>SUBSTITUTE(TRIM(MID(SUBSTITUTE(SUBSTITUTE(SUBSTITUTE(Tabla1[[#This Row],[map]],"[",""),"]",""),",",REPT(" ",100)),1,600))," ",", ")</f>
        <v>4, 2, 3, 0, 1, -1</v>
      </c>
      <c r="CF302" t="str">
        <f>SUBSTITUTE(TRIM(MID(SUBSTITUTE(SUBSTITUTE(SUBSTITUTE(Tabla1[[#This Row],[map]],"[",""),"]",""),",",REPT(" ",100)),601,600))," ",", ")</f>
        <v>1, 3, 0, 2, 4, -1</v>
      </c>
      <c r="CG302" t="str">
        <f>SUBSTITUTE(TRIM(MID(SUBSTITUTE(SUBSTITUTE(SUBSTITUTE(Tabla1[[#This Row],[map]],"[",""),"]",""),",",REPT(" ",100)),1201,600))," ",", ")</f>
        <v>0, 1, 2, 3, 4, -1</v>
      </c>
    </row>
    <row r="303" spans="1:85" x14ac:dyDescent="0.3">
      <c r="A303" s="1">
        <v>46108.408854166657</v>
      </c>
      <c r="B303" t="s">
        <v>541</v>
      </c>
      <c r="C303">
        <v>3</v>
      </c>
      <c r="D303" t="s">
        <v>77</v>
      </c>
      <c r="E303" t="s">
        <v>78</v>
      </c>
      <c r="F303">
        <v>16590</v>
      </c>
      <c r="G303">
        <v>4.5</v>
      </c>
      <c r="H303" t="s">
        <v>79</v>
      </c>
      <c r="I303" t="s">
        <v>80</v>
      </c>
      <c r="J303">
        <v>5</v>
      </c>
      <c r="K303">
        <v>5</v>
      </c>
      <c r="L303" t="s">
        <v>81</v>
      </c>
      <c r="M303" t="s">
        <v>82</v>
      </c>
      <c r="N303" t="s">
        <v>83</v>
      </c>
      <c r="O303" t="s">
        <v>83</v>
      </c>
      <c r="P303" t="s">
        <v>84</v>
      </c>
      <c r="Q303" t="s">
        <v>485</v>
      </c>
      <c r="R303">
        <v>3</v>
      </c>
      <c r="S303" t="s">
        <v>86</v>
      </c>
      <c r="T303" t="s">
        <v>87</v>
      </c>
      <c r="U303" t="s">
        <v>88</v>
      </c>
      <c r="V303">
        <v>1</v>
      </c>
      <c r="W303" t="s">
        <v>486</v>
      </c>
      <c r="X303" t="s">
        <v>83</v>
      </c>
      <c r="Y303" t="s">
        <v>90</v>
      </c>
      <c r="Z303">
        <v>4000</v>
      </c>
      <c r="AA303">
        <v>4000</v>
      </c>
      <c r="AC303">
        <v>256</v>
      </c>
      <c r="AD303" t="s">
        <v>91</v>
      </c>
      <c r="AE303">
        <v>0.15</v>
      </c>
      <c r="AF303" t="s">
        <v>92</v>
      </c>
      <c r="AG303">
        <v>180</v>
      </c>
      <c r="AH303">
        <v>60</v>
      </c>
      <c r="AI303">
        <v>120</v>
      </c>
      <c r="AJ303">
        <v>0.1179475287447624</v>
      </c>
      <c r="AK303">
        <v>28.45992614502169</v>
      </c>
      <c r="AL303">
        <v>0.6739825650579101</v>
      </c>
      <c r="AM303">
        <v>0.28453117685630941</v>
      </c>
      <c r="AN303">
        <v>31.39359646572716</v>
      </c>
      <c r="AO303">
        <v>0.64096783052130768</v>
      </c>
      <c r="AP303">
        <v>31.39359646572716</v>
      </c>
      <c r="AQ303">
        <v>31.39359646572716</v>
      </c>
      <c r="AR303">
        <v>0.64096783052130768</v>
      </c>
      <c r="AS303">
        <v>77.016910552601132</v>
      </c>
      <c r="AT303">
        <v>0.29540052651666232</v>
      </c>
      <c r="AU303">
        <v>0.8</v>
      </c>
      <c r="AV303" t="s">
        <v>93</v>
      </c>
      <c r="AW303">
        <v>8.6772425926436761E-2</v>
      </c>
      <c r="AX303">
        <v>0.3699199946253009</v>
      </c>
      <c r="AY303">
        <v>8.6772425926436761E-2</v>
      </c>
      <c r="AZ303">
        <v>8.6772425926436761E-2</v>
      </c>
      <c r="BA303">
        <v>0.3699199946253009</v>
      </c>
      <c r="BB303">
        <v>0.11636800339616241</v>
      </c>
      <c r="BC303">
        <v>0.1550178363405835</v>
      </c>
      <c r="BD303">
        <v>8.4141453167761254E-2</v>
      </c>
      <c r="BE303">
        <v>0.70846783587446871</v>
      </c>
      <c r="BF303">
        <v>8.4141453167761254E-2</v>
      </c>
      <c r="BG303">
        <v>8.4141453167761254E-2</v>
      </c>
      <c r="BH303">
        <v>0.70846783587446871</v>
      </c>
      <c r="BI303">
        <v>0.1248265234960001</v>
      </c>
      <c r="BJ303">
        <v>0.5675027567862525</v>
      </c>
      <c r="BK303">
        <v>3.9282777583355147E-2</v>
      </c>
      <c r="BL303">
        <v>0.84229207322020616</v>
      </c>
      <c r="BM303">
        <v>3.9282777583355147E-2</v>
      </c>
      <c r="BN303">
        <v>3.9282777583355147E-2</v>
      </c>
      <c r="BO303">
        <v>0.84229207322020616</v>
      </c>
      <c r="BP303">
        <v>0.16570714786014151</v>
      </c>
      <c r="BQ303">
        <v>0.334738214828046</v>
      </c>
      <c r="BR303">
        <v>125.36418920623071</v>
      </c>
      <c r="BS303">
        <v>0.64319141836525695</v>
      </c>
      <c r="BT303">
        <v>125.36418920623071</v>
      </c>
      <c r="BU303">
        <v>125.36418920623071</v>
      </c>
      <c r="BV303">
        <v>0.64319141836525695</v>
      </c>
      <c r="BW303">
        <v>307.6607405356516</v>
      </c>
      <c r="BX303">
        <v>0.1243432981117657</v>
      </c>
      <c r="BY303" t="str">
        <f t="shared" si="12"/>
        <v>[[sv,wv],[yr],[ya]]</v>
      </c>
      <c r="BZ303" t="str">
        <f>SUBSTITUTE(TRIM(MID(SUBSTITUTE(SUBSTITUTE(SUBSTITUTE(Tabla1[[#This Row],[map]],"[",""),"]",""),",",REPT(" ",100)),901,200))," ",", ")</f>
        <v>2, 3</v>
      </c>
      <c r="CA303" t="str">
        <f>SUBSTITUTE(TRIM(MID(SUBSTITUTE(SUBSTITUTE(SUBSTITUTE(Tabla1[[#This Row],[map]],"[",""),"]",""),",",REPT(" ",100)),1501,200))," ",", ")</f>
        <v>3, 4</v>
      </c>
      <c r="CB303" t="str">
        <f>SUBSTITUTE(TRIM(MID(SUBSTITUTE(SUBSTITUTE(SUBSTITUTE(Tabla1[[#This Row],[map]],"[",""),"]",""),",",REPT(" ",100)),601,300))," ",", ")</f>
        <v>1, 4, 0</v>
      </c>
      <c r="CC303" t="str">
        <f>SUBSTITUTE(TRIM(MID(SUBSTITUTE(SUBSTITUTE(SUBSTITUTE(Tabla1[[#This Row],[map]],"[",""),"]",""),",",REPT(" ",100)),1201,300))," ",", ")</f>
        <v>0, 1, 2</v>
      </c>
      <c r="CD303" t="str">
        <f>SUBSTITUTE(TRIM(MID(SUBSTITUTE(SUBSTITUTE(SUBSTITUTE(Tabla1[[#This Row],[map]],"[",""),"]",""),",",REPT(" ",100)),1,300))," ",", ")</f>
        <v>4, 2, 3</v>
      </c>
      <c r="CE303" t="str">
        <f>SUBSTITUTE(TRIM(MID(SUBSTITUTE(SUBSTITUTE(SUBSTITUTE(Tabla1[[#This Row],[map]],"[",""),"]",""),",",REPT(" ",100)),1,600))," ",", ")</f>
        <v>4, 2, 3, 0, 1, -1</v>
      </c>
      <c r="CF303" t="str">
        <f>SUBSTITUTE(TRIM(MID(SUBSTITUTE(SUBSTITUTE(SUBSTITUTE(Tabla1[[#This Row],[map]],"[",""),"]",""),",",REPT(" ",100)),601,600))," ",", ")</f>
        <v>1, 4, 0, 2, 3, -1</v>
      </c>
      <c r="CG303" t="str">
        <f>SUBSTITUTE(TRIM(MID(SUBSTITUTE(SUBSTITUTE(SUBSTITUTE(Tabla1[[#This Row],[map]],"[",""),"]",""),",",REPT(" ",100)),1201,600))," ",", ")</f>
        <v>0, 1, 2, 3, 4, -1</v>
      </c>
    </row>
    <row r="304" spans="1:85" x14ac:dyDescent="0.3">
      <c r="A304" s="1">
        <v>46108.415138888893</v>
      </c>
      <c r="B304" t="s">
        <v>542</v>
      </c>
      <c r="C304">
        <v>6</v>
      </c>
      <c r="D304" t="s">
        <v>77</v>
      </c>
      <c r="E304" t="s">
        <v>78</v>
      </c>
      <c r="F304">
        <v>16590</v>
      </c>
      <c r="G304">
        <v>4.5</v>
      </c>
      <c r="H304" t="s">
        <v>79</v>
      </c>
      <c r="I304" t="s">
        <v>80</v>
      </c>
      <c r="J304">
        <v>5</v>
      </c>
      <c r="K304">
        <v>5</v>
      </c>
      <c r="L304" t="s">
        <v>81</v>
      </c>
      <c r="M304" t="s">
        <v>82</v>
      </c>
      <c r="N304" t="s">
        <v>83</v>
      </c>
      <c r="O304" t="s">
        <v>83</v>
      </c>
      <c r="P304" t="s">
        <v>84</v>
      </c>
      <c r="Q304" t="s">
        <v>384</v>
      </c>
      <c r="R304">
        <v>3</v>
      </c>
      <c r="S304" t="s">
        <v>86</v>
      </c>
      <c r="T304" t="s">
        <v>87</v>
      </c>
      <c r="U304" t="s">
        <v>88</v>
      </c>
      <c r="V304">
        <v>1</v>
      </c>
      <c r="W304" t="s">
        <v>385</v>
      </c>
      <c r="X304" t="s">
        <v>83</v>
      </c>
      <c r="Y304" t="s">
        <v>90</v>
      </c>
      <c r="Z304">
        <v>4000</v>
      </c>
      <c r="AA304">
        <v>4000</v>
      </c>
      <c r="AC304">
        <v>256</v>
      </c>
      <c r="AD304" t="s">
        <v>91</v>
      </c>
      <c r="AE304">
        <v>0.15</v>
      </c>
      <c r="AF304" t="s">
        <v>92</v>
      </c>
      <c r="AG304">
        <v>180</v>
      </c>
      <c r="AH304">
        <v>60</v>
      </c>
      <c r="AI304">
        <v>120</v>
      </c>
      <c r="AJ304">
        <v>9.5889361567229409E-2</v>
      </c>
      <c r="AK304">
        <v>13.84896093888497</v>
      </c>
      <c r="AL304">
        <v>0.78647168386276833</v>
      </c>
      <c r="AM304">
        <v>-0.16509784665628241</v>
      </c>
      <c r="AN304">
        <v>20.41960311790762</v>
      </c>
      <c r="AO304">
        <v>0.71918105421151557</v>
      </c>
      <c r="AP304">
        <v>20.41960311790762</v>
      </c>
      <c r="AQ304">
        <v>20.41960311790762</v>
      </c>
      <c r="AR304">
        <v>0.71918105421151557</v>
      </c>
      <c r="AS304">
        <v>102.16028491500261</v>
      </c>
      <c r="AT304">
        <v>-0.12851253197840959</v>
      </c>
      <c r="AU304">
        <v>0.8</v>
      </c>
      <c r="AV304" t="s">
        <v>93</v>
      </c>
      <c r="AW304">
        <v>6.9297258262440001E-2</v>
      </c>
      <c r="AX304">
        <v>0.49681230653311192</v>
      </c>
      <c r="AY304">
        <v>6.9297258262440001E-2</v>
      </c>
      <c r="AZ304">
        <v>6.9297258262440001E-2</v>
      </c>
      <c r="BA304">
        <v>0.49681230653311192</v>
      </c>
      <c r="BB304">
        <v>0.15662382010154269</v>
      </c>
      <c r="BC304">
        <v>-0.1372914420423004</v>
      </c>
      <c r="BD304">
        <v>6.75211991237296E-2</v>
      </c>
      <c r="BE304">
        <v>0.76605346634975924</v>
      </c>
      <c r="BF304">
        <v>6.75211991237296E-2</v>
      </c>
      <c r="BG304">
        <v>6.75211991237296E-2</v>
      </c>
      <c r="BH304">
        <v>0.76605346634975924</v>
      </c>
      <c r="BI304">
        <v>0.31288490664796992</v>
      </c>
      <c r="BJ304">
        <v>-8.4079374947696461E-2</v>
      </c>
      <c r="BK304">
        <v>3.8401307259304768E-2</v>
      </c>
      <c r="BL304">
        <v>0.84583089776052589</v>
      </c>
      <c r="BM304">
        <v>3.8401307259304768E-2</v>
      </c>
      <c r="BN304">
        <v>3.8401307259304768E-2</v>
      </c>
      <c r="BO304">
        <v>0.84583089776052589</v>
      </c>
      <c r="BP304">
        <v>0.28190346463201099</v>
      </c>
      <c r="BQ304">
        <v>-0.13175324389467999</v>
      </c>
      <c r="BR304">
        <v>81.503192706985544</v>
      </c>
      <c r="BS304">
        <v>0.76802754620266556</v>
      </c>
      <c r="BT304">
        <v>81.503192706985544</v>
      </c>
      <c r="BU304">
        <v>81.503192706985544</v>
      </c>
      <c r="BV304">
        <v>0.76802754620266556</v>
      </c>
      <c r="BW304">
        <v>407.88972746862822</v>
      </c>
      <c r="BX304">
        <v>-0.16092606702895471</v>
      </c>
      <c r="BY304" t="str">
        <f t="shared" si="12"/>
        <v>[[sv,wv],[yr],[ya]]</v>
      </c>
      <c r="BZ304" t="str">
        <f>SUBSTITUTE(TRIM(MID(SUBSTITUTE(SUBSTITUTE(SUBSTITUTE(Tabla1[[#This Row],[map]],"[",""),"]",""),",",REPT(" ",100)),901,200))," ",", ")</f>
        <v>2, 3</v>
      </c>
      <c r="CA304" t="str">
        <f>SUBSTITUTE(TRIM(MID(SUBSTITUTE(SUBSTITUTE(SUBSTITUTE(Tabla1[[#This Row],[map]],"[",""),"]",""),",",REPT(" ",100)),1501,200))," ",", ")</f>
        <v>3, 2</v>
      </c>
      <c r="CB304" t="str">
        <f>SUBSTITUTE(TRIM(MID(SUBSTITUTE(SUBSTITUTE(SUBSTITUTE(Tabla1[[#This Row],[map]],"[",""),"]",""),",",REPT(" ",100)),601,300))," ",", ")</f>
        <v>1, 4, 0</v>
      </c>
      <c r="CC304" t="str">
        <f>SUBSTITUTE(TRIM(MID(SUBSTITUTE(SUBSTITUTE(SUBSTITUTE(Tabla1[[#This Row],[map]],"[",""),"]",""),",",REPT(" ",100)),1201,300))," ",", ")</f>
        <v>0, 1, 4</v>
      </c>
      <c r="CD304" t="str">
        <f>SUBSTITUTE(TRIM(MID(SUBSTITUTE(SUBSTITUTE(SUBSTITUTE(Tabla1[[#This Row],[map]],"[",""),"]",""),",",REPT(" ",100)),1,300))," ",", ")</f>
        <v>2, 3, 4</v>
      </c>
      <c r="CE304" t="str">
        <f>SUBSTITUTE(TRIM(MID(SUBSTITUTE(SUBSTITUTE(SUBSTITUTE(Tabla1[[#This Row],[map]],"[",""),"]",""),",",REPT(" ",100)),1,600))," ",", ")</f>
        <v>2, 3, 4, 0, 1, -1</v>
      </c>
      <c r="CF304" t="str">
        <f>SUBSTITUTE(TRIM(MID(SUBSTITUTE(SUBSTITUTE(SUBSTITUTE(Tabla1[[#This Row],[map]],"[",""),"]",""),",",REPT(" ",100)),601,600))," ",", ")</f>
        <v>1, 4, 0, 2, 3, -1</v>
      </c>
      <c r="CG304" t="str">
        <f>SUBSTITUTE(TRIM(MID(SUBSTITUTE(SUBSTITUTE(SUBSTITUTE(Tabla1[[#This Row],[map]],"[",""),"]",""),",",REPT(" ",100)),1201,600))," ",", ")</f>
        <v>0, 1, 4, 3, 2, -1</v>
      </c>
    </row>
    <row r="305" spans="1:85" x14ac:dyDescent="0.3">
      <c r="A305" s="1">
        <v>46108.425763888888</v>
      </c>
      <c r="B305" t="s">
        <v>543</v>
      </c>
      <c r="C305">
        <v>5</v>
      </c>
      <c r="D305" t="s">
        <v>96</v>
      </c>
      <c r="E305" t="s">
        <v>78</v>
      </c>
      <c r="F305">
        <v>16590</v>
      </c>
      <c r="G305">
        <v>4.5</v>
      </c>
      <c r="H305" t="s">
        <v>79</v>
      </c>
      <c r="I305" t="s">
        <v>80</v>
      </c>
      <c r="J305">
        <v>5</v>
      </c>
      <c r="K305">
        <v>5</v>
      </c>
      <c r="L305" t="s">
        <v>81</v>
      </c>
      <c r="M305" t="s">
        <v>82</v>
      </c>
      <c r="N305" t="s">
        <v>83</v>
      </c>
      <c r="O305" t="s">
        <v>83</v>
      </c>
      <c r="P305" t="s">
        <v>84</v>
      </c>
      <c r="Q305" t="s">
        <v>441</v>
      </c>
      <c r="R305">
        <v>3</v>
      </c>
      <c r="S305" t="s">
        <v>86</v>
      </c>
      <c r="T305" t="s">
        <v>87</v>
      </c>
      <c r="U305" t="s">
        <v>88</v>
      </c>
      <c r="V305">
        <v>1</v>
      </c>
      <c r="W305" t="s">
        <v>442</v>
      </c>
      <c r="X305" t="s">
        <v>83</v>
      </c>
      <c r="Y305" t="s">
        <v>90</v>
      </c>
      <c r="Z305">
        <v>4000</v>
      </c>
      <c r="AA305">
        <v>4000</v>
      </c>
      <c r="AC305">
        <v>256</v>
      </c>
      <c r="AD305" t="s">
        <v>91</v>
      </c>
      <c r="AE305">
        <v>0.15</v>
      </c>
      <c r="AF305" t="s">
        <v>92</v>
      </c>
      <c r="AG305">
        <v>180</v>
      </c>
      <c r="AH305">
        <v>60</v>
      </c>
      <c r="AI305">
        <v>120</v>
      </c>
      <c r="AJ305">
        <v>0.12934589892666401</v>
      </c>
      <c r="AK305">
        <v>23.12701665032117</v>
      </c>
      <c r="AL305">
        <v>0.70098929092526963</v>
      </c>
      <c r="AM305">
        <v>6.6609180813537922E-2</v>
      </c>
      <c r="AN305">
        <v>29.097440473451101</v>
      </c>
      <c r="AO305">
        <v>0.65301282519646286</v>
      </c>
      <c r="AP305">
        <v>29.097440473451101</v>
      </c>
      <c r="AQ305">
        <v>29.097440473451101</v>
      </c>
      <c r="AR305">
        <v>0.65301282519646286</v>
      </c>
      <c r="AS305">
        <v>83.981993882716822</v>
      </c>
      <c r="AT305">
        <v>5.7885844728016667E-2</v>
      </c>
      <c r="AU305">
        <v>0.8</v>
      </c>
      <c r="AV305" t="s">
        <v>93</v>
      </c>
      <c r="AW305">
        <v>6.9783863409354552E-2</v>
      </c>
      <c r="AX305">
        <v>0.49327892400623408</v>
      </c>
      <c r="AY305">
        <v>6.9783863409354552E-2</v>
      </c>
      <c r="AZ305">
        <v>6.9783863409354552E-2</v>
      </c>
      <c r="BA305">
        <v>0.49327892400623408</v>
      </c>
      <c r="BB305">
        <v>0.15094442519060919</v>
      </c>
      <c r="BC305">
        <v>-9.6051691766794844E-2</v>
      </c>
      <c r="BD305">
        <v>0.1100405451939231</v>
      </c>
      <c r="BE305">
        <v>0.6187330135839717</v>
      </c>
      <c r="BF305">
        <v>0.1100405451939231</v>
      </c>
      <c r="BG305">
        <v>0.1100405451939231</v>
      </c>
      <c r="BH305">
        <v>0.6187330135839717</v>
      </c>
      <c r="BI305">
        <v>0.12355666630683</v>
      </c>
      <c r="BJ305">
        <v>0.571902540728075</v>
      </c>
      <c r="BK305">
        <v>4.2176849973540903E-2</v>
      </c>
      <c r="BL305">
        <v>0.83067328797422013</v>
      </c>
      <c r="BM305">
        <v>4.2176849973540903E-2</v>
      </c>
      <c r="BN305">
        <v>4.2176849973540903E-2</v>
      </c>
      <c r="BO305">
        <v>0.83067328797422013</v>
      </c>
      <c r="BP305">
        <v>0.32129379764579957</v>
      </c>
      <c r="BQ305">
        <v>-0.28989297170767608</v>
      </c>
      <c r="BR305">
        <v>116.16776063522759</v>
      </c>
      <c r="BS305">
        <v>0.66936607522142499</v>
      </c>
      <c r="BT305">
        <v>116.16776063522759</v>
      </c>
      <c r="BU305">
        <v>116.16776063522759</v>
      </c>
      <c r="BV305">
        <v>0.66936607522142499</v>
      </c>
      <c r="BW305">
        <v>335.33218064172399</v>
      </c>
      <c r="BX305">
        <v>4.558550165845654E-2</v>
      </c>
      <c r="BY305" t="str">
        <f t="shared" si="12"/>
        <v>[[sv,wv],[yr],[ya]]</v>
      </c>
      <c r="BZ305" t="str">
        <f>SUBSTITUTE(TRIM(MID(SUBSTITUTE(SUBSTITUTE(SUBSTITUTE(Tabla1[[#This Row],[map]],"[",""),"]",""),",",REPT(" ",100)),901,200))," ",", ")</f>
        <v>2, 3</v>
      </c>
      <c r="CA305" t="str">
        <f>SUBSTITUTE(TRIM(MID(SUBSTITUTE(SUBSTITUTE(SUBSTITUTE(Tabla1[[#This Row],[map]],"[",""),"]",""),",",REPT(" ",100)),1501,200))," ",", ")</f>
        <v>3, 2</v>
      </c>
      <c r="CB305" t="str">
        <f>SUBSTITUTE(TRIM(MID(SUBSTITUTE(SUBSTITUTE(SUBSTITUTE(Tabla1[[#This Row],[map]],"[",""),"]",""),",",REPT(" ",100)),601,300))," ",", ")</f>
        <v>1, 4, 0</v>
      </c>
      <c r="CC305" t="str">
        <f>SUBSTITUTE(TRIM(MID(SUBSTITUTE(SUBSTITUTE(SUBSTITUTE(Tabla1[[#This Row],[map]],"[",""),"]",""),",",REPT(" ",100)),1201,300))," ",", ")</f>
        <v>0, 1, 4</v>
      </c>
      <c r="CD305" t="str">
        <f>SUBSTITUTE(TRIM(MID(SUBSTITUTE(SUBSTITUTE(SUBSTITUTE(Tabla1[[#This Row],[map]],"[",""),"]",""),",",REPT(" ",100)),1,300))," ",", ")</f>
        <v>4, 2, 3</v>
      </c>
      <c r="CE305" t="str">
        <f>SUBSTITUTE(TRIM(MID(SUBSTITUTE(SUBSTITUTE(SUBSTITUTE(Tabla1[[#This Row],[map]],"[",""),"]",""),",",REPT(" ",100)),1,600))," ",", ")</f>
        <v>4, 2, 3, 0, 1, -1</v>
      </c>
      <c r="CF305" t="str">
        <f>SUBSTITUTE(TRIM(MID(SUBSTITUTE(SUBSTITUTE(SUBSTITUTE(Tabla1[[#This Row],[map]],"[",""),"]",""),",",REPT(" ",100)),601,600))," ",", ")</f>
        <v>1, 4, 0, 2, 3, -1</v>
      </c>
      <c r="CG305" t="str">
        <f>SUBSTITUTE(TRIM(MID(SUBSTITUTE(SUBSTITUTE(SUBSTITUTE(Tabla1[[#This Row],[map]],"[",""),"]",""),",",REPT(" ",100)),1201,600))," ",", ")</f>
        <v>0, 1, 4, 3, 2, -1</v>
      </c>
    </row>
    <row r="306" spans="1:85" x14ac:dyDescent="0.3">
      <c r="A306" s="1">
        <v>46108.429224537038</v>
      </c>
      <c r="B306" t="s">
        <v>544</v>
      </c>
      <c r="C306">
        <v>2</v>
      </c>
      <c r="D306" t="s">
        <v>77</v>
      </c>
      <c r="E306" t="s">
        <v>78</v>
      </c>
      <c r="F306">
        <v>16590</v>
      </c>
      <c r="G306">
        <v>4.5</v>
      </c>
      <c r="H306" t="s">
        <v>79</v>
      </c>
      <c r="I306" t="s">
        <v>80</v>
      </c>
      <c r="J306">
        <v>5</v>
      </c>
      <c r="K306">
        <v>5</v>
      </c>
      <c r="L306" t="s">
        <v>81</v>
      </c>
      <c r="M306" t="s">
        <v>82</v>
      </c>
      <c r="N306" t="s">
        <v>83</v>
      </c>
      <c r="O306" t="s">
        <v>83</v>
      </c>
      <c r="P306" t="s">
        <v>84</v>
      </c>
      <c r="Q306" t="s">
        <v>485</v>
      </c>
      <c r="R306">
        <v>3</v>
      </c>
      <c r="S306" t="s">
        <v>86</v>
      </c>
      <c r="T306" t="s">
        <v>87</v>
      </c>
      <c r="U306" t="s">
        <v>88</v>
      </c>
      <c r="V306">
        <v>1</v>
      </c>
      <c r="W306" t="s">
        <v>486</v>
      </c>
      <c r="X306" t="s">
        <v>83</v>
      </c>
      <c r="Y306" t="s">
        <v>90</v>
      </c>
      <c r="Z306">
        <v>4000</v>
      </c>
      <c r="AA306">
        <v>4000</v>
      </c>
      <c r="AC306">
        <v>256</v>
      </c>
      <c r="AD306" t="s">
        <v>91</v>
      </c>
      <c r="AE306">
        <v>0.15</v>
      </c>
      <c r="AF306" t="s">
        <v>92</v>
      </c>
      <c r="AG306">
        <v>180</v>
      </c>
      <c r="AH306">
        <v>60</v>
      </c>
      <c r="AI306">
        <v>120</v>
      </c>
      <c r="AJ306">
        <v>0.10304139283808821</v>
      </c>
      <c r="AK306">
        <v>20.900835492518961</v>
      </c>
      <c r="AL306">
        <v>0.71816869676221706</v>
      </c>
      <c r="AM306">
        <v>0.2289109266186985</v>
      </c>
      <c r="AN306">
        <v>27.50664501384674</v>
      </c>
      <c r="AO306">
        <v>0.67604050232125446</v>
      </c>
      <c r="AP306">
        <v>27.50664501384674</v>
      </c>
      <c r="AQ306">
        <v>27.50664501384674</v>
      </c>
      <c r="AR306">
        <v>0.67604050232125446</v>
      </c>
      <c r="AS306">
        <v>90.616151014585554</v>
      </c>
      <c r="AT306">
        <v>0.1110368293735339</v>
      </c>
      <c r="AU306">
        <v>0.8</v>
      </c>
      <c r="AV306" t="s">
        <v>93</v>
      </c>
      <c r="AW306">
        <v>7.216043383157536E-2</v>
      </c>
      <c r="AX306">
        <v>0.47602194993389779</v>
      </c>
      <c r="AY306">
        <v>7.216043383157536E-2</v>
      </c>
      <c r="AZ306">
        <v>7.216043383157536E-2</v>
      </c>
      <c r="BA306">
        <v>0.47602194993389779</v>
      </c>
      <c r="BB306">
        <v>0.12859290292154871</v>
      </c>
      <c r="BC306">
        <v>6.6249259498088686E-2</v>
      </c>
      <c r="BD306">
        <v>9.861139918998664E-2</v>
      </c>
      <c r="BE306">
        <v>0.65833256342762581</v>
      </c>
      <c r="BF306">
        <v>9.861139918998664E-2</v>
      </c>
      <c r="BG306">
        <v>9.861139918998664E-2</v>
      </c>
      <c r="BH306">
        <v>0.65833256342762581</v>
      </c>
      <c r="BI306">
        <v>0.15869636149939101</v>
      </c>
      <c r="BJ306">
        <v>0.45015100209261022</v>
      </c>
      <c r="BK306">
        <v>2.9294184496392699E-2</v>
      </c>
      <c r="BL306">
        <v>0.88239311505334028</v>
      </c>
      <c r="BM306">
        <v>2.9294184496392699E-2</v>
      </c>
      <c r="BN306">
        <v>2.9294184496392699E-2</v>
      </c>
      <c r="BO306">
        <v>0.88239311505334028</v>
      </c>
      <c r="BP306">
        <v>0.25958989017981471</v>
      </c>
      <c r="BQ306">
        <v>-4.2171300295214653E-2</v>
      </c>
      <c r="BR306">
        <v>109.8265140378696</v>
      </c>
      <c r="BS306">
        <v>0.68741438087015649</v>
      </c>
      <c r="BT306">
        <v>109.8265140378696</v>
      </c>
      <c r="BU306">
        <v>109.8265140378696</v>
      </c>
      <c r="BV306">
        <v>0.68741438087015649</v>
      </c>
      <c r="BW306">
        <v>361.91772490374052</v>
      </c>
      <c r="BX306">
        <v>-3.0081643801343819E-2</v>
      </c>
      <c r="BY306" t="str">
        <f t="shared" si="12"/>
        <v>[[sv,wv],[yr],[ya]]</v>
      </c>
      <c r="BZ306" t="str">
        <f>SUBSTITUTE(TRIM(MID(SUBSTITUTE(SUBSTITUTE(SUBSTITUTE(Tabla1[[#This Row],[map]],"[",""),"]",""),",",REPT(" ",100)),901,200))," ",", ")</f>
        <v>2, 3</v>
      </c>
      <c r="CA306" t="str">
        <f>SUBSTITUTE(TRIM(MID(SUBSTITUTE(SUBSTITUTE(SUBSTITUTE(Tabla1[[#This Row],[map]],"[",""),"]",""),",",REPT(" ",100)),1501,200))," ",", ")</f>
        <v>3, 4</v>
      </c>
      <c r="CB306" t="str">
        <f>SUBSTITUTE(TRIM(MID(SUBSTITUTE(SUBSTITUTE(SUBSTITUTE(Tabla1[[#This Row],[map]],"[",""),"]",""),",",REPT(" ",100)),601,300))," ",", ")</f>
        <v>1, 4, 0</v>
      </c>
      <c r="CC306" t="str">
        <f>SUBSTITUTE(TRIM(MID(SUBSTITUTE(SUBSTITUTE(SUBSTITUTE(Tabla1[[#This Row],[map]],"[",""),"]",""),",",REPT(" ",100)),1201,300))," ",", ")</f>
        <v>0, 1, 2</v>
      </c>
      <c r="CD306" t="str">
        <f>SUBSTITUTE(TRIM(MID(SUBSTITUTE(SUBSTITUTE(SUBSTITUTE(Tabla1[[#This Row],[map]],"[",""),"]",""),",",REPT(" ",100)),1,300))," ",", ")</f>
        <v>4, 2, 3</v>
      </c>
      <c r="CE306" t="str">
        <f>SUBSTITUTE(TRIM(MID(SUBSTITUTE(SUBSTITUTE(SUBSTITUTE(Tabla1[[#This Row],[map]],"[",""),"]",""),",",REPT(" ",100)),1,600))," ",", ")</f>
        <v>4, 2, 3, 0, 1, -1</v>
      </c>
      <c r="CF306" t="str">
        <f>SUBSTITUTE(TRIM(MID(SUBSTITUTE(SUBSTITUTE(SUBSTITUTE(Tabla1[[#This Row],[map]],"[",""),"]",""),",",REPT(" ",100)),601,600))," ",", ")</f>
        <v>1, 4, 0, 2, 3, -1</v>
      </c>
      <c r="CG306" t="str">
        <f>SUBSTITUTE(TRIM(MID(SUBSTITUTE(SUBSTITUTE(SUBSTITUTE(Tabla1[[#This Row],[map]],"[",""),"]",""),",",REPT(" ",100)),1201,600))," ",", ")</f>
        <v>0, 1, 2, 3, 4, -1</v>
      </c>
    </row>
    <row r="307" spans="1:85" x14ac:dyDescent="0.3">
      <c r="A307" s="1">
        <v>46108.453229166669</v>
      </c>
      <c r="B307" t="s">
        <v>545</v>
      </c>
      <c r="C307">
        <v>4</v>
      </c>
      <c r="D307" t="s">
        <v>77</v>
      </c>
      <c r="E307" t="s">
        <v>78</v>
      </c>
      <c r="F307">
        <v>16590</v>
      </c>
      <c r="G307">
        <v>4.5</v>
      </c>
      <c r="H307" t="s">
        <v>79</v>
      </c>
      <c r="I307" t="s">
        <v>80</v>
      </c>
      <c r="J307">
        <v>5</v>
      </c>
      <c r="K307">
        <v>5</v>
      </c>
      <c r="L307" t="s">
        <v>81</v>
      </c>
      <c r="M307" t="s">
        <v>82</v>
      </c>
      <c r="N307" t="s">
        <v>83</v>
      </c>
      <c r="O307" t="s">
        <v>83</v>
      </c>
      <c r="P307" t="s">
        <v>84</v>
      </c>
      <c r="Q307" t="s">
        <v>441</v>
      </c>
      <c r="R307">
        <v>3</v>
      </c>
      <c r="S307" t="s">
        <v>86</v>
      </c>
      <c r="T307" t="s">
        <v>87</v>
      </c>
      <c r="U307" t="s">
        <v>88</v>
      </c>
      <c r="V307">
        <v>1</v>
      </c>
      <c r="W307" t="s">
        <v>442</v>
      </c>
      <c r="X307" t="s">
        <v>83</v>
      </c>
      <c r="Y307" t="s">
        <v>90</v>
      </c>
      <c r="Z307">
        <v>4000</v>
      </c>
      <c r="AA307">
        <v>4000</v>
      </c>
      <c r="AC307">
        <v>256</v>
      </c>
      <c r="AD307" t="s">
        <v>91</v>
      </c>
      <c r="AE307">
        <v>0.15</v>
      </c>
      <c r="AF307" t="s">
        <v>92</v>
      </c>
      <c r="AG307">
        <v>180</v>
      </c>
      <c r="AH307">
        <v>60</v>
      </c>
      <c r="AI307">
        <v>120</v>
      </c>
      <c r="AJ307">
        <v>9.555323269945637E-2</v>
      </c>
      <c r="AK307">
        <v>14.921855240639021</v>
      </c>
      <c r="AL307">
        <v>0.75125922827200464</v>
      </c>
      <c r="AM307">
        <v>0.18927469253753421</v>
      </c>
      <c r="AN307">
        <v>18.866519908911322</v>
      </c>
      <c r="AO307">
        <v>0.71705961368290883</v>
      </c>
      <c r="AP307">
        <v>18.866519908911322</v>
      </c>
      <c r="AQ307">
        <v>18.866519908911322</v>
      </c>
      <c r="AR307">
        <v>0.71705961368290883</v>
      </c>
      <c r="AS307">
        <v>68.397392319988143</v>
      </c>
      <c r="AT307">
        <v>0.17481049791485789</v>
      </c>
      <c r="AU307">
        <v>0.8</v>
      </c>
      <c r="AV307" t="s">
        <v>93</v>
      </c>
      <c r="AW307">
        <v>7.5249851387745315E-2</v>
      </c>
      <c r="AX307">
        <v>0.45358878398730429</v>
      </c>
      <c r="AY307">
        <v>7.5249851387745315E-2</v>
      </c>
      <c r="AZ307">
        <v>7.5249851387745315E-2</v>
      </c>
      <c r="BA307">
        <v>0.45358878398730429</v>
      </c>
      <c r="BB307">
        <v>0.10333051863275459</v>
      </c>
      <c r="BC307">
        <v>0.24968683265013289</v>
      </c>
      <c r="BD307">
        <v>6.9995130658771179E-2</v>
      </c>
      <c r="BE307">
        <v>0.75748182196811209</v>
      </c>
      <c r="BF307">
        <v>6.9995130658771179E-2</v>
      </c>
      <c r="BG307">
        <v>6.9995130658771179E-2</v>
      </c>
      <c r="BH307">
        <v>0.75748182196811209</v>
      </c>
      <c r="BI307">
        <v>0.1345163451380616</v>
      </c>
      <c r="BJ307">
        <v>0.53392959436810039</v>
      </c>
      <c r="BK307">
        <v>3.2019187609594248E-2</v>
      </c>
      <c r="BL307">
        <v>0.87145308947751143</v>
      </c>
      <c r="BM307">
        <v>3.2019187609594248E-2</v>
      </c>
      <c r="BN307">
        <v>3.2019187609594248E-2</v>
      </c>
      <c r="BO307">
        <v>0.87145308947751143</v>
      </c>
      <c r="BP307">
        <v>0.32562815416030672</v>
      </c>
      <c r="BQ307">
        <v>-0.30729404214820039</v>
      </c>
      <c r="BR307">
        <v>75.288815465989245</v>
      </c>
      <c r="BS307">
        <v>0.78571475929870738</v>
      </c>
      <c r="BT307">
        <v>75.288815465989245</v>
      </c>
      <c r="BU307">
        <v>75.288815465989245</v>
      </c>
      <c r="BV307">
        <v>0.78571475929870738</v>
      </c>
      <c r="BW307">
        <v>273.02609426201991</v>
      </c>
      <c r="BX307">
        <v>0.22291960678940639</v>
      </c>
      <c r="BY307" t="str">
        <f t="shared" si="12"/>
        <v>[[sv,wv],[yr],[ya]]</v>
      </c>
      <c r="BZ307" t="str">
        <f>SUBSTITUTE(TRIM(MID(SUBSTITUTE(SUBSTITUTE(SUBSTITUTE(Tabla1[[#This Row],[map]],"[",""),"]",""),",",REPT(" ",100)),901,200))," ",", ")</f>
        <v>2, 3</v>
      </c>
      <c r="CA307" t="str">
        <f>SUBSTITUTE(TRIM(MID(SUBSTITUTE(SUBSTITUTE(SUBSTITUTE(Tabla1[[#This Row],[map]],"[",""),"]",""),",",REPT(" ",100)),1501,200))," ",", ")</f>
        <v>3, 2</v>
      </c>
      <c r="CB307" t="str">
        <f>SUBSTITUTE(TRIM(MID(SUBSTITUTE(SUBSTITUTE(SUBSTITUTE(Tabla1[[#This Row],[map]],"[",""),"]",""),",",REPT(" ",100)),601,300))," ",", ")</f>
        <v>1, 4, 0</v>
      </c>
      <c r="CC307" t="str">
        <f>SUBSTITUTE(TRIM(MID(SUBSTITUTE(SUBSTITUTE(SUBSTITUTE(Tabla1[[#This Row],[map]],"[",""),"]",""),",",REPT(" ",100)),1201,300))," ",", ")</f>
        <v>0, 1, 4</v>
      </c>
      <c r="CD307" t="str">
        <f>SUBSTITUTE(TRIM(MID(SUBSTITUTE(SUBSTITUTE(SUBSTITUTE(Tabla1[[#This Row],[map]],"[",""),"]",""),",",REPT(" ",100)),1,300))," ",", ")</f>
        <v>4, 2, 3</v>
      </c>
      <c r="CE307" t="str">
        <f>SUBSTITUTE(TRIM(MID(SUBSTITUTE(SUBSTITUTE(SUBSTITUTE(Tabla1[[#This Row],[map]],"[",""),"]",""),",",REPT(" ",100)),1,600))," ",", ")</f>
        <v>4, 2, 3, 0, 1, -1</v>
      </c>
      <c r="CF307" t="str">
        <f>SUBSTITUTE(TRIM(MID(SUBSTITUTE(SUBSTITUTE(SUBSTITUTE(Tabla1[[#This Row],[map]],"[",""),"]",""),",",REPT(" ",100)),601,600))," ",", ")</f>
        <v>1, 4, 0, 2, 3, -1</v>
      </c>
      <c r="CG307" t="str">
        <f>SUBSTITUTE(TRIM(MID(SUBSTITUTE(SUBSTITUTE(SUBSTITUTE(Tabla1[[#This Row],[map]],"[",""),"]",""),",",REPT(" ",100)),1201,600))," ",", ")</f>
        <v>0, 1, 4, 3, 2, -1</v>
      </c>
    </row>
    <row r="308" spans="1:85" x14ac:dyDescent="0.3">
      <c r="A308" s="1">
        <v>46108.543749999997</v>
      </c>
      <c r="B308" t="s">
        <v>546</v>
      </c>
      <c r="C308">
        <v>1</v>
      </c>
      <c r="D308" t="s">
        <v>77</v>
      </c>
      <c r="E308" t="s">
        <v>78</v>
      </c>
      <c r="F308">
        <v>16590</v>
      </c>
      <c r="G308">
        <v>4.5</v>
      </c>
      <c r="H308" t="s">
        <v>79</v>
      </c>
      <c r="I308" t="s">
        <v>80</v>
      </c>
      <c r="J308">
        <v>5</v>
      </c>
      <c r="K308">
        <v>5</v>
      </c>
      <c r="L308" t="s">
        <v>81</v>
      </c>
      <c r="M308" t="s">
        <v>82</v>
      </c>
      <c r="N308" t="s">
        <v>83</v>
      </c>
      <c r="O308" t="s">
        <v>83</v>
      </c>
      <c r="P308" t="s">
        <v>84</v>
      </c>
      <c r="Q308" t="s">
        <v>533</v>
      </c>
      <c r="R308">
        <v>3</v>
      </c>
      <c r="S308" t="s">
        <v>86</v>
      </c>
      <c r="T308" t="s">
        <v>87</v>
      </c>
      <c r="U308" t="s">
        <v>88</v>
      </c>
      <c r="V308">
        <v>1</v>
      </c>
      <c r="W308" t="s">
        <v>534</v>
      </c>
      <c r="X308" t="s">
        <v>83</v>
      </c>
      <c r="Y308" t="s">
        <v>90</v>
      </c>
      <c r="Z308">
        <v>4000</v>
      </c>
      <c r="AA308">
        <v>4000</v>
      </c>
      <c r="AC308">
        <v>256</v>
      </c>
      <c r="AD308" t="s">
        <v>91</v>
      </c>
      <c r="AE308">
        <v>0.15</v>
      </c>
      <c r="AF308" t="s">
        <v>92</v>
      </c>
      <c r="AG308">
        <v>180</v>
      </c>
      <c r="AH308">
        <v>60</v>
      </c>
      <c r="AI308">
        <v>120</v>
      </c>
      <c r="AJ308">
        <v>0.11718753034482909</v>
      </c>
      <c r="AK308">
        <v>15.722748442223031</v>
      </c>
      <c r="AL308">
        <v>0.67305686549528088</v>
      </c>
      <c r="AM308">
        <v>8.6516269722242883E-2</v>
      </c>
      <c r="AN308">
        <v>22.159087468461379</v>
      </c>
      <c r="AO308">
        <v>0.66450523946891404</v>
      </c>
      <c r="AP308">
        <v>22.159087468461379</v>
      </c>
      <c r="AQ308">
        <v>22.159087468461379</v>
      </c>
      <c r="AR308">
        <v>0.66450523946891404</v>
      </c>
      <c r="AS308">
        <v>119.4365671905697</v>
      </c>
      <c r="AT308">
        <v>-2.769696927276458E-2</v>
      </c>
      <c r="AU308">
        <v>0.8</v>
      </c>
      <c r="AV308" t="s">
        <v>93</v>
      </c>
      <c r="AW308">
        <v>8.5235530883251517E-2</v>
      </c>
      <c r="AX308">
        <v>0.38107983978039039</v>
      </c>
      <c r="AY308">
        <v>8.5235530883251517E-2</v>
      </c>
      <c r="AZ308">
        <v>8.5235530883251517E-2</v>
      </c>
      <c r="BA308">
        <v>0.38107983978039039</v>
      </c>
      <c r="BB308">
        <v>0.1691880821946336</v>
      </c>
      <c r="BC308">
        <v>-0.22852422990805879</v>
      </c>
      <c r="BD308">
        <v>8.9589847924898422E-2</v>
      </c>
      <c r="BE308">
        <v>0.68959031172009644</v>
      </c>
      <c r="BF308">
        <v>8.9589847924898422E-2</v>
      </c>
      <c r="BG308">
        <v>8.9589847924898422E-2</v>
      </c>
      <c r="BH308">
        <v>0.68959031172009644</v>
      </c>
      <c r="BI308">
        <v>0.17512190401010319</v>
      </c>
      <c r="BJ308">
        <v>0.39324000549339078</v>
      </c>
      <c r="BK308">
        <v>4.009935598630486E-2</v>
      </c>
      <c r="BL308">
        <v>0.83901376921766735</v>
      </c>
      <c r="BM308">
        <v>4.009935598630486E-2</v>
      </c>
      <c r="BN308">
        <v>4.009935598630486E-2</v>
      </c>
      <c r="BO308">
        <v>0.83901376921766735</v>
      </c>
      <c r="BP308">
        <v>0.22850714087260701</v>
      </c>
      <c r="BQ308">
        <v>8.2616106640410747E-2</v>
      </c>
      <c r="BR308">
        <v>88.421425139051138</v>
      </c>
      <c r="BS308">
        <v>0.74833703715750255</v>
      </c>
      <c r="BT308">
        <v>88.421425139051138</v>
      </c>
      <c r="BU308">
        <v>88.421425139051138</v>
      </c>
      <c r="BV308">
        <v>0.74833703715750255</v>
      </c>
      <c r="BW308">
        <v>477.17345163520167</v>
      </c>
      <c r="BX308">
        <v>-0.35811975931679352</v>
      </c>
      <c r="BY308" t="str">
        <f t="shared" si="12"/>
        <v>[[sv,wv],[yr],[ya]]</v>
      </c>
      <c r="BZ308" t="str">
        <f>SUBSTITUTE(TRIM(MID(SUBSTITUTE(SUBSTITUTE(SUBSTITUTE(Tabla1[[#This Row],[map]],"[",""),"]",""),",",REPT(" ",100)),901,200))," ",", ")</f>
        <v>2, 4</v>
      </c>
      <c r="CA308" t="str">
        <f>SUBSTITUTE(TRIM(MID(SUBSTITUTE(SUBSTITUTE(SUBSTITUTE(Tabla1[[#This Row],[map]],"[",""),"]",""),",",REPT(" ",100)),1501,200))," ",", ")</f>
        <v>3, 4</v>
      </c>
      <c r="CB308" t="str">
        <f>SUBSTITUTE(TRIM(MID(SUBSTITUTE(SUBSTITUTE(SUBSTITUTE(Tabla1[[#This Row],[map]],"[",""),"]",""),",",REPT(" ",100)),601,300))," ",", ")</f>
        <v>1, 3, 0</v>
      </c>
      <c r="CC308" t="str">
        <f>SUBSTITUTE(TRIM(MID(SUBSTITUTE(SUBSTITUTE(SUBSTITUTE(Tabla1[[#This Row],[map]],"[",""),"]",""),",",REPT(" ",100)),1201,300))," ",", ")</f>
        <v>1, 2, 0</v>
      </c>
      <c r="CD308" t="str">
        <f>SUBSTITUTE(TRIM(MID(SUBSTITUTE(SUBSTITUTE(SUBSTITUTE(Tabla1[[#This Row],[map]],"[",""),"]",""),",",REPT(" ",100)),1,300))," ",", ")</f>
        <v>4, 2, 3</v>
      </c>
      <c r="CE308" t="str">
        <f>SUBSTITUTE(TRIM(MID(SUBSTITUTE(SUBSTITUTE(SUBSTITUTE(Tabla1[[#This Row],[map]],"[",""),"]",""),",",REPT(" ",100)),1,600))," ",", ")</f>
        <v>4, 2, 3, 0, 1, -1</v>
      </c>
      <c r="CF308" t="str">
        <f>SUBSTITUTE(TRIM(MID(SUBSTITUTE(SUBSTITUTE(SUBSTITUTE(Tabla1[[#This Row],[map]],"[",""),"]",""),",",REPT(" ",100)),601,600))," ",", ")</f>
        <v>1, 3, 0, 2, 4, -1</v>
      </c>
      <c r="CG308" t="str">
        <f>SUBSTITUTE(TRIM(MID(SUBSTITUTE(SUBSTITUTE(SUBSTITUTE(Tabla1[[#This Row],[map]],"[",""),"]",""),",",REPT(" ",100)),1201,600))," ",", ")</f>
        <v>1, 2, 0, 3, 4, -1</v>
      </c>
    </row>
    <row r="309" spans="1:85" x14ac:dyDescent="0.3">
      <c r="A309" s="1">
        <v>46108.569606481477</v>
      </c>
      <c r="B309" t="s">
        <v>547</v>
      </c>
      <c r="C309">
        <v>3</v>
      </c>
      <c r="D309" t="s">
        <v>96</v>
      </c>
      <c r="E309" t="s">
        <v>78</v>
      </c>
      <c r="F309">
        <v>16590</v>
      </c>
      <c r="G309">
        <v>4.5</v>
      </c>
      <c r="H309" t="s">
        <v>79</v>
      </c>
      <c r="I309" t="s">
        <v>80</v>
      </c>
      <c r="J309">
        <v>5</v>
      </c>
      <c r="K309">
        <v>5</v>
      </c>
      <c r="L309" t="s">
        <v>81</v>
      </c>
      <c r="M309" t="s">
        <v>82</v>
      </c>
      <c r="N309" t="s">
        <v>83</v>
      </c>
      <c r="O309" t="s">
        <v>83</v>
      </c>
      <c r="P309" t="s">
        <v>84</v>
      </c>
      <c r="Q309" t="s">
        <v>493</v>
      </c>
      <c r="R309">
        <v>3</v>
      </c>
      <c r="S309" t="s">
        <v>86</v>
      </c>
      <c r="T309" t="s">
        <v>87</v>
      </c>
      <c r="U309" t="s">
        <v>88</v>
      </c>
      <c r="V309">
        <v>1</v>
      </c>
      <c r="W309" t="s">
        <v>494</v>
      </c>
      <c r="X309" t="s">
        <v>83</v>
      </c>
      <c r="Y309" t="s">
        <v>90</v>
      </c>
      <c r="Z309">
        <v>4000</v>
      </c>
      <c r="AA309">
        <v>4000</v>
      </c>
      <c r="AC309">
        <v>256</v>
      </c>
      <c r="AD309" t="s">
        <v>91</v>
      </c>
      <c r="AE309">
        <v>0.15</v>
      </c>
      <c r="AF309" t="s">
        <v>92</v>
      </c>
      <c r="AG309">
        <v>180</v>
      </c>
      <c r="AH309">
        <v>60</v>
      </c>
      <c r="AI309">
        <v>120</v>
      </c>
      <c r="AJ309">
        <v>0.1098452590294265</v>
      </c>
      <c r="AK309">
        <v>16.288576765565001</v>
      </c>
      <c r="AL309">
        <v>0.73530591860693195</v>
      </c>
      <c r="AM309">
        <v>0.13226829297699691</v>
      </c>
      <c r="AN309">
        <v>21.671969417183401</v>
      </c>
      <c r="AO309">
        <v>0.67733442184393144</v>
      </c>
      <c r="AP309">
        <v>21.671969417183401</v>
      </c>
      <c r="AQ309">
        <v>21.671969417183401</v>
      </c>
      <c r="AR309">
        <v>0.67733442184393144</v>
      </c>
      <c r="AS309">
        <v>99.879405626495114</v>
      </c>
      <c r="AT309">
        <v>0.16476383840813599</v>
      </c>
      <c r="AU309">
        <v>0.8</v>
      </c>
      <c r="AV309" t="s">
        <v>93</v>
      </c>
      <c r="AW309">
        <v>7.963209441194459E-2</v>
      </c>
      <c r="AX309">
        <v>0.42176803357309378</v>
      </c>
      <c r="AY309">
        <v>7.963209441194459E-2</v>
      </c>
      <c r="AZ309">
        <v>7.963209441194459E-2</v>
      </c>
      <c r="BA309">
        <v>0.42176803357309378</v>
      </c>
      <c r="BB309">
        <v>9.4710848533632097E-2</v>
      </c>
      <c r="BC309">
        <v>0.31227678244579249</v>
      </c>
      <c r="BD309">
        <v>9.3657525783278087E-2</v>
      </c>
      <c r="BE309">
        <v>0.67549667672362734</v>
      </c>
      <c r="BF309">
        <v>9.3657525783278087E-2</v>
      </c>
      <c r="BG309">
        <v>9.3657525783278087E-2</v>
      </c>
      <c r="BH309">
        <v>0.67549667672362734</v>
      </c>
      <c r="BI309">
        <v>0.1521264816734289</v>
      </c>
      <c r="BJ309">
        <v>0.47291423248142472</v>
      </c>
      <c r="BK309">
        <v>3.5318293376578533E-2</v>
      </c>
      <c r="BL309">
        <v>0.85820822333650792</v>
      </c>
      <c r="BM309">
        <v>3.5318293376578533E-2</v>
      </c>
      <c r="BN309">
        <v>3.5318293376578533E-2</v>
      </c>
      <c r="BO309">
        <v>0.85820822333650792</v>
      </c>
      <c r="BP309">
        <v>0.24670506170631379</v>
      </c>
      <c r="BQ309">
        <v>9.557210530101834E-3</v>
      </c>
      <c r="BR309">
        <v>86.479269755161823</v>
      </c>
      <c r="BS309">
        <v>0.75386475374249828</v>
      </c>
      <c r="BT309">
        <v>86.479269755161823</v>
      </c>
      <c r="BU309">
        <v>86.479269755161823</v>
      </c>
      <c r="BV309">
        <v>0.75386475374249828</v>
      </c>
      <c r="BW309">
        <v>399.02408011406521</v>
      </c>
      <c r="BX309">
        <v>-0.13569287182476791</v>
      </c>
      <c r="BY309" t="str">
        <f t="shared" si="12"/>
        <v>[[sv,wv],[yr],[ya]]</v>
      </c>
      <c r="BZ309" t="str">
        <f>SUBSTITUTE(TRIM(MID(SUBSTITUTE(SUBSTITUTE(SUBSTITUTE(Tabla1[[#This Row],[map]],"[",""),"]",""),",",REPT(" ",100)),901,200))," ",", ")</f>
        <v>2, 3</v>
      </c>
      <c r="CA309" t="str">
        <f>SUBSTITUTE(TRIM(MID(SUBSTITUTE(SUBSTITUTE(SUBSTITUTE(Tabla1[[#This Row],[map]],"[",""),"]",""),",",REPT(" ",100)),1501,200))," ",", ")</f>
        <v>3, 4</v>
      </c>
      <c r="CB309" t="str">
        <f>SUBSTITUTE(TRIM(MID(SUBSTITUTE(SUBSTITUTE(SUBSTITUTE(Tabla1[[#This Row],[map]],"[",""),"]",""),",",REPT(" ",100)),601,300))," ",", ")</f>
        <v>1, 4, 0</v>
      </c>
      <c r="CC309" t="str">
        <f>SUBSTITUTE(TRIM(MID(SUBSTITUTE(SUBSTITUTE(SUBSTITUTE(Tabla1[[#This Row],[map]],"[",""),"]",""),",",REPT(" ",100)),1201,300))," ",", ")</f>
        <v>1, 2, 0</v>
      </c>
      <c r="CD309" t="str">
        <f>SUBSTITUTE(TRIM(MID(SUBSTITUTE(SUBSTITUTE(SUBSTITUTE(Tabla1[[#This Row],[map]],"[",""),"]",""),",",REPT(" ",100)),1,300))," ",", ")</f>
        <v>4, 2, 3</v>
      </c>
      <c r="CE309" t="str">
        <f>SUBSTITUTE(TRIM(MID(SUBSTITUTE(SUBSTITUTE(SUBSTITUTE(Tabla1[[#This Row],[map]],"[",""),"]",""),",",REPT(" ",100)),1,600))," ",", ")</f>
        <v>4, 2, 3, 0, 1, -1</v>
      </c>
      <c r="CF309" t="str">
        <f>SUBSTITUTE(TRIM(MID(SUBSTITUTE(SUBSTITUTE(SUBSTITUTE(Tabla1[[#This Row],[map]],"[",""),"]",""),",",REPT(" ",100)),601,600))," ",", ")</f>
        <v>1, 4, 0, 2, 3, -1</v>
      </c>
      <c r="CG309" t="str">
        <f>SUBSTITUTE(TRIM(MID(SUBSTITUTE(SUBSTITUTE(SUBSTITUTE(Tabla1[[#This Row],[map]],"[",""),"]",""),",",REPT(" ",100)),1201,600))," ",", ")</f>
        <v>1, 2, 0, 3, 4, -1</v>
      </c>
    </row>
    <row r="310" spans="1:85" x14ac:dyDescent="0.3">
      <c r="A310" s="1">
        <v>46108.575115740743</v>
      </c>
      <c r="B310" t="s">
        <v>548</v>
      </c>
      <c r="C310">
        <v>6</v>
      </c>
      <c r="D310" t="s">
        <v>77</v>
      </c>
      <c r="E310" t="s">
        <v>78</v>
      </c>
      <c r="F310">
        <v>16590</v>
      </c>
      <c r="G310">
        <v>4.5</v>
      </c>
      <c r="H310" t="s">
        <v>79</v>
      </c>
      <c r="I310" t="s">
        <v>80</v>
      </c>
      <c r="J310">
        <v>5</v>
      </c>
      <c r="K310">
        <v>5</v>
      </c>
      <c r="L310" t="s">
        <v>81</v>
      </c>
      <c r="M310" t="s">
        <v>82</v>
      </c>
      <c r="N310" t="s">
        <v>83</v>
      </c>
      <c r="O310" t="s">
        <v>83</v>
      </c>
      <c r="P310" t="s">
        <v>84</v>
      </c>
      <c r="Q310" t="s">
        <v>387</v>
      </c>
      <c r="R310">
        <v>3</v>
      </c>
      <c r="S310" t="s">
        <v>86</v>
      </c>
      <c r="T310" t="s">
        <v>87</v>
      </c>
      <c r="U310" t="s">
        <v>88</v>
      </c>
      <c r="V310">
        <v>1</v>
      </c>
      <c r="W310" t="s">
        <v>388</v>
      </c>
      <c r="X310" t="s">
        <v>83</v>
      </c>
      <c r="Y310" t="s">
        <v>90</v>
      </c>
      <c r="Z310">
        <v>4000</v>
      </c>
      <c r="AA310">
        <v>4000</v>
      </c>
      <c r="AC310">
        <v>256</v>
      </c>
      <c r="AD310" t="s">
        <v>91</v>
      </c>
      <c r="AE310">
        <v>0.15</v>
      </c>
      <c r="AF310" t="s">
        <v>92</v>
      </c>
      <c r="AG310">
        <v>180</v>
      </c>
      <c r="AH310">
        <v>60</v>
      </c>
      <c r="AI310">
        <v>120</v>
      </c>
      <c r="AJ310">
        <v>9.984735825086602E-2</v>
      </c>
      <c r="AK310">
        <v>13.188002525219179</v>
      </c>
      <c r="AL310">
        <v>0.77191350523238111</v>
      </c>
      <c r="AM310">
        <v>-0.41631528360039483</v>
      </c>
      <c r="AN310">
        <v>18.61232600837085</v>
      </c>
      <c r="AO310">
        <v>0.71262648013212837</v>
      </c>
      <c r="AP310">
        <v>18.61232600837085</v>
      </c>
      <c r="AQ310">
        <v>18.61232600837085</v>
      </c>
      <c r="AR310">
        <v>0.71262648013212837</v>
      </c>
      <c r="AS310">
        <v>128.97830325709529</v>
      </c>
      <c r="AT310">
        <v>-0.38104236062943431</v>
      </c>
      <c r="AU310">
        <v>0.8</v>
      </c>
      <c r="AV310" t="s">
        <v>93</v>
      </c>
      <c r="AW310">
        <v>6.8974397328338918E-2</v>
      </c>
      <c r="AX310">
        <v>0.49915669436048649</v>
      </c>
      <c r="AY310">
        <v>6.8974397328338918E-2</v>
      </c>
      <c r="AZ310">
        <v>6.8974397328338918E-2</v>
      </c>
      <c r="BA310">
        <v>0.49915669436048649</v>
      </c>
      <c r="BB310">
        <v>0.14739236296701391</v>
      </c>
      <c r="BC310">
        <v>-7.0259127354321826E-2</v>
      </c>
      <c r="BD310">
        <v>6.9023134229996341E-2</v>
      </c>
      <c r="BE310">
        <v>0.76084958199286512</v>
      </c>
      <c r="BF310">
        <v>6.9023134229996341E-2</v>
      </c>
      <c r="BG310">
        <v>6.9023134229996341E-2</v>
      </c>
      <c r="BH310">
        <v>0.76084958199286512</v>
      </c>
      <c r="BI310">
        <v>0.39102305043280611</v>
      </c>
      <c r="BJ310">
        <v>-0.35481135426028182</v>
      </c>
      <c r="BK310">
        <v>4.9353264401543653E-2</v>
      </c>
      <c r="BL310">
        <v>0.80186225395934263</v>
      </c>
      <c r="BM310">
        <v>4.9353264401543653E-2</v>
      </c>
      <c r="BN310">
        <v>4.9353264401543653E-2</v>
      </c>
      <c r="BO310">
        <v>0.80186225395934263</v>
      </c>
      <c r="BP310">
        <v>0.40685880919469691</v>
      </c>
      <c r="BQ310">
        <v>-0.63340942870035843</v>
      </c>
      <c r="BR310">
        <v>74.261953237523542</v>
      </c>
      <c r="BS310">
        <v>0.78863739021582202</v>
      </c>
      <c r="BT310">
        <v>74.261953237523542</v>
      </c>
      <c r="BU310">
        <v>74.261953237523542</v>
      </c>
      <c r="BV310">
        <v>0.78863739021582202</v>
      </c>
      <c r="BW310">
        <v>514.96793880578787</v>
      </c>
      <c r="BX310">
        <v>-0.46568953220277448</v>
      </c>
      <c r="BY310" t="str">
        <f t="shared" si="12"/>
        <v>[[sv,wv],[yr],[ya]]</v>
      </c>
      <c r="BZ310" t="str">
        <f>SUBSTITUTE(TRIM(MID(SUBSTITUTE(SUBSTITUTE(SUBSTITUTE(Tabla1[[#This Row],[map]],"[",""),"]",""),",",REPT(" ",100)),901,200))," ",", ")</f>
        <v>2, 4</v>
      </c>
      <c r="CA310" t="str">
        <f>SUBSTITUTE(TRIM(MID(SUBSTITUTE(SUBSTITUTE(SUBSTITUTE(Tabla1[[#This Row],[map]],"[",""),"]",""),",",REPT(" ",100)),1501,200))," ",", ")</f>
        <v>3, 2</v>
      </c>
      <c r="CB310" t="str">
        <f>SUBSTITUTE(TRIM(MID(SUBSTITUTE(SUBSTITUTE(SUBSTITUTE(Tabla1[[#This Row],[map]],"[",""),"]",""),",",REPT(" ",100)),601,300))," ",", ")</f>
        <v>1, 3, 0</v>
      </c>
      <c r="CC310" t="str">
        <f>SUBSTITUTE(TRIM(MID(SUBSTITUTE(SUBSTITUTE(SUBSTITUTE(Tabla1[[#This Row],[map]],"[",""),"]",""),",",REPT(" ",100)),1201,300))," ",", ")</f>
        <v>0, 1, 4</v>
      </c>
      <c r="CD310" t="str">
        <f>SUBSTITUTE(TRIM(MID(SUBSTITUTE(SUBSTITUTE(SUBSTITUTE(Tabla1[[#This Row],[map]],"[",""),"]",""),",",REPT(" ",100)),1,300))," ",", ")</f>
        <v>2, 3, 4</v>
      </c>
      <c r="CE310" t="str">
        <f>SUBSTITUTE(TRIM(MID(SUBSTITUTE(SUBSTITUTE(SUBSTITUTE(Tabla1[[#This Row],[map]],"[",""),"]",""),",",REPT(" ",100)),1,600))," ",", ")</f>
        <v>2, 3, 4, 0, 1, -1</v>
      </c>
      <c r="CF310" t="str">
        <f>SUBSTITUTE(TRIM(MID(SUBSTITUTE(SUBSTITUTE(SUBSTITUTE(Tabla1[[#This Row],[map]],"[",""),"]",""),",",REPT(" ",100)),601,600))," ",", ")</f>
        <v>1, 3, 0, 2, 4, -1</v>
      </c>
      <c r="CG310" t="str">
        <f>SUBSTITUTE(TRIM(MID(SUBSTITUTE(SUBSTITUTE(SUBSTITUTE(Tabla1[[#This Row],[map]],"[",""),"]",""),",",REPT(" ",100)),1201,600))," ",", ")</f>
        <v>0, 1, 4, 3, 2, -1</v>
      </c>
    </row>
    <row r="311" spans="1:85" x14ac:dyDescent="0.3">
      <c r="A311" s="1">
        <v>46108.583634259259</v>
      </c>
      <c r="B311" t="s">
        <v>549</v>
      </c>
      <c r="C311">
        <v>5</v>
      </c>
      <c r="D311" t="s">
        <v>77</v>
      </c>
      <c r="E311" t="s">
        <v>78</v>
      </c>
      <c r="F311">
        <v>16590</v>
      </c>
      <c r="G311">
        <v>4.5</v>
      </c>
      <c r="H311" t="s">
        <v>79</v>
      </c>
      <c r="I311" t="s">
        <v>80</v>
      </c>
      <c r="J311">
        <v>5</v>
      </c>
      <c r="K311">
        <v>5</v>
      </c>
      <c r="L311" t="s">
        <v>81</v>
      </c>
      <c r="M311" t="s">
        <v>82</v>
      </c>
      <c r="N311" t="s">
        <v>83</v>
      </c>
      <c r="O311" t="s">
        <v>83</v>
      </c>
      <c r="P311" t="s">
        <v>84</v>
      </c>
      <c r="Q311" t="s">
        <v>201</v>
      </c>
      <c r="R311">
        <v>3</v>
      </c>
      <c r="S311" t="s">
        <v>86</v>
      </c>
      <c r="T311" t="s">
        <v>87</v>
      </c>
      <c r="U311" t="s">
        <v>88</v>
      </c>
      <c r="V311">
        <v>1</v>
      </c>
      <c r="W311" t="s">
        <v>202</v>
      </c>
      <c r="X311" t="s">
        <v>83</v>
      </c>
      <c r="Y311" t="s">
        <v>90</v>
      </c>
      <c r="Z311">
        <v>4000</v>
      </c>
      <c r="AA311">
        <v>4000</v>
      </c>
      <c r="AC311">
        <v>256</v>
      </c>
      <c r="AD311" t="s">
        <v>91</v>
      </c>
      <c r="AE311">
        <v>0.15</v>
      </c>
      <c r="AF311" t="s">
        <v>92</v>
      </c>
      <c r="AG311">
        <v>180</v>
      </c>
      <c r="AH311">
        <v>60</v>
      </c>
      <c r="AI311">
        <v>120</v>
      </c>
      <c r="AJ311">
        <v>0.1223494474274149</v>
      </c>
      <c r="AK311">
        <v>20.00755876193432</v>
      </c>
      <c r="AL311">
        <v>0.68094957149236213</v>
      </c>
      <c r="AM311">
        <v>0.43610149370084961</v>
      </c>
      <c r="AN311">
        <v>25.648960236775029</v>
      </c>
      <c r="AO311">
        <v>0.64631569046374937</v>
      </c>
      <c r="AP311">
        <v>25.648960236775029</v>
      </c>
      <c r="AQ311">
        <v>25.648960236775029</v>
      </c>
      <c r="AR311">
        <v>0.64631569046374937</v>
      </c>
      <c r="AS311">
        <v>84.594985970108681</v>
      </c>
      <c r="AT311">
        <v>0.18034018159225709</v>
      </c>
      <c r="AU311">
        <v>0.8</v>
      </c>
      <c r="AV311" t="s">
        <v>93</v>
      </c>
      <c r="AW311">
        <v>7.561457881194189E-2</v>
      </c>
      <c r="AX311">
        <v>0.45094039131020081</v>
      </c>
      <c r="AY311">
        <v>7.561457881194189E-2</v>
      </c>
      <c r="AZ311">
        <v>7.561457881194189E-2</v>
      </c>
      <c r="BA311">
        <v>0.45094039131020081</v>
      </c>
      <c r="BB311">
        <v>0.17538940077990281</v>
      </c>
      <c r="BC311">
        <v>-0.2735538208849102</v>
      </c>
      <c r="BD311">
        <v>0.1007379211314559</v>
      </c>
      <c r="BE311">
        <v>0.6509646190872671</v>
      </c>
      <c r="BF311">
        <v>0.1007379211314559</v>
      </c>
      <c r="BG311">
        <v>0.1007379211314559</v>
      </c>
      <c r="BH311">
        <v>0.6509646190872671</v>
      </c>
      <c r="BI311">
        <v>0.13705497496116051</v>
      </c>
      <c r="BJ311">
        <v>0.52513378423672474</v>
      </c>
      <c r="BK311">
        <v>5.6118506476727177E-2</v>
      </c>
      <c r="BL311">
        <v>0.77470194688643579</v>
      </c>
      <c r="BM311">
        <v>5.6118506476727177E-2</v>
      </c>
      <c r="BN311">
        <v>5.6118506476727177E-2</v>
      </c>
      <c r="BO311">
        <v>0.77470194688643579</v>
      </c>
      <c r="BP311">
        <v>0.14158587826337349</v>
      </c>
      <c r="BQ311">
        <v>0.43157748265554863</v>
      </c>
      <c r="BR311">
        <v>102.3633699406802</v>
      </c>
      <c r="BS311">
        <v>0.70865580457109245</v>
      </c>
      <c r="BT311">
        <v>102.3633699406802</v>
      </c>
      <c r="BU311">
        <v>102.3633699406802</v>
      </c>
      <c r="BV311">
        <v>0.70865580457109245</v>
      </c>
      <c r="BW311">
        <v>337.92591362643009</v>
      </c>
      <c r="BX311">
        <v>3.8203280361673093E-2</v>
      </c>
      <c r="BY311" t="str">
        <f t="shared" si="12"/>
        <v>[[sv,wv],[yr],[ya]]</v>
      </c>
      <c r="BZ311" t="str">
        <f>SUBSTITUTE(TRIM(MID(SUBSTITUTE(SUBSTITUTE(SUBSTITUTE(Tabla1[[#This Row],[map]],"[",""),"]",""),",",REPT(" ",100)),901,200))," ",", ")</f>
        <v>2, 4</v>
      </c>
      <c r="CA311" t="str">
        <f>SUBSTITUTE(TRIM(MID(SUBSTITUTE(SUBSTITUTE(SUBSTITUTE(Tabla1[[#This Row],[map]],"[",""),"]",""),",",REPT(" ",100)),1501,200))," ",", ")</f>
        <v>3, 2</v>
      </c>
      <c r="CB311" t="str">
        <f>SUBSTITUTE(TRIM(MID(SUBSTITUTE(SUBSTITUTE(SUBSTITUTE(Tabla1[[#This Row],[map]],"[",""),"]",""),",",REPT(" ",100)),601,300))," ",", ")</f>
        <v>0, 1, 3</v>
      </c>
      <c r="CC311" t="str">
        <f>SUBSTITUTE(TRIM(MID(SUBSTITUTE(SUBSTITUTE(SUBSTITUTE(Tabla1[[#This Row],[map]],"[",""),"]",""),",",REPT(" ",100)),1201,300))," ",", ")</f>
        <v>0, 1, 4</v>
      </c>
      <c r="CD311" t="str">
        <f>SUBSTITUTE(TRIM(MID(SUBSTITUTE(SUBSTITUTE(SUBSTITUTE(Tabla1[[#This Row],[map]],"[",""),"]",""),",",REPT(" ",100)),1,300))," ",", ")</f>
        <v>4, 2, 3</v>
      </c>
      <c r="CE311" t="str">
        <f>SUBSTITUTE(TRIM(MID(SUBSTITUTE(SUBSTITUTE(SUBSTITUTE(Tabla1[[#This Row],[map]],"[",""),"]",""),",",REPT(" ",100)),1,600))," ",", ")</f>
        <v>4, 2, 3, 0, 1, -1</v>
      </c>
      <c r="CF311" t="str">
        <f>SUBSTITUTE(TRIM(MID(SUBSTITUTE(SUBSTITUTE(SUBSTITUTE(Tabla1[[#This Row],[map]],"[",""),"]",""),",",REPT(" ",100)),601,600))," ",", ")</f>
        <v>0, 1, 3, 2, 4, -1</v>
      </c>
      <c r="CG311" t="str">
        <f>SUBSTITUTE(TRIM(MID(SUBSTITUTE(SUBSTITUTE(SUBSTITUTE(Tabla1[[#This Row],[map]],"[",""),"]",""),",",REPT(" ",100)),1201,600))," ",", ")</f>
        <v>0, 1, 4, 3, 2, -1</v>
      </c>
    </row>
    <row r="312" spans="1:85" x14ac:dyDescent="0.3">
      <c r="A312" s="1">
        <v>46108.589895833327</v>
      </c>
      <c r="B312" t="s">
        <v>550</v>
      </c>
      <c r="C312">
        <v>2</v>
      </c>
      <c r="D312" t="s">
        <v>96</v>
      </c>
      <c r="E312" t="s">
        <v>78</v>
      </c>
      <c r="F312">
        <v>16590</v>
      </c>
      <c r="G312">
        <v>4.5</v>
      </c>
      <c r="H312" t="s">
        <v>79</v>
      </c>
      <c r="I312" t="s">
        <v>80</v>
      </c>
      <c r="J312">
        <v>5</v>
      </c>
      <c r="K312">
        <v>5</v>
      </c>
      <c r="L312" t="s">
        <v>81</v>
      </c>
      <c r="M312" t="s">
        <v>82</v>
      </c>
      <c r="N312" t="s">
        <v>83</v>
      </c>
      <c r="O312" t="s">
        <v>83</v>
      </c>
      <c r="P312" t="s">
        <v>84</v>
      </c>
      <c r="Q312" t="s">
        <v>493</v>
      </c>
      <c r="R312">
        <v>3</v>
      </c>
      <c r="S312" t="s">
        <v>86</v>
      </c>
      <c r="T312" t="s">
        <v>87</v>
      </c>
      <c r="U312" t="s">
        <v>88</v>
      </c>
      <c r="V312">
        <v>1</v>
      </c>
      <c r="W312" t="s">
        <v>494</v>
      </c>
      <c r="X312" t="s">
        <v>83</v>
      </c>
      <c r="Y312" t="s">
        <v>90</v>
      </c>
      <c r="Z312">
        <v>4000</v>
      </c>
      <c r="AA312">
        <v>4000</v>
      </c>
      <c r="AC312">
        <v>256</v>
      </c>
      <c r="AD312" t="s">
        <v>91</v>
      </c>
      <c r="AE312">
        <v>0.15</v>
      </c>
      <c r="AF312" t="s">
        <v>92</v>
      </c>
      <c r="AG312">
        <v>180</v>
      </c>
      <c r="AH312">
        <v>60</v>
      </c>
      <c r="AI312">
        <v>120</v>
      </c>
      <c r="AJ312">
        <v>0.1004747542244875</v>
      </c>
      <c r="AK312">
        <v>19.850874694018369</v>
      </c>
      <c r="AL312">
        <v>0.72883365554026736</v>
      </c>
      <c r="AM312">
        <v>0.1593804107976243</v>
      </c>
      <c r="AN312">
        <v>28.54099323736564</v>
      </c>
      <c r="AO312">
        <v>0.68152883853328405</v>
      </c>
      <c r="AP312">
        <v>28.54099323736564</v>
      </c>
      <c r="AQ312">
        <v>28.54099323736564</v>
      </c>
      <c r="AR312">
        <v>0.68152883853328405</v>
      </c>
      <c r="AS312">
        <v>97.901808580050982</v>
      </c>
      <c r="AT312">
        <v>7.3692912281002582E-2</v>
      </c>
      <c r="AU312">
        <v>0.8</v>
      </c>
      <c r="AV312" t="s">
        <v>93</v>
      </c>
      <c r="AW312">
        <v>7.0667908749677696E-2</v>
      </c>
      <c r="AX312">
        <v>0.48685961180151938</v>
      </c>
      <c r="AY312">
        <v>7.0667908749677696E-2</v>
      </c>
      <c r="AZ312">
        <v>7.0667908749677696E-2</v>
      </c>
      <c r="BA312">
        <v>0.48685961180151938</v>
      </c>
      <c r="BB312">
        <v>0.137445086154937</v>
      </c>
      <c r="BC312">
        <v>1.970963717818242E-3</v>
      </c>
      <c r="BD312">
        <v>9.8621284778142998E-2</v>
      </c>
      <c r="BE312">
        <v>0.65829831197604782</v>
      </c>
      <c r="BF312">
        <v>9.8621284778142998E-2</v>
      </c>
      <c r="BG312">
        <v>9.8621284778142998E-2</v>
      </c>
      <c r="BH312">
        <v>0.65829831197604782</v>
      </c>
      <c r="BI312">
        <v>0.16225918288310759</v>
      </c>
      <c r="BJ312">
        <v>0.43780658695258762</v>
      </c>
      <c r="BK312">
        <v>2.357862306714752E-2</v>
      </c>
      <c r="BL312">
        <v>0.90533928634879235</v>
      </c>
      <c r="BM312">
        <v>2.357862306714752E-2</v>
      </c>
      <c r="BN312">
        <v>2.357862306714752E-2</v>
      </c>
      <c r="BO312">
        <v>0.90533928634879235</v>
      </c>
      <c r="BP312">
        <v>0.25705818988516521</v>
      </c>
      <c r="BQ312">
        <v>-3.2007324393822367E-2</v>
      </c>
      <c r="BR312">
        <v>113.97110513286719</v>
      </c>
      <c r="BS312">
        <v>0.67561814400677833</v>
      </c>
      <c r="BT312">
        <v>113.97110513286719</v>
      </c>
      <c r="BU312">
        <v>113.97110513286719</v>
      </c>
      <c r="BV312">
        <v>0.67561814400677833</v>
      </c>
      <c r="BW312">
        <v>391.05047186128093</v>
      </c>
      <c r="BX312">
        <v>-0.1129985771525726</v>
      </c>
      <c r="BY312" t="str">
        <f t="shared" si="12"/>
        <v>[[sv,wv],[yr],[ya]]</v>
      </c>
      <c r="BZ312" t="str">
        <f>SUBSTITUTE(TRIM(MID(SUBSTITUTE(SUBSTITUTE(SUBSTITUTE(Tabla1[[#This Row],[map]],"[",""),"]",""),",",REPT(" ",100)),901,200))," ",", ")</f>
        <v>2, 3</v>
      </c>
      <c r="CA312" t="str">
        <f>SUBSTITUTE(TRIM(MID(SUBSTITUTE(SUBSTITUTE(SUBSTITUTE(Tabla1[[#This Row],[map]],"[",""),"]",""),",",REPT(" ",100)),1501,200))," ",", ")</f>
        <v>3, 4</v>
      </c>
      <c r="CB312" t="str">
        <f>SUBSTITUTE(TRIM(MID(SUBSTITUTE(SUBSTITUTE(SUBSTITUTE(Tabla1[[#This Row],[map]],"[",""),"]",""),",",REPT(" ",100)),601,300))," ",", ")</f>
        <v>1, 4, 0</v>
      </c>
      <c r="CC312" t="str">
        <f>SUBSTITUTE(TRIM(MID(SUBSTITUTE(SUBSTITUTE(SUBSTITUTE(Tabla1[[#This Row],[map]],"[",""),"]",""),",",REPT(" ",100)),1201,300))," ",", ")</f>
        <v>1, 2, 0</v>
      </c>
      <c r="CD312" t="str">
        <f>SUBSTITUTE(TRIM(MID(SUBSTITUTE(SUBSTITUTE(SUBSTITUTE(Tabla1[[#This Row],[map]],"[",""),"]",""),",",REPT(" ",100)),1,300))," ",", ")</f>
        <v>4, 2, 3</v>
      </c>
      <c r="CE312" t="str">
        <f>SUBSTITUTE(TRIM(MID(SUBSTITUTE(SUBSTITUTE(SUBSTITUTE(Tabla1[[#This Row],[map]],"[",""),"]",""),",",REPT(" ",100)),1,600))," ",", ")</f>
        <v>4, 2, 3, 0, 1, -1</v>
      </c>
      <c r="CF312" t="str">
        <f>SUBSTITUTE(TRIM(MID(SUBSTITUTE(SUBSTITUTE(SUBSTITUTE(Tabla1[[#This Row],[map]],"[",""),"]",""),",",REPT(" ",100)),601,600))," ",", ")</f>
        <v>1, 4, 0, 2, 3, -1</v>
      </c>
      <c r="CG312" t="str">
        <f>SUBSTITUTE(TRIM(MID(SUBSTITUTE(SUBSTITUTE(SUBSTITUTE(Tabla1[[#This Row],[map]],"[",""),"]",""),",",REPT(" ",100)),1201,600))," ",", ")</f>
        <v>1, 2, 0, 3, 4, -1</v>
      </c>
    </row>
    <row r="313" spans="1:85" x14ac:dyDescent="0.3">
      <c r="A313" s="1">
        <v>46108.608599537038</v>
      </c>
      <c r="B313" t="s">
        <v>551</v>
      </c>
      <c r="C313">
        <v>4</v>
      </c>
      <c r="D313" t="s">
        <v>77</v>
      </c>
      <c r="E313" t="s">
        <v>78</v>
      </c>
      <c r="F313">
        <v>16590</v>
      </c>
      <c r="G313">
        <v>4.5</v>
      </c>
      <c r="H313" t="s">
        <v>79</v>
      </c>
      <c r="I313" t="s">
        <v>80</v>
      </c>
      <c r="J313">
        <v>5</v>
      </c>
      <c r="K313">
        <v>5</v>
      </c>
      <c r="L313" t="s">
        <v>81</v>
      </c>
      <c r="M313" t="s">
        <v>82</v>
      </c>
      <c r="N313" t="s">
        <v>83</v>
      </c>
      <c r="O313" t="s">
        <v>83</v>
      </c>
      <c r="P313" t="s">
        <v>84</v>
      </c>
      <c r="Q313" t="s">
        <v>201</v>
      </c>
      <c r="R313">
        <v>3</v>
      </c>
      <c r="S313" t="s">
        <v>86</v>
      </c>
      <c r="T313" t="s">
        <v>87</v>
      </c>
      <c r="U313" t="s">
        <v>88</v>
      </c>
      <c r="V313">
        <v>1</v>
      </c>
      <c r="W313" t="s">
        <v>202</v>
      </c>
      <c r="X313" t="s">
        <v>83</v>
      </c>
      <c r="Y313" t="s">
        <v>90</v>
      </c>
      <c r="Z313">
        <v>4000</v>
      </c>
      <c r="AA313">
        <v>4000</v>
      </c>
      <c r="AC313">
        <v>256</v>
      </c>
      <c r="AD313" t="s">
        <v>91</v>
      </c>
      <c r="AE313">
        <v>0.15</v>
      </c>
      <c r="AF313" t="s">
        <v>92</v>
      </c>
      <c r="AG313">
        <v>180</v>
      </c>
      <c r="AH313">
        <v>60</v>
      </c>
      <c r="AI313">
        <v>120</v>
      </c>
      <c r="AJ313">
        <v>0.108652021984363</v>
      </c>
      <c r="AK313">
        <v>17.71631084448865</v>
      </c>
      <c r="AL313">
        <v>0.70196893851387887</v>
      </c>
      <c r="AM313">
        <v>0.27511077249560428</v>
      </c>
      <c r="AN313">
        <v>22.894100240307651</v>
      </c>
      <c r="AO313">
        <v>0.63278424411909739</v>
      </c>
      <c r="AP313">
        <v>22.894100240307651</v>
      </c>
      <c r="AQ313">
        <v>22.894100240307651</v>
      </c>
      <c r="AR313">
        <v>0.63278424411909739</v>
      </c>
      <c r="AS313">
        <v>74.973268175940518</v>
      </c>
      <c r="AT313">
        <v>0.26491841248965242</v>
      </c>
      <c r="AU313">
        <v>0.8</v>
      </c>
      <c r="AV313" t="s">
        <v>93</v>
      </c>
      <c r="AW313">
        <v>7.9673442220780391E-2</v>
      </c>
      <c r="AX313">
        <v>0.42146779501994353</v>
      </c>
      <c r="AY313">
        <v>7.9673442220780391E-2</v>
      </c>
      <c r="AZ313">
        <v>7.9673442220780391E-2</v>
      </c>
      <c r="BA313">
        <v>0.42146779501994353</v>
      </c>
      <c r="BB313">
        <v>0.1465766995723401</v>
      </c>
      <c r="BC313">
        <v>-6.4336356490040991E-2</v>
      </c>
      <c r="BD313">
        <v>7.3268884871680498E-2</v>
      </c>
      <c r="BE313">
        <v>0.74613896283538905</v>
      </c>
      <c r="BF313">
        <v>7.3268884871680498E-2</v>
      </c>
      <c r="BG313">
        <v>7.3268884871680498E-2</v>
      </c>
      <c r="BH313">
        <v>0.74613896283538905</v>
      </c>
      <c r="BI313">
        <v>0.11806961449729581</v>
      </c>
      <c r="BJ313">
        <v>0.59091400331255206</v>
      </c>
      <c r="BK313">
        <v>9.3788070919126443E-2</v>
      </c>
      <c r="BL313">
        <v>0.62347056060519046</v>
      </c>
      <c r="BM313">
        <v>9.3788070919126443E-2</v>
      </c>
      <c r="BN313">
        <v>9.3788070919126443E-2</v>
      </c>
      <c r="BO313">
        <v>0.62347056060519046</v>
      </c>
      <c r="BP313">
        <v>0.15307416455155529</v>
      </c>
      <c r="BQ313">
        <v>0.38545564697533508</v>
      </c>
      <c r="BR313">
        <v>91.329670563219054</v>
      </c>
      <c r="BS313">
        <v>0.74005965801587192</v>
      </c>
      <c r="BT313">
        <v>91.329670563219054</v>
      </c>
      <c r="BU313">
        <v>91.329670563219054</v>
      </c>
      <c r="BV313">
        <v>0.74005965801587192</v>
      </c>
      <c r="BW313">
        <v>299.47535222514131</v>
      </c>
      <c r="BX313">
        <v>0.14764035616076099</v>
      </c>
      <c r="BY313" t="str">
        <f t="shared" si="12"/>
        <v>[[sv,wv],[yr],[ya]]</v>
      </c>
      <c r="BZ313" t="str">
        <f>SUBSTITUTE(TRIM(MID(SUBSTITUTE(SUBSTITUTE(SUBSTITUTE(Tabla1[[#This Row],[map]],"[",""),"]",""),",",REPT(" ",100)),901,200))," ",", ")</f>
        <v>2, 4</v>
      </c>
      <c r="CA313" t="str">
        <f>SUBSTITUTE(TRIM(MID(SUBSTITUTE(SUBSTITUTE(SUBSTITUTE(Tabla1[[#This Row],[map]],"[",""),"]",""),",",REPT(" ",100)),1501,200))," ",", ")</f>
        <v>3, 2</v>
      </c>
      <c r="CB313" t="str">
        <f>SUBSTITUTE(TRIM(MID(SUBSTITUTE(SUBSTITUTE(SUBSTITUTE(Tabla1[[#This Row],[map]],"[",""),"]",""),",",REPT(" ",100)),601,300))," ",", ")</f>
        <v>0, 1, 3</v>
      </c>
      <c r="CC313" t="str">
        <f>SUBSTITUTE(TRIM(MID(SUBSTITUTE(SUBSTITUTE(SUBSTITUTE(Tabla1[[#This Row],[map]],"[",""),"]",""),",",REPT(" ",100)),1201,300))," ",", ")</f>
        <v>0, 1, 4</v>
      </c>
      <c r="CD313" t="str">
        <f>SUBSTITUTE(TRIM(MID(SUBSTITUTE(SUBSTITUTE(SUBSTITUTE(Tabla1[[#This Row],[map]],"[",""),"]",""),",",REPT(" ",100)),1,300))," ",", ")</f>
        <v>4, 2, 3</v>
      </c>
      <c r="CE313" t="str">
        <f>SUBSTITUTE(TRIM(MID(SUBSTITUTE(SUBSTITUTE(SUBSTITUTE(Tabla1[[#This Row],[map]],"[",""),"]",""),",",REPT(" ",100)),1,600))," ",", ")</f>
        <v>4, 2, 3, 0, 1, -1</v>
      </c>
      <c r="CF313" t="str">
        <f>SUBSTITUTE(TRIM(MID(SUBSTITUTE(SUBSTITUTE(SUBSTITUTE(Tabla1[[#This Row],[map]],"[",""),"]",""),",",REPT(" ",100)),601,600))," ",", ")</f>
        <v>0, 1, 3, 2, 4, -1</v>
      </c>
      <c r="CG313" t="str">
        <f>SUBSTITUTE(TRIM(MID(SUBSTITUTE(SUBSTITUTE(SUBSTITUTE(Tabla1[[#This Row],[map]],"[",""),"]",""),",",REPT(" ",100)),1201,600))," ",", ")</f>
        <v>0, 1, 4, 3, 2, -1</v>
      </c>
    </row>
    <row r="314" spans="1:85" x14ac:dyDescent="0.3">
      <c r="A314" s="1">
        <v>46108.725347222222</v>
      </c>
      <c r="B314" t="s">
        <v>552</v>
      </c>
      <c r="C314">
        <v>3</v>
      </c>
      <c r="D314" t="s">
        <v>96</v>
      </c>
      <c r="E314" t="s">
        <v>78</v>
      </c>
      <c r="F314">
        <v>16590</v>
      </c>
      <c r="G314">
        <v>4.5</v>
      </c>
      <c r="H314" t="s">
        <v>79</v>
      </c>
      <c r="I314" t="s">
        <v>80</v>
      </c>
      <c r="J314">
        <v>5</v>
      </c>
      <c r="K314">
        <v>5</v>
      </c>
      <c r="L314" t="s">
        <v>81</v>
      </c>
      <c r="M314" t="s">
        <v>82</v>
      </c>
      <c r="N314" t="s">
        <v>83</v>
      </c>
      <c r="O314" t="s">
        <v>83</v>
      </c>
      <c r="P314" t="s">
        <v>84</v>
      </c>
      <c r="Q314" t="s">
        <v>501</v>
      </c>
      <c r="R314">
        <v>3</v>
      </c>
      <c r="S314" t="s">
        <v>86</v>
      </c>
      <c r="T314" t="s">
        <v>87</v>
      </c>
      <c r="U314" t="s">
        <v>88</v>
      </c>
      <c r="V314">
        <v>1</v>
      </c>
      <c r="W314" t="s">
        <v>502</v>
      </c>
      <c r="X314" t="s">
        <v>83</v>
      </c>
      <c r="Y314" t="s">
        <v>90</v>
      </c>
      <c r="Z314">
        <v>4000</v>
      </c>
      <c r="AA314">
        <v>4000</v>
      </c>
      <c r="AC314">
        <v>256</v>
      </c>
      <c r="AD314" t="s">
        <v>91</v>
      </c>
      <c r="AE314">
        <v>0.15</v>
      </c>
      <c r="AF314" t="s">
        <v>92</v>
      </c>
      <c r="AG314">
        <v>180</v>
      </c>
      <c r="AH314">
        <v>60</v>
      </c>
      <c r="AI314">
        <v>120</v>
      </c>
      <c r="AJ314">
        <v>0.10210573454098081</v>
      </c>
      <c r="AK314">
        <v>18.25475967298118</v>
      </c>
      <c r="AL314">
        <v>0.70865185052471957</v>
      </c>
      <c r="AM314">
        <v>0.24029808966343361</v>
      </c>
      <c r="AN314">
        <v>23.1746562869745</v>
      </c>
      <c r="AO314">
        <v>0.66030633561170937</v>
      </c>
      <c r="AP314">
        <v>23.1746562869745</v>
      </c>
      <c r="AQ314">
        <v>23.1746562869745</v>
      </c>
      <c r="AR314">
        <v>0.66030633561170937</v>
      </c>
      <c r="AS314">
        <v>81.789942040375365</v>
      </c>
      <c r="AT314">
        <v>0.23747065925287941</v>
      </c>
      <c r="AU314">
        <v>0.8</v>
      </c>
      <c r="AV314" t="s">
        <v>93</v>
      </c>
      <c r="AW314">
        <v>7.8353646889915737E-2</v>
      </c>
      <c r="AX314">
        <v>0.43105121556265941</v>
      </c>
      <c r="AY314">
        <v>7.8353646889915737E-2</v>
      </c>
      <c r="AZ314">
        <v>7.8353646889915737E-2</v>
      </c>
      <c r="BA314">
        <v>0.43105121556265941</v>
      </c>
      <c r="BB314">
        <v>0.1076486041805077</v>
      </c>
      <c r="BC314">
        <v>0.21833194846787859</v>
      </c>
      <c r="BD314">
        <v>8.2745688728212044E-2</v>
      </c>
      <c r="BE314">
        <v>0.71330386154733105</v>
      </c>
      <c r="BF314">
        <v>8.2745688728212044E-2</v>
      </c>
      <c r="BG314">
        <v>8.2745688728212044E-2</v>
      </c>
      <c r="BH314">
        <v>0.71330386154733105</v>
      </c>
      <c r="BI314">
        <v>0.14840328543545039</v>
      </c>
      <c r="BJ314">
        <v>0.48581431223828092</v>
      </c>
      <c r="BK314">
        <v>5.9761050245976527E-2</v>
      </c>
      <c r="BL314">
        <v>0.76007828579643233</v>
      </c>
      <c r="BM314">
        <v>5.9761050245976527E-2</v>
      </c>
      <c r="BN314">
        <v>5.9761050245976527E-2</v>
      </c>
      <c r="BO314">
        <v>0.76007828579643233</v>
      </c>
      <c r="BP314">
        <v>0.20535179110231741</v>
      </c>
      <c r="BQ314">
        <v>0.175577511886884</v>
      </c>
      <c r="BR314">
        <v>92.477764762033985</v>
      </c>
      <c r="BS314">
        <v>0.73679197954041564</v>
      </c>
      <c r="BT314">
        <v>92.477764762033985</v>
      </c>
      <c r="BU314">
        <v>92.477764762033985</v>
      </c>
      <c r="BV314">
        <v>0.73679197954041564</v>
      </c>
      <c r="BW314">
        <v>326.69836448078303</v>
      </c>
      <c r="BX314">
        <v>7.0158864418476519E-2</v>
      </c>
      <c r="BY314" t="str">
        <f t="shared" si="12"/>
        <v>[[sv,wv],[yr],[ya]]</v>
      </c>
      <c r="BZ314" t="str">
        <f>SUBSTITUTE(TRIM(MID(SUBSTITUTE(SUBSTITUTE(SUBSTITUTE(Tabla1[[#This Row],[map]],"[",""),"]",""),",",REPT(" ",100)),901,200))," ",", ")</f>
        <v>2, 4</v>
      </c>
      <c r="CA314" t="str">
        <f>SUBSTITUTE(TRIM(MID(SUBSTITUTE(SUBSTITUTE(SUBSTITUTE(Tabla1[[#This Row],[map]],"[",""),"]",""),",",REPT(" ",100)),1501,200))," ",", ")</f>
        <v>3, 2</v>
      </c>
      <c r="CB314" t="str">
        <f>SUBSTITUTE(TRIM(MID(SUBSTITUTE(SUBSTITUTE(SUBSTITUTE(Tabla1[[#This Row],[map]],"[",""),"]",""),",",REPT(" ",100)),601,300))," ",", ")</f>
        <v>0, 1, 3</v>
      </c>
      <c r="CC314" t="str">
        <f>SUBSTITUTE(TRIM(MID(SUBSTITUTE(SUBSTITUTE(SUBSTITUTE(Tabla1[[#This Row],[map]],"[",""),"]",""),",",REPT(" ",100)),1201,300))," ",", ")</f>
        <v>1, 4, 0</v>
      </c>
      <c r="CD314" t="str">
        <f>SUBSTITUTE(TRIM(MID(SUBSTITUTE(SUBSTITUTE(SUBSTITUTE(Tabla1[[#This Row],[map]],"[",""),"]",""),",",REPT(" ",100)),1,300))," ",", ")</f>
        <v>4, 2, 3</v>
      </c>
      <c r="CE314" t="str">
        <f>SUBSTITUTE(TRIM(MID(SUBSTITUTE(SUBSTITUTE(SUBSTITUTE(Tabla1[[#This Row],[map]],"[",""),"]",""),",",REPT(" ",100)),1,600))," ",", ")</f>
        <v>4, 2, 3, 0, 1, -1</v>
      </c>
      <c r="CF314" t="str">
        <f>SUBSTITUTE(TRIM(MID(SUBSTITUTE(SUBSTITUTE(SUBSTITUTE(Tabla1[[#This Row],[map]],"[",""),"]",""),",",REPT(" ",100)),601,600))," ",", ")</f>
        <v>0, 1, 3, 2, 4, -1</v>
      </c>
      <c r="CG314" t="str">
        <f>SUBSTITUTE(TRIM(MID(SUBSTITUTE(SUBSTITUTE(SUBSTITUTE(Tabla1[[#This Row],[map]],"[",""),"]",""),",",REPT(" ",100)),1201,600))," ",", ")</f>
        <v>1, 4, 0, 3, 2, -1</v>
      </c>
    </row>
    <row r="315" spans="1:85" x14ac:dyDescent="0.3">
      <c r="A315" s="1">
        <v>46108.730497685188</v>
      </c>
      <c r="B315" t="s">
        <v>553</v>
      </c>
      <c r="C315">
        <v>6</v>
      </c>
      <c r="D315" t="s">
        <v>96</v>
      </c>
      <c r="E315" t="s">
        <v>78</v>
      </c>
      <c r="F315">
        <v>16590</v>
      </c>
      <c r="G315">
        <v>4.5</v>
      </c>
      <c r="H315" t="s">
        <v>79</v>
      </c>
      <c r="I315" t="s">
        <v>80</v>
      </c>
      <c r="J315">
        <v>5</v>
      </c>
      <c r="K315">
        <v>5</v>
      </c>
      <c r="L315" t="s">
        <v>81</v>
      </c>
      <c r="M315" t="s">
        <v>82</v>
      </c>
      <c r="N315" t="s">
        <v>83</v>
      </c>
      <c r="O315" t="s">
        <v>83</v>
      </c>
      <c r="P315" t="s">
        <v>84</v>
      </c>
      <c r="Q315" t="s">
        <v>390</v>
      </c>
      <c r="R315">
        <v>3</v>
      </c>
      <c r="S315" t="s">
        <v>86</v>
      </c>
      <c r="T315" t="s">
        <v>87</v>
      </c>
      <c r="U315" t="s">
        <v>88</v>
      </c>
      <c r="V315">
        <v>1</v>
      </c>
      <c r="W315" t="s">
        <v>391</v>
      </c>
      <c r="X315" t="s">
        <v>83</v>
      </c>
      <c r="Y315" t="s">
        <v>90</v>
      </c>
      <c r="Z315">
        <v>4000</v>
      </c>
      <c r="AA315">
        <v>4000</v>
      </c>
      <c r="AC315">
        <v>256</v>
      </c>
      <c r="AD315" t="s">
        <v>91</v>
      </c>
      <c r="AE315">
        <v>0.15</v>
      </c>
      <c r="AF315" t="s">
        <v>92</v>
      </c>
      <c r="AG315">
        <v>180</v>
      </c>
      <c r="AH315">
        <v>60</v>
      </c>
      <c r="AI315">
        <v>120</v>
      </c>
      <c r="AJ315">
        <v>0.1217347159268706</v>
      </c>
      <c r="AK315">
        <v>11.728823481666531</v>
      </c>
      <c r="AL315">
        <v>0.72383823645152545</v>
      </c>
      <c r="AM315">
        <v>-0.53840928441757407</v>
      </c>
      <c r="AN315">
        <v>15.86631871978234</v>
      </c>
      <c r="AO315">
        <v>0.66003259284426252</v>
      </c>
      <c r="AP315">
        <v>15.86631871978234</v>
      </c>
      <c r="AQ315">
        <v>15.86631871978234</v>
      </c>
      <c r="AR315">
        <v>0.66003259284426252</v>
      </c>
      <c r="AS315">
        <v>169.5952667965941</v>
      </c>
      <c r="AT315">
        <v>-0.38764311512821981</v>
      </c>
      <c r="AU315">
        <v>0.8</v>
      </c>
      <c r="AV315" t="s">
        <v>93</v>
      </c>
      <c r="AW315">
        <v>6.6579910369788498E-2</v>
      </c>
      <c r="AX315">
        <v>0.51654376565191429</v>
      </c>
      <c r="AY315">
        <v>6.6579910369788498E-2</v>
      </c>
      <c r="AZ315">
        <v>6.6579910369788498E-2</v>
      </c>
      <c r="BA315">
        <v>0.51654376565191429</v>
      </c>
      <c r="BB315">
        <v>0.17814640090905601</v>
      </c>
      <c r="BC315">
        <v>-0.29357320650941299</v>
      </c>
      <c r="BD315">
        <v>6.9171579606897807E-2</v>
      </c>
      <c r="BE315">
        <v>0.76033525046716366</v>
      </c>
      <c r="BF315">
        <v>6.9171579606897807E-2</v>
      </c>
      <c r="BG315">
        <v>6.9171579606897807E-2</v>
      </c>
      <c r="BH315">
        <v>0.76033525046716366</v>
      </c>
      <c r="BI315">
        <v>0.31115602967037209</v>
      </c>
      <c r="BJ315">
        <v>-7.8089185477341339E-2</v>
      </c>
      <c r="BK315">
        <v>0.1137886704007139</v>
      </c>
      <c r="BL315">
        <v>0.54317447991433088</v>
      </c>
      <c r="BM315">
        <v>0.1137886704007139</v>
      </c>
      <c r="BN315">
        <v>0.1137886704007139</v>
      </c>
      <c r="BO315">
        <v>0.54317447991433088</v>
      </c>
      <c r="BP315">
        <v>0.3114559352720791</v>
      </c>
      <c r="BQ315">
        <v>-0.2503970660117969</v>
      </c>
      <c r="BR315">
        <v>63.215734718751747</v>
      </c>
      <c r="BS315">
        <v>0.82007687534364115</v>
      </c>
      <c r="BT315">
        <v>63.215734718751747</v>
      </c>
      <c r="BU315">
        <v>63.215734718751747</v>
      </c>
      <c r="BV315">
        <v>0.82007687534364115</v>
      </c>
      <c r="BW315">
        <v>677.58030882052253</v>
      </c>
      <c r="BX315">
        <v>-0.92851300251432467</v>
      </c>
      <c r="BY315" t="str">
        <f t="shared" si="12"/>
        <v>[[sv,wv],[yr],[ya]]</v>
      </c>
      <c r="BZ315" t="str">
        <f>SUBSTITUTE(TRIM(MID(SUBSTITUTE(SUBSTITUTE(SUBSTITUTE(Tabla1[[#This Row],[map]],"[",""),"]",""),",",REPT(" ",100)),901,200))," ",", ")</f>
        <v>2, 3</v>
      </c>
      <c r="CA315" t="str">
        <f>SUBSTITUTE(TRIM(MID(SUBSTITUTE(SUBSTITUTE(SUBSTITUTE(Tabla1[[#This Row],[map]],"[",""),"]",""),",",REPT(" ",100)),1501,200))," ",", ")</f>
        <v>3, 2</v>
      </c>
      <c r="CB315" t="str">
        <f>SUBSTITUTE(TRIM(MID(SUBSTITUTE(SUBSTITUTE(SUBSTITUTE(Tabla1[[#This Row],[map]],"[",""),"]",""),",",REPT(" ",100)),601,300))," ",", ")</f>
        <v>0, 1, 4</v>
      </c>
      <c r="CC315" t="str">
        <f>SUBSTITUTE(TRIM(MID(SUBSTITUTE(SUBSTITUTE(SUBSTITUTE(Tabla1[[#This Row],[map]],"[",""),"]",""),",",REPT(" ",100)),1201,300))," ",", ")</f>
        <v>1, 4, 0</v>
      </c>
      <c r="CD315" t="str">
        <f>SUBSTITUTE(TRIM(MID(SUBSTITUTE(SUBSTITUTE(SUBSTITUTE(Tabla1[[#This Row],[map]],"[",""),"]",""),",",REPT(" ",100)),1,300))," ",", ")</f>
        <v>2, 3, 4</v>
      </c>
      <c r="CE315" t="str">
        <f>SUBSTITUTE(TRIM(MID(SUBSTITUTE(SUBSTITUTE(SUBSTITUTE(Tabla1[[#This Row],[map]],"[",""),"]",""),",",REPT(" ",100)),1,600))," ",", ")</f>
        <v>2, 3, 4, 0, 1, -1</v>
      </c>
      <c r="CF315" t="str">
        <f>SUBSTITUTE(TRIM(MID(SUBSTITUTE(SUBSTITUTE(SUBSTITUTE(Tabla1[[#This Row],[map]],"[",""),"]",""),",",REPT(" ",100)),601,600))," ",", ")</f>
        <v>0, 1, 4, 2, 3, -1</v>
      </c>
      <c r="CG315" t="str">
        <f>SUBSTITUTE(TRIM(MID(SUBSTITUTE(SUBSTITUTE(SUBSTITUTE(Tabla1[[#This Row],[map]],"[",""),"]",""),",",REPT(" ",100)),1201,600))," ",", ")</f>
        <v>1, 4, 0, 3, 2, -1</v>
      </c>
    </row>
    <row r="316" spans="1:85" x14ac:dyDescent="0.3">
      <c r="A316" s="1">
        <v>46108.739004629628</v>
      </c>
      <c r="B316" t="s">
        <v>554</v>
      </c>
      <c r="C316">
        <v>5</v>
      </c>
      <c r="D316" t="s">
        <v>77</v>
      </c>
      <c r="E316" t="s">
        <v>78</v>
      </c>
      <c r="F316">
        <v>16590</v>
      </c>
      <c r="G316">
        <v>4.5</v>
      </c>
      <c r="H316" t="s">
        <v>79</v>
      </c>
      <c r="I316" t="s">
        <v>80</v>
      </c>
      <c r="J316">
        <v>5</v>
      </c>
      <c r="K316">
        <v>5</v>
      </c>
      <c r="L316" t="s">
        <v>81</v>
      </c>
      <c r="M316" t="s">
        <v>82</v>
      </c>
      <c r="N316" t="s">
        <v>83</v>
      </c>
      <c r="O316" t="s">
        <v>83</v>
      </c>
      <c r="P316" t="s">
        <v>84</v>
      </c>
      <c r="Q316" t="s">
        <v>449</v>
      </c>
      <c r="R316">
        <v>3</v>
      </c>
      <c r="S316" t="s">
        <v>86</v>
      </c>
      <c r="T316" t="s">
        <v>87</v>
      </c>
      <c r="U316" t="s">
        <v>88</v>
      </c>
      <c r="V316">
        <v>1</v>
      </c>
      <c r="W316" t="s">
        <v>450</v>
      </c>
      <c r="X316" t="s">
        <v>83</v>
      </c>
      <c r="Y316" t="s">
        <v>90</v>
      </c>
      <c r="Z316">
        <v>4000</v>
      </c>
      <c r="AA316">
        <v>4000</v>
      </c>
      <c r="AC316">
        <v>256</v>
      </c>
      <c r="AD316" t="s">
        <v>91</v>
      </c>
      <c r="AE316">
        <v>0.15</v>
      </c>
      <c r="AF316" t="s">
        <v>92</v>
      </c>
      <c r="AG316">
        <v>180</v>
      </c>
      <c r="AH316">
        <v>60</v>
      </c>
      <c r="AI316">
        <v>120</v>
      </c>
      <c r="AJ316">
        <v>0.1231340270028078</v>
      </c>
      <c r="AK316">
        <v>20.960790851536249</v>
      </c>
      <c r="AL316">
        <v>0.6932621958312164</v>
      </c>
      <c r="AM316">
        <v>0.14939980865361011</v>
      </c>
      <c r="AN316">
        <v>26.986821737596902</v>
      </c>
      <c r="AO316">
        <v>0.6524781992286155</v>
      </c>
      <c r="AP316">
        <v>26.986821737596902</v>
      </c>
      <c r="AQ316">
        <v>26.986821737596902</v>
      </c>
      <c r="AR316">
        <v>0.6524781992286155</v>
      </c>
      <c r="AS316">
        <v>66.912222291909771</v>
      </c>
      <c r="AT316">
        <v>7.9074232460034616E-2</v>
      </c>
      <c r="AU316">
        <v>0.8</v>
      </c>
      <c r="AV316" t="s">
        <v>93</v>
      </c>
      <c r="AW316">
        <v>7.7116233481159563E-2</v>
      </c>
      <c r="AX316">
        <v>0.44003643683445809</v>
      </c>
      <c r="AY316">
        <v>7.7116233481159563E-2</v>
      </c>
      <c r="AZ316">
        <v>7.7116233481159563E-2</v>
      </c>
      <c r="BA316">
        <v>0.44003643683445809</v>
      </c>
      <c r="BB316">
        <v>0.19754071240865179</v>
      </c>
      <c r="BC316">
        <v>-0.43440098403707622</v>
      </c>
      <c r="BD316">
        <v>0.1062512038828191</v>
      </c>
      <c r="BE316">
        <v>0.63186227189180999</v>
      </c>
      <c r="BF316">
        <v>0.1062512038828191</v>
      </c>
      <c r="BG316">
        <v>0.1062512038828191</v>
      </c>
      <c r="BH316">
        <v>0.63186227189180999</v>
      </c>
      <c r="BI316">
        <v>8.7809345161270314E-2</v>
      </c>
      <c r="BJ316">
        <v>0.69575937351270734</v>
      </c>
      <c r="BK316">
        <v>3.8703162690103932E-2</v>
      </c>
      <c r="BL316">
        <v>0.84461904368331497</v>
      </c>
      <c r="BM316">
        <v>3.8703162690103932E-2</v>
      </c>
      <c r="BN316">
        <v>3.8703162690103932E-2</v>
      </c>
      <c r="BO316">
        <v>0.84461904368331497</v>
      </c>
      <c r="BP316">
        <v>0.29515096016268028</v>
      </c>
      <c r="BQ316">
        <v>-0.1849377482422461</v>
      </c>
      <c r="BR316">
        <v>107.72521635033389</v>
      </c>
      <c r="BS316">
        <v>0.69339504450487754</v>
      </c>
      <c r="BT316">
        <v>107.72521635033389</v>
      </c>
      <c r="BU316">
        <v>107.72521635033389</v>
      </c>
      <c r="BV316">
        <v>0.69339504450487754</v>
      </c>
      <c r="BW316">
        <v>267.0683881499059</v>
      </c>
      <c r="BX316">
        <v>0.23987628860675581</v>
      </c>
      <c r="BY316" t="str">
        <f t="shared" si="12"/>
        <v>[[sv,wv],[yr],[ya]]</v>
      </c>
      <c r="BZ316" t="str">
        <f>SUBSTITUTE(TRIM(MID(SUBSTITUTE(SUBSTITUTE(SUBSTITUTE(Tabla1[[#This Row],[map]],"[",""),"]",""),",",REPT(" ",100)),901,200))," ",", ")</f>
        <v>2, 4</v>
      </c>
      <c r="CA316" t="str">
        <f>SUBSTITUTE(TRIM(MID(SUBSTITUTE(SUBSTITUTE(SUBSTITUTE(Tabla1[[#This Row],[map]],"[",""),"]",""),",",REPT(" ",100)),1501,200))," ",", ")</f>
        <v>3, 2</v>
      </c>
      <c r="CB316" t="str">
        <f>SUBSTITUTE(TRIM(MID(SUBSTITUTE(SUBSTITUTE(SUBSTITUTE(Tabla1[[#This Row],[map]],"[",""),"]",""),",",REPT(" ",100)),601,300))," ",", ")</f>
        <v>1, 3, 0</v>
      </c>
      <c r="CC316" t="str">
        <f>SUBSTITUTE(TRIM(MID(SUBSTITUTE(SUBSTITUTE(SUBSTITUTE(Tabla1[[#This Row],[map]],"[",""),"]",""),",",REPT(" ",100)),1201,300))," ",", ")</f>
        <v>0, 1, 4</v>
      </c>
      <c r="CD316" t="str">
        <f>SUBSTITUTE(TRIM(MID(SUBSTITUTE(SUBSTITUTE(SUBSTITUTE(Tabla1[[#This Row],[map]],"[",""),"]",""),",",REPT(" ",100)),1,300))," ",", ")</f>
        <v>4, 2, 3</v>
      </c>
      <c r="CE316" t="str">
        <f>SUBSTITUTE(TRIM(MID(SUBSTITUTE(SUBSTITUTE(SUBSTITUTE(Tabla1[[#This Row],[map]],"[",""),"]",""),",",REPT(" ",100)),1,600))," ",", ")</f>
        <v>4, 2, 3, 0, 1, -1</v>
      </c>
      <c r="CF316" t="str">
        <f>SUBSTITUTE(TRIM(MID(SUBSTITUTE(SUBSTITUTE(SUBSTITUTE(Tabla1[[#This Row],[map]],"[",""),"]",""),",",REPT(" ",100)),601,600))," ",", ")</f>
        <v>1, 3, 0, 2, 4, -1</v>
      </c>
      <c r="CG316" t="str">
        <f>SUBSTITUTE(TRIM(MID(SUBSTITUTE(SUBSTITUTE(SUBSTITUTE(Tabla1[[#This Row],[map]],"[",""),"]",""),",",REPT(" ",100)),1201,600))," ",", ")</f>
        <v>0, 1, 4, 3, 2, -1</v>
      </c>
    </row>
    <row r="317" spans="1:85" x14ac:dyDescent="0.3">
      <c r="A317" s="1">
        <v>46108.746006944442</v>
      </c>
      <c r="B317" t="s">
        <v>555</v>
      </c>
      <c r="C317">
        <v>2</v>
      </c>
      <c r="D317" t="s">
        <v>96</v>
      </c>
      <c r="E317" t="s">
        <v>78</v>
      </c>
      <c r="F317">
        <v>16590</v>
      </c>
      <c r="G317">
        <v>4.5</v>
      </c>
      <c r="H317" t="s">
        <v>79</v>
      </c>
      <c r="I317" t="s">
        <v>80</v>
      </c>
      <c r="J317">
        <v>5</v>
      </c>
      <c r="K317">
        <v>5</v>
      </c>
      <c r="L317" t="s">
        <v>81</v>
      </c>
      <c r="M317" t="s">
        <v>82</v>
      </c>
      <c r="N317" t="s">
        <v>83</v>
      </c>
      <c r="O317" t="s">
        <v>83</v>
      </c>
      <c r="P317" t="s">
        <v>84</v>
      </c>
      <c r="Q317" t="s">
        <v>501</v>
      </c>
      <c r="R317">
        <v>3</v>
      </c>
      <c r="S317" t="s">
        <v>86</v>
      </c>
      <c r="T317" t="s">
        <v>87</v>
      </c>
      <c r="U317" t="s">
        <v>88</v>
      </c>
      <c r="V317">
        <v>1</v>
      </c>
      <c r="W317" t="s">
        <v>502</v>
      </c>
      <c r="X317" t="s">
        <v>83</v>
      </c>
      <c r="Y317" t="s">
        <v>90</v>
      </c>
      <c r="Z317">
        <v>4000</v>
      </c>
      <c r="AA317">
        <v>4000</v>
      </c>
      <c r="AC317">
        <v>256</v>
      </c>
      <c r="AD317" t="s">
        <v>91</v>
      </c>
      <c r="AE317">
        <v>0.15</v>
      </c>
      <c r="AF317" t="s">
        <v>92</v>
      </c>
      <c r="AG317">
        <v>180</v>
      </c>
      <c r="AH317">
        <v>60</v>
      </c>
      <c r="AI317">
        <v>120</v>
      </c>
      <c r="AJ317">
        <v>0.11201588029671181</v>
      </c>
      <c r="AK317">
        <v>10.52374215750932</v>
      </c>
      <c r="AL317">
        <v>0.70819270941967793</v>
      </c>
      <c r="AM317">
        <v>-0.1253019540408</v>
      </c>
      <c r="AN317">
        <v>17.54036490576873</v>
      </c>
      <c r="AO317">
        <v>0.64886535394547296</v>
      </c>
      <c r="AP317">
        <v>17.54036490576873</v>
      </c>
      <c r="AQ317">
        <v>17.54036490576873</v>
      </c>
      <c r="AR317">
        <v>0.64886535394547296</v>
      </c>
      <c r="AS317">
        <v>102.8787235516468</v>
      </c>
      <c r="AT317">
        <v>-0.11443142052775659</v>
      </c>
      <c r="AU317">
        <v>0.8</v>
      </c>
      <c r="AV317" t="s">
        <v>93</v>
      </c>
      <c r="AW317">
        <v>7.1859522582299121E-2</v>
      </c>
      <c r="AX317">
        <v>0.47820695466941149</v>
      </c>
      <c r="AY317">
        <v>7.1859522582299121E-2</v>
      </c>
      <c r="AZ317">
        <v>7.1859522582299121E-2</v>
      </c>
      <c r="BA317">
        <v>0.47820695466941149</v>
      </c>
      <c r="BB317">
        <v>0.10889773271277479</v>
      </c>
      <c r="BC317">
        <v>0.20926166025222129</v>
      </c>
      <c r="BD317">
        <v>9.9280172036082193E-2</v>
      </c>
      <c r="BE317">
        <v>0.65601540835375394</v>
      </c>
      <c r="BF317">
        <v>9.9280172036082193E-2</v>
      </c>
      <c r="BG317">
        <v>9.9280172036082193E-2</v>
      </c>
      <c r="BH317">
        <v>0.65601540835375394</v>
      </c>
      <c r="BI317">
        <v>0.38055608459276519</v>
      </c>
      <c r="BJ317">
        <v>-0.31854555318015149</v>
      </c>
      <c r="BK317">
        <v>8.4638562008116036E-2</v>
      </c>
      <c r="BL317">
        <v>0.66020294487580022</v>
      </c>
      <c r="BM317">
        <v>8.4638562008116036E-2</v>
      </c>
      <c r="BN317">
        <v>8.4638562008116036E-2</v>
      </c>
      <c r="BO317">
        <v>0.66020294487580022</v>
      </c>
      <c r="BP317">
        <v>0.29377833075509657</v>
      </c>
      <c r="BQ317">
        <v>-0.17942707533609401</v>
      </c>
      <c r="BR317">
        <v>69.905681366448334</v>
      </c>
      <c r="BS317">
        <v>0.80103610788292767</v>
      </c>
      <c r="BT317">
        <v>69.905681366448334</v>
      </c>
      <c r="BU317">
        <v>69.905681366448334</v>
      </c>
      <c r="BV317">
        <v>0.80103610788292767</v>
      </c>
      <c r="BW317">
        <v>410.73166205852749</v>
      </c>
      <c r="BX317">
        <v>-0.16901471384700709</v>
      </c>
      <c r="BY317" t="str">
        <f t="shared" si="12"/>
        <v>[[sv,wv],[yr],[ya]]</v>
      </c>
      <c r="BZ317" t="str">
        <f>SUBSTITUTE(TRIM(MID(SUBSTITUTE(SUBSTITUTE(SUBSTITUTE(Tabla1[[#This Row],[map]],"[",""),"]",""),",",REPT(" ",100)),901,200))," ",", ")</f>
        <v>2, 4</v>
      </c>
      <c r="CA317" t="str">
        <f>SUBSTITUTE(TRIM(MID(SUBSTITUTE(SUBSTITUTE(SUBSTITUTE(Tabla1[[#This Row],[map]],"[",""),"]",""),",",REPT(" ",100)),1501,200))," ",", ")</f>
        <v>3, 2</v>
      </c>
      <c r="CB317" t="str">
        <f>SUBSTITUTE(TRIM(MID(SUBSTITUTE(SUBSTITUTE(SUBSTITUTE(Tabla1[[#This Row],[map]],"[",""),"]",""),",",REPT(" ",100)),601,300))," ",", ")</f>
        <v>0, 1, 3</v>
      </c>
      <c r="CC317" t="str">
        <f>SUBSTITUTE(TRIM(MID(SUBSTITUTE(SUBSTITUTE(SUBSTITUTE(Tabla1[[#This Row],[map]],"[",""),"]",""),",",REPT(" ",100)),1201,300))," ",", ")</f>
        <v>1, 4, 0</v>
      </c>
      <c r="CD317" t="str">
        <f>SUBSTITUTE(TRIM(MID(SUBSTITUTE(SUBSTITUTE(SUBSTITUTE(Tabla1[[#This Row],[map]],"[",""),"]",""),",",REPT(" ",100)),1,300))," ",", ")</f>
        <v>4, 2, 3</v>
      </c>
      <c r="CE317" t="str">
        <f>SUBSTITUTE(TRIM(MID(SUBSTITUTE(SUBSTITUTE(SUBSTITUTE(Tabla1[[#This Row],[map]],"[",""),"]",""),",",REPT(" ",100)),1,600))," ",", ")</f>
        <v>4, 2, 3, 0, 1, -1</v>
      </c>
      <c r="CF317" t="str">
        <f>SUBSTITUTE(TRIM(MID(SUBSTITUTE(SUBSTITUTE(SUBSTITUTE(Tabla1[[#This Row],[map]],"[",""),"]",""),",",REPT(" ",100)),601,600))," ",", ")</f>
        <v>0, 1, 3, 2, 4, -1</v>
      </c>
      <c r="CG317" t="str">
        <f>SUBSTITUTE(TRIM(MID(SUBSTITUTE(SUBSTITUTE(SUBSTITUTE(Tabla1[[#This Row],[map]],"[",""),"]",""),",",REPT(" ",100)),1201,600))," ",", ")</f>
        <v>1, 4, 0, 3, 2, -1</v>
      </c>
    </row>
    <row r="318" spans="1:85" x14ac:dyDescent="0.3">
      <c r="A318" s="1">
        <v>46108.763356481482</v>
      </c>
      <c r="B318" t="s">
        <v>556</v>
      </c>
      <c r="C318">
        <v>4</v>
      </c>
      <c r="D318" t="s">
        <v>96</v>
      </c>
      <c r="E318" t="s">
        <v>78</v>
      </c>
      <c r="F318">
        <v>16590</v>
      </c>
      <c r="G318">
        <v>4.5</v>
      </c>
      <c r="H318" t="s">
        <v>79</v>
      </c>
      <c r="I318" t="s">
        <v>80</v>
      </c>
      <c r="J318">
        <v>5</v>
      </c>
      <c r="K318">
        <v>5</v>
      </c>
      <c r="L318" t="s">
        <v>81</v>
      </c>
      <c r="M318" t="s">
        <v>82</v>
      </c>
      <c r="N318" t="s">
        <v>83</v>
      </c>
      <c r="O318" t="s">
        <v>83</v>
      </c>
      <c r="P318" t="s">
        <v>84</v>
      </c>
      <c r="Q318" t="s">
        <v>449</v>
      </c>
      <c r="R318">
        <v>3</v>
      </c>
      <c r="S318" t="s">
        <v>86</v>
      </c>
      <c r="T318" t="s">
        <v>87</v>
      </c>
      <c r="U318" t="s">
        <v>88</v>
      </c>
      <c r="V318">
        <v>1</v>
      </c>
      <c r="W318" t="s">
        <v>450</v>
      </c>
      <c r="X318" t="s">
        <v>83</v>
      </c>
      <c r="Y318" t="s">
        <v>90</v>
      </c>
      <c r="Z318">
        <v>4000</v>
      </c>
      <c r="AA318">
        <v>4000</v>
      </c>
      <c r="AC318">
        <v>256</v>
      </c>
      <c r="AD318" t="s">
        <v>91</v>
      </c>
      <c r="AE318">
        <v>0.15</v>
      </c>
      <c r="AF318" t="s">
        <v>92</v>
      </c>
      <c r="AG318">
        <v>180</v>
      </c>
      <c r="AH318">
        <v>60</v>
      </c>
      <c r="AI318">
        <v>120</v>
      </c>
      <c r="AJ318">
        <v>0.1043031124486003</v>
      </c>
      <c r="AK318">
        <v>15.21580279853735</v>
      </c>
      <c r="AL318">
        <v>0.74044074522773418</v>
      </c>
      <c r="AM318">
        <v>0.26863669763967313</v>
      </c>
      <c r="AN318">
        <v>21.80467077978799</v>
      </c>
      <c r="AO318">
        <v>0.70011212974626402</v>
      </c>
      <c r="AP318">
        <v>21.80467077978799</v>
      </c>
      <c r="AQ318">
        <v>21.80467077978799</v>
      </c>
      <c r="AR318">
        <v>0.70011212974626402</v>
      </c>
      <c r="AS318">
        <v>70.879468190647231</v>
      </c>
      <c r="AT318">
        <v>0.26218292798211129</v>
      </c>
      <c r="AU318">
        <v>0.8</v>
      </c>
      <c r="AV318" t="s">
        <v>93</v>
      </c>
      <c r="AW318">
        <v>7.7676925896342869E-2</v>
      </c>
      <c r="AX318">
        <v>0.43596508494818331</v>
      </c>
      <c r="AY318">
        <v>7.7676925896342869E-2</v>
      </c>
      <c r="AZ318">
        <v>7.7676925896342869E-2</v>
      </c>
      <c r="BA318">
        <v>0.43596508494818331</v>
      </c>
      <c r="BB318">
        <v>0.10929141500805969</v>
      </c>
      <c r="BC318">
        <v>0.20640301777356929</v>
      </c>
      <c r="BD318">
        <v>7.2569499436442031E-2</v>
      </c>
      <c r="BE318">
        <v>0.74856218399234264</v>
      </c>
      <c r="BF318">
        <v>7.2569499436442031E-2</v>
      </c>
      <c r="BG318">
        <v>7.2569499436442031E-2</v>
      </c>
      <c r="BH318">
        <v>0.74856218399234264</v>
      </c>
      <c r="BI318">
        <v>0.1121127655107266</v>
      </c>
      <c r="BJ318">
        <v>0.61155321277522945</v>
      </c>
      <c r="BK318">
        <v>3.3966138955385118E-2</v>
      </c>
      <c r="BL318">
        <v>0.86363669564858048</v>
      </c>
      <c r="BM318">
        <v>3.3966138955385118E-2</v>
      </c>
      <c r="BN318">
        <v>3.3966138955385118E-2</v>
      </c>
      <c r="BO318">
        <v>0.86363669564858048</v>
      </c>
      <c r="BP318">
        <v>0.24001790311818921</v>
      </c>
      <c r="BQ318">
        <v>3.6404037100422837E-2</v>
      </c>
      <c r="BR318">
        <v>87.034470554864072</v>
      </c>
      <c r="BS318">
        <v>0.7522845543959501</v>
      </c>
      <c r="BT318">
        <v>87.034470554864072</v>
      </c>
      <c r="BU318">
        <v>87.034470554864072</v>
      </c>
      <c r="BV318">
        <v>0.7522845543959501</v>
      </c>
      <c r="BW318">
        <v>283.05645067895227</v>
      </c>
      <c r="BX318">
        <v>0.19437144427922531</v>
      </c>
      <c r="BY318" t="str">
        <f t="shared" si="12"/>
        <v>[[sv,wv],[yr],[ya]]</v>
      </c>
      <c r="BZ318" t="str">
        <f>SUBSTITUTE(TRIM(MID(SUBSTITUTE(SUBSTITUTE(SUBSTITUTE(Tabla1[[#This Row],[map]],"[",""),"]",""),",",REPT(" ",100)),901,200))," ",", ")</f>
        <v>2, 4</v>
      </c>
      <c r="CA318" t="str">
        <f>SUBSTITUTE(TRIM(MID(SUBSTITUTE(SUBSTITUTE(SUBSTITUTE(Tabla1[[#This Row],[map]],"[",""),"]",""),",",REPT(" ",100)),1501,200))," ",", ")</f>
        <v>3, 2</v>
      </c>
      <c r="CB318" t="str">
        <f>SUBSTITUTE(TRIM(MID(SUBSTITUTE(SUBSTITUTE(SUBSTITUTE(Tabla1[[#This Row],[map]],"[",""),"]",""),",",REPT(" ",100)),601,300))," ",", ")</f>
        <v>1, 3, 0</v>
      </c>
      <c r="CC318" t="str">
        <f>SUBSTITUTE(TRIM(MID(SUBSTITUTE(SUBSTITUTE(SUBSTITUTE(Tabla1[[#This Row],[map]],"[",""),"]",""),",",REPT(" ",100)),1201,300))," ",", ")</f>
        <v>0, 1, 4</v>
      </c>
      <c r="CD318" t="str">
        <f>SUBSTITUTE(TRIM(MID(SUBSTITUTE(SUBSTITUTE(SUBSTITUTE(Tabla1[[#This Row],[map]],"[",""),"]",""),",",REPT(" ",100)),1,300))," ",", ")</f>
        <v>4, 2, 3</v>
      </c>
      <c r="CE318" t="str">
        <f>SUBSTITUTE(TRIM(MID(SUBSTITUTE(SUBSTITUTE(SUBSTITUTE(Tabla1[[#This Row],[map]],"[",""),"]",""),",",REPT(" ",100)),1,600))," ",", ")</f>
        <v>4, 2, 3, 0, 1, -1</v>
      </c>
      <c r="CF318" t="str">
        <f>SUBSTITUTE(TRIM(MID(SUBSTITUTE(SUBSTITUTE(SUBSTITUTE(Tabla1[[#This Row],[map]],"[",""),"]",""),",",REPT(" ",100)),601,600))," ",", ")</f>
        <v>1, 3, 0, 2, 4, -1</v>
      </c>
      <c r="CG318" t="str">
        <f>SUBSTITUTE(TRIM(MID(SUBSTITUTE(SUBSTITUTE(SUBSTITUTE(Tabla1[[#This Row],[map]],"[",""),"]",""),",",REPT(" ",100)),1201,600))," ",", ")</f>
        <v>0, 1, 4, 3, 2, -1</v>
      </c>
    </row>
    <row r="319" spans="1:85" x14ac:dyDescent="0.3">
      <c r="A319" s="1">
        <v>46108.824189814812</v>
      </c>
      <c r="B319" t="s">
        <v>557</v>
      </c>
      <c r="C319">
        <v>7</v>
      </c>
      <c r="D319" t="s">
        <v>77</v>
      </c>
      <c r="E319" t="s">
        <v>78</v>
      </c>
      <c r="F319">
        <v>16590</v>
      </c>
      <c r="G319">
        <v>4.5</v>
      </c>
      <c r="H319" t="s">
        <v>79</v>
      </c>
      <c r="I319" t="s">
        <v>80</v>
      </c>
      <c r="J319">
        <v>5</v>
      </c>
      <c r="K319">
        <v>5</v>
      </c>
      <c r="L319" t="s">
        <v>81</v>
      </c>
      <c r="M319" t="s">
        <v>82</v>
      </c>
      <c r="N319" t="s">
        <v>83</v>
      </c>
      <c r="O319" t="s">
        <v>83</v>
      </c>
      <c r="P319" t="s">
        <v>84</v>
      </c>
      <c r="Q319" t="s">
        <v>384</v>
      </c>
      <c r="R319">
        <v>3</v>
      </c>
      <c r="S319" t="s">
        <v>86</v>
      </c>
      <c r="T319" t="s">
        <v>87</v>
      </c>
      <c r="U319" t="s">
        <v>88</v>
      </c>
      <c r="V319">
        <v>1</v>
      </c>
      <c r="W319" t="s">
        <v>385</v>
      </c>
      <c r="X319" t="s">
        <v>83</v>
      </c>
      <c r="Y319" t="s">
        <v>90</v>
      </c>
      <c r="Z319">
        <v>4000</v>
      </c>
      <c r="AA319">
        <v>4000</v>
      </c>
      <c r="AC319">
        <v>256</v>
      </c>
      <c r="AD319" t="s">
        <v>91</v>
      </c>
      <c r="AE319">
        <v>0.15</v>
      </c>
      <c r="AF319" t="s">
        <v>92</v>
      </c>
      <c r="AG319">
        <v>180</v>
      </c>
      <c r="AH319">
        <v>60</v>
      </c>
      <c r="AI319">
        <v>120</v>
      </c>
      <c r="AJ319">
        <v>0.1182170222071305</v>
      </c>
      <c r="AK319">
        <v>13.73988641296542</v>
      </c>
      <c r="AL319">
        <v>0.68719738341627645</v>
      </c>
      <c r="AM319">
        <v>0.24888388842986431</v>
      </c>
      <c r="AN319">
        <v>20.752424547733881</v>
      </c>
      <c r="AO319">
        <v>0.6269194845819116</v>
      </c>
      <c r="AP319">
        <v>20.752424547733881</v>
      </c>
      <c r="AQ319">
        <v>20.752424547733881</v>
      </c>
      <c r="AR319">
        <v>0.6269194845819116</v>
      </c>
      <c r="AS319">
        <v>96.029003563617522</v>
      </c>
      <c r="AT319">
        <v>7.4504265256219171E-2</v>
      </c>
      <c r="AU319">
        <v>0.8</v>
      </c>
      <c r="AV319" t="s">
        <v>93</v>
      </c>
      <c r="AW319">
        <v>0.1087121318518058</v>
      </c>
      <c r="AX319">
        <v>0.21060936247707379</v>
      </c>
      <c r="AY319">
        <v>0.1087121318518058</v>
      </c>
      <c r="AZ319">
        <v>0.1087121318518058</v>
      </c>
      <c r="BA319">
        <v>0.21060936247707379</v>
      </c>
      <c r="BB319">
        <v>0.1481089056837871</v>
      </c>
      <c r="BC319">
        <v>-7.5462153938116838E-2</v>
      </c>
      <c r="BD319">
        <v>9.3016019313179765E-2</v>
      </c>
      <c r="BE319">
        <v>0.67771935962827623</v>
      </c>
      <c r="BF319">
        <v>9.3016019313179765E-2</v>
      </c>
      <c r="BG319">
        <v>9.3016019313179765E-2</v>
      </c>
      <c r="BH319">
        <v>0.67771935962827623</v>
      </c>
      <c r="BI319">
        <v>0.18679757206167791</v>
      </c>
      <c r="BJ319">
        <v>0.35278630940734479</v>
      </c>
      <c r="BK319">
        <v>3.6134240954999841E-2</v>
      </c>
      <c r="BL319">
        <v>0.85493245189491973</v>
      </c>
      <c r="BM319">
        <v>3.6134240954999841E-2</v>
      </c>
      <c r="BN319">
        <v>3.6134240954999841E-2</v>
      </c>
      <c r="BO319">
        <v>0.85493245189491973</v>
      </c>
      <c r="BP319">
        <v>0.22109529712855741</v>
      </c>
      <c r="BQ319">
        <v>0.1123723148924755</v>
      </c>
      <c r="BR319">
        <v>82.771835798815346</v>
      </c>
      <c r="BS319">
        <v>0.76441676432737371</v>
      </c>
      <c r="BT319">
        <v>82.771835798815346</v>
      </c>
      <c r="BU319">
        <v>82.771835798815346</v>
      </c>
      <c r="BV319">
        <v>0.76441676432737371</v>
      </c>
      <c r="BW319">
        <v>383.56001247959603</v>
      </c>
      <c r="BX319">
        <v>-9.167940933683405E-2</v>
      </c>
      <c r="BY319" t="str">
        <f t="shared" si="12"/>
        <v>[[sv,wv],[yr],[ya]]</v>
      </c>
      <c r="BZ319" t="str">
        <f>SUBSTITUTE(TRIM(MID(SUBSTITUTE(SUBSTITUTE(SUBSTITUTE(Tabla1[[#This Row],[map]],"[",""),"]",""),",",REPT(" ",100)),901,200))," ",", ")</f>
        <v>2, 3</v>
      </c>
      <c r="CA319" t="str">
        <f>SUBSTITUTE(TRIM(MID(SUBSTITUTE(SUBSTITUTE(SUBSTITUTE(Tabla1[[#This Row],[map]],"[",""),"]",""),",",REPT(" ",100)),1501,200))," ",", ")</f>
        <v>3, 2</v>
      </c>
      <c r="CB319" t="str">
        <f>SUBSTITUTE(TRIM(MID(SUBSTITUTE(SUBSTITUTE(SUBSTITUTE(Tabla1[[#This Row],[map]],"[",""),"]",""),",",REPT(" ",100)),601,300))," ",", ")</f>
        <v>1, 4, 0</v>
      </c>
      <c r="CC319" t="str">
        <f>SUBSTITUTE(TRIM(MID(SUBSTITUTE(SUBSTITUTE(SUBSTITUTE(Tabla1[[#This Row],[map]],"[",""),"]",""),",",REPT(" ",100)),1201,300))," ",", ")</f>
        <v>0, 1, 4</v>
      </c>
      <c r="CD319" t="str">
        <f>SUBSTITUTE(TRIM(MID(SUBSTITUTE(SUBSTITUTE(SUBSTITUTE(Tabla1[[#This Row],[map]],"[",""),"]",""),",",REPT(" ",100)),1,300))," ",", ")</f>
        <v>2, 3, 4</v>
      </c>
      <c r="CE319" t="str">
        <f>SUBSTITUTE(TRIM(MID(SUBSTITUTE(SUBSTITUTE(SUBSTITUTE(Tabla1[[#This Row],[map]],"[",""),"]",""),",",REPT(" ",100)),1,600))," ",", ")</f>
        <v>2, 3, 4, 0, 1, -1</v>
      </c>
      <c r="CF319" t="str">
        <f>SUBSTITUTE(TRIM(MID(SUBSTITUTE(SUBSTITUTE(SUBSTITUTE(Tabla1[[#This Row],[map]],"[",""),"]",""),",",REPT(" ",100)),601,600))," ",", ")</f>
        <v>1, 4, 0, 2, 3, -1</v>
      </c>
      <c r="CG319" t="str">
        <f>SUBSTITUTE(TRIM(MID(SUBSTITUTE(SUBSTITUTE(SUBSTITUTE(Tabla1[[#This Row],[map]],"[",""),"]",""),",",REPT(" ",100)),1201,600))," ",", ")</f>
        <v>0, 1, 4, 3, 2, -1</v>
      </c>
    </row>
    <row r="320" spans="1:85" x14ac:dyDescent="0.3">
      <c r="A320" s="1">
        <v>46108.880300925928</v>
      </c>
      <c r="B320" t="s">
        <v>558</v>
      </c>
      <c r="C320">
        <v>3</v>
      </c>
      <c r="D320" t="s">
        <v>96</v>
      </c>
      <c r="E320" t="s">
        <v>78</v>
      </c>
      <c r="F320">
        <v>16590</v>
      </c>
      <c r="G320">
        <v>4.5</v>
      </c>
      <c r="H320" t="s">
        <v>79</v>
      </c>
      <c r="I320" t="s">
        <v>80</v>
      </c>
      <c r="J320">
        <v>5</v>
      </c>
      <c r="K320">
        <v>5</v>
      </c>
      <c r="L320" t="s">
        <v>81</v>
      </c>
      <c r="M320" t="s">
        <v>82</v>
      </c>
      <c r="N320" t="s">
        <v>83</v>
      </c>
      <c r="O320" t="s">
        <v>83</v>
      </c>
      <c r="P320" t="s">
        <v>84</v>
      </c>
      <c r="Q320" t="s">
        <v>509</v>
      </c>
      <c r="R320">
        <v>3</v>
      </c>
      <c r="S320" t="s">
        <v>86</v>
      </c>
      <c r="T320" t="s">
        <v>87</v>
      </c>
      <c r="U320" t="s">
        <v>88</v>
      </c>
      <c r="V320">
        <v>1</v>
      </c>
      <c r="W320" t="s">
        <v>510</v>
      </c>
      <c r="X320" t="s">
        <v>83</v>
      </c>
      <c r="Y320" t="s">
        <v>90</v>
      </c>
      <c r="Z320">
        <v>4000</v>
      </c>
      <c r="AA320">
        <v>4000</v>
      </c>
      <c r="AC320">
        <v>256</v>
      </c>
      <c r="AD320" t="s">
        <v>91</v>
      </c>
      <c r="AE320">
        <v>0.15</v>
      </c>
      <c r="AF320" t="s">
        <v>92</v>
      </c>
      <c r="AG320">
        <v>180</v>
      </c>
      <c r="AH320">
        <v>60</v>
      </c>
      <c r="AI320">
        <v>120</v>
      </c>
      <c r="AJ320">
        <v>0.1082503397699921</v>
      </c>
      <c r="AK320">
        <v>16.765623208128119</v>
      </c>
      <c r="AL320">
        <v>0.69772641203817121</v>
      </c>
      <c r="AM320">
        <v>0.17260836016119929</v>
      </c>
      <c r="AN320">
        <v>22.592617788426409</v>
      </c>
      <c r="AO320">
        <v>0.65114385988105095</v>
      </c>
      <c r="AP320">
        <v>22.592617788426409</v>
      </c>
      <c r="AQ320">
        <v>22.592617788426409</v>
      </c>
      <c r="AR320">
        <v>0.65114385988105095</v>
      </c>
      <c r="AS320">
        <v>95.379781871846021</v>
      </c>
      <c r="AT320">
        <v>0.1832100512805874</v>
      </c>
      <c r="AU320">
        <v>0.8</v>
      </c>
      <c r="AV320" t="s">
        <v>93</v>
      </c>
      <c r="AW320">
        <v>8.3165604301462914E-2</v>
      </c>
      <c r="AX320">
        <v>0.39611018309341778</v>
      </c>
      <c r="AY320">
        <v>8.3165604301462914E-2</v>
      </c>
      <c r="AZ320">
        <v>8.3165604301462914E-2</v>
      </c>
      <c r="BA320">
        <v>0.39611018309341778</v>
      </c>
      <c r="BB320">
        <v>0.1115586975285522</v>
      </c>
      <c r="BC320">
        <v>0.18993961517250579</v>
      </c>
      <c r="BD320">
        <v>8.6658355330321138E-2</v>
      </c>
      <c r="BE320">
        <v>0.69974730744622371</v>
      </c>
      <c r="BF320">
        <v>8.6658355330321138E-2</v>
      </c>
      <c r="BG320">
        <v>8.6658355330321138E-2</v>
      </c>
      <c r="BH320">
        <v>0.69974730744622371</v>
      </c>
      <c r="BI320">
        <v>0.15013789557736421</v>
      </c>
      <c r="BJ320">
        <v>0.47980425857807191</v>
      </c>
      <c r="BK320">
        <v>5.8465754729163821E-2</v>
      </c>
      <c r="BL320">
        <v>0.76527848759199602</v>
      </c>
      <c r="BM320">
        <v>5.8465754729163821E-2</v>
      </c>
      <c r="BN320">
        <v>5.8465754729163821E-2</v>
      </c>
      <c r="BO320">
        <v>0.76527848759199602</v>
      </c>
      <c r="BP320">
        <v>0.21231612889347151</v>
      </c>
      <c r="BQ320">
        <v>0.14761789848870949</v>
      </c>
      <c r="BR320">
        <v>90.142181439344341</v>
      </c>
      <c r="BS320">
        <v>0.74343946139257144</v>
      </c>
      <c r="BT320">
        <v>90.142181439344341</v>
      </c>
      <c r="BU320">
        <v>90.142181439344341</v>
      </c>
      <c r="BV320">
        <v>0.74343946139257144</v>
      </c>
      <c r="BW320">
        <v>381.04511476538642</v>
      </c>
      <c r="BX320">
        <v>-8.4521567116936369E-2</v>
      </c>
      <c r="BY320" t="str">
        <f t="shared" si="12"/>
        <v>[[sv,wv],[yr],[ya]]</v>
      </c>
      <c r="BZ320" t="str">
        <f>SUBSTITUTE(TRIM(MID(SUBSTITUTE(SUBSTITUTE(SUBSTITUTE(Tabla1[[#This Row],[map]],"[",""),"]",""),",",REPT(" ",100)),901,200))," ",", ")</f>
        <v>2, 4</v>
      </c>
      <c r="CA320" t="str">
        <f>SUBSTITUTE(TRIM(MID(SUBSTITUTE(SUBSTITUTE(SUBSTITUTE(Tabla1[[#This Row],[map]],"[",""),"]",""),",",REPT(" ",100)),1501,200))," ",", ")</f>
        <v>3, 4</v>
      </c>
      <c r="CB320" t="str">
        <f>SUBSTITUTE(TRIM(MID(SUBSTITUTE(SUBSTITUTE(SUBSTITUTE(Tabla1[[#This Row],[map]],"[",""),"]",""),",",REPT(" ",100)),601,300))," ",", ")</f>
        <v>0, 1, 3</v>
      </c>
      <c r="CC320" t="str">
        <f>SUBSTITUTE(TRIM(MID(SUBSTITUTE(SUBSTITUTE(SUBSTITUTE(Tabla1[[#This Row],[map]],"[",""),"]",""),",",REPT(" ",100)),1201,300))," ",", ")</f>
        <v>1, 2, 0</v>
      </c>
      <c r="CD320" t="str">
        <f>SUBSTITUTE(TRIM(MID(SUBSTITUTE(SUBSTITUTE(SUBSTITUTE(Tabla1[[#This Row],[map]],"[",""),"]",""),",",REPT(" ",100)),1,300))," ",", ")</f>
        <v>4, 2, 3</v>
      </c>
      <c r="CE320" t="str">
        <f>SUBSTITUTE(TRIM(MID(SUBSTITUTE(SUBSTITUTE(SUBSTITUTE(Tabla1[[#This Row],[map]],"[",""),"]",""),",",REPT(" ",100)),1,600))," ",", ")</f>
        <v>4, 2, 3, 0, 1, -1</v>
      </c>
      <c r="CF320" t="str">
        <f>SUBSTITUTE(TRIM(MID(SUBSTITUTE(SUBSTITUTE(SUBSTITUTE(Tabla1[[#This Row],[map]],"[",""),"]",""),",",REPT(" ",100)),601,600))," ",", ")</f>
        <v>0, 1, 3, 2, 4, -1</v>
      </c>
      <c r="CG320" t="str">
        <f>SUBSTITUTE(TRIM(MID(SUBSTITUTE(SUBSTITUTE(SUBSTITUTE(Tabla1[[#This Row],[map]],"[",""),"]",""),",",REPT(" ",100)),1201,600))," ",", ")</f>
        <v>1, 2, 0, 3, 4, -1</v>
      </c>
    </row>
    <row r="321" spans="1:85" x14ac:dyDescent="0.3">
      <c r="A321" s="1">
        <v>46108.887511574067</v>
      </c>
      <c r="B321" t="s">
        <v>559</v>
      </c>
      <c r="C321">
        <v>6</v>
      </c>
      <c r="D321" t="s">
        <v>77</v>
      </c>
      <c r="E321" t="s">
        <v>78</v>
      </c>
      <c r="F321">
        <v>16590</v>
      </c>
      <c r="G321">
        <v>4.5</v>
      </c>
      <c r="H321" t="s">
        <v>79</v>
      </c>
      <c r="I321" t="s">
        <v>80</v>
      </c>
      <c r="J321">
        <v>5</v>
      </c>
      <c r="K321">
        <v>5</v>
      </c>
      <c r="L321" t="s">
        <v>81</v>
      </c>
      <c r="M321" t="s">
        <v>82</v>
      </c>
      <c r="N321" t="s">
        <v>83</v>
      </c>
      <c r="O321" t="s">
        <v>83</v>
      </c>
      <c r="P321" t="s">
        <v>84</v>
      </c>
      <c r="Q321" t="s">
        <v>393</v>
      </c>
      <c r="R321">
        <v>3</v>
      </c>
      <c r="S321" t="s">
        <v>86</v>
      </c>
      <c r="T321" t="s">
        <v>87</v>
      </c>
      <c r="U321" t="s">
        <v>88</v>
      </c>
      <c r="V321">
        <v>1</v>
      </c>
      <c r="W321" t="s">
        <v>394</v>
      </c>
      <c r="X321" t="s">
        <v>83</v>
      </c>
      <c r="Y321" t="s">
        <v>90</v>
      </c>
      <c r="Z321">
        <v>4000</v>
      </c>
      <c r="AA321">
        <v>4000</v>
      </c>
      <c r="AC321">
        <v>256</v>
      </c>
      <c r="AD321" t="s">
        <v>91</v>
      </c>
      <c r="AE321">
        <v>0.15</v>
      </c>
      <c r="AF321" t="s">
        <v>92</v>
      </c>
      <c r="AG321">
        <v>180</v>
      </c>
      <c r="AH321">
        <v>60</v>
      </c>
      <c r="AI321">
        <v>120</v>
      </c>
      <c r="AJ321">
        <v>0.1067867053147718</v>
      </c>
      <c r="AK321">
        <v>13.582336481269101</v>
      </c>
      <c r="AL321">
        <v>0.73324750367849334</v>
      </c>
      <c r="AM321">
        <v>-0.41281073005078128</v>
      </c>
      <c r="AN321">
        <v>18.15011364235826</v>
      </c>
      <c r="AO321">
        <v>0.66886758886000608</v>
      </c>
      <c r="AP321">
        <v>18.15011364235826</v>
      </c>
      <c r="AQ321">
        <v>18.15011364235826</v>
      </c>
      <c r="AR321">
        <v>0.66886758886000608</v>
      </c>
      <c r="AS321">
        <v>105.2169068046135</v>
      </c>
      <c r="AT321">
        <v>-0.34563629528179729</v>
      </c>
      <c r="AU321">
        <v>0.8</v>
      </c>
      <c r="AV321" t="s">
        <v>93</v>
      </c>
      <c r="AW321">
        <v>6.6477033695420143E-2</v>
      </c>
      <c r="AX321">
        <v>0.51729078332310274</v>
      </c>
      <c r="AY321">
        <v>6.6477033695420143E-2</v>
      </c>
      <c r="AZ321">
        <v>6.6477033695420143E-2</v>
      </c>
      <c r="BA321">
        <v>0.51729078332310274</v>
      </c>
      <c r="BB321">
        <v>0.16662464157196771</v>
      </c>
      <c r="BC321">
        <v>-0.20991033656506991</v>
      </c>
      <c r="BD321">
        <v>7.1071118841021713E-2</v>
      </c>
      <c r="BE321">
        <v>0.75375375272833356</v>
      </c>
      <c r="BF321">
        <v>7.1071118841021713E-2</v>
      </c>
      <c r="BG321">
        <v>7.1071118841021713E-2</v>
      </c>
      <c r="BH321">
        <v>0.75375375272833356</v>
      </c>
      <c r="BI321">
        <v>0.40332873078479559</v>
      </c>
      <c r="BJ321">
        <v>-0.3974479084079714</v>
      </c>
      <c r="BK321">
        <v>9.7045798364702576E-2</v>
      </c>
      <c r="BL321">
        <v>0.61039181533659881</v>
      </c>
      <c r="BM321">
        <v>9.7045798364702576E-2</v>
      </c>
      <c r="BN321">
        <v>9.7045798364702576E-2</v>
      </c>
      <c r="BO321">
        <v>0.61039181533659881</v>
      </c>
      <c r="BP321">
        <v>0.39357168825523048</v>
      </c>
      <c r="BQ321">
        <v>-0.58006584087006363</v>
      </c>
      <c r="BR321">
        <v>72.365860618531755</v>
      </c>
      <c r="BS321">
        <v>0.79403400405199198</v>
      </c>
      <c r="BT321">
        <v>72.365860618531755</v>
      </c>
      <c r="BU321">
        <v>72.365860618531755</v>
      </c>
      <c r="BV321">
        <v>0.79403400405199198</v>
      </c>
      <c r="BW321">
        <v>419.9041021578422</v>
      </c>
      <c r="BX321">
        <v>-0.19512109528407101</v>
      </c>
      <c r="BY321" t="str">
        <f t="shared" si="12"/>
        <v>[[sv,wv],[yr],[ya]]</v>
      </c>
      <c r="BZ321" t="str">
        <f>SUBSTITUTE(TRIM(MID(SUBSTITUTE(SUBSTITUTE(SUBSTITUTE(Tabla1[[#This Row],[map]],"[",""),"]",""),",",REPT(" ",100)),901,200))," ",", ")</f>
        <v>2, 3</v>
      </c>
      <c r="CA321" t="str">
        <f>SUBSTITUTE(TRIM(MID(SUBSTITUTE(SUBSTITUTE(SUBSTITUTE(Tabla1[[#This Row],[map]],"[",""),"]",""),",",REPT(" ",100)),1501,200))," ",", ")</f>
        <v>3, 4</v>
      </c>
      <c r="CB321" t="str">
        <f>SUBSTITUTE(TRIM(MID(SUBSTITUTE(SUBSTITUTE(SUBSTITUTE(Tabla1[[#This Row],[map]],"[",""),"]",""),",",REPT(" ",100)),601,300))," ",", ")</f>
        <v>0, 1, 4</v>
      </c>
      <c r="CC321" t="str">
        <f>SUBSTITUTE(TRIM(MID(SUBSTITUTE(SUBSTITUTE(SUBSTITUTE(Tabla1[[#This Row],[map]],"[",""),"]",""),",",REPT(" ",100)),1201,300))," ",", ")</f>
        <v>1, 2, 0</v>
      </c>
      <c r="CD321" t="str">
        <f>SUBSTITUTE(TRIM(MID(SUBSTITUTE(SUBSTITUTE(SUBSTITUTE(Tabla1[[#This Row],[map]],"[",""),"]",""),",",REPT(" ",100)),1,300))," ",", ")</f>
        <v>2, 3, 4</v>
      </c>
      <c r="CE321" t="str">
        <f>SUBSTITUTE(TRIM(MID(SUBSTITUTE(SUBSTITUTE(SUBSTITUTE(Tabla1[[#This Row],[map]],"[",""),"]",""),",",REPT(" ",100)),1,600))," ",", ")</f>
        <v>2, 3, 4, 0, 1, -1</v>
      </c>
      <c r="CF321" t="str">
        <f>SUBSTITUTE(TRIM(MID(SUBSTITUTE(SUBSTITUTE(SUBSTITUTE(Tabla1[[#This Row],[map]],"[",""),"]",""),",",REPT(" ",100)),601,600))," ",", ")</f>
        <v>0, 1, 4, 2, 3, -1</v>
      </c>
      <c r="CG321" t="str">
        <f>SUBSTITUTE(TRIM(MID(SUBSTITUTE(SUBSTITUTE(SUBSTITUTE(Tabla1[[#This Row],[map]],"[",""),"]",""),",",REPT(" ",100)),1201,600))," ",", ")</f>
        <v>1, 2, 0, 3, 4, -1</v>
      </c>
    </row>
    <row r="322" spans="1:85" x14ac:dyDescent="0.3">
      <c r="A322" s="1">
        <v>46108.89472222222</v>
      </c>
      <c r="B322" t="s">
        <v>560</v>
      </c>
      <c r="C322">
        <v>5</v>
      </c>
      <c r="D322" t="s">
        <v>96</v>
      </c>
      <c r="E322" t="s">
        <v>78</v>
      </c>
      <c r="F322">
        <v>16590</v>
      </c>
      <c r="G322">
        <v>4.5</v>
      </c>
      <c r="H322" t="s">
        <v>79</v>
      </c>
      <c r="I322" t="s">
        <v>80</v>
      </c>
      <c r="J322">
        <v>5</v>
      </c>
      <c r="K322">
        <v>5</v>
      </c>
      <c r="L322" t="s">
        <v>81</v>
      </c>
      <c r="M322" t="s">
        <v>82</v>
      </c>
      <c r="N322" t="s">
        <v>83</v>
      </c>
      <c r="O322" t="s">
        <v>83</v>
      </c>
      <c r="P322" t="s">
        <v>84</v>
      </c>
      <c r="Q322" t="s">
        <v>461</v>
      </c>
      <c r="R322">
        <v>3</v>
      </c>
      <c r="S322" t="s">
        <v>86</v>
      </c>
      <c r="T322" t="s">
        <v>87</v>
      </c>
      <c r="U322" t="s">
        <v>88</v>
      </c>
      <c r="V322">
        <v>1</v>
      </c>
      <c r="W322" t="s">
        <v>462</v>
      </c>
      <c r="X322" t="s">
        <v>83</v>
      </c>
      <c r="Y322" t="s">
        <v>90</v>
      </c>
      <c r="Z322">
        <v>4000</v>
      </c>
      <c r="AA322">
        <v>4000</v>
      </c>
      <c r="AC322">
        <v>256</v>
      </c>
      <c r="AD322" t="s">
        <v>91</v>
      </c>
      <c r="AE322">
        <v>0.15</v>
      </c>
      <c r="AF322" t="s">
        <v>92</v>
      </c>
      <c r="AG322">
        <v>180</v>
      </c>
      <c r="AH322">
        <v>60</v>
      </c>
      <c r="AI322">
        <v>120</v>
      </c>
      <c r="AJ322">
        <v>0.13168099045827741</v>
      </c>
      <c r="AK322">
        <v>8.236795611978847</v>
      </c>
      <c r="AL322">
        <v>0.66369785415724736</v>
      </c>
      <c r="AM322">
        <v>-0.33922118583414318</v>
      </c>
      <c r="AN322">
        <v>13.002816915417149</v>
      </c>
      <c r="AO322">
        <v>0.61247099033341124</v>
      </c>
      <c r="AP322">
        <v>13.002816915417149</v>
      </c>
      <c r="AQ322">
        <v>13.002816915417149</v>
      </c>
      <c r="AR322">
        <v>0.61247099033341124</v>
      </c>
      <c r="AS322">
        <v>150.36858413963509</v>
      </c>
      <c r="AT322">
        <v>-0.27731150807033123</v>
      </c>
      <c r="AU322">
        <v>0.8</v>
      </c>
      <c r="AV322" t="s">
        <v>93</v>
      </c>
      <c r="AW322">
        <v>7.9544867827994428E-2</v>
      </c>
      <c r="AX322">
        <v>0.42240141135292819</v>
      </c>
      <c r="AY322">
        <v>7.9544867827994428E-2</v>
      </c>
      <c r="AZ322">
        <v>7.9544867827994428E-2</v>
      </c>
      <c r="BA322">
        <v>0.42240141135292819</v>
      </c>
      <c r="BB322">
        <v>0.15093410495100279</v>
      </c>
      <c r="BC322">
        <v>-9.5976753483610899E-2</v>
      </c>
      <c r="BD322">
        <v>0.10624049333924621</v>
      </c>
      <c r="BE322">
        <v>0.63189938163771053</v>
      </c>
      <c r="BF322">
        <v>0.10624049333924621</v>
      </c>
      <c r="BG322">
        <v>0.10624049333924621</v>
      </c>
      <c r="BH322">
        <v>0.63189938163771053</v>
      </c>
      <c r="BI322">
        <v>0.28558839488005328</v>
      </c>
      <c r="BJ322">
        <v>1.0497208284262699E-2</v>
      </c>
      <c r="BK322">
        <v>0.1138910463766169</v>
      </c>
      <c r="BL322">
        <v>0.54276347275279657</v>
      </c>
      <c r="BM322">
        <v>0.1138910463766169</v>
      </c>
      <c r="BN322">
        <v>0.1138910463766169</v>
      </c>
      <c r="BO322">
        <v>0.54276347275279657</v>
      </c>
      <c r="BP322">
        <v>0.32730810019164569</v>
      </c>
      <c r="BQ322">
        <v>-0.31403849409389689</v>
      </c>
      <c r="BR322">
        <v>51.71159125412489</v>
      </c>
      <c r="BS322">
        <v>0.85281969559020721</v>
      </c>
      <c r="BT322">
        <v>51.71159125412489</v>
      </c>
      <c r="BU322">
        <v>51.71159125412489</v>
      </c>
      <c r="BV322">
        <v>0.85281969559020721</v>
      </c>
      <c r="BW322">
        <v>600.7105059585158</v>
      </c>
      <c r="BX322">
        <v>-0.70972799298808154</v>
      </c>
      <c r="BY322" t="str">
        <f t="shared" si="12"/>
        <v>[[sv,wv],[yr],[ya]]</v>
      </c>
      <c r="BZ322" t="str">
        <f>SUBSTITUTE(TRIM(MID(SUBSTITUTE(SUBSTITUTE(SUBSTITUTE(Tabla1[[#This Row],[map]],"[",""),"]",""),",",REPT(" ",100)),901,200))," ",", ")</f>
        <v>2, 3</v>
      </c>
      <c r="CA322" t="str">
        <f>SUBSTITUTE(TRIM(MID(SUBSTITUTE(SUBSTITUTE(SUBSTITUTE(Tabla1[[#This Row],[map]],"[",""),"]",""),",",REPT(" ",100)),1501,200))," ",", ")</f>
        <v>3, 2</v>
      </c>
      <c r="CB322" t="str">
        <f>SUBSTITUTE(TRIM(MID(SUBSTITUTE(SUBSTITUTE(SUBSTITUTE(Tabla1[[#This Row],[map]],"[",""),"]",""),",",REPT(" ",100)),601,300))," ",", ")</f>
        <v>0, 1, 4</v>
      </c>
      <c r="CC322" t="str">
        <f>SUBSTITUTE(TRIM(MID(SUBSTITUTE(SUBSTITUTE(SUBSTITUTE(Tabla1[[#This Row],[map]],"[",""),"]",""),",",REPT(" ",100)),1201,300))," ",", ")</f>
        <v>1, 4, 0</v>
      </c>
      <c r="CD322" t="str">
        <f>SUBSTITUTE(TRIM(MID(SUBSTITUTE(SUBSTITUTE(SUBSTITUTE(Tabla1[[#This Row],[map]],"[",""),"]",""),",",REPT(" ",100)),1,300))," ",", ")</f>
        <v>4, 2, 3</v>
      </c>
      <c r="CE322" t="str">
        <f>SUBSTITUTE(TRIM(MID(SUBSTITUTE(SUBSTITUTE(SUBSTITUTE(Tabla1[[#This Row],[map]],"[",""),"]",""),",",REPT(" ",100)),1,600))," ",", ")</f>
        <v>4, 2, 3, 0, 1, -1</v>
      </c>
      <c r="CF322" t="str">
        <f>SUBSTITUTE(TRIM(MID(SUBSTITUTE(SUBSTITUTE(SUBSTITUTE(Tabla1[[#This Row],[map]],"[",""),"]",""),",",REPT(" ",100)),601,600))," ",", ")</f>
        <v>0, 1, 4, 2, 3, -1</v>
      </c>
      <c r="CG322" t="str">
        <f>SUBSTITUTE(TRIM(MID(SUBSTITUTE(SUBSTITUTE(SUBSTITUTE(Tabla1[[#This Row],[map]],"[",""),"]",""),",",REPT(" ",100)),1201,600))," ",", ")</f>
        <v>1, 4, 0, 3, 2, -1</v>
      </c>
    </row>
    <row r="323" spans="1:85" x14ac:dyDescent="0.3">
      <c r="A323" s="1">
        <v>46108.902685185189</v>
      </c>
      <c r="B323" t="s">
        <v>561</v>
      </c>
      <c r="C323">
        <v>2</v>
      </c>
      <c r="D323" t="s">
        <v>77</v>
      </c>
      <c r="E323" t="s">
        <v>78</v>
      </c>
      <c r="F323">
        <v>16590</v>
      </c>
      <c r="G323">
        <v>4.5</v>
      </c>
      <c r="H323" t="s">
        <v>79</v>
      </c>
      <c r="I323" t="s">
        <v>80</v>
      </c>
      <c r="J323">
        <v>5</v>
      </c>
      <c r="K323">
        <v>5</v>
      </c>
      <c r="L323" t="s">
        <v>81</v>
      </c>
      <c r="M323" t="s">
        <v>82</v>
      </c>
      <c r="N323" t="s">
        <v>83</v>
      </c>
      <c r="O323" t="s">
        <v>83</v>
      </c>
      <c r="P323" t="s">
        <v>84</v>
      </c>
      <c r="Q323" t="s">
        <v>509</v>
      </c>
      <c r="R323">
        <v>3</v>
      </c>
      <c r="S323" t="s">
        <v>86</v>
      </c>
      <c r="T323" t="s">
        <v>87</v>
      </c>
      <c r="U323" t="s">
        <v>88</v>
      </c>
      <c r="V323">
        <v>1</v>
      </c>
      <c r="W323" t="s">
        <v>510</v>
      </c>
      <c r="X323" t="s">
        <v>83</v>
      </c>
      <c r="Y323" t="s">
        <v>90</v>
      </c>
      <c r="Z323">
        <v>4000</v>
      </c>
      <c r="AA323">
        <v>4000</v>
      </c>
      <c r="AC323">
        <v>256</v>
      </c>
      <c r="AD323" t="s">
        <v>91</v>
      </c>
      <c r="AE323">
        <v>0.15</v>
      </c>
      <c r="AF323" t="s">
        <v>92</v>
      </c>
      <c r="AG323">
        <v>180</v>
      </c>
      <c r="AH323">
        <v>60</v>
      </c>
      <c r="AI323">
        <v>120</v>
      </c>
      <c r="AJ323">
        <v>0.1215640313049032</v>
      </c>
      <c r="AK323">
        <v>22.413870731347721</v>
      </c>
      <c r="AL323">
        <v>0.67720850236753327</v>
      </c>
      <c r="AM323">
        <v>-0.14104017677923381</v>
      </c>
      <c r="AN323">
        <v>32.204681969474322</v>
      </c>
      <c r="AO323">
        <v>0.60783329485292259</v>
      </c>
      <c r="AP323">
        <v>32.204681969474322</v>
      </c>
      <c r="AQ323">
        <v>32.204681969474322</v>
      </c>
      <c r="AR323">
        <v>0.60783329485292259</v>
      </c>
      <c r="AS323">
        <v>110.6875698298546</v>
      </c>
      <c r="AT323">
        <v>-0.13429698939709589</v>
      </c>
      <c r="AU323">
        <v>0.8</v>
      </c>
      <c r="AV323" t="s">
        <v>93</v>
      </c>
      <c r="AW323">
        <v>7.1795147900734574E-2</v>
      </c>
      <c r="AX323">
        <v>0.47867439809136408</v>
      </c>
      <c r="AY323">
        <v>7.1795147900734574E-2</v>
      </c>
      <c r="AZ323">
        <v>7.1795147900734574E-2</v>
      </c>
      <c r="BA323">
        <v>0.47867439809136408</v>
      </c>
      <c r="BB323">
        <v>0.1113024730135574</v>
      </c>
      <c r="BC323">
        <v>0.1918001364390417</v>
      </c>
      <c r="BD323">
        <v>0.10157999359942479</v>
      </c>
      <c r="BE323">
        <v>0.64804701783728602</v>
      </c>
      <c r="BF323">
        <v>0.10157999359942479</v>
      </c>
      <c r="BG323">
        <v>0.10157999359942479</v>
      </c>
      <c r="BH323">
        <v>0.64804701783728602</v>
      </c>
      <c r="BI323">
        <v>0.38296513023923778</v>
      </c>
      <c r="BJ323">
        <v>-0.3268923818163656</v>
      </c>
      <c r="BK323">
        <v>8.206735274863558E-2</v>
      </c>
      <c r="BL323">
        <v>0.67052553677422777</v>
      </c>
      <c r="BM323">
        <v>8.206735274863558E-2</v>
      </c>
      <c r="BN323">
        <v>8.206735274863558E-2</v>
      </c>
      <c r="BO323">
        <v>0.67052553677422777</v>
      </c>
      <c r="BP323">
        <v>0.28499587431449241</v>
      </c>
      <c r="BQ323">
        <v>-0.14416829063476919</v>
      </c>
      <c r="BR323">
        <v>128.5632853836486</v>
      </c>
      <c r="BS323">
        <v>0.63408622670881165</v>
      </c>
      <c r="BT323">
        <v>128.5632853836486</v>
      </c>
      <c r="BU323">
        <v>128.5632853836486</v>
      </c>
      <c r="BV323">
        <v>0.63408622670881165</v>
      </c>
      <c r="BW323">
        <v>441.97101584185208</v>
      </c>
      <c r="BX323">
        <v>-0.25792742157630522</v>
      </c>
      <c r="BY323" t="str">
        <f t="shared" si="12"/>
        <v>[[sv,wv],[yr],[ya]]</v>
      </c>
      <c r="BZ323" t="str">
        <f>SUBSTITUTE(TRIM(MID(SUBSTITUTE(SUBSTITUTE(SUBSTITUTE(Tabla1[[#This Row],[map]],"[",""),"]",""),",",REPT(" ",100)),901,200))," ",", ")</f>
        <v>2, 4</v>
      </c>
      <c r="CA323" t="str">
        <f>SUBSTITUTE(TRIM(MID(SUBSTITUTE(SUBSTITUTE(SUBSTITUTE(Tabla1[[#This Row],[map]],"[",""),"]",""),",",REPT(" ",100)),1501,200))," ",", ")</f>
        <v>3, 4</v>
      </c>
      <c r="CB323" t="str">
        <f>SUBSTITUTE(TRIM(MID(SUBSTITUTE(SUBSTITUTE(SUBSTITUTE(Tabla1[[#This Row],[map]],"[",""),"]",""),",",REPT(" ",100)),601,300))," ",", ")</f>
        <v>0, 1, 3</v>
      </c>
      <c r="CC323" t="str">
        <f>SUBSTITUTE(TRIM(MID(SUBSTITUTE(SUBSTITUTE(SUBSTITUTE(Tabla1[[#This Row],[map]],"[",""),"]",""),",",REPT(" ",100)),1201,300))," ",", ")</f>
        <v>1, 2, 0</v>
      </c>
      <c r="CD323" t="str">
        <f>SUBSTITUTE(TRIM(MID(SUBSTITUTE(SUBSTITUTE(SUBSTITUTE(Tabla1[[#This Row],[map]],"[",""),"]",""),",",REPT(" ",100)),1,300))," ",", ")</f>
        <v>4, 2, 3</v>
      </c>
      <c r="CE323" t="str">
        <f>SUBSTITUTE(TRIM(MID(SUBSTITUTE(SUBSTITUTE(SUBSTITUTE(Tabla1[[#This Row],[map]],"[",""),"]",""),",",REPT(" ",100)),1,600))," ",", ")</f>
        <v>4, 2, 3, 0, 1, -1</v>
      </c>
      <c r="CF323" t="str">
        <f>SUBSTITUTE(TRIM(MID(SUBSTITUTE(SUBSTITUTE(SUBSTITUTE(Tabla1[[#This Row],[map]],"[",""),"]",""),",",REPT(" ",100)),601,600))," ",", ")</f>
        <v>0, 1, 3, 2, 4, -1</v>
      </c>
      <c r="CG323" t="str">
        <f>SUBSTITUTE(TRIM(MID(SUBSTITUTE(SUBSTITUTE(SUBSTITUTE(Tabla1[[#This Row],[map]],"[",""),"]",""),",",REPT(" ",100)),1201,600))," ",", ")</f>
        <v>1, 2, 0, 3, 4, -1</v>
      </c>
    </row>
    <row r="324" spans="1:85" x14ac:dyDescent="0.3">
      <c r="A324" s="1">
        <v>46108.918553240743</v>
      </c>
      <c r="B324" t="s">
        <v>562</v>
      </c>
      <c r="C324">
        <v>4</v>
      </c>
      <c r="D324" t="s">
        <v>77</v>
      </c>
      <c r="E324" t="s">
        <v>78</v>
      </c>
      <c r="F324">
        <v>16590</v>
      </c>
      <c r="G324">
        <v>4.5</v>
      </c>
      <c r="H324" t="s">
        <v>79</v>
      </c>
      <c r="I324" t="s">
        <v>80</v>
      </c>
      <c r="J324">
        <v>5</v>
      </c>
      <c r="K324">
        <v>5</v>
      </c>
      <c r="L324" t="s">
        <v>81</v>
      </c>
      <c r="M324" t="s">
        <v>82</v>
      </c>
      <c r="N324" t="s">
        <v>83</v>
      </c>
      <c r="O324" t="s">
        <v>83</v>
      </c>
      <c r="P324" t="s">
        <v>84</v>
      </c>
      <c r="Q324" t="s">
        <v>461</v>
      </c>
      <c r="R324">
        <v>3</v>
      </c>
      <c r="S324" t="s">
        <v>86</v>
      </c>
      <c r="T324" t="s">
        <v>87</v>
      </c>
      <c r="U324" t="s">
        <v>88</v>
      </c>
      <c r="V324">
        <v>1</v>
      </c>
      <c r="W324" t="s">
        <v>462</v>
      </c>
      <c r="X324" t="s">
        <v>83</v>
      </c>
      <c r="Y324" t="s">
        <v>90</v>
      </c>
      <c r="Z324">
        <v>4000</v>
      </c>
      <c r="AA324">
        <v>4000</v>
      </c>
      <c r="AC324">
        <v>256</v>
      </c>
      <c r="AD324" t="s">
        <v>91</v>
      </c>
      <c r="AE324">
        <v>0.15</v>
      </c>
      <c r="AF324" t="s">
        <v>92</v>
      </c>
      <c r="AG324">
        <v>180</v>
      </c>
      <c r="AH324">
        <v>60</v>
      </c>
      <c r="AI324">
        <v>120</v>
      </c>
      <c r="AJ324">
        <v>0.1081675121910578</v>
      </c>
      <c r="AK324">
        <v>12.375730926690199</v>
      </c>
      <c r="AL324">
        <v>0.72775021768908843</v>
      </c>
      <c r="AM324">
        <v>0.28107748020310969</v>
      </c>
      <c r="AN324">
        <v>17.662986524607721</v>
      </c>
      <c r="AO324">
        <v>0.67193995158751285</v>
      </c>
      <c r="AP324">
        <v>17.662986524607721</v>
      </c>
      <c r="AQ324">
        <v>17.662986524607721</v>
      </c>
      <c r="AR324">
        <v>0.67193995158751285</v>
      </c>
      <c r="AS324">
        <v>84.615548444272875</v>
      </c>
      <c r="AT324">
        <v>0.29347445134709932</v>
      </c>
      <c r="AU324">
        <v>0.8</v>
      </c>
      <c r="AV324" t="s">
        <v>93</v>
      </c>
      <c r="AW324">
        <v>7.7273070830026158E-2</v>
      </c>
      <c r="AX324">
        <v>0.4388975948974978</v>
      </c>
      <c r="AY324">
        <v>7.7273070830026158E-2</v>
      </c>
      <c r="AZ324">
        <v>7.7273070830026158E-2</v>
      </c>
      <c r="BA324">
        <v>0.4388975948974978</v>
      </c>
      <c r="BB324">
        <v>0.15242186439726749</v>
      </c>
      <c r="BC324">
        <v>-0.1067798106747673</v>
      </c>
      <c r="BD324">
        <v>7.3661169231703932E-2</v>
      </c>
      <c r="BE324">
        <v>0.74477978131279032</v>
      </c>
      <c r="BF324">
        <v>7.3661169231703932E-2</v>
      </c>
      <c r="BG324">
        <v>7.3661169231703932E-2</v>
      </c>
      <c r="BH324">
        <v>0.74477978131279032</v>
      </c>
      <c r="BI324">
        <v>0.14080451914676459</v>
      </c>
      <c r="BJ324">
        <v>0.51214241446879361</v>
      </c>
      <c r="BK324">
        <v>7.3597013989961782E-2</v>
      </c>
      <c r="BL324">
        <v>0.70453126770601915</v>
      </c>
      <c r="BM324">
        <v>7.3597013989961782E-2</v>
      </c>
      <c r="BN324">
        <v>7.3597013989961782E-2</v>
      </c>
      <c r="BO324">
        <v>0.70453126770601915</v>
      </c>
      <c r="BP324">
        <v>6.7045662601741426E-2</v>
      </c>
      <c r="BQ324">
        <v>0.73083287132480046</v>
      </c>
      <c r="BR324">
        <v>70.427414844379257</v>
      </c>
      <c r="BS324">
        <v>0.79955116243374802</v>
      </c>
      <c r="BT324">
        <v>70.427414844379257</v>
      </c>
      <c r="BU324">
        <v>70.427414844379257</v>
      </c>
      <c r="BV324">
        <v>0.79955116243374802</v>
      </c>
      <c r="BW324">
        <v>338.10192173094532</v>
      </c>
      <c r="BX324">
        <v>3.7702330269577922E-2</v>
      </c>
      <c r="BY324" t="str">
        <f t="shared" si="12"/>
        <v>[[sv,wv],[yr],[ya]]</v>
      </c>
      <c r="BZ324" t="str">
        <f>SUBSTITUTE(TRIM(MID(SUBSTITUTE(SUBSTITUTE(SUBSTITUTE(Tabla1[[#This Row],[map]],"[",""),"]",""),",",REPT(" ",100)),901,200))," ",", ")</f>
        <v>2, 3</v>
      </c>
      <c r="CA324" t="str">
        <f>SUBSTITUTE(TRIM(MID(SUBSTITUTE(SUBSTITUTE(SUBSTITUTE(Tabla1[[#This Row],[map]],"[",""),"]",""),",",REPT(" ",100)),1501,200))," ",", ")</f>
        <v>3, 2</v>
      </c>
      <c r="CB324" t="str">
        <f>SUBSTITUTE(TRIM(MID(SUBSTITUTE(SUBSTITUTE(SUBSTITUTE(Tabla1[[#This Row],[map]],"[",""),"]",""),",",REPT(" ",100)),601,300))," ",", ")</f>
        <v>0, 1, 4</v>
      </c>
      <c r="CC324" t="str">
        <f>SUBSTITUTE(TRIM(MID(SUBSTITUTE(SUBSTITUTE(SUBSTITUTE(Tabla1[[#This Row],[map]],"[",""),"]",""),",",REPT(" ",100)),1201,300))," ",", ")</f>
        <v>1, 4, 0</v>
      </c>
      <c r="CD324" t="str">
        <f>SUBSTITUTE(TRIM(MID(SUBSTITUTE(SUBSTITUTE(SUBSTITUTE(Tabla1[[#This Row],[map]],"[",""),"]",""),",",REPT(" ",100)),1,300))," ",", ")</f>
        <v>4, 2, 3</v>
      </c>
      <c r="CE324" t="str">
        <f>SUBSTITUTE(TRIM(MID(SUBSTITUTE(SUBSTITUTE(SUBSTITUTE(Tabla1[[#This Row],[map]],"[",""),"]",""),",",REPT(" ",100)),1,600))," ",", ")</f>
        <v>4, 2, 3, 0, 1, -1</v>
      </c>
      <c r="CF324" t="str">
        <f>SUBSTITUTE(TRIM(MID(SUBSTITUTE(SUBSTITUTE(SUBSTITUTE(Tabla1[[#This Row],[map]],"[",""),"]",""),",",REPT(" ",100)),601,600))," ",", ")</f>
        <v>0, 1, 4, 2, 3, -1</v>
      </c>
      <c r="CG324" t="str">
        <f>SUBSTITUTE(TRIM(MID(SUBSTITUTE(SUBSTITUTE(SUBSTITUTE(Tabla1[[#This Row],[map]],"[",""),"]",""),",",REPT(" ",100)),1201,600))," ",", ")</f>
        <v>1, 4, 0, 3, 2, -1</v>
      </c>
    </row>
    <row r="325" spans="1:85" x14ac:dyDescent="0.3">
      <c r="A325" s="1">
        <v>46108.970138888893</v>
      </c>
      <c r="B325" t="s">
        <v>563</v>
      </c>
      <c r="C325">
        <v>7</v>
      </c>
      <c r="D325" t="s">
        <v>96</v>
      </c>
      <c r="E325" t="s">
        <v>78</v>
      </c>
      <c r="F325">
        <v>16590</v>
      </c>
      <c r="G325">
        <v>4.5</v>
      </c>
      <c r="H325" t="s">
        <v>79</v>
      </c>
      <c r="I325" t="s">
        <v>80</v>
      </c>
      <c r="J325">
        <v>5</v>
      </c>
      <c r="K325">
        <v>5</v>
      </c>
      <c r="L325" t="s">
        <v>81</v>
      </c>
      <c r="M325" t="s">
        <v>82</v>
      </c>
      <c r="N325" t="s">
        <v>83</v>
      </c>
      <c r="O325" t="s">
        <v>83</v>
      </c>
      <c r="P325" t="s">
        <v>84</v>
      </c>
      <c r="Q325" t="s">
        <v>387</v>
      </c>
      <c r="R325">
        <v>3</v>
      </c>
      <c r="S325" t="s">
        <v>86</v>
      </c>
      <c r="T325" t="s">
        <v>87</v>
      </c>
      <c r="U325" t="s">
        <v>88</v>
      </c>
      <c r="V325">
        <v>1</v>
      </c>
      <c r="W325" t="s">
        <v>388</v>
      </c>
      <c r="X325" t="s">
        <v>83</v>
      </c>
      <c r="Y325" t="s">
        <v>90</v>
      </c>
      <c r="Z325">
        <v>4000</v>
      </c>
      <c r="AA325">
        <v>4000</v>
      </c>
      <c r="AC325">
        <v>256</v>
      </c>
      <c r="AD325" t="s">
        <v>91</v>
      </c>
      <c r="AE325">
        <v>0.15</v>
      </c>
      <c r="AF325" t="s">
        <v>92</v>
      </c>
      <c r="AG325">
        <v>180</v>
      </c>
      <c r="AH325">
        <v>60</v>
      </c>
      <c r="AI325">
        <v>120</v>
      </c>
      <c r="AJ325">
        <v>0.10956603805886481</v>
      </c>
      <c r="AK325">
        <v>16.763166387843139</v>
      </c>
      <c r="AL325">
        <v>0.70163325835189161</v>
      </c>
      <c r="AM325">
        <v>-0.21118790373830679</v>
      </c>
      <c r="AN325">
        <v>23.393103621956001</v>
      </c>
      <c r="AO325">
        <v>0.64079718390689933</v>
      </c>
      <c r="AP325">
        <v>23.393103621956001</v>
      </c>
      <c r="AQ325">
        <v>23.393103621956001</v>
      </c>
      <c r="AR325">
        <v>0.64079718390689933</v>
      </c>
      <c r="AS325">
        <v>133.97748724334431</v>
      </c>
      <c r="AT325">
        <v>-0.20230646756491749</v>
      </c>
      <c r="AU325">
        <v>0.8</v>
      </c>
      <c r="AV325" t="s">
        <v>93</v>
      </c>
      <c r="AW325">
        <v>0.10994441201888799</v>
      </c>
      <c r="AX325">
        <v>0.2016614151768967</v>
      </c>
      <c r="AY325">
        <v>0.10994441201888799</v>
      </c>
      <c r="AZ325">
        <v>0.10994441201888799</v>
      </c>
      <c r="BA325">
        <v>0.2016614151768967</v>
      </c>
      <c r="BB325">
        <v>0.14065344394960341</v>
      </c>
      <c r="BC325">
        <v>-2.132586214505627E-2</v>
      </c>
      <c r="BD325">
        <v>7.4036234869727283E-2</v>
      </c>
      <c r="BE325">
        <v>0.74348025898431258</v>
      </c>
      <c r="BF325">
        <v>7.4036234869727283E-2</v>
      </c>
      <c r="BG325">
        <v>7.4036234869727283E-2</v>
      </c>
      <c r="BH325">
        <v>0.74348025898431258</v>
      </c>
      <c r="BI325">
        <v>0.29027533722762427</v>
      </c>
      <c r="BJ325">
        <v>-5.7420459034995819E-3</v>
      </c>
      <c r="BK325">
        <v>2.8952566675853459E-2</v>
      </c>
      <c r="BL325">
        <v>0.88376460254843792</v>
      </c>
      <c r="BM325">
        <v>2.8952566675853459E-2</v>
      </c>
      <c r="BN325">
        <v>2.8952566675853459E-2</v>
      </c>
      <c r="BO325">
        <v>0.88376460254843792</v>
      </c>
      <c r="BP325">
        <v>0.31359452367036428</v>
      </c>
      <c r="BQ325">
        <v>-0.25898282199132772</v>
      </c>
      <c r="BR325">
        <v>93.359481274259537</v>
      </c>
      <c r="BS325">
        <v>0.73428245891795463</v>
      </c>
      <c r="BT325">
        <v>93.359481274259537</v>
      </c>
      <c r="BU325">
        <v>93.359481274259537</v>
      </c>
      <c r="BV325">
        <v>0.73428245891795463</v>
      </c>
      <c r="BW325">
        <v>535.16542566853093</v>
      </c>
      <c r="BX325">
        <v>-0.52317514021980061</v>
      </c>
      <c r="BY325" t="str">
        <f t="shared" si="12"/>
        <v>[[sv,wv],[yr],[ya]]</v>
      </c>
      <c r="BZ325" t="str">
        <f>SUBSTITUTE(TRIM(MID(SUBSTITUTE(SUBSTITUTE(SUBSTITUTE(Tabla1[[#This Row],[map]],"[",""),"]",""),",",REPT(" ",100)),901,200))," ",", ")</f>
        <v>2, 4</v>
      </c>
      <c r="CA325" t="str">
        <f>SUBSTITUTE(TRIM(MID(SUBSTITUTE(SUBSTITUTE(SUBSTITUTE(Tabla1[[#This Row],[map]],"[",""),"]",""),",",REPT(" ",100)),1501,200))," ",", ")</f>
        <v>3, 2</v>
      </c>
      <c r="CB325" t="str">
        <f>SUBSTITUTE(TRIM(MID(SUBSTITUTE(SUBSTITUTE(SUBSTITUTE(Tabla1[[#This Row],[map]],"[",""),"]",""),",",REPT(" ",100)),601,300))," ",", ")</f>
        <v>1, 3, 0</v>
      </c>
      <c r="CC325" t="str">
        <f>SUBSTITUTE(TRIM(MID(SUBSTITUTE(SUBSTITUTE(SUBSTITUTE(Tabla1[[#This Row],[map]],"[",""),"]",""),",",REPT(" ",100)),1201,300))," ",", ")</f>
        <v>0, 1, 4</v>
      </c>
      <c r="CD325" t="str">
        <f>SUBSTITUTE(TRIM(MID(SUBSTITUTE(SUBSTITUTE(SUBSTITUTE(Tabla1[[#This Row],[map]],"[",""),"]",""),",",REPT(" ",100)),1,300))," ",", ")</f>
        <v>2, 3, 4</v>
      </c>
      <c r="CE325" t="str">
        <f>SUBSTITUTE(TRIM(MID(SUBSTITUTE(SUBSTITUTE(SUBSTITUTE(Tabla1[[#This Row],[map]],"[",""),"]",""),",",REPT(" ",100)),1,600))," ",", ")</f>
        <v>2, 3, 4, 0, 1, -1</v>
      </c>
      <c r="CF325" t="str">
        <f>SUBSTITUTE(TRIM(MID(SUBSTITUTE(SUBSTITUTE(SUBSTITUTE(Tabla1[[#This Row],[map]],"[",""),"]",""),",",REPT(" ",100)),601,600))," ",", ")</f>
        <v>1, 3, 0, 2, 4, -1</v>
      </c>
      <c r="CG325" t="str">
        <f>SUBSTITUTE(TRIM(MID(SUBSTITUTE(SUBSTITUTE(SUBSTITUTE(Tabla1[[#This Row],[map]],"[",""),"]",""),",",REPT(" ",100)),1201,600))," ",", ")</f>
        <v>0, 1, 4, 3, 2, -1</v>
      </c>
    </row>
    <row r="326" spans="1:85" x14ac:dyDescent="0.3">
      <c r="A326" s="1">
        <v>46109.004201388889</v>
      </c>
      <c r="B326" t="s">
        <v>564</v>
      </c>
      <c r="C326">
        <v>3</v>
      </c>
      <c r="D326" t="s">
        <v>96</v>
      </c>
      <c r="E326" t="s">
        <v>78</v>
      </c>
      <c r="F326">
        <v>16590</v>
      </c>
      <c r="G326">
        <v>4.5</v>
      </c>
      <c r="H326" t="s">
        <v>79</v>
      </c>
      <c r="I326" t="s">
        <v>80</v>
      </c>
      <c r="J326">
        <v>5</v>
      </c>
      <c r="K326">
        <v>5</v>
      </c>
      <c r="L326" t="s">
        <v>81</v>
      </c>
      <c r="M326" t="s">
        <v>82</v>
      </c>
      <c r="N326" t="s">
        <v>83</v>
      </c>
      <c r="O326" t="s">
        <v>83</v>
      </c>
      <c r="P326" t="s">
        <v>84</v>
      </c>
      <c r="Q326" t="s">
        <v>517</v>
      </c>
      <c r="R326">
        <v>3</v>
      </c>
      <c r="S326" t="s">
        <v>86</v>
      </c>
      <c r="T326" t="s">
        <v>87</v>
      </c>
      <c r="U326" t="s">
        <v>88</v>
      </c>
      <c r="V326">
        <v>1</v>
      </c>
      <c r="W326" t="s">
        <v>518</v>
      </c>
      <c r="X326" t="s">
        <v>83</v>
      </c>
      <c r="Y326" t="s">
        <v>90</v>
      </c>
      <c r="Z326">
        <v>4000</v>
      </c>
      <c r="AA326">
        <v>4000</v>
      </c>
      <c r="AC326">
        <v>256</v>
      </c>
      <c r="AD326" t="s">
        <v>91</v>
      </c>
      <c r="AE326">
        <v>0.15</v>
      </c>
      <c r="AF326" t="s">
        <v>92</v>
      </c>
      <c r="AG326">
        <v>180</v>
      </c>
      <c r="AH326">
        <v>60</v>
      </c>
      <c r="AI326">
        <v>120</v>
      </c>
      <c r="AJ326">
        <v>0.10094266201799131</v>
      </c>
      <c r="AK326">
        <v>12.254569404162259</v>
      </c>
      <c r="AL326">
        <v>0.75306357283536085</v>
      </c>
      <c r="AM326">
        <v>0.10649142862642109</v>
      </c>
      <c r="AN326">
        <v>17.4147302988071</v>
      </c>
      <c r="AO326">
        <v>0.69713190410591874</v>
      </c>
      <c r="AP326">
        <v>17.4147302988071</v>
      </c>
      <c r="AQ326">
        <v>17.4147302988071</v>
      </c>
      <c r="AR326">
        <v>0.69713190410591874</v>
      </c>
      <c r="AS326">
        <v>105.8938020211107</v>
      </c>
      <c r="AT326">
        <v>5.3701374403537387E-2</v>
      </c>
      <c r="AU326">
        <v>0.8</v>
      </c>
      <c r="AV326" t="s">
        <v>93</v>
      </c>
      <c r="AW326">
        <v>7.3236089327115575E-2</v>
      </c>
      <c r="AX326">
        <v>0.46821130025832147</v>
      </c>
      <c r="AY326">
        <v>7.3236089327115575E-2</v>
      </c>
      <c r="AZ326">
        <v>7.3236089327115575E-2</v>
      </c>
      <c r="BA326">
        <v>0.46821130025832147</v>
      </c>
      <c r="BB326">
        <v>8.9247820278666276E-2</v>
      </c>
      <c r="BC326">
        <v>0.35194543104585752</v>
      </c>
      <c r="BD326">
        <v>8.7589929151985352E-2</v>
      </c>
      <c r="BE326">
        <v>0.69651960312156724</v>
      </c>
      <c r="BF326">
        <v>8.7589929151985352E-2</v>
      </c>
      <c r="BG326">
        <v>8.7589929151985352E-2</v>
      </c>
      <c r="BH326">
        <v>0.69651960312156724</v>
      </c>
      <c r="BI326">
        <v>0.13996661906033339</v>
      </c>
      <c r="BJ326">
        <v>0.51504555930789253</v>
      </c>
      <c r="BK326">
        <v>4.446826572962382E-2</v>
      </c>
      <c r="BL326">
        <v>0.82147397849271564</v>
      </c>
      <c r="BM326">
        <v>4.446826572962382E-2</v>
      </c>
      <c r="BN326">
        <v>4.446826572962382E-2</v>
      </c>
      <c r="BO326">
        <v>0.82147397849271564</v>
      </c>
      <c r="BP326">
        <v>0.36074944702457479</v>
      </c>
      <c r="BQ326">
        <v>-0.44829492406640342</v>
      </c>
      <c r="BR326">
        <v>69.453626911019612</v>
      </c>
      <c r="BS326">
        <v>0.80232273455107328</v>
      </c>
      <c r="BT326">
        <v>69.453626911019612</v>
      </c>
      <c r="BU326">
        <v>69.453626911019612</v>
      </c>
      <c r="BV326">
        <v>0.80232273455107328</v>
      </c>
      <c r="BW326">
        <v>422.98524419807899</v>
      </c>
      <c r="BX326">
        <v>-0.2038905686731867</v>
      </c>
      <c r="BY326" t="str">
        <f t="shared" si="12"/>
        <v>[[sv,wv],[yr],[ya]]</v>
      </c>
      <c r="BZ326" t="str">
        <f>SUBSTITUTE(TRIM(MID(SUBSTITUTE(SUBSTITUTE(SUBSTITUTE(Tabla1[[#This Row],[map]],"[",""),"]",""),",",REPT(" ",100)),901,200))," ",", ")</f>
        <v>2, 4</v>
      </c>
      <c r="CA326" t="str">
        <f>SUBSTITUTE(TRIM(MID(SUBSTITUTE(SUBSTITUTE(SUBSTITUTE(Tabla1[[#This Row],[map]],"[",""),"]",""),",",REPT(" ",100)),1501,200))," ",", ")</f>
        <v>3, 2</v>
      </c>
      <c r="CB326" t="str">
        <f>SUBSTITUTE(TRIM(MID(SUBSTITUTE(SUBSTITUTE(SUBSTITUTE(Tabla1[[#This Row],[map]],"[",""),"]",""),",",REPT(" ",100)),601,300))," ",", ")</f>
        <v>1, 3, 0</v>
      </c>
      <c r="CC326" t="str">
        <f>SUBSTITUTE(TRIM(MID(SUBSTITUTE(SUBSTITUTE(SUBSTITUTE(Tabla1[[#This Row],[map]],"[",""),"]",""),",",REPT(" ",100)),1201,300))," ",", ")</f>
        <v>1, 4, 0</v>
      </c>
      <c r="CD326" t="str">
        <f>SUBSTITUTE(TRIM(MID(SUBSTITUTE(SUBSTITUTE(SUBSTITUTE(Tabla1[[#This Row],[map]],"[",""),"]",""),",",REPT(" ",100)),1,300))," ",", ")</f>
        <v>4, 2, 3</v>
      </c>
      <c r="CE326" t="str">
        <f>SUBSTITUTE(TRIM(MID(SUBSTITUTE(SUBSTITUTE(SUBSTITUTE(Tabla1[[#This Row],[map]],"[",""),"]",""),",",REPT(" ",100)),1,600))," ",", ")</f>
        <v>4, 2, 3, 0, 1, -1</v>
      </c>
      <c r="CF326" t="str">
        <f>SUBSTITUTE(TRIM(MID(SUBSTITUTE(SUBSTITUTE(SUBSTITUTE(Tabla1[[#This Row],[map]],"[",""),"]",""),",",REPT(" ",100)),601,600))," ",", ")</f>
        <v>1, 3, 0, 2, 4, -1</v>
      </c>
      <c r="CG326" t="str">
        <f>SUBSTITUTE(TRIM(MID(SUBSTITUTE(SUBSTITUTE(SUBSTITUTE(Tabla1[[#This Row],[map]],"[",""),"]",""),",",REPT(" ",100)),1201,600))," ",", ")</f>
        <v>1, 4, 0, 3, 2, -1</v>
      </c>
    </row>
    <row r="327" spans="1:85" x14ac:dyDescent="0.3">
      <c r="A327" s="1">
        <v>46109.010069444441</v>
      </c>
      <c r="B327" t="s">
        <v>565</v>
      </c>
      <c r="C327">
        <v>8</v>
      </c>
      <c r="D327" t="s">
        <v>96</v>
      </c>
      <c r="E327" t="s">
        <v>78</v>
      </c>
      <c r="F327">
        <v>16590</v>
      </c>
      <c r="G327">
        <v>4.5</v>
      </c>
      <c r="H327" t="s">
        <v>79</v>
      </c>
      <c r="I327" t="s">
        <v>80</v>
      </c>
      <c r="J327">
        <v>5</v>
      </c>
      <c r="K327">
        <v>5</v>
      </c>
      <c r="L327" t="s">
        <v>81</v>
      </c>
      <c r="M327" t="s">
        <v>82</v>
      </c>
      <c r="N327" t="s">
        <v>83</v>
      </c>
      <c r="O327" t="s">
        <v>83</v>
      </c>
      <c r="P327" t="s">
        <v>84</v>
      </c>
      <c r="Q327" t="s">
        <v>384</v>
      </c>
      <c r="R327">
        <v>3</v>
      </c>
      <c r="S327" t="s">
        <v>86</v>
      </c>
      <c r="T327" t="s">
        <v>87</v>
      </c>
      <c r="U327" t="s">
        <v>88</v>
      </c>
      <c r="V327">
        <v>1</v>
      </c>
      <c r="W327" t="s">
        <v>385</v>
      </c>
      <c r="X327" t="s">
        <v>83</v>
      </c>
      <c r="Y327" t="s">
        <v>90</v>
      </c>
      <c r="Z327">
        <v>4000</v>
      </c>
      <c r="AA327">
        <v>4000</v>
      </c>
      <c r="AC327">
        <v>256</v>
      </c>
      <c r="AD327" t="s">
        <v>91</v>
      </c>
      <c r="AE327">
        <v>0.15</v>
      </c>
      <c r="AF327" t="s">
        <v>92</v>
      </c>
      <c r="AG327">
        <v>180</v>
      </c>
      <c r="AH327">
        <v>60</v>
      </c>
      <c r="AI327">
        <v>120</v>
      </c>
      <c r="AJ327">
        <v>9.386636987675738E-2</v>
      </c>
      <c r="AK327">
        <v>21.753193346984649</v>
      </c>
      <c r="AL327">
        <v>0.75669669543947726</v>
      </c>
      <c r="AM327">
        <v>0.41218512466531593</v>
      </c>
      <c r="AN327">
        <v>23.800562441852851</v>
      </c>
      <c r="AO327">
        <v>0.70376851175345689</v>
      </c>
      <c r="AP327">
        <v>23.800562441852851</v>
      </c>
      <c r="AQ327">
        <v>23.800562441852851</v>
      </c>
      <c r="AR327">
        <v>0.70376851175345689</v>
      </c>
      <c r="AS327">
        <v>80.488850492834985</v>
      </c>
      <c r="AT327">
        <v>0.3041079028604885</v>
      </c>
      <c r="AU327">
        <v>0.8</v>
      </c>
      <c r="AV327" t="s">
        <v>93</v>
      </c>
      <c r="AW327">
        <v>8.1615019910573627E-2</v>
      </c>
      <c r="AX327">
        <v>0.40736943061259773</v>
      </c>
      <c r="AY327">
        <v>8.1615019910573627E-2</v>
      </c>
      <c r="AZ327">
        <v>8.1615019910573627E-2</v>
      </c>
      <c r="BA327">
        <v>0.40736943061259773</v>
      </c>
      <c r="BB327">
        <v>0.14572295354421699</v>
      </c>
      <c r="BC327">
        <v>-5.8137056467653332E-2</v>
      </c>
      <c r="BD327">
        <v>6.2414070037421658E-2</v>
      </c>
      <c r="BE327">
        <v>0.78374857784291652</v>
      </c>
      <c r="BF327">
        <v>6.2414070037421658E-2</v>
      </c>
      <c r="BG327">
        <v>6.2414070037421658E-2</v>
      </c>
      <c r="BH327">
        <v>0.78374857784291652</v>
      </c>
      <c r="BI327">
        <v>0.1145340564484929</v>
      </c>
      <c r="BJ327">
        <v>0.60316395682005663</v>
      </c>
      <c r="BK327">
        <v>2.629506005448088E-2</v>
      </c>
      <c r="BL327">
        <v>0.89443365105884243</v>
      </c>
      <c r="BM327">
        <v>2.629506005448088E-2</v>
      </c>
      <c r="BN327">
        <v>2.629506005448088E-2</v>
      </c>
      <c r="BO327">
        <v>0.89443365105884243</v>
      </c>
      <c r="BP327">
        <v>0.10294389934816379</v>
      </c>
      <c r="BQ327">
        <v>0.58671280546857796</v>
      </c>
      <c r="BR327">
        <v>95.031925617408845</v>
      </c>
      <c r="BS327">
        <v>0.7295223874994694</v>
      </c>
      <c r="BT327">
        <v>95.031925617408845</v>
      </c>
      <c r="BU327">
        <v>95.031925617408845</v>
      </c>
      <c r="BV327">
        <v>0.7295223874994694</v>
      </c>
      <c r="BW327">
        <v>321.59220106199791</v>
      </c>
      <c r="BX327">
        <v>8.4691905620974617E-2</v>
      </c>
      <c r="BY327" t="str">
        <f t="shared" si="12"/>
        <v>[[sv,wv],[yr],[ya]]</v>
      </c>
      <c r="BZ327" t="str">
        <f>SUBSTITUTE(TRIM(MID(SUBSTITUTE(SUBSTITUTE(SUBSTITUTE(Tabla1[[#This Row],[map]],"[",""),"]",""),",",REPT(" ",100)),901,200))," ",", ")</f>
        <v>2, 3</v>
      </c>
      <c r="CA327" t="str">
        <f>SUBSTITUTE(TRIM(MID(SUBSTITUTE(SUBSTITUTE(SUBSTITUTE(Tabla1[[#This Row],[map]],"[",""),"]",""),",",REPT(" ",100)),1501,200))," ",", ")</f>
        <v>3, 2</v>
      </c>
      <c r="CB327" t="str">
        <f>SUBSTITUTE(TRIM(MID(SUBSTITUTE(SUBSTITUTE(SUBSTITUTE(Tabla1[[#This Row],[map]],"[",""),"]",""),",",REPT(" ",100)),601,300))," ",", ")</f>
        <v>1, 4, 0</v>
      </c>
      <c r="CC327" t="str">
        <f>SUBSTITUTE(TRIM(MID(SUBSTITUTE(SUBSTITUTE(SUBSTITUTE(Tabla1[[#This Row],[map]],"[",""),"]",""),",",REPT(" ",100)),1201,300))," ",", ")</f>
        <v>0, 1, 4</v>
      </c>
      <c r="CD327" t="str">
        <f>SUBSTITUTE(TRIM(MID(SUBSTITUTE(SUBSTITUTE(SUBSTITUTE(Tabla1[[#This Row],[map]],"[",""),"]",""),",",REPT(" ",100)),1,300))," ",", ")</f>
        <v>2, 3, 4</v>
      </c>
      <c r="CE327" t="str">
        <f>SUBSTITUTE(TRIM(MID(SUBSTITUTE(SUBSTITUTE(SUBSTITUTE(Tabla1[[#This Row],[map]],"[",""),"]",""),",",REPT(" ",100)),1,600))," ",", ")</f>
        <v>2, 3, 4, 0, 1, -1</v>
      </c>
      <c r="CF327" t="str">
        <f>SUBSTITUTE(TRIM(MID(SUBSTITUTE(SUBSTITUTE(SUBSTITUTE(Tabla1[[#This Row],[map]],"[",""),"]",""),",",REPT(" ",100)),601,600))," ",", ")</f>
        <v>1, 4, 0, 2, 3, -1</v>
      </c>
      <c r="CG327" t="str">
        <f>SUBSTITUTE(TRIM(MID(SUBSTITUTE(SUBSTITUTE(SUBSTITUTE(Tabla1[[#This Row],[map]],"[",""),"]",""),",",REPT(" ",100)),1201,600))," ",", ")</f>
        <v>0, 1, 4, 3, 2, -1</v>
      </c>
    </row>
    <row r="328" spans="1:85" x14ac:dyDescent="0.3">
      <c r="A328" s="1">
        <v>46109.010694444441</v>
      </c>
      <c r="B328" t="s">
        <v>566</v>
      </c>
      <c r="C328">
        <v>9</v>
      </c>
      <c r="D328" t="s">
        <v>77</v>
      </c>
      <c r="E328" t="s">
        <v>78</v>
      </c>
      <c r="F328">
        <v>16590</v>
      </c>
      <c r="G328">
        <v>4.5</v>
      </c>
      <c r="H328" t="s">
        <v>79</v>
      </c>
      <c r="I328" t="s">
        <v>80</v>
      </c>
      <c r="J328">
        <v>5</v>
      </c>
      <c r="K328">
        <v>5</v>
      </c>
      <c r="L328" t="s">
        <v>81</v>
      </c>
      <c r="M328" t="s">
        <v>82</v>
      </c>
      <c r="N328" t="s">
        <v>83</v>
      </c>
      <c r="O328" t="s">
        <v>83</v>
      </c>
      <c r="P328" t="s">
        <v>84</v>
      </c>
      <c r="Q328" t="s">
        <v>384</v>
      </c>
      <c r="R328">
        <v>3</v>
      </c>
      <c r="S328" t="s">
        <v>86</v>
      </c>
      <c r="T328" t="s">
        <v>87</v>
      </c>
      <c r="U328" t="s">
        <v>88</v>
      </c>
      <c r="V328">
        <v>1</v>
      </c>
      <c r="W328" t="s">
        <v>385</v>
      </c>
      <c r="X328" t="s">
        <v>83</v>
      </c>
      <c r="Y328" t="s">
        <v>90</v>
      </c>
      <c r="Z328">
        <v>4000</v>
      </c>
      <c r="AA328">
        <v>4000</v>
      </c>
      <c r="AC328">
        <v>256</v>
      </c>
      <c r="AD328" t="s">
        <v>91</v>
      </c>
      <c r="AE328">
        <v>0.15</v>
      </c>
      <c r="AF328" t="s">
        <v>92</v>
      </c>
      <c r="AG328">
        <v>180</v>
      </c>
      <c r="AH328">
        <v>60</v>
      </c>
      <c r="AI328">
        <v>120</v>
      </c>
      <c r="AJ328">
        <v>9.8372353816423494E-2</v>
      </c>
      <c r="AK328">
        <v>16.681607092178851</v>
      </c>
      <c r="AL328">
        <v>0.80592460306546498</v>
      </c>
      <c r="AM328">
        <v>-0.10490442536793421</v>
      </c>
      <c r="AN328">
        <v>23.491366196466309</v>
      </c>
      <c r="AO328">
        <v>0.7471109254872853</v>
      </c>
      <c r="AP328">
        <v>23.491366196466309</v>
      </c>
      <c r="AQ328">
        <v>23.491366196466309</v>
      </c>
      <c r="AR328">
        <v>0.7471109254872853</v>
      </c>
      <c r="AS328">
        <v>100.75922767918171</v>
      </c>
      <c r="AT328">
        <v>-0.10266836511072711</v>
      </c>
      <c r="AU328">
        <v>0.8</v>
      </c>
      <c r="AV328" t="s">
        <v>93</v>
      </c>
      <c r="AW328">
        <v>5.4028736601794872E-2</v>
      </c>
      <c r="AX328">
        <v>0.60768151535480486</v>
      </c>
      <c r="AY328">
        <v>5.4028736601794872E-2</v>
      </c>
      <c r="AZ328">
        <v>5.4028736601794872E-2</v>
      </c>
      <c r="BA328">
        <v>0.60768151535480486</v>
      </c>
      <c r="BB328">
        <v>0.1159469572516323</v>
      </c>
      <c r="BC328">
        <v>0.15807517574507801</v>
      </c>
      <c r="BD328">
        <v>4.9261187088806037E-2</v>
      </c>
      <c r="BE328">
        <v>0.82932050804068125</v>
      </c>
      <c r="BF328">
        <v>4.9261187088806037E-2</v>
      </c>
      <c r="BG328">
        <v>4.9261187088806037E-2</v>
      </c>
      <c r="BH328">
        <v>0.82932050804068125</v>
      </c>
      <c r="BI328">
        <v>0.3348385192704848</v>
      </c>
      <c r="BJ328">
        <v>-0.1601439537879816</v>
      </c>
      <c r="BK328">
        <v>4.5218687150707822E-2</v>
      </c>
      <c r="BL328">
        <v>0.81846127384678824</v>
      </c>
      <c r="BM328">
        <v>4.5218687150707822E-2</v>
      </c>
      <c r="BN328">
        <v>4.5218687150707822E-2</v>
      </c>
      <c r="BO328">
        <v>0.81846127384678824</v>
      </c>
      <c r="BP328">
        <v>0.31476190034205842</v>
      </c>
      <c r="BQ328">
        <v>-0.26366947008471459</v>
      </c>
      <c r="BR328">
        <v>93.816956175023705</v>
      </c>
      <c r="BS328">
        <v>0.7329804047068702</v>
      </c>
      <c r="BT328">
        <v>93.816956175023705</v>
      </c>
      <c r="BU328">
        <v>93.816956175023705</v>
      </c>
      <c r="BV328">
        <v>0.7329804047068702</v>
      </c>
      <c r="BW328">
        <v>402.27136333986158</v>
      </c>
      <c r="BX328">
        <v>-0.1449352123152938</v>
      </c>
      <c r="BY328" t="str">
        <f t="shared" si="12"/>
        <v>[[sv,wv],[yr],[ya]]</v>
      </c>
      <c r="BZ328" t="str">
        <f>SUBSTITUTE(TRIM(MID(SUBSTITUTE(SUBSTITUTE(SUBSTITUTE(Tabla1[[#This Row],[map]],"[",""),"]",""),",",REPT(" ",100)),901,200))," ",", ")</f>
        <v>2, 3</v>
      </c>
      <c r="CA328" t="str">
        <f>SUBSTITUTE(TRIM(MID(SUBSTITUTE(SUBSTITUTE(SUBSTITUTE(Tabla1[[#This Row],[map]],"[",""),"]",""),",",REPT(" ",100)),1501,200))," ",", ")</f>
        <v>3, 2</v>
      </c>
      <c r="CB328" t="str">
        <f>SUBSTITUTE(TRIM(MID(SUBSTITUTE(SUBSTITUTE(SUBSTITUTE(Tabla1[[#This Row],[map]],"[",""),"]",""),",",REPT(" ",100)),601,300))," ",", ")</f>
        <v>1, 4, 0</v>
      </c>
      <c r="CC328" t="str">
        <f>SUBSTITUTE(TRIM(MID(SUBSTITUTE(SUBSTITUTE(SUBSTITUTE(Tabla1[[#This Row],[map]],"[",""),"]",""),",",REPT(" ",100)),1201,300))," ",", ")</f>
        <v>0, 1, 4</v>
      </c>
      <c r="CD328" t="str">
        <f>SUBSTITUTE(TRIM(MID(SUBSTITUTE(SUBSTITUTE(SUBSTITUTE(Tabla1[[#This Row],[map]],"[",""),"]",""),",",REPT(" ",100)),1,300))," ",", ")</f>
        <v>2, 3, 4</v>
      </c>
      <c r="CE328" t="str">
        <f>SUBSTITUTE(TRIM(MID(SUBSTITUTE(SUBSTITUTE(SUBSTITUTE(Tabla1[[#This Row],[map]],"[",""),"]",""),",",REPT(" ",100)),1,600))," ",", ")</f>
        <v>2, 3, 4, 0, 1, -1</v>
      </c>
      <c r="CF328" t="str">
        <f>SUBSTITUTE(TRIM(MID(SUBSTITUTE(SUBSTITUTE(SUBSTITUTE(Tabla1[[#This Row],[map]],"[",""),"]",""),",",REPT(" ",100)),601,600))," ",", ")</f>
        <v>1, 4, 0, 2, 3, -1</v>
      </c>
      <c r="CG328" t="str">
        <f>SUBSTITUTE(TRIM(MID(SUBSTITUTE(SUBSTITUTE(SUBSTITUTE(Tabla1[[#This Row],[map]],"[",""),"]",""),",",REPT(" ",100)),1201,600))," ",", ")</f>
        <v>0, 1, 4, 3, 2, -1</v>
      </c>
    </row>
    <row r="329" spans="1:85" x14ac:dyDescent="0.3">
      <c r="A329" s="1">
        <v>46109.013067129628</v>
      </c>
      <c r="B329" t="s">
        <v>567</v>
      </c>
      <c r="C329">
        <v>6</v>
      </c>
      <c r="D329" t="s">
        <v>96</v>
      </c>
      <c r="E329" t="s">
        <v>78</v>
      </c>
      <c r="F329">
        <v>16590</v>
      </c>
      <c r="G329">
        <v>4.5</v>
      </c>
      <c r="H329" t="s">
        <v>79</v>
      </c>
      <c r="I329" t="s">
        <v>80</v>
      </c>
      <c r="J329">
        <v>5</v>
      </c>
      <c r="K329">
        <v>5</v>
      </c>
      <c r="L329" t="s">
        <v>81</v>
      </c>
      <c r="M329" t="s">
        <v>82</v>
      </c>
      <c r="N329" t="s">
        <v>83</v>
      </c>
      <c r="O329" t="s">
        <v>83</v>
      </c>
      <c r="P329" t="s">
        <v>84</v>
      </c>
      <c r="Q329" t="s">
        <v>397</v>
      </c>
      <c r="R329">
        <v>3</v>
      </c>
      <c r="S329" t="s">
        <v>86</v>
      </c>
      <c r="T329" t="s">
        <v>87</v>
      </c>
      <c r="U329" t="s">
        <v>88</v>
      </c>
      <c r="V329">
        <v>1</v>
      </c>
      <c r="W329" t="s">
        <v>398</v>
      </c>
      <c r="X329" t="s">
        <v>83</v>
      </c>
      <c r="Y329" t="s">
        <v>90</v>
      </c>
      <c r="Z329">
        <v>4000</v>
      </c>
      <c r="AA329">
        <v>4000</v>
      </c>
      <c r="AC329">
        <v>256</v>
      </c>
      <c r="AD329" t="s">
        <v>91</v>
      </c>
      <c r="AE329">
        <v>0.15</v>
      </c>
      <c r="AF329" t="s">
        <v>92</v>
      </c>
      <c r="AG329">
        <v>180</v>
      </c>
      <c r="AH329">
        <v>60</v>
      </c>
      <c r="AI329">
        <v>120</v>
      </c>
      <c r="AJ329">
        <v>0.10385077699548539</v>
      </c>
      <c r="AK329">
        <v>9.0730321991369607</v>
      </c>
      <c r="AL329">
        <v>0.80205281709971543</v>
      </c>
      <c r="AM329">
        <v>-0.3448206457445917</v>
      </c>
      <c r="AN329">
        <v>14.40835473554578</v>
      </c>
      <c r="AO329">
        <v>0.74193361681774284</v>
      </c>
      <c r="AP329">
        <v>14.40835473554578</v>
      </c>
      <c r="AQ329">
        <v>14.40835473554578</v>
      </c>
      <c r="AR329">
        <v>0.74193361681774284</v>
      </c>
      <c r="AS329">
        <v>143.7060823699976</v>
      </c>
      <c r="AT329">
        <v>-0.27663812182611741</v>
      </c>
      <c r="AU329">
        <v>0.8</v>
      </c>
      <c r="AV329" t="s">
        <v>93</v>
      </c>
      <c r="AW329">
        <v>6.6352791890049417E-2</v>
      </c>
      <c r="AX329">
        <v>0.51819293946959699</v>
      </c>
      <c r="AY329">
        <v>6.6352791890049417E-2</v>
      </c>
      <c r="AZ329">
        <v>6.6352791890049417E-2</v>
      </c>
      <c r="BA329">
        <v>0.51819293946959699</v>
      </c>
      <c r="BB329">
        <v>0.17388952753877859</v>
      </c>
      <c r="BC329">
        <v>-0.26266280188043961</v>
      </c>
      <c r="BD329">
        <v>6.7018713948881717E-2</v>
      </c>
      <c r="BE329">
        <v>0.76779447015881308</v>
      </c>
      <c r="BF329">
        <v>6.7018713948881717E-2</v>
      </c>
      <c r="BG329">
        <v>6.7018713948881717E-2</v>
      </c>
      <c r="BH329">
        <v>0.76779447015881308</v>
      </c>
      <c r="BI329">
        <v>0.2906720877222424</v>
      </c>
      <c r="BJ329">
        <v>-7.116701628582911E-3</v>
      </c>
      <c r="BK329">
        <v>3.8535376975119752E-2</v>
      </c>
      <c r="BL329">
        <v>0.84529265025803513</v>
      </c>
      <c r="BM329">
        <v>3.8535376975119752E-2</v>
      </c>
      <c r="BN329">
        <v>3.8535376975119752E-2</v>
      </c>
      <c r="BO329">
        <v>0.84529265025803513</v>
      </c>
      <c r="BP329">
        <v>0.29962425696065048</v>
      </c>
      <c r="BQ329">
        <v>-0.20289661997379849</v>
      </c>
      <c r="BR329">
        <v>57.461512059369213</v>
      </c>
      <c r="BS329">
        <v>0.83645440738452759</v>
      </c>
      <c r="BT329">
        <v>57.461512059369213</v>
      </c>
      <c r="BU329">
        <v>57.461512059369213</v>
      </c>
      <c r="BV329">
        <v>0.83645440738452759</v>
      </c>
      <c r="BW329">
        <v>574.06014360776885</v>
      </c>
      <c r="BX329">
        <v>-0.63387636382164536</v>
      </c>
      <c r="BY329" t="str">
        <f t="shared" si="12"/>
        <v>[[sv,wv],[yr],[ya]]</v>
      </c>
      <c r="BZ329" t="str">
        <f>SUBSTITUTE(TRIM(MID(SUBSTITUTE(SUBSTITUTE(SUBSTITUTE(Tabla1[[#This Row],[map]],"[",""),"]",""),",",REPT(" ",100)),901,200))," ",", ")</f>
        <v>2, 3</v>
      </c>
      <c r="CA329" t="str">
        <f>SUBSTITUTE(TRIM(MID(SUBSTITUTE(SUBSTITUTE(SUBSTITUTE(Tabla1[[#This Row],[map]],"[",""),"]",""),",",REPT(" ",100)),1501,200))," ",", ")</f>
        <v>3, 2</v>
      </c>
      <c r="CB329" t="str">
        <f>SUBSTITUTE(TRIM(MID(SUBSTITUTE(SUBSTITUTE(SUBSTITUTE(Tabla1[[#This Row],[map]],"[",""),"]",""),",",REPT(" ",100)),601,300))," ",", ")</f>
        <v>1, 4, 0</v>
      </c>
      <c r="CC329" t="str">
        <f>SUBSTITUTE(TRIM(MID(SUBSTITUTE(SUBSTITUTE(SUBSTITUTE(Tabla1[[#This Row],[map]],"[",""),"]",""),",",REPT(" ",100)),1201,300))," ",", ")</f>
        <v>1, 4, 0</v>
      </c>
      <c r="CD329" t="str">
        <f>SUBSTITUTE(TRIM(MID(SUBSTITUTE(SUBSTITUTE(SUBSTITUTE(Tabla1[[#This Row],[map]],"[",""),"]",""),",",REPT(" ",100)),1,300))," ",", ")</f>
        <v>2, 3, 4</v>
      </c>
      <c r="CE329" t="str">
        <f>SUBSTITUTE(TRIM(MID(SUBSTITUTE(SUBSTITUTE(SUBSTITUTE(Tabla1[[#This Row],[map]],"[",""),"]",""),",",REPT(" ",100)),1,600))," ",", ")</f>
        <v>2, 3, 4, 0, 1, -1</v>
      </c>
      <c r="CF329" t="str">
        <f>SUBSTITUTE(TRIM(MID(SUBSTITUTE(SUBSTITUTE(SUBSTITUTE(Tabla1[[#This Row],[map]],"[",""),"]",""),",",REPT(" ",100)),601,600))," ",", ")</f>
        <v>1, 4, 0, 2, 3, -1</v>
      </c>
      <c r="CG329" t="str">
        <f>SUBSTITUTE(TRIM(MID(SUBSTITUTE(SUBSTITUTE(SUBSTITUTE(Tabla1[[#This Row],[map]],"[",""),"]",""),",",REPT(" ",100)),1201,600))," ",", ")</f>
        <v>1, 4, 0, 3, 2, -1</v>
      </c>
    </row>
    <row r="330" spans="1:85" x14ac:dyDescent="0.3">
      <c r="A330" s="1">
        <v>46109.021296296298</v>
      </c>
      <c r="B330" t="s">
        <v>568</v>
      </c>
      <c r="C330">
        <v>5</v>
      </c>
      <c r="D330" t="s">
        <v>77</v>
      </c>
      <c r="E330" t="s">
        <v>78</v>
      </c>
      <c r="F330">
        <v>16590</v>
      </c>
      <c r="G330">
        <v>4.5</v>
      </c>
      <c r="H330" t="s">
        <v>79</v>
      </c>
      <c r="I330" t="s">
        <v>80</v>
      </c>
      <c r="J330">
        <v>5</v>
      </c>
      <c r="K330">
        <v>5</v>
      </c>
      <c r="L330" t="s">
        <v>81</v>
      </c>
      <c r="M330" t="s">
        <v>82</v>
      </c>
      <c r="N330" t="s">
        <v>83</v>
      </c>
      <c r="O330" t="s">
        <v>83</v>
      </c>
      <c r="P330" t="s">
        <v>84</v>
      </c>
      <c r="Q330" t="s">
        <v>219</v>
      </c>
      <c r="R330">
        <v>3</v>
      </c>
      <c r="S330" t="s">
        <v>86</v>
      </c>
      <c r="T330" t="s">
        <v>87</v>
      </c>
      <c r="U330" t="s">
        <v>88</v>
      </c>
      <c r="V330">
        <v>1</v>
      </c>
      <c r="W330" t="s">
        <v>220</v>
      </c>
      <c r="X330" t="s">
        <v>83</v>
      </c>
      <c r="Y330" t="s">
        <v>90</v>
      </c>
      <c r="Z330">
        <v>4000</v>
      </c>
      <c r="AA330">
        <v>4000</v>
      </c>
      <c r="AC330">
        <v>256</v>
      </c>
      <c r="AD330" t="s">
        <v>91</v>
      </c>
      <c r="AE330">
        <v>0.15</v>
      </c>
      <c r="AF330" t="s">
        <v>92</v>
      </c>
      <c r="AG330">
        <v>180</v>
      </c>
      <c r="AH330">
        <v>60</v>
      </c>
      <c r="AI330">
        <v>120</v>
      </c>
      <c r="AJ330">
        <v>0.13899670245205731</v>
      </c>
      <c r="AK330">
        <v>19.797373341274302</v>
      </c>
      <c r="AL330">
        <v>0.63368883525147912</v>
      </c>
      <c r="AM330">
        <v>-0.13934920998651759</v>
      </c>
      <c r="AN330">
        <v>20.120207812647351</v>
      </c>
      <c r="AO330">
        <v>0.60359724691809435</v>
      </c>
      <c r="AP330">
        <v>20.120207812647351</v>
      </c>
      <c r="AQ330">
        <v>20.120207812647351</v>
      </c>
      <c r="AR330">
        <v>0.60359724691809435</v>
      </c>
      <c r="AS330">
        <v>94.172400726023767</v>
      </c>
      <c r="AT330">
        <v>-8.939405862337671E-2</v>
      </c>
      <c r="AU330">
        <v>0.8</v>
      </c>
      <c r="AV330" t="s">
        <v>93</v>
      </c>
      <c r="AW330">
        <v>7.6842893720759434E-2</v>
      </c>
      <c r="AX330">
        <v>0.44202123691193951</v>
      </c>
      <c r="AY330">
        <v>7.6842893720759434E-2</v>
      </c>
      <c r="AZ330">
        <v>7.6842893720759434E-2</v>
      </c>
      <c r="BA330">
        <v>0.44202123691193951</v>
      </c>
      <c r="BB330">
        <v>0.13621850245729841</v>
      </c>
      <c r="BC330">
        <v>1.0877547284536489E-2</v>
      </c>
      <c r="BD330">
        <v>0.10216319823197451</v>
      </c>
      <c r="BE330">
        <v>0.64602633834751932</v>
      </c>
      <c r="BF330">
        <v>0.10216319823197451</v>
      </c>
      <c r="BG330">
        <v>0.10216319823197451</v>
      </c>
      <c r="BH330">
        <v>0.64602633834751932</v>
      </c>
      <c r="BI330">
        <v>0.27064765292982013</v>
      </c>
      <c r="BJ330">
        <v>6.2263688068111889E-2</v>
      </c>
      <c r="BK330">
        <v>0.1109480219945585</v>
      </c>
      <c r="BL330">
        <v>0.55457878476254296</v>
      </c>
      <c r="BM330">
        <v>0.1109480219945585</v>
      </c>
      <c r="BN330">
        <v>0.1109480219945585</v>
      </c>
      <c r="BO330">
        <v>0.55457878476254296</v>
      </c>
      <c r="BP330">
        <v>0.33893458114415781</v>
      </c>
      <c r="BQ330">
        <v>-0.36071513764016072</v>
      </c>
      <c r="BR330">
        <v>80.190877136642271</v>
      </c>
      <c r="BS330">
        <v>0.77176262765037529</v>
      </c>
      <c r="BT330">
        <v>80.190877136642271</v>
      </c>
      <c r="BU330">
        <v>80.190877136642271</v>
      </c>
      <c r="BV330">
        <v>0.77176262765037529</v>
      </c>
      <c r="BW330">
        <v>375.94380216756292</v>
      </c>
      <c r="BX330">
        <v>-7.0002332205995943E-2</v>
      </c>
      <c r="BY330" t="str">
        <f t="shared" si="12"/>
        <v>[[sv,wv],[yr],[ya]]</v>
      </c>
      <c r="BZ330" t="str">
        <f>SUBSTITUTE(TRIM(MID(SUBSTITUTE(SUBSTITUTE(SUBSTITUTE(Tabla1[[#This Row],[map]],"[",""),"]",""),",",REPT(" ",100)),901,200))," ",", ")</f>
        <v>2, 3</v>
      </c>
      <c r="CA330" t="str">
        <f>SUBSTITUTE(TRIM(MID(SUBSTITUTE(SUBSTITUTE(SUBSTITUTE(Tabla1[[#This Row],[map]],"[",""),"]",""),",",REPT(" ",100)),1501,200))," ",", ")</f>
        <v>3, 4</v>
      </c>
      <c r="CB330" t="str">
        <f>SUBSTITUTE(TRIM(MID(SUBSTITUTE(SUBSTITUTE(SUBSTITUTE(Tabla1[[#This Row],[map]],"[",""),"]",""),",",REPT(" ",100)),601,300))," ",", ")</f>
        <v>0, 1, 4</v>
      </c>
      <c r="CC330" t="str">
        <f>SUBSTITUTE(TRIM(MID(SUBSTITUTE(SUBSTITUTE(SUBSTITUTE(Tabla1[[#This Row],[map]],"[",""),"]",""),",",REPT(" ",100)),1201,300))," ",", ")</f>
        <v>0, 1, 2</v>
      </c>
      <c r="CD330" t="str">
        <f>SUBSTITUTE(TRIM(MID(SUBSTITUTE(SUBSTITUTE(SUBSTITUTE(Tabla1[[#This Row],[map]],"[",""),"]",""),",",REPT(" ",100)),1,300))," ",", ")</f>
        <v>4, 2, 3</v>
      </c>
      <c r="CE330" t="str">
        <f>SUBSTITUTE(TRIM(MID(SUBSTITUTE(SUBSTITUTE(SUBSTITUTE(Tabla1[[#This Row],[map]],"[",""),"]",""),",",REPT(" ",100)),1,600))," ",", ")</f>
        <v>4, 2, 3, 0, 1, -1</v>
      </c>
      <c r="CF330" t="str">
        <f>SUBSTITUTE(TRIM(MID(SUBSTITUTE(SUBSTITUTE(SUBSTITUTE(Tabla1[[#This Row],[map]],"[",""),"]",""),",",REPT(" ",100)),601,600))," ",", ")</f>
        <v>0, 1, 4, 2, 3, -1</v>
      </c>
      <c r="CG330" t="str">
        <f>SUBSTITUTE(TRIM(MID(SUBSTITUTE(SUBSTITUTE(SUBSTITUTE(Tabla1[[#This Row],[map]],"[",""),"]",""),",",REPT(" ",100)),1201,600))," ",", ")</f>
        <v>0, 1, 2, 3, 4, -1</v>
      </c>
    </row>
    <row r="331" spans="1:85" x14ac:dyDescent="0.3">
      <c r="A331" s="1">
        <v>46109.031365740739</v>
      </c>
      <c r="B331" t="s">
        <v>569</v>
      </c>
      <c r="C331">
        <v>2</v>
      </c>
      <c r="D331" t="s">
        <v>77</v>
      </c>
      <c r="E331" t="s">
        <v>78</v>
      </c>
      <c r="F331">
        <v>16590</v>
      </c>
      <c r="G331">
        <v>4.5</v>
      </c>
      <c r="H331" t="s">
        <v>79</v>
      </c>
      <c r="I331" t="s">
        <v>80</v>
      </c>
      <c r="J331">
        <v>5</v>
      </c>
      <c r="K331">
        <v>5</v>
      </c>
      <c r="L331" t="s">
        <v>81</v>
      </c>
      <c r="M331" t="s">
        <v>82</v>
      </c>
      <c r="N331" t="s">
        <v>83</v>
      </c>
      <c r="O331" t="s">
        <v>83</v>
      </c>
      <c r="P331" t="s">
        <v>84</v>
      </c>
      <c r="Q331" t="s">
        <v>517</v>
      </c>
      <c r="R331">
        <v>3</v>
      </c>
      <c r="S331" t="s">
        <v>86</v>
      </c>
      <c r="T331" t="s">
        <v>87</v>
      </c>
      <c r="U331" t="s">
        <v>88</v>
      </c>
      <c r="V331">
        <v>1</v>
      </c>
      <c r="W331" t="s">
        <v>518</v>
      </c>
      <c r="X331" t="s">
        <v>83</v>
      </c>
      <c r="Y331" t="s">
        <v>90</v>
      </c>
      <c r="Z331">
        <v>4000</v>
      </c>
      <c r="AA331">
        <v>4000</v>
      </c>
      <c r="AC331">
        <v>256</v>
      </c>
      <c r="AD331" t="s">
        <v>91</v>
      </c>
      <c r="AE331">
        <v>0.15</v>
      </c>
      <c r="AF331" t="s">
        <v>92</v>
      </c>
      <c r="AG331">
        <v>180</v>
      </c>
      <c r="AH331">
        <v>60</v>
      </c>
      <c r="AI331">
        <v>120</v>
      </c>
      <c r="AJ331">
        <v>0.1047544911705301</v>
      </c>
      <c r="AK331">
        <v>13.088729748948071</v>
      </c>
      <c r="AL331">
        <v>0.71611679543438433</v>
      </c>
      <c r="AM331">
        <v>0.26927621351049752</v>
      </c>
      <c r="AN331">
        <v>21.566498836593301</v>
      </c>
      <c r="AO331">
        <v>0.66382928355924031</v>
      </c>
      <c r="AP331">
        <v>21.566498836593301</v>
      </c>
      <c r="AQ331">
        <v>21.566498836593301</v>
      </c>
      <c r="AR331">
        <v>0.66382928355924031</v>
      </c>
      <c r="AS331">
        <v>70.975483157957925</v>
      </c>
      <c r="AT331">
        <v>0.2263755079972655</v>
      </c>
      <c r="AU331">
        <v>0.8</v>
      </c>
      <c r="AV331" t="s">
        <v>93</v>
      </c>
      <c r="AW331">
        <v>7.043404221814252E-2</v>
      </c>
      <c r="AX331">
        <v>0.48855778520019288</v>
      </c>
      <c r="AY331">
        <v>7.043404221814252E-2</v>
      </c>
      <c r="AZ331">
        <v>7.043404221814252E-2</v>
      </c>
      <c r="BA331">
        <v>0.48855778520019288</v>
      </c>
      <c r="BB331">
        <v>0.12863960965791671</v>
      </c>
      <c r="BC331">
        <v>6.5910108202183348E-2</v>
      </c>
      <c r="BD331">
        <v>9.8931758536269246E-2</v>
      </c>
      <c r="BE331">
        <v>0.65722258671574996</v>
      </c>
      <c r="BF331">
        <v>9.8931758536269246E-2</v>
      </c>
      <c r="BG331">
        <v>9.8931758536269246E-2</v>
      </c>
      <c r="BH331">
        <v>0.65722258671574996</v>
      </c>
      <c r="BI331">
        <v>0.21384359222597929</v>
      </c>
      <c r="BJ331">
        <v>0.25907762608141172</v>
      </c>
      <c r="BK331">
        <v>6.1173228371036822E-2</v>
      </c>
      <c r="BL331">
        <v>0.75440883729894626</v>
      </c>
      <c r="BM331">
        <v>6.1173228371036822E-2</v>
      </c>
      <c r="BN331">
        <v>6.1173228371036822E-2</v>
      </c>
      <c r="BO331">
        <v>0.75440883729894626</v>
      </c>
      <c r="BP331">
        <v>0.15265461777296621</v>
      </c>
      <c r="BQ331">
        <v>0.38713999458792492</v>
      </c>
      <c r="BR331">
        <v>86.035456317248034</v>
      </c>
      <c r="BS331">
        <v>0.75512792502207282</v>
      </c>
      <c r="BT331">
        <v>86.035456317248034</v>
      </c>
      <c r="BU331">
        <v>86.035456317248034</v>
      </c>
      <c r="BV331">
        <v>0.75512792502207282</v>
      </c>
      <c r="BW331">
        <v>283.40679481217512</v>
      </c>
      <c r="BX331">
        <v>0.19337430311753631</v>
      </c>
      <c r="BY331" t="str">
        <f t="shared" ref="BY331:BY362" si="13">_xlfn.LET(_xlpm.TextoConfig, Q331,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331" t="str">
        <f>SUBSTITUTE(TRIM(MID(SUBSTITUTE(SUBSTITUTE(SUBSTITUTE(Tabla1[[#This Row],[map]],"[",""),"]",""),",",REPT(" ",100)),901,200))," ",", ")</f>
        <v>2, 4</v>
      </c>
      <c r="CA331" t="str">
        <f>SUBSTITUTE(TRIM(MID(SUBSTITUTE(SUBSTITUTE(SUBSTITUTE(Tabla1[[#This Row],[map]],"[",""),"]",""),",",REPT(" ",100)),1501,200))," ",", ")</f>
        <v>3, 2</v>
      </c>
      <c r="CB331" t="str">
        <f>SUBSTITUTE(TRIM(MID(SUBSTITUTE(SUBSTITUTE(SUBSTITUTE(Tabla1[[#This Row],[map]],"[",""),"]",""),",",REPT(" ",100)),601,300))," ",", ")</f>
        <v>1, 3, 0</v>
      </c>
      <c r="CC331" t="str">
        <f>SUBSTITUTE(TRIM(MID(SUBSTITUTE(SUBSTITUTE(SUBSTITUTE(Tabla1[[#This Row],[map]],"[",""),"]",""),",",REPT(" ",100)),1201,300))," ",", ")</f>
        <v>1, 4, 0</v>
      </c>
      <c r="CD331" t="str">
        <f>SUBSTITUTE(TRIM(MID(SUBSTITUTE(SUBSTITUTE(SUBSTITUTE(Tabla1[[#This Row],[map]],"[",""),"]",""),",",REPT(" ",100)),1,300))," ",", ")</f>
        <v>4, 2, 3</v>
      </c>
      <c r="CE331" t="str">
        <f>SUBSTITUTE(TRIM(MID(SUBSTITUTE(SUBSTITUTE(SUBSTITUTE(Tabla1[[#This Row],[map]],"[",""),"]",""),",",REPT(" ",100)),1,600))," ",", ")</f>
        <v>4, 2, 3, 0, 1, -1</v>
      </c>
      <c r="CF331" t="str">
        <f>SUBSTITUTE(TRIM(MID(SUBSTITUTE(SUBSTITUTE(SUBSTITUTE(Tabla1[[#This Row],[map]],"[",""),"]",""),",",REPT(" ",100)),601,600))," ",", ")</f>
        <v>1, 3, 0, 2, 4, -1</v>
      </c>
      <c r="CG331" t="str">
        <f>SUBSTITUTE(TRIM(MID(SUBSTITUTE(SUBSTITUTE(SUBSTITUTE(Tabla1[[#This Row],[map]],"[",""),"]",""),",",REPT(" ",100)),1201,600))," ",", ")</f>
        <v>1, 4, 0, 3, 2, -1</v>
      </c>
    </row>
    <row r="332" spans="1:85" x14ac:dyDescent="0.3">
      <c r="A332" s="1">
        <v>46109.049664351849</v>
      </c>
      <c r="B332" t="s">
        <v>570</v>
      </c>
      <c r="C332">
        <v>4</v>
      </c>
      <c r="D332" t="s">
        <v>96</v>
      </c>
      <c r="E332" t="s">
        <v>78</v>
      </c>
      <c r="F332">
        <v>16590</v>
      </c>
      <c r="G332">
        <v>4.5</v>
      </c>
      <c r="H332" t="s">
        <v>79</v>
      </c>
      <c r="I332" t="s">
        <v>80</v>
      </c>
      <c r="J332">
        <v>5</v>
      </c>
      <c r="K332">
        <v>5</v>
      </c>
      <c r="L332" t="s">
        <v>81</v>
      </c>
      <c r="M332" t="s">
        <v>82</v>
      </c>
      <c r="N332" t="s">
        <v>83</v>
      </c>
      <c r="O332" t="s">
        <v>83</v>
      </c>
      <c r="P332" t="s">
        <v>84</v>
      </c>
      <c r="Q332" t="s">
        <v>219</v>
      </c>
      <c r="R332">
        <v>3</v>
      </c>
      <c r="S332" t="s">
        <v>86</v>
      </c>
      <c r="T332" t="s">
        <v>87</v>
      </c>
      <c r="U332" t="s">
        <v>88</v>
      </c>
      <c r="V332">
        <v>1</v>
      </c>
      <c r="W332" t="s">
        <v>220</v>
      </c>
      <c r="X332" t="s">
        <v>83</v>
      </c>
      <c r="Y332" t="s">
        <v>90</v>
      </c>
      <c r="Z332">
        <v>4000</v>
      </c>
      <c r="AA332">
        <v>4000</v>
      </c>
      <c r="AC332">
        <v>256</v>
      </c>
      <c r="AD332" t="s">
        <v>91</v>
      </c>
      <c r="AE332">
        <v>0.15</v>
      </c>
      <c r="AF332" t="s">
        <v>92</v>
      </c>
      <c r="AG332">
        <v>180</v>
      </c>
      <c r="AH332">
        <v>60</v>
      </c>
      <c r="AI332">
        <v>120</v>
      </c>
      <c r="AJ332">
        <v>0.1068558268727796</v>
      </c>
      <c r="AK332">
        <v>13.701835594227409</v>
      </c>
      <c r="AL332">
        <v>0.73190843914921988</v>
      </c>
      <c r="AM332">
        <v>0.39778413452189437</v>
      </c>
      <c r="AN332">
        <v>15.05406716745518</v>
      </c>
      <c r="AO332">
        <v>0.68795649255996882</v>
      </c>
      <c r="AP332">
        <v>15.05406716745518</v>
      </c>
      <c r="AQ332">
        <v>15.05406716745518</v>
      </c>
      <c r="AR332">
        <v>0.68795649255996882</v>
      </c>
      <c r="AS332">
        <v>70.355335494814241</v>
      </c>
      <c r="AT332">
        <v>0.4084930312194669</v>
      </c>
      <c r="AU332">
        <v>0.8</v>
      </c>
      <c r="AV332" t="s">
        <v>93</v>
      </c>
      <c r="AW332">
        <v>7.6924170146028772E-2</v>
      </c>
      <c r="AX332">
        <v>0.44143106497743623</v>
      </c>
      <c r="AY332">
        <v>7.6924170146028772E-2</v>
      </c>
      <c r="AZ332">
        <v>7.6924170146028772E-2</v>
      </c>
      <c r="BA332">
        <v>0.44143106497743623</v>
      </c>
      <c r="BB332">
        <v>0.13091939432925859</v>
      </c>
      <c r="BC332">
        <v>4.9355923821191028E-2</v>
      </c>
      <c r="BD332">
        <v>7.5818196881319244E-2</v>
      </c>
      <c r="BE332">
        <v>0.73730614120917604</v>
      </c>
      <c r="BF332">
        <v>7.5818196881319244E-2</v>
      </c>
      <c r="BG332">
        <v>7.5818196881319244E-2</v>
      </c>
      <c r="BH332">
        <v>0.73730614120917604</v>
      </c>
      <c r="BI332">
        <v>0.1163848097549823</v>
      </c>
      <c r="BJ332">
        <v>0.59675149190068333</v>
      </c>
      <c r="BK332">
        <v>6.3801151148444368E-2</v>
      </c>
      <c r="BL332">
        <v>0.74385855856463512</v>
      </c>
      <c r="BM332">
        <v>6.3801151148444368E-2</v>
      </c>
      <c r="BN332">
        <v>6.3801151148444368E-2</v>
      </c>
      <c r="BO332">
        <v>0.74385855856463512</v>
      </c>
      <c r="BP332">
        <v>5.2809819172980887E-2</v>
      </c>
      <c r="BQ332">
        <v>0.78798527986688049</v>
      </c>
      <c r="BR332">
        <v>59.999725151645322</v>
      </c>
      <c r="BS332">
        <v>0.82923020548862625</v>
      </c>
      <c r="BT332">
        <v>59.999725151645322</v>
      </c>
      <c r="BU332">
        <v>59.999725151645322</v>
      </c>
      <c r="BV332">
        <v>0.82923020548862625</v>
      </c>
      <c r="BW332">
        <v>281.1212279559993</v>
      </c>
      <c r="BX332">
        <v>0.19987942928910921</v>
      </c>
      <c r="BY332" t="str">
        <f t="shared" si="13"/>
        <v>[[sv,wv],[yr],[ya]]</v>
      </c>
      <c r="BZ332" t="str">
        <f>SUBSTITUTE(TRIM(MID(SUBSTITUTE(SUBSTITUTE(SUBSTITUTE(Tabla1[[#This Row],[map]],"[",""),"]",""),",",REPT(" ",100)),901,200))," ",", ")</f>
        <v>2, 3</v>
      </c>
      <c r="CA332" t="str">
        <f>SUBSTITUTE(TRIM(MID(SUBSTITUTE(SUBSTITUTE(SUBSTITUTE(Tabla1[[#This Row],[map]],"[",""),"]",""),",",REPT(" ",100)),1501,200))," ",", ")</f>
        <v>3, 4</v>
      </c>
      <c r="CB332" t="str">
        <f>SUBSTITUTE(TRIM(MID(SUBSTITUTE(SUBSTITUTE(SUBSTITUTE(Tabla1[[#This Row],[map]],"[",""),"]",""),",",REPT(" ",100)),601,300))," ",", ")</f>
        <v>0, 1, 4</v>
      </c>
      <c r="CC332" t="str">
        <f>SUBSTITUTE(TRIM(MID(SUBSTITUTE(SUBSTITUTE(SUBSTITUTE(Tabla1[[#This Row],[map]],"[",""),"]",""),",",REPT(" ",100)),1201,300))," ",", ")</f>
        <v>0, 1, 2</v>
      </c>
      <c r="CD332" t="str">
        <f>SUBSTITUTE(TRIM(MID(SUBSTITUTE(SUBSTITUTE(SUBSTITUTE(Tabla1[[#This Row],[map]],"[",""),"]",""),",",REPT(" ",100)),1,300))," ",", ")</f>
        <v>4, 2, 3</v>
      </c>
      <c r="CE332" t="str">
        <f>SUBSTITUTE(TRIM(MID(SUBSTITUTE(SUBSTITUTE(SUBSTITUTE(Tabla1[[#This Row],[map]],"[",""),"]",""),",",REPT(" ",100)),1,600))," ",", ")</f>
        <v>4, 2, 3, 0, 1, -1</v>
      </c>
      <c r="CF332" t="str">
        <f>SUBSTITUTE(TRIM(MID(SUBSTITUTE(SUBSTITUTE(SUBSTITUTE(Tabla1[[#This Row],[map]],"[",""),"]",""),",",REPT(" ",100)),601,600))," ",", ")</f>
        <v>0, 1, 4, 2, 3, -1</v>
      </c>
      <c r="CG332" t="str">
        <f>SUBSTITUTE(TRIM(MID(SUBSTITUTE(SUBSTITUTE(SUBSTITUTE(Tabla1[[#This Row],[map]],"[",""),"]",""),",",REPT(" ",100)),1201,600))," ",", ")</f>
        <v>0, 1, 2, 3, 4, -1</v>
      </c>
    </row>
    <row r="333" spans="1:85" x14ac:dyDescent="0.3">
      <c r="A333" s="1">
        <v>46109.112233796302</v>
      </c>
      <c r="B333" t="s">
        <v>571</v>
      </c>
      <c r="C333">
        <v>7</v>
      </c>
      <c r="D333" t="s">
        <v>77</v>
      </c>
      <c r="E333" t="s">
        <v>78</v>
      </c>
      <c r="F333">
        <v>16590</v>
      </c>
      <c r="G333">
        <v>4.5</v>
      </c>
      <c r="H333" t="s">
        <v>79</v>
      </c>
      <c r="I333" t="s">
        <v>80</v>
      </c>
      <c r="J333">
        <v>5</v>
      </c>
      <c r="K333">
        <v>5</v>
      </c>
      <c r="L333" t="s">
        <v>81</v>
      </c>
      <c r="M333" t="s">
        <v>82</v>
      </c>
      <c r="N333" t="s">
        <v>83</v>
      </c>
      <c r="O333" t="s">
        <v>83</v>
      </c>
      <c r="P333" t="s">
        <v>84</v>
      </c>
      <c r="Q333" t="s">
        <v>390</v>
      </c>
      <c r="R333">
        <v>3</v>
      </c>
      <c r="S333" t="s">
        <v>86</v>
      </c>
      <c r="T333" t="s">
        <v>87</v>
      </c>
      <c r="U333" t="s">
        <v>88</v>
      </c>
      <c r="V333">
        <v>1</v>
      </c>
      <c r="W333" t="s">
        <v>391</v>
      </c>
      <c r="X333" t="s">
        <v>83</v>
      </c>
      <c r="Y333" t="s">
        <v>90</v>
      </c>
      <c r="Z333">
        <v>4000</v>
      </c>
      <c r="AA333">
        <v>4000</v>
      </c>
      <c r="AC333">
        <v>256</v>
      </c>
      <c r="AD333" t="s">
        <v>91</v>
      </c>
      <c r="AE333">
        <v>0.15</v>
      </c>
      <c r="AF333" t="s">
        <v>92</v>
      </c>
      <c r="AG333">
        <v>180</v>
      </c>
      <c r="AH333">
        <v>60</v>
      </c>
      <c r="AI333">
        <v>120</v>
      </c>
      <c r="AJ333">
        <v>0.1102196617660916</v>
      </c>
      <c r="AK333">
        <v>7.2555982797561462</v>
      </c>
      <c r="AL333">
        <v>0.67323115076555062</v>
      </c>
      <c r="AM333">
        <v>-0.49446388887663412</v>
      </c>
      <c r="AN333">
        <v>10.31734583519072</v>
      </c>
      <c r="AO333">
        <v>0.62594075677868255</v>
      </c>
      <c r="AP333">
        <v>10.31734583519072</v>
      </c>
      <c r="AQ333">
        <v>10.31734583519072</v>
      </c>
      <c r="AR333">
        <v>0.62594075677868255</v>
      </c>
      <c r="AS333">
        <v>119.6157726943989</v>
      </c>
      <c r="AT333">
        <v>-0.49181922107491621</v>
      </c>
      <c r="AU333">
        <v>0.8</v>
      </c>
      <c r="AV333" t="s">
        <v>93</v>
      </c>
      <c r="AW333">
        <v>0.1035799136234634</v>
      </c>
      <c r="AX333">
        <v>0.2478759025602052</v>
      </c>
      <c r="AY333">
        <v>0.1035799136234634</v>
      </c>
      <c r="AZ333">
        <v>0.1035799136234634</v>
      </c>
      <c r="BA333">
        <v>0.2478759025602052</v>
      </c>
      <c r="BB333">
        <v>0.16123291526097019</v>
      </c>
      <c r="BC333">
        <v>-0.17075943226867191</v>
      </c>
      <c r="BD333">
        <v>9.1929422363473914E-2</v>
      </c>
      <c r="BE333">
        <v>0.68148418598144556</v>
      </c>
      <c r="BF333">
        <v>9.1929422363473914E-2</v>
      </c>
      <c r="BG333">
        <v>9.1929422363473914E-2</v>
      </c>
      <c r="BH333">
        <v>0.68148418598144556</v>
      </c>
      <c r="BI333">
        <v>0.38598266727412162</v>
      </c>
      <c r="BJ333">
        <v>-0.33734750315061041</v>
      </c>
      <c r="BK333">
        <v>7.6945682332123982E-2</v>
      </c>
      <c r="BL333">
        <v>0.69108742350241315</v>
      </c>
      <c r="BM333">
        <v>7.6945682332123982E-2</v>
      </c>
      <c r="BN333">
        <v>7.6945682332123982E-2</v>
      </c>
      <c r="BO333">
        <v>0.69108742350241315</v>
      </c>
      <c r="BP333">
        <v>0.52318597396442612</v>
      </c>
      <c r="BQ333">
        <v>-1.10042620074702</v>
      </c>
      <c r="BR333">
        <v>40.996928322443502</v>
      </c>
      <c r="BS333">
        <v>0.88331551507066841</v>
      </c>
      <c r="BT333">
        <v>40.996928322443502</v>
      </c>
      <c r="BU333">
        <v>40.996928322443502</v>
      </c>
      <c r="BV333">
        <v>0.88331551507066841</v>
      </c>
      <c r="BW333">
        <v>477.39268922109329</v>
      </c>
      <c r="BX333">
        <v>-0.35874374813336329</v>
      </c>
      <c r="BY333" t="str">
        <f t="shared" si="13"/>
        <v>[[sv,wv],[yr],[ya]]</v>
      </c>
      <c r="BZ333" t="str">
        <f>SUBSTITUTE(TRIM(MID(SUBSTITUTE(SUBSTITUTE(SUBSTITUTE(Tabla1[[#This Row],[map]],"[",""),"]",""),",",REPT(" ",100)),901,200))," ",", ")</f>
        <v>2, 3</v>
      </c>
      <c r="CA333" t="str">
        <f>SUBSTITUTE(TRIM(MID(SUBSTITUTE(SUBSTITUTE(SUBSTITUTE(Tabla1[[#This Row],[map]],"[",""),"]",""),",",REPT(" ",100)),1501,200))," ",", ")</f>
        <v>3, 2</v>
      </c>
      <c r="CB333" t="str">
        <f>SUBSTITUTE(TRIM(MID(SUBSTITUTE(SUBSTITUTE(SUBSTITUTE(Tabla1[[#This Row],[map]],"[",""),"]",""),",",REPT(" ",100)),601,300))," ",", ")</f>
        <v>0, 1, 4</v>
      </c>
      <c r="CC333" t="str">
        <f>SUBSTITUTE(TRIM(MID(SUBSTITUTE(SUBSTITUTE(SUBSTITUTE(Tabla1[[#This Row],[map]],"[",""),"]",""),",",REPT(" ",100)),1201,300))," ",", ")</f>
        <v>1, 4, 0</v>
      </c>
      <c r="CD333" t="str">
        <f>SUBSTITUTE(TRIM(MID(SUBSTITUTE(SUBSTITUTE(SUBSTITUTE(Tabla1[[#This Row],[map]],"[",""),"]",""),",",REPT(" ",100)),1,300))," ",", ")</f>
        <v>2, 3, 4</v>
      </c>
      <c r="CE333" t="str">
        <f>SUBSTITUTE(TRIM(MID(SUBSTITUTE(SUBSTITUTE(SUBSTITUTE(Tabla1[[#This Row],[map]],"[",""),"]",""),",",REPT(" ",100)),1,600))," ",", ")</f>
        <v>2, 3, 4, 0, 1, -1</v>
      </c>
      <c r="CF333" t="str">
        <f>SUBSTITUTE(TRIM(MID(SUBSTITUTE(SUBSTITUTE(SUBSTITUTE(Tabla1[[#This Row],[map]],"[",""),"]",""),",",REPT(" ",100)),601,600))," ",", ")</f>
        <v>0, 1, 4, 2, 3, -1</v>
      </c>
      <c r="CG333" t="str">
        <f>SUBSTITUTE(TRIM(MID(SUBSTITUTE(SUBSTITUTE(SUBSTITUTE(Tabla1[[#This Row],[map]],"[",""),"]",""),",",REPT(" ",100)),1201,600))," ",", ")</f>
        <v>1, 4, 0, 3, 2, -1</v>
      </c>
    </row>
    <row r="334" spans="1:85" x14ac:dyDescent="0.3">
      <c r="A334" s="1">
        <v>46109.149768518517</v>
      </c>
      <c r="B334" t="s">
        <v>572</v>
      </c>
      <c r="C334">
        <v>3</v>
      </c>
      <c r="D334" t="s">
        <v>77</v>
      </c>
      <c r="E334" t="s">
        <v>78</v>
      </c>
      <c r="F334">
        <v>16590</v>
      </c>
      <c r="G334">
        <v>4.5</v>
      </c>
      <c r="H334" t="s">
        <v>79</v>
      </c>
      <c r="I334" t="s">
        <v>80</v>
      </c>
      <c r="J334">
        <v>5</v>
      </c>
      <c r="K334">
        <v>5</v>
      </c>
      <c r="L334" t="s">
        <v>81</v>
      </c>
      <c r="M334" t="s">
        <v>82</v>
      </c>
      <c r="N334" t="s">
        <v>83</v>
      </c>
      <c r="O334" t="s">
        <v>83</v>
      </c>
      <c r="P334" t="s">
        <v>84</v>
      </c>
      <c r="Q334" t="s">
        <v>525</v>
      </c>
      <c r="R334">
        <v>3</v>
      </c>
      <c r="S334" t="s">
        <v>86</v>
      </c>
      <c r="T334" t="s">
        <v>87</v>
      </c>
      <c r="U334" t="s">
        <v>88</v>
      </c>
      <c r="V334">
        <v>1</v>
      </c>
      <c r="W334" t="s">
        <v>526</v>
      </c>
      <c r="X334" t="s">
        <v>83</v>
      </c>
      <c r="Y334" t="s">
        <v>90</v>
      </c>
      <c r="Z334">
        <v>4000</v>
      </c>
      <c r="AA334">
        <v>4000</v>
      </c>
      <c r="AC334">
        <v>256</v>
      </c>
      <c r="AD334" t="s">
        <v>91</v>
      </c>
      <c r="AE334">
        <v>0.15</v>
      </c>
      <c r="AF334" t="s">
        <v>92</v>
      </c>
      <c r="AG334">
        <v>180</v>
      </c>
      <c r="AH334">
        <v>60</v>
      </c>
      <c r="AI334">
        <v>120</v>
      </c>
      <c r="AJ334">
        <v>0.1107287510285019</v>
      </c>
      <c r="AK334">
        <v>28.505857629289441</v>
      </c>
      <c r="AL334">
        <v>0.66811969420517581</v>
      </c>
      <c r="AM334">
        <v>0.18141859499612151</v>
      </c>
      <c r="AN334">
        <v>31.328096751526111</v>
      </c>
      <c r="AO334">
        <v>0.64063079974396597</v>
      </c>
      <c r="AP334">
        <v>31.328096751526111</v>
      </c>
      <c r="AQ334">
        <v>31.328096751526111</v>
      </c>
      <c r="AR334">
        <v>0.64063079974396597</v>
      </c>
      <c r="AS334">
        <v>82.191510602913979</v>
      </c>
      <c r="AT334">
        <v>0.1188754852306222</v>
      </c>
      <c r="AU334">
        <v>0.8</v>
      </c>
      <c r="AV334" t="s">
        <v>93</v>
      </c>
      <c r="AW334">
        <v>8.615838513187489E-2</v>
      </c>
      <c r="AX334">
        <v>0.37437872472310668</v>
      </c>
      <c r="AY334">
        <v>8.615838513187489E-2</v>
      </c>
      <c r="AZ334">
        <v>8.615838513187489E-2</v>
      </c>
      <c r="BA334">
        <v>0.37437872472310668</v>
      </c>
      <c r="BB334">
        <v>0.1193969248450425</v>
      </c>
      <c r="BC334">
        <v>0.13302395035187259</v>
      </c>
      <c r="BD334">
        <v>8.3194294795396403E-2</v>
      </c>
      <c r="BE334">
        <v>0.71174953733872326</v>
      </c>
      <c r="BF334">
        <v>8.3194294795396403E-2</v>
      </c>
      <c r="BG334">
        <v>8.3194294795396403E-2</v>
      </c>
      <c r="BH334">
        <v>0.71174953733872326</v>
      </c>
      <c r="BI334">
        <v>0.14410333026115729</v>
      </c>
      <c r="BJ334">
        <v>0.50071273852413389</v>
      </c>
      <c r="BK334">
        <v>4.173297804672594E-2</v>
      </c>
      <c r="BL334">
        <v>0.83245529336284618</v>
      </c>
      <c r="BM334">
        <v>4.173297804672594E-2</v>
      </c>
      <c r="BN334">
        <v>4.173297804672594E-2</v>
      </c>
      <c r="BO334">
        <v>0.83245529336284618</v>
      </c>
      <c r="BP334">
        <v>0.3049122996669606</v>
      </c>
      <c r="BQ334">
        <v>-0.22412643882165259</v>
      </c>
      <c r="BR334">
        <v>125.1013013481306</v>
      </c>
      <c r="BS334">
        <v>0.64393964355118594</v>
      </c>
      <c r="BT334">
        <v>125.1013013481306</v>
      </c>
      <c r="BU334">
        <v>125.1013013481306</v>
      </c>
      <c r="BV334">
        <v>0.64393964355118594</v>
      </c>
      <c r="BW334">
        <v>328.19762985688237</v>
      </c>
      <c r="BX334">
        <v>6.5891690868140618E-2</v>
      </c>
      <c r="BY334" t="str">
        <f t="shared" si="13"/>
        <v>[[sv,wv],[yr],[ya]]</v>
      </c>
      <c r="BZ334" t="str">
        <f>SUBSTITUTE(TRIM(MID(SUBSTITUTE(SUBSTITUTE(SUBSTITUTE(Tabla1[[#This Row],[map]],"[",""),"]",""),",",REPT(" ",100)),901,200))," ",", ")</f>
        <v>2, 4</v>
      </c>
      <c r="CA334" t="str">
        <f>SUBSTITUTE(TRIM(MID(SUBSTITUTE(SUBSTITUTE(SUBSTITUTE(Tabla1[[#This Row],[map]],"[",""),"]",""),",",REPT(" ",100)),1501,200))," ",", ")</f>
        <v>3, 4</v>
      </c>
      <c r="CB334" t="str">
        <f>SUBSTITUTE(TRIM(MID(SUBSTITUTE(SUBSTITUTE(SUBSTITUTE(Tabla1[[#This Row],[map]],"[",""),"]",""),",",REPT(" ",100)),601,300))," ",", ")</f>
        <v>1, 3, 0</v>
      </c>
      <c r="CC334" t="str">
        <f>SUBSTITUTE(TRIM(MID(SUBSTITUTE(SUBSTITUTE(SUBSTITUTE(Tabla1[[#This Row],[map]],"[",""),"]",""),",",REPT(" ",100)),1201,300))," ",", ")</f>
        <v>0, 1, 2</v>
      </c>
      <c r="CD334" t="str">
        <f>SUBSTITUTE(TRIM(MID(SUBSTITUTE(SUBSTITUTE(SUBSTITUTE(Tabla1[[#This Row],[map]],"[",""),"]",""),",",REPT(" ",100)),1,300))," ",", ")</f>
        <v>4, 2, 3</v>
      </c>
      <c r="CE334" t="str">
        <f>SUBSTITUTE(TRIM(MID(SUBSTITUTE(SUBSTITUTE(SUBSTITUTE(Tabla1[[#This Row],[map]],"[",""),"]",""),",",REPT(" ",100)),1,600))," ",", ")</f>
        <v>4, 2, 3, 0, 1, -1</v>
      </c>
      <c r="CF334" t="str">
        <f>SUBSTITUTE(TRIM(MID(SUBSTITUTE(SUBSTITUTE(SUBSTITUTE(Tabla1[[#This Row],[map]],"[",""),"]",""),",",REPT(" ",100)),601,600))," ",", ")</f>
        <v>1, 3, 0, 2, 4, -1</v>
      </c>
      <c r="CG334" t="str">
        <f>SUBSTITUTE(TRIM(MID(SUBSTITUTE(SUBSTITUTE(SUBSTITUTE(Tabla1[[#This Row],[map]],"[",""),"]",""),",",REPT(" ",100)),1201,600))," ",", ")</f>
        <v>0, 1, 2, 3, 4, -1</v>
      </c>
    </row>
    <row r="335" spans="1:85" x14ac:dyDescent="0.3">
      <c r="A335" s="1">
        <v>46109.154594907413</v>
      </c>
      <c r="B335" t="s">
        <v>573</v>
      </c>
      <c r="C335">
        <v>8</v>
      </c>
      <c r="D335" t="s">
        <v>96</v>
      </c>
      <c r="E335" t="s">
        <v>78</v>
      </c>
      <c r="F335">
        <v>16590</v>
      </c>
      <c r="G335">
        <v>4.5</v>
      </c>
      <c r="H335" t="s">
        <v>79</v>
      </c>
      <c r="I335" t="s">
        <v>80</v>
      </c>
      <c r="J335">
        <v>5</v>
      </c>
      <c r="K335">
        <v>5</v>
      </c>
      <c r="L335" t="s">
        <v>81</v>
      </c>
      <c r="M335" t="s">
        <v>82</v>
      </c>
      <c r="N335" t="s">
        <v>83</v>
      </c>
      <c r="O335" t="s">
        <v>83</v>
      </c>
      <c r="P335" t="s">
        <v>84</v>
      </c>
      <c r="Q335" t="s">
        <v>387</v>
      </c>
      <c r="R335">
        <v>3</v>
      </c>
      <c r="S335" t="s">
        <v>86</v>
      </c>
      <c r="T335" t="s">
        <v>87</v>
      </c>
      <c r="U335" t="s">
        <v>88</v>
      </c>
      <c r="V335">
        <v>1</v>
      </c>
      <c r="W335" t="s">
        <v>388</v>
      </c>
      <c r="X335" t="s">
        <v>83</v>
      </c>
      <c r="Y335" t="s">
        <v>90</v>
      </c>
      <c r="Z335">
        <v>4000</v>
      </c>
      <c r="AA335">
        <v>4000</v>
      </c>
      <c r="AC335">
        <v>256</v>
      </c>
      <c r="AD335" t="s">
        <v>91</v>
      </c>
      <c r="AE335">
        <v>0.15</v>
      </c>
      <c r="AF335" t="s">
        <v>92</v>
      </c>
      <c r="AG335">
        <v>180</v>
      </c>
      <c r="AH335">
        <v>60</v>
      </c>
      <c r="AI335">
        <v>120</v>
      </c>
      <c r="AJ335">
        <v>0.10275673758117131</v>
      </c>
      <c r="AK335">
        <v>29.24412371057462</v>
      </c>
      <c r="AL335">
        <v>0.71372696880684539</v>
      </c>
      <c r="AM335">
        <v>-0.18448525554242901</v>
      </c>
      <c r="AN335">
        <v>33.097257004879907</v>
      </c>
      <c r="AO335">
        <v>0.65487615235620567</v>
      </c>
      <c r="AP335">
        <v>33.097257004879907</v>
      </c>
      <c r="AQ335">
        <v>33.097257004879907</v>
      </c>
      <c r="AR335">
        <v>0.65487615235620567</v>
      </c>
      <c r="AS335">
        <v>106.5789137692496</v>
      </c>
      <c r="AT335">
        <v>-0.17181829149140171</v>
      </c>
      <c r="AU335">
        <v>0.8</v>
      </c>
      <c r="AV335" t="s">
        <v>93</v>
      </c>
      <c r="AW335">
        <v>8.1556481525547952E-2</v>
      </c>
      <c r="AX335">
        <v>0.40779449497558867</v>
      </c>
      <c r="AY335">
        <v>8.1556481525547952E-2</v>
      </c>
      <c r="AZ335">
        <v>8.1556481525547952E-2</v>
      </c>
      <c r="BA335">
        <v>0.40779449497558867</v>
      </c>
      <c r="BB335">
        <v>0.15456041176644031</v>
      </c>
      <c r="BC335">
        <v>-0.1223084296280368</v>
      </c>
      <c r="BD335">
        <v>6.2439990617089873E-2</v>
      </c>
      <c r="BE335">
        <v>0.78365876857053562</v>
      </c>
      <c r="BF335">
        <v>6.2439990617089873E-2</v>
      </c>
      <c r="BG335">
        <v>6.2439990617089873E-2</v>
      </c>
      <c r="BH335">
        <v>0.78365876857053562</v>
      </c>
      <c r="BI335">
        <v>0.31189132975121542</v>
      </c>
      <c r="BJ335">
        <v>-8.0636843210593501E-2</v>
      </c>
      <c r="BK335">
        <v>4.8744741323113933E-2</v>
      </c>
      <c r="BL335">
        <v>0.80430528164222914</v>
      </c>
      <c r="BM335">
        <v>4.8744741323113933E-2</v>
      </c>
      <c r="BN335">
        <v>4.8744741323113933E-2</v>
      </c>
      <c r="BO335">
        <v>0.80430528164222914</v>
      </c>
      <c r="BP335">
        <v>0.31713298082802149</v>
      </c>
      <c r="BQ335">
        <v>-0.27318860825858238</v>
      </c>
      <c r="BR335">
        <v>132.19628680605399</v>
      </c>
      <c r="BS335">
        <v>0.62374606423647239</v>
      </c>
      <c r="BT335">
        <v>132.19628680605399</v>
      </c>
      <c r="BU335">
        <v>132.19628680605399</v>
      </c>
      <c r="BV335">
        <v>0.62374606423647239</v>
      </c>
      <c r="BW335">
        <v>425.53207035465249</v>
      </c>
      <c r="BX335">
        <v>-0.21113928486838601</v>
      </c>
      <c r="BY335" t="str">
        <f t="shared" si="13"/>
        <v>[[sv,wv],[yr],[ya]]</v>
      </c>
      <c r="BZ335" t="str">
        <f>SUBSTITUTE(TRIM(MID(SUBSTITUTE(SUBSTITUTE(SUBSTITUTE(Tabla1[[#This Row],[map]],"[",""),"]",""),",",REPT(" ",100)),901,200))," ",", ")</f>
        <v>2, 4</v>
      </c>
      <c r="CA335" t="str">
        <f>SUBSTITUTE(TRIM(MID(SUBSTITUTE(SUBSTITUTE(SUBSTITUTE(Tabla1[[#This Row],[map]],"[",""),"]",""),",",REPT(" ",100)),1501,200))," ",", ")</f>
        <v>3, 2</v>
      </c>
      <c r="CB335" t="str">
        <f>SUBSTITUTE(TRIM(MID(SUBSTITUTE(SUBSTITUTE(SUBSTITUTE(Tabla1[[#This Row],[map]],"[",""),"]",""),",",REPT(" ",100)),601,300))," ",", ")</f>
        <v>1, 3, 0</v>
      </c>
      <c r="CC335" t="str">
        <f>SUBSTITUTE(TRIM(MID(SUBSTITUTE(SUBSTITUTE(SUBSTITUTE(Tabla1[[#This Row],[map]],"[",""),"]",""),",",REPT(" ",100)),1201,300))," ",", ")</f>
        <v>0, 1, 4</v>
      </c>
      <c r="CD335" t="str">
        <f>SUBSTITUTE(TRIM(MID(SUBSTITUTE(SUBSTITUTE(SUBSTITUTE(Tabla1[[#This Row],[map]],"[",""),"]",""),",",REPT(" ",100)),1,300))," ",", ")</f>
        <v>2, 3, 4</v>
      </c>
      <c r="CE335" t="str">
        <f>SUBSTITUTE(TRIM(MID(SUBSTITUTE(SUBSTITUTE(SUBSTITUTE(Tabla1[[#This Row],[map]],"[",""),"]",""),",",REPT(" ",100)),1,600))," ",", ")</f>
        <v>2, 3, 4, 0, 1, -1</v>
      </c>
      <c r="CF335" t="str">
        <f>SUBSTITUTE(TRIM(MID(SUBSTITUTE(SUBSTITUTE(SUBSTITUTE(Tabla1[[#This Row],[map]],"[",""),"]",""),",",REPT(" ",100)),601,600))," ",", ")</f>
        <v>1, 3, 0, 2, 4, -1</v>
      </c>
      <c r="CG335" t="str">
        <f>SUBSTITUTE(TRIM(MID(SUBSTITUTE(SUBSTITUTE(SUBSTITUTE(Tabla1[[#This Row],[map]],"[",""),"]",""),",",REPT(" ",100)),1201,600))," ",", ")</f>
        <v>0, 1, 4, 3, 2, -1</v>
      </c>
    </row>
    <row r="336" spans="1:85" x14ac:dyDescent="0.3">
      <c r="A336" s="1">
        <v>46109.155972222223</v>
      </c>
      <c r="B336" t="s">
        <v>574</v>
      </c>
      <c r="C336">
        <v>9</v>
      </c>
      <c r="D336" t="s">
        <v>96</v>
      </c>
      <c r="E336" t="s">
        <v>78</v>
      </c>
      <c r="F336">
        <v>16590</v>
      </c>
      <c r="G336">
        <v>4.5</v>
      </c>
      <c r="H336" t="s">
        <v>79</v>
      </c>
      <c r="I336" t="s">
        <v>80</v>
      </c>
      <c r="J336">
        <v>5</v>
      </c>
      <c r="K336">
        <v>5</v>
      </c>
      <c r="L336" t="s">
        <v>81</v>
      </c>
      <c r="M336" t="s">
        <v>82</v>
      </c>
      <c r="N336" t="s">
        <v>83</v>
      </c>
      <c r="O336" t="s">
        <v>83</v>
      </c>
      <c r="P336" t="s">
        <v>84</v>
      </c>
      <c r="Q336" t="s">
        <v>387</v>
      </c>
      <c r="R336">
        <v>3</v>
      </c>
      <c r="S336" t="s">
        <v>86</v>
      </c>
      <c r="T336" t="s">
        <v>87</v>
      </c>
      <c r="U336" t="s">
        <v>88</v>
      </c>
      <c r="V336">
        <v>1</v>
      </c>
      <c r="W336" t="s">
        <v>388</v>
      </c>
      <c r="X336" t="s">
        <v>83</v>
      </c>
      <c r="Y336" t="s">
        <v>90</v>
      </c>
      <c r="Z336">
        <v>4000</v>
      </c>
      <c r="AA336">
        <v>4000</v>
      </c>
      <c r="AC336">
        <v>256</v>
      </c>
      <c r="AD336" t="s">
        <v>91</v>
      </c>
      <c r="AE336">
        <v>0.15</v>
      </c>
      <c r="AF336" t="s">
        <v>92</v>
      </c>
      <c r="AG336">
        <v>180</v>
      </c>
      <c r="AH336">
        <v>60</v>
      </c>
      <c r="AI336">
        <v>120</v>
      </c>
      <c r="AJ336">
        <v>0.1012374079060519</v>
      </c>
      <c r="AK336">
        <v>13.70859095957551</v>
      </c>
      <c r="AL336">
        <v>0.80131423912874888</v>
      </c>
      <c r="AM336">
        <v>-0.24419153597787499</v>
      </c>
      <c r="AN336">
        <v>20.026571753822921</v>
      </c>
      <c r="AO336">
        <v>0.74276341382959965</v>
      </c>
      <c r="AP336">
        <v>20.026571753822921</v>
      </c>
      <c r="AQ336">
        <v>20.026571753822921</v>
      </c>
      <c r="AR336">
        <v>0.74276341382959965</v>
      </c>
      <c r="AS336">
        <v>118.3586321143553</v>
      </c>
      <c r="AT336">
        <v>-0.2448118342430301</v>
      </c>
      <c r="AU336">
        <v>0.8</v>
      </c>
      <c r="AV336" t="s">
        <v>93</v>
      </c>
      <c r="AW336">
        <v>6.0875802649181569E-2</v>
      </c>
      <c r="AX336">
        <v>0.55796296287828673</v>
      </c>
      <c r="AY336">
        <v>6.0875802649181569E-2</v>
      </c>
      <c r="AZ336">
        <v>6.0875802649181569E-2</v>
      </c>
      <c r="BA336">
        <v>0.55796296287828673</v>
      </c>
      <c r="BB336">
        <v>0.168589304764591</v>
      </c>
      <c r="BC336">
        <v>-0.22417633157155969</v>
      </c>
      <c r="BD336">
        <v>5.3566886565600193E-2</v>
      </c>
      <c r="BE336">
        <v>0.81440217897354183</v>
      </c>
      <c r="BF336">
        <v>5.3566886565600193E-2</v>
      </c>
      <c r="BG336">
        <v>5.3566886565600193E-2</v>
      </c>
      <c r="BH336">
        <v>0.81440217897354183</v>
      </c>
      <c r="BI336">
        <v>0.34811132574260439</v>
      </c>
      <c r="BJ336">
        <v>-0.20613139338118039</v>
      </c>
      <c r="BK336">
        <v>4.3282061076472839E-2</v>
      </c>
      <c r="BL336">
        <v>0.82623621497632549</v>
      </c>
      <c r="BM336">
        <v>4.3282061076472839E-2</v>
      </c>
      <c r="BN336">
        <v>4.3282061076472839E-2</v>
      </c>
      <c r="BO336">
        <v>0.82623621497632549</v>
      </c>
      <c r="BP336">
        <v>0.29984566964626702</v>
      </c>
      <c r="BQ336">
        <v>-0.20378552187329449</v>
      </c>
      <c r="BR336">
        <v>79.948562265000348</v>
      </c>
      <c r="BS336">
        <v>0.77245229849024588</v>
      </c>
      <c r="BT336">
        <v>79.948562265000348</v>
      </c>
      <c r="BU336">
        <v>79.948562265000348</v>
      </c>
      <c r="BV336">
        <v>0.77245229849024588</v>
      </c>
      <c r="BW336">
        <v>472.61798215726822</v>
      </c>
      <c r="BX336">
        <v>-0.34515409014608739</v>
      </c>
      <c r="BY336" t="str">
        <f t="shared" si="13"/>
        <v>[[sv,wv],[yr],[ya]]</v>
      </c>
      <c r="BZ336" t="str">
        <f>SUBSTITUTE(TRIM(MID(SUBSTITUTE(SUBSTITUTE(SUBSTITUTE(Tabla1[[#This Row],[map]],"[",""),"]",""),",",REPT(" ",100)),901,200))," ",", ")</f>
        <v>2, 4</v>
      </c>
      <c r="CA336" t="str">
        <f>SUBSTITUTE(TRIM(MID(SUBSTITUTE(SUBSTITUTE(SUBSTITUTE(Tabla1[[#This Row],[map]],"[",""),"]",""),",",REPT(" ",100)),1501,200))," ",", ")</f>
        <v>3, 2</v>
      </c>
      <c r="CB336" t="str">
        <f>SUBSTITUTE(TRIM(MID(SUBSTITUTE(SUBSTITUTE(SUBSTITUTE(Tabla1[[#This Row],[map]],"[",""),"]",""),",",REPT(" ",100)),601,300))," ",", ")</f>
        <v>1, 3, 0</v>
      </c>
      <c r="CC336" t="str">
        <f>SUBSTITUTE(TRIM(MID(SUBSTITUTE(SUBSTITUTE(SUBSTITUTE(Tabla1[[#This Row],[map]],"[",""),"]",""),",",REPT(" ",100)),1201,300))," ",", ")</f>
        <v>0, 1, 4</v>
      </c>
      <c r="CD336" t="str">
        <f>SUBSTITUTE(TRIM(MID(SUBSTITUTE(SUBSTITUTE(SUBSTITUTE(Tabla1[[#This Row],[map]],"[",""),"]",""),",",REPT(" ",100)),1,300))," ",", ")</f>
        <v>2, 3, 4</v>
      </c>
      <c r="CE336" t="str">
        <f>SUBSTITUTE(TRIM(MID(SUBSTITUTE(SUBSTITUTE(SUBSTITUTE(Tabla1[[#This Row],[map]],"[",""),"]",""),",",REPT(" ",100)),1,600))," ",", ")</f>
        <v>2, 3, 4, 0, 1, -1</v>
      </c>
      <c r="CF336" t="str">
        <f>SUBSTITUTE(TRIM(MID(SUBSTITUTE(SUBSTITUTE(SUBSTITUTE(Tabla1[[#This Row],[map]],"[",""),"]",""),",",REPT(" ",100)),601,600))," ",", ")</f>
        <v>1, 3, 0, 2, 4, -1</v>
      </c>
      <c r="CG336" t="str">
        <f>SUBSTITUTE(TRIM(MID(SUBSTITUTE(SUBSTITUTE(SUBSTITUTE(Tabla1[[#This Row],[map]],"[",""),"]",""),",",REPT(" ",100)),1201,600))," ",", ")</f>
        <v>0, 1, 4, 3, 2, -1</v>
      </c>
    </row>
    <row r="337" spans="1:85" x14ac:dyDescent="0.3">
      <c r="A337" s="1">
        <v>46109.160219907397</v>
      </c>
      <c r="B337" t="s">
        <v>575</v>
      </c>
      <c r="C337">
        <v>6</v>
      </c>
      <c r="D337" t="s">
        <v>77</v>
      </c>
      <c r="E337" t="s">
        <v>78</v>
      </c>
      <c r="F337">
        <v>16590</v>
      </c>
      <c r="G337">
        <v>4.5</v>
      </c>
      <c r="H337" t="s">
        <v>79</v>
      </c>
      <c r="I337" t="s">
        <v>80</v>
      </c>
      <c r="J337">
        <v>5</v>
      </c>
      <c r="K337">
        <v>5</v>
      </c>
      <c r="L337" t="s">
        <v>81</v>
      </c>
      <c r="M337" t="s">
        <v>82</v>
      </c>
      <c r="N337" t="s">
        <v>83</v>
      </c>
      <c r="O337" t="s">
        <v>83</v>
      </c>
      <c r="P337" t="s">
        <v>84</v>
      </c>
      <c r="Q337" t="s">
        <v>401</v>
      </c>
      <c r="R337">
        <v>3</v>
      </c>
      <c r="S337" t="s">
        <v>86</v>
      </c>
      <c r="T337" t="s">
        <v>87</v>
      </c>
      <c r="U337" t="s">
        <v>88</v>
      </c>
      <c r="V337">
        <v>1</v>
      </c>
      <c r="W337" t="s">
        <v>402</v>
      </c>
      <c r="X337" t="s">
        <v>83</v>
      </c>
      <c r="Y337" t="s">
        <v>90</v>
      </c>
      <c r="Z337">
        <v>4000</v>
      </c>
      <c r="AA337">
        <v>4000</v>
      </c>
      <c r="AC337">
        <v>256</v>
      </c>
      <c r="AD337" t="s">
        <v>91</v>
      </c>
      <c r="AE337">
        <v>0.15</v>
      </c>
      <c r="AF337" t="s">
        <v>92</v>
      </c>
      <c r="AG337">
        <v>180</v>
      </c>
      <c r="AH337">
        <v>60</v>
      </c>
      <c r="AI337">
        <v>120</v>
      </c>
      <c r="AJ337">
        <v>0.10270025165616491</v>
      </c>
      <c r="AK337">
        <v>20.375036192871349</v>
      </c>
      <c r="AL337">
        <v>0.76772541291312768</v>
      </c>
      <c r="AM337">
        <v>-5.9634692771603083E-2</v>
      </c>
      <c r="AN337">
        <v>21.036298240531551</v>
      </c>
      <c r="AO337">
        <v>0.71883939261081786</v>
      </c>
      <c r="AP337">
        <v>21.036298240531551</v>
      </c>
      <c r="AQ337">
        <v>21.036298240531551</v>
      </c>
      <c r="AR337">
        <v>0.71883939261081786</v>
      </c>
      <c r="AS337">
        <v>104.27769202757131</v>
      </c>
      <c r="AT337">
        <v>-0.1013202014363018</v>
      </c>
      <c r="AU337">
        <v>0.8</v>
      </c>
      <c r="AV337" t="s">
        <v>93</v>
      </c>
      <c r="AW337">
        <v>6.826465727789964E-2</v>
      </c>
      <c r="AX337">
        <v>0.50431032479113203</v>
      </c>
      <c r="AY337">
        <v>6.826465727789964E-2</v>
      </c>
      <c r="AZ337">
        <v>6.826465727789964E-2</v>
      </c>
      <c r="BA337">
        <v>0.50431032479113203</v>
      </c>
      <c r="BB337">
        <v>0.18232545471173911</v>
      </c>
      <c r="BC337">
        <v>-0.32391854046017771</v>
      </c>
      <c r="BD337">
        <v>6.8413862137247788E-2</v>
      </c>
      <c r="BE337">
        <v>0.76296057966468012</v>
      </c>
      <c r="BF337">
        <v>6.8413862137247788E-2</v>
      </c>
      <c r="BG337">
        <v>6.8413862137247788E-2</v>
      </c>
      <c r="BH337">
        <v>0.76296057966468012</v>
      </c>
      <c r="BI337">
        <v>0.26032493761477848</v>
      </c>
      <c r="BJ337">
        <v>9.8029691888436576E-2</v>
      </c>
      <c r="BK337">
        <v>3.8089850869376662E-2</v>
      </c>
      <c r="BL337">
        <v>0.84708129665183785</v>
      </c>
      <c r="BM337">
        <v>3.8089850869376662E-2</v>
      </c>
      <c r="BN337">
        <v>3.8089850869376662E-2</v>
      </c>
      <c r="BO337">
        <v>0.84708129665183785</v>
      </c>
      <c r="BP337">
        <v>0.24763740770684911</v>
      </c>
      <c r="BQ337">
        <v>5.8141362407684296E-3</v>
      </c>
      <c r="BR337">
        <v>83.970424591841862</v>
      </c>
      <c r="BS337">
        <v>0.76100536933562246</v>
      </c>
      <c r="BT337">
        <v>83.970424591841862</v>
      </c>
      <c r="BU337">
        <v>83.970424591841862</v>
      </c>
      <c r="BV337">
        <v>0.76100536933562246</v>
      </c>
      <c r="BW337">
        <v>416.42048031025132</v>
      </c>
      <c r="BX337">
        <v>-0.18520609341423139</v>
      </c>
      <c r="BY337" t="str">
        <f t="shared" si="13"/>
        <v>[[sv,wv],[yr],[ya]]</v>
      </c>
      <c r="BZ337" t="str">
        <f>SUBSTITUTE(TRIM(MID(SUBSTITUTE(SUBSTITUTE(SUBSTITUTE(Tabla1[[#This Row],[map]],"[",""),"]",""),",",REPT(" ",100)),901,200))," ",", ")</f>
        <v>2, 3</v>
      </c>
      <c r="CA337" t="str">
        <f>SUBSTITUTE(TRIM(MID(SUBSTITUTE(SUBSTITUTE(SUBSTITUTE(Tabla1[[#This Row],[map]],"[",""),"]",""),",",REPT(" ",100)),1501,200))," ",", ")</f>
        <v>3, 4</v>
      </c>
      <c r="CB337" t="str">
        <f>SUBSTITUTE(TRIM(MID(SUBSTITUTE(SUBSTITUTE(SUBSTITUTE(Tabla1[[#This Row],[map]],"[",""),"]",""),",",REPT(" ",100)),601,300))," ",", ")</f>
        <v>1, 4, 0</v>
      </c>
      <c r="CC337" t="str">
        <f>SUBSTITUTE(TRIM(MID(SUBSTITUTE(SUBSTITUTE(SUBSTITUTE(Tabla1[[#This Row],[map]],"[",""),"]",""),",",REPT(" ",100)),1201,300))," ",", ")</f>
        <v>0, 1, 2</v>
      </c>
      <c r="CD337" t="str">
        <f>SUBSTITUTE(TRIM(MID(SUBSTITUTE(SUBSTITUTE(SUBSTITUTE(Tabla1[[#This Row],[map]],"[",""),"]",""),",",REPT(" ",100)),1,300))," ",", ")</f>
        <v>2, 3, 4</v>
      </c>
      <c r="CE337" t="str">
        <f>SUBSTITUTE(TRIM(MID(SUBSTITUTE(SUBSTITUTE(SUBSTITUTE(Tabla1[[#This Row],[map]],"[",""),"]",""),",",REPT(" ",100)),1,600))," ",", ")</f>
        <v>2, 3, 4, 0, 1, -1</v>
      </c>
      <c r="CF337" t="str">
        <f>SUBSTITUTE(TRIM(MID(SUBSTITUTE(SUBSTITUTE(SUBSTITUTE(Tabla1[[#This Row],[map]],"[",""),"]",""),",",REPT(" ",100)),601,600))," ",", ")</f>
        <v>1, 4, 0, 2, 3, -1</v>
      </c>
      <c r="CG337" t="str">
        <f>SUBSTITUTE(TRIM(MID(SUBSTITUTE(SUBSTITUTE(SUBSTITUTE(Tabla1[[#This Row],[map]],"[",""),"]",""),",",REPT(" ",100)),1201,600))," ",", ")</f>
        <v>0, 1, 2, 3, 4, -1</v>
      </c>
    </row>
    <row r="338" spans="1:85" x14ac:dyDescent="0.3">
      <c r="A338" s="1">
        <v>46109.165335648147</v>
      </c>
      <c r="B338" t="s">
        <v>576</v>
      </c>
      <c r="C338">
        <v>5</v>
      </c>
      <c r="D338" t="s">
        <v>96</v>
      </c>
      <c r="E338" t="s">
        <v>78</v>
      </c>
      <c r="F338">
        <v>16590</v>
      </c>
      <c r="G338">
        <v>4.5</v>
      </c>
      <c r="H338" t="s">
        <v>79</v>
      </c>
      <c r="I338" t="s">
        <v>80</v>
      </c>
      <c r="J338">
        <v>5</v>
      </c>
      <c r="K338">
        <v>5</v>
      </c>
      <c r="L338" t="s">
        <v>81</v>
      </c>
      <c r="M338" t="s">
        <v>82</v>
      </c>
      <c r="N338" t="s">
        <v>83</v>
      </c>
      <c r="O338" t="s">
        <v>83</v>
      </c>
      <c r="P338" t="s">
        <v>84</v>
      </c>
      <c r="Q338" t="s">
        <v>469</v>
      </c>
      <c r="R338">
        <v>3</v>
      </c>
      <c r="S338" t="s">
        <v>86</v>
      </c>
      <c r="T338" t="s">
        <v>87</v>
      </c>
      <c r="U338" t="s">
        <v>88</v>
      </c>
      <c r="V338">
        <v>1</v>
      </c>
      <c r="W338" t="s">
        <v>470</v>
      </c>
      <c r="X338" t="s">
        <v>83</v>
      </c>
      <c r="Y338" t="s">
        <v>90</v>
      </c>
      <c r="Z338">
        <v>4000</v>
      </c>
      <c r="AA338">
        <v>4000</v>
      </c>
      <c r="AC338">
        <v>256</v>
      </c>
      <c r="AD338" t="s">
        <v>91</v>
      </c>
      <c r="AE338">
        <v>0.15</v>
      </c>
      <c r="AF338" t="s">
        <v>92</v>
      </c>
      <c r="AG338">
        <v>180</v>
      </c>
      <c r="AH338">
        <v>60</v>
      </c>
      <c r="AI338">
        <v>120</v>
      </c>
      <c r="AJ338">
        <v>0.14281342857324619</v>
      </c>
      <c r="AK338">
        <v>23.971203572324811</v>
      </c>
      <c r="AL338">
        <v>0.62123729366519997</v>
      </c>
      <c r="AM338">
        <v>-0.28556018352065959</v>
      </c>
      <c r="AN338">
        <v>28.454261353230219</v>
      </c>
      <c r="AO338">
        <v>0.57226943875920067</v>
      </c>
      <c r="AP338">
        <v>28.454261353230219</v>
      </c>
      <c r="AQ338">
        <v>28.454261353230219</v>
      </c>
      <c r="AR338">
        <v>0.57226943875920067</v>
      </c>
      <c r="AS338">
        <v>132.16583527558339</v>
      </c>
      <c r="AT338">
        <v>-0.2376295537772834</v>
      </c>
      <c r="AU338">
        <v>0.8</v>
      </c>
      <c r="AV338" t="s">
        <v>93</v>
      </c>
      <c r="AW338">
        <v>7.7562477507036626E-2</v>
      </c>
      <c r="AX338">
        <v>0.43679612823156838</v>
      </c>
      <c r="AY338">
        <v>7.7562477507036626E-2</v>
      </c>
      <c r="AZ338">
        <v>7.7562477507036626E-2</v>
      </c>
      <c r="BA338">
        <v>0.43679612823156838</v>
      </c>
      <c r="BB338">
        <v>0.1105485623979722</v>
      </c>
      <c r="BC338">
        <v>0.1972745022833555</v>
      </c>
      <c r="BD338">
        <v>0.10747867259319439</v>
      </c>
      <c r="BE338">
        <v>0.627609354975595</v>
      </c>
      <c r="BF338">
        <v>0.10747867259319439</v>
      </c>
      <c r="BG338">
        <v>0.10747867259319439</v>
      </c>
      <c r="BH338">
        <v>0.627609354975595</v>
      </c>
      <c r="BI338">
        <v>0.34751373788743029</v>
      </c>
      <c r="BJ338">
        <v>-0.20406087909701801</v>
      </c>
      <c r="BK338">
        <v>0.1126443956347867</v>
      </c>
      <c r="BL338">
        <v>0.54776838116324034</v>
      </c>
      <c r="BM338">
        <v>0.1126443956347867</v>
      </c>
      <c r="BN338">
        <v>0.1126443956347867</v>
      </c>
      <c r="BO338">
        <v>0.54776838116324034</v>
      </c>
      <c r="BP338">
        <v>0.35902912198149378</v>
      </c>
      <c r="BQ338">
        <v>-0.44138836316052132</v>
      </c>
      <c r="BR338">
        <v>113.51935986718659</v>
      </c>
      <c r="BS338">
        <v>0.67690389066639689</v>
      </c>
      <c r="BT338">
        <v>113.51935986718659</v>
      </c>
      <c r="BU338">
        <v>113.51935986718659</v>
      </c>
      <c r="BV338">
        <v>0.67690389066639689</v>
      </c>
      <c r="BW338">
        <v>527.84624968006653</v>
      </c>
      <c r="BX338">
        <v>-0.50234347513494204</v>
      </c>
      <c r="BY338" t="str">
        <f t="shared" si="13"/>
        <v>[[sv,wv],[yr],[ya]]</v>
      </c>
      <c r="BZ338" t="str">
        <f>SUBSTITUTE(TRIM(MID(SUBSTITUTE(SUBSTITUTE(SUBSTITUTE(Tabla1[[#This Row],[map]],"[",""),"]",""),",",REPT(" ",100)),901,200))," ",", ")</f>
        <v>2, 3</v>
      </c>
      <c r="CA338" t="str">
        <f>SUBSTITUTE(TRIM(MID(SUBSTITUTE(SUBSTITUTE(SUBSTITUTE(Tabla1[[#This Row],[map]],"[",""),"]",""),",",REPT(" ",100)),1501,200))," ",", ")</f>
        <v>3, 4</v>
      </c>
      <c r="CB338" t="str">
        <f>SUBSTITUTE(TRIM(MID(SUBSTITUTE(SUBSTITUTE(SUBSTITUTE(Tabla1[[#This Row],[map]],"[",""),"]",""),",",REPT(" ",100)),601,300))," ",", ")</f>
        <v>0, 1, 4</v>
      </c>
      <c r="CC338" t="str">
        <f>SUBSTITUTE(TRIM(MID(SUBSTITUTE(SUBSTITUTE(SUBSTITUTE(Tabla1[[#This Row],[map]],"[",""),"]",""),",",REPT(" ",100)),1201,300))," ",", ")</f>
        <v>1, 2, 0</v>
      </c>
      <c r="CD338" t="str">
        <f>SUBSTITUTE(TRIM(MID(SUBSTITUTE(SUBSTITUTE(SUBSTITUTE(Tabla1[[#This Row],[map]],"[",""),"]",""),",",REPT(" ",100)),1,300))," ",", ")</f>
        <v>4, 2, 3</v>
      </c>
      <c r="CE338" t="str">
        <f>SUBSTITUTE(TRIM(MID(SUBSTITUTE(SUBSTITUTE(SUBSTITUTE(Tabla1[[#This Row],[map]],"[",""),"]",""),",",REPT(" ",100)),1,600))," ",", ")</f>
        <v>4, 2, 3, 0, 1, -1</v>
      </c>
      <c r="CF338" t="str">
        <f>SUBSTITUTE(TRIM(MID(SUBSTITUTE(SUBSTITUTE(SUBSTITUTE(Tabla1[[#This Row],[map]],"[",""),"]",""),",",REPT(" ",100)),601,600))," ",", ")</f>
        <v>0, 1, 4, 2, 3, -1</v>
      </c>
      <c r="CG338" t="str">
        <f>SUBSTITUTE(TRIM(MID(SUBSTITUTE(SUBSTITUTE(SUBSTITUTE(Tabla1[[#This Row],[map]],"[",""),"]",""),",",REPT(" ",100)),1201,600))," ",", ")</f>
        <v>1, 2, 0, 3, 4, -1</v>
      </c>
    </row>
    <row r="339" spans="1:85" x14ac:dyDescent="0.3">
      <c r="A339" s="1">
        <v>46109.178541666668</v>
      </c>
      <c r="B339" t="s">
        <v>577</v>
      </c>
      <c r="C339">
        <v>2</v>
      </c>
      <c r="D339" t="s">
        <v>96</v>
      </c>
      <c r="E339" t="s">
        <v>78</v>
      </c>
      <c r="F339">
        <v>16590</v>
      </c>
      <c r="G339">
        <v>4.5</v>
      </c>
      <c r="H339" t="s">
        <v>79</v>
      </c>
      <c r="I339" t="s">
        <v>80</v>
      </c>
      <c r="J339">
        <v>5</v>
      </c>
      <c r="K339">
        <v>5</v>
      </c>
      <c r="L339" t="s">
        <v>81</v>
      </c>
      <c r="M339" t="s">
        <v>82</v>
      </c>
      <c r="N339" t="s">
        <v>83</v>
      </c>
      <c r="O339" t="s">
        <v>83</v>
      </c>
      <c r="P339" t="s">
        <v>84</v>
      </c>
      <c r="Q339" t="s">
        <v>525</v>
      </c>
      <c r="R339">
        <v>3</v>
      </c>
      <c r="S339" t="s">
        <v>86</v>
      </c>
      <c r="T339" t="s">
        <v>87</v>
      </c>
      <c r="U339" t="s">
        <v>88</v>
      </c>
      <c r="V339">
        <v>1</v>
      </c>
      <c r="W339" t="s">
        <v>526</v>
      </c>
      <c r="X339" t="s">
        <v>83</v>
      </c>
      <c r="Y339" t="s">
        <v>90</v>
      </c>
      <c r="Z339">
        <v>4000</v>
      </c>
      <c r="AA339">
        <v>4000</v>
      </c>
      <c r="AC339">
        <v>256</v>
      </c>
      <c r="AD339" t="s">
        <v>91</v>
      </c>
      <c r="AE339">
        <v>0.15</v>
      </c>
      <c r="AF339" t="s">
        <v>92</v>
      </c>
      <c r="AG339">
        <v>180</v>
      </c>
      <c r="AH339">
        <v>60</v>
      </c>
      <c r="AI339">
        <v>120</v>
      </c>
      <c r="AJ339">
        <v>0.1084058560233956</v>
      </c>
      <c r="AK339">
        <v>20.385058480619389</v>
      </c>
      <c r="AL339">
        <v>0.69294694596431927</v>
      </c>
      <c r="AM339">
        <v>-0.27839461699950729</v>
      </c>
      <c r="AN339">
        <v>27.3070620573409</v>
      </c>
      <c r="AO339">
        <v>0.64196208327981152</v>
      </c>
      <c r="AP339">
        <v>27.3070620573409</v>
      </c>
      <c r="AQ339">
        <v>27.3070620573409</v>
      </c>
      <c r="AR339">
        <v>0.64196208327981152</v>
      </c>
      <c r="AS339">
        <v>123.732941373015</v>
      </c>
      <c r="AT339">
        <v>-0.28384169544978682</v>
      </c>
      <c r="AU339">
        <v>0.8</v>
      </c>
      <c r="AV339" t="s">
        <v>93</v>
      </c>
      <c r="AW339">
        <v>7.3208038447450566E-2</v>
      </c>
      <c r="AX339">
        <v>0.46841498591331371</v>
      </c>
      <c r="AY339">
        <v>7.3208038447450566E-2</v>
      </c>
      <c r="AZ339">
        <v>7.3208038447450566E-2</v>
      </c>
      <c r="BA339">
        <v>0.46841498591331371</v>
      </c>
      <c r="BB339">
        <v>0.12959534444459109</v>
      </c>
      <c r="BC339">
        <v>5.8970237925477398E-2</v>
      </c>
      <c r="BD339">
        <v>9.8641625262754357E-2</v>
      </c>
      <c r="BE339">
        <v>0.65822783654123107</v>
      </c>
      <c r="BF339">
        <v>9.8641625262754357E-2</v>
      </c>
      <c r="BG339">
        <v>9.8641625262754357E-2</v>
      </c>
      <c r="BH339">
        <v>0.65822783654123107</v>
      </c>
      <c r="BI339">
        <v>0.29186131367041879</v>
      </c>
      <c r="BJ339">
        <v>-1.123711554174456E-2</v>
      </c>
      <c r="BK339">
        <v>6.1916952828799617E-2</v>
      </c>
      <c r="BL339">
        <v>0.7514230188424913</v>
      </c>
      <c r="BM339">
        <v>6.1916952828799617E-2</v>
      </c>
      <c r="BN339">
        <v>6.1916952828799617E-2</v>
      </c>
      <c r="BO339">
        <v>0.7514230188424913</v>
      </c>
      <c r="BP339">
        <v>0.44259927863180931</v>
      </c>
      <c r="BQ339">
        <v>-0.77689610871180181</v>
      </c>
      <c r="BR339">
        <v>108.9944816128246</v>
      </c>
      <c r="BS339">
        <v>0.68978249182220863</v>
      </c>
      <c r="BT339">
        <v>108.9944816128246</v>
      </c>
      <c r="BU339">
        <v>108.9944816128246</v>
      </c>
      <c r="BV339">
        <v>0.68978249182220863</v>
      </c>
      <c r="BW339">
        <v>494.06770955531312</v>
      </c>
      <c r="BX339">
        <v>-0.4062037954710902</v>
      </c>
      <c r="BY339" t="str">
        <f t="shared" si="13"/>
        <v>[[sv,wv],[yr],[ya]]</v>
      </c>
      <c r="BZ339" t="str">
        <f>SUBSTITUTE(TRIM(MID(SUBSTITUTE(SUBSTITUTE(SUBSTITUTE(Tabla1[[#This Row],[map]],"[",""),"]",""),",",REPT(" ",100)),901,200))," ",", ")</f>
        <v>2, 4</v>
      </c>
      <c r="CA339" t="str">
        <f>SUBSTITUTE(TRIM(MID(SUBSTITUTE(SUBSTITUTE(SUBSTITUTE(Tabla1[[#This Row],[map]],"[",""),"]",""),",",REPT(" ",100)),1501,200))," ",", ")</f>
        <v>3, 4</v>
      </c>
      <c r="CB339" t="str">
        <f>SUBSTITUTE(TRIM(MID(SUBSTITUTE(SUBSTITUTE(SUBSTITUTE(Tabla1[[#This Row],[map]],"[",""),"]",""),",",REPT(" ",100)),601,300))," ",", ")</f>
        <v>1, 3, 0</v>
      </c>
      <c r="CC339" t="str">
        <f>SUBSTITUTE(TRIM(MID(SUBSTITUTE(SUBSTITUTE(SUBSTITUTE(Tabla1[[#This Row],[map]],"[",""),"]",""),",",REPT(" ",100)),1201,300))," ",", ")</f>
        <v>0, 1, 2</v>
      </c>
      <c r="CD339" t="str">
        <f>SUBSTITUTE(TRIM(MID(SUBSTITUTE(SUBSTITUTE(SUBSTITUTE(Tabla1[[#This Row],[map]],"[",""),"]",""),",",REPT(" ",100)),1,300))," ",", ")</f>
        <v>4, 2, 3</v>
      </c>
      <c r="CE339" t="str">
        <f>SUBSTITUTE(TRIM(MID(SUBSTITUTE(SUBSTITUTE(SUBSTITUTE(Tabla1[[#This Row],[map]],"[",""),"]",""),",",REPT(" ",100)),1,600))," ",", ")</f>
        <v>4, 2, 3, 0, 1, -1</v>
      </c>
      <c r="CF339" t="str">
        <f>SUBSTITUTE(TRIM(MID(SUBSTITUTE(SUBSTITUTE(SUBSTITUTE(Tabla1[[#This Row],[map]],"[",""),"]",""),",",REPT(" ",100)),601,600))," ",", ")</f>
        <v>1, 3, 0, 2, 4, -1</v>
      </c>
      <c r="CG339" t="str">
        <f>SUBSTITUTE(TRIM(MID(SUBSTITUTE(SUBSTITUTE(SUBSTITUTE(Tabla1[[#This Row],[map]],"[",""),"]",""),",",REPT(" ",100)),1201,600))," ",", ")</f>
        <v>0, 1, 2, 3, 4, -1</v>
      </c>
    </row>
    <row r="340" spans="1:85" x14ac:dyDescent="0.3">
      <c r="A340" s="1">
        <v>46109.197337962964</v>
      </c>
      <c r="B340" t="s">
        <v>578</v>
      </c>
      <c r="C340">
        <v>4</v>
      </c>
      <c r="D340" t="s">
        <v>96</v>
      </c>
      <c r="E340" t="s">
        <v>78</v>
      </c>
      <c r="F340">
        <v>16590</v>
      </c>
      <c r="G340">
        <v>4.5</v>
      </c>
      <c r="H340" t="s">
        <v>79</v>
      </c>
      <c r="I340" t="s">
        <v>80</v>
      </c>
      <c r="J340">
        <v>5</v>
      </c>
      <c r="K340">
        <v>5</v>
      </c>
      <c r="L340" t="s">
        <v>81</v>
      </c>
      <c r="M340" t="s">
        <v>82</v>
      </c>
      <c r="N340" t="s">
        <v>83</v>
      </c>
      <c r="O340" t="s">
        <v>83</v>
      </c>
      <c r="P340" t="s">
        <v>84</v>
      </c>
      <c r="Q340" t="s">
        <v>469</v>
      </c>
      <c r="R340">
        <v>3</v>
      </c>
      <c r="S340" t="s">
        <v>86</v>
      </c>
      <c r="T340" t="s">
        <v>87</v>
      </c>
      <c r="U340" t="s">
        <v>88</v>
      </c>
      <c r="V340">
        <v>1</v>
      </c>
      <c r="W340" t="s">
        <v>470</v>
      </c>
      <c r="X340" t="s">
        <v>83</v>
      </c>
      <c r="Y340" t="s">
        <v>90</v>
      </c>
      <c r="Z340">
        <v>4000</v>
      </c>
      <c r="AA340">
        <v>4000</v>
      </c>
      <c r="AC340">
        <v>256</v>
      </c>
      <c r="AD340" t="s">
        <v>91</v>
      </c>
      <c r="AE340">
        <v>0.15</v>
      </c>
      <c r="AF340" t="s">
        <v>92</v>
      </c>
      <c r="AG340">
        <v>180</v>
      </c>
      <c r="AH340">
        <v>60</v>
      </c>
      <c r="AI340">
        <v>120</v>
      </c>
      <c r="AJ340">
        <v>0.1070456367373302</v>
      </c>
      <c r="AK340">
        <v>17.667815221269429</v>
      </c>
      <c r="AL340">
        <v>0.71721566366611722</v>
      </c>
      <c r="AM340">
        <v>0.14707372736057731</v>
      </c>
      <c r="AN340">
        <v>24.901760810457471</v>
      </c>
      <c r="AO340">
        <v>0.65698349510545984</v>
      </c>
      <c r="AP340">
        <v>24.901760810457471</v>
      </c>
      <c r="AQ340">
        <v>24.901760810457471</v>
      </c>
      <c r="AR340">
        <v>0.65698349510545984</v>
      </c>
      <c r="AS340">
        <v>117.0792237448797</v>
      </c>
      <c r="AT340">
        <v>0.21548463761741671</v>
      </c>
      <c r="AU340">
        <v>0.8</v>
      </c>
      <c r="AV340" t="s">
        <v>93</v>
      </c>
      <c r="AW340">
        <v>7.5820950894555025E-2</v>
      </c>
      <c r="AX340">
        <v>0.44944186315988371</v>
      </c>
      <c r="AY340">
        <v>7.5820950894555025E-2</v>
      </c>
      <c r="AZ340">
        <v>7.5820950894555025E-2</v>
      </c>
      <c r="BA340">
        <v>0.44944186315988371</v>
      </c>
      <c r="BB340">
        <v>0.13043631881076831</v>
      </c>
      <c r="BC340">
        <v>5.2863676682045502E-2</v>
      </c>
      <c r="BD340">
        <v>7.3832481204201661E-2</v>
      </c>
      <c r="BE340">
        <v>0.74418622191724126</v>
      </c>
      <c r="BF340">
        <v>7.3832481204201661E-2</v>
      </c>
      <c r="BG340">
        <v>7.3832481204201661E-2</v>
      </c>
      <c r="BH340">
        <v>0.74418622191724126</v>
      </c>
      <c r="BI340">
        <v>0.13293180380458969</v>
      </c>
      <c r="BJ340">
        <v>0.53941969165905634</v>
      </c>
      <c r="BK340">
        <v>7.0446731555640102E-2</v>
      </c>
      <c r="BL340">
        <v>0.71717865523948587</v>
      </c>
      <c r="BM340">
        <v>7.0446731555640102E-2</v>
      </c>
      <c r="BN340">
        <v>7.0446731555640102E-2</v>
      </c>
      <c r="BO340">
        <v>0.71717865523948587</v>
      </c>
      <c r="BP340">
        <v>9.9251769286638453E-2</v>
      </c>
      <c r="BQ340">
        <v>0.60153553983783081</v>
      </c>
      <c r="BR340">
        <v>99.386943078174667</v>
      </c>
      <c r="BS340">
        <v>0.71712724010523132</v>
      </c>
      <c r="BT340">
        <v>99.386943078174667</v>
      </c>
      <c r="BU340">
        <v>99.386943078174667</v>
      </c>
      <c r="BV340">
        <v>0.71712724010523132</v>
      </c>
      <c r="BW340">
        <v>467.95427508761651</v>
      </c>
      <c r="BX340">
        <v>-0.33188035770926749</v>
      </c>
      <c r="BY340" t="str">
        <f t="shared" si="13"/>
        <v>[[sv,wv],[yr],[ya]]</v>
      </c>
      <c r="BZ340" t="str">
        <f>SUBSTITUTE(TRIM(MID(SUBSTITUTE(SUBSTITUTE(SUBSTITUTE(Tabla1[[#This Row],[map]],"[",""),"]",""),",",REPT(" ",100)),901,200))," ",", ")</f>
        <v>2, 3</v>
      </c>
      <c r="CA340" t="str">
        <f>SUBSTITUTE(TRIM(MID(SUBSTITUTE(SUBSTITUTE(SUBSTITUTE(Tabla1[[#This Row],[map]],"[",""),"]",""),",",REPT(" ",100)),1501,200))," ",", ")</f>
        <v>3, 4</v>
      </c>
      <c r="CB340" t="str">
        <f>SUBSTITUTE(TRIM(MID(SUBSTITUTE(SUBSTITUTE(SUBSTITUTE(Tabla1[[#This Row],[map]],"[",""),"]",""),",",REPT(" ",100)),601,300))," ",", ")</f>
        <v>0, 1, 4</v>
      </c>
      <c r="CC340" t="str">
        <f>SUBSTITUTE(TRIM(MID(SUBSTITUTE(SUBSTITUTE(SUBSTITUTE(Tabla1[[#This Row],[map]],"[",""),"]",""),",",REPT(" ",100)),1201,300))," ",", ")</f>
        <v>1, 2, 0</v>
      </c>
      <c r="CD340" t="str">
        <f>SUBSTITUTE(TRIM(MID(SUBSTITUTE(SUBSTITUTE(SUBSTITUTE(Tabla1[[#This Row],[map]],"[",""),"]",""),",",REPT(" ",100)),1,300))," ",", ")</f>
        <v>4, 2, 3</v>
      </c>
      <c r="CE340" t="str">
        <f>SUBSTITUTE(TRIM(MID(SUBSTITUTE(SUBSTITUTE(SUBSTITUTE(Tabla1[[#This Row],[map]],"[",""),"]",""),",",REPT(" ",100)),1,600))," ",", ")</f>
        <v>4, 2, 3, 0, 1, -1</v>
      </c>
      <c r="CF340" t="str">
        <f>SUBSTITUTE(TRIM(MID(SUBSTITUTE(SUBSTITUTE(SUBSTITUTE(Tabla1[[#This Row],[map]],"[",""),"]",""),",",REPT(" ",100)),601,600))," ",", ")</f>
        <v>0, 1, 4, 2, 3, -1</v>
      </c>
      <c r="CG340" t="str">
        <f>SUBSTITUTE(TRIM(MID(SUBSTITUTE(SUBSTITUTE(SUBSTITUTE(Tabla1[[#This Row],[map]],"[",""),"]",""),",",REPT(" ",100)),1201,600))," ",", ")</f>
        <v>1, 2, 0, 3, 4, -1</v>
      </c>
    </row>
    <row r="341" spans="1:85" x14ac:dyDescent="0.3">
      <c r="A341" s="1">
        <v>46109.258958333332</v>
      </c>
      <c r="B341" t="s">
        <v>579</v>
      </c>
      <c r="C341">
        <v>7</v>
      </c>
      <c r="D341" t="s">
        <v>77</v>
      </c>
      <c r="E341" t="s">
        <v>78</v>
      </c>
      <c r="F341">
        <v>16590</v>
      </c>
      <c r="G341">
        <v>4.5</v>
      </c>
      <c r="H341" t="s">
        <v>79</v>
      </c>
      <c r="I341" t="s">
        <v>80</v>
      </c>
      <c r="J341">
        <v>5</v>
      </c>
      <c r="K341">
        <v>5</v>
      </c>
      <c r="L341" t="s">
        <v>81</v>
      </c>
      <c r="M341" t="s">
        <v>82</v>
      </c>
      <c r="N341" t="s">
        <v>83</v>
      </c>
      <c r="O341" t="s">
        <v>83</v>
      </c>
      <c r="P341" t="s">
        <v>84</v>
      </c>
      <c r="Q341" t="s">
        <v>393</v>
      </c>
      <c r="R341">
        <v>3</v>
      </c>
      <c r="S341" t="s">
        <v>86</v>
      </c>
      <c r="T341" t="s">
        <v>87</v>
      </c>
      <c r="U341" t="s">
        <v>88</v>
      </c>
      <c r="V341">
        <v>1</v>
      </c>
      <c r="W341" t="s">
        <v>394</v>
      </c>
      <c r="X341" t="s">
        <v>83</v>
      </c>
      <c r="Y341" t="s">
        <v>90</v>
      </c>
      <c r="Z341">
        <v>4000</v>
      </c>
      <c r="AA341">
        <v>4000</v>
      </c>
      <c r="AC341">
        <v>256</v>
      </c>
      <c r="AD341" t="s">
        <v>91</v>
      </c>
      <c r="AE341">
        <v>0.15</v>
      </c>
      <c r="AF341" t="s">
        <v>92</v>
      </c>
      <c r="AG341">
        <v>180</v>
      </c>
      <c r="AH341">
        <v>60</v>
      </c>
      <c r="AI341">
        <v>120</v>
      </c>
      <c r="AJ341">
        <v>0.1108178037404212</v>
      </c>
      <c r="AK341">
        <v>12.23716228704509</v>
      </c>
      <c r="AL341">
        <v>0.67102324723644258</v>
      </c>
      <c r="AM341">
        <v>-0.41624784066270781</v>
      </c>
      <c r="AN341">
        <v>16.880766401454441</v>
      </c>
      <c r="AO341">
        <v>0.63271650570332727</v>
      </c>
      <c r="AP341">
        <v>16.880766401454441</v>
      </c>
      <c r="AQ341">
        <v>16.880766401454441</v>
      </c>
      <c r="AR341">
        <v>0.63271650570332727</v>
      </c>
      <c r="AS341">
        <v>117.83651569453519</v>
      </c>
      <c r="AT341">
        <v>-0.32131170663773168</v>
      </c>
      <c r="AU341">
        <v>0.8</v>
      </c>
      <c r="AV341" t="s">
        <v>93</v>
      </c>
      <c r="AW341">
        <v>9.9172501597472776E-2</v>
      </c>
      <c r="AX341">
        <v>0.27987941246989678</v>
      </c>
      <c r="AY341">
        <v>9.9172501597472776E-2</v>
      </c>
      <c r="AZ341">
        <v>9.9172501597472776E-2</v>
      </c>
      <c r="BA341">
        <v>0.27987941246989678</v>
      </c>
      <c r="BB341">
        <v>0.15162480777112849</v>
      </c>
      <c r="BC341">
        <v>-0.1009921490078298</v>
      </c>
      <c r="BD341">
        <v>8.3800200146518844E-2</v>
      </c>
      <c r="BE341">
        <v>0.70965020470756723</v>
      </c>
      <c r="BF341">
        <v>8.3800200146518844E-2</v>
      </c>
      <c r="BG341">
        <v>8.3800200146518844E-2</v>
      </c>
      <c r="BH341">
        <v>0.70965020470756723</v>
      </c>
      <c r="BI341">
        <v>0.41866014509365668</v>
      </c>
      <c r="BJ341">
        <v>-0.45056798447387791</v>
      </c>
      <c r="BK341">
        <v>6.6553497697776562E-2</v>
      </c>
      <c r="BL341">
        <v>0.73280875774152276</v>
      </c>
      <c r="BM341">
        <v>6.6553497697776562E-2</v>
      </c>
      <c r="BN341">
        <v>6.6553497697776562E-2</v>
      </c>
      <c r="BO341">
        <v>0.73280875774152276</v>
      </c>
      <c r="BP341">
        <v>0.34741582469779381</v>
      </c>
      <c r="BQ341">
        <v>-0.39476464787451809</v>
      </c>
      <c r="BR341">
        <v>67.273539406375818</v>
      </c>
      <c r="BS341">
        <v>0.8085276478943243</v>
      </c>
      <c r="BT341">
        <v>67.273539406375818</v>
      </c>
      <c r="BU341">
        <v>67.273539406375818</v>
      </c>
      <c r="BV341">
        <v>0.8085276478943243</v>
      </c>
      <c r="BW341">
        <v>470.42836200057849</v>
      </c>
      <c r="BX341">
        <v>-0.33892204519470132</v>
      </c>
      <c r="BY341" t="str">
        <f t="shared" si="13"/>
        <v>[[sv,wv],[yr],[ya]]</v>
      </c>
      <c r="BZ341" t="str">
        <f>SUBSTITUTE(TRIM(MID(SUBSTITUTE(SUBSTITUTE(SUBSTITUTE(Tabla1[[#This Row],[map]],"[",""),"]",""),",",REPT(" ",100)),901,200))," ",", ")</f>
        <v>2, 3</v>
      </c>
      <c r="CA341" t="str">
        <f>SUBSTITUTE(TRIM(MID(SUBSTITUTE(SUBSTITUTE(SUBSTITUTE(Tabla1[[#This Row],[map]],"[",""),"]",""),",",REPT(" ",100)),1501,200))," ",", ")</f>
        <v>3, 4</v>
      </c>
      <c r="CB341" t="str">
        <f>SUBSTITUTE(TRIM(MID(SUBSTITUTE(SUBSTITUTE(SUBSTITUTE(Tabla1[[#This Row],[map]],"[",""),"]",""),",",REPT(" ",100)),601,300))," ",", ")</f>
        <v>0, 1, 4</v>
      </c>
      <c r="CC341" t="str">
        <f>SUBSTITUTE(TRIM(MID(SUBSTITUTE(SUBSTITUTE(SUBSTITUTE(Tabla1[[#This Row],[map]],"[",""),"]",""),",",REPT(" ",100)),1201,300))," ",", ")</f>
        <v>1, 2, 0</v>
      </c>
      <c r="CD341" t="str">
        <f>SUBSTITUTE(TRIM(MID(SUBSTITUTE(SUBSTITUTE(SUBSTITUTE(Tabla1[[#This Row],[map]],"[",""),"]",""),",",REPT(" ",100)),1,300))," ",", ")</f>
        <v>2, 3, 4</v>
      </c>
      <c r="CE341" t="str">
        <f>SUBSTITUTE(TRIM(MID(SUBSTITUTE(SUBSTITUTE(SUBSTITUTE(Tabla1[[#This Row],[map]],"[",""),"]",""),",",REPT(" ",100)),1,600))," ",", ")</f>
        <v>2, 3, 4, 0, 1, -1</v>
      </c>
      <c r="CF341" t="str">
        <f>SUBSTITUTE(TRIM(MID(SUBSTITUTE(SUBSTITUTE(SUBSTITUTE(Tabla1[[#This Row],[map]],"[",""),"]",""),",",REPT(" ",100)),601,600))," ",", ")</f>
        <v>0, 1, 4, 2, 3, -1</v>
      </c>
      <c r="CG341" t="str">
        <f>SUBSTITUTE(TRIM(MID(SUBSTITUTE(SUBSTITUTE(SUBSTITUTE(Tabla1[[#This Row],[map]],"[",""),"]",""),",",REPT(" ",100)),1201,600))," ",", ")</f>
        <v>1, 2, 0, 3, 4, -1</v>
      </c>
    </row>
    <row r="342" spans="1:85" x14ac:dyDescent="0.3">
      <c r="A342" s="1">
        <v>46109.294722222221</v>
      </c>
      <c r="B342" t="s">
        <v>580</v>
      </c>
      <c r="C342">
        <v>3</v>
      </c>
      <c r="D342" t="s">
        <v>77</v>
      </c>
      <c r="E342" t="s">
        <v>78</v>
      </c>
      <c r="F342">
        <v>16590</v>
      </c>
      <c r="G342">
        <v>4.5</v>
      </c>
      <c r="H342" t="s">
        <v>79</v>
      </c>
      <c r="I342" t="s">
        <v>80</v>
      </c>
      <c r="J342">
        <v>5</v>
      </c>
      <c r="K342">
        <v>5</v>
      </c>
      <c r="L342" t="s">
        <v>81</v>
      </c>
      <c r="M342" t="s">
        <v>82</v>
      </c>
      <c r="N342" t="s">
        <v>83</v>
      </c>
      <c r="O342" t="s">
        <v>83</v>
      </c>
      <c r="P342" t="s">
        <v>84</v>
      </c>
      <c r="Q342" t="s">
        <v>533</v>
      </c>
      <c r="R342">
        <v>3</v>
      </c>
      <c r="S342" t="s">
        <v>86</v>
      </c>
      <c r="T342" t="s">
        <v>87</v>
      </c>
      <c r="U342" t="s">
        <v>88</v>
      </c>
      <c r="V342">
        <v>1</v>
      </c>
      <c r="W342" t="s">
        <v>534</v>
      </c>
      <c r="X342" t="s">
        <v>83</v>
      </c>
      <c r="Y342" t="s">
        <v>90</v>
      </c>
      <c r="Z342">
        <v>4000</v>
      </c>
      <c r="AA342">
        <v>4000</v>
      </c>
      <c r="AC342">
        <v>256</v>
      </c>
      <c r="AD342" t="s">
        <v>91</v>
      </c>
      <c r="AE342">
        <v>0.15</v>
      </c>
      <c r="AF342" t="s">
        <v>92</v>
      </c>
      <c r="AG342">
        <v>180</v>
      </c>
      <c r="AH342">
        <v>60</v>
      </c>
      <c r="AI342">
        <v>120</v>
      </c>
      <c r="AJ342">
        <v>0.1078077031506199</v>
      </c>
      <c r="AK342">
        <v>15.75930481417314</v>
      </c>
      <c r="AL342">
        <v>0.73366341614781216</v>
      </c>
      <c r="AM342">
        <v>2.5443612075778669E-2</v>
      </c>
      <c r="AN342">
        <v>21.450423928543941</v>
      </c>
      <c r="AO342">
        <v>0.6777008808345002</v>
      </c>
      <c r="AP342">
        <v>21.450423928543941</v>
      </c>
      <c r="AQ342">
        <v>21.450423928543941</v>
      </c>
      <c r="AR342">
        <v>0.6777008808345002</v>
      </c>
      <c r="AS342">
        <v>94.797870475658911</v>
      </c>
      <c r="AT342">
        <v>1.8814866462510901E-2</v>
      </c>
      <c r="AU342">
        <v>0.8</v>
      </c>
      <c r="AV342" t="s">
        <v>93</v>
      </c>
      <c r="AW342">
        <v>7.7390329603018171E-2</v>
      </c>
      <c r="AX342">
        <v>0.43804614459484442</v>
      </c>
      <c r="AY342">
        <v>7.7390329603018171E-2</v>
      </c>
      <c r="AZ342">
        <v>7.7390329603018171E-2</v>
      </c>
      <c r="BA342">
        <v>0.43804614459484442</v>
      </c>
      <c r="BB342">
        <v>0.1090582494136932</v>
      </c>
      <c r="BC342">
        <v>0.20809610146211571</v>
      </c>
      <c r="BD342">
        <v>8.8872091038470616E-2</v>
      </c>
      <c r="BE342">
        <v>0.69207718603160973</v>
      </c>
      <c r="BF342">
        <v>8.8872091038470616E-2</v>
      </c>
      <c r="BG342">
        <v>8.8872091038470616E-2</v>
      </c>
      <c r="BH342">
        <v>0.69207718603160973</v>
      </c>
      <c r="BI342">
        <v>0.15580715228282471</v>
      </c>
      <c r="BJ342">
        <v>0.46016149494489839</v>
      </c>
      <c r="BK342">
        <v>4.3767043754172598E-2</v>
      </c>
      <c r="BL342">
        <v>0.82428916292630572</v>
      </c>
      <c r="BM342">
        <v>4.3767043754172598E-2</v>
      </c>
      <c r="BN342">
        <v>4.3767043754172598E-2</v>
      </c>
      <c r="BO342">
        <v>0.82428916292630572</v>
      </c>
      <c r="BP342">
        <v>0.37750935193990032</v>
      </c>
      <c r="BQ342">
        <v>-0.51558064111158575</v>
      </c>
      <c r="BR342">
        <v>85.591666249779891</v>
      </c>
      <c r="BS342">
        <v>0.75639102978523931</v>
      </c>
      <c r="BT342">
        <v>85.591666249779891</v>
      </c>
      <c r="BU342">
        <v>85.591666249779891</v>
      </c>
      <c r="BV342">
        <v>0.75639102978523931</v>
      </c>
      <c r="BW342">
        <v>378.54910714899881</v>
      </c>
      <c r="BX342">
        <v>-7.741748944537985E-2</v>
      </c>
      <c r="BY342" t="str">
        <f t="shared" si="13"/>
        <v>[[sv,wv],[yr],[ya]]</v>
      </c>
      <c r="BZ342" t="str">
        <f>SUBSTITUTE(TRIM(MID(SUBSTITUTE(SUBSTITUTE(SUBSTITUTE(Tabla1[[#This Row],[map]],"[",""),"]",""),",",REPT(" ",100)),901,200))," ",", ")</f>
        <v>2, 4</v>
      </c>
      <c r="CA342" t="str">
        <f>SUBSTITUTE(TRIM(MID(SUBSTITUTE(SUBSTITUTE(SUBSTITUTE(Tabla1[[#This Row],[map]],"[",""),"]",""),",",REPT(" ",100)),1501,200))," ",", ")</f>
        <v>3, 4</v>
      </c>
      <c r="CB342" t="str">
        <f>SUBSTITUTE(TRIM(MID(SUBSTITUTE(SUBSTITUTE(SUBSTITUTE(Tabla1[[#This Row],[map]],"[",""),"]",""),",",REPT(" ",100)),601,300))," ",", ")</f>
        <v>1, 3, 0</v>
      </c>
      <c r="CC342" t="str">
        <f>SUBSTITUTE(TRIM(MID(SUBSTITUTE(SUBSTITUTE(SUBSTITUTE(Tabla1[[#This Row],[map]],"[",""),"]",""),",",REPT(" ",100)),1201,300))," ",", ")</f>
        <v>1, 2, 0</v>
      </c>
      <c r="CD342" t="str">
        <f>SUBSTITUTE(TRIM(MID(SUBSTITUTE(SUBSTITUTE(SUBSTITUTE(Tabla1[[#This Row],[map]],"[",""),"]",""),",",REPT(" ",100)),1,300))," ",", ")</f>
        <v>4, 2, 3</v>
      </c>
      <c r="CE342" t="str">
        <f>SUBSTITUTE(TRIM(MID(SUBSTITUTE(SUBSTITUTE(SUBSTITUTE(Tabla1[[#This Row],[map]],"[",""),"]",""),",",REPT(" ",100)),1,600))," ",", ")</f>
        <v>4, 2, 3, 0, 1, -1</v>
      </c>
      <c r="CF342" t="str">
        <f>SUBSTITUTE(TRIM(MID(SUBSTITUTE(SUBSTITUTE(SUBSTITUTE(Tabla1[[#This Row],[map]],"[",""),"]",""),",",REPT(" ",100)),601,600))," ",", ")</f>
        <v>1, 3, 0, 2, 4, -1</v>
      </c>
      <c r="CG342" t="str">
        <f>SUBSTITUTE(TRIM(MID(SUBSTITUTE(SUBSTITUTE(SUBSTITUTE(Tabla1[[#This Row],[map]],"[",""),"]",""),",",REPT(" ",100)),1201,600))," ",", ")</f>
        <v>1, 2, 0, 3, 4, -1</v>
      </c>
    </row>
    <row r="343" spans="1:85" x14ac:dyDescent="0.3">
      <c r="A343" s="1">
        <v>46109.300613425927</v>
      </c>
      <c r="B343" t="s">
        <v>581</v>
      </c>
      <c r="C343">
        <v>8</v>
      </c>
      <c r="D343" t="s">
        <v>96</v>
      </c>
      <c r="E343" t="s">
        <v>78</v>
      </c>
      <c r="F343">
        <v>16590</v>
      </c>
      <c r="G343">
        <v>4.5</v>
      </c>
      <c r="H343" t="s">
        <v>79</v>
      </c>
      <c r="I343" t="s">
        <v>80</v>
      </c>
      <c r="J343">
        <v>5</v>
      </c>
      <c r="K343">
        <v>5</v>
      </c>
      <c r="L343" t="s">
        <v>81</v>
      </c>
      <c r="M343" t="s">
        <v>82</v>
      </c>
      <c r="N343" t="s">
        <v>83</v>
      </c>
      <c r="O343" t="s">
        <v>83</v>
      </c>
      <c r="P343" t="s">
        <v>84</v>
      </c>
      <c r="Q343" t="s">
        <v>390</v>
      </c>
      <c r="R343">
        <v>3</v>
      </c>
      <c r="S343" t="s">
        <v>86</v>
      </c>
      <c r="T343" t="s">
        <v>87</v>
      </c>
      <c r="U343" t="s">
        <v>88</v>
      </c>
      <c r="V343">
        <v>1</v>
      </c>
      <c r="W343" t="s">
        <v>391</v>
      </c>
      <c r="X343" t="s">
        <v>83</v>
      </c>
      <c r="Y343" t="s">
        <v>90</v>
      </c>
      <c r="Z343">
        <v>4000</v>
      </c>
      <c r="AA343">
        <v>4000</v>
      </c>
      <c r="AC343">
        <v>256</v>
      </c>
      <c r="AD343" t="s">
        <v>91</v>
      </c>
      <c r="AE343">
        <v>0.15</v>
      </c>
      <c r="AF343" t="s">
        <v>92</v>
      </c>
      <c r="AG343">
        <v>180</v>
      </c>
      <c r="AH343">
        <v>60</v>
      </c>
      <c r="AI343">
        <v>120</v>
      </c>
      <c r="AJ343">
        <v>0.12360445371330669</v>
      </c>
      <c r="AK343">
        <v>11.315709749400209</v>
      </c>
      <c r="AL343">
        <v>0.64794049272658893</v>
      </c>
      <c r="AM343">
        <v>-0.46074691090371872</v>
      </c>
      <c r="AN343">
        <v>14.26126947826333</v>
      </c>
      <c r="AO343">
        <v>0.58800138522605028</v>
      </c>
      <c r="AP343">
        <v>14.26126947826333</v>
      </c>
      <c r="AQ343">
        <v>14.26126947826333</v>
      </c>
      <c r="AR343">
        <v>0.58800138522605028</v>
      </c>
      <c r="AS343">
        <v>92.188784353991423</v>
      </c>
      <c r="AT343">
        <v>-0.47531960745774482</v>
      </c>
      <c r="AU343">
        <v>0.8</v>
      </c>
      <c r="AV343" t="s">
        <v>93</v>
      </c>
      <c r="AW343">
        <v>0.1144272836973507</v>
      </c>
      <c r="AX343">
        <v>0.16910997062405639</v>
      </c>
      <c r="AY343">
        <v>0.1144272836973507</v>
      </c>
      <c r="AZ343">
        <v>0.1144272836973507</v>
      </c>
      <c r="BA343">
        <v>0.16910997062405639</v>
      </c>
      <c r="BB343">
        <v>0.15483678345219279</v>
      </c>
      <c r="BC343">
        <v>-0.12431524540373021</v>
      </c>
      <c r="BD343">
        <v>5.9974190331136761E-2</v>
      </c>
      <c r="BE343">
        <v>0.79220223991077976</v>
      </c>
      <c r="BF343">
        <v>5.9974190331136761E-2</v>
      </c>
      <c r="BG343">
        <v>5.9974190331136761E-2</v>
      </c>
      <c r="BH343">
        <v>0.79220223991077976</v>
      </c>
      <c r="BI343">
        <v>0.72656229617425683</v>
      </c>
      <c r="BJ343">
        <v>-1.5173831756075919</v>
      </c>
      <c r="BK343">
        <v>0.1115306133186738</v>
      </c>
      <c r="BL343">
        <v>0.55223986487096566</v>
      </c>
      <c r="BM343">
        <v>0.1115306133186738</v>
      </c>
      <c r="BN343">
        <v>0.1115306133186738</v>
      </c>
      <c r="BO343">
        <v>0.55223986487096566</v>
      </c>
      <c r="BP343">
        <v>0.30224217562941919</v>
      </c>
      <c r="BQ343">
        <v>-0.21340673537624319</v>
      </c>
      <c r="BR343">
        <v>56.759145825706099</v>
      </c>
      <c r="BS343">
        <v>0.83845346549839772</v>
      </c>
      <c r="BT343">
        <v>56.759145825706099</v>
      </c>
      <c r="BU343">
        <v>56.759145825706099</v>
      </c>
      <c r="BV343">
        <v>0.83845346549839772</v>
      </c>
      <c r="BW343">
        <v>367.57149616071018</v>
      </c>
      <c r="BX343">
        <v>-4.6173273443426373E-2</v>
      </c>
      <c r="BY343" t="str">
        <f t="shared" si="13"/>
        <v>[[sv,wv],[yr],[ya]]</v>
      </c>
      <c r="BZ343" t="str">
        <f>SUBSTITUTE(TRIM(MID(SUBSTITUTE(SUBSTITUTE(SUBSTITUTE(Tabla1[[#This Row],[map]],"[",""),"]",""),",",REPT(" ",100)),901,200))," ",", ")</f>
        <v>2, 3</v>
      </c>
      <c r="CA343" t="str">
        <f>SUBSTITUTE(TRIM(MID(SUBSTITUTE(SUBSTITUTE(SUBSTITUTE(Tabla1[[#This Row],[map]],"[",""),"]",""),",",REPT(" ",100)),1501,200))," ",", ")</f>
        <v>3, 2</v>
      </c>
      <c r="CB343" t="str">
        <f>SUBSTITUTE(TRIM(MID(SUBSTITUTE(SUBSTITUTE(SUBSTITUTE(Tabla1[[#This Row],[map]],"[",""),"]",""),",",REPT(" ",100)),601,300))," ",", ")</f>
        <v>0, 1, 4</v>
      </c>
      <c r="CC343" t="str">
        <f>SUBSTITUTE(TRIM(MID(SUBSTITUTE(SUBSTITUTE(SUBSTITUTE(Tabla1[[#This Row],[map]],"[",""),"]",""),",",REPT(" ",100)),1201,300))," ",", ")</f>
        <v>1, 4, 0</v>
      </c>
      <c r="CD343" t="str">
        <f>SUBSTITUTE(TRIM(MID(SUBSTITUTE(SUBSTITUTE(SUBSTITUTE(Tabla1[[#This Row],[map]],"[",""),"]",""),",",REPT(" ",100)),1,300))," ",", ")</f>
        <v>2, 3, 4</v>
      </c>
      <c r="CE343" t="str">
        <f>SUBSTITUTE(TRIM(MID(SUBSTITUTE(SUBSTITUTE(SUBSTITUTE(Tabla1[[#This Row],[map]],"[",""),"]",""),",",REPT(" ",100)),1,600))," ",", ")</f>
        <v>2, 3, 4, 0, 1, -1</v>
      </c>
      <c r="CF343" t="str">
        <f>SUBSTITUTE(TRIM(MID(SUBSTITUTE(SUBSTITUTE(SUBSTITUTE(Tabla1[[#This Row],[map]],"[",""),"]",""),",",REPT(" ",100)),601,600))," ",", ")</f>
        <v>0, 1, 4, 2, 3, -1</v>
      </c>
      <c r="CG343" t="str">
        <f>SUBSTITUTE(TRIM(MID(SUBSTITUTE(SUBSTITUTE(SUBSTITUTE(Tabla1[[#This Row],[map]],"[",""),"]",""),",",REPT(" ",100)),1201,600))," ",", ")</f>
        <v>1, 4, 0, 3, 2, -1</v>
      </c>
    </row>
    <row r="344" spans="1:85" x14ac:dyDescent="0.3">
      <c r="A344" s="1">
        <v>46109.304282407407</v>
      </c>
      <c r="B344" t="s">
        <v>582</v>
      </c>
      <c r="C344">
        <v>9</v>
      </c>
      <c r="D344" t="s">
        <v>96</v>
      </c>
      <c r="E344" t="s">
        <v>78</v>
      </c>
      <c r="F344">
        <v>16590</v>
      </c>
      <c r="G344">
        <v>4.5</v>
      </c>
      <c r="H344" t="s">
        <v>79</v>
      </c>
      <c r="I344" t="s">
        <v>80</v>
      </c>
      <c r="J344">
        <v>5</v>
      </c>
      <c r="K344">
        <v>5</v>
      </c>
      <c r="L344" t="s">
        <v>81</v>
      </c>
      <c r="M344" t="s">
        <v>82</v>
      </c>
      <c r="N344" t="s">
        <v>83</v>
      </c>
      <c r="O344" t="s">
        <v>83</v>
      </c>
      <c r="P344" t="s">
        <v>84</v>
      </c>
      <c r="Q344" t="s">
        <v>390</v>
      </c>
      <c r="R344">
        <v>3</v>
      </c>
      <c r="S344" t="s">
        <v>86</v>
      </c>
      <c r="T344" t="s">
        <v>87</v>
      </c>
      <c r="U344" t="s">
        <v>88</v>
      </c>
      <c r="V344">
        <v>1</v>
      </c>
      <c r="W344" t="s">
        <v>391</v>
      </c>
      <c r="X344" t="s">
        <v>83</v>
      </c>
      <c r="Y344" t="s">
        <v>90</v>
      </c>
      <c r="Z344">
        <v>4000</v>
      </c>
      <c r="AA344">
        <v>4000</v>
      </c>
      <c r="AC344">
        <v>256</v>
      </c>
      <c r="AD344" t="s">
        <v>91</v>
      </c>
      <c r="AE344">
        <v>0.15</v>
      </c>
      <c r="AF344" t="s">
        <v>92</v>
      </c>
      <c r="AG344">
        <v>180</v>
      </c>
      <c r="AH344">
        <v>60</v>
      </c>
      <c r="AI344">
        <v>120</v>
      </c>
      <c r="AJ344">
        <v>0.1116841724842023</v>
      </c>
      <c r="AK344">
        <v>15.986039122037729</v>
      </c>
      <c r="AL344">
        <v>0.76147147877183352</v>
      </c>
      <c r="AM344">
        <v>-0.33850202550546638</v>
      </c>
      <c r="AN344">
        <v>20.648097760100509</v>
      </c>
      <c r="AO344">
        <v>0.70912444325896629</v>
      </c>
      <c r="AP344">
        <v>20.648097760100509</v>
      </c>
      <c r="AQ344">
        <v>20.648097760100509</v>
      </c>
      <c r="AR344">
        <v>0.70912444325896629</v>
      </c>
      <c r="AS344">
        <v>147.92629924362231</v>
      </c>
      <c r="AT344">
        <v>-0.25706399206377811</v>
      </c>
      <c r="AU344">
        <v>0.8</v>
      </c>
      <c r="AV344" t="s">
        <v>93</v>
      </c>
      <c r="AW344">
        <v>4.7770784273133811E-2</v>
      </c>
      <c r="AX344">
        <v>0.65312234053376372</v>
      </c>
      <c r="AY344">
        <v>4.7770784273133811E-2</v>
      </c>
      <c r="AZ344">
        <v>4.7770784273133811E-2</v>
      </c>
      <c r="BA344">
        <v>0.65312234053376372</v>
      </c>
      <c r="BB344">
        <v>0.14748311903252331</v>
      </c>
      <c r="BC344">
        <v>-7.0918133733749E-2</v>
      </c>
      <c r="BD344">
        <v>4.4856246187978337E-2</v>
      </c>
      <c r="BE344">
        <v>0.84458268744591403</v>
      </c>
      <c r="BF344">
        <v>4.4856246187978337E-2</v>
      </c>
      <c r="BG344">
        <v>4.4856246187978337E-2</v>
      </c>
      <c r="BH344">
        <v>0.84458268744591403</v>
      </c>
      <c r="BI344">
        <v>0.34125178952541979</v>
      </c>
      <c r="BJ344">
        <v>-0.18236456546217439</v>
      </c>
      <c r="BK344">
        <v>0.10628505796268541</v>
      </c>
      <c r="BL344">
        <v>0.57329911044610782</v>
      </c>
      <c r="BM344">
        <v>0.10628505796268541</v>
      </c>
      <c r="BN344">
        <v>0.10628505796268541</v>
      </c>
      <c r="BO344">
        <v>0.57329911044610782</v>
      </c>
      <c r="BP344">
        <v>0.27226102569121841</v>
      </c>
      <c r="BQ344">
        <v>-9.304190146920166E-2</v>
      </c>
      <c r="BR344">
        <v>82.39347895197794</v>
      </c>
      <c r="BS344">
        <v>0.76549363461008069</v>
      </c>
      <c r="BT344">
        <v>82.39347895197794</v>
      </c>
      <c r="BU344">
        <v>82.39347895197794</v>
      </c>
      <c r="BV344">
        <v>0.76549363461008069</v>
      </c>
      <c r="BW344">
        <v>590.94420104024084</v>
      </c>
      <c r="BX344">
        <v>-0.68193136758998163</v>
      </c>
      <c r="BY344" t="str">
        <f t="shared" si="13"/>
        <v>[[sv,wv],[yr],[ya]]</v>
      </c>
      <c r="BZ344" t="str">
        <f>SUBSTITUTE(TRIM(MID(SUBSTITUTE(SUBSTITUTE(SUBSTITUTE(Tabla1[[#This Row],[map]],"[",""),"]",""),",",REPT(" ",100)),901,200))," ",", ")</f>
        <v>2, 3</v>
      </c>
      <c r="CA344" t="str">
        <f>SUBSTITUTE(TRIM(MID(SUBSTITUTE(SUBSTITUTE(SUBSTITUTE(Tabla1[[#This Row],[map]],"[",""),"]",""),",",REPT(" ",100)),1501,200))," ",", ")</f>
        <v>3, 2</v>
      </c>
      <c r="CB344" t="str">
        <f>SUBSTITUTE(TRIM(MID(SUBSTITUTE(SUBSTITUTE(SUBSTITUTE(Tabla1[[#This Row],[map]],"[",""),"]",""),",",REPT(" ",100)),601,300))," ",", ")</f>
        <v>0, 1, 4</v>
      </c>
      <c r="CC344" t="str">
        <f>SUBSTITUTE(TRIM(MID(SUBSTITUTE(SUBSTITUTE(SUBSTITUTE(Tabla1[[#This Row],[map]],"[",""),"]",""),",",REPT(" ",100)),1201,300))," ",", ")</f>
        <v>1, 4, 0</v>
      </c>
      <c r="CD344" t="str">
        <f>SUBSTITUTE(TRIM(MID(SUBSTITUTE(SUBSTITUTE(SUBSTITUTE(Tabla1[[#This Row],[map]],"[",""),"]",""),",",REPT(" ",100)),1,300))," ",", ")</f>
        <v>2, 3, 4</v>
      </c>
      <c r="CE344" t="str">
        <f>SUBSTITUTE(TRIM(MID(SUBSTITUTE(SUBSTITUTE(SUBSTITUTE(Tabla1[[#This Row],[map]],"[",""),"]",""),",",REPT(" ",100)),1,600))," ",", ")</f>
        <v>2, 3, 4, 0, 1, -1</v>
      </c>
      <c r="CF344" t="str">
        <f>SUBSTITUTE(TRIM(MID(SUBSTITUTE(SUBSTITUTE(SUBSTITUTE(Tabla1[[#This Row],[map]],"[",""),"]",""),",",REPT(" ",100)),601,600))," ",", ")</f>
        <v>0, 1, 4, 2, 3, -1</v>
      </c>
      <c r="CG344" t="str">
        <f>SUBSTITUTE(TRIM(MID(SUBSTITUTE(SUBSTITUTE(SUBSTITUTE(Tabla1[[#This Row],[map]],"[",""),"]",""),",",REPT(" ",100)),1201,600))," ",", ")</f>
        <v>1, 4, 0, 3, 2, -1</v>
      </c>
    </row>
    <row r="345" spans="1:85" x14ac:dyDescent="0.3">
      <c r="A345" s="1">
        <v>46109.305636574078</v>
      </c>
      <c r="B345" t="s">
        <v>583</v>
      </c>
      <c r="C345">
        <v>6</v>
      </c>
      <c r="D345" t="s">
        <v>96</v>
      </c>
      <c r="E345" t="s">
        <v>78</v>
      </c>
      <c r="F345">
        <v>16590</v>
      </c>
      <c r="G345">
        <v>4.5</v>
      </c>
      <c r="H345" t="s">
        <v>79</v>
      </c>
      <c r="I345" t="s">
        <v>80</v>
      </c>
      <c r="J345">
        <v>5</v>
      </c>
      <c r="K345">
        <v>5</v>
      </c>
      <c r="L345" t="s">
        <v>81</v>
      </c>
      <c r="M345" t="s">
        <v>82</v>
      </c>
      <c r="N345" t="s">
        <v>83</v>
      </c>
      <c r="O345" t="s">
        <v>83</v>
      </c>
      <c r="P345" t="s">
        <v>84</v>
      </c>
      <c r="Q345" t="s">
        <v>408</v>
      </c>
      <c r="R345">
        <v>3</v>
      </c>
      <c r="S345" t="s">
        <v>86</v>
      </c>
      <c r="T345" t="s">
        <v>87</v>
      </c>
      <c r="U345" t="s">
        <v>88</v>
      </c>
      <c r="V345">
        <v>1</v>
      </c>
      <c r="W345" t="s">
        <v>409</v>
      </c>
      <c r="X345" t="s">
        <v>83</v>
      </c>
      <c r="Y345" t="s">
        <v>90</v>
      </c>
      <c r="Z345">
        <v>4000</v>
      </c>
      <c r="AA345">
        <v>4000</v>
      </c>
      <c r="AC345">
        <v>256</v>
      </c>
      <c r="AD345" t="s">
        <v>91</v>
      </c>
      <c r="AE345">
        <v>0.15</v>
      </c>
      <c r="AF345" t="s">
        <v>92</v>
      </c>
      <c r="AG345">
        <v>180</v>
      </c>
      <c r="AH345">
        <v>60</v>
      </c>
      <c r="AI345">
        <v>120</v>
      </c>
      <c r="AJ345">
        <v>9.9128669631026942E-2</v>
      </c>
      <c r="AK345">
        <v>16.470820073895361</v>
      </c>
      <c r="AL345">
        <v>0.77945976348726498</v>
      </c>
      <c r="AM345">
        <v>-0.33087913783840422</v>
      </c>
      <c r="AN345">
        <v>21.695837652422721</v>
      </c>
      <c r="AO345">
        <v>0.72015927614922315</v>
      </c>
      <c r="AP345">
        <v>21.695837652422721</v>
      </c>
      <c r="AQ345">
        <v>21.695837652422721</v>
      </c>
      <c r="AR345">
        <v>0.72015927614922315</v>
      </c>
      <c r="AS345">
        <v>137.23892947312569</v>
      </c>
      <c r="AT345">
        <v>-0.37902513495501738</v>
      </c>
      <c r="AU345">
        <v>0.8</v>
      </c>
      <c r="AV345" t="s">
        <v>93</v>
      </c>
      <c r="AW345">
        <v>6.6656135272256126E-2</v>
      </c>
      <c r="AX345">
        <v>0.51599027430436095</v>
      </c>
      <c r="AY345">
        <v>6.6656135272256126E-2</v>
      </c>
      <c r="AZ345">
        <v>6.6656135272256126E-2</v>
      </c>
      <c r="BA345">
        <v>0.51599027430436095</v>
      </c>
      <c r="BB345">
        <v>0.178587640987622</v>
      </c>
      <c r="BC345">
        <v>-0.2967771799849277</v>
      </c>
      <c r="BD345">
        <v>6.7581876897509524E-2</v>
      </c>
      <c r="BE345">
        <v>0.76584323082329275</v>
      </c>
      <c r="BF345">
        <v>6.7581876897509524E-2</v>
      </c>
      <c r="BG345">
        <v>6.7581876897509524E-2</v>
      </c>
      <c r="BH345">
        <v>0.76584323082329275</v>
      </c>
      <c r="BI345">
        <v>0.35690917344112039</v>
      </c>
      <c r="BJ345">
        <v>-0.23661405659453599</v>
      </c>
      <c r="BK345">
        <v>3.8530411753593299E-2</v>
      </c>
      <c r="BL345">
        <v>0.84531258405195486</v>
      </c>
      <c r="BM345">
        <v>3.8530411753593299E-2</v>
      </c>
      <c r="BN345">
        <v>3.8530411753593299E-2</v>
      </c>
      <c r="BO345">
        <v>0.84531258405195486</v>
      </c>
      <c r="BP345">
        <v>0.35440335532115702</v>
      </c>
      <c r="BQ345">
        <v>-0.42281737315807488</v>
      </c>
      <c r="BR345">
        <v>86.610582185767655</v>
      </c>
      <c r="BS345">
        <v>0.75349101541728647</v>
      </c>
      <c r="BT345">
        <v>86.610582185767655</v>
      </c>
      <c r="BU345">
        <v>86.610582185767655</v>
      </c>
      <c r="BV345">
        <v>0.75349101541728647</v>
      </c>
      <c r="BW345">
        <v>548.06581772275194</v>
      </c>
      <c r="BX345">
        <v>-0.5598919300825469</v>
      </c>
      <c r="BY345" t="str">
        <f t="shared" si="13"/>
        <v>[[sv,wv],[yr],[ya]]</v>
      </c>
      <c r="BZ345" t="str">
        <f>SUBSTITUTE(TRIM(MID(SUBSTITUTE(SUBSTITUTE(SUBSTITUTE(Tabla1[[#This Row],[map]],"[",""),"]",""),",",REPT(" ",100)),901,200))," ",", ")</f>
        <v>2, 3</v>
      </c>
      <c r="CA345" t="str">
        <f>SUBSTITUTE(TRIM(MID(SUBSTITUTE(SUBSTITUTE(SUBSTITUTE(Tabla1[[#This Row],[map]],"[",""),"]",""),",",REPT(" ",100)),1501,200))," ",", ")</f>
        <v>3, 4</v>
      </c>
      <c r="CB345" t="str">
        <f>SUBSTITUTE(TRIM(MID(SUBSTITUTE(SUBSTITUTE(SUBSTITUTE(Tabla1[[#This Row],[map]],"[",""),"]",""),",",REPT(" ",100)),601,300))," ",", ")</f>
        <v>1, 4, 0</v>
      </c>
      <c r="CC345" t="str">
        <f>SUBSTITUTE(TRIM(MID(SUBSTITUTE(SUBSTITUTE(SUBSTITUTE(Tabla1[[#This Row],[map]],"[",""),"]",""),",",REPT(" ",100)),1201,300))," ",", ")</f>
        <v>1, 2, 0</v>
      </c>
      <c r="CD345" t="str">
        <f>SUBSTITUTE(TRIM(MID(SUBSTITUTE(SUBSTITUTE(SUBSTITUTE(Tabla1[[#This Row],[map]],"[",""),"]",""),",",REPT(" ",100)),1,300))," ",", ")</f>
        <v>2, 3, 4</v>
      </c>
      <c r="CE345" t="str">
        <f>SUBSTITUTE(TRIM(MID(SUBSTITUTE(SUBSTITUTE(SUBSTITUTE(Tabla1[[#This Row],[map]],"[",""),"]",""),",",REPT(" ",100)),1,600))," ",", ")</f>
        <v>2, 3, 4, 0, 1, -1</v>
      </c>
      <c r="CF345" t="str">
        <f>SUBSTITUTE(TRIM(MID(SUBSTITUTE(SUBSTITUTE(SUBSTITUTE(Tabla1[[#This Row],[map]],"[",""),"]",""),",",REPT(" ",100)),601,600))," ",", ")</f>
        <v>1, 4, 0, 2, 3, -1</v>
      </c>
      <c r="CG345" t="str">
        <f>SUBSTITUTE(TRIM(MID(SUBSTITUTE(SUBSTITUTE(SUBSTITUTE(Tabla1[[#This Row],[map]],"[",""),"]",""),",",REPT(" ",100)),1201,600))," ",", ")</f>
        <v>1, 2, 0, 3, 4, -1</v>
      </c>
    </row>
    <row r="346" spans="1:85" x14ac:dyDescent="0.3">
      <c r="A346" s="1">
        <v>46109.309432870366</v>
      </c>
      <c r="B346" t="s">
        <v>584</v>
      </c>
      <c r="C346">
        <v>5</v>
      </c>
      <c r="D346" t="s">
        <v>77</v>
      </c>
      <c r="E346" t="s">
        <v>78</v>
      </c>
      <c r="F346">
        <v>16590</v>
      </c>
      <c r="G346">
        <v>4.5</v>
      </c>
      <c r="H346" t="s">
        <v>79</v>
      </c>
      <c r="I346" t="s">
        <v>80</v>
      </c>
      <c r="J346">
        <v>5</v>
      </c>
      <c r="K346">
        <v>5</v>
      </c>
      <c r="L346" t="s">
        <v>81</v>
      </c>
      <c r="M346" t="s">
        <v>82</v>
      </c>
      <c r="N346" t="s">
        <v>83</v>
      </c>
      <c r="O346" t="s">
        <v>83</v>
      </c>
      <c r="P346" t="s">
        <v>84</v>
      </c>
      <c r="Q346" t="s">
        <v>477</v>
      </c>
      <c r="R346">
        <v>3</v>
      </c>
      <c r="S346" t="s">
        <v>86</v>
      </c>
      <c r="T346" t="s">
        <v>87</v>
      </c>
      <c r="U346" t="s">
        <v>88</v>
      </c>
      <c r="V346">
        <v>1</v>
      </c>
      <c r="W346" t="s">
        <v>478</v>
      </c>
      <c r="X346" t="s">
        <v>83</v>
      </c>
      <c r="Y346" t="s">
        <v>90</v>
      </c>
      <c r="Z346">
        <v>4000</v>
      </c>
      <c r="AA346">
        <v>4000</v>
      </c>
      <c r="AC346">
        <v>256</v>
      </c>
      <c r="AD346" t="s">
        <v>91</v>
      </c>
      <c r="AE346">
        <v>0.15</v>
      </c>
      <c r="AF346" t="s">
        <v>92</v>
      </c>
      <c r="AG346">
        <v>180</v>
      </c>
      <c r="AH346">
        <v>60</v>
      </c>
      <c r="AI346">
        <v>120</v>
      </c>
      <c r="AJ346">
        <v>0.1169091125878914</v>
      </c>
      <c r="AK346">
        <v>9.8170491634157919</v>
      </c>
      <c r="AL346">
        <v>0.72560447209056056</v>
      </c>
      <c r="AM346">
        <v>0.2420790669120389</v>
      </c>
      <c r="AN346">
        <v>14.660604669058319</v>
      </c>
      <c r="AO346">
        <v>0.68141904505610973</v>
      </c>
      <c r="AP346">
        <v>14.660604669058319</v>
      </c>
      <c r="AQ346">
        <v>14.660604669058319</v>
      </c>
      <c r="AR346">
        <v>0.68141904505610973</v>
      </c>
      <c r="AS346">
        <v>111.7370152295789</v>
      </c>
      <c r="AT346">
        <v>0.162155503431578</v>
      </c>
      <c r="AU346">
        <v>0.8</v>
      </c>
      <c r="AV346" t="s">
        <v>93</v>
      </c>
      <c r="AW346">
        <v>8.1165449665955236E-2</v>
      </c>
      <c r="AX346">
        <v>0.4106338918642124</v>
      </c>
      <c r="AY346">
        <v>8.1165449665955236E-2</v>
      </c>
      <c r="AZ346">
        <v>8.1165449665955236E-2</v>
      </c>
      <c r="BA346">
        <v>0.4106338918642124</v>
      </c>
      <c r="BB346">
        <v>0.13136489730558371</v>
      </c>
      <c r="BC346">
        <v>4.6120996196194919E-2</v>
      </c>
      <c r="BD346">
        <v>0.1086708663991325</v>
      </c>
      <c r="BE346">
        <v>0.62347865806916969</v>
      </c>
      <c r="BF346">
        <v>0.1086708663991325</v>
      </c>
      <c r="BG346">
        <v>0.1086708663991325</v>
      </c>
      <c r="BH346">
        <v>0.62347865806916969</v>
      </c>
      <c r="BI346">
        <v>8.653283408370202E-2</v>
      </c>
      <c r="BJ346">
        <v>0.70018221175667872</v>
      </c>
      <c r="BK346">
        <v>3.5412704412713297E-2</v>
      </c>
      <c r="BL346">
        <v>0.85782919288881743</v>
      </c>
      <c r="BM346">
        <v>3.5412704412713297E-2</v>
      </c>
      <c r="BN346">
        <v>3.5412704412713297E-2</v>
      </c>
      <c r="BO346">
        <v>0.85782919288881743</v>
      </c>
      <c r="BP346">
        <v>0.20594263747538619</v>
      </c>
      <c r="BQ346">
        <v>0.17320545058484579</v>
      </c>
      <c r="BR346">
        <v>58.417169655755487</v>
      </c>
      <c r="BS346">
        <v>0.83373443740223763</v>
      </c>
      <c r="BT346">
        <v>58.417169655755487</v>
      </c>
      <c r="BU346">
        <v>58.417169655755487</v>
      </c>
      <c r="BV346">
        <v>0.83373443740223763</v>
      </c>
      <c r="BW346">
        <v>446.52422054945089</v>
      </c>
      <c r="BX346">
        <v>-0.27088664481140579</v>
      </c>
      <c r="BY346" t="str">
        <f t="shared" si="13"/>
        <v>[[sv,wv],[yr],[ya]]</v>
      </c>
      <c r="BZ346" t="str">
        <f>SUBSTITUTE(TRIM(MID(SUBSTITUTE(SUBSTITUTE(SUBSTITUTE(Tabla1[[#This Row],[map]],"[",""),"]",""),",",REPT(" ",100)),901,200))," ",", ")</f>
        <v>2, 3</v>
      </c>
      <c r="CA346" t="str">
        <f>SUBSTITUTE(TRIM(MID(SUBSTITUTE(SUBSTITUTE(SUBSTITUTE(Tabla1[[#This Row],[map]],"[",""),"]",""),",",REPT(" ",100)),1501,200))," ",", ")</f>
        <v>3, 2</v>
      </c>
      <c r="CB346" t="str">
        <f>SUBSTITUTE(TRIM(MID(SUBSTITUTE(SUBSTITUTE(SUBSTITUTE(Tabla1[[#This Row],[map]],"[",""),"]",""),",",REPT(" ",100)),601,300))," ",", ")</f>
        <v>1, 4, 0</v>
      </c>
      <c r="CC346" t="str">
        <f>SUBSTITUTE(TRIM(MID(SUBSTITUTE(SUBSTITUTE(SUBSTITUTE(Tabla1[[#This Row],[map]],"[",""),"]",""),",",REPT(" ",100)),1201,300))," ",", ")</f>
        <v>1, 4, 0</v>
      </c>
      <c r="CD346" t="str">
        <f>SUBSTITUTE(TRIM(MID(SUBSTITUTE(SUBSTITUTE(SUBSTITUTE(Tabla1[[#This Row],[map]],"[",""),"]",""),",",REPT(" ",100)),1,300))," ",", ")</f>
        <v>4, 2, 3</v>
      </c>
      <c r="CE346" t="str">
        <f>SUBSTITUTE(TRIM(MID(SUBSTITUTE(SUBSTITUTE(SUBSTITUTE(Tabla1[[#This Row],[map]],"[",""),"]",""),",",REPT(" ",100)),1,600))," ",", ")</f>
        <v>4, 2, 3, 0, 1, -1</v>
      </c>
      <c r="CF346" t="str">
        <f>SUBSTITUTE(TRIM(MID(SUBSTITUTE(SUBSTITUTE(SUBSTITUTE(Tabla1[[#This Row],[map]],"[",""),"]",""),",",REPT(" ",100)),601,600))," ",", ")</f>
        <v>1, 4, 0, 2, 3, -1</v>
      </c>
      <c r="CG346" t="str">
        <f>SUBSTITUTE(TRIM(MID(SUBSTITUTE(SUBSTITUTE(SUBSTITUTE(Tabla1[[#This Row],[map]],"[",""),"]",""),",",REPT(" ",100)),1201,600))," ",", ")</f>
        <v>1, 4, 0, 3, 2, -1</v>
      </c>
    </row>
    <row r="347" spans="1:85" x14ac:dyDescent="0.3">
      <c r="A347" s="1">
        <v>46109.32576388889</v>
      </c>
      <c r="B347" t="s">
        <v>585</v>
      </c>
      <c r="C347">
        <v>2</v>
      </c>
      <c r="D347" t="s">
        <v>77</v>
      </c>
      <c r="E347" t="s">
        <v>78</v>
      </c>
      <c r="F347">
        <v>16590</v>
      </c>
      <c r="G347">
        <v>4.5</v>
      </c>
      <c r="H347" t="s">
        <v>79</v>
      </c>
      <c r="I347" t="s">
        <v>80</v>
      </c>
      <c r="J347">
        <v>5</v>
      </c>
      <c r="K347">
        <v>5</v>
      </c>
      <c r="L347" t="s">
        <v>81</v>
      </c>
      <c r="M347" t="s">
        <v>82</v>
      </c>
      <c r="N347" t="s">
        <v>83</v>
      </c>
      <c r="O347" t="s">
        <v>83</v>
      </c>
      <c r="P347" t="s">
        <v>84</v>
      </c>
      <c r="Q347" t="s">
        <v>533</v>
      </c>
      <c r="R347">
        <v>3</v>
      </c>
      <c r="S347" t="s">
        <v>86</v>
      </c>
      <c r="T347" t="s">
        <v>87</v>
      </c>
      <c r="U347" t="s">
        <v>88</v>
      </c>
      <c r="V347">
        <v>1</v>
      </c>
      <c r="W347" t="s">
        <v>534</v>
      </c>
      <c r="X347" t="s">
        <v>83</v>
      </c>
      <c r="Y347" t="s">
        <v>90</v>
      </c>
      <c r="Z347">
        <v>4000</v>
      </c>
      <c r="AA347">
        <v>4000</v>
      </c>
      <c r="AC347">
        <v>256</v>
      </c>
      <c r="AD347" t="s">
        <v>91</v>
      </c>
      <c r="AE347">
        <v>0.15</v>
      </c>
      <c r="AF347" t="s">
        <v>92</v>
      </c>
      <c r="AG347">
        <v>180</v>
      </c>
      <c r="AH347">
        <v>60</v>
      </c>
      <c r="AI347">
        <v>120</v>
      </c>
      <c r="AJ347">
        <v>0.1048137113893379</v>
      </c>
      <c r="AK347">
        <v>16.563704775718438</v>
      </c>
      <c r="AL347">
        <v>0.71188102091876138</v>
      </c>
      <c r="AM347">
        <v>-0.11814302590188119</v>
      </c>
      <c r="AN347">
        <v>23.20807551480025</v>
      </c>
      <c r="AO347">
        <v>0.66306182449163753</v>
      </c>
      <c r="AP347">
        <v>23.20807551480025</v>
      </c>
      <c r="AQ347">
        <v>23.20807551480025</v>
      </c>
      <c r="AR347">
        <v>0.66306182449163753</v>
      </c>
      <c r="AS347">
        <v>89.501844721300159</v>
      </c>
      <c r="AT347">
        <v>-4.8706345595219643E-2</v>
      </c>
      <c r="AU347">
        <v>0.8</v>
      </c>
      <c r="AV347" t="s">
        <v>93</v>
      </c>
      <c r="AW347">
        <v>6.9852839119273841E-2</v>
      </c>
      <c r="AX347">
        <v>0.49277807116948708</v>
      </c>
      <c r="AY347">
        <v>6.9852839119273841E-2</v>
      </c>
      <c r="AZ347">
        <v>6.9852839119273841E-2</v>
      </c>
      <c r="BA347">
        <v>0.49277807116948708</v>
      </c>
      <c r="BB347">
        <v>0.16870488322536811</v>
      </c>
      <c r="BC347">
        <v>-0.22501558063495941</v>
      </c>
      <c r="BD347">
        <v>0.10084969732651031</v>
      </c>
      <c r="BE347">
        <v>0.65057733844478838</v>
      </c>
      <c r="BF347">
        <v>0.10084969732651031</v>
      </c>
      <c r="BG347">
        <v>0.10084969732651031</v>
      </c>
      <c r="BH347">
        <v>0.65057733844478838</v>
      </c>
      <c r="BI347">
        <v>0.19916968305011659</v>
      </c>
      <c r="BJ347">
        <v>0.30991958729274771</v>
      </c>
      <c r="BK347">
        <v>5.6676488969549778E-2</v>
      </c>
      <c r="BL347">
        <v>0.77246182366867844</v>
      </c>
      <c r="BM347">
        <v>5.6676488969549778E-2</v>
      </c>
      <c r="BN347">
        <v>5.6676488969549778E-2</v>
      </c>
      <c r="BO347">
        <v>0.77246182366867844</v>
      </c>
      <c r="BP347">
        <v>0.31452527883378839</v>
      </c>
      <c r="BQ347">
        <v>-0.26271950957284468</v>
      </c>
      <c r="BR347">
        <v>92.604923033785553</v>
      </c>
      <c r="BS347">
        <v>0.73643006468359662</v>
      </c>
      <c r="BT347">
        <v>92.604923033785553</v>
      </c>
      <c r="BU347">
        <v>92.604923033785553</v>
      </c>
      <c r="BV347">
        <v>0.73643006468359662</v>
      </c>
      <c r="BW347">
        <v>357.32497904009222</v>
      </c>
      <c r="BX347">
        <v>-1.700987946582555E-2</v>
      </c>
      <c r="BY347" t="str">
        <f t="shared" si="13"/>
        <v>[[sv,wv],[yr],[ya]]</v>
      </c>
      <c r="BZ347" t="str">
        <f>SUBSTITUTE(TRIM(MID(SUBSTITUTE(SUBSTITUTE(SUBSTITUTE(Tabla1[[#This Row],[map]],"[",""),"]",""),",",REPT(" ",100)),901,200))," ",", ")</f>
        <v>2, 4</v>
      </c>
      <c r="CA347" t="str">
        <f>SUBSTITUTE(TRIM(MID(SUBSTITUTE(SUBSTITUTE(SUBSTITUTE(Tabla1[[#This Row],[map]],"[",""),"]",""),",",REPT(" ",100)),1501,200))," ",", ")</f>
        <v>3, 4</v>
      </c>
      <c r="CB347" t="str">
        <f>SUBSTITUTE(TRIM(MID(SUBSTITUTE(SUBSTITUTE(SUBSTITUTE(Tabla1[[#This Row],[map]],"[",""),"]",""),",",REPT(" ",100)),601,300))," ",", ")</f>
        <v>1, 3, 0</v>
      </c>
      <c r="CC347" t="str">
        <f>SUBSTITUTE(TRIM(MID(SUBSTITUTE(SUBSTITUTE(SUBSTITUTE(Tabla1[[#This Row],[map]],"[",""),"]",""),",",REPT(" ",100)),1201,300))," ",", ")</f>
        <v>1, 2, 0</v>
      </c>
      <c r="CD347" t="str">
        <f>SUBSTITUTE(TRIM(MID(SUBSTITUTE(SUBSTITUTE(SUBSTITUTE(Tabla1[[#This Row],[map]],"[",""),"]",""),",",REPT(" ",100)),1,300))," ",", ")</f>
        <v>4, 2, 3</v>
      </c>
      <c r="CE347" t="str">
        <f>SUBSTITUTE(TRIM(MID(SUBSTITUTE(SUBSTITUTE(SUBSTITUTE(Tabla1[[#This Row],[map]],"[",""),"]",""),",",REPT(" ",100)),1,600))," ",", ")</f>
        <v>4, 2, 3, 0, 1, -1</v>
      </c>
      <c r="CF347" t="str">
        <f>SUBSTITUTE(TRIM(MID(SUBSTITUTE(SUBSTITUTE(SUBSTITUTE(Tabla1[[#This Row],[map]],"[",""),"]",""),",",REPT(" ",100)),601,600))," ",", ")</f>
        <v>1, 3, 0, 2, 4, -1</v>
      </c>
      <c r="CG347" t="str">
        <f>SUBSTITUTE(TRIM(MID(SUBSTITUTE(SUBSTITUTE(SUBSTITUTE(Tabla1[[#This Row],[map]],"[",""),"]",""),",",REPT(" ",100)),1201,600))," ",", ")</f>
        <v>1, 2, 0, 3, 4, -1</v>
      </c>
    </row>
    <row r="348" spans="1:85" x14ac:dyDescent="0.3">
      <c r="A348" s="1">
        <v>46109.344421296293</v>
      </c>
      <c r="B348" t="s">
        <v>586</v>
      </c>
      <c r="C348">
        <v>4</v>
      </c>
      <c r="D348" t="s">
        <v>77</v>
      </c>
      <c r="E348" t="s">
        <v>78</v>
      </c>
      <c r="F348">
        <v>16590</v>
      </c>
      <c r="G348">
        <v>4.5</v>
      </c>
      <c r="H348" t="s">
        <v>79</v>
      </c>
      <c r="I348" t="s">
        <v>80</v>
      </c>
      <c r="J348">
        <v>5</v>
      </c>
      <c r="K348">
        <v>5</v>
      </c>
      <c r="L348" t="s">
        <v>81</v>
      </c>
      <c r="M348" t="s">
        <v>82</v>
      </c>
      <c r="N348" t="s">
        <v>83</v>
      </c>
      <c r="O348" t="s">
        <v>83</v>
      </c>
      <c r="P348" t="s">
        <v>84</v>
      </c>
      <c r="Q348" t="s">
        <v>477</v>
      </c>
      <c r="R348">
        <v>3</v>
      </c>
      <c r="S348" t="s">
        <v>86</v>
      </c>
      <c r="T348" t="s">
        <v>87</v>
      </c>
      <c r="U348" t="s">
        <v>88</v>
      </c>
      <c r="V348">
        <v>1</v>
      </c>
      <c r="W348" t="s">
        <v>478</v>
      </c>
      <c r="X348" t="s">
        <v>83</v>
      </c>
      <c r="Y348" t="s">
        <v>90</v>
      </c>
      <c r="Z348">
        <v>4000</v>
      </c>
      <c r="AA348">
        <v>4000</v>
      </c>
      <c r="AC348">
        <v>256</v>
      </c>
      <c r="AD348" t="s">
        <v>91</v>
      </c>
      <c r="AE348">
        <v>0.15</v>
      </c>
      <c r="AF348" t="s">
        <v>92</v>
      </c>
      <c r="AG348">
        <v>180</v>
      </c>
      <c r="AH348">
        <v>60</v>
      </c>
      <c r="AI348">
        <v>120</v>
      </c>
      <c r="AJ348">
        <v>9.432492009260067E-2</v>
      </c>
      <c r="AK348">
        <v>13.291049120379499</v>
      </c>
      <c r="AL348">
        <v>0.7426140449260219</v>
      </c>
      <c r="AM348">
        <v>-0.3445138578445589</v>
      </c>
      <c r="AN348">
        <v>16.420140699388231</v>
      </c>
      <c r="AO348">
        <v>0.69774268473189993</v>
      </c>
      <c r="AP348">
        <v>16.420140699388231</v>
      </c>
      <c r="AQ348">
        <v>16.420140699388231</v>
      </c>
      <c r="AR348">
        <v>0.69774268473189993</v>
      </c>
      <c r="AS348">
        <v>76.657958723871843</v>
      </c>
      <c r="AT348">
        <v>-0.34228035868860301</v>
      </c>
      <c r="AU348">
        <v>0.8</v>
      </c>
      <c r="AV348" t="s">
        <v>93</v>
      </c>
      <c r="AW348">
        <v>7.7258807031831092E-2</v>
      </c>
      <c r="AX348">
        <v>0.43900116851489362</v>
      </c>
      <c r="AY348">
        <v>7.7258807031831092E-2</v>
      </c>
      <c r="AZ348">
        <v>7.7258807031831092E-2</v>
      </c>
      <c r="BA348">
        <v>0.43900116851489362</v>
      </c>
      <c r="BB348">
        <v>0.13895371208916579</v>
      </c>
      <c r="BC348">
        <v>-8.9836111554622011E-3</v>
      </c>
      <c r="BD348">
        <v>6.9702867946763863E-2</v>
      </c>
      <c r="BE348">
        <v>0.75849444984315972</v>
      </c>
      <c r="BF348">
        <v>6.9702867946763863E-2</v>
      </c>
      <c r="BG348">
        <v>6.9702867946763863E-2</v>
      </c>
      <c r="BH348">
        <v>0.75849444984315972</v>
      </c>
      <c r="BI348">
        <v>0.1337197819649433</v>
      </c>
      <c r="BJ348">
        <v>0.53668951563139089</v>
      </c>
      <c r="BK348">
        <v>5.4838885473259338E-2</v>
      </c>
      <c r="BL348">
        <v>0.77983922046879828</v>
      </c>
      <c r="BM348">
        <v>5.4838885473259338E-2</v>
      </c>
      <c r="BN348">
        <v>5.4838885473259338E-2</v>
      </c>
      <c r="BO348">
        <v>0.77983922046879828</v>
      </c>
      <c r="BP348">
        <v>0.75398745451463345</v>
      </c>
      <c r="BQ348">
        <v>-2.0270211422081639</v>
      </c>
      <c r="BR348">
        <v>65.478762237101023</v>
      </c>
      <c r="BS348">
        <v>0.81363590010074893</v>
      </c>
      <c r="BT348">
        <v>65.478762237101023</v>
      </c>
      <c r="BU348">
        <v>65.478762237101023</v>
      </c>
      <c r="BV348">
        <v>0.81363590010074893</v>
      </c>
      <c r="BW348">
        <v>305.60517394691789</v>
      </c>
      <c r="BX348">
        <v>0.13019380297783459</v>
      </c>
      <c r="BY348" t="str">
        <f t="shared" si="13"/>
        <v>[[sv,wv],[yr],[ya]]</v>
      </c>
      <c r="BZ348" t="str">
        <f>SUBSTITUTE(TRIM(MID(SUBSTITUTE(SUBSTITUTE(SUBSTITUTE(Tabla1[[#This Row],[map]],"[",""),"]",""),",",REPT(" ",100)),901,200))," ",", ")</f>
        <v>2, 3</v>
      </c>
      <c r="CA348" t="str">
        <f>SUBSTITUTE(TRIM(MID(SUBSTITUTE(SUBSTITUTE(SUBSTITUTE(Tabla1[[#This Row],[map]],"[",""),"]",""),",",REPT(" ",100)),1501,200))," ",", ")</f>
        <v>3, 2</v>
      </c>
      <c r="CB348" t="str">
        <f>SUBSTITUTE(TRIM(MID(SUBSTITUTE(SUBSTITUTE(SUBSTITUTE(Tabla1[[#This Row],[map]],"[",""),"]",""),",",REPT(" ",100)),601,300))," ",", ")</f>
        <v>1, 4, 0</v>
      </c>
      <c r="CC348" t="str">
        <f>SUBSTITUTE(TRIM(MID(SUBSTITUTE(SUBSTITUTE(SUBSTITUTE(Tabla1[[#This Row],[map]],"[",""),"]",""),",",REPT(" ",100)),1201,300))," ",", ")</f>
        <v>1, 4, 0</v>
      </c>
      <c r="CD348" t="str">
        <f>SUBSTITUTE(TRIM(MID(SUBSTITUTE(SUBSTITUTE(SUBSTITUTE(Tabla1[[#This Row],[map]],"[",""),"]",""),",",REPT(" ",100)),1,300))," ",", ")</f>
        <v>4, 2, 3</v>
      </c>
      <c r="CE348" t="str">
        <f>SUBSTITUTE(TRIM(MID(SUBSTITUTE(SUBSTITUTE(SUBSTITUTE(Tabla1[[#This Row],[map]],"[",""),"]",""),",",REPT(" ",100)),1,600))," ",", ")</f>
        <v>4, 2, 3, 0, 1, -1</v>
      </c>
      <c r="CF348" t="str">
        <f>SUBSTITUTE(TRIM(MID(SUBSTITUTE(SUBSTITUTE(SUBSTITUTE(Tabla1[[#This Row],[map]],"[",""),"]",""),",",REPT(" ",100)),601,600))," ",", ")</f>
        <v>1, 4, 0, 2, 3, -1</v>
      </c>
      <c r="CG348" t="str">
        <f>SUBSTITUTE(TRIM(MID(SUBSTITUTE(SUBSTITUTE(SUBSTITUTE(Tabla1[[#This Row],[map]],"[",""),"]",""),",",REPT(" ",100)),1201,600))," ",", ")</f>
        <v>1, 4, 0, 3, 2, -1</v>
      </c>
    </row>
    <row r="349" spans="1:85" x14ac:dyDescent="0.3">
      <c r="A349" s="1">
        <v>46109.408194444448</v>
      </c>
      <c r="B349" t="s">
        <v>587</v>
      </c>
      <c r="C349">
        <v>7</v>
      </c>
      <c r="D349" t="s">
        <v>96</v>
      </c>
      <c r="E349" t="s">
        <v>78</v>
      </c>
      <c r="F349">
        <v>16590</v>
      </c>
      <c r="G349">
        <v>4.5</v>
      </c>
      <c r="H349" t="s">
        <v>79</v>
      </c>
      <c r="I349" t="s">
        <v>80</v>
      </c>
      <c r="J349">
        <v>5</v>
      </c>
      <c r="K349">
        <v>5</v>
      </c>
      <c r="L349" t="s">
        <v>81</v>
      </c>
      <c r="M349" t="s">
        <v>82</v>
      </c>
      <c r="N349" t="s">
        <v>83</v>
      </c>
      <c r="O349" t="s">
        <v>83</v>
      </c>
      <c r="P349" t="s">
        <v>84</v>
      </c>
      <c r="Q349" t="s">
        <v>397</v>
      </c>
      <c r="R349">
        <v>3</v>
      </c>
      <c r="S349" t="s">
        <v>86</v>
      </c>
      <c r="T349" t="s">
        <v>87</v>
      </c>
      <c r="U349" t="s">
        <v>88</v>
      </c>
      <c r="V349">
        <v>1</v>
      </c>
      <c r="W349" t="s">
        <v>398</v>
      </c>
      <c r="X349" t="s">
        <v>83</v>
      </c>
      <c r="Y349" t="s">
        <v>90</v>
      </c>
      <c r="Z349">
        <v>4000</v>
      </c>
      <c r="AA349">
        <v>4000</v>
      </c>
      <c r="AC349">
        <v>256</v>
      </c>
      <c r="AD349" t="s">
        <v>91</v>
      </c>
      <c r="AE349">
        <v>0.15</v>
      </c>
      <c r="AF349" t="s">
        <v>92</v>
      </c>
      <c r="AG349">
        <v>180</v>
      </c>
      <c r="AH349">
        <v>60</v>
      </c>
      <c r="AI349">
        <v>120</v>
      </c>
      <c r="AJ349">
        <v>0.1022918585223332</v>
      </c>
      <c r="AK349">
        <v>7.0131840809672887</v>
      </c>
      <c r="AL349">
        <v>0.73561396392301026</v>
      </c>
      <c r="AM349">
        <v>5.604823025223088E-2</v>
      </c>
      <c r="AN349">
        <v>9.6354394353899711</v>
      </c>
      <c r="AO349">
        <v>0.70601741752936675</v>
      </c>
      <c r="AP349">
        <v>9.6354394353899711</v>
      </c>
      <c r="AQ349">
        <v>9.6354394353899711</v>
      </c>
      <c r="AR349">
        <v>0.70601741752936675</v>
      </c>
      <c r="AS349">
        <v>140.79074483203161</v>
      </c>
      <c r="AT349">
        <v>-3.9320465052498449E-2</v>
      </c>
      <c r="AU349">
        <v>0.8</v>
      </c>
      <c r="AV349" t="s">
        <v>93</v>
      </c>
      <c r="AW349">
        <v>8.6818577457889082E-2</v>
      </c>
      <c r="AX349">
        <v>0.36958487483494051</v>
      </c>
      <c r="AY349">
        <v>8.6818577457889082E-2</v>
      </c>
      <c r="AZ349">
        <v>8.6818577457889082E-2</v>
      </c>
      <c r="BA349">
        <v>0.36958487483494051</v>
      </c>
      <c r="BB349">
        <v>0.14360988963253529</v>
      </c>
      <c r="BC349">
        <v>-4.2793480364822889E-2</v>
      </c>
      <c r="BD349">
        <v>8.8539168568238694E-2</v>
      </c>
      <c r="BE349">
        <v>0.69323069128471271</v>
      </c>
      <c r="BF349">
        <v>8.8539168568238694E-2</v>
      </c>
      <c r="BG349">
        <v>8.8539168568238694E-2</v>
      </c>
      <c r="BH349">
        <v>0.69323069128471271</v>
      </c>
      <c r="BI349">
        <v>0.20888674767106871</v>
      </c>
      <c r="BJ349">
        <v>0.27625203377134971</v>
      </c>
      <c r="BK349">
        <v>3.2291526687050542E-2</v>
      </c>
      <c r="BL349">
        <v>0.87035973422289348</v>
      </c>
      <c r="BM349">
        <v>3.2291526687050542E-2</v>
      </c>
      <c r="BN349">
        <v>3.2291526687050542E-2</v>
      </c>
      <c r="BO349">
        <v>0.87035973422289348</v>
      </c>
      <c r="BP349">
        <v>0.1966387131983485</v>
      </c>
      <c r="BQ349">
        <v>0.21055776370818091</v>
      </c>
      <c r="BR349">
        <v>38.334108468846672</v>
      </c>
      <c r="BS349">
        <v>0.8908943697749232</v>
      </c>
      <c r="BT349">
        <v>38.334108468846672</v>
      </c>
      <c r="BU349">
        <v>38.334108468846672</v>
      </c>
      <c r="BV349">
        <v>0.8908943697749232</v>
      </c>
      <c r="BW349">
        <v>562.61384397762436</v>
      </c>
      <c r="BX349">
        <v>-0.60129817732470614</v>
      </c>
      <c r="BY349" t="str">
        <f t="shared" si="13"/>
        <v>[[sv,wv],[yr],[ya]]</v>
      </c>
      <c r="BZ349" t="str">
        <f>SUBSTITUTE(TRIM(MID(SUBSTITUTE(SUBSTITUTE(SUBSTITUTE(Tabla1[[#This Row],[map]],"[",""),"]",""),",",REPT(" ",100)),901,200))," ",", ")</f>
        <v>2, 3</v>
      </c>
      <c r="CA349" t="str">
        <f>SUBSTITUTE(TRIM(MID(SUBSTITUTE(SUBSTITUTE(SUBSTITUTE(Tabla1[[#This Row],[map]],"[",""),"]",""),",",REPT(" ",100)),1501,200))," ",", ")</f>
        <v>3, 2</v>
      </c>
      <c r="CB349" t="str">
        <f>SUBSTITUTE(TRIM(MID(SUBSTITUTE(SUBSTITUTE(SUBSTITUTE(Tabla1[[#This Row],[map]],"[",""),"]",""),",",REPT(" ",100)),601,300))," ",", ")</f>
        <v>1, 4, 0</v>
      </c>
      <c r="CC349" t="str">
        <f>SUBSTITUTE(TRIM(MID(SUBSTITUTE(SUBSTITUTE(SUBSTITUTE(Tabla1[[#This Row],[map]],"[",""),"]",""),",",REPT(" ",100)),1201,300))," ",", ")</f>
        <v>1, 4, 0</v>
      </c>
      <c r="CD349" t="str">
        <f>SUBSTITUTE(TRIM(MID(SUBSTITUTE(SUBSTITUTE(SUBSTITUTE(Tabla1[[#This Row],[map]],"[",""),"]",""),",",REPT(" ",100)),1,300))," ",", ")</f>
        <v>2, 3, 4</v>
      </c>
      <c r="CE349" t="str">
        <f>SUBSTITUTE(TRIM(MID(SUBSTITUTE(SUBSTITUTE(SUBSTITUTE(Tabla1[[#This Row],[map]],"[",""),"]",""),",",REPT(" ",100)),1,600))," ",", ")</f>
        <v>2, 3, 4, 0, 1, -1</v>
      </c>
      <c r="CF349" t="str">
        <f>SUBSTITUTE(TRIM(MID(SUBSTITUTE(SUBSTITUTE(SUBSTITUTE(Tabla1[[#This Row],[map]],"[",""),"]",""),",",REPT(" ",100)),601,600))," ",", ")</f>
        <v>1, 4, 0, 2, 3, -1</v>
      </c>
      <c r="CG349" t="str">
        <f>SUBSTITUTE(TRIM(MID(SUBSTITUTE(SUBSTITUTE(SUBSTITUTE(Tabla1[[#This Row],[map]],"[",""),"]",""),",",REPT(" ",100)),1201,600))," ",", ")</f>
        <v>1, 4, 0, 3, 2, -1</v>
      </c>
    </row>
    <row r="350" spans="1:85" x14ac:dyDescent="0.3">
      <c r="A350" s="1">
        <v>46109.446921296287</v>
      </c>
      <c r="B350" t="s">
        <v>588</v>
      </c>
      <c r="C350">
        <v>8</v>
      </c>
      <c r="D350" t="s">
        <v>77</v>
      </c>
      <c r="E350" t="s">
        <v>78</v>
      </c>
      <c r="F350">
        <v>16590</v>
      </c>
      <c r="G350">
        <v>4.5</v>
      </c>
      <c r="H350" t="s">
        <v>79</v>
      </c>
      <c r="I350" t="s">
        <v>80</v>
      </c>
      <c r="J350">
        <v>5</v>
      </c>
      <c r="K350">
        <v>5</v>
      </c>
      <c r="L350" t="s">
        <v>81</v>
      </c>
      <c r="M350" t="s">
        <v>82</v>
      </c>
      <c r="N350" t="s">
        <v>83</v>
      </c>
      <c r="O350" t="s">
        <v>83</v>
      </c>
      <c r="P350" t="s">
        <v>84</v>
      </c>
      <c r="Q350" t="s">
        <v>393</v>
      </c>
      <c r="R350">
        <v>3</v>
      </c>
      <c r="S350" t="s">
        <v>86</v>
      </c>
      <c r="T350" t="s">
        <v>87</v>
      </c>
      <c r="U350" t="s">
        <v>88</v>
      </c>
      <c r="V350">
        <v>1</v>
      </c>
      <c r="W350" t="s">
        <v>394</v>
      </c>
      <c r="X350" t="s">
        <v>83</v>
      </c>
      <c r="Y350" t="s">
        <v>90</v>
      </c>
      <c r="Z350">
        <v>4000</v>
      </c>
      <c r="AA350">
        <v>4000</v>
      </c>
      <c r="AC350">
        <v>256</v>
      </c>
      <c r="AD350" t="s">
        <v>91</v>
      </c>
      <c r="AE350">
        <v>0.15</v>
      </c>
      <c r="AF350" t="s">
        <v>92</v>
      </c>
      <c r="AG350">
        <v>180</v>
      </c>
      <c r="AH350">
        <v>60</v>
      </c>
      <c r="AI350">
        <v>120</v>
      </c>
      <c r="AJ350">
        <v>0.13154676378285629</v>
      </c>
      <c r="AK350">
        <v>13.380525491075391</v>
      </c>
      <c r="AL350">
        <v>0.62806346880452324</v>
      </c>
      <c r="AM350">
        <v>-0.20716200758072481</v>
      </c>
      <c r="AN350">
        <v>17.53608003192965</v>
      </c>
      <c r="AO350">
        <v>0.55948167971629403</v>
      </c>
      <c r="AP350">
        <v>17.53608003192965</v>
      </c>
      <c r="AQ350">
        <v>17.53608003192965</v>
      </c>
      <c r="AR350">
        <v>0.55948167971629403</v>
      </c>
      <c r="AS350">
        <v>99.233440657914173</v>
      </c>
      <c r="AT350">
        <v>-0.18832404006712719</v>
      </c>
      <c r="AU350">
        <v>0.8</v>
      </c>
      <c r="AV350" t="s">
        <v>93</v>
      </c>
      <c r="AW350">
        <v>0.11468058990481669</v>
      </c>
      <c r="AX350">
        <v>0.16727064004342959</v>
      </c>
      <c r="AY350">
        <v>0.11468058990481669</v>
      </c>
      <c r="AZ350">
        <v>0.11468058990481669</v>
      </c>
      <c r="BA350">
        <v>0.16727064004342959</v>
      </c>
      <c r="BB350">
        <v>0.14908980119103959</v>
      </c>
      <c r="BC350">
        <v>-8.258472357798885E-2</v>
      </c>
      <c r="BD350">
        <v>6.4567146194137962E-2</v>
      </c>
      <c r="BE350">
        <v>0.77628862881822946</v>
      </c>
      <c r="BF350">
        <v>6.4567146194137962E-2</v>
      </c>
      <c r="BG350">
        <v>6.4567146194137962E-2</v>
      </c>
      <c r="BH350">
        <v>0.77628862881822946</v>
      </c>
      <c r="BI350">
        <v>0.37693827355529103</v>
      </c>
      <c r="BJ350">
        <v>-0.30601061063465962</v>
      </c>
      <c r="BK350">
        <v>0.12625127956905191</v>
      </c>
      <c r="BL350">
        <v>0.49314104605047282</v>
      </c>
      <c r="BM350">
        <v>0.12625127956905191</v>
      </c>
      <c r="BN350">
        <v>0.12625127956905191</v>
      </c>
      <c r="BO350">
        <v>0.49314104605047282</v>
      </c>
      <c r="BP350">
        <v>0.30820154808653821</v>
      </c>
      <c r="BQ350">
        <v>-0.2373317308307161</v>
      </c>
      <c r="BR350">
        <v>69.838821112050383</v>
      </c>
      <c r="BS350">
        <v>0.80122640395304567</v>
      </c>
      <c r="BT350">
        <v>69.838821112050383</v>
      </c>
      <c r="BU350">
        <v>69.838821112050383</v>
      </c>
      <c r="BV350">
        <v>0.80122640395304567</v>
      </c>
      <c r="BW350">
        <v>396.09953300882393</v>
      </c>
      <c r="BX350">
        <v>-0.12736909522514811</v>
      </c>
      <c r="BY350" t="str">
        <f t="shared" si="13"/>
        <v>[[sv,wv],[yr],[ya]]</v>
      </c>
      <c r="BZ350" t="str">
        <f>SUBSTITUTE(TRIM(MID(SUBSTITUTE(SUBSTITUTE(SUBSTITUTE(Tabla1[[#This Row],[map]],"[",""),"]",""),",",REPT(" ",100)),901,200))," ",", ")</f>
        <v>2, 3</v>
      </c>
      <c r="CA350" t="str">
        <f>SUBSTITUTE(TRIM(MID(SUBSTITUTE(SUBSTITUTE(SUBSTITUTE(Tabla1[[#This Row],[map]],"[",""),"]",""),",",REPT(" ",100)),1501,200))," ",", ")</f>
        <v>3, 4</v>
      </c>
      <c r="CB350" t="str">
        <f>SUBSTITUTE(TRIM(MID(SUBSTITUTE(SUBSTITUTE(SUBSTITUTE(Tabla1[[#This Row],[map]],"[",""),"]",""),",",REPT(" ",100)),601,300))," ",", ")</f>
        <v>0, 1, 4</v>
      </c>
      <c r="CC350" t="str">
        <f>SUBSTITUTE(TRIM(MID(SUBSTITUTE(SUBSTITUTE(SUBSTITUTE(Tabla1[[#This Row],[map]],"[",""),"]",""),",",REPT(" ",100)),1201,300))," ",", ")</f>
        <v>1, 2, 0</v>
      </c>
      <c r="CD350" t="str">
        <f>SUBSTITUTE(TRIM(MID(SUBSTITUTE(SUBSTITUTE(SUBSTITUTE(Tabla1[[#This Row],[map]],"[",""),"]",""),",",REPT(" ",100)),1,300))," ",", ")</f>
        <v>2, 3, 4</v>
      </c>
      <c r="CE350" t="str">
        <f>SUBSTITUTE(TRIM(MID(SUBSTITUTE(SUBSTITUTE(SUBSTITUTE(Tabla1[[#This Row],[map]],"[",""),"]",""),",",REPT(" ",100)),1,600))," ",", ")</f>
        <v>2, 3, 4, 0, 1, -1</v>
      </c>
      <c r="CF350" t="str">
        <f>SUBSTITUTE(TRIM(MID(SUBSTITUTE(SUBSTITUTE(SUBSTITUTE(Tabla1[[#This Row],[map]],"[",""),"]",""),",",REPT(" ",100)),601,600))," ",", ")</f>
        <v>0, 1, 4, 2, 3, -1</v>
      </c>
      <c r="CG350" t="str">
        <f>SUBSTITUTE(TRIM(MID(SUBSTITUTE(SUBSTITUTE(SUBSTITUTE(Tabla1[[#This Row],[map]],"[",""),"]",""),",",REPT(" ",100)),1201,600))," ",", ")</f>
        <v>1, 2, 0, 3, 4, -1</v>
      </c>
    </row>
    <row r="351" spans="1:85" x14ac:dyDescent="0.3">
      <c r="A351" s="1">
        <v>46109.451273148137</v>
      </c>
      <c r="B351" t="s">
        <v>589</v>
      </c>
      <c r="C351">
        <v>6</v>
      </c>
      <c r="D351" t="s">
        <v>96</v>
      </c>
      <c r="E351" t="s">
        <v>78</v>
      </c>
      <c r="F351">
        <v>16590</v>
      </c>
      <c r="G351">
        <v>4.5</v>
      </c>
      <c r="H351" t="s">
        <v>79</v>
      </c>
      <c r="I351" t="s">
        <v>80</v>
      </c>
      <c r="J351">
        <v>5</v>
      </c>
      <c r="K351">
        <v>5</v>
      </c>
      <c r="L351" t="s">
        <v>81</v>
      </c>
      <c r="M351" t="s">
        <v>82</v>
      </c>
      <c r="N351" t="s">
        <v>83</v>
      </c>
      <c r="O351" t="s">
        <v>83</v>
      </c>
      <c r="P351" t="s">
        <v>84</v>
      </c>
      <c r="Q351" t="s">
        <v>412</v>
      </c>
      <c r="R351">
        <v>3</v>
      </c>
      <c r="S351" t="s">
        <v>86</v>
      </c>
      <c r="T351" t="s">
        <v>87</v>
      </c>
      <c r="U351" t="s">
        <v>88</v>
      </c>
      <c r="V351">
        <v>1</v>
      </c>
      <c r="W351" t="s">
        <v>413</v>
      </c>
      <c r="X351" t="s">
        <v>83</v>
      </c>
      <c r="Y351" t="s">
        <v>90</v>
      </c>
      <c r="Z351">
        <v>4000</v>
      </c>
      <c r="AA351">
        <v>4000</v>
      </c>
      <c r="AC351">
        <v>256</v>
      </c>
      <c r="AD351" t="s">
        <v>91</v>
      </c>
      <c r="AE351">
        <v>0.15</v>
      </c>
      <c r="AF351" t="s">
        <v>92</v>
      </c>
      <c r="AG351">
        <v>180</v>
      </c>
      <c r="AH351">
        <v>60</v>
      </c>
      <c r="AI351">
        <v>120</v>
      </c>
      <c r="AJ351">
        <v>0.10369577196338781</v>
      </c>
      <c r="AK351">
        <v>11.87070908831295</v>
      </c>
      <c r="AL351">
        <v>0.77348899261926896</v>
      </c>
      <c r="AM351">
        <v>-7.5429281362891704E-2</v>
      </c>
      <c r="AN351">
        <v>15.979169252480689</v>
      </c>
      <c r="AO351">
        <v>0.71348669285027189</v>
      </c>
      <c r="AP351">
        <v>15.979169252480689</v>
      </c>
      <c r="AQ351">
        <v>15.979169252480689</v>
      </c>
      <c r="AR351">
        <v>0.71348669285027189</v>
      </c>
      <c r="AS351">
        <v>139.25345539928679</v>
      </c>
      <c r="AT351">
        <v>-7.7957908474759807E-2</v>
      </c>
      <c r="AU351">
        <v>0.8</v>
      </c>
      <c r="AV351" t="s">
        <v>93</v>
      </c>
      <c r="AW351">
        <v>6.7432488981899047E-2</v>
      </c>
      <c r="AX351">
        <v>0.51035294257919772</v>
      </c>
      <c r="AY351">
        <v>6.7432488981899047E-2</v>
      </c>
      <c r="AZ351">
        <v>6.7432488981899047E-2</v>
      </c>
      <c r="BA351">
        <v>0.51035294257919772</v>
      </c>
      <c r="BB351">
        <v>0.1814004009619215</v>
      </c>
      <c r="BC351">
        <v>-0.31720145418036011</v>
      </c>
      <c r="BD351">
        <v>7.0288382288545184E-2</v>
      </c>
      <c r="BE351">
        <v>0.75646576770421792</v>
      </c>
      <c r="BF351">
        <v>7.0288382288545184E-2</v>
      </c>
      <c r="BG351">
        <v>7.0288382288545184E-2</v>
      </c>
      <c r="BH351">
        <v>0.75646576770421792</v>
      </c>
      <c r="BI351">
        <v>0.23075225907154079</v>
      </c>
      <c r="BJ351">
        <v>0.20049270684860651</v>
      </c>
      <c r="BK351">
        <v>5.7665791678364997E-2</v>
      </c>
      <c r="BL351">
        <v>0.76849008621111659</v>
      </c>
      <c r="BM351">
        <v>5.7665791678364997E-2</v>
      </c>
      <c r="BN351">
        <v>5.7665791678364997E-2</v>
      </c>
      <c r="BO351">
        <v>0.76849008621111659</v>
      </c>
      <c r="BP351">
        <v>0.15228344017168349</v>
      </c>
      <c r="BQ351">
        <v>0.38863015525289257</v>
      </c>
      <c r="BR351">
        <v>63.721290346974271</v>
      </c>
      <c r="BS351">
        <v>0.8186379749065571</v>
      </c>
      <c r="BT351">
        <v>63.721290346974271</v>
      </c>
      <c r="BU351">
        <v>63.721290346974271</v>
      </c>
      <c r="BV351">
        <v>0.8186379749065571</v>
      </c>
      <c r="BW351">
        <v>556.44938549694223</v>
      </c>
      <c r="BX351">
        <v>-0.58375304182017951</v>
      </c>
      <c r="BY351" t="str">
        <f t="shared" si="13"/>
        <v>[[sv,wv],[yr],[ya]]</v>
      </c>
      <c r="BZ351" t="str">
        <f>SUBSTITUTE(TRIM(MID(SUBSTITUTE(SUBSTITUTE(SUBSTITUTE(Tabla1[[#This Row],[map]],"[",""),"]",""),",",REPT(" ",100)),901,200))," ",", ")</f>
        <v>2, 4</v>
      </c>
      <c r="CA351" t="str">
        <f>SUBSTITUTE(TRIM(MID(SUBSTITUTE(SUBSTITUTE(SUBSTITUTE(Tabla1[[#This Row],[map]],"[",""),"]",""),",",REPT(" ",100)),1501,200))," ",", ")</f>
        <v>3, 2</v>
      </c>
      <c r="CB351" t="str">
        <f>SUBSTITUTE(TRIM(MID(SUBSTITUTE(SUBSTITUTE(SUBSTITUTE(Tabla1[[#This Row],[map]],"[",""),"]",""),",",REPT(" ",100)),601,300))," ",", ")</f>
        <v>0, 1, 3</v>
      </c>
      <c r="CC351" t="str">
        <f>SUBSTITUTE(TRIM(MID(SUBSTITUTE(SUBSTITUTE(SUBSTITUTE(Tabla1[[#This Row],[map]],"[",""),"]",""),",",REPT(" ",100)),1201,300))," ",", ")</f>
        <v>1, 4, 0</v>
      </c>
      <c r="CD351" t="str">
        <f>SUBSTITUTE(TRIM(MID(SUBSTITUTE(SUBSTITUTE(SUBSTITUTE(Tabla1[[#This Row],[map]],"[",""),"]",""),",",REPT(" ",100)),1,300))," ",", ")</f>
        <v>2, 3, 4</v>
      </c>
      <c r="CE351" t="str">
        <f>SUBSTITUTE(TRIM(MID(SUBSTITUTE(SUBSTITUTE(SUBSTITUTE(Tabla1[[#This Row],[map]],"[",""),"]",""),",",REPT(" ",100)),1,600))," ",", ")</f>
        <v>2, 3, 4, 0, 1, -1</v>
      </c>
      <c r="CF351" t="str">
        <f>SUBSTITUTE(TRIM(MID(SUBSTITUTE(SUBSTITUTE(SUBSTITUTE(Tabla1[[#This Row],[map]],"[",""),"]",""),",",REPT(" ",100)),601,600))," ",", ")</f>
        <v>0, 1, 3, 2, 4, -1</v>
      </c>
      <c r="CG351" t="str">
        <f>SUBSTITUTE(TRIM(MID(SUBSTITUTE(SUBSTITUTE(SUBSTITUTE(Tabla1[[#This Row],[map]],"[",""),"]",""),",",REPT(" ",100)),1201,600))," ",", ")</f>
        <v>1, 4, 0, 3, 2, -1</v>
      </c>
    </row>
    <row r="352" spans="1:85" x14ac:dyDescent="0.3">
      <c r="A352" s="1">
        <v>46109.451261574082</v>
      </c>
      <c r="B352" t="s">
        <v>590</v>
      </c>
      <c r="C352">
        <v>9</v>
      </c>
      <c r="D352" t="s">
        <v>77</v>
      </c>
      <c r="E352" t="s">
        <v>78</v>
      </c>
      <c r="F352">
        <v>16590</v>
      </c>
      <c r="G352">
        <v>4.5</v>
      </c>
      <c r="H352" t="s">
        <v>79</v>
      </c>
      <c r="I352" t="s">
        <v>80</v>
      </c>
      <c r="J352">
        <v>5</v>
      </c>
      <c r="K352">
        <v>5</v>
      </c>
      <c r="L352" t="s">
        <v>81</v>
      </c>
      <c r="M352" t="s">
        <v>82</v>
      </c>
      <c r="N352" t="s">
        <v>83</v>
      </c>
      <c r="O352" t="s">
        <v>83</v>
      </c>
      <c r="P352" t="s">
        <v>84</v>
      </c>
      <c r="Q352" t="s">
        <v>393</v>
      </c>
      <c r="R352">
        <v>3</v>
      </c>
      <c r="S352" t="s">
        <v>86</v>
      </c>
      <c r="T352" t="s">
        <v>87</v>
      </c>
      <c r="U352" t="s">
        <v>88</v>
      </c>
      <c r="V352">
        <v>1</v>
      </c>
      <c r="W352" t="s">
        <v>394</v>
      </c>
      <c r="X352" t="s">
        <v>83</v>
      </c>
      <c r="Y352" t="s">
        <v>90</v>
      </c>
      <c r="Z352">
        <v>4000</v>
      </c>
      <c r="AA352">
        <v>4000</v>
      </c>
      <c r="AC352">
        <v>256</v>
      </c>
      <c r="AD352" t="s">
        <v>91</v>
      </c>
      <c r="AE352">
        <v>0.15</v>
      </c>
      <c r="AF352" t="s">
        <v>92</v>
      </c>
      <c r="AG352">
        <v>180</v>
      </c>
      <c r="AH352">
        <v>60</v>
      </c>
      <c r="AI352">
        <v>120</v>
      </c>
      <c r="AJ352">
        <v>0.12055700396654261</v>
      </c>
      <c r="AK352">
        <v>21.642083501428139</v>
      </c>
      <c r="AL352">
        <v>0.72409856215509161</v>
      </c>
      <c r="AM352">
        <v>-0.20835247777630109</v>
      </c>
      <c r="AN352">
        <v>27.188499383310589</v>
      </c>
      <c r="AO352">
        <v>0.67432762648113953</v>
      </c>
      <c r="AP352">
        <v>27.188499383310589</v>
      </c>
      <c r="AQ352">
        <v>27.188499383310589</v>
      </c>
      <c r="AR352">
        <v>0.67432762648113953</v>
      </c>
      <c r="AS352">
        <v>100.99359422388579</v>
      </c>
      <c r="AT352">
        <v>-0.1401345392516638</v>
      </c>
      <c r="AU352">
        <v>0.8</v>
      </c>
      <c r="AV352" t="s">
        <v>93</v>
      </c>
      <c r="AW352">
        <v>4.568606625570408E-2</v>
      </c>
      <c r="AX352">
        <v>0.6682600887942588</v>
      </c>
      <c r="AY352">
        <v>4.568606625570408E-2</v>
      </c>
      <c r="AZ352">
        <v>4.568606625570408E-2</v>
      </c>
      <c r="BA352">
        <v>0.6682600887942588</v>
      </c>
      <c r="BB352">
        <v>0.16957167306777499</v>
      </c>
      <c r="BC352">
        <v>-0.23130959561415859</v>
      </c>
      <c r="BD352">
        <v>4.2905542018598107E-2</v>
      </c>
      <c r="BE352">
        <v>0.8513414607574975</v>
      </c>
      <c r="BF352">
        <v>4.2905542018598107E-2</v>
      </c>
      <c r="BG352">
        <v>4.2905542018598107E-2</v>
      </c>
      <c r="BH352">
        <v>0.8513414607574975</v>
      </c>
      <c r="BI352">
        <v>0.34653367242910721</v>
      </c>
      <c r="BJ352">
        <v>-0.20066516160827949</v>
      </c>
      <c r="BK352">
        <v>0.12787410758206211</v>
      </c>
      <c r="BL352">
        <v>0.486625904881829</v>
      </c>
      <c r="BM352">
        <v>0.12787410758206211</v>
      </c>
      <c r="BN352">
        <v>0.12787410758206211</v>
      </c>
      <c r="BO352">
        <v>0.486625904881829</v>
      </c>
      <c r="BP352">
        <v>0.24433941607669649</v>
      </c>
      <c r="BQ352">
        <v>1.9054529474796241E-2</v>
      </c>
      <c r="BR352">
        <v>108.537531817386</v>
      </c>
      <c r="BS352">
        <v>0.69108305149097116</v>
      </c>
      <c r="BT352">
        <v>108.537531817386</v>
      </c>
      <c r="BU352">
        <v>108.537531817386</v>
      </c>
      <c r="BV352">
        <v>0.69108305149097116</v>
      </c>
      <c r="BW352">
        <v>403.21393213396902</v>
      </c>
      <c r="BX352">
        <v>-0.14761792925900899</v>
      </c>
      <c r="BY352" t="str">
        <f t="shared" si="13"/>
        <v>[[sv,wv],[yr],[ya]]</v>
      </c>
      <c r="BZ352" t="str">
        <f>SUBSTITUTE(TRIM(MID(SUBSTITUTE(SUBSTITUTE(SUBSTITUTE(Tabla1[[#This Row],[map]],"[",""),"]",""),",",REPT(" ",100)),901,200))," ",", ")</f>
        <v>2, 3</v>
      </c>
      <c r="CA352" t="str">
        <f>SUBSTITUTE(TRIM(MID(SUBSTITUTE(SUBSTITUTE(SUBSTITUTE(Tabla1[[#This Row],[map]],"[",""),"]",""),",",REPT(" ",100)),1501,200))," ",", ")</f>
        <v>3, 4</v>
      </c>
      <c r="CB352" t="str">
        <f>SUBSTITUTE(TRIM(MID(SUBSTITUTE(SUBSTITUTE(SUBSTITUTE(Tabla1[[#This Row],[map]],"[",""),"]",""),",",REPT(" ",100)),601,300))," ",", ")</f>
        <v>0, 1, 4</v>
      </c>
      <c r="CC352" t="str">
        <f>SUBSTITUTE(TRIM(MID(SUBSTITUTE(SUBSTITUTE(SUBSTITUTE(Tabla1[[#This Row],[map]],"[",""),"]",""),",",REPT(" ",100)),1201,300))," ",", ")</f>
        <v>1, 2, 0</v>
      </c>
      <c r="CD352" t="str">
        <f>SUBSTITUTE(TRIM(MID(SUBSTITUTE(SUBSTITUTE(SUBSTITUTE(Tabla1[[#This Row],[map]],"[",""),"]",""),",",REPT(" ",100)),1,300))," ",", ")</f>
        <v>2, 3, 4</v>
      </c>
      <c r="CE352" t="str">
        <f>SUBSTITUTE(TRIM(MID(SUBSTITUTE(SUBSTITUTE(SUBSTITUTE(Tabla1[[#This Row],[map]],"[",""),"]",""),",",REPT(" ",100)),1,600))," ",", ")</f>
        <v>2, 3, 4, 0, 1, -1</v>
      </c>
      <c r="CF352" t="str">
        <f>SUBSTITUTE(TRIM(MID(SUBSTITUTE(SUBSTITUTE(SUBSTITUTE(Tabla1[[#This Row],[map]],"[",""),"]",""),",",REPT(" ",100)),601,600))," ",", ")</f>
        <v>0, 1, 4, 2, 3, -1</v>
      </c>
      <c r="CG352" t="str">
        <f>SUBSTITUTE(TRIM(MID(SUBSTITUTE(SUBSTITUTE(SUBSTITUTE(Tabla1[[#This Row],[map]],"[",""),"]",""),",",REPT(" ",100)),1201,600))," ",", ")</f>
        <v>1, 2, 0, 3, 4, -1</v>
      </c>
    </row>
    <row r="353" spans="1:85" x14ac:dyDescent="0.3">
      <c r="A353" s="1">
        <v>46109.453414351847</v>
      </c>
      <c r="B353" t="s">
        <v>591</v>
      </c>
      <c r="C353">
        <v>5</v>
      </c>
      <c r="D353" t="s">
        <v>77</v>
      </c>
      <c r="E353" t="s">
        <v>78</v>
      </c>
      <c r="F353">
        <v>16590</v>
      </c>
      <c r="G353">
        <v>4.5</v>
      </c>
      <c r="H353" t="s">
        <v>79</v>
      </c>
      <c r="I353" t="s">
        <v>80</v>
      </c>
      <c r="J353">
        <v>5</v>
      </c>
      <c r="K353">
        <v>5</v>
      </c>
      <c r="L353" t="s">
        <v>81</v>
      </c>
      <c r="M353" t="s">
        <v>82</v>
      </c>
      <c r="N353" t="s">
        <v>83</v>
      </c>
      <c r="O353" t="s">
        <v>83</v>
      </c>
      <c r="P353" t="s">
        <v>84</v>
      </c>
      <c r="Q353" t="s">
        <v>485</v>
      </c>
      <c r="R353">
        <v>3</v>
      </c>
      <c r="S353" t="s">
        <v>86</v>
      </c>
      <c r="T353" t="s">
        <v>87</v>
      </c>
      <c r="U353" t="s">
        <v>88</v>
      </c>
      <c r="V353">
        <v>1</v>
      </c>
      <c r="W353" t="s">
        <v>486</v>
      </c>
      <c r="X353" t="s">
        <v>83</v>
      </c>
      <c r="Y353" t="s">
        <v>90</v>
      </c>
      <c r="Z353">
        <v>4000</v>
      </c>
      <c r="AA353">
        <v>4000</v>
      </c>
      <c r="AC353">
        <v>256</v>
      </c>
      <c r="AD353" t="s">
        <v>91</v>
      </c>
      <c r="AE353">
        <v>0.15</v>
      </c>
      <c r="AF353" t="s">
        <v>92</v>
      </c>
      <c r="AG353">
        <v>180</v>
      </c>
      <c r="AH353">
        <v>60</v>
      </c>
      <c r="AI353">
        <v>120</v>
      </c>
      <c r="AJ353">
        <v>0.1317118115432733</v>
      </c>
      <c r="AK353">
        <v>22.60644411210107</v>
      </c>
      <c r="AL353">
        <v>0.68873380980065768</v>
      </c>
      <c r="AM353">
        <v>0.1792972959803685</v>
      </c>
      <c r="AN353">
        <v>22.275518486152219</v>
      </c>
      <c r="AO353">
        <v>0.66214926550181397</v>
      </c>
      <c r="AP353">
        <v>22.275518486152219</v>
      </c>
      <c r="AQ353">
        <v>22.275518486152219</v>
      </c>
      <c r="AR353">
        <v>0.66214926550181397</v>
      </c>
      <c r="AS353">
        <v>85.834573691200887</v>
      </c>
      <c r="AT353">
        <v>0.16632921168732151</v>
      </c>
      <c r="AU353">
        <v>0.8</v>
      </c>
      <c r="AV353" t="s">
        <v>93</v>
      </c>
      <c r="AW353">
        <v>7.292232997478694E-2</v>
      </c>
      <c r="AX353">
        <v>0.47048959883406011</v>
      </c>
      <c r="AY353">
        <v>7.292232997478694E-2</v>
      </c>
      <c r="AZ353">
        <v>7.292232997478694E-2</v>
      </c>
      <c r="BA353">
        <v>0.47048959883406011</v>
      </c>
      <c r="BB353">
        <v>0.14170815313042179</v>
      </c>
      <c r="BC353">
        <v>-2.8984414493035789E-2</v>
      </c>
      <c r="BD353">
        <v>0.11503749019139969</v>
      </c>
      <c r="BE353">
        <v>0.60141966642527578</v>
      </c>
      <c r="BF353">
        <v>0.11503749019139969</v>
      </c>
      <c r="BG353">
        <v>0.11503749019139969</v>
      </c>
      <c r="BH353">
        <v>0.60141966642527578</v>
      </c>
      <c r="BI353">
        <v>0.1003408042970538</v>
      </c>
      <c r="BJ353">
        <v>0.65234054410145836</v>
      </c>
      <c r="BK353">
        <v>4.2436155447561748E-2</v>
      </c>
      <c r="BL353">
        <v>0.82963225851484179</v>
      </c>
      <c r="BM353">
        <v>4.2436155447561748E-2</v>
      </c>
      <c r="BN353">
        <v>4.2436155447561748E-2</v>
      </c>
      <c r="BO353">
        <v>0.82963225851484179</v>
      </c>
      <c r="BP353">
        <v>0.2446576864272835</v>
      </c>
      <c r="BQ353">
        <v>1.77767746867078E-2</v>
      </c>
      <c r="BR353">
        <v>88.871677968994931</v>
      </c>
      <c r="BS353">
        <v>0.74705553823307702</v>
      </c>
      <c r="BT353">
        <v>88.871677968994931</v>
      </c>
      <c r="BU353">
        <v>88.871677968994931</v>
      </c>
      <c r="BV353">
        <v>0.74705553823307702</v>
      </c>
      <c r="BW353">
        <v>342.85158812094733</v>
      </c>
      <c r="BX353">
        <v>2.4183942454163439E-2</v>
      </c>
      <c r="BY353" t="str">
        <f t="shared" si="13"/>
        <v>[[sv,wv],[yr],[ya]]</v>
      </c>
      <c r="BZ353" t="str">
        <f>SUBSTITUTE(TRIM(MID(SUBSTITUTE(SUBSTITUTE(SUBSTITUTE(Tabla1[[#This Row],[map]],"[",""),"]",""),",",REPT(" ",100)),901,200))," ",", ")</f>
        <v>2, 3</v>
      </c>
      <c r="CA353" t="str">
        <f>SUBSTITUTE(TRIM(MID(SUBSTITUTE(SUBSTITUTE(SUBSTITUTE(Tabla1[[#This Row],[map]],"[",""),"]",""),",",REPT(" ",100)),1501,200))," ",", ")</f>
        <v>3, 4</v>
      </c>
      <c r="CB353" t="str">
        <f>SUBSTITUTE(TRIM(MID(SUBSTITUTE(SUBSTITUTE(SUBSTITUTE(Tabla1[[#This Row],[map]],"[",""),"]",""),",",REPT(" ",100)),601,300))," ",", ")</f>
        <v>1, 4, 0</v>
      </c>
      <c r="CC353" t="str">
        <f>SUBSTITUTE(TRIM(MID(SUBSTITUTE(SUBSTITUTE(SUBSTITUTE(Tabla1[[#This Row],[map]],"[",""),"]",""),",",REPT(" ",100)),1201,300))," ",", ")</f>
        <v>0, 1, 2</v>
      </c>
      <c r="CD353" t="str">
        <f>SUBSTITUTE(TRIM(MID(SUBSTITUTE(SUBSTITUTE(SUBSTITUTE(Tabla1[[#This Row],[map]],"[",""),"]",""),",",REPT(" ",100)),1,300))," ",", ")</f>
        <v>4, 2, 3</v>
      </c>
      <c r="CE353" t="str">
        <f>SUBSTITUTE(TRIM(MID(SUBSTITUTE(SUBSTITUTE(SUBSTITUTE(Tabla1[[#This Row],[map]],"[",""),"]",""),",",REPT(" ",100)),1,600))," ",", ")</f>
        <v>4, 2, 3, 0, 1, -1</v>
      </c>
      <c r="CF353" t="str">
        <f>SUBSTITUTE(TRIM(MID(SUBSTITUTE(SUBSTITUTE(SUBSTITUTE(Tabla1[[#This Row],[map]],"[",""),"]",""),",",REPT(" ",100)),601,600))," ",", ")</f>
        <v>1, 4, 0, 2, 3, -1</v>
      </c>
      <c r="CG353" t="str">
        <f>SUBSTITUTE(TRIM(MID(SUBSTITUTE(SUBSTITUTE(SUBSTITUTE(Tabla1[[#This Row],[map]],"[",""),"]",""),",",REPT(" ",100)),1201,600))," ",", ")</f>
        <v>0, 1, 2, 3, 4, -1</v>
      </c>
    </row>
    <row r="354" spans="1:85" x14ac:dyDescent="0.3">
      <c r="A354" s="1">
        <v>46109.485706018517</v>
      </c>
      <c r="B354" t="s">
        <v>592</v>
      </c>
      <c r="C354">
        <v>4</v>
      </c>
      <c r="D354" t="s">
        <v>96</v>
      </c>
      <c r="E354" t="s">
        <v>78</v>
      </c>
      <c r="F354">
        <v>16590</v>
      </c>
      <c r="G354">
        <v>4.5</v>
      </c>
      <c r="H354" t="s">
        <v>79</v>
      </c>
      <c r="I354" t="s">
        <v>80</v>
      </c>
      <c r="J354">
        <v>5</v>
      </c>
      <c r="K354">
        <v>5</v>
      </c>
      <c r="L354" t="s">
        <v>81</v>
      </c>
      <c r="M354" t="s">
        <v>82</v>
      </c>
      <c r="N354" t="s">
        <v>83</v>
      </c>
      <c r="O354" t="s">
        <v>83</v>
      </c>
      <c r="P354" t="s">
        <v>84</v>
      </c>
      <c r="Q354" t="s">
        <v>485</v>
      </c>
      <c r="R354">
        <v>3</v>
      </c>
      <c r="S354" t="s">
        <v>86</v>
      </c>
      <c r="T354" t="s">
        <v>87</v>
      </c>
      <c r="U354" t="s">
        <v>88</v>
      </c>
      <c r="V354">
        <v>1</v>
      </c>
      <c r="W354" t="s">
        <v>486</v>
      </c>
      <c r="X354" t="s">
        <v>83</v>
      </c>
      <c r="Y354" t="s">
        <v>90</v>
      </c>
      <c r="Z354">
        <v>4000</v>
      </c>
      <c r="AA354">
        <v>4000</v>
      </c>
      <c r="AC354">
        <v>256</v>
      </c>
      <c r="AD354" t="s">
        <v>91</v>
      </c>
      <c r="AE354">
        <v>0.15</v>
      </c>
      <c r="AF354" t="s">
        <v>92</v>
      </c>
      <c r="AG354">
        <v>180</v>
      </c>
      <c r="AH354">
        <v>60</v>
      </c>
      <c r="AI354">
        <v>120</v>
      </c>
      <c r="AJ354">
        <v>9.5537832803666844E-2</v>
      </c>
      <c r="AK354">
        <v>13.14127750883422</v>
      </c>
      <c r="AL354">
        <v>0.76215255698251982</v>
      </c>
      <c r="AM354">
        <v>0.2073994901070029</v>
      </c>
      <c r="AN354">
        <v>14.22128848832735</v>
      </c>
      <c r="AO354">
        <v>0.73477410012442013</v>
      </c>
      <c r="AP354">
        <v>14.22128848832735</v>
      </c>
      <c r="AQ354">
        <v>14.22128848832735</v>
      </c>
      <c r="AR354">
        <v>0.73477410012442013</v>
      </c>
      <c r="AS354">
        <v>71.097031921638305</v>
      </c>
      <c r="AT354">
        <v>0.2022825088146861</v>
      </c>
      <c r="AU354">
        <v>0.8</v>
      </c>
      <c r="AV354" t="s">
        <v>93</v>
      </c>
      <c r="AW354">
        <v>7.343330339984154E-2</v>
      </c>
      <c r="AX354">
        <v>0.46677927110071232</v>
      </c>
      <c r="AY354">
        <v>7.343330339984154E-2</v>
      </c>
      <c r="AZ354">
        <v>7.343330339984154E-2</v>
      </c>
      <c r="BA354">
        <v>0.46677927110071232</v>
      </c>
      <c r="BB354">
        <v>0.10142048684024529</v>
      </c>
      <c r="BC354">
        <v>0.26355613305566039</v>
      </c>
      <c r="BD354">
        <v>6.9804543826010382E-2</v>
      </c>
      <c r="BE354">
        <v>0.75814216463770934</v>
      </c>
      <c r="BF354">
        <v>6.9804543826010382E-2</v>
      </c>
      <c r="BG354">
        <v>6.9804543826010382E-2</v>
      </c>
      <c r="BH354">
        <v>0.75814216463770934</v>
      </c>
      <c r="BI354">
        <v>0.1304197240987772</v>
      </c>
      <c r="BJ354">
        <v>0.54812351130466164</v>
      </c>
      <c r="BK354">
        <v>3.099017317684526E-2</v>
      </c>
      <c r="BL354">
        <v>0.87558425694577346</v>
      </c>
      <c r="BM354">
        <v>3.099017317684526E-2</v>
      </c>
      <c r="BN354">
        <v>3.099017317684526E-2</v>
      </c>
      <c r="BO354">
        <v>0.87558425694577346</v>
      </c>
      <c r="BP354">
        <v>0.29756706683336298</v>
      </c>
      <c r="BQ354">
        <v>-0.194637652305895</v>
      </c>
      <c r="BR354">
        <v>56.710925932906903</v>
      </c>
      <c r="BS354">
        <v>0.83859070781348943</v>
      </c>
      <c r="BT354">
        <v>56.710925932906903</v>
      </c>
      <c r="BU354">
        <v>56.710925932906903</v>
      </c>
      <c r="BV354">
        <v>0.83859070781348943</v>
      </c>
      <c r="BW354">
        <v>283.85872040878132</v>
      </c>
      <c r="BX354">
        <v>0.1920880432043148</v>
      </c>
      <c r="BY354" t="str">
        <f t="shared" si="13"/>
        <v>[[sv,wv],[yr],[ya]]</v>
      </c>
      <c r="BZ354" t="str">
        <f>SUBSTITUTE(TRIM(MID(SUBSTITUTE(SUBSTITUTE(SUBSTITUTE(Tabla1[[#This Row],[map]],"[",""),"]",""),",",REPT(" ",100)),901,200))," ",", ")</f>
        <v>2, 3</v>
      </c>
      <c r="CA354" t="str">
        <f>SUBSTITUTE(TRIM(MID(SUBSTITUTE(SUBSTITUTE(SUBSTITUTE(Tabla1[[#This Row],[map]],"[",""),"]",""),",",REPT(" ",100)),1501,200))," ",", ")</f>
        <v>3, 4</v>
      </c>
      <c r="CB354" t="str">
        <f>SUBSTITUTE(TRIM(MID(SUBSTITUTE(SUBSTITUTE(SUBSTITUTE(Tabla1[[#This Row],[map]],"[",""),"]",""),",",REPT(" ",100)),601,300))," ",", ")</f>
        <v>1, 4, 0</v>
      </c>
      <c r="CC354" t="str">
        <f>SUBSTITUTE(TRIM(MID(SUBSTITUTE(SUBSTITUTE(SUBSTITUTE(Tabla1[[#This Row],[map]],"[",""),"]",""),",",REPT(" ",100)),1201,300))," ",", ")</f>
        <v>0, 1, 2</v>
      </c>
      <c r="CD354" t="str">
        <f>SUBSTITUTE(TRIM(MID(SUBSTITUTE(SUBSTITUTE(SUBSTITUTE(Tabla1[[#This Row],[map]],"[",""),"]",""),",",REPT(" ",100)),1,300))," ",", ")</f>
        <v>4, 2, 3</v>
      </c>
      <c r="CE354" t="str">
        <f>SUBSTITUTE(TRIM(MID(SUBSTITUTE(SUBSTITUTE(SUBSTITUTE(Tabla1[[#This Row],[map]],"[",""),"]",""),",",REPT(" ",100)),1,600))," ",", ")</f>
        <v>4, 2, 3, 0, 1, -1</v>
      </c>
      <c r="CF354" t="str">
        <f>SUBSTITUTE(TRIM(MID(SUBSTITUTE(SUBSTITUTE(SUBSTITUTE(Tabla1[[#This Row],[map]],"[",""),"]",""),",",REPT(" ",100)),601,600))," ",", ")</f>
        <v>1, 4, 0, 2, 3, -1</v>
      </c>
      <c r="CG354" t="str">
        <f>SUBSTITUTE(TRIM(MID(SUBSTITUTE(SUBSTITUTE(SUBSTITUTE(Tabla1[[#This Row],[map]],"[",""),"]",""),",",REPT(" ",100)),1201,600))," ",", ")</f>
        <v>0, 1, 2, 3, 4, -1</v>
      </c>
    </row>
    <row r="355" spans="1:85" x14ac:dyDescent="0.3">
      <c r="A355" s="1">
        <v>46109.493611111109</v>
      </c>
      <c r="B355" t="s">
        <v>593</v>
      </c>
      <c r="C355">
        <v>4</v>
      </c>
      <c r="D355" t="s">
        <v>77</v>
      </c>
      <c r="E355" t="s">
        <v>78</v>
      </c>
      <c r="F355">
        <v>16590</v>
      </c>
      <c r="G355">
        <v>4.5</v>
      </c>
      <c r="H355" t="s">
        <v>79</v>
      </c>
      <c r="I355" t="s">
        <v>80</v>
      </c>
      <c r="J355">
        <v>5</v>
      </c>
      <c r="K355">
        <v>5</v>
      </c>
      <c r="L355" t="s">
        <v>81</v>
      </c>
      <c r="M355" t="s">
        <v>82</v>
      </c>
      <c r="N355" t="s">
        <v>83</v>
      </c>
      <c r="O355" t="s">
        <v>83</v>
      </c>
      <c r="P355" t="s">
        <v>84</v>
      </c>
      <c r="Q355" t="s">
        <v>183</v>
      </c>
      <c r="R355">
        <v>3</v>
      </c>
      <c r="S355" t="s">
        <v>86</v>
      </c>
      <c r="T355" t="s">
        <v>87</v>
      </c>
      <c r="U355" t="s">
        <v>88</v>
      </c>
      <c r="V355">
        <v>1</v>
      </c>
      <c r="W355" t="s">
        <v>184</v>
      </c>
      <c r="X355" t="s">
        <v>83</v>
      </c>
      <c r="Y355" t="s">
        <v>90</v>
      </c>
      <c r="Z355">
        <v>4000</v>
      </c>
      <c r="AA355">
        <v>4000</v>
      </c>
      <c r="AC355">
        <v>256</v>
      </c>
      <c r="AD355" t="s">
        <v>91</v>
      </c>
      <c r="AE355">
        <v>0.15</v>
      </c>
      <c r="AF355" t="s">
        <v>92</v>
      </c>
      <c r="AG355">
        <v>180</v>
      </c>
      <c r="AH355">
        <v>60</v>
      </c>
      <c r="AI355">
        <v>120</v>
      </c>
      <c r="AJ355">
        <v>0.1014308244124552</v>
      </c>
      <c r="AK355">
        <v>14.79479834451269</v>
      </c>
      <c r="AL355">
        <v>0.79523477696839695</v>
      </c>
      <c r="AM355">
        <v>-0.16751639152342521</v>
      </c>
      <c r="AN355">
        <v>16.922754858071499</v>
      </c>
      <c r="AO355">
        <v>0.70953842736620976</v>
      </c>
      <c r="AP355">
        <v>16.922754858071499</v>
      </c>
      <c r="AQ355">
        <v>16.922754858071499</v>
      </c>
      <c r="AR355">
        <v>0.70953842736620976</v>
      </c>
      <c r="AS355">
        <v>115.9985593803866</v>
      </c>
      <c r="AT355">
        <v>-0.10842870904991191</v>
      </c>
      <c r="AU355">
        <v>0.8</v>
      </c>
      <c r="AV355" t="s">
        <v>93</v>
      </c>
      <c r="AW355">
        <v>6.318985054853031E-2</v>
      </c>
      <c r="AX355">
        <v>0.5411599831610312</v>
      </c>
      <c r="AY355">
        <v>6.318985054853031E-2</v>
      </c>
      <c r="AZ355">
        <v>6.318985054853031E-2</v>
      </c>
      <c r="BA355">
        <v>0.5411599831610312</v>
      </c>
      <c r="BB355">
        <v>0.27098641308861099</v>
      </c>
      <c r="BC355">
        <v>-0.96771173321918802</v>
      </c>
      <c r="BD355">
        <v>4.2811434806186079E-2</v>
      </c>
      <c r="BE355">
        <v>0.85166752214889752</v>
      </c>
      <c r="BF355">
        <v>4.2811434806186079E-2</v>
      </c>
      <c r="BG355">
        <v>4.2811434806186079E-2</v>
      </c>
      <c r="BH355">
        <v>0.85166752214889752</v>
      </c>
      <c r="BI355">
        <v>0.17480298646005751</v>
      </c>
      <c r="BJ355">
        <v>0.39434498668924761</v>
      </c>
      <c r="BK355">
        <v>9.0311464102481642E-2</v>
      </c>
      <c r="BL355">
        <v>0.63742803731666076</v>
      </c>
      <c r="BM355">
        <v>9.0311464102481642E-2</v>
      </c>
      <c r="BN355">
        <v>9.0311464102481642E-2</v>
      </c>
      <c r="BO355">
        <v>0.63742803731666076</v>
      </c>
      <c r="BP355">
        <v>0.1348527923227878</v>
      </c>
      <c r="BQ355">
        <v>0.4586086930190918</v>
      </c>
      <c r="BR355">
        <v>67.494706682828905</v>
      </c>
      <c r="BS355">
        <v>0.80789816683825155</v>
      </c>
      <c r="BT355">
        <v>67.494706682828905</v>
      </c>
      <c r="BU355">
        <v>67.494706682828905</v>
      </c>
      <c r="BV355">
        <v>0.80789816683825155</v>
      </c>
      <c r="BW355">
        <v>463.41359532967567</v>
      </c>
      <c r="BX355">
        <v>-0.31895678268878708</v>
      </c>
      <c r="BY355" t="str">
        <f t="shared" si="13"/>
        <v>[[sv,wv],[yr],[ya]]</v>
      </c>
      <c r="BZ355" t="str">
        <f>SUBSTITUTE(TRIM(MID(SUBSTITUTE(SUBSTITUTE(SUBSTITUTE(Tabla1[[#This Row],[map]],"[",""),"]",""),",",REPT(" ",100)),901,200))," ",", ")</f>
        <v>2, 4</v>
      </c>
      <c r="CA355" t="str">
        <f>SUBSTITUTE(TRIM(MID(SUBSTITUTE(SUBSTITUTE(SUBSTITUTE(Tabla1[[#This Row],[map]],"[",""),"]",""),",",REPT(" ",100)),1501,200))," ",", ")</f>
        <v>3, 4</v>
      </c>
      <c r="CB355" t="str">
        <f>SUBSTITUTE(TRIM(MID(SUBSTITUTE(SUBSTITUTE(SUBSTITUTE(Tabla1[[#This Row],[map]],"[",""),"]",""),",",REPT(" ",100)),601,300))," ",", ")</f>
        <v>3, 0, 1</v>
      </c>
      <c r="CC355" t="str">
        <f>SUBSTITUTE(TRIM(MID(SUBSTITUTE(SUBSTITUTE(SUBSTITUTE(Tabla1[[#This Row],[map]],"[",""),"]",""),",",REPT(" ",100)),1201,300))," ",", ")</f>
        <v>2, 0, 1</v>
      </c>
      <c r="CD355" t="str">
        <f>SUBSTITUTE(TRIM(MID(SUBSTITUTE(SUBSTITUTE(SUBSTITUTE(Tabla1[[#This Row],[map]],"[",""),"]",""),",",REPT(" ",100)),1,300))," ",", ")</f>
        <v>2, 3, 4</v>
      </c>
      <c r="CE355" t="str">
        <f>SUBSTITUTE(TRIM(MID(SUBSTITUTE(SUBSTITUTE(SUBSTITUTE(Tabla1[[#This Row],[map]],"[",""),"]",""),",",REPT(" ",100)),1,600))," ",", ")</f>
        <v>2, 3, 4, 0, 1, -1</v>
      </c>
      <c r="CF355" t="str">
        <f>SUBSTITUTE(TRIM(MID(SUBSTITUTE(SUBSTITUTE(SUBSTITUTE(Tabla1[[#This Row],[map]],"[",""),"]",""),",",REPT(" ",100)),601,600))," ",", ")</f>
        <v>3, 0, 1, 2, 4, -1</v>
      </c>
      <c r="CG355" t="str">
        <f>SUBSTITUTE(TRIM(MID(SUBSTITUTE(SUBSTITUTE(SUBSTITUTE(Tabla1[[#This Row],[map]],"[",""),"]",""),",",REPT(" ",100)),1201,600))," ",", ")</f>
        <v>2, 0, 1, 3, 4, -1</v>
      </c>
    </row>
    <row r="356" spans="1:85" x14ac:dyDescent="0.3">
      <c r="A356" s="1">
        <v>46109.544652777768</v>
      </c>
      <c r="B356" t="s">
        <v>594</v>
      </c>
      <c r="C356">
        <v>7</v>
      </c>
      <c r="D356" t="s">
        <v>77</v>
      </c>
      <c r="E356" t="s">
        <v>78</v>
      </c>
      <c r="F356">
        <v>16590</v>
      </c>
      <c r="G356">
        <v>4.5</v>
      </c>
      <c r="H356" t="s">
        <v>79</v>
      </c>
      <c r="I356" t="s">
        <v>80</v>
      </c>
      <c r="J356">
        <v>5</v>
      </c>
      <c r="K356">
        <v>5</v>
      </c>
      <c r="L356" t="s">
        <v>81</v>
      </c>
      <c r="M356" t="s">
        <v>82</v>
      </c>
      <c r="N356" t="s">
        <v>83</v>
      </c>
      <c r="O356" t="s">
        <v>83</v>
      </c>
      <c r="P356" t="s">
        <v>84</v>
      </c>
      <c r="Q356" t="s">
        <v>401</v>
      </c>
      <c r="R356">
        <v>3</v>
      </c>
      <c r="S356" t="s">
        <v>86</v>
      </c>
      <c r="T356" t="s">
        <v>87</v>
      </c>
      <c r="U356" t="s">
        <v>88</v>
      </c>
      <c r="V356">
        <v>1</v>
      </c>
      <c r="W356" t="s">
        <v>402</v>
      </c>
      <c r="X356" t="s">
        <v>83</v>
      </c>
      <c r="Y356" t="s">
        <v>90</v>
      </c>
      <c r="Z356">
        <v>4000</v>
      </c>
      <c r="AA356">
        <v>4000</v>
      </c>
      <c r="AC356">
        <v>256</v>
      </c>
      <c r="AD356" t="s">
        <v>91</v>
      </c>
      <c r="AE356">
        <v>0.15</v>
      </c>
      <c r="AF356" t="s">
        <v>92</v>
      </c>
      <c r="AG356">
        <v>180</v>
      </c>
      <c r="AH356">
        <v>60</v>
      </c>
      <c r="AI356">
        <v>120</v>
      </c>
      <c r="AJ356">
        <v>0.1144518604466918</v>
      </c>
      <c r="AK356">
        <v>16.234747352008501</v>
      </c>
      <c r="AL356">
        <v>0.67792826738050416</v>
      </c>
      <c r="AM356">
        <v>0.33813823453553021</v>
      </c>
      <c r="AN356">
        <v>20.743920096867662</v>
      </c>
      <c r="AO356">
        <v>0.62408344637287605</v>
      </c>
      <c r="AP356">
        <v>20.743920096867662</v>
      </c>
      <c r="AQ356">
        <v>20.743920096867662</v>
      </c>
      <c r="AR356">
        <v>0.62408344637287605</v>
      </c>
      <c r="AS356">
        <v>92.090945792359378</v>
      </c>
      <c r="AT356">
        <v>0.14119775313761521</v>
      </c>
      <c r="AU356">
        <v>0.8</v>
      </c>
      <c r="AV356" t="s">
        <v>93</v>
      </c>
      <c r="AW356">
        <v>0.10942537516114539</v>
      </c>
      <c r="AX356">
        <v>0.20543029385724321</v>
      </c>
      <c r="AY356">
        <v>0.10942537516114539</v>
      </c>
      <c r="AZ356">
        <v>0.10942537516114539</v>
      </c>
      <c r="BA356">
        <v>0.20543029385724321</v>
      </c>
      <c r="BB356">
        <v>0.14146167397918699</v>
      </c>
      <c r="BC356">
        <v>-2.7194657167748382E-2</v>
      </c>
      <c r="BD356">
        <v>9.6106945747653438E-2</v>
      </c>
      <c r="BE356">
        <v>0.66700995969910815</v>
      </c>
      <c r="BF356">
        <v>9.6106945747653438E-2</v>
      </c>
      <c r="BG356">
        <v>9.6106945747653438E-2</v>
      </c>
      <c r="BH356">
        <v>0.66700995969910815</v>
      </c>
      <c r="BI356">
        <v>0.2017637327175453</v>
      </c>
      <c r="BJ356">
        <v>0.30093175923745141</v>
      </c>
      <c r="BK356">
        <v>3.5028346789112423E-2</v>
      </c>
      <c r="BL356">
        <v>0.85937226717452642</v>
      </c>
      <c r="BM356">
        <v>3.5028346789112423E-2</v>
      </c>
      <c r="BN356">
        <v>3.5028346789112423E-2</v>
      </c>
      <c r="BO356">
        <v>0.85937226717452642</v>
      </c>
      <c r="BP356">
        <v>0.16488571733001531</v>
      </c>
      <c r="BQ356">
        <v>0.33803599858646122</v>
      </c>
      <c r="BR356">
        <v>82.735119719772442</v>
      </c>
      <c r="BS356">
        <v>0.76452126476062687</v>
      </c>
      <c r="BT356">
        <v>82.735119719772442</v>
      </c>
      <c r="BU356">
        <v>82.735119719772442</v>
      </c>
      <c r="BV356">
        <v>0.76452126476062687</v>
      </c>
      <c r="BW356">
        <v>367.85567204540922</v>
      </c>
      <c r="BX356">
        <v>-4.6982088105701703E-2</v>
      </c>
      <c r="BY356" t="str">
        <f t="shared" si="13"/>
        <v>[[sv,wv],[yr],[ya]]</v>
      </c>
      <c r="BZ356" t="str">
        <f>SUBSTITUTE(TRIM(MID(SUBSTITUTE(SUBSTITUTE(SUBSTITUTE(Tabla1[[#This Row],[map]],"[",""),"]",""),",",REPT(" ",100)),901,200))," ",", ")</f>
        <v>2, 3</v>
      </c>
      <c r="CA356" t="str">
        <f>SUBSTITUTE(TRIM(MID(SUBSTITUTE(SUBSTITUTE(SUBSTITUTE(Tabla1[[#This Row],[map]],"[",""),"]",""),",",REPT(" ",100)),1501,200))," ",", ")</f>
        <v>3, 4</v>
      </c>
      <c r="CB356" t="str">
        <f>SUBSTITUTE(TRIM(MID(SUBSTITUTE(SUBSTITUTE(SUBSTITUTE(Tabla1[[#This Row],[map]],"[",""),"]",""),",",REPT(" ",100)),601,300))," ",", ")</f>
        <v>1, 4, 0</v>
      </c>
      <c r="CC356" t="str">
        <f>SUBSTITUTE(TRIM(MID(SUBSTITUTE(SUBSTITUTE(SUBSTITUTE(Tabla1[[#This Row],[map]],"[",""),"]",""),",",REPT(" ",100)),1201,300))," ",", ")</f>
        <v>0, 1, 2</v>
      </c>
      <c r="CD356" t="str">
        <f>SUBSTITUTE(TRIM(MID(SUBSTITUTE(SUBSTITUTE(SUBSTITUTE(Tabla1[[#This Row],[map]],"[",""),"]",""),",",REPT(" ",100)),1,300))," ",", ")</f>
        <v>2, 3, 4</v>
      </c>
      <c r="CE356" t="str">
        <f>SUBSTITUTE(TRIM(MID(SUBSTITUTE(SUBSTITUTE(SUBSTITUTE(Tabla1[[#This Row],[map]],"[",""),"]",""),",",REPT(" ",100)),1,600))," ",", ")</f>
        <v>2, 3, 4, 0, 1, -1</v>
      </c>
      <c r="CF356" t="str">
        <f>SUBSTITUTE(TRIM(MID(SUBSTITUTE(SUBSTITUTE(SUBSTITUTE(Tabla1[[#This Row],[map]],"[",""),"]",""),",",REPT(" ",100)),601,600))," ",", ")</f>
        <v>1, 4, 0, 2, 3, -1</v>
      </c>
      <c r="CG356" t="str">
        <f>SUBSTITUTE(TRIM(MID(SUBSTITUTE(SUBSTITUTE(SUBSTITUTE(Tabla1[[#This Row],[map]],"[",""),"]",""),",",REPT(" ",100)),1201,600))," ",", ")</f>
        <v>0, 1, 2, 3, 4, -1</v>
      </c>
    </row>
    <row r="357" spans="1:85" x14ac:dyDescent="0.3">
      <c r="A357" s="1">
        <v>46109.579745370371</v>
      </c>
      <c r="B357" t="s">
        <v>595</v>
      </c>
      <c r="C357">
        <v>8</v>
      </c>
      <c r="D357" t="s">
        <v>77</v>
      </c>
      <c r="E357" t="s">
        <v>78</v>
      </c>
      <c r="F357">
        <v>16590</v>
      </c>
      <c r="G357">
        <v>4.5</v>
      </c>
      <c r="H357" t="s">
        <v>79</v>
      </c>
      <c r="I357" t="s">
        <v>80</v>
      </c>
      <c r="J357">
        <v>5</v>
      </c>
      <c r="K357">
        <v>5</v>
      </c>
      <c r="L357" t="s">
        <v>81</v>
      </c>
      <c r="M357" t="s">
        <v>82</v>
      </c>
      <c r="N357" t="s">
        <v>83</v>
      </c>
      <c r="O357" t="s">
        <v>83</v>
      </c>
      <c r="P357" t="s">
        <v>84</v>
      </c>
      <c r="Q357" t="s">
        <v>397</v>
      </c>
      <c r="R357">
        <v>3</v>
      </c>
      <c r="S357" t="s">
        <v>86</v>
      </c>
      <c r="T357" t="s">
        <v>87</v>
      </c>
      <c r="U357" t="s">
        <v>88</v>
      </c>
      <c r="V357">
        <v>1</v>
      </c>
      <c r="W357" t="s">
        <v>398</v>
      </c>
      <c r="X357" t="s">
        <v>83</v>
      </c>
      <c r="Y357" t="s">
        <v>90</v>
      </c>
      <c r="Z357">
        <v>4000</v>
      </c>
      <c r="AA357">
        <v>4000</v>
      </c>
      <c r="AC357">
        <v>256</v>
      </c>
      <c r="AD357" t="s">
        <v>91</v>
      </c>
      <c r="AE357">
        <v>0.15</v>
      </c>
      <c r="AF357" t="s">
        <v>92</v>
      </c>
      <c r="AG357">
        <v>180</v>
      </c>
      <c r="AH357">
        <v>60</v>
      </c>
      <c r="AI357">
        <v>120</v>
      </c>
      <c r="AJ357">
        <v>8.6622156561208516E-2</v>
      </c>
      <c r="AK357">
        <v>10.96517776170697</v>
      </c>
      <c r="AL357">
        <v>0.79142471004080694</v>
      </c>
      <c r="AM357">
        <v>-5.7731907336949717E-2</v>
      </c>
      <c r="AN357">
        <v>14.387250035664829</v>
      </c>
      <c r="AO357">
        <v>0.728559059035226</v>
      </c>
      <c r="AP357">
        <v>14.387250035664829</v>
      </c>
      <c r="AQ357">
        <v>14.387250035664829</v>
      </c>
      <c r="AR357">
        <v>0.728559059035226</v>
      </c>
      <c r="AS357">
        <v>130.53463705837331</v>
      </c>
      <c r="AT357">
        <v>-5.6974551369458483E-2</v>
      </c>
      <c r="AU357">
        <v>0.8</v>
      </c>
      <c r="AV357" t="s">
        <v>93</v>
      </c>
      <c r="AW357">
        <v>8.2508206420257468E-2</v>
      </c>
      <c r="AX357">
        <v>0.40088374169917129</v>
      </c>
      <c r="AY357">
        <v>8.2508206420257468E-2</v>
      </c>
      <c r="AZ357">
        <v>8.2508206420257468E-2</v>
      </c>
      <c r="BA357">
        <v>0.40088374169917129</v>
      </c>
      <c r="BB357">
        <v>0.1896337466490656</v>
      </c>
      <c r="BC357">
        <v>-0.37698618924360972</v>
      </c>
      <c r="BD357">
        <v>6.0448946725088631E-2</v>
      </c>
      <c r="BE357">
        <v>0.79055731040516186</v>
      </c>
      <c r="BF357">
        <v>6.0448946725088631E-2</v>
      </c>
      <c r="BG357">
        <v>6.0448946725088631E-2</v>
      </c>
      <c r="BH357">
        <v>0.79055731040516186</v>
      </c>
      <c r="BI357">
        <v>0.167209418820427</v>
      </c>
      <c r="BJ357">
        <v>0.42065507671112129</v>
      </c>
      <c r="BK357">
        <v>2.8370315966167431E-2</v>
      </c>
      <c r="BL357">
        <v>0.88610215498081879</v>
      </c>
      <c r="BM357">
        <v>2.8370315966167431E-2</v>
      </c>
      <c r="BN357">
        <v>2.8370315966167431E-2</v>
      </c>
      <c r="BO357">
        <v>0.88610215498081879</v>
      </c>
      <c r="BP357">
        <v>0.1960409354953361</v>
      </c>
      <c r="BQ357">
        <v>0.21295765210754949</v>
      </c>
      <c r="BR357">
        <v>57.377672673547707</v>
      </c>
      <c r="BS357">
        <v>0.83669302905575205</v>
      </c>
      <c r="BT357">
        <v>57.377672673547707</v>
      </c>
      <c r="BU357">
        <v>57.377672673547707</v>
      </c>
      <c r="BV357">
        <v>0.83669302905575205</v>
      </c>
      <c r="BW357">
        <v>521.58566413252743</v>
      </c>
      <c r="BX357">
        <v>-0.48452474505289578</v>
      </c>
      <c r="BY357" t="str">
        <f t="shared" si="13"/>
        <v>[[sv,wv],[yr],[ya]]</v>
      </c>
      <c r="BZ357" t="str">
        <f>SUBSTITUTE(TRIM(MID(SUBSTITUTE(SUBSTITUTE(SUBSTITUTE(Tabla1[[#This Row],[map]],"[",""),"]",""),",",REPT(" ",100)),901,200))," ",", ")</f>
        <v>2, 3</v>
      </c>
      <c r="CA357" t="str">
        <f>SUBSTITUTE(TRIM(MID(SUBSTITUTE(SUBSTITUTE(SUBSTITUTE(Tabla1[[#This Row],[map]],"[",""),"]",""),",",REPT(" ",100)),1501,200))," ",", ")</f>
        <v>3, 2</v>
      </c>
      <c r="CB357" t="str">
        <f>SUBSTITUTE(TRIM(MID(SUBSTITUTE(SUBSTITUTE(SUBSTITUTE(Tabla1[[#This Row],[map]],"[",""),"]",""),",",REPT(" ",100)),601,300))," ",", ")</f>
        <v>1, 4, 0</v>
      </c>
      <c r="CC357" t="str">
        <f>SUBSTITUTE(TRIM(MID(SUBSTITUTE(SUBSTITUTE(SUBSTITUTE(Tabla1[[#This Row],[map]],"[",""),"]",""),",",REPT(" ",100)),1201,300))," ",", ")</f>
        <v>1, 4, 0</v>
      </c>
      <c r="CD357" t="str">
        <f>SUBSTITUTE(TRIM(MID(SUBSTITUTE(SUBSTITUTE(SUBSTITUTE(Tabla1[[#This Row],[map]],"[",""),"]",""),",",REPT(" ",100)),1,300))," ",", ")</f>
        <v>2, 3, 4</v>
      </c>
      <c r="CE357" t="str">
        <f>SUBSTITUTE(TRIM(MID(SUBSTITUTE(SUBSTITUTE(SUBSTITUTE(Tabla1[[#This Row],[map]],"[",""),"]",""),",",REPT(" ",100)),1,600))," ",", ")</f>
        <v>2, 3, 4, 0, 1, -1</v>
      </c>
      <c r="CF357" t="str">
        <f>SUBSTITUTE(TRIM(MID(SUBSTITUTE(SUBSTITUTE(SUBSTITUTE(Tabla1[[#This Row],[map]],"[",""),"]",""),",",REPT(" ",100)),601,600))," ",", ")</f>
        <v>1, 4, 0, 2, 3, -1</v>
      </c>
      <c r="CG357" t="str">
        <f>SUBSTITUTE(TRIM(MID(SUBSTITUTE(SUBSTITUTE(SUBSTITUTE(Tabla1[[#This Row],[map]],"[",""),"]",""),",",REPT(" ",100)),1201,600))," ",", ")</f>
        <v>1, 4, 0, 3, 2, -1</v>
      </c>
    </row>
    <row r="358" spans="1:85" x14ac:dyDescent="0.3">
      <c r="A358" s="1">
        <v>46109.584699074083</v>
      </c>
      <c r="B358" t="s">
        <v>596</v>
      </c>
      <c r="C358">
        <v>6</v>
      </c>
      <c r="D358" t="s">
        <v>77</v>
      </c>
      <c r="E358" t="s">
        <v>78</v>
      </c>
      <c r="F358">
        <v>16590</v>
      </c>
      <c r="G358">
        <v>4.5</v>
      </c>
      <c r="H358" t="s">
        <v>79</v>
      </c>
      <c r="I358" t="s">
        <v>80</v>
      </c>
      <c r="J358">
        <v>5</v>
      </c>
      <c r="K358">
        <v>5</v>
      </c>
      <c r="L358" t="s">
        <v>81</v>
      </c>
      <c r="M358" t="s">
        <v>82</v>
      </c>
      <c r="N358" t="s">
        <v>83</v>
      </c>
      <c r="O358" t="s">
        <v>83</v>
      </c>
      <c r="P358" t="s">
        <v>84</v>
      </c>
      <c r="Q358" t="s">
        <v>159</v>
      </c>
      <c r="R358">
        <v>3</v>
      </c>
      <c r="S358" t="s">
        <v>86</v>
      </c>
      <c r="T358" t="s">
        <v>87</v>
      </c>
      <c r="U358" t="s">
        <v>88</v>
      </c>
      <c r="V358">
        <v>1</v>
      </c>
      <c r="W358" t="s">
        <v>160</v>
      </c>
      <c r="X358" t="s">
        <v>83</v>
      </c>
      <c r="Y358" t="s">
        <v>90</v>
      </c>
      <c r="Z358">
        <v>4000</v>
      </c>
      <c r="AA358">
        <v>4000</v>
      </c>
      <c r="AC358">
        <v>256</v>
      </c>
      <c r="AD358" t="s">
        <v>91</v>
      </c>
      <c r="AE358">
        <v>0.15</v>
      </c>
      <c r="AF358" t="s">
        <v>92</v>
      </c>
      <c r="AG358">
        <v>180</v>
      </c>
      <c r="AH358">
        <v>60</v>
      </c>
      <c r="AI358">
        <v>120</v>
      </c>
      <c r="AJ358">
        <v>0.10348138804046859</v>
      </c>
      <c r="AK358">
        <v>17.80540414504609</v>
      </c>
      <c r="AL358">
        <v>0.75478464828739844</v>
      </c>
      <c r="AM358">
        <v>0.30414449575607888</v>
      </c>
      <c r="AN358">
        <v>18.693473336061281</v>
      </c>
      <c r="AO358">
        <v>0.69835387335236354</v>
      </c>
      <c r="AP358">
        <v>18.693473336061281</v>
      </c>
      <c r="AQ358">
        <v>18.693473336061281</v>
      </c>
      <c r="AR358">
        <v>0.69835387335236354</v>
      </c>
      <c r="AS358">
        <v>80.116168303209264</v>
      </c>
      <c r="AT358">
        <v>0.25687810352168039</v>
      </c>
      <c r="AU358">
        <v>0.8</v>
      </c>
      <c r="AV358" t="s">
        <v>93</v>
      </c>
      <c r="AW358">
        <v>7.0812220561252512E-2</v>
      </c>
      <c r="AX358">
        <v>0.48581172146029761</v>
      </c>
      <c r="AY358">
        <v>7.0812220561252512E-2</v>
      </c>
      <c r="AZ358">
        <v>7.0812220561252512E-2</v>
      </c>
      <c r="BA358">
        <v>0.48581172146029761</v>
      </c>
      <c r="BB358">
        <v>0.1415198851007804</v>
      </c>
      <c r="BC358">
        <v>-2.7617345175083189E-2</v>
      </c>
      <c r="BD358">
        <v>6.8538352404316036E-2</v>
      </c>
      <c r="BE358">
        <v>0.76252924747817019</v>
      </c>
      <c r="BF358">
        <v>6.8538352404316036E-2</v>
      </c>
      <c r="BG358">
        <v>6.8538352404316036E-2</v>
      </c>
      <c r="BH358">
        <v>0.76252924747817019</v>
      </c>
      <c r="BI358">
        <v>0.15304400407470761</v>
      </c>
      <c r="BJ358">
        <v>0.46973521332727342</v>
      </c>
      <c r="BK358">
        <v>6.0446717728008477E-2</v>
      </c>
      <c r="BL358">
        <v>0.75732554773400473</v>
      </c>
      <c r="BM358">
        <v>6.0446717728008477E-2</v>
      </c>
      <c r="BN358">
        <v>6.0446717728008477E-2</v>
      </c>
      <c r="BO358">
        <v>0.75732554773400473</v>
      </c>
      <c r="BP358">
        <v>0.12546492242581661</v>
      </c>
      <c r="BQ358">
        <v>0.49629802125430039</v>
      </c>
      <c r="BR358">
        <v>74.574096053551045</v>
      </c>
      <c r="BS358">
        <v>0.7877489767369853</v>
      </c>
      <c r="BT358">
        <v>74.574096053551045</v>
      </c>
      <c r="BU358">
        <v>74.574096053551045</v>
      </c>
      <c r="BV358">
        <v>0.7877489767369853</v>
      </c>
      <c r="BW358">
        <v>320.04464440123598</v>
      </c>
      <c r="BX358">
        <v>8.9096524680229883E-2</v>
      </c>
      <c r="BY358" t="str">
        <f t="shared" si="13"/>
        <v>[[sv,wv],[yr],[ya]]</v>
      </c>
      <c r="BZ358" t="str">
        <f>SUBSTITUTE(TRIM(MID(SUBSTITUTE(SUBSTITUTE(SUBSTITUTE(Tabla1[[#This Row],[map]],"[",""),"]",""),",",REPT(" ",100)),901,200))," ",", ")</f>
        <v>2, 4</v>
      </c>
      <c r="CA358" t="str">
        <f>SUBSTITUTE(TRIM(MID(SUBSTITUTE(SUBSTITUTE(SUBSTITUTE(Tabla1[[#This Row],[map]],"[",""),"]",""),",",REPT(" ",100)),1501,200))," ",", ")</f>
        <v>3, 4</v>
      </c>
      <c r="CB358" t="str">
        <f>SUBSTITUTE(TRIM(MID(SUBSTITUTE(SUBSTITUTE(SUBSTITUTE(Tabla1[[#This Row],[map]],"[",""),"]",""),",",REPT(" ",100)),601,300))," ",", ")</f>
        <v>0, 1, 3</v>
      </c>
      <c r="CC358" t="str">
        <f>SUBSTITUTE(TRIM(MID(SUBSTITUTE(SUBSTITUTE(SUBSTITUTE(Tabla1[[#This Row],[map]],"[",""),"]",""),",",REPT(" ",100)),1201,300))," ",", ")</f>
        <v>0, 1, 2</v>
      </c>
      <c r="CD358" t="str">
        <f>SUBSTITUTE(TRIM(MID(SUBSTITUTE(SUBSTITUTE(SUBSTITUTE(Tabla1[[#This Row],[map]],"[",""),"]",""),",",REPT(" ",100)),1,300))," ",", ")</f>
        <v>2, 3, 4</v>
      </c>
      <c r="CE358" t="str">
        <f>SUBSTITUTE(TRIM(MID(SUBSTITUTE(SUBSTITUTE(SUBSTITUTE(Tabla1[[#This Row],[map]],"[",""),"]",""),",",REPT(" ",100)),1,600))," ",", ")</f>
        <v>2, 3, 4, 0, 1, -1</v>
      </c>
      <c r="CF358" t="str">
        <f>SUBSTITUTE(TRIM(MID(SUBSTITUTE(SUBSTITUTE(SUBSTITUTE(Tabla1[[#This Row],[map]],"[",""),"]",""),",",REPT(" ",100)),601,600))," ",", ")</f>
        <v>0, 1, 3, 2, 4, -1</v>
      </c>
      <c r="CG358" t="str">
        <f>SUBSTITUTE(TRIM(MID(SUBSTITUTE(SUBSTITUTE(SUBSTITUTE(Tabla1[[#This Row],[map]],"[",""),"]",""),",",REPT(" ",100)),1201,600))," ",", ")</f>
        <v>0, 1, 2, 3, 4, -1</v>
      </c>
    </row>
    <row r="359" spans="1:85" x14ac:dyDescent="0.3">
      <c r="A359" s="1">
        <v>46109.586122685178</v>
      </c>
      <c r="B359" t="s">
        <v>597</v>
      </c>
      <c r="C359">
        <v>5</v>
      </c>
      <c r="D359" t="s">
        <v>77</v>
      </c>
      <c r="E359" t="s">
        <v>78</v>
      </c>
      <c r="F359">
        <v>16590</v>
      </c>
      <c r="G359">
        <v>4.5</v>
      </c>
      <c r="H359" t="s">
        <v>79</v>
      </c>
      <c r="I359" t="s">
        <v>80</v>
      </c>
      <c r="J359">
        <v>5</v>
      </c>
      <c r="K359">
        <v>5</v>
      </c>
      <c r="L359" t="s">
        <v>81</v>
      </c>
      <c r="M359" t="s">
        <v>82</v>
      </c>
      <c r="N359" t="s">
        <v>83</v>
      </c>
      <c r="O359" t="s">
        <v>83</v>
      </c>
      <c r="P359" t="s">
        <v>84</v>
      </c>
      <c r="Q359" t="s">
        <v>493</v>
      </c>
      <c r="R359">
        <v>3</v>
      </c>
      <c r="S359" t="s">
        <v>86</v>
      </c>
      <c r="T359" t="s">
        <v>87</v>
      </c>
      <c r="U359" t="s">
        <v>88</v>
      </c>
      <c r="V359">
        <v>1</v>
      </c>
      <c r="W359" t="s">
        <v>494</v>
      </c>
      <c r="X359" t="s">
        <v>83</v>
      </c>
      <c r="Y359" t="s">
        <v>90</v>
      </c>
      <c r="Z359">
        <v>4000</v>
      </c>
      <c r="AA359">
        <v>4000</v>
      </c>
      <c r="AC359">
        <v>256</v>
      </c>
      <c r="AD359" t="s">
        <v>91</v>
      </c>
      <c r="AE359">
        <v>0.15</v>
      </c>
      <c r="AF359" t="s">
        <v>92</v>
      </c>
      <c r="AG359">
        <v>180</v>
      </c>
      <c r="AH359">
        <v>60</v>
      </c>
      <c r="AI359">
        <v>120</v>
      </c>
      <c r="AJ359">
        <v>0.13036984930538101</v>
      </c>
      <c r="AK359">
        <v>28.092371377912372</v>
      </c>
      <c r="AL359">
        <v>0.67283977765906611</v>
      </c>
      <c r="AM359">
        <v>0.14830836986640611</v>
      </c>
      <c r="AN359">
        <v>31.8912631239238</v>
      </c>
      <c r="AO359">
        <v>0.63475186938269901</v>
      </c>
      <c r="AP359">
        <v>31.8912631239238</v>
      </c>
      <c r="AQ359">
        <v>31.8912631239238</v>
      </c>
      <c r="AR359">
        <v>0.63475186938269901</v>
      </c>
      <c r="AS359">
        <v>104.0558270939332</v>
      </c>
      <c r="AT359">
        <v>0.12539705376369301</v>
      </c>
      <c r="AU359">
        <v>0.8</v>
      </c>
      <c r="AV359" t="s">
        <v>93</v>
      </c>
      <c r="AW359">
        <v>7.9259176835877965E-2</v>
      </c>
      <c r="AX359">
        <v>0.42447589734230051</v>
      </c>
      <c r="AY359">
        <v>7.9259176835877965E-2</v>
      </c>
      <c r="AZ359">
        <v>7.9259176835877965E-2</v>
      </c>
      <c r="BA359">
        <v>0.42447589734230051</v>
      </c>
      <c r="BB359">
        <v>0.1361724640027786</v>
      </c>
      <c r="BC359">
        <v>1.121184599016278E-2</v>
      </c>
      <c r="BD359">
        <v>0.11050489445015339</v>
      </c>
      <c r="BE359">
        <v>0.61712414258778137</v>
      </c>
      <c r="BF359">
        <v>0.11050489445015339</v>
      </c>
      <c r="BG359">
        <v>0.11050489445015339</v>
      </c>
      <c r="BH359">
        <v>0.61712414258778137</v>
      </c>
      <c r="BI359">
        <v>8.9599281224024704E-2</v>
      </c>
      <c r="BJ359">
        <v>0.68955762735340698</v>
      </c>
      <c r="BK359">
        <v>3.4911692488081139E-2</v>
      </c>
      <c r="BL359">
        <v>0.85984059729518947</v>
      </c>
      <c r="BM359">
        <v>3.4911692488081139E-2</v>
      </c>
      <c r="BN359">
        <v>3.4911692488081139E-2</v>
      </c>
      <c r="BO359">
        <v>0.85984059729518947</v>
      </c>
      <c r="BP359">
        <v>0.25304587526866451</v>
      </c>
      <c r="BQ359">
        <v>-1.589915031132794E-2</v>
      </c>
      <c r="BR359">
        <v>127.3403767319209</v>
      </c>
      <c r="BS359">
        <v>0.63756684030552235</v>
      </c>
      <c r="BT359">
        <v>127.3403767319209</v>
      </c>
      <c r="BU359">
        <v>127.3403767319209</v>
      </c>
      <c r="BV359">
        <v>0.63756684030552235</v>
      </c>
      <c r="BW359">
        <v>415.74449075523688</v>
      </c>
      <c r="BX359">
        <v>-0.18328210797746691</v>
      </c>
      <c r="BY359" t="str">
        <f t="shared" si="13"/>
        <v>[[sv,wv],[yr],[ya]]</v>
      </c>
      <c r="BZ359" t="str">
        <f>SUBSTITUTE(TRIM(MID(SUBSTITUTE(SUBSTITUTE(SUBSTITUTE(Tabla1[[#This Row],[map]],"[",""),"]",""),",",REPT(" ",100)),901,200))," ",", ")</f>
        <v>2, 3</v>
      </c>
      <c r="CA359" t="str">
        <f>SUBSTITUTE(TRIM(MID(SUBSTITUTE(SUBSTITUTE(SUBSTITUTE(Tabla1[[#This Row],[map]],"[",""),"]",""),",",REPT(" ",100)),1501,200))," ",", ")</f>
        <v>3, 4</v>
      </c>
      <c r="CB359" t="str">
        <f>SUBSTITUTE(TRIM(MID(SUBSTITUTE(SUBSTITUTE(SUBSTITUTE(Tabla1[[#This Row],[map]],"[",""),"]",""),",",REPT(" ",100)),601,300))," ",", ")</f>
        <v>1, 4, 0</v>
      </c>
      <c r="CC359" t="str">
        <f>SUBSTITUTE(TRIM(MID(SUBSTITUTE(SUBSTITUTE(SUBSTITUTE(Tabla1[[#This Row],[map]],"[",""),"]",""),",",REPT(" ",100)),1201,300))," ",", ")</f>
        <v>1, 2, 0</v>
      </c>
      <c r="CD359" t="str">
        <f>SUBSTITUTE(TRIM(MID(SUBSTITUTE(SUBSTITUTE(SUBSTITUTE(Tabla1[[#This Row],[map]],"[",""),"]",""),",",REPT(" ",100)),1,300))," ",", ")</f>
        <v>4, 2, 3</v>
      </c>
      <c r="CE359" t="str">
        <f>SUBSTITUTE(TRIM(MID(SUBSTITUTE(SUBSTITUTE(SUBSTITUTE(Tabla1[[#This Row],[map]],"[",""),"]",""),",",REPT(" ",100)),1,600))," ",", ")</f>
        <v>4, 2, 3, 0, 1, -1</v>
      </c>
      <c r="CF359" t="str">
        <f>SUBSTITUTE(TRIM(MID(SUBSTITUTE(SUBSTITUTE(SUBSTITUTE(Tabla1[[#This Row],[map]],"[",""),"]",""),",",REPT(" ",100)),601,600))," ",", ")</f>
        <v>1, 4, 0, 2, 3, -1</v>
      </c>
      <c r="CG359" t="str">
        <f>SUBSTITUTE(TRIM(MID(SUBSTITUTE(SUBSTITUTE(SUBSTITUTE(Tabla1[[#This Row],[map]],"[",""),"]",""),",",REPT(" ",100)),1201,600))," ",", ")</f>
        <v>1, 2, 0, 3, 4, -1</v>
      </c>
    </row>
    <row r="360" spans="1:85" x14ac:dyDescent="0.3">
      <c r="A360" s="1">
        <v>46109.585925925923</v>
      </c>
      <c r="B360" t="s">
        <v>598</v>
      </c>
      <c r="C360">
        <v>9</v>
      </c>
      <c r="D360" t="s">
        <v>77</v>
      </c>
      <c r="E360" t="s">
        <v>78</v>
      </c>
      <c r="F360">
        <v>16590</v>
      </c>
      <c r="G360">
        <v>4.5</v>
      </c>
      <c r="H360" t="s">
        <v>79</v>
      </c>
      <c r="I360" t="s">
        <v>80</v>
      </c>
      <c r="J360">
        <v>5</v>
      </c>
      <c r="K360">
        <v>5</v>
      </c>
      <c r="L360" t="s">
        <v>81</v>
      </c>
      <c r="M360" t="s">
        <v>82</v>
      </c>
      <c r="N360" t="s">
        <v>83</v>
      </c>
      <c r="O360" t="s">
        <v>83</v>
      </c>
      <c r="P360" t="s">
        <v>84</v>
      </c>
      <c r="Q360" t="s">
        <v>397</v>
      </c>
      <c r="R360">
        <v>3</v>
      </c>
      <c r="S360" t="s">
        <v>86</v>
      </c>
      <c r="T360" t="s">
        <v>87</v>
      </c>
      <c r="U360" t="s">
        <v>88</v>
      </c>
      <c r="V360">
        <v>1</v>
      </c>
      <c r="W360" t="s">
        <v>398</v>
      </c>
      <c r="X360" t="s">
        <v>83</v>
      </c>
      <c r="Y360" t="s">
        <v>90</v>
      </c>
      <c r="Z360">
        <v>4000</v>
      </c>
      <c r="AA360">
        <v>4000</v>
      </c>
      <c r="AC360">
        <v>256</v>
      </c>
      <c r="AD360" t="s">
        <v>91</v>
      </c>
      <c r="AE360">
        <v>0.15</v>
      </c>
      <c r="AF360" t="s">
        <v>92</v>
      </c>
      <c r="AG360">
        <v>180</v>
      </c>
      <c r="AH360">
        <v>60</v>
      </c>
      <c r="AI360">
        <v>120</v>
      </c>
      <c r="AJ360">
        <v>0.1075228018981069</v>
      </c>
      <c r="AK360">
        <v>21.779528412933871</v>
      </c>
      <c r="AL360">
        <v>0.77365101316159102</v>
      </c>
      <c r="AM360">
        <v>-0.25963392184602169</v>
      </c>
      <c r="AN360">
        <v>26.92962902137085</v>
      </c>
      <c r="AO360">
        <v>0.72128344719393511</v>
      </c>
      <c r="AP360">
        <v>26.92962902137085</v>
      </c>
      <c r="AQ360">
        <v>26.92962902137085</v>
      </c>
      <c r="AR360">
        <v>0.72128344719393511</v>
      </c>
      <c r="AS360">
        <v>158.48691596046231</v>
      </c>
      <c r="AT360">
        <v>-0.19696838665854849</v>
      </c>
      <c r="AU360">
        <v>0.8</v>
      </c>
      <c r="AV360" t="s">
        <v>93</v>
      </c>
      <c r="AW360">
        <v>4.9168523116149929E-2</v>
      </c>
      <c r="AX360">
        <v>0.64297294931509885</v>
      </c>
      <c r="AY360">
        <v>4.9168523116149929E-2</v>
      </c>
      <c r="AZ360">
        <v>4.9168523116149929E-2</v>
      </c>
      <c r="BA360">
        <v>0.64297294931509885</v>
      </c>
      <c r="BB360">
        <v>0.12891194491836541</v>
      </c>
      <c r="BC360">
        <v>6.39326020931269E-2</v>
      </c>
      <c r="BD360">
        <v>4.7926409226961182E-2</v>
      </c>
      <c r="BE360">
        <v>0.833945228247434</v>
      </c>
      <c r="BF360">
        <v>4.7926409226961182E-2</v>
      </c>
      <c r="BG360">
        <v>4.7926409226961182E-2</v>
      </c>
      <c r="BH360">
        <v>0.833945228247434</v>
      </c>
      <c r="BI360">
        <v>0.26310329324123022</v>
      </c>
      <c r="BJ360">
        <v>8.8403283049563131E-2</v>
      </c>
      <c r="BK360">
        <v>7.1158129203266848E-2</v>
      </c>
      <c r="BL360">
        <v>0.71432261870069547</v>
      </c>
      <c r="BM360">
        <v>7.1158129203266848E-2</v>
      </c>
      <c r="BN360">
        <v>7.1158129203266848E-2</v>
      </c>
      <c r="BO360">
        <v>0.71432261870069547</v>
      </c>
      <c r="BP360">
        <v>0.28341087262583531</v>
      </c>
      <c r="BQ360">
        <v>-0.1378050101938644</v>
      </c>
      <c r="BR360">
        <v>107.55026302393691</v>
      </c>
      <c r="BS360">
        <v>0.69389299251251246</v>
      </c>
      <c r="BT360">
        <v>107.55026302393691</v>
      </c>
      <c r="BU360">
        <v>107.55026302393691</v>
      </c>
      <c r="BV360">
        <v>0.69389299251251246</v>
      </c>
      <c r="BW360">
        <v>633.27223773106448</v>
      </c>
      <c r="BX360">
        <v>-0.80240442158302372</v>
      </c>
      <c r="BY360" t="str">
        <f t="shared" si="13"/>
        <v>[[sv,wv],[yr],[ya]]</v>
      </c>
      <c r="BZ360" t="str">
        <f>SUBSTITUTE(TRIM(MID(SUBSTITUTE(SUBSTITUTE(SUBSTITUTE(Tabla1[[#This Row],[map]],"[",""),"]",""),",",REPT(" ",100)),901,200))," ",", ")</f>
        <v>2, 3</v>
      </c>
      <c r="CA360" t="str">
        <f>SUBSTITUTE(TRIM(MID(SUBSTITUTE(SUBSTITUTE(SUBSTITUTE(Tabla1[[#This Row],[map]],"[",""),"]",""),",",REPT(" ",100)),1501,200))," ",", ")</f>
        <v>3, 2</v>
      </c>
      <c r="CB360" t="str">
        <f>SUBSTITUTE(TRIM(MID(SUBSTITUTE(SUBSTITUTE(SUBSTITUTE(Tabla1[[#This Row],[map]],"[",""),"]",""),",",REPT(" ",100)),601,300))," ",", ")</f>
        <v>1, 4, 0</v>
      </c>
      <c r="CC360" t="str">
        <f>SUBSTITUTE(TRIM(MID(SUBSTITUTE(SUBSTITUTE(SUBSTITUTE(Tabla1[[#This Row],[map]],"[",""),"]",""),",",REPT(" ",100)),1201,300))," ",", ")</f>
        <v>1, 4, 0</v>
      </c>
      <c r="CD360" t="str">
        <f>SUBSTITUTE(TRIM(MID(SUBSTITUTE(SUBSTITUTE(SUBSTITUTE(Tabla1[[#This Row],[map]],"[",""),"]",""),",",REPT(" ",100)),1,300))," ",", ")</f>
        <v>2, 3, 4</v>
      </c>
      <c r="CE360" t="str">
        <f>SUBSTITUTE(TRIM(MID(SUBSTITUTE(SUBSTITUTE(SUBSTITUTE(Tabla1[[#This Row],[map]],"[",""),"]",""),",",REPT(" ",100)),1,600))," ",", ")</f>
        <v>2, 3, 4, 0, 1, -1</v>
      </c>
      <c r="CF360" t="str">
        <f>SUBSTITUTE(TRIM(MID(SUBSTITUTE(SUBSTITUTE(SUBSTITUTE(Tabla1[[#This Row],[map]],"[",""),"]",""),",",REPT(" ",100)),601,600))," ",", ")</f>
        <v>1, 4, 0, 2, 3, -1</v>
      </c>
      <c r="CG360" t="str">
        <f>SUBSTITUTE(TRIM(MID(SUBSTITUTE(SUBSTITUTE(SUBSTITUTE(Tabla1[[#This Row],[map]],"[",""),"]",""),",",REPT(" ",100)),1201,600))," ",", ")</f>
        <v>1, 4, 0, 3, 2, -1</v>
      </c>
    </row>
    <row r="361" spans="1:85" x14ac:dyDescent="0.3">
      <c r="A361" s="1">
        <v>46109.622013888889</v>
      </c>
      <c r="B361" t="s">
        <v>599</v>
      </c>
      <c r="C361">
        <v>4</v>
      </c>
      <c r="D361" t="s">
        <v>77</v>
      </c>
      <c r="E361" t="s">
        <v>78</v>
      </c>
      <c r="F361">
        <v>16590</v>
      </c>
      <c r="G361">
        <v>4.5</v>
      </c>
      <c r="H361" t="s">
        <v>79</v>
      </c>
      <c r="I361" t="s">
        <v>80</v>
      </c>
      <c r="J361">
        <v>5</v>
      </c>
      <c r="K361">
        <v>5</v>
      </c>
      <c r="L361" t="s">
        <v>81</v>
      </c>
      <c r="M361" t="s">
        <v>82</v>
      </c>
      <c r="N361" t="s">
        <v>83</v>
      </c>
      <c r="O361" t="s">
        <v>83</v>
      </c>
      <c r="P361" t="s">
        <v>84</v>
      </c>
      <c r="Q361" t="s">
        <v>493</v>
      </c>
      <c r="R361">
        <v>3</v>
      </c>
      <c r="S361" t="s">
        <v>86</v>
      </c>
      <c r="T361" t="s">
        <v>87</v>
      </c>
      <c r="U361" t="s">
        <v>88</v>
      </c>
      <c r="V361">
        <v>1</v>
      </c>
      <c r="W361" t="s">
        <v>494</v>
      </c>
      <c r="X361" t="s">
        <v>83</v>
      </c>
      <c r="Y361" t="s">
        <v>90</v>
      </c>
      <c r="Z361">
        <v>4000</v>
      </c>
      <c r="AA361">
        <v>4000</v>
      </c>
      <c r="AC361">
        <v>256</v>
      </c>
      <c r="AD361" t="s">
        <v>91</v>
      </c>
      <c r="AE361">
        <v>0.15</v>
      </c>
      <c r="AF361" t="s">
        <v>92</v>
      </c>
      <c r="AG361">
        <v>180</v>
      </c>
      <c r="AH361">
        <v>60</v>
      </c>
      <c r="AI361">
        <v>120</v>
      </c>
      <c r="AJ361">
        <v>9.6168180748314278E-2</v>
      </c>
      <c r="AK361">
        <v>14.30930080705814</v>
      </c>
      <c r="AL361">
        <v>0.73182413504970723</v>
      </c>
      <c r="AM361">
        <v>-0.51860421005415958</v>
      </c>
      <c r="AN361">
        <v>19.189153613343461</v>
      </c>
      <c r="AO361">
        <v>0.68004283522467313</v>
      </c>
      <c r="AP361">
        <v>19.189153613343461</v>
      </c>
      <c r="AQ361">
        <v>19.189153613343461</v>
      </c>
      <c r="AR361">
        <v>0.68004283522467313</v>
      </c>
      <c r="AS361">
        <v>117.9349899383451</v>
      </c>
      <c r="AT361">
        <v>-0.53673633553444222</v>
      </c>
      <c r="AU361">
        <v>0.8</v>
      </c>
      <c r="AV361" t="s">
        <v>93</v>
      </c>
      <c r="AW361">
        <v>7.6457261315779901E-2</v>
      </c>
      <c r="AX361">
        <v>0.44482142677880071</v>
      </c>
      <c r="AY361">
        <v>7.6457261315779901E-2</v>
      </c>
      <c r="AZ361">
        <v>7.6457261315779901E-2</v>
      </c>
      <c r="BA361">
        <v>0.44482142677880071</v>
      </c>
      <c r="BB361">
        <v>0.1450963244243163</v>
      </c>
      <c r="BC361">
        <v>-5.3586918851705079E-2</v>
      </c>
      <c r="BD361">
        <v>7.1206268662861047E-2</v>
      </c>
      <c r="BE361">
        <v>0.75328548746123092</v>
      </c>
      <c r="BF361">
        <v>7.1206268662861047E-2</v>
      </c>
      <c r="BG361">
        <v>7.1206268662861047E-2</v>
      </c>
      <c r="BH361">
        <v>0.75328548746123092</v>
      </c>
      <c r="BI361">
        <v>0.128514825909123</v>
      </c>
      <c r="BJ361">
        <v>0.55472357667982752</v>
      </c>
      <c r="BK361">
        <v>6.4781535394198869E-2</v>
      </c>
      <c r="BL361">
        <v>0.73992262591533531</v>
      </c>
      <c r="BM361">
        <v>6.4781535394198869E-2</v>
      </c>
      <c r="BN361">
        <v>6.4781535394198869E-2</v>
      </c>
      <c r="BO361">
        <v>0.73992262591533531</v>
      </c>
      <c r="BP361">
        <v>0.82411255290031482</v>
      </c>
      <c r="BQ361">
        <v>-2.3085512315244778</v>
      </c>
      <c r="BR361">
        <v>76.544169388000654</v>
      </c>
      <c r="BS361">
        <v>0.78214180074332873</v>
      </c>
      <c r="BT361">
        <v>76.544169388000654</v>
      </c>
      <c r="BU361">
        <v>76.544169388000654</v>
      </c>
      <c r="BV361">
        <v>0.78214180074332873</v>
      </c>
      <c r="BW361">
        <v>470.64223605014968</v>
      </c>
      <c r="BX361">
        <v>-0.33953076844142083</v>
      </c>
      <c r="BY361" t="str">
        <f t="shared" si="13"/>
        <v>[[sv,wv],[yr],[ya]]</v>
      </c>
      <c r="BZ361" t="str">
        <f>SUBSTITUTE(TRIM(MID(SUBSTITUTE(SUBSTITUTE(SUBSTITUTE(Tabla1[[#This Row],[map]],"[",""),"]",""),",",REPT(" ",100)),901,200))," ",", ")</f>
        <v>2, 3</v>
      </c>
      <c r="CA361" t="str">
        <f>SUBSTITUTE(TRIM(MID(SUBSTITUTE(SUBSTITUTE(SUBSTITUTE(Tabla1[[#This Row],[map]],"[",""),"]",""),",",REPT(" ",100)),1501,200))," ",", ")</f>
        <v>3, 4</v>
      </c>
      <c r="CB361" t="str">
        <f>SUBSTITUTE(TRIM(MID(SUBSTITUTE(SUBSTITUTE(SUBSTITUTE(Tabla1[[#This Row],[map]],"[",""),"]",""),",",REPT(" ",100)),601,300))," ",", ")</f>
        <v>1, 4, 0</v>
      </c>
      <c r="CC361" t="str">
        <f>SUBSTITUTE(TRIM(MID(SUBSTITUTE(SUBSTITUTE(SUBSTITUTE(Tabla1[[#This Row],[map]],"[",""),"]",""),",",REPT(" ",100)),1201,300))," ",", ")</f>
        <v>1, 2, 0</v>
      </c>
      <c r="CD361" t="str">
        <f>SUBSTITUTE(TRIM(MID(SUBSTITUTE(SUBSTITUTE(SUBSTITUTE(Tabla1[[#This Row],[map]],"[",""),"]",""),",",REPT(" ",100)),1,300))," ",", ")</f>
        <v>4, 2, 3</v>
      </c>
      <c r="CE361" t="str">
        <f>SUBSTITUTE(TRIM(MID(SUBSTITUTE(SUBSTITUTE(SUBSTITUTE(Tabla1[[#This Row],[map]],"[",""),"]",""),",",REPT(" ",100)),1,600))," ",", ")</f>
        <v>4, 2, 3, 0, 1, -1</v>
      </c>
      <c r="CF361" t="str">
        <f>SUBSTITUTE(TRIM(MID(SUBSTITUTE(SUBSTITUTE(SUBSTITUTE(Tabla1[[#This Row],[map]],"[",""),"]",""),",",REPT(" ",100)),601,600))," ",", ")</f>
        <v>1, 4, 0, 2, 3, -1</v>
      </c>
      <c r="CG361" t="str">
        <f>SUBSTITUTE(TRIM(MID(SUBSTITUTE(SUBSTITUTE(SUBSTITUTE(Tabla1[[#This Row],[map]],"[",""),"]",""),",",REPT(" ",100)),1201,600))," ",", ")</f>
        <v>1, 2, 0, 3, 4, -1</v>
      </c>
    </row>
    <row r="362" spans="1:85" x14ac:dyDescent="0.3">
      <c r="A362" s="1">
        <v>46109.627152777779</v>
      </c>
      <c r="B362" t="s">
        <v>600</v>
      </c>
      <c r="C362">
        <v>4</v>
      </c>
      <c r="D362" t="s">
        <v>77</v>
      </c>
      <c r="E362" t="s">
        <v>78</v>
      </c>
      <c r="F362">
        <v>16590</v>
      </c>
      <c r="G362">
        <v>4.5</v>
      </c>
      <c r="H362" t="s">
        <v>79</v>
      </c>
      <c r="I362" t="s">
        <v>80</v>
      </c>
      <c r="J362">
        <v>5</v>
      </c>
      <c r="K362">
        <v>5</v>
      </c>
      <c r="L362" t="s">
        <v>81</v>
      </c>
      <c r="M362" t="s">
        <v>82</v>
      </c>
      <c r="N362" t="s">
        <v>83</v>
      </c>
      <c r="O362" t="s">
        <v>83</v>
      </c>
      <c r="P362" t="s">
        <v>84</v>
      </c>
      <c r="Q362" t="s">
        <v>195</v>
      </c>
      <c r="R362">
        <v>3</v>
      </c>
      <c r="S362" t="s">
        <v>86</v>
      </c>
      <c r="T362" t="s">
        <v>87</v>
      </c>
      <c r="U362" t="s">
        <v>88</v>
      </c>
      <c r="V362">
        <v>1</v>
      </c>
      <c r="W362" t="s">
        <v>196</v>
      </c>
      <c r="X362" t="s">
        <v>83</v>
      </c>
      <c r="Y362" t="s">
        <v>90</v>
      </c>
      <c r="Z362">
        <v>4000</v>
      </c>
      <c r="AA362">
        <v>4000</v>
      </c>
      <c r="AC362">
        <v>256</v>
      </c>
      <c r="AD362" t="s">
        <v>91</v>
      </c>
      <c r="AE362">
        <v>0.15</v>
      </c>
      <c r="AF362" t="s">
        <v>92</v>
      </c>
      <c r="AG362">
        <v>180</v>
      </c>
      <c r="AH362">
        <v>60</v>
      </c>
      <c r="AI362">
        <v>120</v>
      </c>
      <c r="AJ362">
        <v>0.1058154114820036</v>
      </c>
      <c r="AK362">
        <v>17.085376841566319</v>
      </c>
      <c r="AL362">
        <v>0.71826713676606013</v>
      </c>
      <c r="AM362">
        <v>0.24830216352300319</v>
      </c>
      <c r="AN362">
        <v>22.416458285000001</v>
      </c>
      <c r="AO362">
        <v>0.66726302411624816</v>
      </c>
      <c r="AP362">
        <v>22.416458285000001</v>
      </c>
      <c r="AQ362">
        <v>22.416458285000001</v>
      </c>
      <c r="AR362">
        <v>0.66726302411624816</v>
      </c>
      <c r="AS362">
        <v>88.701202851573967</v>
      </c>
      <c r="AT362">
        <v>0.21662277713974259</v>
      </c>
      <c r="AU362">
        <v>0.8</v>
      </c>
      <c r="AV362" t="s">
        <v>93</v>
      </c>
      <c r="AW362">
        <v>7.9329256293636921E-2</v>
      </c>
      <c r="AX362">
        <v>0.42396702986913748</v>
      </c>
      <c r="AY362">
        <v>7.9329256293636921E-2</v>
      </c>
      <c r="AZ362">
        <v>7.9329256293636921E-2</v>
      </c>
      <c r="BA362">
        <v>0.42396702986913748</v>
      </c>
      <c r="BB362">
        <v>0.1108406702864454</v>
      </c>
      <c r="BC362">
        <v>0.19515342132965291</v>
      </c>
      <c r="BD362">
        <v>7.7074029823666221E-2</v>
      </c>
      <c r="BE362">
        <v>0.73295494828726881</v>
      </c>
      <c r="BF362">
        <v>7.7074029823666221E-2</v>
      </c>
      <c r="BG362">
        <v>7.7074029823666221E-2</v>
      </c>
      <c r="BH362">
        <v>0.73295494828726881</v>
      </c>
      <c r="BI362">
        <v>0.14659554732638089</v>
      </c>
      <c r="BJ362">
        <v>0.49207773868586668</v>
      </c>
      <c r="BK362">
        <v>5.8105609803444723E-2</v>
      </c>
      <c r="BL362">
        <v>0.76672435555423224</v>
      </c>
      <c r="BM362">
        <v>5.8105609803444723E-2</v>
      </c>
      <c r="BN362">
        <v>5.8105609803444723E-2</v>
      </c>
      <c r="BO362">
        <v>0.76672435555423224</v>
      </c>
      <c r="BP362">
        <v>0.2023102176429947</v>
      </c>
      <c r="BQ362">
        <v>0.1877884672705854</v>
      </c>
      <c r="BR362">
        <v>89.451324244079487</v>
      </c>
      <c r="BS362">
        <v>0.74540576275435111</v>
      </c>
      <c r="BT362">
        <v>89.451324244079487</v>
      </c>
      <c r="BU362">
        <v>89.451324244079487</v>
      </c>
      <c r="BV362">
        <v>0.74540576275435111</v>
      </c>
      <c r="BW362">
        <v>354.34506497104047</v>
      </c>
      <c r="BX362">
        <v>-8.5285187271328944E-3</v>
      </c>
      <c r="BY362" t="str">
        <f t="shared" si="13"/>
        <v>[[sv,wv],[yr],[ya]]</v>
      </c>
      <c r="BZ362" t="str">
        <f>SUBSTITUTE(TRIM(MID(SUBSTITUTE(SUBSTITUTE(SUBSTITUTE(Tabla1[[#This Row],[map]],"[",""),"]",""),",",REPT(" ",100)),901,200))," ",", ")</f>
        <v>2, 3</v>
      </c>
      <c r="CA362" t="str">
        <f>SUBSTITUTE(TRIM(MID(SUBSTITUTE(SUBSTITUTE(SUBSTITUTE(Tabla1[[#This Row],[map]],"[",""),"]",""),",",REPT(" ",100)),1501,200))," ",", ")</f>
        <v>3, 2</v>
      </c>
      <c r="CB362" t="str">
        <f>SUBSTITUTE(TRIM(MID(SUBSTITUTE(SUBSTITUTE(SUBSTITUTE(Tabla1[[#This Row],[map]],"[",""),"]",""),",",REPT(" ",100)),601,300))," ",", ")</f>
        <v>4, 0, 1</v>
      </c>
      <c r="CC362" t="str">
        <f>SUBSTITUTE(TRIM(MID(SUBSTITUTE(SUBSTITUTE(SUBSTITUTE(Tabla1[[#This Row],[map]],"[",""),"]",""),",",REPT(" ",100)),1201,300))," ",", ")</f>
        <v>0, 1, 4</v>
      </c>
      <c r="CD362" t="str">
        <f>SUBSTITUTE(TRIM(MID(SUBSTITUTE(SUBSTITUTE(SUBSTITUTE(Tabla1[[#This Row],[map]],"[",""),"]",""),",",REPT(" ",100)),1,300))," ",", ")</f>
        <v>4, 2, 3</v>
      </c>
      <c r="CE362" t="str">
        <f>SUBSTITUTE(TRIM(MID(SUBSTITUTE(SUBSTITUTE(SUBSTITUTE(Tabla1[[#This Row],[map]],"[",""),"]",""),",",REPT(" ",100)),1,600))," ",", ")</f>
        <v>4, 2, 3, 0, 1, -1</v>
      </c>
      <c r="CF362" t="str">
        <f>SUBSTITUTE(TRIM(MID(SUBSTITUTE(SUBSTITUTE(SUBSTITUTE(Tabla1[[#This Row],[map]],"[",""),"]",""),",",REPT(" ",100)),601,600))," ",", ")</f>
        <v>4, 0, 1, 2, 3, -1</v>
      </c>
      <c r="CG362" t="str">
        <f>SUBSTITUTE(TRIM(MID(SUBSTITUTE(SUBSTITUTE(SUBSTITUTE(Tabla1[[#This Row],[map]],"[",""),"]",""),",",REPT(" ",100)),1201,600))," ",", ")</f>
        <v>0, 1, 4, 3, 2, -1</v>
      </c>
    </row>
    <row r="363" spans="1:85" x14ac:dyDescent="0.3">
      <c r="A363" s="1">
        <v>46109.681423611109</v>
      </c>
      <c r="B363" t="s">
        <v>601</v>
      </c>
      <c r="C363">
        <v>7</v>
      </c>
      <c r="D363" t="s">
        <v>96</v>
      </c>
      <c r="E363" t="s">
        <v>78</v>
      </c>
      <c r="F363">
        <v>16590</v>
      </c>
      <c r="G363">
        <v>4.5</v>
      </c>
      <c r="H363" t="s">
        <v>79</v>
      </c>
      <c r="I363" t="s">
        <v>80</v>
      </c>
      <c r="J363">
        <v>5</v>
      </c>
      <c r="K363">
        <v>5</v>
      </c>
      <c r="L363" t="s">
        <v>81</v>
      </c>
      <c r="M363" t="s">
        <v>82</v>
      </c>
      <c r="N363" t="s">
        <v>83</v>
      </c>
      <c r="O363" t="s">
        <v>83</v>
      </c>
      <c r="P363" t="s">
        <v>84</v>
      </c>
      <c r="Q363" t="s">
        <v>408</v>
      </c>
      <c r="R363">
        <v>3</v>
      </c>
      <c r="S363" t="s">
        <v>86</v>
      </c>
      <c r="T363" t="s">
        <v>87</v>
      </c>
      <c r="U363" t="s">
        <v>88</v>
      </c>
      <c r="V363">
        <v>1</v>
      </c>
      <c r="W363" t="s">
        <v>409</v>
      </c>
      <c r="X363" t="s">
        <v>83</v>
      </c>
      <c r="Y363" t="s">
        <v>90</v>
      </c>
      <c r="Z363">
        <v>4000</v>
      </c>
      <c r="AA363">
        <v>4000</v>
      </c>
      <c r="AC363">
        <v>256</v>
      </c>
      <c r="AD363" t="s">
        <v>91</v>
      </c>
      <c r="AE363">
        <v>0.15</v>
      </c>
      <c r="AF363" t="s">
        <v>92</v>
      </c>
      <c r="AG363">
        <v>180</v>
      </c>
      <c r="AH363">
        <v>60</v>
      </c>
      <c r="AI363">
        <v>120</v>
      </c>
      <c r="AJ363">
        <v>0.10876864196091519</v>
      </c>
      <c r="AK363">
        <v>12.11087376850212</v>
      </c>
      <c r="AL363">
        <v>0.70305497182888665</v>
      </c>
      <c r="AM363">
        <v>-0.28707990707929759</v>
      </c>
      <c r="AN363">
        <v>15.914568613505971</v>
      </c>
      <c r="AO363">
        <v>0.67029685609948542</v>
      </c>
      <c r="AP363">
        <v>15.914568613505971</v>
      </c>
      <c r="AQ363">
        <v>15.914568613505971</v>
      </c>
      <c r="AR363">
        <v>0.67029685609948542</v>
      </c>
      <c r="AS363">
        <v>119.881948668704</v>
      </c>
      <c r="AT363">
        <v>-0.27670356704123172</v>
      </c>
      <c r="AU363">
        <v>0.8</v>
      </c>
      <c r="AV363" t="s">
        <v>93</v>
      </c>
      <c r="AW363">
        <v>8.8288820624107006E-2</v>
      </c>
      <c r="AX363">
        <v>0.35890900848474699</v>
      </c>
      <c r="AY363">
        <v>8.8288820624107006E-2</v>
      </c>
      <c r="AZ363">
        <v>8.8288820624107006E-2</v>
      </c>
      <c r="BA363">
        <v>0.35890900848474699</v>
      </c>
      <c r="BB363">
        <v>0.16568430921302821</v>
      </c>
      <c r="BC363">
        <v>-0.20308230782841921</v>
      </c>
      <c r="BD363">
        <v>0.1057386368970312</v>
      </c>
      <c r="BE363">
        <v>0.63363820702247764</v>
      </c>
      <c r="BF363">
        <v>0.1057386368970312</v>
      </c>
      <c r="BG363">
        <v>0.1057386368970312</v>
      </c>
      <c r="BH363">
        <v>0.63363820702247764</v>
      </c>
      <c r="BI363">
        <v>0.37414858532940748</v>
      </c>
      <c r="BJ363">
        <v>-0.29634493675919388</v>
      </c>
      <c r="BK363">
        <v>3.2585905085115843E-2</v>
      </c>
      <c r="BL363">
        <v>0.86917789806710932</v>
      </c>
      <c r="BM363">
        <v>3.2585905085115843E-2</v>
      </c>
      <c r="BN363">
        <v>3.2585905085115843E-2</v>
      </c>
      <c r="BO363">
        <v>0.86917789806710932</v>
      </c>
      <c r="BP363">
        <v>0.31010798462332723</v>
      </c>
      <c r="BQ363">
        <v>-0.24498547051641581</v>
      </c>
      <c r="BR363">
        <v>63.431661091417823</v>
      </c>
      <c r="BS363">
        <v>0.81946231082361087</v>
      </c>
      <c r="BT363">
        <v>63.431661091417823</v>
      </c>
      <c r="BU363">
        <v>63.431661091417823</v>
      </c>
      <c r="BV363">
        <v>0.81946231082361087</v>
      </c>
      <c r="BW363">
        <v>478.67785379564992</v>
      </c>
      <c r="BX363">
        <v>-0.36240155306089639</v>
      </c>
      <c r="BY363" t="str">
        <f t="shared" ref="BY363:BY394" si="14">_xlfn.LET(_xlpm.TextoConfig, Q363,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363" t="str">
        <f>SUBSTITUTE(TRIM(MID(SUBSTITUTE(SUBSTITUTE(SUBSTITUTE(Tabla1[[#This Row],[map]],"[",""),"]",""),",",REPT(" ",100)),901,200))," ",", ")</f>
        <v>2, 3</v>
      </c>
      <c r="CA363" t="str">
        <f>SUBSTITUTE(TRIM(MID(SUBSTITUTE(SUBSTITUTE(SUBSTITUTE(Tabla1[[#This Row],[map]],"[",""),"]",""),",",REPT(" ",100)),1501,200))," ",", ")</f>
        <v>3, 4</v>
      </c>
      <c r="CB363" t="str">
        <f>SUBSTITUTE(TRIM(MID(SUBSTITUTE(SUBSTITUTE(SUBSTITUTE(Tabla1[[#This Row],[map]],"[",""),"]",""),",",REPT(" ",100)),601,300))," ",", ")</f>
        <v>1, 4, 0</v>
      </c>
      <c r="CC363" t="str">
        <f>SUBSTITUTE(TRIM(MID(SUBSTITUTE(SUBSTITUTE(SUBSTITUTE(Tabla1[[#This Row],[map]],"[",""),"]",""),",",REPT(" ",100)),1201,300))," ",", ")</f>
        <v>1, 2, 0</v>
      </c>
      <c r="CD363" t="str">
        <f>SUBSTITUTE(TRIM(MID(SUBSTITUTE(SUBSTITUTE(SUBSTITUTE(Tabla1[[#This Row],[map]],"[",""),"]",""),",",REPT(" ",100)),1,300))," ",", ")</f>
        <v>2, 3, 4</v>
      </c>
      <c r="CE363" t="str">
        <f>SUBSTITUTE(TRIM(MID(SUBSTITUTE(SUBSTITUTE(SUBSTITUTE(Tabla1[[#This Row],[map]],"[",""),"]",""),",",REPT(" ",100)),1,600))," ",", ")</f>
        <v>2, 3, 4, 0, 1, -1</v>
      </c>
      <c r="CF363" t="str">
        <f>SUBSTITUTE(TRIM(MID(SUBSTITUTE(SUBSTITUTE(SUBSTITUTE(Tabla1[[#This Row],[map]],"[",""),"]",""),",",REPT(" ",100)),601,600))," ",", ")</f>
        <v>1, 4, 0, 2, 3, -1</v>
      </c>
      <c r="CG363" t="str">
        <f>SUBSTITUTE(TRIM(MID(SUBSTITUTE(SUBSTITUTE(SUBSTITUTE(Tabla1[[#This Row],[map]],"[",""),"]",""),",",REPT(" ",100)),1201,600))," ",", ")</f>
        <v>1, 2, 0, 3, 4, -1</v>
      </c>
    </row>
    <row r="364" spans="1:85" x14ac:dyDescent="0.3">
      <c r="A364" s="1">
        <v>46109.713865740741</v>
      </c>
      <c r="B364" t="s">
        <v>602</v>
      </c>
      <c r="C364">
        <v>8</v>
      </c>
      <c r="D364" t="s">
        <v>96</v>
      </c>
      <c r="E364" t="s">
        <v>78</v>
      </c>
      <c r="F364">
        <v>16590</v>
      </c>
      <c r="G364">
        <v>4.5</v>
      </c>
      <c r="H364" t="s">
        <v>79</v>
      </c>
      <c r="I364" t="s">
        <v>80</v>
      </c>
      <c r="J364">
        <v>5</v>
      </c>
      <c r="K364">
        <v>5</v>
      </c>
      <c r="L364" t="s">
        <v>81</v>
      </c>
      <c r="M364" t="s">
        <v>82</v>
      </c>
      <c r="N364" t="s">
        <v>83</v>
      </c>
      <c r="O364" t="s">
        <v>83</v>
      </c>
      <c r="P364" t="s">
        <v>84</v>
      </c>
      <c r="Q364" t="s">
        <v>401</v>
      </c>
      <c r="R364">
        <v>3</v>
      </c>
      <c r="S364" t="s">
        <v>86</v>
      </c>
      <c r="T364" t="s">
        <v>87</v>
      </c>
      <c r="U364" t="s">
        <v>88</v>
      </c>
      <c r="V364">
        <v>1</v>
      </c>
      <c r="W364" t="s">
        <v>402</v>
      </c>
      <c r="X364" t="s">
        <v>83</v>
      </c>
      <c r="Y364" t="s">
        <v>90</v>
      </c>
      <c r="Z364">
        <v>4000</v>
      </c>
      <c r="AA364">
        <v>4000</v>
      </c>
      <c r="AC364">
        <v>256</v>
      </c>
      <c r="AD364" t="s">
        <v>91</v>
      </c>
      <c r="AE364">
        <v>0.15</v>
      </c>
      <c r="AF364" t="s">
        <v>92</v>
      </c>
      <c r="AG364">
        <v>180</v>
      </c>
      <c r="AH364">
        <v>60</v>
      </c>
      <c r="AI364">
        <v>120</v>
      </c>
      <c r="AJ364">
        <v>9.2753617474750361E-2</v>
      </c>
      <c r="AK364">
        <v>20.853016916049551</v>
      </c>
      <c r="AL364">
        <v>0.76089681625473848</v>
      </c>
      <c r="AM364">
        <v>0.42382974660746747</v>
      </c>
      <c r="AN364">
        <v>19.74800776369899</v>
      </c>
      <c r="AO364">
        <v>0.71784278810779401</v>
      </c>
      <c r="AP364">
        <v>19.74800776369899</v>
      </c>
      <c r="AQ364">
        <v>19.74800776369899</v>
      </c>
      <c r="AR364">
        <v>0.71784278810779401</v>
      </c>
      <c r="AS364">
        <v>69.089308025153898</v>
      </c>
      <c r="AT364">
        <v>0.35363933516417029</v>
      </c>
      <c r="AU364">
        <v>0.8</v>
      </c>
      <c r="AV364" t="s">
        <v>93</v>
      </c>
      <c r="AW364">
        <v>8.0847216488660875E-2</v>
      </c>
      <c r="AX364">
        <v>0.41294467619367242</v>
      </c>
      <c r="AY364">
        <v>8.0847216488660875E-2</v>
      </c>
      <c r="AZ364">
        <v>8.0847216488660875E-2</v>
      </c>
      <c r="BA364">
        <v>0.41294467619367242</v>
      </c>
      <c r="BB364">
        <v>0.15536545997658971</v>
      </c>
      <c r="BC364">
        <v>-0.1281541205276768</v>
      </c>
      <c r="BD364">
        <v>6.1838332248179667E-2</v>
      </c>
      <c r="BE364">
        <v>0.78574338631540519</v>
      </c>
      <c r="BF364">
        <v>6.1838332248179667E-2</v>
      </c>
      <c r="BG364">
        <v>6.1838332248179667E-2</v>
      </c>
      <c r="BH364">
        <v>0.78574338631540519</v>
      </c>
      <c r="BI364">
        <v>9.5185965079954873E-2</v>
      </c>
      <c r="BJ364">
        <v>0.67020096100778059</v>
      </c>
      <c r="BK364">
        <v>2.564853952187399E-2</v>
      </c>
      <c r="BL364">
        <v>0.89702922650158312</v>
      </c>
      <c r="BM364">
        <v>2.564853952187399E-2</v>
      </c>
      <c r="BN364">
        <v>2.564853952187399E-2</v>
      </c>
      <c r="BO364">
        <v>0.89702922650158312</v>
      </c>
      <c r="BP364">
        <v>8.5158287886153594E-2</v>
      </c>
      <c r="BQ364">
        <v>0.65811640986576481</v>
      </c>
      <c r="BR364">
        <v>78.823696966537398</v>
      </c>
      <c r="BS364">
        <v>0.77565386342051834</v>
      </c>
      <c r="BT364">
        <v>78.823696966537398</v>
      </c>
      <c r="BU364">
        <v>78.823696966537398</v>
      </c>
      <c r="BV364">
        <v>0.77565386342051834</v>
      </c>
      <c r="BW364">
        <v>276.02152238767371</v>
      </c>
      <c r="BX364">
        <v>0.21439409031081211</v>
      </c>
      <c r="BY364" t="str">
        <f t="shared" si="14"/>
        <v>[[sv,wv],[yr],[ya]]</v>
      </c>
      <c r="BZ364" t="str">
        <f>SUBSTITUTE(TRIM(MID(SUBSTITUTE(SUBSTITUTE(SUBSTITUTE(Tabla1[[#This Row],[map]],"[",""),"]",""),",",REPT(" ",100)),901,200))," ",", ")</f>
        <v>2, 3</v>
      </c>
      <c r="CA364" t="str">
        <f>SUBSTITUTE(TRIM(MID(SUBSTITUTE(SUBSTITUTE(SUBSTITUTE(Tabla1[[#This Row],[map]],"[",""),"]",""),",",REPT(" ",100)),1501,200))," ",", ")</f>
        <v>3, 4</v>
      </c>
      <c r="CB364" t="str">
        <f>SUBSTITUTE(TRIM(MID(SUBSTITUTE(SUBSTITUTE(SUBSTITUTE(Tabla1[[#This Row],[map]],"[",""),"]",""),",",REPT(" ",100)),601,300))," ",", ")</f>
        <v>1, 4, 0</v>
      </c>
      <c r="CC364" t="str">
        <f>SUBSTITUTE(TRIM(MID(SUBSTITUTE(SUBSTITUTE(SUBSTITUTE(Tabla1[[#This Row],[map]],"[",""),"]",""),",",REPT(" ",100)),1201,300))," ",", ")</f>
        <v>0, 1, 2</v>
      </c>
      <c r="CD364" t="str">
        <f>SUBSTITUTE(TRIM(MID(SUBSTITUTE(SUBSTITUTE(SUBSTITUTE(Tabla1[[#This Row],[map]],"[",""),"]",""),",",REPT(" ",100)),1,300))," ",", ")</f>
        <v>2, 3, 4</v>
      </c>
      <c r="CE364" t="str">
        <f>SUBSTITUTE(TRIM(MID(SUBSTITUTE(SUBSTITUTE(SUBSTITUTE(Tabla1[[#This Row],[map]],"[",""),"]",""),",",REPT(" ",100)),1,600))," ",", ")</f>
        <v>2, 3, 4, 0, 1, -1</v>
      </c>
      <c r="CF364" t="str">
        <f>SUBSTITUTE(TRIM(MID(SUBSTITUTE(SUBSTITUTE(SUBSTITUTE(Tabla1[[#This Row],[map]],"[",""),"]",""),",",REPT(" ",100)),601,600))," ",", ")</f>
        <v>1, 4, 0, 2, 3, -1</v>
      </c>
      <c r="CG364" t="str">
        <f>SUBSTITUTE(TRIM(MID(SUBSTITUTE(SUBSTITUTE(SUBSTITUTE(Tabla1[[#This Row],[map]],"[",""),"]",""),",",REPT(" ",100)),1201,600))," ",", ")</f>
        <v>0, 1, 2, 3, 4, -1</v>
      </c>
    </row>
    <row r="365" spans="1:85" x14ac:dyDescent="0.3">
      <c r="A365" s="1">
        <v>46109.72142361111</v>
      </c>
      <c r="B365" t="s">
        <v>603</v>
      </c>
      <c r="C365">
        <v>5</v>
      </c>
      <c r="D365" t="s">
        <v>96</v>
      </c>
      <c r="E365" t="s">
        <v>78</v>
      </c>
      <c r="F365">
        <v>16590</v>
      </c>
      <c r="G365">
        <v>4.5</v>
      </c>
      <c r="H365" t="s">
        <v>79</v>
      </c>
      <c r="I365" t="s">
        <v>80</v>
      </c>
      <c r="J365">
        <v>5</v>
      </c>
      <c r="K365">
        <v>5</v>
      </c>
      <c r="L365" t="s">
        <v>81</v>
      </c>
      <c r="M365" t="s">
        <v>82</v>
      </c>
      <c r="N365" t="s">
        <v>83</v>
      </c>
      <c r="O365" t="s">
        <v>83</v>
      </c>
      <c r="P365" t="s">
        <v>84</v>
      </c>
      <c r="Q365" t="s">
        <v>501</v>
      </c>
      <c r="R365">
        <v>3</v>
      </c>
      <c r="S365" t="s">
        <v>86</v>
      </c>
      <c r="T365" t="s">
        <v>87</v>
      </c>
      <c r="U365" t="s">
        <v>88</v>
      </c>
      <c r="V365">
        <v>1</v>
      </c>
      <c r="W365" t="s">
        <v>502</v>
      </c>
      <c r="X365" t="s">
        <v>83</v>
      </c>
      <c r="Y365" t="s">
        <v>90</v>
      </c>
      <c r="Z365">
        <v>4000</v>
      </c>
      <c r="AA365">
        <v>4000</v>
      </c>
      <c r="AC365">
        <v>256</v>
      </c>
      <c r="AD365" t="s">
        <v>91</v>
      </c>
      <c r="AE365">
        <v>0.15</v>
      </c>
      <c r="AF365" t="s">
        <v>92</v>
      </c>
      <c r="AG365">
        <v>180</v>
      </c>
      <c r="AH365">
        <v>60</v>
      </c>
      <c r="AI365">
        <v>120</v>
      </c>
      <c r="AJ365">
        <v>0.1123893397340763</v>
      </c>
      <c r="AK365">
        <v>7.7280066097906026</v>
      </c>
      <c r="AL365">
        <v>0.7125457578446126</v>
      </c>
      <c r="AM365">
        <v>0.34544961616402953</v>
      </c>
      <c r="AN365">
        <v>12.230937215079139</v>
      </c>
      <c r="AO365">
        <v>0.67480042473189727</v>
      </c>
      <c r="AP365">
        <v>12.230937215079139</v>
      </c>
      <c r="AQ365">
        <v>12.230937215079139</v>
      </c>
      <c r="AR365">
        <v>0.67480042473189727</v>
      </c>
      <c r="AS365">
        <v>104.6435782032385</v>
      </c>
      <c r="AT365">
        <v>9.4834383537191369E-2</v>
      </c>
      <c r="AU365">
        <v>0.8</v>
      </c>
      <c r="AV365" t="s">
        <v>93</v>
      </c>
      <c r="AW365">
        <v>8.0890587787452881E-2</v>
      </c>
      <c r="AX365">
        <v>0.41262974448715151</v>
      </c>
      <c r="AY365">
        <v>8.0890587787452881E-2</v>
      </c>
      <c r="AZ365">
        <v>8.0890587787452881E-2</v>
      </c>
      <c r="BA365">
        <v>0.41262974448715151</v>
      </c>
      <c r="BB365">
        <v>0.1776274753745479</v>
      </c>
      <c r="BC365">
        <v>-0.28980513617968467</v>
      </c>
      <c r="BD365">
        <v>0.1040743359802976</v>
      </c>
      <c r="BE365">
        <v>0.63940465423422288</v>
      </c>
      <c r="BF365">
        <v>0.1040743359802976</v>
      </c>
      <c r="BG365">
        <v>0.1040743359802976</v>
      </c>
      <c r="BH365">
        <v>0.63940465423422288</v>
      </c>
      <c r="BI365">
        <v>0.13130268892719241</v>
      </c>
      <c r="BJ365">
        <v>0.54506422675960664</v>
      </c>
      <c r="BK365">
        <v>5.3370438830313997E-2</v>
      </c>
      <c r="BL365">
        <v>0.78573456926775354</v>
      </c>
      <c r="BM365">
        <v>5.3370438830313997E-2</v>
      </c>
      <c r="BN365">
        <v>5.3370438830313997E-2</v>
      </c>
      <c r="BO365">
        <v>0.78573456926775354</v>
      </c>
      <c r="BP365">
        <v>0.17086049522586899</v>
      </c>
      <c r="BQ365">
        <v>0.31404915516823811</v>
      </c>
      <c r="BR365">
        <v>48.685413497718237</v>
      </c>
      <c r="BS365">
        <v>0.86143273093845796</v>
      </c>
      <c r="BT365">
        <v>48.685413497718237</v>
      </c>
      <c r="BU365">
        <v>48.685413497718237</v>
      </c>
      <c r="BV365">
        <v>0.86143273093845796</v>
      </c>
      <c r="BW365">
        <v>418.09452215342651</v>
      </c>
      <c r="BX365">
        <v>-0.18997071159939691</v>
      </c>
      <c r="BY365" t="str">
        <f t="shared" si="14"/>
        <v>[[sv,wv],[yr],[ya]]</v>
      </c>
      <c r="BZ365" t="str">
        <f>SUBSTITUTE(TRIM(MID(SUBSTITUTE(SUBSTITUTE(SUBSTITUTE(Tabla1[[#This Row],[map]],"[",""),"]",""),",",REPT(" ",100)),901,200))," ",", ")</f>
        <v>2, 4</v>
      </c>
      <c r="CA365" t="str">
        <f>SUBSTITUTE(TRIM(MID(SUBSTITUTE(SUBSTITUTE(SUBSTITUTE(Tabla1[[#This Row],[map]],"[",""),"]",""),",",REPT(" ",100)),1501,200))," ",", ")</f>
        <v>3, 2</v>
      </c>
      <c r="CB365" t="str">
        <f>SUBSTITUTE(TRIM(MID(SUBSTITUTE(SUBSTITUTE(SUBSTITUTE(Tabla1[[#This Row],[map]],"[",""),"]",""),",",REPT(" ",100)),601,300))," ",", ")</f>
        <v>0, 1, 3</v>
      </c>
      <c r="CC365" t="str">
        <f>SUBSTITUTE(TRIM(MID(SUBSTITUTE(SUBSTITUTE(SUBSTITUTE(Tabla1[[#This Row],[map]],"[",""),"]",""),",",REPT(" ",100)),1201,300))," ",", ")</f>
        <v>1, 4, 0</v>
      </c>
      <c r="CD365" t="str">
        <f>SUBSTITUTE(TRIM(MID(SUBSTITUTE(SUBSTITUTE(SUBSTITUTE(Tabla1[[#This Row],[map]],"[",""),"]",""),",",REPT(" ",100)),1,300))," ",", ")</f>
        <v>4, 2, 3</v>
      </c>
      <c r="CE365" t="str">
        <f>SUBSTITUTE(TRIM(MID(SUBSTITUTE(SUBSTITUTE(SUBSTITUTE(Tabla1[[#This Row],[map]],"[",""),"]",""),",",REPT(" ",100)),1,600))," ",", ")</f>
        <v>4, 2, 3, 0, 1, -1</v>
      </c>
      <c r="CF365" t="str">
        <f>SUBSTITUTE(TRIM(MID(SUBSTITUTE(SUBSTITUTE(SUBSTITUTE(Tabla1[[#This Row],[map]],"[",""),"]",""),",",REPT(" ",100)),601,600))," ",", ")</f>
        <v>0, 1, 3, 2, 4, -1</v>
      </c>
      <c r="CG365" t="str">
        <f>SUBSTITUTE(TRIM(MID(SUBSTITUTE(SUBSTITUTE(SUBSTITUTE(Tabla1[[#This Row],[map]],"[",""),"]",""),",",REPT(" ",100)),1201,600))," ",", ")</f>
        <v>1, 4, 0, 3, 2, -1</v>
      </c>
    </row>
    <row r="366" spans="1:85" x14ac:dyDescent="0.3">
      <c r="A366" s="1">
        <v>46109.720057870371</v>
      </c>
      <c r="B366" t="s">
        <v>604</v>
      </c>
      <c r="C366">
        <v>6</v>
      </c>
      <c r="D366" t="s">
        <v>77</v>
      </c>
      <c r="E366" t="s">
        <v>78</v>
      </c>
      <c r="F366">
        <v>16590</v>
      </c>
      <c r="G366">
        <v>4.5</v>
      </c>
      <c r="H366" t="s">
        <v>79</v>
      </c>
      <c r="I366" t="s">
        <v>80</v>
      </c>
      <c r="J366">
        <v>5</v>
      </c>
      <c r="K366">
        <v>5</v>
      </c>
      <c r="L366" t="s">
        <v>81</v>
      </c>
      <c r="M366" t="s">
        <v>82</v>
      </c>
      <c r="N366" t="s">
        <v>83</v>
      </c>
      <c r="O366" t="s">
        <v>83</v>
      </c>
      <c r="P366" t="s">
        <v>84</v>
      </c>
      <c r="Q366" t="s">
        <v>416</v>
      </c>
      <c r="R366">
        <v>3</v>
      </c>
      <c r="S366" t="s">
        <v>86</v>
      </c>
      <c r="T366" t="s">
        <v>87</v>
      </c>
      <c r="U366" t="s">
        <v>88</v>
      </c>
      <c r="V366">
        <v>1</v>
      </c>
      <c r="W366" t="s">
        <v>417</v>
      </c>
      <c r="X366" t="s">
        <v>83</v>
      </c>
      <c r="Y366" t="s">
        <v>90</v>
      </c>
      <c r="Z366">
        <v>4000</v>
      </c>
      <c r="AA366">
        <v>4000</v>
      </c>
      <c r="AC366">
        <v>256</v>
      </c>
      <c r="AD366" t="s">
        <v>91</v>
      </c>
      <c r="AE366">
        <v>0.15</v>
      </c>
      <c r="AF366" t="s">
        <v>92</v>
      </c>
      <c r="AG366">
        <v>180</v>
      </c>
      <c r="AH366">
        <v>60</v>
      </c>
      <c r="AI366">
        <v>120</v>
      </c>
      <c r="AJ366">
        <v>9.513340312186587E-2</v>
      </c>
      <c r="AK366">
        <v>13.2167764537246</v>
      </c>
      <c r="AL366">
        <v>0.76827694859501561</v>
      </c>
      <c r="AM366">
        <v>0.17969136406833441</v>
      </c>
      <c r="AN366">
        <v>17.68268468461762</v>
      </c>
      <c r="AO366">
        <v>0.70876345141486408</v>
      </c>
      <c r="AP366">
        <v>17.68268468461762</v>
      </c>
      <c r="AQ366">
        <v>17.68268468461762</v>
      </c>
      <c r="AR366">
        <v>0.70876345141486408</v>
      </c>
      <c r="AS366">
        <v>80.12973350776285</v>
      </c>
      <c r="AT366">
        <v>0.18174316876458069</v>
      </c>
      <c r="AU366">
        <v>0.8</v>
      </c>
      <c r="AV366" t="s">
        <v>93</v>
      </c>
      <c r="AW366">
        <v>6.7470934059247478E-2</v>
      </c>
      <c r="AX366">
        <v>0.51007378160975725</v>
      </c>
      <c r="AY366">
        <v>6.7470934059247478E-2</v>
      </c>
      <c r="AZ366">
        <v>6.7470934059247478E-2</v>
      </c>
      <c r="BA366">
        <v>0.51007378160975725</v>
      </c>
      <c r="BB366">
        <v>0.148872159158595</v>
      </c>
      <c r="BC366">
        <v>-8.1004361020317273E-2</v>
      </c>
      <c r="BD366">
        <v>7.1538377905554354E-2</v>
      </c>
      <c r="BE366">
        <v>0.75213479986785858</v>
      </c>
      <c r="BF366">
        <v>7.1538377905554354E-2</v>
      </c>
      <c r="BG366">
        <v>7.1538377905554354E-2</v>
      </c>
      <c r="BH366">
        <v>0.75213479986785858</v>
      </c>
      <c r="BI366">
        <v>0.19722675041745821</v>
      </c>
      <c r="BJ366">
        <v>0.3166514338894505</v>
      </c>
      <c r="BK366">
        <v>5.6392680101231933E-2</v>
      </c>
      <c r="BL366">
        <v>0.77360122650568897</v>
      </c>
      <c r="BM366">
        <v>5.6392680101231933E-2</v>
      </c>
      <c r="BN366">
        <v>5.6392680101231933E-2</v>
      </c>
      <c r="BO366">
        <v>0.77360122650568897</v>
      </c>
      <c r="BP366">
        <v>0.1489108334660269</v>
      </c>
      <c r="BQ366">
        <v>0.40217010441417889</v>
      </c>
      <c r="BR366">
        <v>70.535336746404468</v>
      </c>
      <c r="BS366">
        <v>0.79924399767615051</v>
      </c>
      <c r="BT366">
        <v>70.535336746404468</v>
      </c>
      <c r="BU366">
        <v>70.535336746404468</v>
      </c>
      <c r="BV366">
        <v>0.79924399767615051</v>
      </c>
      <c r="BW366">
        <v>320.02392428800891</v>
      </c>
      <c r="BX366">
        <v>8.9155497775008419E-2</v>
      </c>
      <c r="BY366" t="str">
        <f t="shared" si="14"/>
        <v>[[sv,wv],[yr],[ya]]</v>
      </c>
      <c r="BZ366" t="str">
        <f>SUBSTITUTE(TRIM(MID(SUBSTITUTE(SUBSTITUTE(SUBSTITUTE(Tabla1[[#This Row],[map]],"[",""),"]",""),",",REPT(" ",100)),901,200))," ",", ")</f>
        <v>2, 4</v>
      </c>
      <c r="CA366" t="str">
        <f>SUBSTITUTE(TRIM(MID(SUBSTITUTE(SUBSTITUTE(SUBSTITUTE(Tabla1[[#This Row],[map]],"[",""),"]",""),",",REPT(" ",100)),1501,200))," ",", ")</f>
        <v>3, 4</v>
      </c>
      <c r="CB366" t="str">
        <f>SUBSTITUTE(TRIM(MID(SUBSTITUTE(SUBSTITUTE(SUBSTITUTE(Tabla1[[#This Row],[map]],"[",""),"]",""),",",REPT(" ",100)),601,300))," ",", ")</f>
        <v>0, 1, 3</v>
      </c>
      <c r="CC366" t="str">
        <f>SUBSTITUTE(TRIM(MID(SUBSTITUTE(SUBSTITUTE(SUBSTITUTE(Tabla1[[#This Row],[map]],"[",""),"]",""),",",REPT(" ",100)),1201,300))," ",", ")</f>
        <v>1, 2, 0</v>
      </c>
      <c r="CD366" t="str">
        <f>SUBSTITUTE(TRIM(MID(SUBSTITUTE(SUBSTITUTE(SUBSTITUTE(Tabla1[[#This Row],[map]],"[",""),"]",""),",",REPT(" ",100)),1,300))," ",", ")</f>
        <v>2, 3, 4</v>
      </c>
      <c r="CE366" t="str">
        <f>SUBSTITUTE(TRIM(MID(SUBSTITUTE(SUBSTITUTE(SUBSTITUTE(Tabla1[[#This Row],[map]],"[",""),"]",""),",",REPT(" ",100)),1,600))," ",", ")</f>
        <v>2, 3, 4, 0, 1, -1</v>
      </c>
      <c r="CF366" t="str">
        <f>SUBSTITUTE(TRIM(MID(SUBSTITUTE(SUBSTITUTE(SUBSTITUTE(Tabla1[[#This Row],[map]],"[",""),"]",""),",",REPT(" ",100)),601,600))," ",", ")</f>
        <v>0, 1, 3, 2, 4, -1</v>
      </c>
      <c r="CG366" t="str">
        <f>SUBSTITUTE(TRIM(MID(SUBSTITUTE(SUBSTITUTE(SUBSTITUTE(Tabla1[[#This Row],[map]],"[",""),"]",""),",",REPT(" ",100)),1201,600))," ",", ")</f>
        <v>1, 2, 0, 3, 4, -1</v>
      </c>
    </row>
    <row r="367" spans="1:85" x14ac:dyDescent="0.3">
      <c r="A367" s="1">
        <v>46109.723043981481</v>
      </c>
      <c r="B367" t="s">
        <v>605</v>
      </c>
      <c r="C367">
        <v>9</v>
      </c>
      <c r="D367" t="s">
        <v>96</v>
      </c>
      <c r="E367" t="s">
        <v>78</v>
      </c>
      <c r="F367">
        <v>16590</v>
      </c>
      <c r="G367">
        <v>4.5</v>
      </c>
      <c r="H367" t="s">
        <v>79</v>
      </c>
      <c r="I367" t="s">
        <v>80</v>
      </c>
      <c r="J367">
        <v>5</v>
      </c>
      <c r="K367">
        <v>5</v>
      </c>
      <c r="L367" t="s">
        <v>81</v>
      </c>
      <c r="M367" t="s">
        <v>82</v>
      </c>
      <c r="N367" t="s">
        <v>83</v>
      </c>
      <c r="O367" t="s">
        <v>83</v>
      </c>
      <c r="P367" t="s">
        <v>84</v>
      </c>
      <c r="Q367" t="s">
        <v>401</v>
      </c>
      <c r="R367">
        <v>3</v>
      </c>
      <c r="S367" t="s">
        <v>86</v>
      </c>
      <c r="T367" t="s">
        <v>87</v>
      </c>
      <c r="U367" t="s">
        <v>88</v>
      </c>
      <c r="V367">
        <v>1</v>
      </c>
      <c r="W367" t="s">
        <v>402</v>
      </c>
      <c r="X367" t="s">
        <v>83</v>
      </c>
      <c r="Y367" t="s">
        <v>90</v>
      </c>
      <c r="Z367">
        <v>4000</v>
      </c>
      <c r="AA367">
        <v>4000</v>
      </c>
      <c r="AC367">
        <v>256</v>
      </c>
      <c r="AD367" t="s">
        <v>91</v>
      </c>
      <c r="AE367">
        <v>0.15</v>
      </c>
      <c r="AF367" t="s">
        <v>92</v>
      </c>
      <c r="AG367">
        <v>180</v>
      </c>
      <c r="AH367">
        <v>60</v>
      </c>
      <c r="AI367">
        <v>120</v>
      </c>
      <c r="AJ367">
        <v>0.10193927910287</v>
      </c>
      <c r="AK367">
        <v>16.884460885876589</v>
      </c>
      <c r="AL367">
        <v>0.80663769504235594</v>
      </c>
      <c r="AM367">
        <v>-0.1336403237396023</v>
      </c>
      <c r="AN367">
        <v>18.661541321997369</v>
      </c>
      <c r="AO367">
        <v>0.76054012624038758</v>
      </c>
      <c r="AP367">
        <v>18.661541321997369</v>
      </c>
      <c r="AQ367">
        <v>18.661541321997369</v>
      </c>
      <c r="AR367">
        <v>0.76054012624038758</v>
      </c>
      <c r="AS367">
        <v>103.999196811646</v>
      </c>
      <c r="AT367">
        <v>-0.13345371172219231</v>
      </c>
      <c r="AU367">
        <v>0.8</v>
      </c>
      <c r="AV367" t="s">
        <v>93</v>
      </c>
      <c r="AW367">
        <v>5.4339587556574503E-2</v>
      </c>
      <c r="AX367">
        <v>0.6054243355057094</v>
      </c>
      <c r="AY367">
        <v>5.4339587556574503E-2</v>
      </c>
      <c r="AZ367">
        <v>5.4339587556574503E-2</v>
      </c>
      <c r="BA367">
        <v>0.6054243355057094</v>
      </c>
      <c r="BB367">
        <v>0.1184739833827803</v>
      </c>
      <c r="BC367">
        <v>0.13972569869293741</v>
      </c>
      <c r="BD367">
        <v>4.8510446627493709E-2</v>
      </c>
      <c r="BE367">
        <v>0.83192166339447116</v>
      </c>
      <c r="BF367">
        <v>4.8510446627493709E-2</v>
      </c>
      <c r="BG367">
        <v>4.8510446627493709E-2</v>
      </c>
      <c r="BH367">
        <v>0.83192166339447116</v>
      </c>
      <c r="BI367">
        <v>0.33355663837480742</v>
      </c>
      <c r="BJ367">
        <v>-0.15570251027115889</v>
      </c>
      <c r="BK367">
        <v>4.5620511115538047E-2</v>
      </c>
      <c r="BL367">
        <v>0.81684807772568035</v>
      </c>
      <c r="BM367">
        <v>4.5620511115538047E-2</v>
      </c>
      <c r="BN367">
        <v>4.5620511115538047E-2</v>
      </c>
      <c r="BO367">
        <v>0.81684807772568035</v>
      </c>
      <c r="BP367">
        <v>0.3327962308087426</v>
      </c>
      <c r="BQ367">
        <v>-0.33607160261537272</v>
      </c>
      <c r="BR367">
        <v>74.49769474269003</v>
      </c>
      <c r="BS367">
        <v>0.78796642833569119</v>
      </c>
      <c r="BT367">
        <v>74.49769474269003</v>
      </c>
      <c r="BU367">
        <v>74.49769474269003</v>
      </c>
      <c r="BV367">
        <v>0.78796642833569119</v>
      </c>
      <c r="BW367">
        <v>415.21196039401951</v>
      </c>
      <c r="BX367">
        <v>-0.18176643269518289</v>
      </c>
      <c r="BY367" t="str">
        <f t="shared" si="14"/>
        <v>[[sv,wv],[yr],[ya]]</v>
      </c>
      <c r="BZ367" t="str">
        <f>SUBSTITUTE(TRIM(MID(SUBSTITUTE(SUBSTITUTE(SUBSTITUTE(Tabla1[[#This Row],[map]],"[",""),"]",""),",",REPT(" ",100)),901,200))," ",", ")</f>
        <v>2, 3</v>
      </c>
      <c r="CA367" t="str">
        <f>SUBSTITUTE(TRIM(MID(SUBSTITUTE(SUBSTITUTE(SUBSTITUTE(Tabla1[[#This Row],[map]],"[",""),"]",""),",",REPT(" ",100)),1501,200))," ",", ")</f>
        <v>3, 4</v>
      </c>
      <c r="CB367" t="str">
        <f>SUBSTITUTE(TRIM(MID(SUBSTITUTE(SUBSTITUTE(SUBSTITUTE(Tabla1[[#This Row],[map]],"[",""),"]",""),",",REPT(" ",100)),601,300))," ",", ")</f>
        <v>1, 4, 0</v>
      </c>
      <c r="CC367" t="str">
        <f>SUBSTITUTE(TRIM(MID(SUBSTITUTE(SUBSTITUTE(SUBSTITUTE(Tabla1[[#This Row],[map]],"[",""),"]",""),",",REPT(" ",100)),1201,300))," ",", ")</f>
        <v>0, 1, 2</v>
      </c>
      <c r="CD367" t="str">
        <f>SUBSTITUTE(TRIM(MID(SUBSTITUTE(SUBSTITUTE(SUBSTITUTE(Tabla1[[#This Row],[map]],"[",""),"]",""),",",REPT(" ",100)),1,300))," ",", ")</f>
        <v>2, 3, 4</v>
      </c>
      <c r="CE367" t="str">
        <f>SUBSTITUTE(TRIM(MID(SUBSTITUTE(SUBSTITUTE(SUBSTITUTE(Tabla1[[#This Row],[map]],"[",""),"]",""),",",REPT(" ",100)),1,600))," ",", ")</f>
        <v>2, 3, 4, 0, 1, -1</v>
      </c>
      <c r="CF367" t="str">
        <f>SUBSTITUTE(TRIM(MID(SUBSTITUTE(SUBSTITUTE(SUBSTITUTE(Tabla1[[#This Row],[map]],"[",""),"]",""),",",REPT(" ",100)),601,600))," ",", ")</f>
        <v>1, 4, 0, 2, 3, -1</v>
      </c>
      <c r="CG367" t="str">
        <f>SUBSTITUTE(TRIM(MID(SUBSTITUTE(SUBSTITUTE(SUBSTITUTE(Tabla1[[#This Row],[map]],"[",""),"]",""),",",REPT(" ",100)),1201,600))," ",", ")</f>
        <v>0, 1, 2, 3, 4, -1</v>
      </c>
    </row>
    <row r="368" spans="1:85" x14ac:dyDescent="0.3">
      <c r="A368" s="1">
        <v>46109.756435185183</v>
      </c>
      <c r="B368" t="s">
        <v>606</v>
      </c>
      <c r="C368">
        <v>4</v>
      </c>
      <c r="D368" t="s">
        <v>77</v>
      </c>
      <c r="E368" t="s">
        <v>78</v>
      </c>
      <c r="F368">
        <v>16590</v>
      </c>
      <c r="G368">
        <v>4.5</v>
      </c>
      <c r="H368" t="s">
        <v>79</v>
      </c>
      <c r="I368" t="s">
        <v>80</v>
      </c>
      <c r="J368">
        <v>5</v>
      </c>
      <c r="K368">
        <v>5</v>
      </c>
      <c r="L368" t="s">
        <v>81</v>
      </c>
      <c r="M368" t="s">
        <v>82</v>
      </c>
      <c r="N368" t="s">
        <v>83</v>
      </c>
      <c r="O368" t="s">
        <v>83</v>
      </c>
      <c r="P368" t="s">
        <v>84</v>
      </c>
      <c r="Q368" t="s">
        <v>501</v>
      </c>
      <c r="R368">
        <v>3</v>
      </c>
      <c r="S368" t="s">
        <v>86</v>
      </c>
      <c r="T368" t="s">
        <v>87</v>
      </c>
      <c r="U368" t="s">
        <v>88</v>
      </c>
      <c r="V368">
        <v>1</v>
      </c>
      <c r="W368" t="s">
        <v>502</v>
      </c>
      <c r="X368" t="s">
        <v>83</v>
      </c>
      <c r="Y368" t="s">
        <v>90</v>
      </c>
      <c r="Z368">
        <v>4000</v>
      </c>
      <c r="AA368">
        <v>4000</v>
      </c>
      <c r="AC368">
        <v>256</v>
      </c>
      <c r="AD368" t="s">
        <v>91</v>
      </c>
      <c r="AE368">
        <v>0.15</v>
      </c>
      <c r="AF368" t="s">
        <v>92</v>
      </c>
      <c r="AG368">
        <v>180</v>
      </c>
      <c r="AH368">
        <v>60</v>
      </c>
      <c r="AI368">
        <v>120</v>
      </c>
      <c r="AJ368">
        <v>0.10476067932310219</v>
      </c>
      <c r="AK368">
        <v>11.455743765350331</v>
      </c>
      <c r="AL368">
        <v>0.73372950136368031</v>
      </c>
      <c r="AM368">
        <v>0.24469243913443059</v>
      </c>
      <c r="AN368">
        <v>16.393627359324281</v>
      </c>
      <c r="AO368">
        <v>0.6752350512345664</v>
      </c>
      <c r="AP368">
        <v>16.393627359324281</v>
      </c>
      <c r="AQ368">
        <v>16.393627359324281</v>
      </c>
      <c r="AR368">
        <v>0.6752350512345664</v>
      </c>
      <c r="AS368">
        <v>73.760660991858657</v>
      </c>
      <c r="AT368">
        <v>0.29122299943824992</v>
      </c>
      <c r="AU368">
        <v>0.8</v>
      </c>
      <c r="AV368" t="s">
        <v>93</v>
      </c>
      <c r="AW368">
        <v>7.8201922466195742E-2</v>
      </c>
      <c r="AX368">
        <v>0.43215293105225522</v>
      </c>
      <c r="AY368">
        <v>7.8201922466195742E-2</v>
      </c>
      <c r="AZ368">
        <v>7.8201922466195742E-2</v>
      </c>
      <c r="BA368">
        <v>0.43215293105225522</v>
      </c>
      <c r="BB368">
        <v>0.15408822658078569</v>
      </c>
      <c r="BC368">
        <v>-0.1188797546643183</v>
      </c>
      <c r="BD368">
        <v>7.2068423111879165E-2</v>
      </c>
      <c r="BE368">
        <v>0.7502983064360641</v>
      </c>
      <c r="BF368">
        <v>7.2068423111879165E-2</v>
      </c>
      <c r="BG368">
        <v>7.2068423111879165E-2</v>
      </c>
      <c r="BH368">
        <v>0.7502983064360641</v>
      </c>
      <c r="BI368">
        <v>0.13627439803145799</v>
      </c>
      <c r="BJ368">
        <v>0.5278383165809537</v>
      </c>
      <c r="BK368">
        <v>7.3607695607831536E-2</v>
      </c>
      <c r="BL368">
        <v>0.70448838438888806</v>
      </c>
      <c r="BM368">
        <v>7.3607695607831536E-2</v>
      </c>
      <c r="BN368">
        <v>7.3607695607831536E-2</v>
      </c>
      <c r="BO368">
        <v>0.70448838438888806</v>
      </c>
      <c r="BP368">
        <v>0.10098853964887319</v>
      </c>
      <c r="BQ368">
        <v>0.59456295617723232</v>
      </c>
      <c r="BR368">
        <v>65.350631396111154</v>
      </c>
      <c r="BS368">
        <v>0.81400058306106426</v>
      </c>
      <c r="BT368">
        <v>65.350631396111154</v>
      </c>
      <c r="BU368">
        <v>65.350631396111154</v>
      </c>
      <c r="BV368">
        <v>0.81400058306106426</v>
      </c>
      <c r="BW368">
        <v>294.65129280317319</v>
      </c>
      <c r="BX368">
        <v>0.16137047965912751</v>
      </c>
      <c r="BY368" t="str">
        <f t="shared" si="14"/>
        <v>[[sv,wv],[yr],[ya]]</v>
      </c>
      <c r="BZ368" t="str">
        <f>SUBSTITUTE(TRIM(MID(SUBSTITUTE(SUBSTITUTE(SUBSTITUTE(Tabla1[[#This Row],[map]],"[",""),"]",""),",",REPT(" ",100)),901,200))," ",", ")</f>
        <v>2, 4</v>
      </c>
      <c r="CA368" t="str">
        <f>SUBSTITUTE(TRIM(MID(SUBSTITUTE(SUBSTITUTE(SUBSTITUTE(Tabla1[[#This Row],[map]],"[",""),"]",""),",",REPT(" ",100)),1501,200))," ",", ")</f>
        <v>3, 2</v>
      </c>
      <c r="CB368" t="str">
        <f>SUBSTITUTE(TRIM(MID(SUBSTITUTE(SUBSTITUTE(SUBSTITUTE(Tabla1[[#This Row],[map]],"[",""),"]",""),",",REPT(" ",100)),601,300))," ",", ")</f>
        <v>0, 1, 3</v>
      </c>
      <c r="CC368" t="str">
        <f>SUBSTITUTE(TRIM(MID(SUBSTITUTE(SUBSTITUTE(SUBSTITUTE(Tabla1[[#This Row],[map]],"[",""),"]",""),",",REPT(" ",100)),1201,300))," ",", ")</f>
        <v>1, 4, 0</v>
      </c>
      <c r="CD368" t="str">
        <f>SUBSTITUTE(TRIM(MID(SUBSTITUTE(SUBSTITUTE(SUBSTITUTE(Tabla1[[#This Row],[map]],"[",""),"]",""),",",REPT(" ",100)),1,300))," ",", ")</f>
        <v>4, 2, 3</v>
      </c>
      <c r="CE368" t="str">
        <f>SUBSTITUTE(TRIM(MID(SUBSTITUTE(SUBSTITUTE(SUBSTITUTE(Tabla1[[#This Row],[map]],"[",""),"]",""),",",REPT(" ",100)),1,600))," ",", ")</f>
        <v>4, 2, 3, 0, 1, -1</v>
      </c>
      <c r="CF368" t="str">
        <f>SUBSTITUTE(TRIM(MID(SUBSTITUTE(SUBSTITUTE(SUBSTITUTE(Tabla1[[#This Row],[map]],"[",""),"]",""),",",REPT(" ",100)),601,600))," ",", ")</f>
        <v>0, 1, 3, 2, 4, -1</v>
      </c>
      <c r="CG368" t="str">
        <f>SUBSTITUTE(TRIM(MID(SUBSTITUTE(SUBSTITUTE(SUBSTITUTE(Tabla1[[#This Row],[map]],"[",""),"]",""),",",REPT(" ",100)),1201,600))," ",", ")</f>
        <v>1, 4, 0, 3, 2, -1</v>
      </c>
    </row>
    <row r="369" spans="1:85" x14ac:dyDescent="0.3">
      <c r="A369" s="1">
        <v>46109.760775462957</v>
      </c>
      <c r="B369" t="s">
        <v>607</v>
      </c>
      <c r="C369">
        <v>4</v>
      </c>
      <c r="D369" t="s">
        <v>96</v>
      </c>
      <c r="E369" t="s">
        <v>78</v>
      </c>
      <c r="F369">
        <v>16590</v>
      </c>
      <c r="G369">
        <v>4.5</v>
      </c>
      <c r="H369" t="s">
        <v>79</v>
      </c>
      <c r="I369" t="s">
        <v>80</v>
      </c>
      <c r="J369">
        <v>5</v>
      </c>
      <c r="K369">
        <v>5</v>
      </c>
      <c r="L369" t="s">
        <v>81</v>
      </c>
      <c r="M369" t="s">
        <v>82</v>
      </c>
      <c r="N369" t="s">
        <v>83</v>
      </c>
      <c r="O369" t="s">
        <v>83</v>
      </c>
      <c r="P369" t="s">
        <v>84</v>
      </c>
      <c r="Q369" t="s">
        <v>207</v>
      </c>
      <c r="R369">
        <v>3</v>
      </c>
      <c r="S369" t="s">
        <v>86</v>
      </c>
      <c r="T369" t="s">
        <v>87</v>
      </c>
      <c r="U369" t="s">
        <v>88</v>
      </c>
      <c r="V369">
        <v>1</v>
      </c>
      <c r="W369" t="s">
        <v>208</v>
      </c>
      <c r="X369" t="s">
        <v>83</v>
      </c>
      <c r="Y369" t="s">
        <v>90</v>
      </c>
      <c r="Z369">
        <v>4000</v>
      </c>
      <c r="AA369">
        <v>4000</v>
      </c>
      <c r="AC369">
        <v>256</v>
      </c>
      <c r="AD369" t="s">
        <v>91</v>
      </c>
      <c r="AE369">
        <v>0.15</v>
      </c>
      <c r="AF369" t="s">
        <v>92</v>
      </c>
      <c r="AG369">
        <v>180</v>
      </c>
      <c r="AH369">
        <v>60</v>
      </c>
      <c r="AI369">
        <v>120</v>
      </c>
      <c r="AJ369">
        <v>0.1192002173273201</v>
      </c>
      <c r="AK369">
        <v>18.01228753518858</v>
      </c>
      <c r="AL369">
        <v>0.67685910135097793</v>
      </c>
      <c r="AM369">
        <v>0.190617027540149</v>
      </c>
      <c r="AN369">
        <v>24.191789923478229</v>
      </c>
      <c r="AO369">
        <v>0.61730510446303577</v>
      </c>
      <c r="AP369">
        <v>24.191789923478229</v>
      </c>
      <c r="AQ369">
        <v>24.191789923478229</v>
      </c>
      <c r="AR369">
        <v>0.61730510446303577</v>
      </c>
      <c r="AS369">
        <v>87.446929130945321</v>
      </c>
      <c r="AT369">
        <v>0.1465260371749732</v>
      </c>
      <c r="AU369">
        <v>0.8</v>
      </c>
      <c r="AV369" t="s">
        <v>93</v>
      </c>
      <c r="AW369">
        <v>7.3712328194688259E-2</v>
      </c>
      <c r="AX369">
        <v>0.46475319032263479</v>
      </c>
      <c r="AY369">
        <v>7.3712328194688259E-2</v>
      </c>
      <c r="AZ369">
        <v>7.3712328194688259E-2</v>
      </c>
      <c r="BA369">
        <v>0.46475319032263479</v>
      </c>
      <c r="BB369">
        <v>8.0533543447387945E-2</v>
      </c>
      <c r="BC369">
        <v>0.41522234803954999</v>
      </c>
      <c r="BD369">
        <v>7.1438333127788592E-2</v>
      </c>
      <c r="BE369">
        <v>0.75248143365505205</v>
      </c>
      <c r="BF369">
        <v>7.1438333127788592E-2</v>
      </c>
      <c r="BG369">
        <v>7.1438333127788592E-2</v>
      </c>
      <c r="BH369">
        <v>0.75248143365505205</v>
      </c>
      <c r="BI369">
        <v>0.140941481478916</v>
      </c>
      <c r="BJ369">
        <v>0.51166786924057928</v>
      </c>
      <c r="BK369">
        <v>0.11790381174560161</v>
      </c>
      <c r="BL369">
        <v>0.52665348904165288</v>
      </c>
      <c r="BM369">
        <v>0.11790381174560161</v>
      </c>
      <c r="BN369">
        <v>0.11790381174560161</v>
      </c>
      <c r="BO369">
        <v>0.52665348904165288</v>
      </c>
      <c r="BP369">
        <v>0.33547194185849061</v>
      </c>
      <c r="BQ369">
        <v>-0.34681373614760891</v>
      </c>
      <c r="BR369">
        <v>96.504105220845005</v>
      </c>
      <c r="BS369">
        <v>0.72533230483280353</v>
      </c>
      <c r="BT369">
        <v>96.504105220845005</v>
      </c>
      <c r="BU369">
        <v>96.504105220845005</v>
      </c>
      <c r="BV369">
        <v>0.72533230483280353</v>
      </c>
      <c r="BW369">
        <v>349.23076955699548</v>
      </c>
      <c r="BX369">
        <v>6.0276675673801572E-3</v>
      </c>
      <c r="BY369" t="str">
        <f t="shared" si="14"/>
        <v>[[sv,wv],[yr],[ya]]</v>
      </c>
      <c r="BZ369" t="str">
        <f>SUBSTITUTE(TRIM(MID(SUBSTITUTE(SUBSTITUTE(SUBSTITUTE(Tabla1[[#This Row],[map]],"[",""),"]",""),",",REPT(" ",100)),901,200))," ",", ")</f>
        <v>2, 4</v>
      </c>
      <c r="CA369" t="str">
        <f>SUBSTITUTE(TRIM(MID(SUBSTITUTE(SUBSTITUTE(SUBSTITUTE(Tabla1[[#This Row],[map]],"[",""),"]",""),",",REPT(" ",100)),1501,200))," ",", ")</f>
        <v>3, 2</v>
      </c>
      <c r="CB369" t="str">
        <f>SUBSTITUTE(TRIM(MID(SUBSTITUTE(SUBSTITUTE(SUBSTITUTE(Tabla1[[#This Row],[map]],"[",""),"]",""),",",REPT(" ",100)),601,300))," ",", ")</f>
        <v>3, 0, 1</v>
      </c>
      <c r="CC369" t="str">
        <f>SUBSTITUTE(TRIM(MID(SUBSTITUTE(SUBSTITUTE(SUBSTITUTE(Tabla1[[#This Row],[map]],"[",""),"]",""),",",REPT(" ",100)),1201,300))," ",", ")</f>
        <v>0, 1, 4</v>
      </c>
      <c r="CD369" t="str">
        <f>SUBSTITUTE(TRIM(MID(SUBSTITUTE(SUBSTITUTE(SUBSTITUTE(Tabla1[[#This Row],[map]],"[",""),"]",""),",",REPT(" ",100)),1,300))," ",", ")</f>
        <v>4, 2, 3</v>
      </c>
      <c r="CE369" t="str">
        <f>SUBSTITUTE(TRIM(MID(SUBSTITUTE(SUBSTITUTE(SUBSTITUTE(Tabla1[[#This Row],[map]],"[",""),"]",""),",",REPT(" ",100)),1,600))," ",", ")</f>
        <v>4, 2, 3, 0, 1, -1</v>
      </c>
      <c r="CF369" t="str">
        <f>SUBSTITUTE(TRIM(MID(SUBSTITUTE(SUBSTITUTE(SUBSTITUTE(Tabla1[[#This Row],[map]],"[",""),"]",""),",",REPT(" ",100)),601,600))," ",", ")</f>
        <v>3, 0, 1, 2, 4, -1</v>
      </c>
      <c r="CG369" t="str">
        <f>SUBSTITUTE(TRIM(MID(SUBSTITUTE(SUBSTITUTE(SUBSTITUTE(Tabla1[[#This Row],[map]],"[",""),"]",""),",",REPT(" ",100)),1201,600))," ",", ")</f>
        <v>0, 1, 4, 3, 2, -1</v>
      </c>
    </row>
    <row r="370" spans="1:85" x14ac:dyDescent="0.3">
      <c r="A370" s="1">
        <v>46109.815752314818</v>
      </c>
      <c r="B370" t="s">
        <v>608</v>
      </c>
      <c r="C370">
        <v>7</v>
      </c>
      <c r="D370" t="s">
        <v>96</v>
      </c>
      <c r="E370" t="s">
        <v>78</v>
      </c>
      <c r="F370">
        <v>16590</v>
      </c>
      <c r="G370">
        <v>4.5</v>
      </c>
      <c r="H370" t="s">
        <v>79</v>
      </c>
      <c r="I370" t="s">
        <v>80</v>
      </c>
      <c r="J370">
        <v>5</v>
      </c>
      <c r="K370">
        <v>5</v>
      </c>
      <c r="L370" t="s">
        <v>81</v>
      </c>
      <c r="M370" t="s">
        <v>82</v>
      </c>
      <c r="N370" t="s">
        <v>83</v>
      </c>
      <c r="O370" t="s">
        <v>83</v>
      </c>
      <c r="P370" t="s">
        <v>84</v>
      </c>
      <c r="Q370" t="s">
        <v>412</v>
      </c>
      <c r="R370">
        <v>3</v>
      </c>
      <c r="S370" t="s">
        <v>86</v>
      </c>
      <c r="T370" t="s">
        <v>87</v>
      </c>
      <c r="U370" t="s">
        <v>88</v>
      </c>
      <c r="V370">
        <v>1</v>
      </c>
      <c r="W370" t="s">
        <v>413</v>
      </c>
      <c r="X370" t="s">
        <v>83</v>
      </c>
      <c r="Y370" t="s">
        <v>90</v>
      </c>
      <c r="Z370">
        <v>4000</v>
      </c>
      <c r="AA370">
        <v>4000</v>
      </c>
      <c r="AC370">
        <v>256</v>
      </c>
      <c r="AD370" t="s">
        <v>91</v>
      </c>
      <c r="AE370">
        <v>0.15</v>
      </c>
      <c r="AF370" t="s">
        <v>92</v>
      </c>
      <c r="AG370">
        <v>180</v>
      </c>
      <c r="AH370">
        <v>60</v>
      </c>
      <c r="AI370">
        <v>120</v>
      </c>
      <c r="AJ370">
        <v>0.1002176382649126</v>
      </c>
      <c r="AK370">
        <v>7.131107044624442</v>
      </c>
      <c r="AL370">
        <v>0.72943940500512316</v>
      </c>
      <c r="AM370">
        <v>0.20452888003049149</v>
      </c>
      <c r="AN370">
        <v>9.8906985467891353</v>
      </c>
      <c r="AO370">
        <v>0.71093440234028837</v>
      </c>
      <c r="AP370">
        <v>9.8906985467891353</v>
      </c>
      <c r="AQ370">
        <v>9.8906985467891353</v>
      </c>
      <c r="AR370">
        <v>0.71093440234028837</v>
      </c>
      <c r="AS370">
        <v>163.16191818744969</v>
      </c>
      <c r="AT370">
        <v>-0.13036385664309341</v>
      </c>
      <c r="AU370">
        <v>0.8</v>
      </c>
      <c r="AV370" t="s">
        <v>93</v>
      </c>
      <c r="AW370">
        <v>8.8303829623052124E-2</v>
      </c>
      <c r="AX370">
        <v>0.35880002374639208</v>
      </c>
      <c r="AY370">
        <v>8.8303829623052124E-2</v>
      </c>
      <c r="AZ370">
        <v>8.8303829623052124E-2</v>
      </c>
      <c r="BA370">
        <v>0.35880002374639208</v>
      </c>
      <c r="BB370">
        <v>0.12248708199748751</v>
      </c>
      <c r="BC370">
        <v>0.1105854139800547</v>
      </c>
      <c r="BD370">
        <v>5.1296435497319458E-2</v>
      </c>
      <c r="BE370">
        <v>0.82226880699762983</v>
      </c>
      <c r="BF370">
        <v>5.1296435497319458E-2</v>
      </c>
      <c r="BG370">
        <v>5.1296435497319458E-2</v>
      </c>
      <c r="BH370">
        <v>0.82226880699762983</v>
      </c>
      <c r="BI370">
        <v>0.29239686775951812</v>
      </c>
      <c r="BJ370">
        <v>-1.309269607575447E-2</v>
      </c>
      <c r="BK370">
        <v>5.6115398679590443E-2</v>
      </c>
      <c r="BL370">
        <v>0.77471442370893762</v>
      </c>
      <c r="BM370">
        <v>5.6115398679590443E-2</v>
      </c>
      <c r="BN370">
        <v>5.6115398679590443E-2</v>
      </c>
      <c r="BO370">
        <v>0.77471442370893762</v>
      </c>
      <c r="BP370">
        <v>0.19008213768517199</v>
      </c>
      <c r="BQ370">
        <v>0.23688034053626039</v>
      </c>
      <c r="BR370">
        <v>39.367078523356732</v>
      </c>
      <c r="BS370">
        <v>0.88795435490820096</v>
      </c>
      <c r="BT370">
        <v>39.367078523356732</v>
      </c>
      <c r="BU370">
        <v>39.367078523356732</v>
      </c>
      <c r="BV370">
        <v>0.88795435490820096</v>
      </c>
      <c r="BW370">
        <v>652.04270666235641</v>
      </c>
      <c r="BX370">
        <v>-0.85582848501293673</v>
      </c>
      <c r="BY370" t="str">
        <f t="shared" si="14"/>
        <v>[[sv,wv],[yr],[ya]]</v>
      </c>
      <c r="BZ370" t="str">
        <f>SUBSTITUTE(TRIM(MID(SUBSTITUTE(SUBSTITUTE(SUBSTITUTE(Tabla1[[#This Row],[map]],"[",""),"]",""),",",REPT(" ",100)),901,200))," ",", ")</f>
        <v>2, 4</v>
      </c>
      <c r="CA370" t="str">
        <f>SUBSTITUTE(TRIM(MID(SUBSTITUTE(SUBSTITUTE(SUBSTITUTE(Tabla1[[#This Row],[map]],"[",""),"]",""),",",REPT(" ",100)),1501,200))," ",", ")</f>
        <v>3, 2</v>
      </c>
      <c r="CB370" t="str">
        <f>SUBSTITUTE(TRIM(MID(SUBSTITUTE(SUBSTITUTE(SUBSTITUTE(Tabla1[[#This Row],[map]],"[",""),"]",""),",",REPT(" ",100)),601,300))," ",", ")</f>
        <v>0, 1, 3</v>
      </c>
      <c r="CC370" t="str">
        <f>SUBSTITUTE(TRIM(MID(SUBSTITUTE(SUBSTITUTE(SUBSTITUTE(Tabla1[[#This Row],[map]],"[",""),"]",""),",",REPT(" ",100)),1201,300))," ",", ")</f>
        <v>1, 4, 0</v>
      </c>
      <c r="CD370" t="str">
        <f>SUBSTITUTE(TRIM(MID(SUBSTITUTE(SUBSTITUTE(SUBSTITUTE(Tabla1[[#This Row],[map]],"[",""),"]",""),",",REPT(" ",100)),1,300))," ",", ")</f>
        <v>2, 3, 4</v>
      </c>
      <c r="CE370" t="str">
        <f>SUBSTITUTE(TRIM(MID(SUBSTITUTE(SUBSTITUTE(SUBSTITUTE(Tabla1[[#This Row],[map]],"[",""),"]",""),",",REPT(" ",100)),1,600))," ",", ")</f>
        <v>2, 3, 4, 0, 1, -1</v>
      </c>
      <c r="CF370" t="str">
        <f>SUBSTITUTE(TRIM(MID(SUBSTITUTE(SUBSTITUTE(SUBSTITUTE(Tabla1[[#This Row],[map]],"[",""),"]",""),",",REPT(" ",100)),601,600))," ",", ")</f>
        <v>0, 1, 3, 2, 4, -1</v>
      </c>
      <c r="CG370" t="str">
        <f>SUBSTITUTE(TRIM(MID(SUBSTITUTE(SUBSTITUTE(SUBSTITUTE(Tabla1[[#This Row],[map]],"[",""),"]",""),",",REPT(" ",100)),1201,600))," ",", ")</f>
        <v>1, 4, 0, 3, 2, -1</v>
      </c>
    </row>
    <row r="371" spans="1:85" x14ac:dyDescent="0.3">
      <c r="A371" s="1">
        <v>46109.846747685187</v>
      </c>
      <c r="B371" t="s">
        <v>609</v>
      </c>
      <c r="C371">
        <v>8</v>
      </c>
      <c r="D371" t="s">
        <v>96</v>
      </c>
      <c r="E371" t="s">
        <v>78</v>
      </c>
      <c r="F371">
        <v>16590</v>
      </c>
      <c r="G371">
        <v>4.5</v>
      </c>
      <c r="H371" t="s">
        <v>79</v>
      </c>
      <c r="I371" t="s">
        <v>80</v>
      </c>
      <c r="J371">
        <v>5</v>
      </c>
      <c r="K371">
        <v>5</v>
      </c>
      <c r="L371" t="s">
        <v>81</v>
      </c>
      <c r="M371" t="s">
        <v>82</v>
      </c>
      <c r="N371" t="s">
        <v>83</v>
      </c>
      <c r="O371" t="s">
        <v>83</v>
      </c>
      <c r="P371" t="s">
        <v>84</v>
      </c>
      <c r="Q371" t="s">
        <v>408</v>
      </c>
      <c r="R371">
        <v>3</v>
      </c>
      <c r="S371" t="s">
        <v>86</v>
      </c>
      <c r="T371" t="s">
        <v>87</v>
      </c>
      <c r="U371" t="s">
        <v>88</v>
      </c>
      <c r="V371">
        <v>1</v>
      </c>
      <c r="W371" t="s">
        <v>409</v>
      </c>
      <c r="X371" t="s">
        <v>83</v>
      </c>
      <c r="Y371" t="s">
        <v>90</v>
      </c>
      <c r="Z371">
        <v>4000</v>
      </c>
      <c r="AA371">
        <v>4000</v>
      </c>
      <c r="AC371">
        <v>256</v>
      </c>
      <c r="AD371" t="s">
        <v>91</v>
      </c>
      <c r="AE371">
        <v>0.15</v>
      </c>
      <c r="AF371" t="s">
        <v>92</v>
      </c>
      <c r="AG371">
        <v>180</v>
      </c>
      <c r="AH371">
        <v>60</v>
      </c>
      <c r="AI371">
        <v>120</v>
      </c>
      <c r="AJ371">
        <v>9.4527728522577681E-2</v>
      </c>
      <c r="AK371">
        <v>12.97285861039329</v>
      </c>
      <c r="AL371">
        <v>0.78522762353857123</v>
      </c>
      <c r="AM371">
        <v>-0.1050431186314313</v>
      </c>
      <c r="AN371">
        <v>17.70033430336392</v>
      </c>
      <c r="AO371">
        <v>0.71495610643636587</v>
      </c>
      <c r="AP371">
        <v>17.70033430336392</v>
      </c>
      <c r="AQ371">
        <v>17.70033430336392</v>
      </c>
      <c r="AR371">
        <v>0.71495610643636587</v>
      </c>
      <c r="AS371">
        <v>115.4451352196747</v>
      </c>
      <c r="AT371">
        <v>-0.1239138171575915</v>
      </c>
      <c r="AU371">
        <v>0.8</v>
      </c>
      <c r="AV371" t="s">
        <v>93</v>
      </c>
      <c r="AW371">
        <v>8.4041133853517067E-2</v>
      </c>
      <c r="AX371">
        <v>0.38975270652209709</v>
      </c>
      <c r="AY371">
        <v>8.4041133853517067E-2</v>
      </c>
      <c r="AZ371">
        <v>8.4041133853517067E-2</v>
      </c>
      <c r="BA371">
        <v>0.38975270652209709</v>
      </c>
      <c r="BB371">
        <v>0.17937244923151879</v>
      </c>
      <c r="BC371">
        <v>-0.30247590256013668</v>
      </c>
      <c r="BD371">
        <v>6.1893497162406969E-2</v>
      </c>
      <c r="BE371">
        <v>0.785552251669841</v>
      </c>
      <c r="BF371">
        <v>6.1893497162406969E-2</v>
      </c>
      <c r="BG371">
        <v>6.1893497162406969E-2</v>
      </c>
      <c r="BH371">
        <v>0.785552251669841</v>
      </c>
      <c r="BI371">
        <v>0.28724304559875308</v>
      </c>
      <c r="BJ371">
        <v>4.7641969475957779E-3</v>
      </c>
      <c r="BK371">
        <v>2.851132454046704E-2</v>
      </c>
      <c r="BL371">
        <v>0.88553605015628656</v>
      </c>
      <c r="BM371">
        <v>2.851132454046704E-2</v>
      </c>
      <c r="BN371">
        <v>2.851132454046704E-2</v>
      </c>
      <c r="BO371">
        <v>0.88553605015628656</v>
      </c>
      <c r="BP371">
        <v>0.2205878992635221</v>
      </c>
      <c r="BQ371">
        <v>0.1144093568296808</v>
      </c>
      <c r="BR371">
        <v>70.626891257898862</v>
      </c>
      <c r="BS371">
        <v>0.79898341739724144</v>
      </c>
      <c r="BT371">
        <v>70.626891257898862</v>
      </c>
      <c r="BU371">
        <v>70.626891257898862</v>
      </c>
      <c r="BV371">
        <v>0.79898341739724144</v>
      </c>
      <c r="BW371">
        <v>461.09333748460398</v>
      </c>
      <c r="BX371">
        <v>-0.31235291984750152</v>
      </c>
      <c r="BY371" t="str">
        <f t="shared" si="14"/>
        <v>[[sv,wv],[yr],[ya]]</v>
      </c>
      <c r="BZ371" t="str">
        <f>SUBSTITUTE(TRIM(MID(SUBSTITUTE(SUBSTITUTE(SUBSTITUTE(Tabla1[[#This Row],[map]],"[",""),"]",""),",",REPT(" ",100)),901,200))," ",", ")</f>
        <v>2, 3</v>
      </c>
      <c r="CA371" t="str">
        <f>SUBSTITUTE(TRIM(MID(SUBSTITUTE(SUBSTITUTE(SUBSTITUTE(Tabla1[[#This Row],[map]],"[",""),"]",""),",",REPT(" ",100)),1501,200))," ",", ")</f>
        <v>3, 4</v>
      </c>
      <c r="CB371" t="str">
        <f>SUBSTITUTE(TRIM(MID(SUBSTITUTE(SUBSTITUTE(SUBSTITUTE(Tabla1[[#This Row],[map]],"[",""),"]",""),",",REPT(" ",100)),601,300))," ",", ")</f>
        <v>1, 4, 0</v>
      </c>
      <c r="CC371" t="str">
        <f>SUBSTITUTE(TRIM(MID(SUBSTITUTE(SUBSTITUTE(SUBSTITUTE(Tabla1[[#This Row],[map]],"[",""),"]",""),",",REPT(" ",100)),1201,300))," ",", ")</f>
        <v>1, 2, 0</v>
      </c>
      <c r="CD371" t="str">
        <f>SUBSTITUTE(TRIM(MID(SUBSTITUTE(SUBSTITUTE(SUBSTITUTE(Tabla1[[#This Row],[map]],"[",""),"]",""),",",REPT(" ",100)),1,300))," ",", ")</f>
        <v>2, 3, 4</v>
      </c>
      <c r="CE371" t="str">
        <f>SUBSTITUTE(TRIM(MID(SUBSTITUTE(SUBSTITUTE(SUBSTITUTE(Tabla1[[#This Row],[map]],"[",""),"]",""),",",REPT(" ",100)),1,600))," ",", ")</f>
        <v>2, 3, 4, 0, 1, -1</v>
      </c>
      <c r="CF371" t="str">
        <f>SUBSTITUTE(TRIM(MID(SUBSTITUTE(SUBSTITUTE(SUBSTITUTE(Tabla1[[#This Row],[map]],"[",""),"]",""),",",REPT(" ",100)),601,600))," ",", ")</f>
        <v>1, 4, 0, 2, 3, -1</v>
      </c>
      <c r="CG371" t="str">
        <f>SUBSTITUTE(TRIM(MID(SUBSTITUTE(SUBSTITUTE(SUBSTITUTE(Tabla1[[#This Row],[map]],"[",""),"]",""),",",REPT(" ",100)),1201,600))," ",", ")</f>
        <v>1, 2, 0, 3, 4, -1</v>
      </c>
    </row>
    <row r="372" spans="1:85" x14ac:dyDescent="0.3">
      <c r="A372" s="1">
        <v>46109.853738425933</v>
      </c>
      <c r="B372" t="s">
        <v>610</v>
      </c>
      <c r="C372">
        <v>5</v>
      </c>
      <c r="D372" t="s">
        <v>77</v>
      </c>
      <c r="E372" t="s">
        <v>78</v>
      </c>
      <c r="F372">
        <v>16590</v>
      </c>
      <c r="G372">
        <v>4.5</v>
      </c>
      <c r="H372" t="s">
        <v>79</v>
      </c>
      <c r="I372" t="s">
        <v>80</v>
      </c>
      <c r="J372">
        <v>5</v>
      </c>
      <c r="K372">
        <v>5</v>
      </c>
      <c r="L372" t="s">
        <v>81</v>
      </c>
      <c r="M372" t="s">
        <v>82</v>
      </c>
      <c r="N372" t="s">
        <v>83</v>
      </c>
      <c r="O372" t="s">
        <v>83</v>
      </c>
      <c r="P372" t="s">
        <v>84</v>
      </c>
      <c r="Q372" t="s">
        <v>271</v>
      </c>
      <c r="R372">
        <v>3</v>
      </c>
      <c r="S372" t="s">
        <v>86</v>
      </c>
      <c r="T372" t="s">
        <v>87</v>
      </c>
      <c r="U372" t="s">
        <v>88</v>
      </c>
      <c r="V372">
        <v>1</v>
      </c>
      <c r="W372" t="s">
        <v>272</v>
      </c>
      <c r="X372" t="s">
        <v>83</v>
      </c>
      <c r="Y372" t="s">
        <v>90</v>
      </c>
      <c r="Z372">
        <v>4000</v>
      </c>
      <c r="AA372">
        <v>4000</v>
      </c>
      <c r="AC372">
        <v>256</v>
      </c>
      <c r="AD372" t="s">
        <v>91</v>
      </c>
      <c r="AE372">
        <v>0.15</v>
      </c>
      <c r="AF372" t="s">
        <v>92</v>
      </c>
      <c r="AG372">
        <v>180</v>
      </c>
      <c r="AH372">
        <v>60</v>
      </c>
      <c r="AI372">
        <v>120</v>
      </c>
      <c r="AJ372">
        <v>0.1208292479100565</v>
      </c>
      <c r="AK372">
        <v>19.0058618583321</v>
      </c>
      <c r="AL372">
        <v>0.68465313710430786</v>
      </c>
      <c r="AM372">
        <v>0.39540240248515562</v>
      </c>
      <c r="AN372">
        <v>19.835950689549509</v>
      </c>
      <c r="AO372">
        <v>0.66499162356781993</v>
      </c>
      <c r="AP372">
        <v>19.835950689549509</v>
      </c>
      <c r="AQ372">
        <v>19.835950689549509</v>
      </c>
      <c r="AR372">
        <v>0.66499162356781993</v>
      </c>
      <c r="AS372">
        <v>79.546840364002151</v>
      </c>
      <c r="AT372">
        <v>0.18474503698774991</v>
      </c>
      <c r="AU372">
        <v>0.8</v>
      </c>
      <c r="AV372" t="s">
        <v>93</v>
      </c>
      <c r="AW372">
        <v>7.514551790029203E-2</v>
      </c>
      <c r="AX372">
        <v>0.45434638000508831</v>
      </c>
      <c r="AY372">
        <v>7.514551790029203E-2</v>
      </c>
      <c r="AZ372">
        <v>7.514551790029203E-2</v>
      </c>
      <c r="BA372">
        <v>0.45434638000508831</v>
      </c>
      <c r="BB372">
        <v>0.17596718405013201</v>
      </c>
      <c r="BC372">
        <v>-0.27774927447658571</v>
      </c>
      <c r="BD372">
        <v>0.1003056610960792</v>
      </c>
      <c r="BE372">
        <v>0.65246230778687964</v>
      </c>
      <c r="BF372">
        <v>0.1003056610960792</v>
      </c>
      <c r="BG372">
        <v>0.1003056610960792</v>
      </c>
      <c r="BH372">
        <v>0.65246230778687964</v>
      </c>
      <c r="BI372">
        <v>0.14013928233329731</v>
      </c>
      <c r="BJ372">
        <v>0.51444731794484144</v>
      </c>
      <c r="BK372">
        <v>5.5215373990950903E-2</v>
      </c>
      <c r="BL372">
        <v>0.77832773815430201</v>
      </c>
      <c r="BM372">
        <v>5.5215373990950903E-2</v>
      </c>
      <c r="BN372">
        <v>5.5215373990950903E-2</v>
      </c>
      <c r="BO372">
        <v>0.77832773815430201</v>
      </c>
      <c r="BP372">
        <v>0.1478126335781596</v>
      </c>
      <c r="BQ372">
        <v>0.40657902960124948</v>
      </c>
      <c r="BR372">
        <v>79.113136205210665</v>
      </c>
      <c r="BS372">
        <v>0.77483006832501022</v>
      </c>
      <c r="BT372">
        <v>79.113136205210665</v>
      </c>
      <c r="BU372">
        <v>79.113136205210665</v>
      </c>
      <c r="BV372">
        <v>0.77483006832501022</v>
      </c>
      <c r="BW372">
        <v>317.72344235604749</v>
      </c>
      <c r="BX372">
        <v>9.5703074881491212E-2</v>
      </c>
      <c r="BY372" t="str">
        <f t="shared" si="14"/>
        <v>[[sv,wv],[yr],[ya]]</v>
      </c>
      <c r="BZ372" t="str">
        <f>SUBSTITUTE(TRIM(MID(SUBSTITUTE(SUBSTITUTE(SUBSTITUTE(Tabla1[[#This Row],[map]],"[",""),"]",""),",",REPT(" ",100)),901,200))," ",", ")</f>
        <v>2, 4</v>
      </c>
      <c r="CA372" t="str">
        <f>SUBSTITUTE(TRIM(MID(SUBSTITUTE(SUBSTITUTE(SUBSTITUTE(Tabla1[[#This Row],[map]],"[",""),"]",""),",",REPT(" ",100)),1501,200))," ",", ")</f>
        <v>3, 4</v>
      </c>
      <c r="CB372" t="str">
        <f>SUBSTITUTE(TRIM(MID(SUBSTITUTE(SUBSTITUTE(SUBSTITUTE(Tabla1[[#This Row],[map]],"[",""),"]",""),",",REPT(" ",100)),601,300))," ",", ")</f>
        <v>0, 1, 3</v>
      </c>
      <c r="CC372" t="str">
        <f>SUBSTITUTE(TRIM(MID(SUBSTITUTE(SUBSTITUTE(SUBSTITUTE(Tabla1[[#This Row],[map]],"[",""),"]",""),",",REPT(" ",100)),1201,300))," ",", ")</f>
        <v>0, 1, 2</v>
      </c>
      <c r="CD372" t="str">
        <f>SUBSTITUTE(TRIM(MID(SUBSTITUTE(SUBSTITUTE(SUBSTITUTE(Tabla1[[#This Row],[map]],"[",""),"]",""),",",REPT(" ",100)),1,300))," ",", ")</f>
        <v>4, 2, 3</v>
      </c>
      <c r="CE372" t="str">
        <f>SUBSTITUTE(TRIM(MID(SUBSTITUTE(SUBSTITUTE(SUBSTITUTE(Tabla1[[#This Row],[map]],"[",""),"]",""),",",REPT(" ",100)),1,600))," ",", ")</f>
        <v>4, 2, 3, 0, 1, -1</v>
      </c>
      <c r="CF372" t="str">
        <f>SUBSTITUTE(TRIM(MID(SUBSTITUTE(SUBSTITUTE(SUBSTITUTE(Tabla1[[#This Row],[map]],"[",""),"]",""),",",REPT(" ",100)),601,600))," ",", ")</f>
        <v>0, 1, 3, 2, 4, -1</v>
      </c>
      <c r="CG372" t="str">
        <f>SUBSTITUTE(TRIM(MID(SUBSTITUTE(SUBSTITUTE(SUBSTITUTE(Tabla1[[#This Row],[map]],"[",""),"]",""),",",REPT(" ",100)),1201,600))," ",", ")</f>
        <v>0, 1, 2, 3, 4, -1</v>
      </c>
    </row>
    <row r="373" spans="1:85" x14ac:dyDescent="0.3">
      <c r="A373" s="1">
        <v>46109.853981481479</v>
      </c>
      <c r="B373" t="s">
        <v>611</v>
      </c>
      <c r="C373">
        <v>6</v>
      </c>
      <c r="D373" t="s">
        <v>96</v>
      </c>
      <c r="E373" t="s">
        <v>78</v>
      </c>
      <c r="F373">
        <v>16590</v>
      </c>
      <c r="G373">
        <v>4.5</v>
      </c>
      <c r="H373" t="s">
        <v>79</v>
      </c>
      <c r="I373" t="s">
        <v>80</v>
      </c>
      <c r="J373">
        <v>5</v>
      </c>
      <c r="K373">
        <v>5</v>
      </c>
      <c r="L373" t="s">
        <v>81</v>
      </c>
      <c r="M373" t="s">
        <v>82</v>
      </c>
      <c r="N373" t="s">
        <v>83</v>
      </c>
      <c r="O373" t="s">
        <v>83</v>
      </c>
      <c r="P373" t="s">
        <v>84</v>
      </c>
      <c r="Q373" t="s">
        <v>422</v>
      </c>
      <c r="R373">
        <v>3</v>
      </c>
      <c r="S373" t="s">
        <v>86</v>
      </c>
      <c r="T373" t="s">
        <v>87</v>
      </c>
      <c r="U373" t="s">
        <v>88</v>
      </c>
      <c r="V373">
        <v>1</v>
      </c>
      <c r="W373" t="s">
        <v>423</v>
      </c>
      <c r="X373" t="s">
        <v>83</v>
      </c>
      <c r="Y373" t="s">
        <v>90</v>
      </c>
      <c r="Z373">
        <v>4000</v>
      </c>
      <c r="AA373">
        <v>4000</v>
      </c>
      <c r="AC373">
        <v>256</v>
      </c>
      <c r="AD373" t="s">
        <v>91</v>
      </c>
      <c r="AE373">
        <v>0.15</v>
      </c>
      <c r="AF373" t="s">
        <v>92</v>
      </c>
      <c r="AG373">
        <v>180</v>
      </c>
      <c r="AH373">
        <v>60</v>
      </c>
      <c r="AI373">
        <v>120</v>
      </c>
      <c r="AJ373">
        <v>0.1045079411752162</v>
      </c>
      <c r="AK373">
        <v>9.2778474883493232</v>
      </c>
      <c r="AL373">
        <v>0.79177317987243667</v>
      </c>
      <c r="AM373">
        <v>-0.38096077379407822</v>
      </c>
      <c r="AN373">
        <v>14.68992981902317</v>
      </c>
      <c r="AO373">
        <v>0.73608834838223014</v>
      </c>
      <c r="AP373">
        <v>14.68992981902317</v>
      </c>
      <c r="AQ373">
        <v>14.68992981902317</v>
      </c>
      <c r="AR373">
        <v>0.73608834838223014</v>
      </c>
      <c r="AS373">
        <v>168.1730773220431</v>
      </c>
      <c r="AT373">
        <v>-0.29422284606839111</v>
      </c>
      <c r="AU373">
        <v>0.8</v>
      </c>
      <c r="AV373" t="s">
        <v>93</v>
      </c>
      <c r="AW373">
        <v>6.5347280550052567E-2</v>
      </c>
      <c r="AX373">
        <v>0.52549425188244392</v>
      </c>
      <c r="AY373">
        <v>6.5347280550052567E-2</v>
      </c>
      <c r="AZ373">
        <v>6.5347280550052567E-2</v>
      </c>
      <c r="BA373">
        <v>0.52549425188244392</v>
      </c>
      <c r="BB373">
        <v>0.15260509744531089</v>
      </c>
      <c r="BC373">
        <v>-0.1081103195162965</v>
      </c>
      <c r="BD373">
        <v>6.9786539617169921E-2</v>
      </c>
      <c r="BE373">
        <v>0.75820454537596627</v>
      </c>
      <c r="BF373">
        <v>6.9786539617169921E-2</v>
      </c>
      <c r="BG373">
        <v>6.9786539617169921E-2</v>
      </c>
      <c r="BH373">
        <v>0.75820454537596627</v>
      </c>
      <c r="BI373">
        <v>0.27412474858663571</v>
      </c>
      <c r="BJ373">
        <v>5.0216294262327883E-2</v>
      </c>
      <c r="BK373">
        <v>4.2995135835711219E-2</v>
      </c>
      <c r="BL373">
        <v>0.8273881290629832</v>
      </c>
      <c r="BM373">
        <v>4.2995135835711219E-2</v>
      </c>
      <c r="BN373">
        <v>4.2995135835711219E-2</v>
      </c>
      <c r="BO373">
        <v>0.8273881290629832</v>
      </c>
      <c r="BP373">
        <v>0.30051341975811841</v>
      </c>
      <c r="BQ373">
        <v>-0.2064663273617455</v>
      </c>
      <c r="BR373">
        <v>58.581590320089688</v>
      </c>
      <c r="BS373">
        <v>0.83326646720752739</v>
      </c>
      <c r="BT373">
        <v>58.581590320089688</v>
      </c>
      <c r="BU373">
        <v>58.581590320089688</v>
      </c>
      <c r="BV373">
        <v>0.83326646720752739</v>
      </c>
      <c r="BW373">
        <v>671.96506602238401</v>
      </c>
      <c r="BX373">
        <v>-0.91253103165785854</v>
      </c>
      <c r="BY373" t="str">
        <f t="shared" si="14"/>
        <v>[[sv,wv],[yr],[ya]]</v>
      </c>
      <c r="BZ373" t="str">
        <f>SUBSTITUTE(TRIM(MID(SUBSTITUTE(SUBSTITUTE(SUBSTITUTE(Tabla1[[#This Row],[map]],"[",""),"]",""),",",REPT(" ",100)),901,200))," ",", ")</f>
        <v>2, 4</v>
      </c>
      <c r="CA373" t="str">
        <f>SUBSTITUTE(TRIM(MID(SUBSTITUTE(SUBSTITUTE(SUBSTITUTE(Tabla1[[#This Row],[map]],"[",""),"]",""),",",REPT(" ",100)),1501,200))," ",", ")</f>
        <v>3, 2</v>
      </c>
      <c r="CB373" t="str">
        <f>SUBSTITUTE(TRIM(MID(SUBSTITUTE(SUBSTITUTE(SUBSTITUTE(Tabla1[[#This Row],[map]],"[",""),"]",""),",",REPT(" ",100)),601,300))," ",", ")</f>
        <v>1, 3, 0</v>
      </c>
      <c r="CC373" t="str">
        <f>SUBSTITUTE(TRIM(MID(SUBSTITUTE(SUBSTITUTE(SUBSTITUTE(Tabla1[[#This Row],[map]],"[",""),"]",""),",",REPT(" ",100)),1201,300))," ",", ")</f>
        <v>1, 4, 0</v>
      </c>
      <c r="CD373" t="str">
        <f>SUBSTITUTE(TRIM(MID(SUBSTITUTE(SUBSTITUTE(SUBSTITUTE(Tabla1[[#This Row],[map]],"[",""),"]",""),",",REPT(" ",100)),1,300))," ",", ")</f>
        <v>2, 3, 4</v>
      </c>
      <c r="CE373" t="str">
        <f>SUBSTITUTE(TRIM(MID(SUBSTITUTE(SUBSTITUTE(SUBSTITUTE(Tabla1[[#This Row],[map]],"[",""),"]",""),",",REPT(" ",100)),1,600))," ",", ")</f>
        <v>2, 3, 4, 0, 1, -1</v>
      </c>
      <c r="CF373" t="str">
        <f>SUBSTITUTE(TRIM(MID(SUBSTITUTE(SUBSTITUTE(SUBSTITUTE(Tabla1[[#This Row],[map]],"[",""),"]",""),",",REPT(" ",100)),601,600))," ",", ")</f>
        <v>1, 3, 0, 2, 4, -1</v>
      </c>
      <c r="CG373" t="str">
        <f>SUBSTITUTE(TRIM(MID(SUBSTITUTE(SUBSTITUTE(SUBSTITUTE(Tabla1[[#This Row],[map]],"[",""),"]",""),",",REPT(" ",100)),1201,600))," ",", ")</f>
        <v>1, 4, 0, 3, 2, -1</v>
      </c>
    </row>
    <row r="374" spans="1:85" x14ac:dyDescent="0.3">
      <c r="A374" s="1">
        <v>46109.85800925926</v>
      </c>
      <c r="B374" t="s">
        <v>612</v>
      </c>
      <c r="C374">
        <v>9</v>
      </c>
      <c r="D374" t="s">
        <v>96</v>
      </c>
      <c r="E374" t="s">
        <v>78</v>
      </c>
      <c r="F374">
        <v>16590</v>
      </c>
      <c r="G374">
        <v>4.5</v>
      </c>
      <c r="H374" t="s">
        <v>79</v>
      </c>
      <c r="I374" t="s">
        <v>80</v>
      </c>
      <c r="J374">
        <v>5</v>
      </c>
      <c r="K374">
        <v>5</v>
      </c>
      <c r="L374" t="s">
        <v>81</v>
      </c>
      <c r="M374" t="s">
        <v>82</v>
      </c>
      <c r="N374" t="s">
        <v>83</v>
      </c>
      <c r="O374" t="s">
        <v>83</v>
      </c>
      <c r="P374" t="s">
        <v>84</v>
      </c>
      <c r="Q374" t="s">
        <v>408</v>
      </c>
      <c r="R374">
        <v>3</v>
      </c>
      <c r="S374" t="s">
        <v>86</v>
      </c>
      <c r="T374" t="s">
        <v>87</v>
      </c>
      <c r="U374" t="s">
        <v>88</v>
      </c>
      <c r="V374">
        <v>1</v>
      </c>
      <c r="W374" t="s">
        <v>409</v>
      </c>
      <c r="X374" t="s">
        <v>83</v>
      </c>
      <c r="Y374" t="s">
        <v>90</v>
      </c>
      <c r="Z374">
        <v>4000</v>
      </c>
      <c r="AA374">
        <v>4000</v>
      </c>
      <c r="AC374">
        <v>256</v>
      </c>
      <c r="AD374" t="s">
        <v>91</v>
      </c>
      <c r="AE374">
        <v>0.15</v>
      </c>
      <c r="AF374" t="s">
        <v>92</v>
      </c>
      <c r="AG374">
        <v>180</v>
      </c>
      <c r="AH374">
        <v>60</v>
      </c>
      <c r="AI374">
        <v>120</v>
      </c>
      <c r="AJ374">
        <v>0.10232006100125721</v>
      </c>
      <c r="AK374">
        <v>18.16227256810318</v>
      </c>
      <c r="AL374">
        <v>0.78881297122727312</v>
      </c>
      <c r="AM374">
        <v>-5.2011722578996063E-2</v>
      </c>
      <c r="AN374">
        <v>25.30027291503372</v>
      </c>
      <c r="AO374">
        <v>0.73413141230026058</v>
      </c>
      <c r="AP374">
        <v>25.30027291503372</v>
      </c>
      <c r="AQ374">
        <v>25.30027291503372</v>
      </c>
      <c r="AR374">
        <v>0.73413141230026058</v>
      </c>
      <c r="AS374">
        <v>122.28974528263279</v>
      </c>
      <c r="AT374">
        <v>-4.253702813731397E-2</v>
      </c>
      <c r="AU374">
        <v>0.8</v>
      </c>
      <c r="AV374" t="s">
        <v>93</v>
      </c>
      <c r="AW374">
        <v>4.7973472373468218E-2</v>
      </c>
      <c r="AX374">
        <v>0.65165056285802647</v>
      </c>
      <c r="AY374">
        <v>4.7973472373468218E-2</v>
      </c>
      <c r="AZ374">
        <v>4.7973472373468218E-2</v>
      </c>
      <c r="BA374">
        <v>0.65165056285802647</v>
      </c>
      <c r="BB374">
        <v>0.16025710822142819</v>
      </c>
      <c r="BC374">
        <v>-0.16367381148355631</v>
      </c>
      <c r="BD374">
        <v>4.6681044868406761E-2</v>
      </c>
      <c r="BE374">
        <v>0.83826014976240115</v>
      </c>
      <c r="BF374">
        <v>4.6681044868406761E-2</v>
      </c>
      <c r="BG374">
        <v>4.6681044868406761E-2</v>
      </c>
      <c r="BH374">
        <v>0.83826014976240115</v>
      </c>
      <c r="BI374">
        <v>0.23191579835942849</v>
      </c>
      <c r="BJ374">
        <v>0.19646129172713661</v>
      </c>
      <c r="BK374">
        <v>6.6208643510676429E-2</v>
      </c>
      <c r="BL374">
        <v>0.73419323822469351</v>
      </c>
      <c r="BM374">
        <v>6.6208643510676429E-2</v>
      </c>
      <c r="BN374">
        <v>6.6208643510676429E-2</v>
      </c>
      <c r="BO374">
        <v>0.73419323822469351</v>
      </c>
      <c r="BP374">
        <v>0.20235592606561759</v>
      </c>
      <c r="BQ374">
        <v>0.187604962411416</v>
      </c>
      <c r="BR374">
        <v>101.04022849938239</v>
      </c>
      <c r="BS374">
        <v>0.71242169835591951</v>
      </c>
      <c r="BT374">
        <v>101.04022849938239</v>
      </c>
      <c r="BU374">
        <v>101.04022849938239</v>
      </c>
      <c r="BV374">
        <v>0.71242169835591951</v>
      </c>
      <c r="BW374">
        <v>488.56445229788699</v>
      </c>
      <c r="BX374">
        <v>-0.39054055520426201</v>
      </c>
      <c r="BY374" t="str">
        <f t="shared" si="14"/>
        <v>[[sv,wv],[yr],[ya]]</v>
      </c>
      <c r="BZ374" t="str">
        <f>SUBSTITUTE(TRIM(MID(SUBSTITUTE(SUBSTITUTE(SUBSTITUTE(Tabla1[[#This Row],[map]],"[",""),"]",""),",",REPT(" ",100)),901,200))," ",", ")</f>
        <v>2, 3</v>
      </c>
      <c r="CA374" t="str">
        <f>SUBSTITUTE(TRIM(MID(SUBSTITUTE(SUBSTITUTE(SUBSTITUTE(Tabla1[[#This Row],[map]],"[",""),"]",""),",",REPT(" ",100)),1501,200))," ",", ")</f>
        <v>3, 4</v>
      </c>
      <c r="CB374" t="str">
        <f>SUBSTITUTE(TRIM(MID(SUBSTITUTE(SUBSTITUTE(SUBSTITUTE(Tabla1[[#This Row],[map]],"[",""),"]",""),",",REPT(" ",100)),601,300))," ",", ")</f>
        <v>1, 4, 0</v>
      </c>
      <c r="CC374" t="str">
        <f>SUBSTITUTE(TRIM(MID(SUBSTITUTE(SUBSTITUTE(SUBSTITUTE(Tabla1[[#This Row],[map]],"[",""),"]",""),",",REPT(" ",100)),1201,300))," ",", ")</f>
        <v>1, 2, 0</v>
      </c>
      <c r="CD374" t="str">
        <f>SUBSTITUTE(TRIM(MID(SUBSTITUTE(SUBSTITUTE(SUBSTITUTE(Tabla1[[#This Row],[map]],"[",""),"]",""),",",REPT(" ",100)),1,300))," ",", ")</f>
        <v>2, 3, 4</v>
      </c>
      <c r="CE374" t="str">
        <f>SUBSTITUTE(TRIM(MID(SUBSTITUTE(SUBSTITUTE(SUBSTITUTE(Tabla1[[#This Row],[map]],"[",""),"]",""),",",REPT(" ",100)),1,600))," ",", ")</f>
        <v>2, 3, 4, 0, 1, -1</v>
      </c>
      <c r="CF374" t="str">
        <f>SUBSTITUTE(TRIM(MID(SUBSTITUTE(SUBSTITUTE(SUBSTITUTE(Tabla1[[#This Row],[map]],"[",""),"]",""),",",REPT(" ",100)),601,600))," ",", ")</f>
        <v>1, 4, 0, 2, 3, -1</v>
      </c>
      <c r="CG374" t="str">
        <f>SUBSTITUTE(TRIM(MID(SUBSTITUTE(SUBSTITUTE(SUBSTITUTE(Tabla1[[#This Row],[map]],"[",""),"]",""),",",REPT(" ",100)),1201,600))," ",", ")</f>
        <v>1, 2, 0, 3, 4, -1</v>
      </c>
    </row>
    <row r="375" spans="1:85" x14ac:dyDescent="0.3">
      <c r="A375" s="1">
        <v>46109.890462962961</v>
      </c>
      <c r="B375" t="s">
        <v>613</v>
      </c>
      <c r="C375">
        <v>4</v>
      </c>
      <c r="D375" t="s">
        <v>77</v>
      </c>
      <c r="E375" t="s">
        <v>78</v>
      </c>
      <c r="F375">
        <v>16590</v>
      </c>
      <c r="G375">
        <v>4.5</v>
      </c>
      <c r="H375" t="s">
        <v>79</v>
      </c>
      <c r="I375" t="s">
        <v>80</v>
      </c>
      <c r="J375">
        <v>5</v>
      </c>
      <c r="K375">
        <v>5</v>
      </c>
      <c r="L375" t="s">
        <v>81</v>
      </c>
      <c r="M375" t="s">
        <v>82</v>
      </c>
      <c r="N375" t="s">
        <v>83</v>
      </c>
      <c r="O375" t="s">
        <v>83</v>
      </c>
      <c r="P375" t="s">
        <v>84</v>
      </c>
      <c r="Q375" t="s">
        <v>271</v>
      </c>
      <c r="R375">
        <v>3</v>
      </c>
      <c r="S375" t="s">
        <v>86</v>
      </c>
      <c r="T375" t="s">
        <v>87</v>
      </c>
      <c r="U375" t="s">
        <v>88</v>
      </c>
      <c r="V375">
        <v>1</v>
      </c>
      <c r="W375" t="s">
        <v>272</v>
      </c>
      <c r="X375" t="s">
        <v>83</v>
      </c>
      <c r="Y375" t="s">
        <v>90</v>
      </c>
      <c r="Z375">
        <v>4000</v>
      </c>
      <c r="AA375">
        <v>4000</v>
      </c>
      <c r="AC375">
        <v>256</v>
      </c>
      <c r="AD375" t="s">
        <v>91</v>
      </c>
      <c r="AE375">
        <v>0.15</v>
      </c>
      <c r="AF375" t="s">
        <v>92</v>
      </c>
      <c r="AG375">
        <v>180</v>
      </c>
      <c r="AH375">
        <v>60</v>
      </c>
      <c r="AI375">
        <v>120</v>
      </c>
      <c r="AJ375">
        <v>0.1068218723376889</v>
      </c>
      <c r="AK375">
        <v>13.32109153550079</v>
      </c>
      <c r="AL375">
        <v>0.72234789252195819</v>
      </c>
      <c r="AM375">
        <v>0.29131648052838671</v>
      </c>
      <c r="AN375">
        <v>14.886295371636381</v>
      </c>
      <c r="AO375">
        <v>0.66331040875110925</v>
      </c>
      <c r="AP375">
        <v>14.886295371636381</v>
      </c>
      <c r="AQ375">
        <v>14.886295371636381</v>
      </c>
      <c r="AR375">
        <v>0.66331040875110925</v>
      </c>
      <c r="AS375">
        <v>64.83705783310981</v>
      </c>
      <c r="AT375">
        <v>0.28475262896470449</v>
      </c>
      <c r="AU375">
        <v>0.8</v>
      </c>
      <c r="AV375" t="s">
        <v>93</v>
      </c>
      <c r="AW375">
        <v>7.8298219018933468E-2</v>
      </c>
      <c r="AX375">
        <v>0.43145369357192942</v>
      </c>
      <c r="AY375">
        <v>7.8298219018933468E-2</v>
      </c>
      <c r="AZ375">
        <v>7.8298219018933468E-2</v>
      </c>
      <c r="BA375">
        <v>0.43145369357192942</v>
      </c>
      <c r="BB375">
        <v>0.14566134891613461</v>
      </c>
      <c r="BC375">
        <v>-5.7689727215545217E-2</v>
      </c>
      <c r="BD375">
        <v>7.3941652188138265E-2</v>
      </c>
      <c r="BE375">
        <v>0.74380796777485914</v>
      </c>
      <c r="BF375">
        <v>7.3941652188138265E-2</v>
      </c>
      <c r="BG375">
        <v>7.3941652188138265E-2</v>
      </c>
      <c r="BH375">
        <v>0.74380796777485914</v>
      </c>
      <c r="BI375">
        <v>0.117353646258613</v>
      </c>
      <c r="BJ375">
        <v>0.59339468034165166</v>
      </c>
      <c r="BK375">
        <v>8.7983933252400129E-2</v>
      </c>
      <c r="BL375">
        <v>0.64677233747729668</v>
      </c>
      <c r="BM375">
        <v>8.7983933252400129E-2</v>
      </c>
      <c r="BN375">
        <v>8.7983933252400129E-2</v>
      </c>
      <c r="BO375">
        <v>0.64677233747729668</v>
      </c>
      <c r="BP375">
        <v>0.16433672513863329</v>
      </c>
      <c r="BQ375">
        <v>0.34024002858758412</v>
      </c>
      <c r="BR375">
        <v>59.304957682085913</v>
      </c>
      <c r="BS375">
        <v>0.83120763618034998</v>
      </c>
      <c r="BT375">
        <v>59.304957682085913</v>
      </c>
      <c r="BU375">
        <v>59.304957682085913</v>
      </c>
      <c r="BV375">
        <v>0.83120763618034998</v>
      </c>
      <c r="BW375">
        <v>258.92087961212638</v>
      </c>
      <c r="BX375">
        <v>0.26306553414512662</v>
      </c>
      <c r="BY375" t="str">
        <f t="shared" si="14"/>
        <v>[[sv,wv],[yr],[ya]]</v>
      </c>
      <c r="BZ375" t="str">
        <f>SUBSTITUTE(TRIM(MID(SUBSTITUTE(SUBSTITUTE(SUBSTITUTE(Tabla1[[#This Row],[map]],"[",""),"]",""),",",REPT(" ",100)),901,200))," ",", ")</f>
        <v>2, 4</v>
      </c>
      <c r="CA375" t="str">
        <f>SUBSTITUTE(TRIM(MID(SUBSTITUTE(SUBSTITUTE(SUBSTITUTE(Tabla1[[#This Row],[map]],"[",""),"]",""),",",REPT(" ",100)),1501,200))," ",", ")</f>
        <v>3, 4</v>
      </c>
      <c r="CB375" t="str">
        <f>SUBSTITUTE(TRIM(MID(SUBSTITUTE(SUBSTITUTE(SUBSTITUTE(Tabla1[[#This Row],[map]],"[",""),"]",""),",",REPT(" ",100)),601,300))," ",", ")</f>
        <v>0, 1, 3</v>
      </c>
      <c r="CC375" t="str">
        <f>SUBSTITUTE(TRIM(MID(SUBSTITUTE(SUBSTITUTE(SUBSTITUTE(Tabla1[[#This Row],[map]],"[",""),"]",""),",",REPT(" ",100)),1201,300))," ",", ")</f>
        <v>0, 1, 2</v>
      </c>
      <c r="CD375" t="str">
        <f>SUBSTITUTE(TRIM(MID(SUBSTITUTE(SUBSTITUTE(SUBSTITUTE(Tabla1[[#This Row],[map]],"[",""),"]",""),",",REPT(" ",100)),1,300))," ",", ")</f>
        <v>4, 2, 3</v>
      </c>
      <c r="CE375" t="str">
        <f>SUBSTITUTE(TRIM(MID(SUBSTITUTE(SUBSTITUTE(SUBSTITUTE(Tabla1[[#This Row],[map]],"[",""),"]",""),",",REPT(" ",100)),1,600))," ",", ")</f>
        <v>4, 2, 3, 0, 1, -1</v>
      </c>
      <c r="CF375" t="str">
        <f>SUBSTITUTE(TRIM(MID(SUBSTITUTE(SUBSTITUTE(SUBSTITUTE(Tabla1[[#This Row],[map]],"[",""),"]",""),",",REPT(" ",100)),601,600))," ",", ")</f>
        <v>0, 1, 3, 2, 4, -1</v>
      </c>
      <c r="CG375" t="str">
        <f>SUBSTITUTE(TRIM(MID(SUBSTITUTE(SUBSTITUTE(SUBSTITUTE(Tabla1[[#This Row],[map]],"[",""),"]",""),",",REPT(" ",100)),1201,600))," ",", ")</f>
        <v>0, 1, 2, 3, 4, -1</v>
      </c>
    </row>
    <row r="376" spans="1:85" x14ac:dyDescent="0.3">
      <c r="A376" s="1">
        <v>46109.894699074073</v>
      </c>
      <c r="B376" t="s">
        <v>614</v>
      </c>
      <c r="C376">
        <v>4</v>
      </c>
      <c r="D376" t="s">
        <v>77</v>
      </c>
      <c r="E376" t="s">
        <v>78</v>
      </c>
      <c r="F376">
        <v>16590</v>
      </c>
      <c r="G376">
        <v>4.5</v>
      </c>
      <c r="H376" t="s">
        <v>79</v>
      </c>
      <c r="I376" t="s">
        <v>80</v>
      </c>
      <c r="J376">
        <v>5</v>
      </c>
      <c r="K376">
        <v>5</v>
      </c>
      <c r="L376" t="s">
        <v>81</v>
      </c>
      <c r="M376" t="s">
        <v>82</v>
      </c>
      <c r="N376" t="s">
        <v>83</v>
      </c>
      <c r="O376" t="s">
        <v>83</v>
      </c>
      <c r="P376" t="s">
        <v>84</v>
      </c>
      <c r="Q376" t="s">
        <v>213</v>
      </c>
      <c r="R376">
        <v>3</v>
      </c>
      <c r="S376" t="s">
        <v>86</v>
      </c>
      <c r="T376" t="s">
        <v>87</v>
      </c>
      <c r="U376" t="s">
        <v>88</v>
      </c>
      <c r="V376">
        <v>1</v>
      </c>
      <c r="W376" t="s">
        <v>214</v>
      </c>
      <c r="X376" t="s">
        <v>83</v>
      </c>
      <c r="Y376" t="s">
        <v>90</v>
      </c>
      <c r="Z376">
        <v>4000</v>
      </c>
      <c r="AA376">
        <v>4000</v>
      </c>
      <c r="AC376">
        <v>256</v>
      </c>
      <c r="AD376" t="s">
        <v>91</v>
      </c>
      <c r="AE376">
        <v>0.15</v>
      </c>
      <c r="AF376" t="s">
        <v>92</v>
      </c>
      <c r="AG376">
        <v>180</v>
      </c>
      <c r="AH376">
        <v>60</v>
      </c>
      <c r="AI376">
        <v>120</v>
      </c>
      <c r="AJ376">
        <v>0.123793608773049</v>
      </c>
      <c r="AK376">
        <v>37.152717015627211</v>
      </c>
      <c r="AL376">
        <v>0.65675013781345304</v>
      </c>
      <c r="AM376">
        <v>0.20754331124325651</v>
      </c>
      <c r="AN376">
        <v>41.005742811031077</v>
      </c>
      <c r="AO376">
        <v>0.6091642881738375</v>
      </c>
      <c r="AP376">
        <v>41.005742811031077</v>
      </c>
      <c r="AQ376">
        <v>41.005742811031077</v>
      </c>
      <c r="AR376">
        <v>0.6091642881738375</v>
      </c>
      <c r="AS376">
        <v>110.8599808534705</v>
      </c>
      <c r="AT376">
        <v>0.25705379709892662</v>
      </c>
      <c r="AU376">
        <v>0.8</v>
      </c>
      <c r="AV376" t="s">
        <v>93</v>
      </c>
      <c r="AW376">
        <v>7.7462219764487431E-2</v>
      </c>
      <c r="AX376">
        <v>0.43752412907157961</v>
      </c>
      <c r="AY376">
        <v>7.7462219764487431E-2</v>
      </c>
      <c r="AZ376">
        <v>7.7462219764487431E-2</v>
      </c>
      <c r="BA376">
        <v>0.43752412907157961</v>
      </c>
      <c r="BB376">
        <v>0.13323790421185519</v>
      </c>
      <c r="BC376">
        <v>3.2520544336396728E-2</v>
      </c>
      <c r="BD376">
        <v>7.4966893977179913E-2</v>
      </c>
      <c r="BE376">
        <v>0.74025572394903283</v>
      </c>
      <c r="BF376">
        <v>7.4966893977179913E-2</v>
      </c>
      <c r="BG376">
        <v>7.4966893977179913E-2</v>
      </c>
      <c r="BH376">
        <v>0.74025572394903283</v>
      </c>
      <c r="BI376">
        <v>0.12949165554436229</v>
      </c>
      <c r="BJ376">
        <v>0.55133907062696119</v>
      </c>
      <c r="BK376">
        <v>6.8476913356683863E-2</v>
      </c>
      <c r="BL376">
        <v>0.72508685225104663</v>
      </c>
      <c r="BM376">
        <v>6.8476913356683863E-2</v>
      </c>
      <c r="BN376">
        <v>6.8476913356683863E-2</v>
      </c>
      <c r="BO376">
        <v>0.72508685225104663</v>
      </c>
      <c r="BP376">
        <v>7.3353920278062604E-2</v>
      </c>
      <c r="BQ376">
        <v>0.70550721206829015</v>
      </c>
      <c r="BR376">
        <v>163.80206521702561</v>
      </c>
      <c r="BS376">
        <v>0.53379044742369075</v>
      </c>
      <c r="BT376">
        <v>163.80206521702561</v>
      </c>
      <c r="BU376">
        <v>163.80206521702561</v>
      </c>
      <c r="BV376">
        <v>0.53379044742369075</v>
      </c>
      <c r="BW376">
        <v>443.10383993384721</v>
      </c>
      <c r="BX376">
        <v>-0.26115163863594337</v>
      </c>
      <c r="BY376" t="str">
        <f t="shared" si="14"/>
        <v>[[sv,wv],[yr],[ya]]</v>
      </c>
      <c r="BZ376" t="str">
        <f>SUBSTITUTE(TRIM(MID(SUBSTITUTE(SUBSTITUTE(SUBSTITUTE(Tabla1[[#This Row],[map]],"[",""),"]",""),",",REPT(" ",100)),901,200))," ",", ")</f>
        <v>2, 3</v>
      </c>
      <c r="CA376" t="str">
        <f>SUBSTITUTE(TRIM(MID(SUBSTITUTE(SUBSTITUTE(SUBSTITUTE(Tabla1[[#This Row],[map]],"[",""),"]",""),",",REPT(" ",100)),1501,200))," ",", ")</f>
        <v>3, 2</v>
      </c>
      <c r="CB376" t="str">
        <f>SUBSTITUTE(TRIM(MID(SUBSTITUTE(SUBSTITUTE(SUBSTITUTE(Tabla1[[#This Row],[map]],"[",""),"]",""),",",REPT(" ",100)),601,300))," ",", ")</f>
        <v>0, 1, 4</v>
      </c>
      <c r="CC376" t="str">
        <f>SUBSTITUTE(TRIM(MID(SUBSTITUTE(SUBSTITUTE(SUBSTITUTE(Tabla1[[#This Row],[map]],"[",""),"]",""),",",REPT(" ",100)),1201,300))," ",", ")</f>
        <v>4, 0, 1</v>
      </c>
      <c r="CD376" t="str">
        <f>SUBSTITUTE(TRIM(MID(SUBSTITUTE(SUBSTITUTE(SUBSTITUTE(Tabla1[[#This Row],[map]],"[",""),"]",""),",",REPT(" ",100)),1,300))," ",", ")</f>
        <v>4, 2, 3</v>
      </c>
      <c r="CE376" t="str">
        <f>SUBSTITUTE(TRIM(MID(SUBSTITUTE(SUBSTITUTE(SUBSTITUTE(Tabla1[[#This Row],[map]],"[",""),"]",""),",",REPT(" ",100)),1,600))," ",", ")</f>
        <v>4, 2, 3, 0, 1, -1</v>
      </c>
      <c r="CF376" t="str">
        <f>SUBSTITUTE(TRIM(MID(SUBSTITUTE(SUBSTITUTE(SUBSTITUTE(Tabla1[[#This Row],[map]],"[",""),"]",""),",",REPT(" ",100)),601,600))," ",", ")</f>
        <v>0, 1, 4, 2, 3, -1</v>
      </c>
      <c r="CG376" t="str">
        <f>SUBSTITUTE(TRIM(MID(SUBSTITUTE(SUBSTITUTE(SUBSTITUTE(Tabla1[[#This Row],[map]],"[",""),"]",""),",",REPT(" ",100)),1201,600))," ",", ")</f>
        <v>4, 0, 1, 3, 2, -1</v>
      </c>
    </row>
    <row r="377" spans="1:85" x14ac:dyDescent="0.3">
      <c r="A377" s="1">
        <v>46109.904502314806</v>
      </c>
      <c r="B377" t="s">
        <v>615</v>
      </c>
      <c r="C377">
        <v>5</v>
      </c>
      <c r="D377" t="s">
        <v>96</v>
      </c>
      <c r="E377" t="s">
        <v>78</v>
      </c>
      <c r="F377">
        <v>16590</v>
      </c>
      <c r="G377">
        <v>4.5</v>
      </c>
      <c r="H377" t="s">
        <v>79</v>
      </c>
      <c r="I377" t="s">
        <v>80</v>
      </c>
      <c r="J377">
        <v>5</v>
      </c>
      <c r="K377">
        <v>5</v>
      </c>
      <c r="L377" t="s">
        <v>81</v>
      </c>
      <c r="M377" t="s">
        <v>82</v>
      </c>
      <c r="N377" t="s">
        <v>83</v>
      </c>
      <c r="O377" t="s">
        <v>83</v>
      </c>
      <c r="P377" t="s">
        <v>84</v>
      </c>
      <c r="Q377" t="s">
        <v>183</v>
      </c>
      <c r="R377">
        <v>3</v>
      </c>
      <c r="S377" t="s">
        <v>86</v>
      </c>
      <c r="T377" t="s">
        <v>87</v>
      </c>
      <c r="U377" t="s">
        <v>88</v>
      </c>
      <c r="V377">
        <v>1</v>
      </c>
      <c r="W377" t="s">
        <v>184</v>
      </c>
      <c r="X377" t="s">
        <v>83</v>
      </c>
      <c r="Y377" t="s">
        <v>90</v>
      </c>
      <c r="Z377">
        <v>4000</v>
      </c>
      <c r="AA377">
        <v>4000</v>
      </c>
      <c r="AC377">
        <v>256</v>
      </c>
      <c r="AD377" t="s">
        <v>91</v>
      </c>
      <c r="AE377">
        <v>0.15</v>
      </c>
      <c r="AF377" t="s">
        <v>92</v>
      </c>
      <c r="AG377">
        <v>180</v>
      </c>
      <c r="AH377">
        <v>60</v>
      </c>
      <c r="AI377">
        <v>120</v>
      </c>
      <c r="AJ377">
        <v>0.1165947630336063</v>
      </c>
      <c r="AK377">
        <v>19.750672657478869</v>
      </c>
      <c r="AL377">
        <v>0.71509861974864131</v>
      </c>
      <c r="AM377">
        <v>-0.43907983353692048</v>
      </c>
      <c r="AN377">
        <v>25.709482148026829</v>
      </c>
      <c r="AO377">
        <v>0.62847251476849375</v>
      </c>
      <c r="AP377">
        <v>25.709482148026829</v>
      </c>
      <c r="AQ377">
        <v>25.709482148026829</v>
      </c>
      <c r="AR377">
        <v>0.62847251476849375</v>
      </c>
      <c r="AS377">
        <v>129.1817736158637</v>
      </c>
      <c r="AT377">
        <v>-0.38202566902340962</v>
      </c>
      <c r="AU377">
        <v>0.8</v>
      </c>
      <c r="AV377" t="s">
        <v>93</v>
      </c>
      <c r="AW377">
        <v>6.2185862667087997E-2</v>
      </c>
      <c r="AX377">
        <v>0.54845023329500353</v>
      </c>
      <c r="AY377">
        <v>6.2185862667087997E-2</v>
      </c>
      <c r="AZ377">
        <v>6.2185862667087997E-2</v>
      </c>
      <c r="BA377">
        <v>0.54845023329500353</v>
      </c>
      <c r="BB377">
        <v>0.17517170055609749</v>
      </c>
      <c r="BC377">
        <v>-0.27197303578272131</v>
      </c>
      <c r="BD377">
        <v>7.400947862192904E-2</v>
      </c>
      <c r="BE377">
        <v>0.74357296366828018</v>
      </c>
      <c r="BF377">
        <v>7.400947862192904E-2</v>
      </c>
      <c r="BG377">
        <v>7.400947862192904E-2</v>
      </c>
      <c r="BH377">
        <v>0.74357296366828018</v>
      </c>
      <c r="BI377">
        <v>0.36335928677232199</v>
      </c>
      <c r="BJ377">
        <v>-0.25896232165897431</v>
      </c>
      <c r="BK377">
        <v>0.12109809985857251</v>
      </c>
      <c r="BL377">
        <v>0.51382943262748926</v>
      </c>
      <c r="BM377">
        <v>0.12109809985857251</v>
      </c>
      <c r="BN377">
        <v>0.12109809985857251</v>
      </c>
      <c r="BO377">
        <v>0.51382943262748926</v>
      </c>
      <c r="BP377">
        <v>0.38087376798216471</v>
      </c>
      <c r="BQ377">
        <v>-0.52908770735007438</v>
      </c>
      <c r="BR377">
        <v>102.58063515095991</v>
      </c>
      <c r="BS377">
        <v>0.70803742948320392</v>
      </c>
      <c r="BT377">
        <v>102.58063515095991</v>
      </c>
      <c r="BU377">
        <v>102.58063515095991</v>
      </c>
      <c r="BV377">
        <v>0.70803742948320392</v>
      </c>
      <c r="BW377">
        <v>515.80768970814438</v>
      </c>
      <c r="BX377">
        <v>-0.46807961130186548</v>
      </c>
      <c r="BY377" t="str">
        <f t="shared" si="14"/>
        <v>[[sv,wv],[yr],[ya]]</v>
      </c>
      <c r="BZ377" t="str">
        <f>SUBSTITUTE(TRIM(MID(SUBSTITUTE(SUBSTITUTE(SUBSTITUTE(Tabla1[[#This Row],[map]],"[",""),"]",""),",",REPT(" ",100)),901,200))," ",", ")</f>
        <v>2, 4</v>
      </c>
      <c r="CA377" t="str">
        <f>SUBSTITUTE(TRIM(MID(SUBSTITUTE(SUBSTITUTE(SUBSTITUTE(Tabla1[[#This Row],[map]],"[",""),"]",""),",",REPT(" ",100)),1501,200))," ",", ")</f>
        <v>3, 4</v>
      </c>
      <c r="CB377" t="str">
        <f>SUBSTITUTE(TRIM(MID(SUBSTITUTE(SUBSTITUTE(SUBSTITUTE(Tabla1[[#This Row],[map]],"[",""),"]",""),",",REPT(" ",100)),601,300))," ",", ")</f>
        <v>3, 0, 1</v>
      </c>
      <c r="CC377" t="str">
        <f>SUBSTITUTE(TRIM(MID(SUBSTITUTE(SUBSTITUTE(SUBSTITUTE(Tabla1[[#This Row],[map]],"[",""),"]",""),",",REPT(" ",100)),1201,300))," ",", ")</f>
        <v>2, 0, 1</v>
      </c>
      <c r="CD377" t="str">
        <f>SUBSTITUTE(TRIM(MID(SUBSTITUTE(SUBSTITUTE(SUBSTITUTE(Tabla1[[#This Row],[map]],"[",""),"]",""),",",REPT(" ",100)),1,300))," ",", ")</f>
        <v>2, 3, 4</v>
      </c>
      <c r="CE377" t="str">
        <f>SUBSTITUTE(TRIM(MID(SUBSTITUTE(SUBSTITUTE(SUBSTITUTE(Tabla1[[#This Row],[map]],"[",""),"]",""),",",REPT(" ",100)),1,600))," ",", ")</f>
        <v>2, 3, 4, 0, 1, -1</v>
      </c>
      <c r="CF377" t="str">
        <f>SUBSTITUTE(TRIM(MID(SUBSTITUTE(SUBSTITUTE(SUBSTITUTE(Tabla1[[#This Row],[map]],"[",""),"]",""),",",REPT(" ",100)),601,600))," ",", ")</f>
        <v>3, 0, 1, 2, 4, -1</v>
      </c>
      <c r="CG377" t="str">
        <f>SUBSTITUTE(TRIM(MID(SUBSTITUTE(SUBSTITUTE(SUBSTITUTE(Tabla1[[#This Row],[map]],"[",""),"]",""),",",REPT(" ",100)),1201,600))," ",", ")</f>
        <v>2, 0, 1, 3, 4, -1</v>
      </c>
    </row>
    <row r="378" spans="1:85" x14ac:dyDescent="0.3">
      <c r="A378" s="1">
        <v>46109.955613425933</v>
      </c>
      <c r="B378" t="s">
        <v>616</v>
      </c>
      <c r="C378">
        <v>7</v>
      </c>
      <c r="D378" t="s">
        <v>77</v>
      </c>
      <c r="E378" t="s">
        <v>78</v>
      </c>
      <c r="F378">
        <v>16590</v>
      </c>
      <c r="G378">
        <v>4.5</v>
      </c>
      <c r="H378" t="s">
        <v>79</v>
      </c>
      <c r="I378" t="s">
        <v>80</v>
      </c>
      <c r="J378">
        <v>5</v>
      </c>
      <c r="K378">
        <v>5</v>
      </c>
      <c r="L378" t="s">
        <v>81</v>
      </c>
      <c r="M378" t="s">
        <v>82</v>
      </c>
      <c r="N378" t="s">
        <v>83</v>
      </c>
      <c r="O378" t="s">
        <v>83</v>
      </c>
      <c r="P378" t="s">
        <v>84</v>
      </c>
      <c r="Q378" t="s">
        <v>159</v>
      </c>
      <c r="R378">
        <v>3</v>
      </c>
      <c r="S378" t="s">
        <v>86</v>
      </c>
      <c r="T378" t="s">
        <v>87</v>
      </c>
      <c r="U378" t="s">
        <v>88</v>
      </c>
      <c r="V378">
        <v>1</v>
      </c>
      <c r="W378" t="s">
        <v>160</v>
      </c>
      <c r="X378" t="s">
        <v>83</v>
      </c>
      <c r="Y378" t="s">
        <v>90</v>
      </c>
      <c r="Z378">
        <v>4000</v>
      </c>
      <c r="AA378">
        <v>4000</v>
      </c>
      <c r="AC378">
        <v>256</v>
      </c>
      <c r="AD378" t="s">
        <v>91</v>
      </c>
      <c r="AE378">
        <v>0.15</v>
      </c>
      <c r="AF378" t="s">
        <v>92</v>
      </c>
      <c r="AG378">
        <v>180</v>
      </c>
      <c r="AH378">
        <v>60</v>
      </c>
      <c r="AI378">
        <v>120</v>
      </c>
      <c r="AJ378">
        <v>0.1031660700803161</v>
      </c>
      <c r="AK378">
        <v>15.03991454142905</v>
      </c>
      <c r="AL378">
        <v>0.72243520432331632</v>
      </c>
      <c r="AM378">
        <v>0.2334847045064613</v>
      </c>
      <c r="AN378">
        <v>20.280438597287521</v>
      </c>
      <c r="AO378">
        <v>0.69902885415341609</v>
      </c>
      <c r="AP378">
        <v>20.280438597287521</v>
      </c>
      <c r="AQ378">
        <v>20.280438597287521</v>
      </c>
      <c r="AR378">
        <v>0.69902885415341609</v>
      </c>
      <c r="AS378">
        <v>72.504160398258648</v>
      </c>
      <c r="AT378">
        <v>0.21956152020977601</v>
      </c>
      <c r="AU378">
        <v>0.8</v>
      </c>
      <c r="AV378" t="s">
        <v>93</v>
      </c>
      <c r="AW378">
        <v>8.4740422922632716E-2</v>
      </c>
      <c r="AX378">
        <v>0.3846749637285467</v>
      </c>
      <c r="AY378">
        <v>8.4740422922632716E-2</v>
      </c>
      <c r="AZ378">
        <v>8.4740422922632716E-2</v>
      </c>
      <c r="BA378">
        <v>0.3846749637285467</v>
      </c>
      <c r="BB378">
        <v>0.14645480164695129</v>
      </c>
      <c r="BC378">
        <v>-6.3451219942755932E-2</v>
      </c>
      <c r="BD378">
        <v>3.7489735876456189E-2</v>
      </c>
      <c r="BE378">
        <v>0.87010607232125314</v>
      </c>
      <c r="BF378">
        <v>3.7489735876456189E-2</v>
      </c>
      <c r="BG378">
        <v>3.7489735876456189E-2</v>
      </c>
      <c r="BH378">
        <v>0.87010607232125314</v>
      </c>
      <c r="BI378">
        <v>0.18577996387369561</v>
      </c>
      <c r="BJ378">
        <v>0.35631210443590039</v>
      </c>
      <c r="BK378">
        <v>5.6863393312738431E-2</v>
      </c>
      <c r="BL378">
        <v>0.77171146184897577</v>
      </c>
      <c r="BM378">
        <v>5.6863393312738431E-2</v>
      </c>
      <c r="BN378">
        <v>5.6863393312738431E-2</v>
      </c>
      <c r="BO378">
        <v>0.77171146184897577</v>
      </c>
      <c r="BP378">
        <v>0.1470951685235985</v>
      </c>
      <c r="BQ378">
        <v>0.40945942485974912</v>
      </c>
      <c r="BR378">
        <v>80.942660837038403</v>
      </c>
      <c r="BS378">
        <v>0.76962291871488975</v>
      </c>
      <c r="BT378">
        <v>80.942660837038403</v>
      </c>
      <c r="BU378">
        <v>80.942660837038403</v>
      </c>
      <c r="BV378">
        <v>0.76962291871488975</v>
      </c>
      <c r="BW378">
        <v>289.53731165898978</v>
      </c>
      <c r="BX378">
        <v>0.17592577148621499</v>
      </c>
      <c r="BY378" t="str">
        <f t="shared" si="14"/>
        <v>[[sv,wv],[yr],[ya]]</v>
      </c>
      <c r="BZ378" t="str">
        <f>SUBSTITUTE(TRIM(MID(SUBSTITUTE(SUBSTITUTE(SUBSTITUTE(Tabla1[[#This Row],[map]],"[",""),"]",""),",",REPT(" ",100)),901,200))," ",", ")</f>
        <v>2, 4</v>
      </c>
      <c r="CA378" t="str">
        <f>SUBSTITUTE(TRIM(MID(SUBSTITUTE(SUBSTITUTE(SUBSTITUTE(Tabla1[[#This Row],[map]],"[",""),"]",""),",",REPT(" ",100)),1501,200))," ",", ")</f>
        <v>3, 4</v>
      </c>
      <c r="CB378" t="str">
        <f>SUBSTITUTE(TRIM(MID(SUBSTITUTE(SUBSTITUTE(SUBSTITUTE(Tabla1[[#This Row],[map]],"[",""),"]",""),",",REPT(" ",100)),601,300))," ",", ")</f>
        <v>0, 1, 3</v>
      </c>
      <c r="CC378" t="str">
        <f>SUBSTITUTE(TRIM(MID(SUBSTITUTE(SUBSTITUTE(SUBSTITUTE(Tabla1[[#This Row],[map]],"[",""),"]",""),",",REPT(" ",100)),1201,300))," ",", ")</f>
        <v>0, 1, 2</v>
      </c>
      <c r="CD378" t="str">
        <f>SUBSTITUTE(TRIM(MID(SUBSTITUTE(SUBSTITUTE(SUBSTITUTE(Tabla1[[#This Row],[map]],"[",""),"]",""),",",REPT(" ",100)),1,300))," ",", ")</f>
        <v>2, 3, 4</v>
      </c>
      <c r="CE378" t="str">
        <f>SUBSTITUTE(TRIM(MID(SUBSTITUTE(SUBSTITUTE(SUBSTITUTE(Tabla1[[#This Row],[map]],"[",""),"]",""),",",REPT(" ",100)),1,600))," ",", ")</f>
        <v>2, 3, 4, 0, 1, -1</v>
      </c>
      <c r="CF378" t="str">
        <f>SUBSTITUTE(TRIM(MID(SUBSTITUTE(SUBSTITUTE(SUBSTITUTE(Tabla1[[#This Row],[map]],"[",""),"]",""),",",REPT(" ",100)),601,600))," ",", ")</f>
        <v>0, 1, 3, 2, 4, -1</v>
      </c>
      <c r="CG378" t="str">
        <f>SUBSTITUTE(TRIM(MID(SUBSTITUTE(SUBSTITUTE(SUBSTITUTE(Tabla1[[#This Row],[map]],"[",""),"]",""),",",REPT(" ",100)),1201,600))," ",", ")</f>
        <v>0, 1, 2, 3, 4, -1</v>
      </c>
    </row>
    <row r="379" spans="1:85" x14ac:dyDescent="0.3">
      <c r="A379" s="1">
        <v>46109.986377314817</v>
      </c>
      <c r="B379" t="s">
        <v>617</v>
      </c>
      <c r="C379">
        <v>8</v>
      </c>
      <c r="D379" t="s">
        <v>77</v>
      </c>
      <c r="E379" t="s">
        <v>78</v>
      </c>
      <c r="F379">
        <v>16590</v>
      </c>
      <c r="G379">
        <v>4.5</v>
      </c>
      <c r="H379" t="s">
        <v>79</v>
      </c>
      <c r="I379" t="s">
        <v>80</v>
      </c>
      <c r="J379">
        <v>5</v>
      </c>
      <c r="K379">
        <v>5</v>
      </c>
      <c r="L379" t="s">
        <v>81</v>
      </c>
      <c r="M379" t="s">
        <v>82</v>
      </c>
      <c r="N379" t="s">
        <v>83</v>
      </c>
      <c r="O379" t="s">
        <v>83</v>
      </c>
      <c r="P379" t="s">
        <v>84</v>
      </c>
      <c r="Q379" t="s">
        <v>412</v>
      </c>
      <c r="R379">
        <v>3</v>
      </c>
      <c r="S379" t="s">
        <v>86</v>
      </c>
      <c r="T379" t="s">
        <v>87</v>
      </c>
      <c r="U379" t="s">
        <v>88</v>
      </c>
      <c r="V379">
        <v>1</v>
      </c>
      <c r="W379" t="s">
        <v>413</v>
      </c>
      <c r="X379" t="s">
        <v>83</v>
      </c>
      <c r="Y379" t="s">
        <v>90</v>
      </c>
      <c r="Z379">
        <v>4000</v>
      </c>
      <c r="AA379">
        <v>4000</v>
      </c>
      <c r="AC379">
        <v>256</v>
      </c>
      <c r="AD379" t="s">
        <v>91</v>
      </c>
      <c r="AE379">
        <v>0.15</v>
      </c>
      <c r="AF379" t="s">
        <v>92</v>
      </c>
      <c r="AG379">
        <v>180</v>
      </c>
      <c r="AH379">
        <v>60</v>
      </c>
      <c r="AI379">
        <v>120</v>
      </c>
      <c r="AJ379">
        <v>9.7380206240763961E-2</v>
      </c>
      <c r="AK379">
        <v>11.40777449990575</v>
      </c>
      <c r="AL379">
        <v>0.75901739911727617</v>
      </c>
      <c r="AM379">
        <v>0.14396678078962341</v>
      </c>
      <c r="AN379">
        <v>14.711789635313419</v>
      </c>
      <c r="AO379">
        <v>0.6897530146967199</v>
      </c>
      <c r="AP379">
        <v>14.711789635313419</v>
      </c>
      <c r="AQ379">
        <v>14.711789635313419</v>
      </c>
      <c r="AR379">
        <v>0.6897530146967199</v>
      </c>
      <c r="AS379">
        <v>117.41940071249221</v>
      </c>
      <c r="AT379">
        <v>6.5057401076725391E-2</v>
      </c>
      <c r="AU379">
        <v>0.8</v>
      </c>
      <c r="AV379" t="s">
        <v>93</v>
      </c>
      <c r="AW379">
        <v>8.9976426165526077E-2</v>
      </c>
      <c r="AX379">
        <v>0.34665481025005479</v>
      </c>
      <c r="AY379">
        <v>8.9976426165526077E-2</v>
      </c>
      <c r="AZ379">
        <v>8.9976426165526077E-2</v>
      </c>
      <c r="BA379">
        <v>0.34665481025005479</v>
      </c>
      <c r="BB379">
        <v>0.16833066029889071</v>
      </c>
      <c r="BC379">
        <v>-0.22229823833400569</v>
      </c>
      <c r="BD379">
        <v>5.7912959276321119E-2</v>
      </c>
      <c r="BE379">
        <v>0.79934396527384255</v>
      </c>
      <c r="BF379">
        <v>5.7912959276321119E-2</v>
      </c>
      <c r="BG379">
        <v>5.7912959276321119E-2</v>
      </c>
      <c r="BH379">
        <v>0.79934396527384255</v>
      </c>
      <c r="BI379">
        <v>0.13993038134077579</v>
      </c>
      <c r="BJ379">
        <v>0.51517111526643455</v>
      </c>
      <c r="BK379">
        <v>5.4817336952911591E-2</v>
      </c>
      <c r="BL379">
        <v>0.77992573096215656</v>
      </c>
      <c r="BM379">
        <v>5.4817336952911591E-2</v>
      </c>
      <c r="BN379">
        <v>5.4817336952911591E-2</v>
      </c>
      <c r="BO379">
        <v>0.77992573096215656</v>
      </c>
      <c r="BP379">
        <v>0.1736698911142236</v>
      </c>
      <c r="BQ379">
        <v>0.30277031929376519</v>
      </c>
      <c r="BR379">
        <v>58.644451818858997</v>
      </c>
      <c r="BS379">
        <v>0.83308755230082776</v>
      </c>
      <c r="BT379">
        <v>58.644451818858997</v>
      </c>
      <c r="BU379">
        <v>58.644451818858997</v>
      </c>
      <c r="BV379">
        <v>0.83308755230082776</v>
      </c>
      <c r="BW379">
        <v>469.19567191721529</v>
      </c>
      <c r="BX379">
        <v>-0.33541359191928888</v>
      </c>
      <c r="BY379" t="str">
        <f t="shared" si="14"/>
        <v>[[sv,wv],[yr],[ya]]</v>
      </c>
      <c r="BZ379" t="str">
        <f>SUBSTITUTE(TRIM(MID(SUBSTITUTE(SUBSTITUTE(SUBSTITUTE(Tabla1[[#This Row],[map]],"[",""),"]",""),",",REPT(" ",100)),901,200))," ",", ")</f>
        <v>2, 4</v>
      </c>
      <c r="CA379" t="str">
        <f>SUBSTITUTE(TRIM(MID(SUBSTITUTE(SUBSTITUTE(SUBSTITUTE(Tabla1[[#This Row],[map]],"[",""),"]",""),",",REPT(" ",100)),1501,200))," ",", ")</f>
        <v>3, 2</v>
      </c>
      <c r="CB379" t="str">
        <f>SUBSTITUTE(TRIM(MID(SUBSTITUTE(SUBSTITUTE(SUBSTITUTE(Tabla1[[#This Row],[map]],"[",""),"]",""),",",REPT(" ",100)),601,300))," ",", ")</f>
        <v>0, 1, 3</v>
      </c>
      <c r="CC379" t="str">
        <f>SUBSTITUTE(TRIM(MID(SUBSTITUTE(SUBSTITUTE(SUBSTITUTE(Tabla1[[#This Row],[map]],"[",""),"]",""),",",REPT(" ",100)),1201,300))," ",", ")</f>
        <v>1, 4, 0</v>
      </c>
      <c r="CD379" t="str">
        <f>SUBSTITUTE(TRIM(MID(SUBSTITUTE(SUBSTITUTE(SUBSTITUTE(Tabla1[[#This Row],[map]],"[",""),"]",""),",",REPT(" ",100)),1,300))," ",", ")</f>
        <v>2, 3, 4</v>
      </c>
      <c r="CE379" t="str">
        <f>SUBSTITUTE(TRIM(MID(SUBSTITUTE(SUBSTITUTE(SUBSTITUTE(Tabla1[[#This Row],[map]],"[",""),"]",""),",",REPT(" ",100)),1,600))," ",", ")</f>
        <v>2, 3, 4, 0, 1, -1</v>
      </c>
      <c r="CF379" t="str">
        <f>SUBSTITUTE(TRIM(MID(SUBSTITUTE(SUBSTITUTE(SUBSTITUTE(Tabla1[[#This Row],[map]],"[",""),"]",""),",",REPT(" ",100)),601,600))," ",", ")</f>
        <v>0, 1, 3, 2, 4, -1</v>
      </c>
      <c r="CG379" t="str">
        <f>SUBSTITUTE(TRIM(MID(SUBSTITUTE(SUBSTITUTE(SUBSTITUTE(Tabla1[[#This Row],[map]],"[",""),"]",""),",",REPT(" ",100)),1201,600))," ",", ")</f>
        <v>1, 4, 0, 3, 2, -1</v>
      </c>
    </row>
    <row r="380" spans="1:85" x14ac:dyDescent="0.3">
      <c r="A380" s="1">
        <v>46109.994467592587</v>
      </c>
      <c r="B380" t="s">
        <v>618</v>
      </c>
      <c r="C380">
        <v>5</v>
      </c>
      <c r="D380" t="s">
        <v>77</v>
      </c>
      <c r="E380" t="s">
        <v>78</v>
      </c>
      <c r="F380">
        <v>16590</v>
      </c>
      <c r="G380">
        <v>4.5</v>
      </c>
      <c r="H380" t="s">
        <v>79</v>
      </c>
      <c r="I380" t="s">
        <v>80</v>
      </c>
      <c r="J380">
        <v>5</v>
      </c>
      <c r="K380">
        <v>5</v>
      </c>
      <c r="L380" t="s">
        <v>81</v>
      </c>
      <c r="M380" t="s">
        <v>82</v>
      </c>
      <c r="N380" t="s">
        <v>83</v>
      </c>
      <c r="O380" t="s">
        <v>83</v>
      </c>
      <c r="P380" t="s">
        <v>84</v>
      </c>
      <c r="Q380" t="s">
        <v>509</v>
      </c>
      <c r="R380">
        <v>3</v>
      </c>
      <c r="S380" t="s">
        <v>86</v>
      </c>
      <c r="T380" t="s">
        <v>87</v>
      </c>
      <c r="U380" t="s">
        <v>88</v>
      </c>
      <c r="V380">
        <v>1</v>
      </c>
      <c r="W380" t="s">
        <v>510</v>
      </c>
      <c r="X380" t="s">
        <v>83</v>
      </c>
      <c r="Y380" t="s">
        <v>90</v>
      </c>
      <c r="Z380">
        <v>4000</v>
      </c>
      <c r="AA380">
        <v>4000</v>
      </c>
      <c r="AC380">
        <v>256</v>
      </c>
      <c r="AD380" t="s">
        <v>91</v>
      </c>
      <c r="AE380">
        <v>0.15</v>
      </c>
      <c r="AF380" t="s">
        <v>92</v>
      </c>
      <c r="AG380">
        <v>180</v>
      </c>
      <c r="AH380">
        <v>60</v>
      </c>
      <c r="AI380">
        <v>120</v>
      </c>
      <c r="AJ380">
        <v>0.1227673590596757</v>
      </c>
      <c r="AK380">
        <v>21.338241302525191</v>
      </c>
      <c r="AL380">
        <v>0.67391464492766917</v>
      </c>
      <c r="AM380">
        <v>0.25466311760576699</v>
      </c>
      <c r="AN380">
        <v>25.769939219588281</v>
      </c>
      <c r="AO380">
        <v>0.63646336621804511</v>
      </c>
      <c r="AP380">
        <v>25.769939219588281</v>
      </c>
      <c r="AQ380">
        <v>25.769939219588281</v>
      </c>
      <c r="AR380">
        <v>0.63646336621804511</v>
      </c>
      <c r="AS380">
        <v>97.601449973817822</v>
      </c>
      <c r="AT380">
        <v>0.14809124636937851</v>
      </c>
      <c r="AU380">
        <v>0.8</v>
      </c>
      <c r="AV380" t="s">
        <v>93</v>
      </c>
      <c r="AW380">
        <v>8.0503140347481753E-2</v>
      </c>
      <c r="AX380">
        <v>0.41544311385481653</v>
      </c>
      <c r="AY380">
        <v>8.0503140347481753E-2</v>
      </c>
      <c r="AZ380">
        <v>8.0503140347481753E-2</v>
      </c>
      <c r="BA380">
        <v>0.41544311385481653</v>
      </c>
      <c r="BB380">
        <v>0.1740122238907354</v>
      </c>
      <c r="BC380">
        <v>-0.2635537360369411</v>
      </c>
      <c r="BD380">
        <v>0.10398091801458539</v>
      </c>
      <c r="BE380">
        <v>0.639728327533019</v>
      </c>
      <c r="BF380">
        <v>0.10398091801458539</v>
      </c>
      <c r="BG380">
        <v>0.10398091801458539</v>
      </c>
      <c r="BH380">
        <v>0.639728327533019</v>
      </c>
      <c r="BI380">
        <v>0.1208301514551232</v>
      </c>
      <c r="BJ380">
        <v>0.58134933235471453</v>
      </c>
      <c r="BK380">
        <v>5.3955298675860977E-2</v>
      </c>
      <c r="BL380">
        <v>0.78338654198016566</v>
      </c>
      <c r="BM380">
        <v>5.3955298675860977E-2</v>
      </c>
      <c r="BN380">
        <v>5.3955298675860977E-2</v>
      </c>
      <c r="BO380">
        <v>0.78338654198016566</v>
      </c>
      <c r="BP380">
        <v>0.15332277386001009</v>
      </c>
      <c r="BQ380">
        <v>0.3844575592374867</v>
      </c>
      <c r="BR380">
        <v>102.8413175213152</v>
      </c>
      <c r="BS380">
        <v>0.7072954815041792</v>
      </c>
      <c r="BT380">
        <v>102.8413175213152</v>
      </c>
      <c r="BU380">
        <v>102.8413175213152</v>
      </c>
      <c r="BV380">
        <v>0.7072954815041792</v>
      </c>
      <c r="BW380">
        <v>389.95763474606542</v>
      </c>
      <c r="BX380">
        <v>-0.109888170077739</v>
      </c>
      <c r="BY380" t="str">
        <f t="shared" si="14"/>
        <v>[[sv,wv],[yr],[ya]]</v>
      </c>
      <c r="BZ380" t="str">
        <f>SUBSTITUTE(TRIM(MID(SUBSTITUTE(SUBSTITUTE(SUBSTITUTE(Tabla1[[#This Row],[map]],"[",""),"]",""),",",REPT(" ",100)),901,200))," ",", ")</f>
        <v>2, 4</v>
      </c>
      <c r="CA380" t="str">
        <f>SUBSTITUTE(TRIM(MID(SUBSTITUTE(SUBSTITUTE(SUBSTITUTE(Tabla1[[#This Row],[map]],"[",""),"]",""),",",REPT(" ",100)),1501,200))," ",", ")</f>
        <v>3, 4</v>
      </c>
      <c r="CB380" t="str">
        <f>SUBSTITUTE(TRIM(MID(SUBSTITUTE(SUBSTITUTE(SUBSTITUTE(Tabla1[[#This Row],[map]],"[",""),"]",""),",",REPT(" ",100)),601,300))," ",", ")</f>
        <v>0, 1, 3</v>
      </c>
      <c r="CC380" t="str">
        <f>SUBSTITUTE(TRIM(MID(SUBSTITUTE(SUBSTITUTE(SUBSTITUTE(Tabla1[[#This Row],[map]],"[",""),"]",""),",",REPT(" ",100)),1201,300))," ",", ")</f>
        <v>1, 2, 0</v>
      </c>
      <c r="CD380" t="str">
        <f>SUBSTITUTE(TRIM(MID(SUBSTITUTE(SUBSTITUTE(SUBSTITUTE(Tabla1[[#This Row],[map]],"[",""),"]",""),",",REPT(" ",100)),1,300))," ",", ")</f>
        <v>4, 2, 3</v>
      </c>
      <c r="CE380" t="str">
        <f>SUBSTITUTE(TRIM(MID(SUBSTITUTE(SUBSTITUTE(SUBSTITUTE(Tabla1[[#This Row],[map]],"[",""),"]",""),",",REPT(" ",100)),1,600))," ",", ")</f>
        <v>4, 2, 3, 0, 1, -1</v>
      </c>
      <c r="CF380" t="str">
        <f>SUBSTITUTE(TRIM(MID(SUBSTITUTE(SUBSTITUTE(SUBSTITUTE(Tabla1[[#This Row],[map]],"[",""),"]",""),",",REPT(" ",100)),601,600))," ",", ")</f>
        <v>0, 1, 3, 2, 4, -1</v>
      </c>
      <c r="CG380" t="str">
        <f>SUBSTITUTE(TRIM(MID(SUBSTITUTE(SUBSTITUTE(SUBSTITUTE(Tabla1[[#This Row],[map]],"[",""),"]",""),",",REPT(" ",100)),1201,600))," ",", ")</f>
        <v>1, 2, 0, 3, 4, -1</v>
      </c>
    </row>
    <row r="381" spans="1:85" x14ac:dyDescent="0.3">
      <c r="A381" s="1">
        <v>46109.995462962957</v>
      </c>
      <c r="B381" t="s">
        <v>619</v>
      </c>
      <c r="C381">
        <v>6</v>
      </c>
      <c r="D381" t="s">
        <v>77</v>
      </c>
      <c r="E381" t="s">
        <v>78</v>
      </c>
      <c r="F381">
        <v>16590</v>
      </c>
      <c r="G381">
        <v>4.5</v>
      </c>
      <c r="H381" t="s">
        <v>79</v>
      </c>
      <c r="I381" t="s">
        <v>80</v>
      </c>
      <c r="J381">
        <v>5</v>
      </c>
      <c r="K381">
        <v>5</v>
      </c>
      <c r="L381" t="s">
        <v>81</v>
      </c>
      <c r="M381" t="s">
        <v>82</v>
      </c>
      <c r="N381" t="s">
        <v>83</v>
      </c>
      <c r="O381" t="s">
        <v>83</v>
      </c>
      <c r="P381" t="s">
        <v>84</v>
      </c>
      <c r="Q381" t="s">
        <v>429</v>
      </c>
      <c r="R381">
        <v>3</v>
      </c>
      <c r="S381" t="s">
        <v>86</v>
      </c>
      <c r="T381" t="s">
        <v>87</v>
      </c>
      <c r="U381" t="s">
        <v>88</v>
      </c>
      <c r="V381">
        <v>1</v>
      </c>
      <c r="W381" t="s">
        <v>430</v>
      </c>
      <c r="X381" t="s">
        <v>83</v>
      </c>
      <c r="Y381" t="s">
        <v>90</v>
      </c>
      <c r="Z381">
        <v>4000</v>
      </c>
      <c r="AA381">
        <v>4000</v>
      </c>
      <c r="AC381">
        <v>256</v>
      </c>
      <c r="AD381" t="s">
        <v>91</v>
      </c>
      <c r="AE381">
        <v>0.15</v>
      </c>
      <c r="AF381" t="s">
        <v>92</v>
      </c>
      <c r="AG381">
        <v>180</v>
      </c>
      <c r="AH381">
        <v>60</v>
      </c>
      <c r="AI381">
        <v>120</v>
      </c>
      <c r="AJ381">
        <v>0.1038616725855893</v>
      </c>
      <c r="AK381">
        <v>16.307274485484019</v>
      </c>
      <c r="AL381">
        <v>0.76441926070233457</v>
      </c>
      <c r="AM381">
        <v>-0.69170756625187857</v>
      </c>
      <c r="AN381">
        <v>17.025899131498619</v>
      </c>
      <c r="AO381">
        <v>0.71853002104620256</v>
      </c>
      <c r="AP381">
        <v>17.025899131498619</v>
      </c>
      <c r="AQ381">
        <v>17.025899131498619</v>
      </c>
      <c r="AR381">
        <v>0.71853002104620256</v>
      </c>
      <c r="AS381">
        <v>112.1135779302859</v>
      </c>
      <c r="AT381">
        <v>-0.66115436333405175</v>
      </c>
      <c r="AU381">
        <v>0.8</v>
      </c>
      <c r="AV381" t="s">
        <v>93</v>
      </c>
      <c r="AW381">
        <v>6.8626412481448629E-2</v>
      </c>
      <c r="AX381">
        <v>0.50168351427888802</v>
      </c>
      <c r="AY381">
        <v>6.8626412481448629E-2</v>
      </c>
      <c r="AZ381">
        <v>6.8626412481448629E-2</v>
      </c>
      <c r="BA381">
        <v>0.50168351427888802</v>
      </c>
      <c r="BB381">
        <v>0.14163897194006081</v>
      </c>
      <c r="BC381">
        <v>-2.8482069602604021E-2</v>
      </c>
      <c r="BD381">
        <v>6.909313356779774E-2</v>
      </c>
      <c r="BE381">
        <v>0.76060704923798261</v>
      </c>
      <c r="BF381">
        <v>6.909313356779774E-2</v>
      </c>
      <c r="BG381">
        <v>6.909313356779774E-2</v>
      </c>
      <c r="BH381">
        <v>0.76060704923798261</v>
      </c>
      <c r="BI381">
        <v>0.52256328762368076</v>
      </c>
      <c r="BJ381">
        <v>-0.8105701814982984</v>
      </c>
      <c r="BK381">
        <v>4.8538259934032282E-2</v>
      </c>
      <c r="BL381">
        <v>0.80513423910893522</v>
      </c>
      <c r="BM381">
        <v>4.8538259934032282E-2</v>
      </c>
      <c r="BN381">
        <v>4.8538259934032282E-2</v>
      </c>
      <c r="BO381">
        <v>0.80513423910893522</v>
      </c>
      <c r="BP381">
        <v>0.6309018250779358</v>
      </c>
      <c r="BQ381">
        <v>-1.532871272238872</v>
      </c>
      <c r="BR381">
        <v>67.917338720011315</v>
      </c>
      <c r="BS381">
        <v>0.80669528155900816</v>
      </c>
      <c r="BT381">
        <v>67.917338720011315</v>
      </c>
      <c r="BU381">
        <v>67.917338720011315</v>
      </c>
      <c r="BV381">
        <v>0.80669528155900816</v>
      </c>
      <c r="BW381">
        <v>447.15920763650217</v>
      </c>
      <c r="BX381">
        <v>-0.27269392999644748</v>
      </c>
      <c r="BY381" t="str">
        <f t="shared" si="14"/>
        <v>[[sv,wv],[yr],[ya]]</v>
      </c>
      <c r="BZ381" t="str">
        <f>SUBSTITUTE(TRIM(MID(SUBSTITUTE(SUBSTITUTE(SUBSTITUTE(Tabla1[[#This Row],[map]],"[",""),"]",""),",",REPT(" ",100)),901,200))," ",", ")</f>
        <v>2, 4</v>
      </c>
      <c r="CA381" t="str">
        <f>SUBSTITUTE(TRIM(MID(SUBSTITUTE(SUBSTITUTE(SUBSTITUTE(Tabla1[[#This Row],[map]],"[",""),"]",""),",",REPT(" ",100)),1501,200))," ",", ")</f>
        <v>3, 4</v>
      </c>
      <c r="CB381" t="str">
        <f>SUBSTITUTE(TRIM(MID(SUBSTITUTE(SUBSTITUTE(SUBSTITUTE(Tabla1[[#This Row],[map]],"[",""),"]",""),",",REPT(" ",100)),601,300))," ",", ")</f>
        <v>1, 3, 0</v>
      </c>
      <c r="CC381" t="str">
        <f>SUBSTITUTE(TRIM(MID(SUBSTITUTE(SUBSTITUTE(SUBSTITUTE(Tabla1[[#This Row],[map]],"[",""),"]",""),",",REPT(" ",100)),1201,300))," ",", ")</f>
        <v>0, 1, 2</v>
      </c>
      <c r="CD381" t="str">
        <f>SUBSTITUTE(TRIM(MID(SUBSTITUTE(SUBSTITUTE(SUBSTITUTE(Tabla1[[#This Row],[map]],"[",""),"]",""),",",REPT(" ",100)),1,300))," ",", ")</f>
        <v>2, 3, 4</v>
      </c>
      <c r="CE381" t="str">
        <f>SUBSTITUTE(TRIM(MID(SUBSTITUTE(SUBSTITUTE(SUBSTITUTE(Tabla1[[#This Row],[map]],"[",""),"]",""),",",REPT(" ",100)),1,600))," ",", ")</f>
        <v>2, 3, 4, 0, 1, -1</v>
      </c>
      <c r="CF381" t="str">
        <f>SUBSTITUTE(TRIM(MID(SUBSTITUTE(SUBSTITUTE(SUBSTITUTE(Tabla1[[#This Row],[map]],"[",""),"]",""),",",REPT(" ",100)),601,600))," ",", ")</f>
        <v>1, 3, 0, 2, 4, -1</v>
      </c>
      <c r="CG381" t="str">
        <f>SUBSTITUTE(TRIM(MID(SUBSTITUTE(SUBSTITUTE(SUBSTITUTE(Tabla1[[#This Row],[map]],"[",""),"]",""),",",REPT(" ",100)),1201,600))," ",", ")</f>
        <v>0, 1, 2, 3, 4, -1</v>
      </c>
    </row>
    <row r="382" spans="1:85" x14ac:dyDescent="0.3">
      <c r="A382" s="1">
        <v>46110.000949074078</v>
      </c>
      <c r="B382" t="s">
        <v>620</v>
      </c>
      <c r="C382">
        <v>9</v>
      </c>
      <c r="D382" t="s">
        <v>77</v>
      </c>
      <c r="E382" t="s">
        <v>78</v>
      </c>
      <c r="F382">
        <v>16590</v>
      </c>
      <c r="G382">
        <v>4.5</v>
      </c>
      <c r="H382" t="s">
        <v>79</v>
      </c>
      <c r="I382" t="s">
        <v>80</v>
      </c>
      <c r="J382">
        <v>5</v>
      </c>
      <c r="K382">
        <v>5</v>
      </c>
      <c r="L382" t="s">
        <v>81</v>
      </c>
      <c r="M382" t="s">
        <v>82</v>
      </c>
      <c r="N382" t="s">
        <v>83</v>
      </c>
      <c r="O382" t="s">
        <v>83</v>
      </c>
      <c r="P382" t="s">
        <v>84</v>
      </c>
      <c r="Q382" t="s">
        <v>412</v>
      </c>
      <c r="R382">
        <v>3</v>
      </c>
      <c r="S382" t="s">
        <v>86</v>
      </c>
      <c r="T382" t="s">
        <v>87</v>
      </c>
      <c r="U382" t="s">
        <v>88</v>
      </c>
      <c r="V382">
        <v>1</v>
      </c>
      <c r="W382" t="s">
        <v>413</v>
      </c>
      <c r="X382" t="s">
        <v>83</v>
      </c>
      <c r="Y382" t="s">
        <v>90</v>
      </c>
      <c r="Z382">
        <v>4000</v>
      </c>
      <c r="AA382">
        <v>4000</v>
      </c>
      <c r="AC382">
        <v>256</v>
      </c>
      <c r="AD382" t="s">
        <v>91</v>
      </c>
      <c r="AE382">
        <v>0.15</v>
      </c>
      <c r="AF382" t="s">
        <v>92</v>
      </c>
      <c r="AG382">
        <v>180</v>
      </c>
      <c r="AH382">
        <v>60</v>
      </c>
      <c r="AI382">
        <v>120</v>
      </c>
      <c r="AJ382">
        <v>0.108818628774444</v>
      </c>
      <c r="AK382">
        <v>16.893583875165209</v>
      </c>
      <c r="AL382">
        <v>0.78750550766743266</v>
      </c>
      <c r="AM382">
        <v>4.5601030665256947E-2</v>
      </c>
      <c r="AN382">
        <v>21.687557309119679</v>
      </c>
      <c r="AO382">
        <v>0.748389495978247</v>
      </c>
      <c r="AP382">
        <v>21.687557309119679</v>
      </c>
      <c r="AQ382">
        <v>21.687557309119679</v>
      </c>
      <c r="AR382">
        <v>0.748389495978247</v>
      </c>
      <c r="AS382">
        <v>119.47827119121931</v>
      </c>
      <c r="AT382">
        <v>-2.372793476132784E-4</v>
      </c>
      <c r="AU382">
        <v>0.8</v>
      </c>
      <c r="AV382" t="s">
        <v>93</v>
      </c>
      <c r="AW382">
        <v>4.8279165222887513E-2</v>
      </c>
      <c r="AX382">
        <v>0.64943083752306352</v>
      </c>
      <c r="AY382">
        <v>4.8279165222887513E-2</v>
      </c>
      <c r="AZ382">
        <v>4.8279165222887513E-2</v>
      </c>
      <c r="BA382">
        <v>0.64943083752306352</v>
      </c>
      <c r="BB382">
        <v>0.15114545672452831</v>
      </c>
      <c r="BC382">
        <v>-9.7511440628485602E-2</v>
      </c>
      <c r="BD382">
        <v>4.4676640602649878E-2</v>
      </c>
      <c r="BE382">
        <v>0.84520498243855502</v>
      </c>
      <c r="BF382">
        <v>4.4676640602649878E-2</v>
      </c>
      <c r="BG382">
        <v>4.4676640602649878E-2</v>
      </c>
      <c r="BH382">
        <v>0.84520498243855502</v>
      </c>
      <c r="BI382">
        <v>0.2968426213666579</v>
      </c>
      <c r="BJ382">
        <v>-2.8496282791498961E-2</v>
      </c>
      <c r="BK382">
        <v>6.342130222589723E-2</v>
      </c>
      <c r="BL382">
        <v>0.74538353184172412</v>
      </c>
      <c r="BM382">
        <v>6.342130222589723E-2</v>
      </c>
      <c r="BN382">
        <v>6.342130222589723E-2</v>
      </c>
      <c r="BO382">
        <v>0.74538353184172412</v>
      </c>
      <c r="BP382">
        <v>0.1286172629424624</v>
      </c>
      <c r="BQ382">
        <v>0.48364237117127751</v>
      </c>
      <c r="BR382">
        <v>86.593852128427315</v>
      </c>
      <c r="BS382">
        <v>0.75353863210964556</v>
      </c>
      <c r="BT382">
        <v>86.593852128427315</v>
      </c>
      <c r="BU382">
        <v>86.593852128427315</v>
      </c>
      <c r="BV382">
        <v>0.75353863210964556</v>
      </c>
      <c r="BW382">
        <v>477.33647942384391</v>
      </c>
      <c r="BX382">
        <v>-0.35858376514174872</v>
      </c>
      <c r="BY382" t="str">
        <f t="shared" si="14"/>
        <v>[[sv,wv],[yr],[ya]]</v>
      </c>
      <c r="BZ382" t="str">
        <f>SUBSTITUTE(TRIM(MID(SUBSTITUTE(SUBSTITUTE(SUBSTITUTE(Tabla1[[#This Row],[map]],"[",""),"]",""),",",REPT(" ",100)),901,200))," ",", ")</f>
        <v>2, 4</v>
      </c>
      <c r="CA382" t="str">
        <f>SUBSTITUTE(TRIM(MID(SUBSTITUTE(SUBSTITUTE(SUBSTITUTE(Tabla1[[#This Row],[map]],"[",""),"]",""),",",REPT(" ",100)),1501,200))," ",", ")</f>
        <v>3, 2</v>
      </c>
      <c r="CB382" t="str">
        <f>SUBSTITUTE(TRIM(MID(SUBSTITUTE(SUBSTITUTE(SUBSTITUTE(Tabla1[[#This Row],[map]],"[",""),"]",""),",",REPT(" ",100)),601,300))," ",", ")</f>
        <v>0, 1, 3</v>
      </c>
      <c r="CC382" t="str">
        <f>SUBSTITUTE(TRIM(MID(SUBSTITUTE(SUBSTITUTE(SUBSTITUTE(Tabla1[[#This Row],[map]],"[",""),"]",""),",",REPT(" ",100)),1201,300))," ",", ")</f>
        <v>1, 4, 0</v>
      </c>
      <c r="CD382" t="str">
        <f>SUBSTITUTE(TRIM(MID(SUBSTITUTE(SUBSTITUTE(SUBSTITUTE(Tabla1[[#This Row],[map]],"[",""),"]",""),",",REPT(" ",100)),1,300))," ",", ")</f>
        <v>2, 3, 4</v>
      </c>
      <c r="CE382" t="str">
        <f>SUBSTITUTE(TRIM(MID(SUBSTITUTE(SUBSTITUTE(SUBSTITUTE(Tabla1[[#This Row],[map]],"[",""),"]",""),",",REPT(" ",100)),1,600))," ",", ")</f>
        <v>2, 3, 4, 0, 1, -1</v>
      </c>
      <c r="CF382" t="str">
        <f>SUBSTITUTE(TRIM(MID(SUBSTITUTE(SUBSTITUTE(SUBSTITUTE(Tabla1[[#This Row],[map]],"[",""),"]",""),",",REPT(" ",100)),601,600))," ",", ")</f>
        <v>0, 1, 3, 2, 4, -1</v>
      </c>
      <c r="CG382" t="str">
        <f>SUBSTITUTE(TRIM(MID(SUBSTITUTE(SUBSTITUTE(SUBSTITUTE(Tabla1[[#This Row],[map]],"[",""),"]",""),",",REPT(" ",100)),1201,600))," ",", ")</f>
        <v>1, 4, 0, 3, 2, -1</v>
      </c>
    </row>
    <row r="383" spans="1:85" x14ac:dyDescent="0.3">
      <c r="A383" s="1">
        <v>46110.036550925928</v>
      </c>
      <c r="B383" t="s">
        <v>621</v>
      </c>
      <c r="C383">
        <v>4</v>
      </c>
      <c r="D383" t="s">
        <v>96</v>
      </c>
      <c r="E383" t="s">
        <v>78</v>
      </c>
      <c r="F383">
        <v>16590</v>
      </c>
      <c r="G383">
        <v>4.5</v>
      </c>
      <c r="H383" t="s">
        <v>79</v>
      </c>
      <c r="I383" t="s">
        <v>80</v>
      </c>
      <c r="J383">
        <v>5</v>
      </c>
      <c r="K383">
        <v>5</v>
      </c>
      <c r="L383" t="s">
        <v>81</v>
      </c>
      <c r="M383" t="s">
        <v>82</v>
      </c>
      <c r="N383" t="s">
        <v>83</v>
      </c>
      <c r="O383" t="s">
        <v>83</v>
      </c>
      <c r="P383" t="s">
        <v>84</v>
      </c>
      <c r="Q383" t="s">
        <v>509</v>
      </c>
      <c r="R383">
        <v>3</v>
      </c>
      <c r="S383" t="s">
        <v>86</v>
      </c>
      <c r="T383" t="s">
        <v>87</v>
      </c>
      <c r="U383" t="s">
        <v>88</v>
      </c>
      <c r="V383">
        <v>1</v>
      </c>
      <c r="W383" t="s">
        <v>510</v>
      </c>
      <c r="X383" t="s">
        <v>83</v>
      </c>
      <c r="Y383" t="s">
        <v>90</v>
      </c>
      <c r="Z383">
        <v>4000</v>
      </c>
      <c r="AA383">
        <v>4000</v>
      </c>
      <c r="AC383">
        <v>256</v>
      </c>
      <c r="AD383" t="s">
        <v>91</v>
      </c>
      <c r="AE383">
        <v>0.15</v>
      </c>
      <c r="AF383" t="s">
        <v>92</v>
      </c>
      <c r="AG383">
        <v>180</v>
      </c>
      <c r="AH383">
        <v>60</v>
      </c>
      <c r="AI383">
        <v>120</v>
      </c>
      <c r="AJ383">
        <v>0.1050777074800122</v>
      </c>
      <c r="AK383">
        <v>17.614153648805331</v>
      </c>
      <c r="AL383">
        <v>0.71931767508477851</v>
      </c>
      <c r="AM383">
        <v>0.16911817685655661</v>
      </c>
      <c r="AN383">
        <v>24.399536825000482</v>
      </c>
      <c r="AO383">
        <v>0.65647895741809248</v>
      </c>
      <c r="AP383">
        <v>24.399536825000482</v>
      </c>
      <c r="AQ383">
        <v>24.399536825000482</v>
      </c>
      <c r="AR383">
        <v>0.65647895741809248</v>
      </c>
      <c r="AS383">
        <v>116.0464733567799</v>
      </c>
      <c r="AT383">
        <v>0.2072775997861048</v>
      </c>
      <c r="AU383">
        <v>0.8</v>
      </c>
      <c r="AV383" t="s">
        <v>93</v>
      </c>
      <c r="AW383">
        <v>7.7148471143127451E-2</v>
      </c>
      <c r="AX383">
        <v>0.43980234972661109</v>
      </c>
      <c r="AY383">
        <v>7.7148471143127451E-2</v>
      </c>
      <c r="AZ383">
        <v>7.7148471143127451E-2</v>
      </c>
      <c r="BA383">
        <v>0.43980234972661109</v>
      </c>
      <c r="BB383">
        <v>0.1443982197328039</v>
      </c>
      <c r="BC383">
        <v>-4.8517776170905247E-2</v>
      </c>
      <c r="BD383">
        <v>7.2875021170043117E-2</v>
      </c>
      <c r="BE383">
        <v>0.74750361643936114</v>
      </c>
      <c r="BF383">
        <v>7.2875021170043117E-2</v>
      </c>
      <c r="BG383">
        <v>7.2875021170043117E-2</v>
      </c>
      <c r="BH383">
        <v>0.74750361643936114</v>
      </c>
      <c r="BI383">
        <v>0.12907878054601379</v>
      </c>
      <c r="BJ383">
        <v>0.5527695943135662</v>
      </c>
      <c r="BK383">
        <v>7.0799377211182971E-2</v>
      </c>
      <c r="BL383">
        <v>0.71576289447497388</v>
      </c>
      <c r="BM383">
        <v>7.0799377211182971E-2</v>
      </c>
      <c r="BN383">
        <v>7.0799377211182971E-2</v>
      </c>
      <c r="BO383">
        <v>0.71576289447497388</v>
      </c>
      <c r="BP383">
        <v>8.842952926328361E-2</v>
      </c>
      <c r="BQ383">
        <v>0.64498341043646645</v>
      </c>
      <c r="BR383">
        <v>97.377324430477557</v>
      </c>
      <c r="BS383">
        <v>0.72284696903142365</v>
      </c>
      <c r="BT383">
        <v>97.377324430477557</v>
      </c>
      <c r="BU383">
        <v>97.377324430477557</v>
      </c>
      <c r="BV383">
        <v>0.72284696903142365</v>
      </c>
      <c r="BW383">
        <v>463.82398689757702</v>
      </c>
      <c r="BX383">
        <v>-0.32012482943471099</v>
      </c>
      <c r="BY383" t="str">
        <f t="shared" si="14"/>
        <v>[[sv,wv],[yr],[ya]]</v>
      </c>
      <c r="BZ383" t="str">
        <f>SUBSTITUTE(TRIM(MID(SUBSTITUTE(SUBSTITUTE(SUBSTITUTE(Tabla1[[#This Row],[map]],"[",""),"]",""),",",REPT(" ",100)),901,200))," ",", ")</f>
        <v>2, 4</v>
      </c>
      <c r="CA383" t="str">
        <f>SUBSTITUTE(TRIM(MID(SUBSTITUTE(SUBSTITUTE(SUBSTITUTE(Tabla1[[#This Row],[map]],"[",""),"]",""),",",REPT(" ",100)),1501,200))," ",", ")</f>
        <v>3, 4</v>
      </c>
      <c r="CB383" t="str">
        <f>SUBSTITUTE(TRIM(MID(SUBSTITUTE(SUBSTITUTE(SUBSTITUTE(Tabla1[[#This Row],[map]],"[",""),"]",""),",",REPT(" ",100)),601,300))," ",", ")</f>
        <v>0, 1, 3</v>
      </c>
      <c r="CC383" t="str">
        <f>SUBSTITUTE(TRIM(MID(SUBSTITUTE(SUBSTITUTE(SUBSTITUTE(Tabla1[[#This Row],[map]],"[",""),"]",""),",",REPT(" ",100)),1201,300))," ",", ")</f>
        <v>1, 2, 0</v>
      </c>
      <c r="CD383" t="str">
        <f>SUBSTITUTE(TRIM(MID(SUBSTITUTE(SUBSTITUTE(SUBSTITUTE(Tabla1[[#This Row],[map]],"[",""),"]",""),",",REPT(" ",100)),1,300))," ",", ")</f>
        <v>4, 2, 3</v>
      </c>
      <c r="CE383" t="str">
        <f>SUBSTITUTE(TRIM(MID(SUBSTITUTE(SUBSTITUTE(SUBSTITUTE(Tabla1[[#This Row],[map]],"[",""),"]",""),",",REPT(" ",100)),1,600))," ",", ")</f>
        <v>4, 2, 3, 0, 1, -1</v>
      </c>
      <c r="CF383" t="str">
        <f>SUBSTITUTE(TRIM(MID(SUBSTITUTE(SUBSTITUTE(SUBSTITUTE(Tabla1[[#This Row],[map]],"[",""),"]",""),",",REPT(" ",100)),601,600))," ",", ")</f>
        <v>0, 1, 3, 2, 4, -1</v>
      </c>
      <c r="CG383" t="str">
        <f>SUBSTITUTE(TRIM(MID(SUBSTITUTE(SUBSTITUTE(SUBSTITUTE(Tabla1[[#This Row],[map]],"[",""),"]",""),",",REPT(" ",100)),1201,600))," ",", ")</f>
        <v>1, 2, 0, 3, 4, -1</v>
      </c>
    </row>
    <row r="384" spans="1:85" x14ac:dyDescent="0.3">
      <c r="A384" s="1">
        <v>46110.040277777778</v>
      </c>
      <c r="B384" t="s">
        <v>622</v>
      </c>
      <c r="C384">
        <v>4</v>
      </c>
      <c r="D384" t="s">
        <v>77</v>
      </c>
      <c r="E384" t="s">
        <v>78</v>
      </c>
      <c r="F384">
        <v>16590</v>
      </c>
      <c r="G384">
        <v>4.5</v>
      </c>
      <c r="H384" t="s">
        <v>79</v>
      </c>
      <c r="I384" t="s">
        <v>80</v>
      </c>
      <c r="J384">
        <v>5</v>
      </c>
      <c r="K384">
        <v>5</v>
      </c>
      <c r="L384" t="s">
        <v>81</v>
      </c>
      <c r="M384" t="s">
        <v>82</v>
      </c>
      <c r="N384" t="s">
        <v>83</v>
      </c>
      <c r="O384" t="s">
        <v>83</v>
      </c>
      <c r="P384" t="s">
        <v>84</v>
      </c>
      <c r="Q384" t="s">
        <v>225</v>
      </c>
      <c r="R384">
        <v>3</v>
      </c>
      <c r="S384" t="s">
        <v>86</v>
      </c>
      <c r="T384" t="s">
        <v>87</v>
      </c>
      <c r="U384" t="s">
        <v>88</v>
      </c>
      <c r="V384">
        <v>1</v>
      </c>
      <c r="W384" t="s">
        <v>226</v>
      </c>
      <c r="X384" t="s">
        <v>83</v>
      </c>
      <c r="Y384" t="s">
        <v>90</v>
      </c>
      <c r="Z384">
        <v>4000</v>
      </c>
      <c r="AA384">
        <v>4000</v>
      </c>
      <c r="AC384">
        <v>256</v>
      </c>
      <c r="AD384" t="s">
        <v>91</v>
      </c>
      <c r="AE384">
        <v>0.15</v>
      </c>
      <c r="AF384" t="s">
        <v>92</v>
      </c>
      <c r="AG384">
        <v>180</v>
      </c>
      <c r="AH384">
        <v>60</v>
      </c>
      <c r="AI384">
        <v>120</v>
      </c>
      <c r="AJ384">
        <v>0.10594446304509129</v>
      </c>
      <c r="AK384">
        <v>15.72130411424744</v>
      </c>
      <c r="AL384">
        <v>0.72568960349700962</v>
      </c>
      <c r="AM384">
        <v>0.33399605621103828</v>
      </c>
      <c r="AN384">
        <v>17.935470523406639</v>
      </c>
      <c r="AO384">
        <v>0.68146162772987151</v>
      </c>
      <c r="AP384">
        <v>17.935470523406639</v>
      </c>
      <c r="AQ384">
        <v>17.935470523406639</v>
      </c>
      <c r="AR384">
        <v>0.68146162772987151</v>
      </c>
      <c r="AS384">
        <v>80.156633203751852</v>
      </c>
      <c r="AT384">
        <v>0.3703813105590732</v>
      </c>
      <c r="AU384">
        <v>0.8</v>
      </c>
      <c r="AV384" t="s">
        <v>93</v>
      </c>
      <c r="AW384">
        <v>7.6019699916421393E-2</v>
      </c>
      <c r="AX384">
        <v>0.4479986882868896</v>
      </c>
      <c r="AY384">
        <v>7.6019699916421393E-2</v>
      </c>
      <c r="AZ384">
        <v>7.6019699916421393E-2</v>
      </c>
      <c r="BA384">
        <v>0.4479986882868896</v>
      </c>
      <c r="BB384">
        <v>0.12404311677375621</v>
      </c>
      <c r="BC384">
        <v>9.9286589615897869E-2</v>
      </c>
      <c r="BD384">
        <v>7.7835088016889389E-2</v>
      </c>
      <c r="BE384">
        <v>0.73031804419608981</v>
      </c>
      <c r="BF384">
        <v>7.7835088016889389E-2</v>
      </c>
      <c r="BG384">
        <v>7.7835088016889389E-2</v>
      </c>
      <c r="BH384">
        <v>0.73031804419608981</v>
      </c>
      <c r="BI384">
        <v>0.1109078677410211</v>
      </c>
      <c r="BJ384">
        <v>0.61572792620277061</v>
      </c>
      <c r="BK384">
        <v>6.1996049188811943E-2</v>
      </c>
      <c r="BL384">
        <v>0.75110547197537114</v>
      </c>
      <c r="BM384">
        <v>6.1996049188811943E-2</v>
      </c>
      <c r="BN384">
        <v>6.1996049188811943E-2</v>
      </c>
      <c r="BO384">
        <v>0.75110547197537114</v>
      </c>
      <c r="BP384">
        <v>8.0162357381661525E-2</v>
      </c>
      <c r="BQ384">
        <v>0.67817349061896537</v>
      </c>
      <c r="BR384">
        <v>71.526031256504524</v>
      </c>
      <c r="BS384">
        <v>0.79642430646113682</v>
      </c>
      <c r="BT384">
        <v>71.526031256504524</v>
      </c>
      <c r="BU384">
        <v>71.526031256504524</v>
      </c>
      <c r="BV384">
        <v>0.79642430646113682</v>
      </c>
      <c r="BW384">
        <v>320.31141947311261</v>
      </c>
      <c r="BX384">
        <v>8.8337235798656377E-2</v>
      </c>
      <c r="BY384" t="str">
        <f t="shared" si="14"/>
        <v>[[sv,wv],[yr],[ya]]</v>
      </c>
      <c r="BZ384" t="str">
        <f>SUBSTITUTE(TRIM(MID(SUBSTITUTE(SUBSTITUTE(SUBSTITUTE(Tabla1[[#This Row],[map]],"[",""),"]",""),",",REPT(" ",100)),901,200))," ",", ")</f>
        <v>2, 3</v>
      </c>
      <c r="CA384" t="str">
        <f>SUBSTITUTE(TRIM(MID(SUBSTITUTE(SUBSTITUTE(SUBSTITUTE(Tabla1[[#This Row],[map]],"[",""),"]",""),",",REPT(" ",100)),1501,200))," ",", ")</f>
        <v>3, 4</v>
      </c>
      <c r="CB384" t="str">
        <f>SUBSTITUTE(TRIM(MID(SUBSTITUTE(SUBSTITUTE(SUBSTITUTE(Tabla1[[#This Row],[map]],"[",""),"]",""),",",REPT(" ",100)),601,300))," ",", ")</f>
        <v>0, 1, 4</v>
      </c>
      <c r="CC384" t="str">
        <f>SUBSTITUTE(TRIM(MID(SUBSTITUTE(SUBSTITUTE(SUBSTITUTE(Tabla1[[#This Row],[map]],"[",""),"]",""),",",REPT(" ",100)),1201,300))," ",", ")</f>
        <v>2, 0, 1</v>
      </c>
      <c r="CD384" t="str">
        <f>SUBSTITUTE(TRIM(MID(SUBSTITUTE(SUBSTITUTE(SUBSTITUTE(Tabla1[[#This Row],[map]],"[",""),"]",""),",",REPT(" ",100)),1,300))," ",", ")</f>
        <v>4, 2, 3</v>
      </c>
      <c r="CE384" t="str">
        <f>SUBSTITUTE(TRIM(MID(SUBSTITUTE(SUBSTITUTE(SUBSTITUTE(Tabla1[[#This Row],[map]],"[",""),"]",""),",",REPT(" ",100)),1,600))," ",", ")</f>
        <v>4, 2, 3, 0, 1, -1</v>
      </c>
      <c r="CF384" t="str">
        <f>SUBSTITUTE(TRIM(MID(SUBSTITUTE(SUBSTITUTE(SUBSTITUTE(Tabla1[[#This Row],[map]],"[",""),"]",""),",",REPT(" ",100)),601,600))," ",", ")</f>
        <v>0, 1, 4, 2, 3, -1</v>
      </c>
      <c r="CG384" t="str">
        <f>SUBSTITUTE(TRIM(MID(SUBSTITUTE(SUBSTITUTE(SUBSTITUTE(Tabla1[[#This Row],[map]],"[",""),"]",""),",",REPT(" ",100)),1201,600))," ",", ")</f>
        <v>2, 0, 1, 3, 4, -1</v>
      </c>
    </row>
    <row r="385" spans="1:85" x14ac:dyDescent="0.3">
      <c r="A385" s="1">
        <v>46110.049664351849</v>
      </c>
      <c r="B385" t="s">
        <v>623</v>
      </c>
      <c r="C385">
        <v>5</v>
      </c>
      <c r="D385" t="s">
        <v>96</v>
      </c>
      <c r="E385" t="s">
        <v>78</v>
      </c>
      <c r="F385">
        <v>16590</v>
      </c>
      <c r="G385">
        <v>4.5</v>
      </c>
      <c r="H385" t="s">
        <v>79</v>
      </c>
      <c r="I385" t="s">
        <v>80</v>
      </c>
      <c r="J385">
        <v>5</v>
      </c>
      <c r="K385">
        <v>5</v>
      </c>
      <c r="L385" t="s">
        <v>81</v>
      </c>
      <c r="M385" t="s">
        <v>82</v>
      </c>
      <c r="N385" t="s">
        <v>83</v>
      </c>
      <c r="O385" t="s">
        <v>83</v>
      </c>
      <c r="P385" t="s">
        <v>84</v>
      </c>
      <c r="Q385" t="s">
        <v>195</v>
      </c>
      <c r="R385">
        <v>3</v>
      </c>
      <c r="S385" t="s">
        <v>86</v>
      </c>
      <c r="T385" t="s">
        <v>87</v>
      </c>
      <c r="U385" t="s">
        <v>88</v>
      </c>
      <c r="V385">
        <v>1</v>
      </c>
      <c r="W385" t="s">
        <v>196</v>
      </c>
      <c r="X385" t="s">
        <v>83</v>
      </c>
      <c r="Y385" t="s">
        <v>90</v>
      </c>
      <c r="Z385">
        <v>4000</v>
      </c>
      <c r="AA385">
        <v>4000</v>
      </c>
      <c r="AC385">
        <v>256</v>
      </c>
      <c r="AD385" t="s">
        <v>91</v>
      </c>
      <c r="AE385">
        <v>0.15</v>
      </c>
      <c r="AF385" t="s">
        <v>92</v>
      </c>
      <c r="AG385">
        <v>180</v>
      </c>
      <c r="AH385">
        <v>60</v>
      </c>
      <c r="AI385">
        <v>120</v>
      </c>
      <c r="AJ385">
        <v>0.12888740768434831</v>
      </c>
      <c r="AK385">
        <v>23.568846830045999</v>
      </c>
      <c r="AL385">
        <v>0.67467036073036724</v>
      </c>
      <c r="AM385">
        <v>0.39523381171123129</v>
      </c>
      <c r="AN385">
        <v>27.363560808111568</v>
      </c>
      <c r="AO385">
        <v>0.64189343400719412</v>
      </c>
      <c r="AP385">
        <v>27.363560808111568</v>
      </c>
      <c r="AQ385">
        <v>27.363560808111568</v>
      </c>
      <c r="AR385">
        <v>0.64189343400719412</v>
      </c>
      <c r="AS385">
        <v>58.111261583760403</v>
      </c>
      <c r="AT385">
        <v>0.34011125949253151</v>
      </c>
      <c r="AU385">
        <v>0.8</v>
      </c>
      <c r="AV385" t="s">
        <v>93</v>
      </c>
      <c r="AW385">
        <v>7.826243067235554E-2</v>
      </c>
      <c r="AX385">
        <v>0.43171356324093341</v>
      </c>
      <c r="AY385">
        <v>7.826243067235554E-2</v>
      </c>
      <c r="AZ385">
        <v>7.826243067235554E-2</v>
      </c>
      <c r="BA385">
        <v>0.43171356324093341</v>
      </c>
      <c r="BB385">
        <v>0.1684727018988372</v>
      </c>
      <c r="BC385">
        <v>-0.2233296440035171</v>
      </c>
      <c r="BD385">
        <v>0.10673462258107309</v>
      </c>
      <c r="BE385">
        <v>0.63018732935189758</v>
      </c>
      <c r="BF385">
        <v>0.10673462258107309</v>
      </c>
      <c r="BG385">
        <v>0.10673462258107309</v>
      </c>
      <c r="BH385">
        <v>0.63018732935189758</v>
      </c>
      <c r="BI385">
        <v>0.14128675761566081</v>
      </c>
      <c r="BJ385">
        <v>0.51047156117153003</v>
      </c>
      <c r="BK385">
        <v>4.5696671163297127E-2</v>
      </c>
      <c r="BL385">
        <v>0.81654231922349585</v>
      </c>
      <c r="BM385">
        <v>4.5696671163297127E-2</v>
      </c>
      <c r="BN385">
        <v>4.5696671163297127E-2</v>
      </c>
      <c r="BO385">
        <v>0.81654231922349585</v>
      </c>
      <c r="BP385">
        <v>6.630351567816406E-2</v>
      </c>
      <c r="BQ385">
        <v>0.73381235648047793</v>
      </c>
      <c r="BR385">
        <v>109.22354950802929</v>
      </c>
      <c r="BS385">
        <v>0.6891305242124508</v>
      </c>
      <c r="BT385">
        <v>109.22354950802929</v>
      </c>
      <c r="BU385">
        <v>109.22354950802929</v>
      </c>
      <c r="BV385">
        <v>0.6891305242124508</v>
      </c>
      <c r="BW385">
        <v>232.06898335984951</v>
      </c>
      <c r="BX385">
        <v>0.33949076432164038</v>
      </c>
      <c r="BY385" t="str">
        <f t="shared" si="14"/>
        <v>[[sv,wv],[yr],[ya]]</v>
      </c>
      <c r="BZ385" t="str">
        <f>SUBSTITUTE(TRIM(MID(SUBSTITUTE(SUBSTITUTE(SUBSTITUTE(Tabla1[[#This Row],[map]],"[",""),"]",""),",",REPT(" ",100)),901,200))," ",", ")</f>
        <v>2, 3</v>
      </c>
      <c r="CA385" t="str">
        <f>SUBSTITUTE(TRIM(MID(SUBSTITUTE(SUBSTITUTE(SUBSTITUTE(Tabla1[[#This Row],[map]],"[",""),"]",""),",",REPT(" ",100)),1501,200))," ",", ")</f>
        <v>3, 2</v>
      </c>
      <c r="CB385" t="str">
        <f>SUBSTITUTE(TRIM(MID(SUBSTITUTE(SUBSTITUTE(SUBSTITUTE(Tabla1[[#This Row],[map]],"[",""),"]",""),",",REPT(" ",100)),601,300))," ",", ")</f>
        <v>4, 0, 1</v>
      </c>
      <c r="CC385" t="str">
        <f>SUBSTITUTE(TRIM(MID(SUBSTITUTE(SUBSTITUTE(SUBSTITUTE(Tabla1[[#This Row],[map]],"[",""),"]",""),",",REPT(" ",100)),1201,300))," ",", ")</f>
        <v>0, 1, 4</v>
      </c>
      <c r="CD385" t="str">
        <f>SUBSTITUTE(TRIM(MID(SUBSTITUTE(SUBSTITUTE(SUBSTITUTE(Tabla1[[#This Row],[map]],"[",""),"]",""),",",REPT(" ",100)),1,300))," ",", ")</f>
        <v>4, 2, 3</v>
      </c>
      <c r="CE385" t="str">
        <f>SUBSTITUTE(TRIM(MID(SUBSTITUTE(SUBSTITUTE(SUBSTITUTE(Tabla1[[#This Row],[map]],"[",""),"]",""),",",REPT(" ",100)),1,600))," ",", ")</f>
        <v>4, 2, 3, 0, 1, -1</v>
      </c>
      <c r="CF385" t="str">
        <f>SUBSTITUTE(TRIM(MID(SUBSTITUTE(SUBSTITUTE(SUBSTITUTE(Tabla1[[#This Row],[map]],"[",""),"]",""),",",REPT(" ",100)),601,600))," ",", ")</f>
        <v>4, 0, 1, 2, 3, -1</v>
      </c>
      <c r="CG385" t="str">
        <f>SUBSTITUTE(TRIM(MID(SUBSTITUTE(SUBSTITUTE(SUBSTITUTE(Tabla1[[#This Row],[map]],"[",""),"]",""),",",REPT(" ",100)),1201,600))," ",", ")</f>
        <v>0, 1, 4, 3, 2, -1</v>
      </c>
    </row>
    <row r="386" spans="1:85" x14ac:dyDescent="0.3">
      <c r="A386" s="1">
        <v>46110.145254629628</v>
      </c>
      <c r="B386" t="s">
        <v>624</v>
      </c>
      <c r="C386">
        <v>7</v>
      </c>
      <c r="D386" t="s">
        <v>96</v>
      </c>
      <c r="E386" t="s">
        <v>78</v>
      </c>
      <c r="F386">
        <v>16590</v>
      </c>
      <c r="G386">
        <v>4.5</v>
      </c>
      <c r="H386" t="s">
        <v>79</v>
      </c>
      <c r="I386" t="s">
        <v>80</v>
      </c>
      <c r="J386">
        <v>5</v>
      </c>
      <c r="K386">
        <v>5</v>
      </c>
      <c r="L386" t="s">
        <v>81</v>
      </c>
      <c r="M386" t="s">
        <v>82</v>
      </c>
      <c r="N386" t="s">
        <v>83</v>
      </c>
      <c r="O386" t="s">
        <v>83</v>
      </c>
      <c r="P386" t="s">
        <v>84</v>
      </c>
      <c r="Q386" t="s">
        <v>416</v>
      </c>
      <c r="R386">
        <v>3</v>
      </c>
      <c r="S386" t="s">
        <v>86</v>
      </c>
      <c r="T386" t="s">
        <v>87</v>
      </c>
      <c r="U386" t="s">
        <v>88</v>
      </c>
      <c r="V386">
        <v>1</v>
      </c>
      <c r="W386" t="s">
        <v>417</v>
      </c>
      <c r="X386" t="s">
        <v>83</v>
      </c>
      <c r="Y386" t="s">
        <v>90</v>
      </c>
      <c r="Z386">
        <v>4000</v>
      </c>
      <c r="AA386">
        <v>4000</v>
      </c>
      <c r="AC386">
        <v>256</v>
      </c>
      <c r="AD386" t="s">
        <v>91</v>
      </c>
      <c r="AE386">
        <v>0.15</v>
      </c>
      <c r="AF386" t="s">
        <v>92</v>
      </c>
      <c r="AG386">
        <v>180</v>
      </c>
      <c r="AH386">
        <v>60</v>
      </c>
      <c r="AI386">
        <v>120</v>
      </c>
      <c r="AJ386">
        <v>0.1009272570629029</v>
      </c>
      <c r="AK386">
        <v>12.193916641164121</v>
      </c>
      <c r="AL386">
        <v>0.7224379350431348</v>
      </c>
      <c r="AM386">
        <v>0.22439427454015651</v>
      </c>
      <c r="AN386">
        <v>16.879305396818371</v>
      </c>
      <c r="AO386">
        <v>0.70086172649389833</v>
      </c>
      <c r="AP386">
        <v>16.879305396818371</v>
      </c>
      <c r="AQ386">
        <v>16.879305396818371</v>
      </c>
      <c r="AR386">
        <v>0.70086172649389833</v>
      </c>
      <c r="AS386">
        <v>95.544560211414819</v>
      </c>
      <c r="AT386">
        <v>0.20063660437298689</v>
      </c>
      <c r="AU386">
        <v>0.8</v>
      </c>
      <c r="AV386" t="s">
        <v>93</v>
      </c>
      <c r="AW386">
        <v>8.3502324046898765E-2</v>
      </c>
      <c r="AX386">
        <v>0.39366516237688459</v>
      </c>
      <c r="AY386">
        <v>8.3502324046898765E-2</v>
      </c>
      <c r="AZ386">
        <v>8.3502324046898765E-2</v>
      </c>
      <c r="BA386">
        <v>0.39366516237688459</v>
      </c>
      <c r="BB386">
        <v>0.13498869567634081</v>
      </c>
      <c r="BC386">
        <v>1.9807534603462851E-2</v>
      </c>
      <c r="BD386">
        <v>5.4487367020811119E-2</v>
      </c>
      <c r="BE386">
        <v>0.81121291079430247</v>
      </c>
      <c r="BF386">
        <v>5.4487367020811119E-2</v>
      </c>
      <c r="BG386">
        <v>5.4487367020811119E-2</v>
      </c>
      <c r="BH386">
        <v>0.81121291079430247</v>
      </c>
      <c r="BI386">
        <v>0.1548069788493783</v>
      </c>
      <c r="BJ386">
        <v>0.46362688227273702</v>
      </c>
      <c r="BK386">
        <v>5.2259842152716923E-2</v>
      </c>
      <c r="BL386">
        <v>0.79019326364446119</v>
      </c>
      <c r="BM386">
        <v>5.2259842152716923E-2</v>
      </c>
      <c r="BN386">
        <v>5.2259842152716923E-2</v>
      </c>
      <c r="BO386">
        <v>0.79019326364446119</v>
      </c>
      <c r="BP386">
        <v>0.14805339499436729</v>
      </c>
      <c r="BQ386">
        <v>0.40561244866847029</v>
      </c>
      <c r="BR386">
        <v>67.326972054053243</v>
      </c>
      <c r="BS386">
        <v>0.80837556915994657</v>
      </c>
      <c r="BT386">
        <v>67.326972054053243</v>
      </c>
      <c r="BU386">
        <v>67.326972054053243</v>
      </c>
      <c r="BV386">
        <v>0.80837556915994657</v>
      </c>
      <c r="BW386">
        <v>381.74039177613929</v>
      </c>
      <c r="BX386">
        <v>-8.6500448052718504E-2</v>
      </c>
      <c r="BY386" t="str">
        <f t="shared" si="14"/>
        <v>[[sv,wv],[yr],[ya]]</v>
      </c>
      <c r="BZ386" t="str">
        <f>SUBSTITUTE(TRIM(MID(SUBSTITUTE(SUBSTITUTE(SUBSTITUTE(Tabla1[[#This Row],[map]],"[",""),"]",""),",",REPT(" ",100)),901,200))," ",", ")</f>
        <v>2, 4</v>
      </c>
      <c r="CA386" t="str">
        <f>SUBSTITUTE(TRIM(MID(SUBSTITUTE(SUBSTITUTE(SUBSTITUTE(Tabla1[[#This Row],[map]],"[",""),"]",""),",",REPT(" ",100)),1501,200))," ",", ")</f>
        <v>3, 4</v>
      </c>
      <c r="CB386" t="str">
        <f>SUBSTITUTE(TRIM(MID(SUBSTITUTE(SUBSTITUTE(SUBSTITUTE(Tabla1[[#This Row],[map]],"[",""),"]",""),",",REPT(" ",100)),601,300))," ",", ")</f>
        <v>0, 1, 3</v>
      </c>
      <c r="CC386" t="str">
        <f>SUBSTITUTE(TRIM(MID(SUBSTITUTE(SUBSTITUTE(SUBSTITUTE(Tabla1[[#This Row],[map]],"[",""),"]",""),",",REPT(" ",100)),1201,300))," ",", ")</f>
        <v>1, 2, 0</v>
      </c>
      <c r="CD386" t="str">
        <f>SUBSTITUTE(TRIM(MID(SUBSTITUTE(SUBSTITUTE(SUBSTITUTE(Tabla1[[#This Row],[map]],"[",""),"]",""),",",REPT(" ",100)),1,300))," ",", ")</f>
        <v>2, 3, 4</v>
      </c>
      <c r="CE386" t="str">
        <f>SUBSTITUTE(TRIM(MID(SUBSTITUTE(SUBSTITUTE(SUBSTITUTE(Tabla1[[#This Row],[map]],"[",""),"]",""),",",REPT(" ",100)),1,600))," ",", ")</f>
        <v>2, 3, 4, 0, 1, -1</v>
      </c>
      <c r="CF386" t="str">
        <f>SUBSTITUTE(TRIM(MID(SUBSTITUTE(SUBSTITUTE(SUBSTITUTE(Tabla1[[#This Row],[map]],"[",""),"]",""),",",REPT(" ",100)),601,600))," ",", ")</f>
        <v>0, 1, 3, 2, 4, -1</v>
      </c>
      <c r="CG386" t="str">
        <f>SUBSTITUTE(TRIM(MID(SUBSTITUTE(SUBSTITUTE(SUBSTITUTE(Tabla1[[#This Row],[map]],"[",""),"]",""),",",REPT(" ",100)),1201,600))," ",", ")</f>
        <v>1, 2, 0, 3, 4, -1</v>
      </c>
    </row>
    <row r="387" spans="1:85" x14ac:dyDescent="0.3">
      <c r="A387" s="1">
        <v>46110.173414351862</v>
      </c>
      <c r="B387" t="s">
        <v>625</v>
      </c>
      <c r="C387">
        <v>8</v>
      </c>
      <c r="D387" t="s">
        <v>77</v>
      </c>
      <c r="E387" t="s">
        <v>78</v>
      </c>
      <c r="F387">
        <v>16590</v>
      </c>
      <c r="G387">
        <v>4.5</v>
      </c>
      <c r="H387" t="s">
        <v>79</v>
      </c>
      <c r="I387" t="s">
        <v>80</v>
      </c>
      <c r="J387">
        <v>5</v>
      </c>
      <c r="K387">
        <v>5</v>
      </c>
      <c r="L387" t="s">
        <v>81</v>
      </c>
      <c r="M387" t="s">
        <v>82</v>
      </c>
      <c r="N387" t="s">
        <v>83</v>
      </c>
      <c r="O387" t="s">
        <v>83</v>
      </c>
      <c r="P387" t="s">
        <v>84</v>
      </c>
      <c r="Q387" t="s">
        <v>159</v>
      </c>
      <c r="R387">
        <v>3</v>
      </c>
      <c r="S387" t="s">
        <v>86</v>
      </c>
      <c r="T387" t="s">
        <v>87</v>
      </c>
      <c r="U387" t="s">
        <v>88</v>
      </c>
      <c r="V387">
        <v>1</v>
      </c>
      <c r="W387" t="s">
        <v>160</v>
      </c>
      <c r="X387" t="s">
        <v>83</v>
      </c>
      <c r="Y387" t="s">
        <v>90</v>
      </c>
      <c r="Z387">
        <v>4000</v>
      </c>
      <c r="AA387">
        <v>4000</v>
      </c>
      <c r="AC387">
        <v>256</v>
      </c>
      <c r="AD387" t="s">
        <v>91</v>
      </c>
      <c r="AE387">
        <v>0.15</v>
      </c>
      <c r="AF387" t="s">
        <v>92</v>
      </c>
      <c r="AG387">
        <v>180</v>
      </c>
      <c r="AH387">
        <v>60</v>
      </c>
      <c r="AI387">
        <v>120</v>
      </c>
      <c r="AJ387">
        <v>0.1181559513183625</v>
      </c>
      <c r="AK387">
        <v>18.152732457659621</v>
      </c>
      <c r="AL387">
        <v>0.63586869886218411</v>
      </c>
      <c r="AM387">
        <v>-0.13725289836804469</v>
      </c>
      <c r="AN387">
        <v>17.973745516694741</v>
      </c>
      <c r="AO387">
        <v>0.58525992938205418</v>
      </c>
      <c r="AP387">
        <v>17.973745516694741</v>
      </c>
      <c r="AQ387">
        <v>17.973745516694741</v>
      </c>
      <c r="AR387">
        <v>0.58525992938205418</v>
      </c>
      <c r="AS387">
        <v>118.84634658607401</v>
      </c>
      <c r="AT387">
        <v>-0.16863438095291439</v>
      </c>
      <c r="AU387">
        <v>0.8</v>
      </c>
      <c r="AV387" t="s">
        <v>93</v>
      </c>
      <c r="AW387">
        <v>0.1173480349294705</v>
      </c>
      <c r="AX387">
        <v>0.14790154026863001</v>
      </c>
      <c r="AY387">
        <v>0.1173480349294705</v>
      </c>
      <c r="AZ387">
        <v>0.1173480349294705</v>
      </c>
      <c r="BA387">
        <v>0.14790154026863001</v>
      </c>
      <c r="BB387">
        <v>0.13920420513441001</v>
      </c>
      <c r="BC387">
        <v>-1.08025145410553E-2</v>
      </c>
      <c r="BD387">
        <v>6.9491500498091094E-2</v>
      </c>
      <c r="BE387">
        <v>0.75922679290852613</v>
      </c>
      <c r="BF387">
        <v>6.9491500498091094E-2</v>
      </c>
      <c r="BG387">
        <v>6.9491500498091094E-2</v>
      </c>
      <c r="BH387">
        <v>0.75922679290852613</v>
      </c>
      <c r="BI387">
        <v>0.25505038554537268</v>
      </c>
      <c r="BJ387">
        <v>0.1163048882594906</v>
      </c>
      <c r="BK387">
        <v>9.0231620635408613E-2</v>
      </c>
      <c r="BL387">
        <v>0.63774858358231834</v>
      </c>
      <c r="BM387">
        <v>9.0231620635408613E-2</v>
      </c>
      <c r="BN387">
        <v>9.0231620635408613E-2</v>
      </c>
      <c r="BO387">
        <v>0.63774858358231834</v>
      </c>
      <c r="BP387">
        <v>0.35597937292549098</v>
      </c>
      <c r="BQ387">
        <v>-0.42914458534210592</v>
      </c>
      <c r="BR387">
        <v>71.617910910716077</v>
      </c>
      <c r="BS387">
        <v>0.79616280076873858</v>
      </c>
      <c r="BT387">
        <v>71.617910910716077</v>
      </c>
      <c r="BU387">
        <v>71.617910910716077</v>
      </c>
      <c r="BV387">
        <v>0.79616280076873858</v>
      </c>
      <c r="BW387">
        <v>474.6351523806901</v>
      </c>
      <c r="BX387">
        <v>-0.35089531218798159</v>
      </c>
      <c r="BY387" t="str">
        <f t="shared" si="14"/>
        <v>[[sv,wv],[yr],[ya]]</v>
      </c>
      <c r="BZ387" t="str">
        <f>SUBSTITUTE(TRIM(MID(SUBSTITUTE(SUBSTITUTE(SUBSTITUTE(Tabla1[[#This Row],[map]],"[",""),"]",""),",",REPT(" ",100)),901,200))," ",", ")</f>
        <v>2, 4</v>
      </c>
      <c r="CA387" t="str">
        <f>SUBSTITUTE(TRIM(MID(SUBSTITUTE(SUBSTITUTE(SUBSTITUTE(Tabla1[[#This Row],[map]],"[",""),"]",""),",",REPT(" ",100)),1501,200))," ",", ")</f>
        <v>3, 4</v>
      </c>
      <c r="CB387" t="str">
        <f>SUBSTITUTE(TRIM(MID(SUBSTITUTE(SUBSTITUTE(SUBSTITUTE(Tabla1[[#This Row],[map]],"[",""),"]",""),",",REPT(" ",100)),601,300))," ",", ")</f>
        <v>0, 1, 3</v>
      </c>
      <c r="CC387" t="str">
        <f>SUBSTITUTE(TRIM(MID(SUBSTITUTE(SUBSTITUTE(SUBSTITUTE(Tabla1[[#This Row],[map]],"[",""),"]",""),",",REPT(" ",100)),1201,300))," ",", ")</f>
        <v>0, 1, 2</v>
      </c>
      <c r="CD387" t="str">
        <f>SUBSTITUTE(TRIM(MID(SUBSTITUTE(SUBSTITUTE(SUBSTITUTE(Tabla1[[#This Row],[map]],"[",""),"]",""),",",REPT(" ",100)),1,300))," ",", ")</f>
        <v>2, 3, 4</v>
      </c>
      <c r="CE387" t="str">
        <f>SUBSTITUTE(TRIM(MID(SUBSTITUTE(SUBSTITUTE(SUBSTITUTE(Tabla1[[#This Row],[map]],"[",""),"]",""),",",REPT(" ",100)),1,600))," ",", ")</f>
        <v>2, 3, 4, 0, 1, -1</v>
      </c>
      <c r="CF387" t="str">
        <f>SUBSTITUTE(TRIM(MID(SUBSTITUTE(SUBSTITUTE(SUBSTITUTE(Tabla1[[#This Row],[map]],"[",""),"]",""),",",REPT(" ",100)),601,600))," ",", ")</f>
        <v>0, 1, 3, 2, 4, -1</v>
      </c>
      <c r="CG387" t="str">
        <f>SUBSTITUTE(TRIM(MID(SUBSTITUTE(SUBSTITUTE(SUBSTITUTE(Tabla1[[#This Row],[map]],"[",""),"]",""),",",REPT(" ",100)),1201,600))," ",", ")</f>
        <v>0, 1, 2, 3, 4, -1</v>
      </c>
    </row>
    <row r="388" spans="1:85" x14ac:dyDescent="0.3">
      <c r="A388" s="1">
        <v>46110.181932870371</v>
      </c>
      <c r="B388" t="s">
        <v>626</v>
      </c>
      <c r="C388">
        <v>5</v>
      </c>
      <c r="D388" t="s">
        <v>77</v>
      </c>
      <c r="E388" t="s">
        <v>78</v>
      </c>
      <c r="F388">
        <v>16590</v>
      </c>
      <c r="G388">
        <v>4.5</v>
      </c>
      <c r="H388" t="s">
        <v>79</v>
      </c>
      <c r="I388" t="s">
        <v>80</v>
      </c>
      <c r="J388">
        <v>5</v>
      </c>
      <c r="K388">
        <v>5</v>
      </c>
      <c r="L388" t="s">
        <v>81</v>
      </c>
      <c r="M388" t="s">
        <v>82</v>
      </c>
      <c r="N388" t="s">
        <v>83</v>
      </c>
      <c r="O388" t="s">
        <v>83</v>
      </c>
      <c r="P388" t="s">
        <v>84</v>
      </c>
      <c r="Q388" t="s">
        <v>517</v>
      </c>
      <c r="R388">
        <v>3</v>
      </c>
      <c r="S388" t="s">
        <v>86</v>
      </c>
      <c r="T388" t="s">
        <v>87</v>
      </c>
      <c r="U388" t="s">
        <v>88</v>
      </c>
      <c r="V388">
        <v>1</v>
      </c>
      <c r="W388" t="s">
        <v>518</v>
      </c>
      <c r="X388" t="s">
        <v>83</v>
      </c>
      <c r="Y388" t="s">
        <v>90</v>
      </c>
      <c r="Z388">
        <v>4000</v>
      </c>
      <c r="AA388">
        <v>4000</v>
      </c>
      <c r="AC388">
        <v>256</v>
      </c>
      <c r="AD388" t="s">
        <v>91</v>
      </c>
      <c r="AE388">
        <v>0.15</v>
      </c>
      <c r="AF388" t="s">
        <v>92</v>
      </c>
      <c r="AG388">
        <v>180</v>
      </c>
      <c r="AH388">
        <v>60</v>
      </c>
      <c r="AI388">
        <v>120</v>
      </c>
      <c r="AJ388">
        <v>0.1127643650292838</v>
      </c>
      <c r="AK388">
        <v>9.5419990752796782</v>
      </c>
      <c r="AL388">
        <v>0.71900471220723083</v>
      </c>
      <c r="AM388">
        <v>-3.4873940190711938E-3</v>
      </c>
      <c r="AN388">
        <v>14.3719526684885</v>
      </c>
      <c r="AO388">
        <v>0.68141140834598291</v>
      </c>
      <c r="AP388">
        <v>14.3719526684885</v>
      </c>
      <c r="AQ388">
        <v>14.3719526684885</v>
      </c>
      <c r="AR388">
        <v>0.68141140834598291</v>
      </c>
      <c r="AS388">
        <v>120.6124747666083</v>
      </c>
      <c r="AT388">
        <v>-1.8679392881222001E-2</v>
      </c>
      <c r="AU388">
        <v>0.8</v>
      </c>
      <c r="AV388" t="s">
        <v>93</v>
      </c>
      <c r="AW388">
        <v>8.292803928273243E-2</v>
      </c>
      <c r="AX388">
        <v>0.39783521229112001</v>
      </c>
      <c r="AY388">
        <v>8.292803928273243E-2</v>
      </c>
      <c r="AZ388">
        <v>8.292803928273243E-2</v>
      </c>
      <c r="BA388">
        <v>0.39783521229112001</v>
      </c>
      <c r="BB388">
        <v>0.15728671258427679</v>
      </c>
      <c r="BC388">
        <v>-0.1421048985594433</v>
      </c>
      <c r="BD388">
        <v>0.10399621013421249</v>
      </c>
      <c r="BE388">
        <v>0.63967534360463252</v>
      </c>
      <c r="BF388">
        <v>0.10399621013421249</v>
      </c>
      <c r="BG388">
        <v>0.10399621013421249</v>
      </c>
      <c r="BH388">
        <v>0.63967534360463252</v>
      </c>
      <c r="BI388">
        <v>0.1099812217466254</v>
      </c>
      <c r="BJ388">
        <v>0.618938556658437</v>
      </c>
      <c r="BK388">
        <v>3.7084377908898868E-2</v>
      </c>
      <c r="BL388">
        <v>0.85111795255514344</v>
      </c>
      <c r="BM388">
        <v>3.7084377908898868E-2</v>
      </c>
      <c r="BN388">
        <v>3.7084377908898868E-2</v>
      </c>
      <c r="BO388">
        <v>0.85111795255514344</v>
      </c>
      <c r="BP388">
        <v>0.29392378331137869</v>
      </c>
      <c r="BQ388">
        <v>-0.18001102134264599</v>
      </c>
      <c r="BR388">
        <v>57.263802046628122</v>
      </c>
      <c r="BS388">
        <v>0.83701712493303804</v>
      </c>
      <c r="BT388">
        <v>57.263802046628122</v>
      </c>
      <c r="BU388">
        <v>57.263802046628122</v>
      </c>
      <c r="BV388">
        <v>0.83701712493303804</v>
      </c>
      <c r="BW388">
        <v>481.88870734879231</v>
      </c>
      <c r="BX388">
        <v>-0.37154020828123963</v>
      </c>
      <c r="BY388" t="str">
        <f t="shared" si="14"/>
        <v>[[sv,wv],[yr],[ya]]</v>
      </c>
      <c r="BZ388" t="str">
        <f>SUBSTITUTE(TRIM(MID(SUBSTITUTE(SUBSTITUTE(SUBSTITUTE(Tabla1[[#This Row],[map]],"[",""),"]",""),",",REPT(" ",100)),901,200))," ",", ")</f>
        <v>2, 4</v>
      </c>
      <c r="CA388" t="str">
        <f>SUBSTITUTE(TRIM(MID(SUBSTITUTE(SUBSTITUTE(SUBSTITUTE(Tabla1[[#This Row],[map]],"[",""),"]",""),",",REPT(" ",100)),1501,200))," ",", ")</f>
        <v>3, 2</v>
      </c>
      <c r="CB388" t="str">
        <f>SUBSTITUTE(TRIM(MID(SUBSTITUTE(SUBSTITUTE(SUBSTITUTE(Tabla1[[#This Row],[map]],"[",""),"]",""),",",REPT(" ",100)),601,300))," ",", ")</f>
        <v>1, 3, 0</v>
      </c>
      <c r="CC388" t="str">
        <f>SUBSTITUTE(TRIM(MID(SUBSTITUTE(SUBSTITUTE(SUBSTITUTE(Tabla1[[#This Row],[map]],"[",""),"]",""),",",REPT(" ",100)),1201,300))," ",", ")</f>
        <v>1, 4, 0</v>
      </c>
      <c r="CD388" t="str">
        <f>SUBSTITUTE(TRIM(MID(SUBSTITUTE(SUBSTITUTE(SUBSTITUTE(Tabla1[[#This Row],[map]],"[",""),"]",""),",",REPT(" ",100)),1,300))," ",", ")</f>
        <v>4, 2, 3</v>
      </c>
      <c r="CE388" t="str">
        <f>SUBSTITUTE(TRIM(MID(SUBSTITUTE(SUBSTITUTE(SUBSTITUTE(Tabla1[[#This Row],[map]],"[",""),"]",""),",",REPT(" ",100)),1,600))," ",", ")</f>
        <v>4, 2, 3, 0, 1, -1</v>
      </c>
      <c r="CF388" t="str">
        <f>SUBSTITUTE(TRIM(MID(SUBSTITUTE(SUBSTITUTE(SUBSTITUTE(Tabla1[[#This Row],[map]],"[",""),"]",""),",",REPT(" ",100)),601,600))," ",", ")</f>
        <v>1, 3, 0, 2, 4, -1</v>
      </c>
      <c r="CG388" t="str">
        <f>SUBSTITUTE(TRIM(MID(SUBSTITUTE(SUBSTITUTE(SUBSTITUTE(Tabla1[[#This Row],[map]],"[",""),"]",""),",",REPT(" ",100)),1201,600))," ",", ")</f>
        <v>1, 4, 0, 3, 2, -1</v>
      </c>
    </row>
    <row r="389" spans="1:85" x14ac:dyDescent="0.3">
      <c r="A389" s="1">
        <v>46110.183553240742</v>
      </c>
      <c r="B389" t="s">
        <v>627</v>
      </c>
      <c r="C389">
        <v>6</v>
      </c>
      <c r="D389" t="s">
        <v>77</v>
      </c>
      <c r="E389" t="s">
        <v>78</v>
      </c>
      <c r="F389">
        <v>16590</v>
      </c>
      <c r="G389">
        <v>4.5</v>
      </c>
      <c r="H389" t="s">
        <v>79</v>
      </c>
      <c r="I389" t="s">
        <v>80</v>
      </c>
      <c r="J389">
        <v>5</v>
      </c>
      <c r="K389">
        <v>5</v>
      </c>
      <c r="L389" t="s">
        <v>81</v>
      </c>
      <c r="M389" t="s">
        <v>82</v>
      </c>
      <c r="N389" t="s">
        <v>83</v>
      </c>
      <c r="O389" t="s">
        <v>83</v>
      </c>
      <c r="P389" t="s">
        <v>84</v>
      </c>
      <c r="Q389" t="s">
        <v>435</v>
      </c>
      <c r="R389">
        <v>3</v>
      </c>
      <c r="S389" t="s">
        <v>86</v>
      </c>
      <c r="T389" t="s">
        <v>87</v>
      </c>
      <c r="U389" t="s">
        <v>88</v>
      </c>
      <c r="V389">
        <v>1</v>
      </c>
      <c r="W389" t="s">
        <v>436</v>
      </c>
      <c r="X389" t="s">
        <v>83</v>
      </c>
      <c r="Y389" t="s">
        <v>90</v>
      </c>
      <c r="Z389">
        <v>4000</v>
      </c>
      <c r="AA389">
        <v>4000</v>
      </c>
      <c r="AC389">
        <v>256</v>
      </c>
      <c r="AD389" t="s">
        <v>91</v>
      </c>
      <c r="AE389">
        <v>0.15</v>
      </c>
      <c r="AF389" t="s">
        <v>92</v>
      </c>
      <c r="AG389">
        <v>180</v>
      </c>
      <c r="AH389">
        <v>60</v>
      </c>
      <c r="AI389">
        <v>120</v>
      </c>
      <c r="AJ389">
        <v>0.1020155117694934</v>
      </c>
      <c r="AK389">
        <v>16.594935441470071</v>
      </c>
      <c r="AL389">
        <v>0.7666339822329824</v>
      </c>
      <c r="AM389">
        <v>-0.38732017292630028</v>
      </c>
      <c r="AN389">
        <v>21.77372840689312</v>
      </c>
      <c r="AO389">
        <v>0.71267010254763496</v>
      </c>
      <c r="AP389">
        <v>21.77372840689312</v>
      </c>
      <c r="AQ389">
        <v>21.77372840689312</v>
      </c>
      <c r="AR389">
        <v>0.71267010254763496</v>
      </c>
      <c r="AS389">
        <v>120.9835259576251</v>
      </c>
      <c r="AT389">
        <v>-0.32201186099733797</v>
      </c>
      <c r="AU389">
        <v>0.8</v>
      </c>
      <c r="AV389" t="s">
        <v>93</v>
      </c>
      <c r="AW389">
        <v>6.5402823340471622E-2</v>
      </c>
      <c r="AX389">
        <v>0.52509093940947671</v>
      </c>
      <c r="AY389">
        <v>6.5402823340471622E-2</v>
      </c>
      <c r="AZ389">
        <v>6.5402823340471622E-2</v>
      </c>
      <c r="BA389">
        <v>0.52509093940947671</v>
      </c>
      <c r="BB389">
        <v>0.17019673098512739</v>
      </c>
      <c r="BC389">
        <v>-0.23584832426810659</v>
      </c>
      <c r="BD389">
        <v>6.9822600550798683E-2</v>
      </c>
      <c r="BE389">
        <v>0.75807960194290946</v>
      </c>
      <c r="BF389">
        <v>6.9822600550798683E-2</v>
      </c>
      <c r="BG389">
        <v>6.9822600550798683E-2</v>
      </c>
      <c r="BH389">
        <v>0.75807960194290946</v>
      </c>
      <c r="BI389">
        <v>0.36107287635981022</v>
      </c>
      <c r="BJ389">
        <v>-0.25104039791575411</v>
      </c>
      <c r="BK389">
        <v>4.6110424040341498E-2</v>
      </c>
      <c r="BL389">
        <v>0.81488123229298592</v>
      </c>
      <c r="BM389">
        <v>4.6110424040341498E-2</v>
      </c>
      <c r="BN389">
        <v>4.6110424040341498E-2</v>
      </c>
      <c r="BO389">
        <v>0.81488123229298592</v>
      </c>
      <c r="BP389">
        <v>0.35527586393505511</v>
      </c>
      <c r="BQ389">
        <v>-0.42632021926673952</v>
      </c>
      <c r="BR389">
        <v>86.913577779640335</v>
      </c>
      <c r="BS389">
        <v>0.75262863654517143</v>
      </c>
      <c r="BT389">
        <v>86.913577779640335</v>
      </c>
      <c r="BU389">
        <v>86.913577779640335</v>
      </c>
      <c r="BV389">
        <v>0.75262863654517143</v>
      </c>
      <c r="BW389">
        <v>483.04755835922077</v>
      </c>
      <c r="BX389">
        <v>-0.37483850253875511</v>
      </c>
      <c r="BY389" t="str">
        <f t="shared" si="14"/>
        <v>[[sv,wv],[yr],[ya]]</v>
      </c>
      <c r="BZ389" t="str">
        <f>SUBSTITUTE(TRIM(MID(SUBSTITUTE(SUBSTITUTE(SUBSTITUTE(Tabla1[[#This Row],[map]],"[",""),"]",""),",",REPT(" ",100)),901,200))," ",", ")</f>
        <v>2, 4</v>
      </c>
      <c r="CA389" t="str">
        <f>SUBSTITUTE(TRIM(MID(SUBSTITUTE(SUBSTITUTE(SUBSTITUTE(Tabla1[[#This Row],[map]],"[",""),"]",""),",",REPT(" ",100)),1501,200))," ",", ")</f>
        <v>3, 4</v>
      </c>
      <c r="CB389" t="str">
        <f>SUBSTITUTE(TRIM(MID(SUBSTITUTE(SUBSTITUTE(SUBSTITUTE(Tabla1[[#This Row],[map]],"[",""),"]",""),",",REPT(" ",100)),601,300))," ",", ")</f>
        <v>1, 3, 0</v>
      </c>
      <c r="CC389" t="str">
        <f>SUBSTITUTE(TRIM(MID(SUBSTITUTE(SUBSTITUTE(SUBSTITUTE(Tabla1[[#This Row],[map]],"[",""),"]",""),",",REPT(" ",100)),1201,300))," ",", ")</f>
        <v>1, 2, 0</v>
      </c>
      <c r="CD389" t="str">
        <f>SUBSTITUTE(TRIM(MID(SUBSTITUTE(SUBSTITUTE(SUBSTITUTE(Tabla1[[#This Row],[map]],"[",""),"]",""),",",REPT(" ",100)),1,300))," ",", ")</f>
        <v>2, 3, 4</v>
      </c>
      <c r="CE389" t="str">
        <f>SUBSTITUTE(TRIM(MID(SUBSTITUTE(SUBSTITUTE(SUBSTITUTE(Tabla1[[#This Row],[map]],"[",""),"]",""),",",REPT(" ",100)),1,600))," ",", ")</f>
        <v>2, 3, 4, 0, 1, -1</v>
      </c>
      <c r="CF389" t="str">
        <f>SUBSTITUTE(TRIM(MID(SUBSTITUTE(SUBSTITUTE(SUBSTITUTE(Tabla1[[#This Row],[map]],"[",""),"]",""),",",REPT(" ",100)),601,600))," ",", ")</f>
        <v>1, 3, 0, 2, 4, -1</v>
      </c>
      <c r="CG389" t="str">
        <f>SUBSTITUTE(TRIM(MID(SUBSTITUTE(SUBSTITUTE(SUBSTITUTE(Tabla1[[#This Row],[map]],"[",""),"]",""),",",REPT(" ",100)),1201,600))," ",", ")</f>
        <v>1, 2, 0, 3, 4, -1</v>
      </c>
    </row>
    <row r="390" spans="1:85" x14ac:dyDescent="0.3">
      <c r="A390" s="1">
        <v>46110.191469907397</v>
      </c>
      <c r="B390" t="s">
        <v>628</v>
      </c>
      <c r="C390">
        <v>9</v>
      </c>
      <c r="D390" t="s">
        <v>77</v>
      </c>
      <c r="E390" t="s">
        <v>78</v>
      </c>
      <c r="F390">
        <v>16590</v>
      </c>
      <c r="G390">
        <v>4.5</v>
      </c>
      <c r="H390" t="s">
        <v>79</v>
      </c>
      <c r="I390" t="s">
        <v>80</v>
      </c>
      <c r="J390">
        <v>5</v>
      </c>
      <c r="K390">
        <v>5</v>
      </c>
      <c r="L390" t="s">
        <v>81</v>
      </c>
      <c r="M390" t="s">
        <v>82</v>
      </c>
      <c r="N390" t="s">
        <v>83</v>
      </c>
      <c r="O390" t="s">
        <v>83</v>
      </c>
      <c r="P390" t="s">
        <v>84</v>
      </c>
      <c r="Q390" t="s">
        <v>159</v>
      </c>
      <c r="R390">
        <v>3</v>
      </c>
      <c r="S390" t="s">
        <v>86</v>
      </c>
      <c r="T390" t="s">
        <v>87</v>
      </c>
      <c r="U390" t="s">
        <v>88</v>
      </c>
      <c r="V390">
        <v>1</v>
      </c>
      <c r="W390" t="s">
        <v>160</v>
      </c>
      <c r="X390" t="s">
        <v>83</v>
      </c>
      <c r="Y390" t="s">
        <v>90</v>
      </c>
      <c r="Z390">
        <v>4000</v>
      </c>
      <c r="AA390">
        <v>4000</v>
      </c>
      <c r="AC390">
        <v>256</v>
      </c>
      <c r="AD390" t="s">
        <v>91</v>
      </c>
      <c r="AE390">
        <v>0.15</v>
      </c>
      <c r="AF390" t="s">
        <v>92</v>
      </c>
      <c r="AG390">
        <v>180</v>
      </c>
      <c r="AH390">
        <v>60</v>
      </c>
      <c r="AI390">
        <v>120</v>
      </c>
      <c r="AJ390">
        <v>0.1100705458946007</v>
      </c>
      <c r="AK390">
        <v>15.212390088834789</v>
      </c>
      <c r="AL390">
        <v>0.77504274502123016</v>
      </c>
      <c r="AM390">
        <v>-2.7925149393966339E-2</v>
      </c>
      <c r="AN390">
        <v>17.349340563427798</v>
      </c>
      <c r="AO390">
        <v>0.73935183937883386</v>
      </c>
      <c r="AP390">
        <v>17.349340563427798</v>
      </c>
      <c r="AQ390">
        <v>17.349340563427798</v>
      </c>
      <c r="AR390">
        <v>0.73935183937883386</v>
      </c>
      <c r="AS390">
        <v>96.715173903964057</v>
      </c>
      <c r="AT390">
        <v>-1.013315507195894E-2</v>
      </c>
      <c r="AU390">
        <v>0.8</v>
      </c>
      <c r="AV390" t="s">
        <v>93</v>
      </c>
      <c r="AW390">
        <v>5.4843457593280839E-2</v>
      </c>
      <c r="AX390">
        <v>0.6017655875561565</v>
      </c>
      <c r="AY390">
        <v>5.4843457593280839E-2</v>
      </c>
      <c r="AZ390">
        <v>5.4843457593280839E-2</v>
      </c>
      <c r="BA390">
        <v>0.6017655875561565</v>
      </c>
      <c r="BB390">
        <v>0.16504674597098781</v>
      </c>
      <c r="BC390">
        <v>-0.19845277434837061</v>
      </c>
      <c r="BD390">
        <v>4.4475456521457242E-2</v>
      </c>
      <c r="BE390">
        <v>0.84590204231058697</v>
      </c>
      <c r="BF390">
        <v>4.4475456521457242E-2</v>
      </c>
      <c r="BG390">
        <v>4.4475456521457242E-2</v>
      </c>
      <c r="BH390">
        <v>0.84590204231058697</v>
      </c>
      <c r="BI390">
        <v>0.31248383871141922</v>
      </c>
      <c r="BJ390">
        <v>-8.2689760208444207E-2</v>
      </c>
      <c r="BK390">
        <v>7.3040302250416481E-2</v>
      </c>
      <c r="BL390">
        <v>0.7067662892513098</v>
      </c>
      <c r="BM390">
        <v>7.3040302250416481E-2</v>
      </c>
      <c r="BN390">
        <v>7.3040302250416481E-2</v>
      </c>
      <c r="BO390">
        <v>0.7067662892513098</v>
      </c>
      <c r="BP390">
        <v>0.16443225404341791</v>
      </c>
      <c r="BQ390">
        <v>0.33985651025084851</v>
      </c>
      <c r="BR390">
        <v>69.225003037346212</v>
      </c>
      <c r="BS390">
        <v>0.8029734383972813</v>
      </c>
      <c r="BT390">
        <v>69.225003037346212</v>
      </c>
      <c r="BU390">
        <v>69.225003037346212</v>
      </c>
      <c r="BV390">
        <v>0.8029734383972813</v>
      </c>
      <c r="BW390">
        <v>386.21873277713178</v>
      </c>
      <c r="BX390">
        <v>-9.9246595981870689E-2</v>
      </c>
      <c r="BY390" t="str">
        <f t="shared" si="14"/>
        <v>[[sv,wv],[yr],[ya]]</v>
      </c>
      <c r="BZ390" t="str">
        <f>SUBSTITUTE(TRIM(MID(SUBSTITUTE(SUBSTITUTE(SUBSTITUTE(Tabla1[[#This Row],[map]],"[",""),"]",""),",",REPT(" ",100)),901,200))," ",", ")</f>
        <v>2, 4</v>
      </c>
      <c r="CA390" t="str">
        <f>SUBSTITUTE(TRIM(MID(SUBSTITUTE(SUBSTITUTE(SUBSTITUTE(Tabla1[[#This Row],[map]],"[",""),"]",""),",",REPT(" ",100)),1501,200))," ",", ")</f>
        <v>3, 4</v>
      </c>
      <c r="CB390" t="str">
        <f>SUBSTITUTE(TRIM(MID(SUBSTITUTE(SUBSTITUTE(SUBSTITUTE(Tabla1[[#This Row],[map]],"[",""),"]",""),",",REPT(" ",100)),601,300))," ",", ")</f>
        <v>0, 1, 3</v>
      </c>
      <c r="CC390" t="str">
        <f>SUBSTITUTE(TRIM(MID(SUBSTITUTE(SUBSTITUTE(SUBSTITUTE(Tabla1[[#This Row],[map]],"[",""),"]",""),",",REPT(" ",100)),1201,300))," ",", ")</f>
        <v>0, 1, 2</v>
      </c>
      <c r="CD390" t="str">
        <f>SUBSTITUTE(TRIM(MID(SUBSTITUTE(SUBSTITUTE(SUBSTITUTE(Tabla1[[#This Row],[map]],"[",""),"]",""),",",REPT(" ",100)),1,300))," ",", ")</f>
        <v>2, 3, 4</v>
      </c>
      <c r="CE390" t="str">
        <f>SUBSTITUTE(TRIM(MID(SUBSTITUTE(SUBSTITUTE(SUBSTITUTE(Tabla1[[#This Row],[map]],"[",""),"]",""),",",REPT(" ",100)),1,600))," ",", ")</f>
        <v>2, 3, 4, 0, 1, -1</v>
      </c>
      <c r="CF390" t="str">
        <f>SUBSTITUTE(TRIM(MID(SUBSTITUTE(SUBSTITUTE(SUBSTITUTE(Tabla1[[#This Row],[map]],"[",""),"]",""),",",REPT(" ",100)),601,600))," ",", ")</f>
        <v>0, 1, 3, 2, 4, -1</v>
      </c>
      <c r="CG390" t="str">
        <f>SUBSTITUTE(TRIM(MID(SUBSTITUTE(SUBSTITUTE(SUBSTITUTE(Tabla1[[#This Row],[map]],"[",""),"]",""),",",REPT(" ",100)),1201,600))," ",", ")</f>
        <v>0, 1, 2, 3, 4, -1</v>
      </c>
    </row>
    <row r="391" spans="1:85" x14ac:dyDescent="0.3">
      <c r="A391" s="1">
        <v>46110.225381944438</v>
      </c>
      <c r="B391" t="s">
        <v>629</v>
      </c>
      <c r="C391">
        <v>4</v>
      </c>
      <c r="D391" t="s">
        <v>96</v>
      </c>
      <c r="E391" t="s">
        <v>78</v>
      </c>
      <c r="F391">
        <v>16590</v>
      </c>
      <c r="G391">
        <v>4.5</v>
      </c>
      <c r="H391" t="s">
        <v>79</v>
      </c>
      <c r="I391" t="s">
        <v>80</v>
      </c>
      <c r="J391">
        <v>5</v>
      </c>
      <c r="K391">
        <v>5</v>
      </c>
      <c r="L391" t="s">
        <v>81</v>
      </c>
      <c r="M391" t="s">
        <v>82</v>
      </c>
      <c r="N391" t="s">
        <v>83</v>
      </c>
      <c r="O391" t="s">
        <v>83</v>
      </c>
      <c r="P391" t="s">
        <v>84</v>
      </c>
      <c r="Q391" t="s">
        <v>517</v>
      </c>
      <c r="R391">
        <v>3</v>
      </c>
      <c r="S391" t="s">
        <v>86</v>
      </c>
      <c r="T391" t="s">
        <v>87</v>
      </c>
      <c r="U391" t="s">
        <v>88</v>
      </c>
      <c r="V391">
        <v>1</v>
      </c>
      <c r="W391" t="s">
        <v>518</v>
      </c>
      <c r="X391" t="s">
        <v>83</v>
      </c>
      <c r="Y391" t="s">
        <v>90</v>
      </c>
      <c r="Z391">
        <v>4000</v>
      </c>
      <c r="AA391">
        <v>4000</v>
      </c>
      <c r="AC391">
        <v>256</v>
      </c>
      <c r="AD391" t="s">
        <v>91</v>
      </c>
      <c r="AE391">
        <v>0.15</v>
      </c>
      <c r="AF391" t="s">
        <v>92</v>
      </c>
      <c r="AG391">
        <v>180</v>
      </c>
      <c r="AH391">
        <v>60</v>
      </c>
      <c r="AI391">
        <v>120</v>
      </c>
      <c r="AJ391">
        <v>0.1098575389756891</v>
      </c>
      <c r="AK391">
        <v>21.587271625006299</v>
      </c>
      <c r="AL391">
        <v>0.71887265946623247</v>
      </c>
      <c r="AM391">
        <v>0.18074353987362499</v>
      </c>
      <c r="AN391">
        <v>26.82462479925805</v>
      </c>
      <c r="AO391">
        <v>0.67476065238771821</v>
      </c>
      <c r="AP391">
        <v>26.82462479925805</v>
      </c>
      <c r="AQ391">
        <v>26.82462479925805</v>
      </c>
      <c r="AR391">
        <v>0.67476065238771821</v>
      </c>
      <c r="AS391">
        <v>92.049457984676636</v>
      </c>
      <c r="AT391">
        <v>0.18192794517902131</v>
      </c>
      <c r="AU391">
        <v>0.8</v>
      </c>
      <c r="AV391" t="s">
        <v>93</v>
      </c>
      <c r="AW391">
        <v>7.7666059401925211E-2</v>
      </c>
      <c r="AX391">
        <v>0.43604398974758218</v>
      </c>
      <c r="AY391">
        <v>7.7666059401925211E-2</v>
      </c>
      <c r="AZ391">
        <v>7.7666059401925211E-2</v>
      </c>
      <c r="BA391">
        <v>0.43604398974758218</v>
      </c>
      <c r="BB391">
        <v>0.11444491303023149</v>
      </c>
      <c r="BC391">
        <v>0.16898195887334561</v>
      </c>
      <c r="BD391">
        <v>7.2451152266161917E-2</v>
      </c>
      <c r="BE391">
        <v>0.74897223166053672</v>
      </c>
      <c r="BF391">
        <v>7.2451152266161917E-2</v>
      </c>
      <c r="BG391">
        <v>7.2451152266161917E-2</v>
      </c>
      <c r="BH391">
        <v>0.74897223166053672</v>
      </c>
      <c r="BI391">
        <v>0.15504010597827861</v>
      </c>
      <c r="BJ391">
        <v>0.4628191465628585</v>
      </c>
      <c r="BK391">
        <v>4.5119082631009312E-2</v>
      </c>
      <c r="BL391">
        <v>0.81886115448827845</v>
      </c>
      <c r="BM391">
        <v>4.5119082631009312E-2</v>
      </c>
      <c r="BN391">
        <v>4.5119082631009312E-2</v>
      </c>
      <c r="BO391">
        <v>0.81886115448827845</v>
      </c>
      <c r="BP391">
        <v>0.21359299484374519</v>
      </c>
      <c r="BQ391">
        <v>0.1424916855734927</v>
      </c>
      <c r="BR391">
        <v>107.10326290273269</v>
      </c>
      <c r="BS391">
        <v>0.69516523365447869</v>
      </c>
      <c r="BT391">
        <v>107.10326290273269</v>
      </c>
      <c r="BU391">
        <v>107.10326290273269</v>
      </c>
      <c r="BV391">
        <v>0.69516523365447869</v>
      </c>
      <c r="BW391">
        <v>367.71475392485331</v>
      </c>
      <c r="BX391">
        <v>-4.6581010293604168E-2</v>
      </c>
      <c r="BY391" t="str">
        <f t="shared" si="14"/>
        <v>[[sv,wv],[yr],[ya]]</v>
      </c>
      <c r="BZ391" t="str">
        <f>SUBSTITUTE(TRIM(MID(SUBSTITUTE(SUBSTITUTE(SUBSTITUTE(Tabla1[[#This Row],[map]],"[",""),"]",""),",",REPT(" ",100)),901,200))," ",", ")</f>
        <v>2, 4</v>
      </c>
      <c r="CA391" t="str">
        <f>SUBSTITUTE(TRIM(MID(SUBSTITUTE(SUBSTITUTE(SUBSTITUTE(Tabla1[[#This Row],[map]],"[",""),"]",""),",",REPT(" ",100)),1501,200))," ",", ")</f>
        <v>3, 2</v>
      </c>
      <c r="CB391" t="str">
        <f>SUBSTITUTE(TRIM(MID(SUBSTITUTE(SUBSTITUTE(SUBSTITUTE(Tabla1[[#This Row],[map]],"[",""),"]",""),",",REPT(" ",100)),601,300))," ",", ")</f>
        <v>1, 3, 0</v>
      </c>
      <c r="CC391" t="str">
        <f>SUBSTITUTE(TRIM(MID(SUBSTITUTE(SUBSTITUTE(SUBSTITUTE(Tabla1[[#This Row],[map]],"[",""),"]",""),",",REPT(" ",100)),1201,300))," ",", ")</f>
        <v>1, 4, 0</v>
      </c>
      <c r="CD391" t="str">
        <f>SUBSTITUTE(TRIM(MID(SUBSTITUTE(SUBSTITUTE(SUBSTITUTE(Tabla1[[#This Row],[map]],"[",""),"]",""),",",REPT(" ",100)),1,300))," ",", ")</f>
        <v>4, 2, 3</v>
      </c>
      <c r="CE391" t="str">
        <f>SUBSTITUTE(TRIM(MID(SUBSTITUTE(SUBSTITUTE(SUBSTITUTE(Tabla1[[#This Row],[map]],"[",""),"]",""),",",REPT(" ",100)),1,600))," ",", ")</f>
        <v>4, 2, 3, 0, 1, -1</v>
      </c>
      <c r="CF391" t="str">
        <f>SUBSTITUTE(TRIM(MID(SUBSTITUTE(SUBSTITUTE(SUBSTITUTE(Tabla1[[#This Row],[map]],"[",""),"]",""),",",REPT(" ",100)),601,600))," ",", ")</f>
        <v>1, 3, 0, 2, 4, -1</v>
      </c>
      <c r="CG391" t="str">
        <f>SUBSTITUTE(TRIM(MID(SUBSTITUTE(SUBSTITUTE(SUBSTITUTE(Tabla1[[#This Row],[map]],"[",""),"]",""),",",REPT(" ",100)),1201,600))," ",", ")</f>
        <v>1, 4, 0, 3, 2, -1</v>
      </c>
    </row>
    <row r="392" spans="1:85" x14ac:dyDescent="0.3">
      <c r="A392" s="1">
        <v>46110.228449074071</v>
      </c>
      <c r="B392" t="s">
        <v>630</v>
      </c>
      <c r="C392">
        <v>4</v>
      </c>
      <c r="D392" t="s">
        <v>96</v>
      </c>
      <c r="E392" t="s">
        <v>78</v>
      </c>
      <c r="F392">
        <v>16590</v>
      </c>
      <c r="G392">
        <v>4.5</v>
      </c>
      <c r="H392" t="s">
        <v>79</v>
      </c>
      <c r="I392" t="s">
        <v>80</v>
      </c>
      <c r="J392">
        <v>5</v>
      </c>
      <c r="K392">
        <v>5</v>
      </c>
      <c r="L392" t="s">
        <v>81</v>
      </c>
      <c r="M392" t="s">
        <v>82</v>
      </c>
      <c r="N392" t="s">
        <v>83</v>
      </c>
      <c r="O392" t="s">
        <v>83</v>
      </c>
      <c r="P392" t="s">
        <v>84</v>
      </c>
      <c r="Q392" t="s">
        <v>231</v>
      </c>
      <c r="R392">
        <v>3</v>
      </c>
      <c r="S392" t="s">
        <v>86</v>
      </c>
      <c r="T392" t="s">
        <v>87</v>
      </c>
      <c r="U392" t="s">
        <v>88</v>
      </c>
      <c r="V392">
        <v>1</v>
      </c>
      <c r="W392" t="s">
        <v>232</v>
      </c>
      <c r="X392" t="s">
        <v>83</v>
      </c>
      <c r="Y392" t="s">
        <v>90</v>
      </c>
      <c r="Z392">
        <v>4000</v>
      </c>
      <c r="AA392">
        <v>4000</v>
      </c>
      <c r="AC392">
        <v>256</v>
      </c>
      <c r="AD392" t="s">
        <v>91</v>
      </c>
      <c r="AE392">
        <v>0.15</v>
      </c>
      <c r="AF392" t="s">
        <v>92</v>
      </c>
      <c r="AG392">
        <v>180</v>
      </c>
      <c r="AH392">
        <v>60</v>
      </c>
      <c r="AI392">
        <v>120</v>
      </c>
      <c r="AJ392">
        <v>0.1244935685882263</v>
      </c>
      <c r="AK392">
        <v>45.977559825721428</v>
      </c>
      <c r="AL392">
        <v>0.63096048563202267</v>
      </c>
      <c r="AM392">
        <v>0.1002672982055524</v>
      </c>
      <c r="AN392">
        <v>48.087980173399622</v>
      </c>
      <c r="AO392">
        <v>0.58966987924995251</v>
      </c>
      <c r="AP392">
        <v>48.087980173399622</v>
      </c>
      <c r="AQ392">
        <v>48.087980173399622</v>
      </c>
      <c r="AR392">
        <v>0.58966987924995251</v>
      </c>
      <c r="AS392">
        <v>104.52607010842139</v>
      </c>
      <c r="AT392">
        <v>9.8235560091009561E-2</v>
      </c>
      <c r="AU392">
        <v>0.8</v>
      </c>
      <c r="AV392" t="s">
        <v>93</v>
      </c>
      <c r="AW392">
        <v>8.0714166485855415E-2</v>
      </c>
      <c r="AX392">
        <v>0.41391079124217689</v>
      </c>
      <c r="AY392">
        <v>8.0714166485855415E-2</v>
      </c>
      <c r="AZ392">
        <v>8.0714166485855415E-2</v>
      </c>
      <c r="BA392">
        <v>0.41391079124217689</v>
      </c>
      <c r="BB392">
        <v>0.12969995282363159</v>
      </c>
      <c r="BC392">
        <v>5.8210645839346209E-2</v>
      </c>
      <c r="BD392">
        <v>7.9991785223838222E-2</v>
      </c>
      <c r="BE392">
        <v>0.72284554900573839</v>
      </c>
      <c r="BF392">
        <v>7.9991785223838222E-2</v>
      </c>
      <c r="BG392">
        <v>7.9991785223838222E-2</v>
      </c>
      <c r="BH392">
        <v>0.72284554900573839</v>
      </c>
      <c r="BI392">
        <v>0.14725323050923991</v>
      </c>
      <c r="BJ392">
        <v>0.48979900692655692</v>
      </c>
      <c r="BK392">
        <v>5.7596237494305383E-2</v>
      </c>
      <c r="BL392">
        <v>0.76876932425999511</v>
      </c>
      <c r="BM392">
        <v>5.7596237494305383E-2</v>
      </c>
      <c r="BN392">
        <v>5.7596237494305383E-2</v>
      </c>
      <c r="BO392">
        <v>0.76876932425999511</v>
      </c>
      <c r="BP392">
        <v>0.240751819919305</v>
      </c>
      <c r="BQ392">
        <v>3.3457593283225062E-2</v>
      </c>
      <c r="BR392">
        <v>192.1336185043952</v>
      </c>
      <c r="BS392">
        <v>0.45315385249189771</v>
      </c>
      <c r="BT392">
        <v>192.1336185043952</v>
      </c>
      <c r="BU392">
        <v>192.1336185043952</v>
      </c>
      <c r="BV392">
        <v>0.45315385249189771</v>
      </c>
      <c r="BW392">
        <v>417.58657543043307</v>
      </c>
      <c r="BX392">
        <v>-0.18852500568509359</v>
      </c>
      <c r="BY392" t="str">
        <f t="shared" si="14"/>
        <v>[[sv,wv],[yr],[ya]]</v>
      </c>
      <c r="BZ392" t="str">
        <f>SUBSTITUTE(TRIM(MID(SUBSTITUTE(SUBSTITUTE(SUBSTITUTE(Tabla1[[#This Row],[map]],"[",""),"]",""),",",REPT(" ",100)),901,200))," ",", ")</f>
        <v>2, 3</v>
      </c>
      <c r="CA392" t="str">
        <f>SUBSTITUTE(TRIM(MID(SUBSTITUTE(SUBSTITUTE(SUBSTITUTE(Tabla1[[#This Row],[map]],"[",""),"]",""),",",REPT(" ",100)),1501,200))," ",", ")</f>
        <v>3, 2</v>
      </c>
      <c r="CB392" t="str">
        <f>SUBSTITUTE(TRIM(MID(SUBSTITUTE(SUBSTITUTE(SUBSTITUTE(Tabla1[[#This Row],[map]],"[",""),"]",""),",",REPT(" ",100)),601,300))," ",", ")</f>
        <v>4, 0, 1</v>
      </c>
      <c r="CC392" t="str">
        <f>SUBSTITUTE(TRIM(MID(SUBSTITUTE(SUBSTITUTE(SUBSTITUTE(Tabla1[[#This Row],[map]],"[",""),"]",""),",",REPT(" ",100)),1201,300))," ",", ")</f>
        <v>4, 0, 1</v>
      </c>
      <c r="CD392" t="str">
        <f>SUBSTITUTE(TRIM(MID(SUBSTITUTE(SUBSTITUTE(SUBSTITUTE(Tabla1[[#This Row],[map]],"[",""),"]",""),",",REPT(" ",100)),1,300))," ",", ")</f>
        <v>4, 2, 3</v>
      </c>
      <c r="CE392" t="str">
        <f>SUBSTITUTE(TRIM(MID(SUBSTITUTE(SUBSTITUTE(SUBSTITUTE(Tabla1[[#This Row],[map]],"[",""),"]",""),",",REPT(" ",100)),1,600))," ",", ")</f>
        <v>4, 2, 3, 0, 1, -1</v>
      </c>
      <c r="CF392" t="str">
        <f>SUBSTITUTE(TRIM(MID(SUBSTITUTE(SUBSTITUTE(SUBSTITUTE(Tabla1[[#This Row],[map]],"[",""),"]",""),",",REPT(" ",100)),601,600))," ",", ")</f>
        <v>4, 0, 1, 2, 3, -1</v>
      </c>
      <c r="CG392" t="str">
        <f>SUBSTITUTE(TRIM(MID(SUBSTITUTE(SUBSTITUTE(SUBSTITUTE(Tabla1[[#This Row],[map]],"[",""),"]",""),",",REPT(" ",100)),1201,600))," ",", ")</f>
        <v>4, 0, 1, 3, 2, -1</v>
      </c>
    </row>
    <row r="393" spans="1:85" x14ac:dyDescent="0.3">
      <c r="A393" s="1">
        <v>46110.237476851849</v>
      </c>
      <c r="B393" t="s">
        <v>631</v>
      </c>
      <c r="C393">
        <v>5</v>
      </c>
      <c r="D393" t="s">
        <v>96</v>
      </c>
      <c r="E393" t="s">
        <v>78</v>
      </c>
      <c r="F393">
        <v>16590</v>
      </c>
      <c r="G393">
        <v>4.5</v>
      </c>
      <c r="H393" t="s">
        <v>79</v>
      </c>
      <c r="I393" t="s">
        <v>80</v>
      </c>
      <c r="J393">
        <v>5</v>
      </c>
      <c r="K393">
        <v>5</v>
      </c>
      <c r="L393" t="s">
        <v>81</v>
      </c>
      <c r="M393" t="s">
        <v>82</v>
      </c>
      <c r="N393" t="s">
        <v>83</v>
      </c>
      <c r="O393" t="s">
        <v>83</v>
      </c>
      <c r="P393" t="s">
        <v>84</v>
      </c>
      <c r="Q393" t="s">
        <v>207</v>
      </c>
      <c r="R393">
        <v>3</v>
      </c>
      <c r="S393" t="s">
        <v>86</v>
      </c>
      <c r="T393" t="s">
        <v>87</v>
      </c>
      <c r="U393" t="s">
        <v>88</v>
      </c>
      <c r="V393">
        <v>1</v>
      </c>
      <c r="W393" t="s">
        <v>208</v>
      </c>
      <c r="X393" t="s">
        <v>83</v>
      </c>
      <c r="Y393" t="s">
        <v>90</v>
      </c>
      <c r="Z393">
        <v>4000</v>
      </c>
      <c r="AA393">
        <v>4000</v>
      </c>
      <c r="AC393">
        <v>256</v>
      </c>
      <c r="AD393" t="s">
        <v>91</v>
      </c>
      <c r="AE393">
        <v>0.15</v>
      </c>
      <c r="AF393" t="s">
        <v>92</v>
      </c>
      <c r="AG393">
        <v>180</v>
      </c>
      <c r="AH393">
        <v>60</v>
      </c>
      <c r="AI393">
        <v>120</v>
      </c>
      <c r="AJ393">
        <v>0.14278937605604869</v>
      </c>
      <c r="AK393">
        <v>21.866138839716481</v>
      </c>
      <c r="AL393">
        <v>0.62192867885786707</v>
      </c>
      <c r="AM393">
        <v>0.1271477332035926</v>
      </c>
      <c r="AN393">
        <v>27.418958506896889</v>
      </c>
      <c r="AO393">
        <v>0.56657077192717376</v>
      </c>
      <c r="AP393">
        <v>27.418958506896889</v>
      </c>
      <c r="AQ393">
        <v>27.418958506896889</v>
      </c>
      <c r="AR393">
        <v>0.56657077192717376</v>
      </c>
      <c r="AS393">
        <v>61.12940511414395</v>
      </c>
      <c r="AT393">
        <v>7.3785236107742985E-2</v>
      </c>
      <c r="AU393">
        <v>0.8</v>
      </c>
      <c r="AV393" t="s">
        <v>93</v>
      </c>
      <c r="AW393">
        <v>7.9411439962836824E-2</v>
      </c>
      <c r="AX393">
        <v>0.42337027017066953</v>
      </c>
      <c r="AY393">
        <v>7.9411439962836824E-2</v>
      </c>
      <c r="AZ393">
        <v>7.9411439962836824E-2</v>
      </c>
      <c r="BA393">
        <v>0.42337027017066953</v>
      </c>
      <c r="BB393">
        <v>0.19172433031185679</v>
      </c>
      <c r="BC393">
        <v>-0.39216652967346532</v>
      </c>
      <c r="BD393">
        <v>0.10211708051163811</v>
      </c>
      <c r="BE393">
        <v>0.64618612639856943</v>
      </c>
      <c r="BF393">
        <v>0.10211708051163811</v>
      </c>
      <c r="BG393">
        <v>0.10211708051163811</v>
      </c>
      <c r="BH393">
        <v>0.64618612639856943</v>
      </c>
      <c r="BI393">
        <v>0.12400717204756501</v>
      </c>
      <c r="BJ393">
        <v>0.57034163455635012</v>
      </c>
      <c r="BK393">
        <v>0.12254564425838189</v>
      </c>
      <c r="BL393">
        <v>0.50801799972330564</v>
      </c>
      <c r="BM393">
        <v>0.12254564425838189</v>
      </c>
      <c r="BN393">
        <v>0.12254564425838189</v>
      </c>
      <c r="BO393">
        <v>0.50801799972330564</v>
      </c>
      <c r="BP393">
        <v>0.29612179710861342</v>
      </c>
      <c r="BQ393">
        <v>-0.18883535150259251</v>
      </c>
      <c r="BR393">
        <v>109.3717598628546</v>
      </c>
      <c r="BS393">
        <v>0.68870869141615043</v>
      </c>
      <c r="BT393">
        <v>109.3717598628546</v>
      </c>
      <c r="BU393">
        <v>109.3717598628546</v>
      </c>
      <c r="BV393">
        <v>0.68870869141615043</v>
      </c>
      <c r="BW393">
        <v>243.90576715710881</v>
      </c>
      <c r="BX393">
        <v>0.30580119105068498</v>
      </c>
      <c r="BY393" t="str">
        <f t="shared" si="14"/>
        <v>[[sv,wv],[yr],[ya]]</v>
      </c>
      <c r="BZ393" t="str">
        <f>SUBSTITUTE(TRIM(MID(SUBSTITUTE(SUBSTITUTE(SUBSTITUTE(Tabla1[[#This Row],[map]],"[",""),"]",""),",",REPT(" ",100)),901,200))," ",", ")</f>
        <v>2, 4</v>
      </c>
      <c r="CA393" t="str">
        <f>SUBSTITUTE(TRIM(MID(SUBSTITUTE(SUBSTITUTE(SUBSTITUTE(Tabla1[[#This Row],[map]],"[",""),"]",""),",",REPT(" ",100)),1501,200))," ",", ")</f>
        <v>3, 2</v>
      </c>
      <c r="CB393" t="str">
        <f>SUBSTITUTE(TRIM(MID(SUBSTITUTE(SUBSTITUTE(SUBSTITUTE(Tabla1[[#This Row],[map]],"[",""),"]",""),",",REPT(" ",100)),601,300))," ",", ")</f>
        <v>3, 0, 1</v>
      </c>
      <c r="CC393" t="str">
        <f>SUBSTITUTE(TRIM(MID(SUBSTITUTE(SUBSTITUTE(SUBSTITUTE(Tabla1[[#This Row],[map]],"[",""),"]",""),",",REPT(" ",100)),1201,300))," ",", ")</f>
        <v>0, 1, 4</v>
      </c>
      <c r="CD393" t="str">
        <f>SUBSTITUTE(TRIM(MID(SUBSTITUTE(SUBSTITUTE(SUBSTITUTE(Tabla1[[#This Row],[map]],"[",""),"]",""),",",REPT(" ",100)),1,300))," ",", ")</f>
        <v>4, 2, 3</v>
      </c>
      <c r="CE393" t="str">
        <f>SUBSTITUTE(TRIM(MID(SUBSTITUTE(SUBSTITUTE(SUBSTITUTE(Tabla1[[#This Row],[map]],"[",""),"]",""),",",REPT(" ",100)),1,600))," ",", ")</f>
        <v>4, 2, 3, 0, 1, -1</v>
      </c>
      <c r="CF393" t="str">
        <f>SUBSTITUTE(TRIM(MID(SUBSTITUTE(SUBSTITUTE(SUBSTITUTE(Tabla1[[#This Row],[map]],"[",""),"]",""),",",REPT(" ",100)),601,600))," ",", ")</f>
        <v>3, 0, 1, 2, 4, -1</v>
      </c>
      <c r="CG393" t="str">
        <f>SUBSTITUTE(TRIM(MID(SUBSTITUTE(SUBSTITUTE(SUBSTITUTE(Tabla1[[#This Row],[map]],"[",""),"]",""),",",REPT(" ",100)),1201,600))," ",", ")</f>
        <v>0, 1, 4, 3, 2, -1</v>
      </c>
    </row>
    <row r="394" spans="1:85" x14ac:dyDescent="0.3">
      <c r="A394" s="1">
        <v>46110.292685185188</v>
      </c>
      <c r="B394" t="s">
        <v>632</v>
      </c>
      <c r="C394">
        <v>7</v>
      </c>
      <c r="D394" t="s">
        <v>77</v>
      </c>
      <c r="E394" t="s">
        <v>78</v>
      </c>
      <c r="F394">
        <v>16590</v>
      </c>
      <c r="G394">
        <v>4.5</v>
      </c>
      <c r="H394" t="s">
        <v>79</v>
      </c>
      <c r="I394" t="s">
        <v>80</v>
      </c>
      <c r="J394">
        <v>5</v>
      </c>
      <c r="K394">
        <v>5</v>
      </c>
      <c r="L394" t="s">
        <v>81</v>
      </c>
      <c r="M394" t="s">
        <v>82</v>
      </c>
      <c r="N394" t="s">
        <v>83</v>
      </c>
      <c r="O394" t="s">
        <v>83</v>
      </c>
      <c r="P394" t="s">
        <v>84</v>
      </c>
      <c r="Q394" t="s">
        <v>422</v>
      </c>
      <c r="R394">
        <v>3</v>
      </c>
      <c r="S394" t="s">
        <v>86</v>
      </c>
      <c r="T394" t="s">
        <v>87</v>
      </c>
      <c r="U394" t="s">
        <v>88</v>
      </c>
      <c r="V394">
        <v>1</v>
      </c>
      <c r="W394" t="s">
        <v>423</v>
      </c>
      <c r="X394" t="s">
        <v>83</v>
      </c>
      <c r="Y394" t="s">
        <v>90</v>
      </c>
      <c r="Z394">
        <v>4000</v>
      </c>
      <c r="AA394">
        <v>4000</v>
      </c>
      <c r="AC394">
        <v>256</v>
      </c>
      <c r="AD394" t="s">
        <v>91</v>
      </c>
      <c r="AE394">
        <v>0.15</v>
      </c>
      <c r="AF394" t="s">
        <v>92</v>
      </c>
      <c r="AG394">
        <v>180</v>
      </c>
      <c r="AH394">
        <v>60</v>
      </c>
      <c r="AI394">
        <v>120</v>
      </c>
      <c r="AJ394">
        <v>9.4182523298011342E-2</v>
      </c>
      <c r="AK394">
        <v>7.60439979932372</v>
      </c>
      <c r="AL394">
        <v>0.77854199333398744</v>
      </c>
      <c r="AM394">
        <v>-0.31271717173605662</v>
      </c>
      <c r="AN394">
        <v>10.31879529731655</v>
      </c>
      <c r="AO394">
        <v>0.75045198410334524</v>
      </c>
      <c r="AP394">
        <v>10.31879529731655</v>
      </c>
      <c r="AQ394">
        <v>10.31879529731655</v>
      </c>
      <c r="AR394">
        <v>0.75045198410334524</v>
      </c>
      <c r="AS394">
        <v>158.5977431757922</v>
      </c>
      <c r="AT394">
        <v>-0.30978246140632282</v>
      </c>
      <c r="AU394">
        <v>0.8</v>
      </c>
      <c r="AV394" t="s">
        <v>93</v>
      </c>
      <c r="AW394">
        <v>7.4321262736786062E-2</v>
      </c>
      <c r="AX394">
        <v>0.46033153821989092</v>
      </c>
      <c r="AY394">
        <v>7.4321262736786062E-2</v>
      </c>
      <c r="AZ394">
        <v>7.4321262736786062E-2</v>
      </c>
      <c r="BA394">
        <v>0.46033153821989092</v>
      </c>
      <c r="BB394">
        <v>0.15820742473506641</v>
      </c>
      <c r="BC394">
        <v>-0.14879045921681011</v>
      </c>
      <c r="BD394">
        <v>6.4185007286945484E-2</v>
      </c>
      <c r="BE394">
        <v>0.77761265851365524</v>
      </c>
      <c r="BF394">
        <v>6.4185007286945484E-2</v>
      </c>
      <c r="BG394">
        <v>6.4185007286945484E-2</v>
      </c>
      <c r="BH394">
        <v>0.77761265851365524</v>
      </c>
      <c r="BI394">
        <v>0.30607757343737468</v>
      </c>
      <c r="BJ394">
        <v>-6.0493419296899331E-2</v>
      </c>
      <c r="BK394">
        <v>2.9675686339357861E-2</v>
      </c>
      <c r="BL394">
        <v>0.88086150582359479</v>
      </c>
      <c r="BM394">
        <v>2.9675686339357861E-2</v>
      </c>
      <c r="BN394">
        <v>2.9675686339357861E-2</v>
      </c>
      <c r="BO394">
        <v>0.88086150582359479</v>
      </c>
      <c r="BP394">
        <v>0.3054906533158695</v>
      </c>
      <c r="BQ394">
        <v>-0.22644834578766121</v>
      </c>
      <c r="BR394">
        <v>41.106999232903142</v>
      </c>
      <c r="BS394">
        <v>0.8830022338562401</v>
      </c>
      <c r="BT394">
        <v>41.106999232903142</v>
      </c>
      <c r="BU394">
        <v>41.106999232903142</v>
      </c>
      <c r="BV394">
        <v>0.8830022338562401</v>
      </c>
      <c r="BW394">
        <v>633.62119705168061</v>
      </c>
      <c r="BX394">
        <v>-0.80339762132391956</v>
      </c>
      <c r="BY394" t="str">
        <f t="shared" si="14"/>
        <v>[[sv,wv],[yr],[ya]]</v>
      </c>
      <c r="BZ394" t="str">
        <f>SUBSTITUTE(TRIM(MID(SUBSTITUTE(SUBSTITUTE(SUBSTITUTE(Tabla1[[#This Row],[map]],"[",""),"]",""),",",REPT(" ",100)),901,200))," ",", ")</f>
        <v>2, 4</v>
      </c>
      <c r="CA394" t="str">
        <f>SUBSTITUTE(TRIM(MID(SUBSTITUTE(SUBSTITUTE(SUBSTITUTE(Tabla1[[#This Row],[map]],"[",""),"]",""),",",REPT(" ",100)),1501,200))," ",", ")</f>
        <v>3, 2</v>
      </c>
      <c r="CB394" t="str">
        <f>SUBSTITUTE(TRIM(MID(SUBSTITUTE(SUBSTITUTE(SUBSTITUTE(Tabla1[[#This Row],[map]],"[",""),"]",""),",",REPT(" ",100)),601,300))," ",", ")</f>
        <v>1, 3, 0</v>
      </c>
      <c r="CC394" t="str">
        <f>SUBSTITUTE(TRIM(MID(SUBSTITUTE(SUBSTITUTE(SUBSTITUTE(Tabla1[[#This Row],[map]],"[",""),"]",""),",",REPT(" ",100)),1201,300))," ",", ")</f>
        <v>1, 4, 0</v>
      </c>
      <c r="CD394" t="str">
        <f>SUBSTITUTE(TRIM(MID(SUBSTITUTE(SUBSTITUTE(SUBSTITUTE(Tabla1[[#This Row],[map]],"[",""),"]",""),",",REPT(" ",100)),1,300))," ",", ")</f>
        <v>2, 3, 4</v>
      </c>
      <c r="CE394" t="str">
        <f>SUBSTITUTE(TRIM(MID(SUBSTITUTE(SUBSTITUTE(SUBSTITUTE(Tabla1[[#This Row],[map]],"[",""),"]",""),",",REPT(" ",100)),1,600))," ",", ")</f>
        <v>2, 3, 4, 0, 1, -1</v>
      </c>
      <c r="CF394" t="str">
        <f>SUBSTITUTE(TRIM(MID(SUBSTITUTE(SUBSTITUTE(SUBSTITUTE(Tabla1[[#This Row],[map]],"[",""),"]",""),",",REPT(" ",100)),601,600))," ",", ")</f>
        <v>1, 3, 0, 2, 4, -1</v>
      </c>
      <c r="CG394" t="str">
        <f>SUBSTITUTE(TRIM(MID(SUBSTITUTE(SUBSTITUTE(SUBSTITUTE(Tabla1[[#This Row],[map]],"[",""),"]",""),",",REPT(" ",100)),1201,600))," ",", ")</f>
        <v>1, 4, 0, 3, 2, -1</v>
      </c>
    </row>
    <row r="395" spans="1:85" x14ac:dyDescent="0.3">
      <c r="A395" s="1">
        <v>46110.318703703713</v>
      </c>
      <c r="B395" t="s">
        <v>633</v>
      </c>
      <c r="C395">
        <v>8</v>
      </c>
      <c r="D395" t="s">
        <v>96</v>
      </c>
      <c r="E395" t="s">
        <v>78</v>
      </c>
      <c r="F395">
        <v>16590</v>
      </c>
      <c r="G395">
        <v>4.5</v>
      </c>
      <c r="H395" t="s">
        <v>79</v>
      </c>
      <c r="I395" t="s">
        <v>80</v>
      </c>
      <c r="J395">
        <v>5</v>
      </c>
      <c r="K395">
        <v>5</v>
      </c>
      <c r="L395" t="s">
        <v>81</v>
      </c>
      <c r="M395" t="s">
        <v>82</v>
      </c>
      <c r="N395" t="s">
        <v>83</v>
      </c>
      <c r="O395" t="s">
        <v>83</v>
      </c>
      <c r="P395" t="s">
        <v>84</v>
      </c>
      <c r="Q395" t="s">
        <v>416</v>
      </c>
      <c r="R395">
        <v>3</v>
      </c>
      <c r="S395" t="s">
        <v>86</v>
      </c>
      <c r="T395" t="s">
        <v>87</v>
      </c>
      <c r="U395" t="s">
        <v>88</v>
      </c>
      <c r="V395">
        <v>1</v>
      </c>
      <c r="W395" t="s">
        <v>417</v>
      </c>
      <c r="X395" t="s">
        <v>83</v>
      </c>
      <c r="Y395" t="s">
        <v>90</v>
      </c>
      <c r="Z395">
        <v>4000</v>
      </c>
      <c r="AA395">
        <v>4000</v>
      </c>
      <c r="AC395">
        <v>256</v>
      </c>
      <c r="AD395" t="s">
        <v>91</v>
      </c>
      <c r="AE395">
        <v>0.15</v>
      </c>
      <c r="AF395" t="s">
        <v>92</v>
      </c>
      <c r="AG395">
        <v>180</v>
      </c>
      <c r="AH395">
        <v>60</v>
      </c>
      <c r="AI395">
        <v>120</v>
      </c>
      <c r="AJ395">
        <v>0.101152002825853</v>
      </c>
      <c r="AK395">
        <v>13.8019068539316</v>
      </c>
      <c r="AL395">
        <v>0.75361041089052672</v>
      </c>
      <c r="AM395">
        <v>0.19573279992922729</v>
      </c>
      <c r="AN395">
        <v>18.363451173729651</v>
      </c>
      <c r="AO395">
        <v>0.67782118641689471</v>
      </c>
      <c r="AP395">
        <v>18.363451173729651</v>
      </c>
      <c r="AQ395">
        <v>18.363451173729651</v>
      </c>
      <c r="AR395">
        <v>0.67782118641689471</v>
      </c>
      <c r="AS395">
        <v>91.880513408576363</v>
      </c>
      <c r="AT395">
        <v>0.1233209757020642</v>
      </c>
      <c r="AU395">
        <v>0.8</v>
      </c>
      <c r="AV395" t="s">
        <v>93</v>
      </c>
      <c r="AW395">
        <v>8.8267380653904118E-2</v>
      </c>
      <c r="AX395">
        <v>0.35906469038941252</v>
      </c>
      <c r="AY395">
        <v>8.8267380653904118E-2</v>
      </c>
      <c r="AZ395">
        <v>8.8267380653904118E-2</v>
      </c>
      <c r="BA395">
        <v>0.35906469038941252</v>
      </c>
      <c r="BB395">
        <v>0.14472656387284411</v>
      </c>
      <c r="BC395">
        <v>-5.0901979162955913E-2</v>
      </c>
      <c r="BD395">
        <v>6.046978232977749E-2</v>
      </c>
      <c r="BE395">
        <v>0.79048511948502531</v>
      </c>
      <c r="BF395">
        <v>6.046978232977749E-2</v>
      </c>
      <c r="BG395">
        <v>6.046978232977749E-2</v>
      </c>
      <c r="BH395">
        <v>0.79048511948502531</v>
      </c>
      <c r="BI395">
        <v>0.18362862985959791</v>
      </c>
      <c r="BJ395">
        <v>0.36376601730850422</v>
      </c>
      <c r="BK395">
        <v>5.7237093618970072E-2</v>
      </c>
      <c r="BL395">
        <v>0.7702111733215744</v>
      </c>
      <c r="BM395">
        <v>5.7237093618970072E-2</v>
      </c>
      <c r="BN395">
        <v>5.7237093618970072E-2</v>
      </c>
      <c r="BO395">
        <v>0.7702111733215744</v>
      </c>
      <c r="BP395">
        <v>0.19304922908566191</v>
      </c>
      <c r="BQ395">
        <v>0.22496840705995549</v>
      </c>
      <c r="BR395">
        <v>73.247830438316043</v>
      </c>
      <c r="BS395">
        <v>0.79152376247156586</v>
      </c>
      <c r="BT395">
        <v>73.247830438316043</v>
      </c>
      <c r="BU395">
        <v>73.247830438316043</v>
      </c>
      <c r="BV395">
        <v>0.79152376247156586</v>
      </c>
      <c r="BW395">
        <v>367.00064921148811</v>
      </c>
      <c r="BX395">
        <v>-4.4548542397246933E-2</v>
      </c>
      <c r="BY395" t="str">
        <f t="shared" ref="BY395:BY426" si="15">_xlfn.LET(_xlpm.TextoConfig, Q395,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395" t="str">
        <f>SUBSTITUTE(TRIM(MID(SUBSTITUTE(SUBSTITUTE(SUBSTITUTE(Tabla1[[#This Row],[map]],"[",""),"]",""),",",REPT(" ",100)),901,200))," ",", ")</f>
        <v>2, 4</v>
      </c>
      <c r="CA395" t="str">
        <f>SUBSTITUTE(TRIM(MID(SUBSTITUTE(SUBSTITUTE(SUBSTITUTE(Tabla1[[#This Row],[map]],"[",""),"]",""),",",REPT(" ",100)),1501,200))," ",", ")</f>
        <v>3, 4</v>
      </c>
      <c r="CB395" t="str">
        <f>SUBSTITUTE(TRIM(MID(SUBSTITUTE(SUBSTITUTE(SUBSTITUTE(Tabla1[[#This Row],[map]],"[",""),"]",""),",",REPT(" ",100)),601,300))," ",", ")</f>
        <v>0, 1, 3</v>
      </c>
      <c r="CC395" t="str">
        <f>SUBSTITUTE(TRIM(MID(SUBSTITUTE(SUBSTITUTE(SUBSTITUTE(Tabla1[[#This Row],[map]],"[",""),"]",""),",",REPT(" ",100)),1201,300))," ",", ")</f>
        <v>1, 2, 0</v>
      </c>
      <c r="CD395" t="str">
        <f>SUBSTITUTE(TRIM(MID(SUBSTITUTE(SUBSTITUTE(SUBSTITUTE(Tabla1[[#This Row],[map]],"[",""),"]",""),",",REPT(" ",100)),1,300))," ",", ")</f>
        <v>2, 3, 4</v>
      </c>
      <c r="CE395" t="str">
        <f>SUBSTITUTE(TRIM(MID(SUBSTITUTE(SUBSTITUTE(SUBSTITUTE(Tabla1[[#This Row],[map]],"[",""),"]",""),",",REPT(" ",100)),1,600))," ",", ")</f>
        <v>2, 3, 4, 0, 1, -1</v>
      </c>
      <c r="CF395" t="str">
        <f>SUBSTITUTE(TRIM(MID(SUBSTITUTE(SUBSTITUTE(SUBSTITUTE(Tabla1[[#This Row],[map]],"[",""),"]",""),",",REPT(" ",100)),601,600))," ",", ")</f>
        <v>0, 1, 3, 2, 4, -1</v>
      </c>
      <c r="CG395" t="str">
        <f>SUBSTITUTE(TRIM(MID(SUBSTITUTE(SUBSTITUTE(SUBSTITUTE(Tabla1[[#This Row],[map]],"[",""),"]",""),",",REPT(" ",100)),1201,600))," ",", ")</f>
        <v>1, 2, 0, 3, 4, -1</v>
      </c>
    </row>
    <row r="396" spans="1:85" x14ac:dyDescent="0.3">
      <c r="A396" s="1">
        <v>46110.329143518517</v>
      </c>
      <c r="B396" t="s">
        <v>634</v>
      </c>
      <c r="C396">
        <v>5</v>
      </c>
      <c r="D396" t="s">
        <v>96</v>
      </c>
      <c r="E396" t="s">
        <v>78</v>
      </c>
      <c r="F396">
        <v>16590</v>
      </c>
      <c r="G396">
        <v>4.5</v>
      </c>
      <c r="H396" t="s">
        <v>79</v>
      </c>
      <c r="I396" t="s">
        <v>80</v>
      </c>
      <c r="J396">
        <v>5</v>
      </c>
      <c r="K396">
        <v>5</v>
      </c>
      <c r="L396" t="s">
        <v>81</v>
      </c>
      <c r="M396" t="s">
        <v>82</v>
      </c>
      <c r="N396" t="s">
        <v>83</v>
      </c>
      <c r="O396" t="s">
        <v>83</v>
      </c>
      <c r="P396" t="s">
        <v>84</v>
      </c>
      <c r="Q396" t="s">
        <v>525</v>
      </c>
      <c r="R396">
        <v>3</v>
      </c>
      <c r="S396" t="s">
        <v>86</v>
      </c>
      <c r="T396" t="s">
        <v>87</v>
      </c>
      <c r="U396" t="s">
        <v>88</v>
      </c>
      <c r="V396">
        <v>1</v>
      </c>
      <c r="W396" t="s">
        <v>526</v>
      </c>
      <c r="X396" t="s">
        <v>83</v>
      </c>
      <c r="Y396" t="s">
        <v>90</v>
      </c>
      <c r="Z396">
        <v>4000</v>
      </c>
      <c r="AA396">
        <v>4000</v>
      </c>
      <c r="AC396">
        <v>256</v>
      </c>
      <c r="AD396" t="s">
        <v>91</v>
      </c>
      <c r="AE396">
        <v>0.15</v>
      </c>
      <c r="AF396" t="s">
        <v>92</v>
      </c>
      <c r="AG396">
        <v>180</v>
      </c>
      <c r="AH396">
        <v>60</v>
      </c>
      <c r="AI396">
        <v>120</v>
      </c>
      <c r="AJ396">
        <v>0.1210853647087185</v>
      </c>
      <c r="AK396">
        <v>20.083291897821301</v>
      </c>
      <c r="AL396">
        <v>0.69387851976326842</v>
      </c>
      <c r="AM396">
        <v>0.23976646029640691</v>
      </c>
      <c r="AN396">
        <v>20.65904191185076</v>
      </c>
      <c r="AO396">
        <v>0.67016442147282163</v>
      </c>
      <c r="AP396">
        <v>20.65904191185076</v>
      </c>
      <c r="AQ396">
        <v>20.65904191185076</v>
      </c>
      <c r="AR396">
        <v>0.67016442147282163</v>
      </c>
      <c r="AS396">
        <v>62.406523002938897</v>
      </c>
      <c r="AT396">
        <v>0.15117815502052259</v>
      </c>
      <c r="AU396">
        <v>0.8</v>
      </c>
      <c r="AV396" t="s">
        <v>93</v>
      </c>
      <c r="AW396">
        <v>7.8317026377702298E-2</v>
      </c>
      <c r="AX396">
        <v>0.43131712783013271</v>
      </c>
      <c r="AY396">
        <v>7.8317026377702298E-2</v>
      </c>
      <c r="AZ396">
        <v>7.8317026377702298E-2</v>
      </c>
      <c r="BA396">
        <v>0.43131712783013271</v>
      </c>
      <c r="BB396">
        <v>0.18991332835343569</v>
      </c>
      <c r="BC396">
        <v>-0.3790163139048881</v>
      </c>
      <c r="BD396">
        <v>0.10488418235815521</v>
      </c>
      <c r="BE396">
        <v>0.63659870950356423</v>
      </c>
      <c r="BF396">
        <v>0.10488418235815521</v>
      </c>
      <c r="BG396">
        <v>0.10488418235815521</v>
      </c>
      <c r="BH396">
        <v>0.63659870950356423</v>
      </c>
      <c r="BI396">
        <v>8.8899785342105742E-2</v>
      </c>
      <c r="BJ396">
        <v>0.69198123118451904</v>
      </c>
      <c r="BK396">
        <v>3.8033064237827978E-2</v>
      </c>
      <c r="BL396">
        <v>0.84730927701578607</v>
      </c>
      <c r="BM396">
        <v>3.8033064237827978E-2</v>
      </c>
      <c r="BN396">
        <v>3.8033064237827978E-2</v>
      </c>
      <c r="BO396">
        <v>0.84730927701578607</v>
      </c>
      <c r="BP396">
        <v>0.2489048923780601</v>
      </c>
      <c r="BQ396">
        <v>7.2558619367235622E-4</v>
      </c>
      <c r="BR396">
        <v>82.414933374428983</v>
      </c>
      <c r="BS396">
        <v>0.76543257154180722</v>
      </c>
      <c r="BT396">
        <v>82.414933374428983</v>
      </c>
      <c r="BU396">
        <v>82.414933374428983</v>
      </c>
      <c r="BV396">
        <v>0.76543257154180722</v>
      </c>
      <c r="BW396">
        <v>249.09837400568179</v>
      </c>
      <c r="BX396">
        <v>0.29102211660879429</v>
      </c>
      <c r="BY396" t="str">
        <f t="shared" si="15"/>
        <v>[[sv,wv],[yr],[ya]]</v>
      </c>
      <c r="BZ396" t="str">
        <f>SUBSTITUTE(TRIM(MID(SUBSTITUTE(SUBSTITUTE(SUBSTITUTE(Tabla1[[#This Row],[map]],"[",""),"]",""),",",REPT(" ",100)),901,200))," ",", ")</f>
        <v>2, 4</v>
      </c>
      <c r="CA396" t="str">
        <f>SUBSTITUTE(TRIM(MID(SUBSTITUTE(SUBSTITUTE(SUBSTITUTE(Tabla1[[#This Row],[map]],"[",""),"]",""),",",REPT(" ",100)),1501,200))," ",", ")</f>
        <v>3, 4</v>
      </c>
      <c r="CB396" t="str">
        <f>SUBSTITUTE(TRIM(MID(SUBSTITUTE(SUBSTITUTE(SUBSTITUTE(Tabla1[[#This Row],[map]],"[",""),"]",""),",",REPT(" ",100)),601,300))," ",", ")</f>
        <v>1, 3, 0</v>
      </c>
      <c r="CC396" t="str">
        <f>SUBSTITUTE(TRIM(MID(SUBSTITUTE(SUBSTITUTE(SUBSTITUTE(Tabla1[[#This Row],[map]],"[",""),"]",""),",",REPT(" ",100)),1201,300))," ",", ")</f>
        <v>0, 1, 2</v>
      </c>
      <c r="CD396" t="str">
        <f>SUBSTITUTE(TRIM(MID(SUBSTITUTE(SUBSTITUTE(SUBSTITUTE(Tabla1[[#This Row],[map]],"[",""),"]",""),",",REPT(" ",100)),1,300))," ",", ")</f>
        <v>4, 2, 3</v>
      </c>
      <c r="CE396" t="str">
        <f>SUBSTITUTE(TRIM(MID(SUBSTITUTE(SUBSTITUTE(SUBSTITUTE(Tabla1[[#This Row],[map]],"[",""),"]",""),",",REPT(" ",100)),1,600))," ",", ")</f>
        <v>4, 2, 3, 0, 1, -1</v>
      </c>
      <c r="CF396" t="str">
        <f>SUBSTITUTE(TRIM(MID(SUBSTITUTE(SUBSTITUTE(SUBSTITUTE(Tabla1[[#This Row],[map]],"[",""),"]",""),",",REPT(" ",100)),601,600))," ",", ")</f>
        <v>1, 3, 0, 2, 4, -1</v>
      </c>
      <c r="CG396" t="str">
        <f>SUBSTITUTE(TRIM(MID(SUBSTITUTE(SUBSTITUTE(SUBSTITUTE(Tabla1[[#This Row],[map]],"[",""),"]",""),",",REPT(" ",100)),1201,600))," ",", ")</f>
        <v>0, 1, 2, 3, 4, -1</v>
      </c>
    </row>
    <row r="397" spans="1:85" x14ac:dyDescent="0.3">
      <c r="A397" s="1">
        <v>46110.329618055563</v>
      </c>
      <c r="B397" t="s">
        <v>635</v>
      </c>
      <c r="C397">
        <v>6</v>
      </c>
      <c r="D397" t="s">
        <v>96</v>
      </c>
      <c r="E397" t="s">
        <v>78</v>
      </c>
      <c r="F397">
        <v>16590</v>
      </c>
      <c r="G397">
        <v>4.5</v>
      </c>
      <c r="H397" t="s">
        <v>79</v>
      </c>
      <c r="I397" t="s">
        <v>80</v>
      </c>
      <c r="J397">
        <v>5</v>
      </c>
      <c r="K397">
        <v>5</v>
      </c>
      <c r="L397" t="s">
        <v>81</v>
      </c>
      <c r="M397" t="s">
        <v>82</v>
      </c>
      <c r="N397" t="s">
        <v>83</v>
      </c>
      <c r="O397" t="s">
        <v>83</v>
      </c>
      <c r="P397" t="s">
        <v>84</v>
      </c>
      <c r="Q397" t="s">
        <v>189</v>
      </c>
      <c r="R397">
        <v>3</v>
      </c>
      <c r="S397" t="s">
        <v>86</v>
      </c>
      <c r="T397" t="s">
        <v>87</v>
      </c>
      <c r="U397" t="s">
        <v>88</v>
      </c>
      <c r="V397">
        <v>1</v>
      </c>
      <c r="W397" t="s">
        <v>190</v>
      </c>
      <c r="X397" t="s">
        <v>83</v>
      </c>
      <c r="Y397" t="s">
        <v>90</v>
      </c>
      <c r="Z397">
        <v>4000</v>
      </c>
      <c r="AA397">
        <v>4000</v>
      </c>
      <c r="AC397">
        <v>256</v>
      </c>
      <c r="AD397" t="s">
        <v>91</v>
      </c>
      <c r="AE397">
        <v>0.15</v>
      </c>
      <c r="AF397" t="s">
        <v>92</v>
      </c>
      <c r="AG397">
        <v>180</v>
      </c>
      <c r="AH397">
        <v>60</v>
      </c>
      <c r="AI397">
        <v>120</v>
      </c>
      <c r="AJ397">
        <v>0.124913540985387</v>
      </c>
      <c r="AK397">
        <v>13.15331539247723</v>
      </c>
      <c r="AL397">
        <v>0.66766979647732405</v>
      </c>
      <c r="AM397">
        <v>0.14434792498384649</v>
      </c>
      <c r="AN397">
        <v>19.15930818852873</v>
      </c>
      <c r="AO397">
        <v>0.61360102636030045</v>
      </c>
      <c r="AP397">
        <v>19.15930818852873</v>
      </c>
      <c r="AQ397">
        <v>19.15930818852873</v>
      </c>
      <c r="AR397">
        <v>0.61360102636030045</v>
      </c>
      <c r="AS397">
        <v>75.576301061334163</v>
      </c>
      <c r="AT397">
        <v>0.14193164029340941</v>
      </c>
      <c r="AU397">
        <v>0.8</v>
      </c>
      <c r="AV397" t="s">
        <v>93</v>
      </c>
      <c r="AW397">
        <v>7.979489720522201E-2</v>
      </c>
      <c r="AX397">
        <v>0.42058587479663839</v>
      </c>
      <c r="AY397">
        <v>7.979489720522201E-2</v>
      </c>
      <c r="AZ397">
        <v>7.979489720522201E-2</v>
      </c>
      <c r="BA397">
        <v>0.42058587479663839</v>
      </c>
      <c r="BB397">
        <v>0.1741371187740835</v>
      </c>
      <c r="BC397">
        <v>-0.26446063437395367</v>
      </c>
      <c r="BD397">
        <v>0.1028367302516898</v>
      </c>
      <c r="BE397">
        <v>0.64369269375352878</v>
      </c>
      <c r="BF397">
        <v>0.1028367302516898</v>
      </c>
      <c r="BG397">
        <v>0.1028367302516898</v>
      </c>
      <c r="BH397">
        <v>0.64369269375352878</v>
      </c>
      <c r="BI397">
        <v>0.1554128975843144</v>
      </c>
      <c r="BJ397">
        <v>0.4615275032695253</v>
      </c>
      <c r="BK397">
        <v>9.7778434141475232E-2</v>
      </c>
      <c r="BL397">
        <v>0.6074505144269482</v>
      </c>
      <c r="BM397">
        <v>9.7778434141475232E-2</v>
      </c>
      <c r="BN397">
        <v>9.7778434141475232E-2</v>
      </c>
      <c r="BO397">
        <v>0.6074505144269482</v>
      </c>
      <c r="BP397">
        <v>0.19189819115083531</v>
      </c>
      <c r="BQ397">
        <v>0.22958946029279281</v>
      </c>
      <c r="BR397">
        <v>76.356822692516758</v>
      </c>
      <c r="BS397">
        <v>0.78267502246408349</v>
      </c>
      <c r="BT397">
        <v>76.356822692516758</v>
      </c>
      <c r="BU397">
        <v>76.356822692516758</v>
      </c>
      <c r="BV397">
        <v>0.78267502246408349</v>
      </c>
      <c r="BW397">
        <v>301.78375603782689</v>
      </c>
      <c r="BX397">
        <v>0.14107023198527061</v>
      </c>
      <c r="BY397" t="str">
        <f t="shared" si="15"/>
        <v>[[sv,wv],[yr],[ya]]</v>
      </c>
      <c r="BZ397" t="str">
        <f>SUBSTITUTE(TRIM(MID(SUBSTITUTE(SUBSTITUTE(SUBSTITUTE(Tabla1[[#This Row],[map]],"[",""),"]",""),",",REPT(" ",100)),901,200))," ",", ")</f>
        <v>2, 3</v>
      </c>
      <c r="CA397" t="str">
        <f>SUBSTITUTE(TRIM(MID(SUBSTITUTE(SUBSTITUTE(SUBSTITUTE(Tabla1[[#This Row],[map]],"[",""),"]",""),",",REPT(" ",100)),1501,200))," ",", ")</f>
        <v>3, 2</v>
      </c>
      <c r="CB397" t="str">
        <f>SUBSTITUTE(TRIM(MID(SUBSTITUTE(SUBSTITUTE(SUBSTITUTE(Tabla1[[#This Row],[map]],"[",""),"]",""),",",REPT(" ",100)),601,300))," ",", ")</f>
        <v>0, 1, 4</v>
      </c>
      <c r="CC397" t="str">
        <f>SUBSTITUTE(TRIM(MID(SUBSTITUTE(SUBSTITUTE(SUBSTITUTE(Tabla1[[#This Row],[map]],"[",""),"]",""),",",REPT(" ",100)),1201,300))," ",", ")</f>
        <v>0, 1, 4</v>
      </c>
      <c r="CD397" t="str">
        <f>SUBSTITUTE(TRIM(MID(SUBSTITUTE(SUBSTITUTE(SUBSTITUTE(Tabla1[[#This Row],[map]],"[",""),"]",""),",",REPT(" ",100)),1,300))," ",", ")</f>
        <v>4, 2, 3</v>
      </c>
      <c r="CE397" t="str">
        <f>SUBSTITUTE(TRIM(MID(SUBSTITUTE(SUBSTITUTE(SUBSTITUTE(Tabla1[[#This Row],[map]],"[",""),"]",""),",",REPT(" ",100)),1,600))," ",", ")</f>
        <v>4, 2, 3, 0, 1, -1</v>
      </c>
      <c r="CF397" t="str">
        <f>SUBSTITUTE(TRIM(MID(SUBSTITUTE(SUBSTITUTE(SUBSTITUTE(Tabla1[[#This Row],[map]],"[",""),"]",""),",",REPT(" ",100)),601,600))," ",", ")</f>
        <v>0, 1, 4, 2, 3, -1</v>
      </c>
      <c r="CG397" t="str">
        <f>SUBSTITUTE(TRIM(MID(SUBSTITUTE(SUBSTITUTE(SUBSTITUTE(Tabla1[[#This Row],[map]],"[",""),"]",""),",",REPT(" ",100)),1201,600))," ",", ")</f>
        <v>0, 1, 4, 3, 2, -1</v>
      </c>
    </row>
    <row r="398" spans="1:85" x14ac:dyDescent="0.3">
      <c r="A398" s="1">
        <v>46110.339039351849</v>
      </c>
      <c r="B398" t="s">
        <v>636</v>
      </c>
      <c r="C398">
        <v>9</v>
      </c>
      <c r="D398" t="s">
        <v>96</v>
      </c>
      <c r="E398" t="s">
        <v>78</v>
      </c>
      <c r="F398">
        <v>16590</v>
      </c>
      <c r="G398">
        <v>4.5</v>
      </c>
      <c r="H398" t="s">
        <v>79</v>
      </c>
      <c r="I398" t="s">
        <v>80</v>
      </c>
      <c r="J398">
        <v>5</v>
      </c>
      <c r="K398">
        <v>5</v>
      </c>
      <c r="L398" t="s">
        <v>81</v>
      </c>
      <c r="M398" t="s">
        <v>82</v>
      </c>
      <c r="N398" t="s">
        <v>83</v>
      </c>
      <c r="O398" t="s">
        <v>83</v>
      </c>
      <c r="P398" t="s">
        <v>84</v>
      </c>
      <c r="Q398" t="s">
        <v>416</v>
      </c>
      <c r="R398">
        <v>3</v>
      </c>
      <c r="S398" t="s">
        <v>86</v>
      </c>
      <c r="T398" t="s">
        <v>87</v>
      </c>
      <c r="U398" t="s">
        <v>88</v>
      </c>
      <c r="V398">
        <v>1</v>
      </c>
      <c r="W398" t="s">
        <v>417</v>
      </c>
      <c r="X398" t="s">
        <v>83</v>
      </c>
      <c r="Y398" t="s">
        <v>90</v>
      </c>
      <c r="Z398">
        <v>4000</v>
      </c>
      <c r="AA398">
        <v>4000</v>
      </c>
      <c r="AC398">
        <v>256</v>
      </c>
      <c r="AD398" t="s">
        <v>91</v>
      </c>
      <c r="AE398">
        <v>0.15</v>
      </c>
      <c r="AF398" t="s">
        <v>92</v>
      </c>
      <c r="AG398">
        <v>180</v>
      </c>
      <c r="AH398">
        <v>60</v>
      </c>
      <c r="AI398">
        <v>120</v>
      </c>
      <c r="AJ398">
        <v>0.1098045919084263</v>
      </c>
      <c r="AK398">
        <v>19.61536728464932</v>
      </c>
      <c r="AL398">
        <v>0.77787618715354812</v>
      </c>
      <c r="AM398">
        <v>0.25524813925314721</v>
      </c>
      <c r="AN398">
        <v>24.842417486221631</v>
      </c>
      <c r="AO398">
        <v>0.74119366048595448</v>
      </c>
      <c r="AP398">
        <v>24.842417486221631</v>
      </c>
      <c r="AQ398">
        <v>24.842417486221631</v>
      </c>
      <c r="AR398">
        <v>0.74119366048595448</v>
      </c>
      <c r="AS398">
        <v>86.981251965667553</v>
      </c>
      <c r="AT398">
        <v>9.4171908559861989E-2</v>
      </c>
      <c r="AU398">
        <v>0.8</v>
      </c>
      <c r="AV398" t="s">
        <v>93</v>
      </c>
      <c r="AW398">
        <v>4.8071758600640641E-2</v>
      </c>
      <c r="AX398">
        <v>0.65093687776873832</v>
      </c>
      <c r="AY398">
        <v>4.8071758600640641E-2</v>
      </c>
      <c r="AZ398">
        <v>4.8071758600640641E-2</v>
      </c>
      <c r="BA398">
        <v>0.65093687776873832</v>
      </c>
      <c r="BB398">
        <v>0.17579447641729501</v>
      </c>
      <c r="BC398">
        <v>-0.27649519375838111</v>
      </c>
      <c r="BD398">
        <v>4.3112341438396713E-2</v>
      </c>
      <c r="BE398">
        <v>0.85062494493653129</v>
      </c>
      <c r="BF398">
        <v>4.3112341438396713E-2</v>
      </c>
      <c r="BG398">
        <v>4.3112341438396713E-2</v>
      </c>
      <c r="BH398">
        <v>0.85062494493653129</v>
      </c>
      <c r="BI398">
        <v>0.24123260456994339</v>
      </c>
      <c r="BJ398">
        <v>0.16418054810990709</v>
      </c>
      <c r="BK398">
        <v>6.3368246567595141E-2</v>
      </c>
      <c r="BL398">
        <v>0.74559653352820132</v>
      </c>
      <c r="BM398">
        <v>6.3368246567595141E-2</v>
      </c>
      <c r="BN398">
        <v>6.3368246567595141E-2</v>
      </c>
      <c r="BO398">
        <v>0.74559653352820132</v>
      </c>
      <c r="BP398">
        <v>0.1300971800050332</v>
      </c>
      <c r="BQ398">
        <v>0.47770097226564179</v>
      </c>
      <c r="BR398">
        <v>99.215117598279946</v>
      </c>
      <c r="BS398">
        <v>0.71761628571034497</v>
      </c>
      <c r="BT398">
        <v>99.215117598279946</v>
      </c>
      <c r="BU398">
        <v>99.215117598279946</v>
      </c>
      <c r="BV398">
        <v>0.71761628571034497</v>
      </c>
      <c r="BW398">
        <v>347.37788360167792</v>
      </c>
      <c r="BX398">
        <v>1.130130762227843E-2</v>
      </c>
      <c r="BY398" t="str">
        <f t="shared" si="15"/>
        <v>[[sv,wv],[yr],[ya]]</v>
      </c>
      <c r="BZ398" t="str">
        <f>SUBSTITUTE(TRIM(MID(SUBSTITUTE(SUBSTITUTE(SUBSTITUTE(Tabla1[[#This Row],[map]],"[",""),"]",""),",",REPT(" ",100)),901,200))," ",", ")</f>
        <v>2, 4</v>
      </c>
      <c r="CA398" t="str">
        <f>SUBSTITUTE(TRIM(MID(SUBSTITUTE(SUBSTITUTE(SUBSTITUTE(Tabla1[[#This Row],[map]],"[",""),"]",""),",",REPT(" ",100)),1501,200))," ",", ")</f>
        <v>3, 4</v>
      </c>
      <c r="CB398" t="str">
        <f>SUBSTITUTE(TRIM(MID(SUBSTITUTE(SUBSTITUTE(SUBSTITUTE(Tabla1[[#This Row],[map]],"[",""),"]",""),",",REPT(" ",100)),601,300))," ",", ")</f>
        <v>0, 1, 3</v>
      </c>
      <c r="CC398" t="str">
        <f>SUBSTITUTE(TRIM(MID(SUBSTITUTE(SUBSTITUTE(SUBSTITUTE(Tabla1[[#This Row],[map]],"[",""),"]",""),",",REPT(" ",100)),1201,300))," ",", ")</f>
        <v>1, 2, 0</v>
      </c>
      <c r="CD398" t="str">
        <f>SUBSTITUTE(TRIM(MID(SUBSTITUTE(SUBSTITUTE(SUBSTITUTE(Tabla1[[#This Row],[map]],"[",""),"]",""),",",REPT(" ",100)),1,300))," ",", ")</f>
        <v>2, 3, 4</v>
      </c>
      <c r="CE398" t="str">
        <f>SUBSTITUTE(TRIM(MID(SUBSTITUTE(SUBSTITUTE(SUBSTITUTE(Tabla1[[#This Row],[map]],"[",""),"]",""),",",REPT(" ",100)),1,600))," ",", ")</f>
        <v>2, 3, 4, 0, 1, -1</v>
      </c>
      <c r="CF398" t="str">
        <f>SUBSTITUTE(TRIM(MID(SUBSTITUTE(SUBSTITUTE(SUBSTITUTE(Tabla1[[#This Row],[map]],"[",""),"]",""),",",REPT(" ",100)),601,600))," ",", ")</f>
        <v>0, 1, 3, 2, 4, -1</v>
      </c>
      <c r="CG398" t="str">
        <f>SUBSTITUTE(TRIM(MID(SUBSTITUTE(SUBSTITUTE(SUBSTITUTE(Tabla1[[#This Row],[map]],"[",""),"]",""),",",REPT(" ",100)),1201,600))," ",", ")</f>
        <v>1, 2, 0, 3, 4, -1</v>
      </c>
    </row>
    <row r="399" spans="1:85" x14ac:dyDescent="0.3">
      <c r="A399" s="1">
        <v>46110.37290509259</v>
      </c>
      <c r="B399" t="s">
        <v>637</v>
      </c>
      <c r="C399">
        <v>4</v>
      </c>
      <c r="D399" t="s">
        <v>77</v>
      </c>
      <c r="E399" t="s">
        <v>78</v>
      </c>
      <c r="F399">
        <v>16590</v>
      </c>
      <c r="G399">
        <v>4.5</v>
      </c>
      <c r="H399" t="s">
        <v>79</v>
      </c>
      <c r="I399" t="s">
        <v>80</v>
      </c>
      <c r="J399">
        <v>5</v>
      </c>
      <c r="K399">
        <v>5</v>
      </c>
      <c r="L399" t="s">
        <v>81</v>
      </c>
      <c r="M399" t="s">
        <v>82</v>
      </c>
      <c r="N399" t="s">
        <v>83</v>
      </c>
      <c r="O399" t="s">
        <v>83</v>
      </c>
      <c r="P399" t="s">
        <v>84</v>
      </c>
      <c r="Q399" t="s">
        <v>525</v>
      </c>
      <c r="R399">
        <v>3</v>
      </c>
      <c r="S399" t="s">
        <v>86</v>
      </c>
      <c r="T399" t="s">
        <v>87</v>
      </c>
      <c r="U399" t="s">
        <v>88</v>
      </c>
      <c r="V399">
        <v>1</v>
      </c>
      <c r="W399" t="s">
        <v>526</v>
      </c>
      <c r="X399" t="s">
        <v>83</v>
      </c>
      <c r="Y399" t="s">
        <v>90</v>
      </c>
      <c r="Z399">
        <v>4000</v>
      </c>
      <c r="AA399">
        <v>4000</v>
      </c>
      <c r="AC399">
        <v>256</v>
      </c>
      <c r="AD399" t="s">
        <v>91</v>
      </c>
      <c r="AE399">
        <v>0.15</v>
      </c>
      <c r="AF399" t="s">
        <v>92</v>
      </c>
      <c r="AG399">
        <v>180</v>
      </c>
      <c r="AH399">
        <v>60</v>
      </c>
      <c r="AI399">
        <v>120</v>
      </c>
      <c r="AJ399">
        <v>0.10584770595979209</v>
      </c>
      <c r="AK399">
        <v>13.490035043070909</v>
      </c>
      <c r="AL399">
        <v>0.74986922887964536</v>
      </c>
      <c r="AM399">
        <v>0.30320566461308002</v>
      </c>
      <c r="AN399">
        <v>14.954156863985339</v>
      </c>
      <c r="AO399">
        <v>0.72289722143259338</v>
      </c>
      <c r="AP399">
        <v>14.954156863985339</v>
      </c>
      <c r="AQ399">
        <v>14.954156863985339</v>
      </c>
      <c r="AR399">
        <v>0.72289722143259338</v>
      </c>
      <c r="AS399">
        <v>63.466955106005521</v>
      </c>
      <c r="AT399">
        <v>0.29089277061660762</v>
      </c>
      <c r="AU399">
        <v>0.8</v>
      </c>
      <c r="AV399" t="s">
        <v>93</v>
      </c>
      <c r="AW399">
        <v>7.5786293073648578E-2</v>
      </c>
      <c r="AX399">
        <v>0.44969352375078991</v>
      </c>
      <c r="AY399">
        <v>7.5786293073648578E-2</v>
      </c>
      <c r="AZ399">
        <v>7.5786293073648578E-2</v>
      </c>
      <c r="BA399">
        <v>0.44969352375078991</v>
      </c>
      <c r="BB399">
        <v>0.1067878572680967</v>
      </c>
      <c r="BC399">
        <v>0.22458208396205009</v>
      </c>
      <c r="BD399">
        <v>7.2094059908276636E-2</v>
      </c>
      <c r="BE399">
        <v>0.75020948041210533</v>
      </c>
      <c r="BF399">
        <v>7.2094059908276636E-2</v>
      </c>
      <c r="BG399">
        <v>7.2094059908276636E-2</v>
      </c>
      <c r="BH399">
        <v>0.75020948041210533</v>
      </c>
      <c r="BI399">
        <v>0.11385394225679329</v>
      </c>
      <c r="BJ399">
        <v>0.60552040723413891</v>
      </c>
      <c r="BK399">
        <v>3.4519430320729509E-2</v>
      </c>
      <c r="BL399">
        <v>0.86141540582383547</v>
      </c>
      <c r="BM399">
        <v>3.4519430320729509E-2</v>
      </c>
      <c r="BN399">
        <v>3.4519430320729509E-2</v>
      </c>
      <c r="BO399">
        <v>0.86141540582383547</v>
      </c>
      <c r="BP399">
        <v>0.23545490573713479</v>
      </c>
      <c r="BQ399">
        <v>5.4723028300592717E-2</v>
      </c>
      <c r="BR399">
        <v>59.634227672638588</v>
      </c>
      <c r="BS399">
        <v>0.83027047574364254</v>
      </c>
      <c r="BT399">
        <v>59.634227672638588</v>
      </c>
      <c r="BU399">
        <v>59.634227672638588</v>
      </c>
      <c r="BV399">
        <v>0.83027047574364254</v>
      </c>
      <c r="BW399">
        <v>253.4117237187597</v>
      </c>
      <c r="BX399">
        <v>0.27874556296965131</v>
      </c>
      <c r="BY399" t="str">
        <f t="shared" si="15"/>
        <v>[[sv,wv],[yr],[ya]]</v>
      </c>
      <c r="BZ399" t="str">
        <f>SUBSTITUTE(TRIM(MID(SUBSTITUTE(SUBSTITUTE(SUBSTITUTE(Tabla1[[#This Row],[map]],"[",""),"]",""),",",REPT(" ",100)),901,200))," ",", ")</f>
        <v>2, 4</v>
      </c>
      <c r="CA399" t="str">
        <f>SUBSTITUTE(TRIM(MID(SUBSTITUTE(SUBSTITUTE(SUBSTITUTE(Tabla1[[#This Row],[map]],"[",""),"]",""),",",REPT(" ",100)),1501,200))," ",", ")</f>
        <v>3, 4</v>
      </c>
      <c r="CB399" t="str">
        <f>SUBSTITUTE(TRIM(MID(SUBSTITUTE(SUBSTITUTE(SUBSTITUTE(Tabla1[[#This Row],[map]],"[",""),"]",""),",",REPT(" ",100)),601,300))," ",", ")</f>
        <v>1, 3, 0</v>
      </c>
      <c r="CC399" t="str">
        <f>SUBSTITUTE(TRIM(MID(SUBSTITUTE(SUBSTITUTE(SUBSTITUTE(Tabla1[[#This Row],[map]],"[",""),"]",""),",",REPT(" ",100)),1201,300))," ",", ")</f>
        <v>0, 1, 2</v>
      </c>
      <c r="CD399" t="str">
        <f>SUBSTITUTE(TRIM(MID(SUBSTITUTE(SUBSTITUTE(SUBSTITUTE(Tabla1[[#This Row],[map]],"[",""),"]",""),",",REPT(" ",100)),1,300))," ",", ")</f>
        <v>4, 2, 3</v>
      </c>
      <c r="CE399" t="str">
        <f>SUBSTITUTE(TRIM(MID(SUBSTITUTE(SUBSTITUTE(SUBSTITUTE(Tabla1[[#This Row],[map]],"[",""),"]",""),",",REPT(" ",100)),1,600))," ",", ")</f>
        <v>4, 2, 3, 0, 1, -1</v>
      </c>
      <c r="CF399" t="str">
        <f>SUBSTITUTE(TRIM(MID(SUBSTITUTE(SUBSTITUTE(SUBSTITUTE(Tabla1[[#This Row],[map]],"[",""),"]",""),",",REPT(" ",100)),601,600))," ",", ")</f>
        <v>1, 3, 0, 2, 4, -1</v>
      </c>
      <c r="CG399" t="str">
        <f>SUBSTITUTE(TRIM(MID(SUBSTITUTE(SUBSTITUTE(SUBSTITUTE(Tabla1[[#This Row],[map]],"[",""),"]",""),",",REPT(" ",100)),1201,600))," ",", ")</f>
        <v>0, 1, 2, 3, 4, -1</v>
      </c>
    </row>
    <row r="400" spans="1:85" x14ac:dyDescent="0.3">
      <c r="A400" s="1">
        <v>46110.375868055547</v>
      </c>
      <c r="B400" t="s">
        <v>638</v>
      </c>
      <c r="C400">
        <v>4</v>
      </c>
      <c r="D400" t="s">
        <v>96</v>
      </c>
      <c r="E400" t="s">
        <v>78</v>
      </c>
      <c r="F400">
        <v>16590</v>
      </c>
      <c r="G400">
        <v>4.5</v>
      </c>
      <c r="H400" t="s">
        <v>79</v>
      </c>
      <c r="I400" t="s">
        <v>80</v>
      </c>
      <c r="J400">
        <v>5</v>
      </c>
      <c r="K400">
        <v>5</v>
      </c>
      <c r="L400" t="s">
        <v>81</v>
      </c>
      <c r="M400" t="s">
        <v>82</v>
      </c>
      <c r="N400" t="s">
        <v>83</v>
      </c>
      <c r="O400" t="s">
        <v>83</v>
      </c>
      <c r="P400" t="s">
        <v>84</v>
      </c>
      <c r="Q400" t="s">
        <v>237</v>
      </c>
      <c r="R400">
        <v>3</v>
      </c>
      <c r="S400" t="s">
        <v>86</v>
      </c>
      <c r="T400" t="s">
        <v>87</v>
      </c>
      <c r="U400" t="s">
        <v>88</v>
      </c>
      <c r="V400">
        <v>1</v>
      </c>
      <c r="W400" t="s">
        <v>238</v>
      </c>
      <c r="X400" t="s">
        <v>83</v>
      </c>
      <c r="Y400" t="s">
        <v>90</v>
      </c>
      <c r="Z400">
        <v>4000</v>
      </c>
      <c r="AA400">
        <v>4000</v>
      </c>
      <c r="AC400">
        <v>256</v>
      </c>
      <c r="AD400" t="s">
        <v>91</v>
      </c>
      <c r="AE400">
        <v>0.15</v>
      </c>
      <c r="AF400" t="s">
        <v>92</v>
      </c>
      <c r="AG400">
        <v>180</v>
      </c>
      <c r="AH400">
        <v>60</v>
      </c>
      <c r="AI400">
        <v>120</v>
      </c>
      <c r="AJ400">
        <v>0.10529890872759359</v>
      </c>
      <c r="AK400">
        <v>13.49361823964945</v>
      </c>
      <c r="AL400">
        <v>0.73144832917623748</v>
      </c>
      <c r="AM400">
        <v>0.26568479205660189</v>
      </c>
      <c r="AN400">
        <v>14.714023555835899</v>
      </c>
      <c r="AO400">
        <v>0.69336005820389901</v>
      </c>
      <c r="AP400">
        <v>14.714023555835899</v>
      </c>
      <c r="AQ400">
        <v>14.714023555835899</v>
      </c>
      <c r="AR400">
        <v>0.69336005820389901</v>
      </c>
      <c r="AS400">
        <v>83.668933659858396</v>
      </c>
      <c r="AT400">
        <v>0.1960643797007372</v>
      </c>
      <c r="AU400">
        <v>0.8</v>
      </c>
      <c r="AV400" t="s">
        <v>93</v>
      </c>
      <c r="AW400">
        <v>7.7658182467612469E-2</v>
      </c>
      <c r="AX400">
        <v>0.43610118647524221</v>
      </c>
      <c r="AY400">
        <v>7.7658182467612469E-2</v>
      </c>
      <c r="AZ400">
        <v>7.7658182467612469E-2</v>
      </c>
      <c r="BA400">
        <v>0.43610118647524221</v>
      </c>
      <c r="BB400">
        <v>0.1120080254630085</v>
      </c>
      <c r="BC400">
        <v>0.18667691340596471</v>
      </c>
      <c r="BD400">
        <v>7.6415245831688974E-2</v>
      </c>
      <c r="BE400">
        <v>0.73523749411506034</v>
      </c>
      <c r="BF400">
        <v>7.6415245831688974E-2</v>
      </c>
      <c r="BG400">
        <v>7.6415245831688974E-2</v>
      </c>
      <c r="BH400">
        <v>0.73523749411506034</v>
      </c>
      <c r="BI400">
        <v>0.1515189594559779</v>
      </c>
      <c r="BJ400">
        <v>0.47501916720907561</v>
      </c>
      <c r="BK400">
        <v>5.7535268406537443E-2</v>
      </c>
      <c r="BL400">
        <v>0.76901409586274472</v>
      </c>
      <c r="BM400">
        <v>5.7535268406537443E-2</v>
      </c>
      <c r="BN400">
        <v>5.7535268406537443E-2</v>
      </c>
      <c r="BO400">
        <v>0.76901409586274472</v>
      </c>
      <c r="BP400">
        <v>0.23072780583241681</v>
      </c>
      <c r="BQ400">
        <v>7.3700839227331061E-2</v>
      </c>
      <c r="BR400">
        <v>58.644485526637929</v>
      </c>
      <c r="BS400">
        <v>0.833087456362547</v>
      </c>
      <c r="BT400">
        <v>58.644485526637929</v>
      </c>
      <c r="BU400">
        <v>58.644485526637929</v>
      </c>
      <c r="BV400">
        <v>0.833087456362547</v>
      </c>
      <c r="BW400">
        <v>334.18147984868148</v>
      </c>
      <c r="BX400">
        <v>4.8860598960574042E-2</v>
      </c>
      <c r="BY400" t="str">
        <f t="shared" si="15"/>
        <v>[[sv,wv],[yr],[ya]]</v>
      </c>
      <c r="BZ400" t="str">
        <f>SUBSTITUTE(TRIM(MID(SUBSTITUTE(SUBSTITUTE(SUBSTITUTE(Tabla1[[#This Row],[map]],"[",""),"]",""),",",REPT(" ",100)),901,200))," ",", ")</f>
        <v>2, 3</v>
      </c>
      <c r="CA400" t="str">
        <f>SUBSTITUTE(TRIM(MID(SUBSTITUTE(SUBSTITUTE(SUBSTITUTE(Tabla1[[#This Row],[map]],"[",""),"]",""),",",REPT(" ",100)),1501,200))," ",", ")</f>
        <v>3, 4</v>
      </c>
      <c r="CB400" t="str">
        <f>SUBSTITUTE(TRIM(MID(SUBSTITUTE(SUBSTITUTE(SUBSTITUTE(Tabla1[[#This Row],[map]],"[",""),"]",""),",",REPT(" ",100)),601,300))," ",", ")</f>
        <v>4, 0, 1</v>
      </c>
      <c r="CC400" t="str">
        <f>SUBSTITUTE(TRIM(MID(SUBSTITUTE(SUBSTITUTE(SUBSTITUTE(Tabla1[[#This Row],[map]],"[",""),"]",""),",",REPT(" ",100)),1201,300))," ",", ")</f>
        <v>0, 1, 2</v>
      </c>
      <c r="CD400" t="str">
        <f>SUBSTITUTE(TRIM(MID(SUBSTITUTE(SUBSTITUTE(SUBSTITUTE(Tabla1[[#This Row],[map]],"[",""),"]",""),",",REPT(" ",100)),1,300))," ",", ")</f>
        <v>4, 2, 3</v>
      </c>
      <c r="CE400" t="str">
        <f>SUBSTITUTE(TRIM(MID(SUBSTITUTE(SUBSTITUTE(SUBSTITUTE(Tabla1[[#This Row],[map]],"[",""),"]",""),",",REPT(" ",100)),1,600))," ",", ")</f>
        <v>4, 2, 3, 0, 1, -1</v>
      </c>
      <c r="CF400" t="str">
        <f>SUBSTITUTE(TRIM(MID(SUBSTITUTE(SUBSTITUTE(SUBSTITUTE(Tabla1[[#This Row],[map]],"[",""),"]",""),",",REPT(" ",100)),601,600))," ",", ")</f>
        <v>4, 0, 1, 2, 3, -1</v>
      </c>
      <c r="CG400" t="str">
        <f>SUBSTITUTE(TRIM(MID(SUBSTITUTE(SUBSTITUTE(SUBSTITUTE(Tabla1[[#This Row],[map]],"[",""),"]",""),",",REPT(" ",100)),1201,600))," ",", ")</f>
        <v>0, 1, 2, 3, 4, -1</v>
      </c>
    </row>
    <row r="401" spans="1:85" x14ac:dyDescent="0.3">
      <c r="A401" s="1">
        <v>46110.384652777779</v>
      </c>
      <c r="B401" t="s">
        <v>639</v>
      </c>
      <c r="C401">
        <v>5</v>
      </c>
      <c r="D401" t="s">
        <v>96</v>
      </c>
      <c r="E401" t="s">
        <v>78</v>
      </c>
      <c r="F401">
        <v>16590</v>
      </c>
      <c r="G401">
        <v>4.5</v>
      </c>
      <c r="H401" t="s">
        <v>79</v>
      </c>
      <c r="I401" t="s">
        <v>80</v>
      </c>
      <c r="J401">
        <v>5</v>
      </c>
      <c r="K401">
        <v>5</v>
      </c>
      <c r="L401" t="s">
        <v>81</v>
      </c>
      <c r="M401" t="s">
        <v>82</v>
      </c>
      <c r="N401" t="s">
        <v>83</v>
      </c>
      <c r="O401" t="s">
        <v>83</v>
      </c>
      <c r="P401" t="s">
        <v>84</v>
      </c>
      <c r="Q401" t="s">
        <v>213</v>
      </c>
      <c r="R401">
        <v>3</v>
      </c>
      <c r="S401" t="s">
        <v>86</v>
      </c>
      <c r="T401" t="s">
        <v>87</v>
      </c>
      <c r="U401" t="s">
        <v>88</v>
      </c>
      <c r="V401">
        <v>1</v>
      </c>
      <c r="W401" t="s">
        <v>214</v>
      </c>
      <c r="X401" t="s">
        <v>83</v>
      </c>
      <c r="Y401" t="s">
        <v>90</v>
      </c>
      <c r="Z401">
        <v>4000</v>
      </c>
      <c r="AA401">
        <v>4000</v>
      </c>
      <c r="AC401">
        <v>256</v>
      </c>
      <c r="AD401" t="s">
        <v>91</v>
      </c>
      <c r="AE401">
        <v>0.15</v>
      </c>
      <c r="AF401" t="s">
        <v>92</v>
      </c>
      <c r="AG401">
        <v>180</v>
      </c>
      <c r="AH401">
        <v>60</v>
      </c>
      <c r="AI401">
        <v>120</v>
      </c>
      <c r="AJ401">
        <v>0.1585818506269886</v>
      </c>
      <c r="AK401">
        <v>43.974742553882059</v>
      </c>
      <c r="AL401">
        <v>0.56172041876514955</v>
      </c>
      <c r="AM401">
        <v>9.0712369038600221E-2</v>
      </c>
      <c r="AN401">
        <v>47.189915815575191</v>
      </c>
      <c r="AO401">
        <v>0.52242034297930662</v>
      </c>
      <c r="AP401">
        <v>47.189915815575191</v>
      </c>
      <c r="AQ401">
        <v>47.189915815575191</v>
      </c>
      <c r="AR401">
        <v>0.52242034297930662</v>
      </c>
      <c r="AS401">
        <v>112.6674077100663</v>
      </c>
      <c r="AT401">
        <v>0.1089898594277018</v>
      </c>
      <c r="AU401">
        <v>0.8</v>
      </c>
      <c r="AV401" t="s">
        <v>93</v>
      </c>
      <c r="AW401">
        <v>6.9955304198295043E-2</v>
      </c>
      <c r="AX401">
        <v>0.49203404221269481</v>
      </c>
      <c r="AY401">
        <v>6.9955304198295043E-2</v>
      </c>
      <c r="AZ401">
        <v>6.9955304198295043E-2</v>
      </c>
      <c r="BA401">
        <v>0.49203404221269481</v>
      </c>
      <c r="BB401">
        <v>0.16151966528986969</v>
      </c>
      <c r="BC401">
        <v>-0.17284160823438</v>
      </c>
      <c r="BD401">
        <v>0.1122559689697616</v>
      </c>
      <c r="BE401">
        <v>0.61105704337535593</v>
      </c>
      <c r="BF401">
        <v>0.1122559689697616</v>
      </c>
      <c r="BG401">
        <v>0.1122559689697616</v>
      </c>
      <c r="BH401">
        <v>0.61105704337535593</v>
      </c>
      <c r="BI401">
        <v>0.13787380698256979</v>
      </c>
      <c r="BJ401">
        <v>0.52229670617033164</v>
      </c>
      <c r="BK401">
        <v>0.1188196282508437</v>
      </c>
      <c r="BL401">
        <v>0.5229767754476109</v>
      </c>
      <c r="BM401">
        <v>0.1188196282508437</v>
      </c>
      <c r="BN401">
        <v>0.1188196282508437</v>
      </c>
      <c r="BO401">
        <v>0.5229767754476109</v>
      </c>
      <c r="BP401">
        <v>0.15744968985878879</v>
      </c>
      <c r="BQ401">
        <v>0.3678892968537818</v>
      </c>
      <c r="BR401">
        <v>188.45863236088181</v>
      </c>
      <c r="BS401">
        <v>0.46361351088156161</v>
      </c>
      <c r="BT401">
        <v>188.45863236088181</v>
      </c>
      <c r="BU401">
        <v>188.45863236088181</v>
      </c>
      <c r="BV401">
        <v>0.46361351088156161</v>
      </c>
      <c r="BW401">
        <v>450.21278767813499</v>
      </c>
      <c r="BX401">
        <v>-0.28138495707891659</v>
      </c>
      <c r="BY401" t="str">
        <f t="shared" si="15"/>
        <v>[[sv,wv],[yr],[ya]]</v>
      </c>
      <c r="BZ401" t="str">
        <f>SUBSTITUTE(TRIM(MID(SUBSTITUTE(SUBSTITUTE(SUBSTITUTE(Tabla1[[#This Row],[map]],"[",""),"]",""),",",REPT(" ",100)),901,200))," ",", ")</f>
        <v>2, 3</v>
      </c>
      <c r="CA401" t="str">
        <f>SUBSTITUTE(TRIM(MID(SUBSTITUTE(SUBSTITUTE(SUBSTITUTE(Tabla1[[#This Row],[map]],"[",""),"]",""),",",REPT(" ",100)),1501,200))," ",", ")</f>
        <v>3, 2</v>
      </c>
      <c r="CB401" t="str">
        <f>SUBSTITUTE(TRIM(MID(SUBSTITUTE(SUBSTITUTE(SUBSTITUTE(Tabla1[[#This Row],[map]],"[",""),"]",""),",",REPT(" ",100)),601,300))," ",", ")</f>
        <v>0, 1, 4</v>
      </c>
      <c r="CC401" t="str">
        <f>SUBSTITUTE(TRIM(MID(SUBSTITUTE(SUBSTITUTE(SUBSTITUTE(Tabla1[[#This Row],[map]],"[",""),"]",""),",",REPT(" ",100)),1201,300))," ",", ")</f>
        <v>4, 0, 1</v>
      </c>
      <c r="CD401" t="str">
        <f>SUBSTITUTE(TRIM(MID(SUBSTITUTE(SUBSTITUTE(SUBSTITUTE(Tabla1[[#This Row],[map]],"[",""),"]",""),",",REPT(" ",100)),1,300))," ",", ")</f>
        <v>4, 2, 3</v>
      </c>
      <c r="CE401" t="str">
        <f>SUBSTITUTE(TRIM(MID(SUBSTITUTE(SUBSTITUTE(SUBSTITUTE(Tabla1[[#This Row],[map]],"[",""),"]",""),",",REPT(" ",100)),1,600))," ",", ")</f>
        <v>4, 2, 3, 0, 1, -1</v>
      </c>
      <c r="CF401" t="str">
        <f>SUBSTITUTE(TRIM(MID(SUBSTITUTE(SUBSTITUTE(SUBSTITUTE(Tabla1[[#This Row],[map]],"[",""),"]",""),",",REPT(" ",100)),601,600))," ",", ")</f>
        <v>0, 1, 4, 2, 3, -1</v>
      </c>
      <c r="CG401" t="str">
        <f>SUBSTITUTE(TRIM(MID(SUBSTITUTE(SUBSTITUTE(SUBSTITUTE(Tabla1[[#This Row],[map]],"[",""),"]",""),",",REPT(" ",100)),1201,600))," ",", ")</f>
        <v>4, 0, 1, 3, 2, -1</v>
      </c>
    </row>
    <row r="402" spans="1:85" x14ac:dyDescent="0.3">
      <c r="A402" s="1">
        <v>46110.438078703701</v>
      </c>
      <c r="B402" t="s">
        <v>640</v>
      </c>
      <c r="C402">
        <v>7</v>
      </c>
      <c r="D402" t="s">
        <v>77</v>
      </c>
      <c r="E402" t="s">
        <v>78</v>
      </c>
      <c r="F402">
        <v>16590</v>
      </c>
      <c r="G402">
        <v>4.5</v>
      </c>
      <c r="H402" t="s">
        <v>79</v>
      </c>
      <c r="I402" t="s">
        <v>80</v>
      </c>
      <c r="J402">
        <v>5</v>
      </c>
      <c r="K402">
        <v>5</v>
      </c>
      <c r="L402" t="s">
        <v>81</v>
      </c>
      <c r="M402" t="s">
        <v>82</v>
      </c>
      <c r="N402" t="s">
        <v>83</v>
      </c>
      <c r="O402" t="s">
        <v>83</v>
      </c>
      <c r="P402" t="s">
        <v>84</v>
      </c>
      <c r="Q402" t="s">
        <v>429</v>
      </c>
      <c r="R402">
        <v>3</v>
      </c>
      <c r="S402" t="s">
        <v>86</v>
      </c>
      <c r="T402" t="s">
        <v>87</v>
      </c>
      <c r="U402" t="s">
        <v>88</v>
      </c>
      <c r="V402">
        <v>1</v>
      </c>
      <c r="W402" t="s">
        <v>430</v>
      </c>
      <c r="X402" t="s">
        <v>83</v>
      </c>
      <c r="Y402" t="s">
        <v>90</v>
      </c>
      <c r="Z402">
        <v>4000</v>
      </c>
      <c r="AA402">
        <v>4000</v>
      </c>
      <c r="AC402">
        <v>256</v>
      </c>
      <c r="AD402" t="s">
        <v>91</v>
      </c>
      <c r="AE402">
        <v>0.15</v>
      </c>
      <c r="AF402" t="s">
        <v>92</v>
      </c>
      <c r="AG402">
        <v>180</v>
      </c>
      <c r="AH402">
        <v>60</v>
      </c>
      <c r="AI402">
        <v>120</v>
      </c>
      <c r="AJ402">
        <v>0.1076778440894104</v>
      </c>
      <c r="AK402">
        <v>13.481161731707671</v>
      </c>
      <c r="AL402">
        <v>0.70712771639677752</v>
      </c>
      <c r="AM402">
        <v>-0.16897494995459739</v>
      </c>
      <c r="AN402">
        <v>18.73918390898293</v>
      </c>
      <c r="AO402">
        <v>0.65652746574511112</v>
      </c>
      <c r="AP402">
        <v>18.73918390898293</v>
      </c>
      <c r="AQ402">
        <v>18.73918390898293</v>
      </c>
      <c r="AR402">
        <v>0.65652746574511112</v>
      </c>
      <c r="AS402">
        <v>126.79186688972889</v>
      </c>
      <c r="AT402">
        <v>-0.16001171736206921</v>
      </c>
      <c r="AU402">
        <v>0.8</v>
      </c>
      <c r="AV402" t="s">
        <v>93</v>
      </c>
      <c r="AW402">
        <v>0.10945663720504489</v>
      </c>
      <c r="AX402">
        <v>0.20520329099800649</v>
      </c>
      <c r="AY402">
        <v>0.10945663720504489</v>
      </c>
      <c r="AZ402">
        <v>0.10945663720504489</v>
      </c>
      <c r="BA402">
        <v>0.20520329099800649</v>
      </c>
      <c r="BB402">
        <v>0.13674339031425639</v>
      </c>
      <c r="BC402">
        <v>7.0661827847858794E-3</v>
      </c>
      <c r="BD402">
        <v>7.2156876002489018E-2</v>
      </c>
      <c r="BE402">
        <v>0.74999183606204722</v>
      </c>
      <c r="BF402">
        <v>7.2156876002489018E-2</v>
      </c>
      <c r="BG402">
        <v>7.2156876002489018E-2</v>
      </c>
      <c r="BH402">
        <v>0.74999183606204722</v>
      </c>
      <c r="BI402">
        <v>0.28324089290999771</v>
      </c>
      <c r="BJ402">
        <v>1.8630801226314331E-2</v>
      </c>
      <c r="BK402">
        <v>2.8979759163902941E-2</v>
      </c>
      <c r="BL402">
        <v>0.88365543330995511</v>
      </c>
      <c r="BM402">
        <v>2.8979759163902941E-2</v>
      </c>
      <c r="BN402">
        <v>2.8979759163902941E-2</v>
      </c>
      <c r="BO402">
        <v>0.88365543330995511</v>
      </c>
      <c r="BP402">
        <v>0.30496030313823008</v>
      </c>
      <c r="BQ402">
        <v>-0.22431915757521059</v>
      </c>
      <c r="BR402">
        <v>74.746142363560324</v>
      </c>
      <c r="BS402">
        <v>0.78725930261043775</v>
      </c>
      <c r="BT402">
        <v>74.746142363560324</v>
      </c>
      <c r="BU402">
        <v>74.746142363560324</v>
      </c>
      <c r="BV402">
        <v>0.78725930261043775</v>
      </c>
      <c r="BW402">
        <v>506.44252297255258</v>
      </c>
      <c r="BX402">
        <v>-0.44142469588417521</v>
      </c>
      <c r="BY402" t="str">
        <f t="shared" si="15"/>
        <v>[[sv,wv],[yr],[ya]]</v>
      </c>
      <c r="BZ402" t="str">
        <f>SUBSTITUTE(TRIM(MID(SUBSTITUTE(SUBSTITUTE(SUBSTITUTE(Tabla1[[#This Row],[map]],"[",""),"]",""),",",REPT(" ",100)),901,200))," ",", ")</f>
        <v>2, 4</v>
      </c>
      <c r="CA402" t="str">
        <f>SUBSTITUTE(TRIM(MID(SUBSTITUTE(SUBSTITUTE(SUBSTITUTE(Tabla1[[#This Row],[map]],"[",""),"]",""),",",REPT(" ",100)),1501,200))," ",", ")</f>
        <v>3, 4</v>
      </c>
      <c r="CB402" t="str">
        <f>SUBSTITUTE(TRIM(MID(SUBSTITUTE(SUBSTITUTE(SUBSTITUTE(Tabla1[[#This Row],[map]],"[",""),"]",""),",",REPT(" ",100)),601,300))," ",", ")</f>
        <v>1, 3, 0</v>
      </c>
      <c r="CC402" t="str">
        <f>SUBSTITUTE(TRIM(MID(SUBSTITUTE(SUBSTITUTE(SUBSTITUTE(Tabla1[[#This Row],[map]],"[",""),"]",""),",",REPT(" ",100)),1201,300))," ",", ")</f>
        <v>0, 1, 2</v>
      </c>
      <c r="CD402" t="str">
        <f>SUBSTITUTE(TRIM(MID(SUBSTITUTE(SUBSTITUTE(SUBSTITUTE(Tabla1[[#This Row],[map]],"[",""),"]",""),",",REPT(" ",100)),1,300))," ",", ")</f>
        <v>2, 3, 4</v>
      </c>
      <c r="CE402" t="str">
        <f>SUBSTITUTE(TRIM(MID(SUBSTITUTE(SUBSTITUTE(SUBSTITUTE(Tabla1[[#This Row],[map]],"[",""),"]",""),",",REPT(" ",100)),1,600))," ",", ")</f>
        <v>2, 3, 4, 0, 1, -1</v>
      </c>
      <c r="CF402" t="str">
        <f>SUBSTITUTE(TRIM(MID(SUBSTITUTE(SUBSTITUTE(SUBSTITUTE(Tabla1[[#This Row],[map]],"[",""),"]",""),",",REPT(" ",100)),601,600))," ",", ")</f>
        <v>1, 3, 0, 2, 4, -1</v>
      </c>
      <c r="CG402" t="str">
        <f>SUBSTITUTE(TRIM(MID(SUBSTITUTE(SUBSTITUTE(SUBSTITUTE(Tabla1[[#This Row],[map]],"[",""),"]",""),",",REPT(" ",100)),1201,600))," ",", ")</f>
        <v>0, 1, 2, 3, 4, -1</v>
      </c>
    </row>
    <row r="403" spans="1:85" x14ac:dyDescent="0.3">
      <c r="A403" s="1">
        <v>46110.462962962964</v>
      </c>
      <c r="B403" t="s">
        <v>641</v>
      </c>
      <c r="C403">
        <v>8</v>
      </c>
      <c r="D403" t="s">
        <v>96</v>
      </c>
      <c r="E403" t="s">
        <v>78</v>
      </c>
      <c r="F403">
        <v>16590</v>
      </c>
      <c r="G403">
        <v>4.5</v>
      </c>
      <c r="H403" t="s">
        <v>79</v>
      </c>
      <c r="I403" t="s">
        <v>80</v>
      </c>
      <c r="J403">
        <v>5</v>
      </c>
      <c r="K403">
        <v>5</v>
      </c>
      <c r="L403" t="s">
        <v>81</v>
      </c>
      <c r="M403" t="s">
        <v>82</v>
      </c>
      <c r="N403" t="s">
        <v>83</v>
      </c>
      <c r="O403" t="s">
        <v>83</v>
      </c>
      <c r="P403" t="s">
        <v>84</v>
      </c>
      <c r="Q403" t="s">
        <v>422</v>
      </c>
      <c r="R403">
        <v>3</v>
      </c>
      <c r="S403" t="s">
        <v>86</v>
      </c>
      <c r="T403" t="s">
        <v>87</v>
      </c>
      <c r="U403" t="s">
        <v>88</v>
      </c>
      <c r="V403">
        <v>1</v>
      </c>
      <c r="W403" t="s">
        <v>423</v>
      </c>
      <c r="X403" t="s">
        <v>83</v>
      </c>
      <c r="Y403" t="s">
        <v>90</v>
      </c>
      <c r="Z403">
        <v>4000</v>
      </c>
      <c r="AA403">
        <v>4000</v>
      </c>
      <c r="AC403">
        <v>256</v>
      </c>
      <c r="AD403" t="s">
        <v>91</v>
      </c>
      <c r="AE403">
        <v>0.15</v>
      </c>
      <c r="AF403" t="s">
        <v>92</v>
      </c>
      <c r="AG403">
        <v>180</v>
      </c>
      <c r="AH403">
        <v>60</v>
      </c>
      <c r="AI403">
        <v>120</v>
      </c>
      <c r="AJ403">
        <v>9.0592031450401803E-2</v>
      </c>
      <c r="AK403">
        <v>10.743058387856451</v>
      </c>
      <c r="AL403">
        <v>0.76826080050540302</v>
      </c>
      <c r="AM403">
        <v>-1.003487495967692E-2</v>
      </c>
      <c r="AN403">
        <v>13.51957706277223</v>
      </c>
      <c r="AO403">
        <v>0.71049702290001338</v>
      </c>
      <c r="AP403">
        <v>13.51957706277223</v>
      </c>
      <c r="AQ403">
        <v>13.51957706277223</v>
      </c>
      <c r="AR403">
        <v>0.71049702290001338</v>
      </c>
      <c r="AS403">
        <v>125.0714916063781</v>
      </c>
      <c r="AT403">
        <v>-7.5622352696549933E-3</v>
      </c>
      <c r="AU403">
        <v>0.8</v>
      </c>
      <c r="AV403" t="s">
        <v>93</v>
      </c>
      <c r="AW403">
        <v>8.7574675917987593E-2</v>
      </c>
      <c r="AX403">
        <v>0.36409462241066748</v>
      </c>
      <c r="AY403">
        <v>8.7574675917987593E-2</v>
      </c>
      <c r="AZ403">
        <v>8.7574675917987593E-2</v>
      </c>
      <c r="BA403">
        <v>0.36409462241066748</v>
      </c>
      <c r="BB403">
        <v>0.14345450816001301</v>
      </c>
      <c r="BC403">
        <v>-4.1665209972510109E-2</v>
      </c>
      <c r="BD403">
        <v>5.8051270243374593E-2</v>
      </c>
      <c r="BE403">
        <v>0.79886474731373669</v>
      </c>
      <c r="BF403">
        <v>5.8051270243374593E-2</v>
      </c>
      <c r="BG403">
        <v>5.8051270243374593E-2</v>
      </c>
      <c r="BH403">
        <v>0.79886474731373669</v>
      </c>
      <c r="BI403">
        <v>0.1960537335464573</v>
      </c>
      <c r="BJ403">
        <v>0.32071568681216672</v>
      </c>
      <c r="BK403">
        <v>4.1743803466661893E-2</v>
      </c>
      <c r="BL403">
        <v>0.83241183272590435</v>
      </c>
      <c r="BM403">
        <v>4.1743803466661893E-2</v>
      </c>
      <c r="BN403">
        <v>4.1743803466661893E-2</v>
      </c>
      <c r="BO403">
        <v>0.83241183272590435</v>
      </c>
      <c r="BP403">
        <v>0.22093708001058501</v>
      </c>
      <c r="BQ403">
        <v>0.11300750657675861</v>
      </c>
      <c r="BR403">
        <v>53.890938501460688</v>
      </c>
      <c r="BS403">
        <v>0.84661688914974709</v>
      </c>
      <c r="BT403">
        <v>53.890938501460688</v>
      </c>
      <c r="BU403">
        <v>53.890938501460688</v>
      </c>
      <c r="BV403">
        <v>0.84661688914974709</v>
      </c>
      <c r="BW403">
        <v>499.72552110379331</v>
      </c>
      <c r="BX403">
        <v>-0.42230692449503282</v>
      </c>
      <c r="BY403" t="str">
        <f t="shared" si="15"/>
        <v>[[sv,wv],[yr],[ya]]</v>
      </c>
      <c r="BZ403" t="str">
        <f>SUBSTITUTE(TRIM(MID(SUBSTITUTE(SUBSTITUTE(SUBSTITUTE(Tabla1[[#This Row],[map]],"[",""),"]",""),",",REPT(" ",100)),901,200))," ",", ")</f>
        <v>2, 4</v>
      </c>
      <c r="CA403" t="str">
        <f>SUBSTITUTE(TRIM(MID(SUBSTITUTE(SUBSTITUTE(SUBSTITUTE(Tabla1[[#This Row],[map]],"[",""),"]",""),",",REPT(" ",100)),1501,200))," ",", ")</f>
        <v>3, 2</v>
      </c>
      <c r="CB403" t="str">
        <f>SUBSTITUTE(TRIM(MID(SUBSTITUTE(SUBSTITUTE(SUBSTITUTE(Tabla1[[#This Row],[map]],"[",""),"]",""),",",REPT(" ",100)),601,300))," ",", ")</f>
        <v>1, 3, 0</v>
      </c>
      <c r="CC403" t="str">
        <f>SUBSTITUTE(TRIM(MID(SUBSTITUTE(SUBSTITUTE(SUBSTITUTE(Tabla1[[#This Row],[map]],"[",""),"]",""),",",REPT(" ",100)),1201,300))," ",", ")</f>
        <v>1, 4, 0</v>
      </c>
      <c r="CD403" t="str">
        <f>SUBSTITUTE(TRIM(MID(SUBSTITUTE(SUBSTITUTE(SUBSTITUTE(Tabla1[[#This Row],[map]],"[",""),"]",""),",",REPT(" ",100)),1,300))," ",", ")</f>
        <v>2, 3, 4</v>
      </c>
      <c r="CE403" t="str">
        <f>SUBSTITUTE(TRIM(MID(SUBSTITUTE(SUBSTITUTE(SUBSTITUTE(Tabla1[[#This Row],[map]],"[",""),"]",""),",",REPT(" ",100)),1,600))," ",", ")</f>
        <v>2, 3, 4, 0, 1, -1</v>
      </c>
      <c r="CF403" t="str">
        <f>SUBSTITUTE(TRIM(MID(SUBSTITUTE(SUBSTITUTE(SUBSTITUTE(Tabla1[[#This Row],[map]],"[",""),"]",""),",",REPT(" ",100)),601,600))," ",", ")</f>
        <v>1, 3, 0, 2, 4, -1</v>
      </c>
      <c r="CG403" t="str">
        <f>SUBSTITUTE(TRIM(MID(SUBSTITUTE(SUBSTITUTE(SUBSTITUTE(Tabla1[[#This Row],[map]],"[",""),"]",""),",",REPT(" ",100)),1201,600))," ",", ")</f>
        <v>1, 4, 0, 3, 2, -1</v>
      </c>
    </row>
    <row r="404" spans="1:85" x14ac:dyDescent="0.3">
      <c r="A404" s="1">
        <v>46110.473912037043</v>
      </c>
      <c r="B404" t="s">
        <v>642</v>
      </c>
      <c r="C404">
        <v>5</v>
      </c>
      <c r="D404" t="s">
        <v>96</v>
      </c>
      <c r="E404" t="s">
        <v>78</v>
      </c>
      <c r="F404">
        <v>16590</v>
      </c>
      <c r="G404">
        <v>4.5</v>
      </c>
      <c r="H404" t="s">
        <v>79</v>
      </c>
      <c r="I404" t="s">
        <v>80</v>
      </c>
      <c r="J404">
        <v>5</v>
      </c>
      <c r="K404">
        <v>5</v>
      </c>
      <c r="L404" t="s">
        <v>81</v>
      </c>
      <c r="M404" t="s">
        <v>82</v>
      </c>
      <c r="N404" t="s">
        <v>83</v>
      </c>
      <c r="O404" t="s">
        <v>83</v>
      </c>
      <c r="P404" t="s">
        <v>84</v>
      </c>
      <c r="Q404" t="s">
        <v>533</v>
      </c>
      <c r="R404">
        <v>3</v>
      </c>
      <c r="S404" t="s">
        <v>86</v>
      </c>
      <c r="T404" t="s">
        <v>87</v>
      </c>
      <c r="U404" t="s">
        <v>88</v>
      </c>
      <c r="V404">
        <v>1</v>
      </c>
      <c r="W404" t="s">
        <v>534</v>
      </c>
      <c r="X404" t="s">
        <v>83</v>
      </c>
      <c r="Y404" t="s">
        <v>90</v>
      </c>
      <c r="Z404">
        <v>4000</v>
      </c>
      <c r="AA404">
        <v>4000</v>
      </c>
      <c r="AC404">
        <v>256</v>
      </c>
      <c r="AD404" t="s">
        <v>91</v>
      </c>
      <c r="AE404">
        <v>0.15</v>
      </c>
      <c r="AF404" t="s">
        <v>92</v>
      </c>
      <c r="AG404">
        <v>180</v>
      </c>
      <c r="AH404">
        <v>60</v>
      </c>
      <c r="AI404">
        <v>120</v>
      </c>
      <c r="AJ404">
        <v>0.12703955923609939</v>
      </c>
      <c r="AK404">
        <v>29.085398777299488</v>
      </c>
      <c r="AL404">
        <v>0.66339064298637207</v>
      </c>
      <c r="AM404">
        <v>7.6957607402048933E-2</v>
      </c>
      <c r="AN404">
        <v>32.42313309042963</v>
      </c>
      <c r="AO404">
        <v>0.63179875399233887</v>
      </c>
      <c r="AP404">
        <v>32.42313309042963</v>
      </c>
      <c r="AQ404">
        <v>32.42313309042963</v>
      </c>
      <c r="AR404">
        <v>0.63179875399233887</v>
      </c>
      <c r="AS404">
        <v>82.642611463972898</v>
      </c>
      <c r="AT404">
        <v>8.6440540350058354E-2</v>
      </c>
      <c r="AU404">
        <v>0.8</v>
      </c>
      <c r="AV404" t="s">
        <v>93</v>
      </c>
      <c r="AW404">
        <v>8.1726787476048113E-2</v>
      </c>
      <c r="AX404">
        <v>0.40655785357642521</v>
      </c>
      <c r="AY404">
        <v>8.1726787476048113E-2</v>
      </c>
      <c r="AZ404">
        <v>8.1726787476048113E-2</v>
      </c>
      <c r="BA404">
        <v>0.40655785357642521</v>
      </c>
      <c r="BB404">
        <v>0.16884582618565011</v>
      </c>
      <c r="BC404">
        <v>-0.22603900876000971</v>
      </c>
      <c r="BD404">
        <v>0.10503798018682201</v>
      </c>
      <c r="BE404">
        <v>0.63606583287568319</v>
      </c>
      <c r="BF404">
        <v>0.10503798018682201</v>
      </c>
      <c r="BG404">
        <v>0.10503798018682201</v>
      </c>
      <c r="BH404">
        <v>0.63606583287568319</v>
      </c>
      <c r="BI404">
        <v>9.963095046159573E-2</v>
      </c>
      <c r="BJ404">
        <v>0.65480003602931103</v>
      </c>
      <c r="BK404">
        <v>3.6599793955233037E-2</v>
      </c>
      <c r="BL404">
        <v>0.85306340385428414</v>
      </c>
      <c r="BM404">
        <v>3.6599793955233037E-2</v>
      </c>
      <c r="BN404">
        <v>3.6599793955233037E-2</v>
      </c>
      <c r="BO404">
        <v>0.85306340385428414</v>
      </c>
      <c r="BP404">
        <v>0.28488223417408221</v>
      </c>
      <c r="BQ404">
        <v>-0.14371206141561529</v>
      </c>
      <c r="BR404">
        <v>129.46916780010039</v>
      </c>
      <c r="BS404">
        <v>0.63150792566296576</v>
      </c>
      <c r="BT404">
        <v>129.46916780010039</v>
      </c>
      <c r="BU404">
        <v>129.46916780010039</v>
      </c>
      <c r="BV404">
        <v>0.63150792566296576</v>
      </c>
      <c r="BW404">
        <v>330.0170868450702</v>
      </c>
      <c r="BX404">
        <v>6.07131955465402E-2</v>
      </c>
      <c r="BY404" t="str">
        <f t="shared" si="15"/>
        <v>[[sv,wv],[yr],[ya]]</v>
      </c>
      <c r="BZ404" t="str">
        <f>SUBSTITUTE(TRIM(MID(SUBSTITUTE(SUBSTITUTE(SUBSTITUTE(Tabla1[[#This Row],[map]],"[",""),"]",""),",",REPT(" ",100)),901,200))," ",", ")</f>
        <v>2, 4</v>
      </c>
      <c r="CA404" t="str">
        <f>SUBSTITUTE(TRIM(MID(SUBSTITUTE(SUBSTITUTE(SUBSTITUTE(Tabla1[[#This Row],[map]],"[",""),"]",""),",",REPT(" ",100)),1501,200))," ",", ")</f>
        <v>3, 4</v>
      </c>
      <c r="CB404" t="str">
        <f>SUBSTITUTE(TRIM(MID(SUBSTITUTE(SUBSTITUTE(SUBSTITUTE(Tabla1[[#This Row],[map]],"[",""),"]",""),",",REPT(" ",100)),601,300))," ",", ")</f>
        <v>1, 3, 0</v>
      </c>
      <c r="CC404" t="str">
        <f>SUBSTITUTE(TRIM(MID(SUBSTITUTE(SUBSTITUTE(SUBSTITUTE(Tabla1[[#This Row],[map]],"[",""),"]",""),",",REPT(" ",100)),1201,300))," ",", ")</f>
        <v>1, 2, 0</v>
      </c>
      <c r="CD404" t="str">
        <f>SUBSTITUTE(TRIM(MID(SUBSTITUTE(SUBSTITUTE(SUBSTITUTE(Tabla1[[#This Row],[map]],"[",""),"]",""),",",REPT(" ",100)),1,300))," ",", ")</f>
        <v>4, 2, 3</v>
      </c>
      <c r="CE404" t="str">
        <f>SUBSTITUTE(TRIM(MID(SUBSTITUTE(SUBSTITUTE(SUBSTITUTE(Tabla1[[#This Row],[map]],"[",""),"]",""),",",REPT(" ",100)),1,600))," ",", ")</f>
        <v>4, 2, 3, 0, 1, -1</v>
      </c>
      <c r="CF404" t="str">
        <f>SUBSTITUTE(TRIM(MID(SUBSTITUTE(SUBSTITUTE(SUBSTITUTE(Tabla1[[#This Row],[map]],"[",""),"]",""),",",REPT(" ",100)),601,600))," ",", ")</f>
        <v>1, 3, 0, 2, 4, -1</v>
      </c>
      <c r="CG404" t="str">
        <f>SUBSTITUTE(TRIM(MID(SUBSTITUTE(SUBSTITUTE(SUBSTITUTE(Tabla1[[#This Row],[map]],"[",""),"]",""),",",REPT(" ",100)),1201,600))," ",", ")</f>
        <v>1, 2, 0, 3, 4, -1</v>
      </c>
    </row>
    <row r="405" spans="1:85" x14ac:dyDescent="0.3">
      <c r="A405" s="1">
        <v>46110.475034722222</v>
      </c>
      <c r="B405" t="s">
        <v>643</v>
      </c>
      <c r="C405">
        <v>6</v>
      </c>
      <c r="D405" t="s">
        <v>77</v>
      </c>
      <c r="E405" t="s">
        <v>78</v>
      </c>
      <c r="F405">
        <v>16590</v>
      </c>
      <c r="G405">
        <v>4.5</v>
      </c>
      <c r="H405" t="s">
        <v>79</v>
      </c>
      <c r="I405" t="s">
        <v>80</v>
      </c>
      <c r="J405">
        <v>5</v>
      </c>
      <c r="K405">
        <v>5</v>
      </c>
      <c r="L405" t="s">
        <v>81</v>
      </c>
      <c r="M405" t="s">
        <v>82</v>
      </c>
      <c r="N405" t="s">
        <v>83</v>
      </c>
      <c r="O405" t="s">
        <v>83</v>
      </c>
      <c r="P405" t="s">
        <v>84</v>
      </c>
      <c r="Q405" t="s">
        <v>441</v>
      </c>
      <c r="R405">
        <v>3</v>
      </c>
      <c r="S405" t="s">
        <v>86</v>
      </c>
      <c r="T405" t="s">
        <v>87</v>
      </c>
      <c r="U405" t="s">
        <v>88</v>
      </c>
      <c r="V405">
        <v>1</v>
      </c>
      <c r="W405" t="s">
        <v>442</v>
      </c>
      <c r="X405" t="s">
        <v>83</v>
      </c>
      <c r="Y405" t="s">
        <v>90</v>
      </c>
      <c r="Z405">
        <v>4000</v>
      </c>
      <c r="AA405">
        <v>4000</v>
      </c>
      <c r="AC405">
        <v>256</v>
      </c>
      <c r="AD405" t="s">
        <v>91</v>
      </c>
      <c r="AE405">
        <v>0.15</v>
      </c>
      <c r="AF405" t="s">
        <v>92</v>
      </c>
      <c r="AG405">
        <v>180</v>
      </c>
      <c r="AH405">
        <v>60</v>
      </c>
      <c r="AI405">
        <v>120</v>
      </c>
      <c r="AJ405">
        <v>0.1095268455695315</v>
      </c>
      <c r="AK405">
        <v>13.828086775108471</v>
      </c>
      <c r="AL405">
        <v>0.72147868133697313</v>
      </c>
      <c r="AM405">
        <v>0.1488817577213862</v>
      </c>
      <c r="AN405">
        <v>20.56749380214891</v>
      </c>
      <c r="AO405">
        <v>0.67146893905878258</v>
      </c>
      <c r="AP405">
        <v>20.56749380214891</v>
      </c>
      <c r="AQ405">
        <v>20.56749380214891</v>
      </c>
      <c r="AR405">
        <v>0.67146893905878258</v>
      </c>
      <c r="AS405">
        <v>92.035974201515884</v>
      </c>
      <c r="AT405">
        <v>0.13170799483943241</v>
      </c>
      <c r="AU405">
        <v>0.8</v>
      </c>
      <c r="AV405" t="s">
        <v>93</v>
      </c>
      <c r="AW405">
        <v>8.2623134016029512E-2</v>
      </c>
      <c r="AX405">
        <v>0.4000492187572503</v>
      </c>
      <c r="AY405">
        <v>8.2623134016029512E-2</v>
      </c>
      <c r="AZ405">
        <v>8.2623134016029512E-2</v>
      </c>
      <c r="BA405">
        <v>0.4000492187572503</v>
      </c>
      <c r="BB405">
        <v>0.1716975211379384</v>
      </c>
      <c r="BC405">
        <v>-0.24674600123695331</v>
      </c>
      <c r="BD405">
        <v>9.6127916229679408E-2</v>
      </c>
      <c r="BE405">
        <v>0.66693730145780583</v>
      </c>
      <c r="BF405">
        <v>9.6127916229679408E-2</v>
      </c>
      <c r="BG405">
        <v>9.6127916229679408E-2</v>
      </c>
      <c r="BH405">
        <v>0.66693730145780583</v>
      </c>
      <c r="BI405">
        <v>0.1319330134698147</v>
      </c>
      <c r="BJ405">
        <v>0.54288028684540335</v>
      </c>
      <c r="BK405">
        <v>3.6757388157459527E-2</v>
      </c>
      <c r="BL405">
        <v>0.8524307129796912</v>
      </c>
      <c r="BM405">
        <v>3.6757388157459527E-2</v>
      </c>
      <c r="BN405">
        <v>3.6757388157459527E-2</v>
      </c>
      <c r="BO405">
        <v>0.8524307129796912</v>
      </c>
      <c r="BP405">
        <v>0.1800581558364098</v>
      </c>
      <c r="BQ405">
        <v>0.27712345705448799</v>
      </c>
      <c r="BR405">
        <v>82.054466770192704</v>
      </c>
      <c r="BS405">
        <v>0.76645852304038598</v>
      </c>
      <c r="BT405">
        <v>82.054466770192704</v>
      </c>
      <c r="BU405">
        <v>82.054466770192704</v>
      </c>
      <c r="BV405">
        <v>0.76645852304038598</v>
      </c>
      <c r="BW405">
        <v>367.66020811562078</v>
      </c>
      <c r="BX405">
        <v>-4.6425763305213419E-2</v>
      </c>
      <c r="BY405" t="str">
        <f t="shared" si="15"/>
        <v>[[sv,wv],[yr],[ya]]</v>
      </c>
      <c r="BZ405" t="str">
        <f>SUBSTITUTE(TRIM(MID(SUBSTITUTE(SUBSTITUTE(SUBSTITUTE(Tabla1[[#This Row],[map]],"[",""),"]",""),",",REPT(" ",100)),901,200))," ",", ")</f>
        <v>2, 3</v>
      </c>
      <c r="CA405" t="str">
        <f>SUBSTITUTE(TRIM(MID(SUBSTITUTE(SUBSTITUTE(SUBSTITUTE(Tabla1[[#This Row],[map]],"[",""),"]",""),",",REPT(" ",100)),1501,200))," ",", ")</f>
        <v>3, 2</v>
      </c>
      <c r="CB405" t="str">
        <f>SUBSTITUTE(TRIM(MID(SUBSTITUTE(SUBSTITUTE(SUBSTITUTE(Tabla1[[#This Row],[map]],"[",""),"]",""),",",REPT(" ",100)),601,300))," ",", ")</f>
        <v>1, 4, 0</v>
      </c>
      <c r="CC405" t="str">
        <f>SUBSTITUTE(TRIM(MID(SUBSTITUTE(SUBSTITUTE(SUBSTITUTE(Tabla1[[#This Row],[map]],"[",""),"]",""),",",REPT(" ",100)),1201,300))," ",", ")</f>
        <v>0, 1, 4</v>
      </c>
      <c r="CD405" t="str">
        <f>SUBSTITUTE(TRIM(MID(SUBSTITUTE(SUBSTITUTE(SUBSTITUTE(Tabla1[[#This Row],[map]],"[",""),"]",""),",",REPT(" ",100)),1,300))," ",", ")</f>
        <v>4, 2, 3</v>
      </c>
      <c r="CE405" t="str">
        <f>SUBSTITUTE(TRIM(MID(SUBSTITUTE(SUBSTITUTE(SUBSTITUTE(Tabla1[[#This Row],[map]],"[",""),"]",""),",",REPT(" ",100)),1,600))," ",", ")</f>
        <v>4, 2, 3, 0, 1, -1</v>
      </c>
      <c r="CF405" t="str">
        <f>SUBSTITUTE(TRIM(MID(SUBSTITUTE(SUBSTITUTE(SUBSTITUTE(Tabla1[[#This Row],[map]],"[",""),"]",""),",",REPT(" ",100)),601,600))," ",", ")</f>
        <v>1, 4, 0, 2, 3, -1</v>
      </c>
      <c r="CG405" t="str">
        <f>SUBSTITUTE(TRIM(MID(SUBSTITUTE(SUBSTITUTE(SUBSTITUTE(Tabla1[[#This Row],[map]],"[",""),"]",""),",",REPT(" ",100)),1201,600))," ",", ")</f>
        <v>0, 1, 4, 3, 2, -1</v>
      </c>
    </row>
    <row r="406" spans="1:85" x14ac:dyDescent="0.3">
      <c r="A406" s="1">
        <v>46110.485856481479</v>
      </c>
      <c r="B406" t="s">
        <v>644</v>
      </c>
      <c r="C406">
        <v>9</v>
      </c>
      <c r="D406" t="s">
        <v>77</v>
      </c>
      <c r="E406" t="s">
        <v>78</v>
      </c>
      <c r="F406">
        <v>16590</v>
      </c>
      <c r="G406">
        <v>4.5</v>
      </c>
      <c r="H406" t="s">
        <v>79</v>
      </c>
      <c r="I406" t="s">
        <v>80</v>
      </c>
      <c r="J406">
        <v>5</v>
      </c>
      <c r="K406">
        <v>5</v>
      </c>
      <c r="L406" t="s">
        <v>81</v>
      </c>
      <c r="M406" t="s">
        <v>82</v>
      </c>
      <c r="N406" t="s">
        <v>83</v>
      </c>
      <c r="O406" t="s">
        <v>83</v>
      </c>
      <c r="P406" t="s">
        <v>84</v>
      </c>
      <c r="Q406" t="s">
        <v>422</v>
      </c>
      <c r="R406">
        <v>3</v>
      </c>
      <c r="S406" t="s">
        <v>86</v>
      </c>
      <c r="T406" t="s">
        <v>87</v>
      </c>
      <c r="U406" t="s">
        <v>88</v>
      </c>
      <c r="V406">
        <v>1</v>
      </c>
      <c r="W406" t="s">
        <v>423</v>
      </c>
      <c r="X406" t="s">
        <v>83</v>
      </c>
      <c r="Y406" t="s">
        <v>90</v>
      </c>
      <c r="Z406">
        <v>4000</v>
      </c>
      <c r="AA406">
        <v>4000</v>
      </c>
      <c r="AC406">
        <v>256</v>
      </c>
      <c r="AD406" t="s">
        <v>91</v>
      </c>
      <c r="AE406">
        <v>0.15</v>
      </c>
      <c r="AF406" t="s">
        <v>92</v>
      </c>
      <c r="AG406">
        <v>180</v>
      </c>
      <c r="AH406">
        <v>60</v>
      </c>
      <c r="AI406">
        <v>120</v>
      </c>
      <c r="AJ406">
        <v>0.10477289094203091</v>
      </c>
      <c r="AK406">
        <v>17.27996749192544</v>
      </c>
      <c r="AL406">
        <v>0.80970995238068277</v>
      </c>
      <c r="AM406">
        <v>-0.31328126969420428</v>
      </c>
      <c r="AN406">
        <v>22.323909074595271</v>
      </c>
      <c r="AO406">
        <v>0.75872614068036537</v>
      </c>
      <c r="AP406">
        <v>22.323909074595271</v>
      </c>
      <c r="AQ406">
        <v>22.323909074595271</v>
      </c>
      <c r="AR406">
        <v>0.75872614068036537</v>
      </c>
      <c r="AS406">
        <v>151.6275754140822</v>
      </c>
      <c r="AT406">
        <v>-0.24200550278037111</v>
      </c>
      <c r="AU406">
        <v>0.8</v>
      </c>
      <c r="AV406" t="s">
        <v>93</v>
      </c>
      <c r="AW406">
        <v>5.4709019144196687E-2</v>
      </c>
      <c r="AX406">
        <v>0.60274178451984772</v>
      </c>
      <c r="AY406">
        <v>5.4709019144196687E-2</v>
      </c>
      <c r="AZ406">
        <v>5.4709019144196687E-2</v>
      </c>
      <c r="BA406">
        <v>0.60274178451984772</v>
      </c>
      <c r="BB406">
        <v>0.15190681816383869</v>
      </c>
      <c r="BC406">
        <v>-0.1030399090866503</v>
      </c>
      <c r="BD406">
        <v>5.0185327413543562E-2</v>
      </c>
      <c r="BE406">
        <v>0.8261185591952146</v>
      </c>
      <c r="BF406">
        <v>5.0185327413543562E-2</v>
      </c>
      <c r="BG406">
        <v>5.0185327413543562E-2</v>
      </c>
      <c r="BH406">
        <v>0.8261185591952146</v>
      </c>
      <c r="BI406">
        <v>0.36702969744341318</v>
      </c>
      <c r="BJ406">
        <v>-0.27167951070061358</v>
      </c>
      <c r="BK406">
        <v>3.4922452897260148E-2</v>
      </c>
      <c r="BL406">
        <v>0.8597973976558736</v>
      </c>
      <c r="BM406">
        <v>3.4922452897260148E-2</v>
      </c>
      <c r="BN406">
        <v>3.4922452897260148E-2</v>
      </c>
      <c r="BO406">
        <v>0.8597973976558736</v>
      </c>
      <c r="BP406">
        <v>0.21649539331607701</v>
      </c>
      <c r="BQ406">
        <v>0.13083947374124591</v>
      </c>
      <c r="BR406">
        <v>89.15581949892622</v>
      </c>
      <c r="BS406">
        <v>0.74624682135052667</v>
      </c>
      <c r="BT406">
        <v>89.15581949892622</v>
      </c>
      <c r="BU406">
        <v>89.15581949892622</v>
      </c>
      <c r="BV406">
        <v>0.74624682135052667</v>
      </c>
      <c r="BW406">
        <v>605.77486974740486</v>
      </c>
      <c r="BX406">
        <v>-0.72414206507547196</v>
      </c>
      <c r="BY406" t="str">
        <f t="shared" si="15"/>
        <v>[[sv,wv],[yr],[ya]]</v>
      </c>
      <c r="BZ406" t="str">
        <f>SUBSTITUTE(TRIM(MID(SUBSTITUTE(SUBSTITUTE(SUBSTITUTE(Tabla1[[#This Row],[map]],"[",""),"]",""),",",REPT(" ",100)),901,200))," ",", ")</f>
        <v>2, 4</v>
      </c>
      <c r="CA406" t="str">
        <f>SUBSTITUTE(TRIM(MID(SUBSTITUTE(SUBSTITUTE(SUBSTITUTE(Tabla1[[#This Row],[map]],"[",""),"]",""),",",REPT(" ",100)),1501,200))," ",", ")</f>
        <v>3, 2</v>
      </c>
      <c r="CB406" t="str">
        <f>SUBSTITUTE(TRIM(MID(SUBSTITUTE(SUBSTITUTE(SUBSTITUTE(Tabla1[[#This Row],[map]],"[",""),"]",""),",",REPT(" ",100)),601,300))," ",", ")</f>
        <v>1, 3, 0</v>
      </c>
      <c r="CC406" t="str">
        <f>SUBSTITUTE(TRIM(MID(SUBSTITUTE(SUBSTITUTE(SUBSTITUTE(Tabla1[[#This Row],[map]],"[",""),"]",""),",",REPT(" ",100)),1201,300))," ",", ")</f>
        <v>1, 4, 0</v>
      </c>
      <c r="CD406" t="str">
        <f>SUBSTITUTE(TRIM(MID(SUBSTITUTE(SUBSTITUTE(SUBSTITUTE(Tabla1[[#This Row],[map]],"[",""),"]",""),",",REPT(" ",100)),1,300))," ",", ")</f>
        <v>2, 3, 4</v>
      </c>
      <c r="CE406" t="str">
        <f>SUBSTITUTE(TRIM(MID(SUBSTITUTE(SUBSTITUTE(SUBSTITUTE(Tabla1[[#This Row],[map]],"[",""),"]",""),",",REPT(" ",100)),1,600))," ",", ")</f>
        <v>2, 3, 4, 0, 1, -1</v>
      </c>
      <c r="CF406" t="str">
        <f>SUBSTITUTE(TRIM(MID(SUBSTITUTE(SUBSTITUTE(SUBSTITUTE(Tabla1[[#This Row],[map]],"[",""),"]",""),",",REPT(" ",100)),601,600))," ",", ")</f>
        <v>1, 3, 0, 2, 4, -1</v>
      </c>
      <c r="CG406" t="str">
        <f>SUBSTITUTE(TRIM(MID(SUBSTITUTE(SUBSTITUTE(SUBSTITUTE(Tabla1[[#This Row],[map]],"[",""),"]",""),",",REPT(" ",100)),1201,600))," ",", ")</f>
        <v>1, 4, 0, 3, 2, -1</v>
      </c>
    </row>
    <row r="407" spans="1:85" x14ac:dyDescent="0.3">
      <c r="A407" s="1">
        <v>46110.518819444442</v>
      </c>
      <c r="B407" t="s">
        <v>645</v>
      </c>
      <c r="C407">
        <v>4</v>
      </c>
      <c r="D407" t="s">
        <v>96</v>
      </c>
      <c r="E407" t="s">
        <v>78</v>
      </c>
      <c r="F407">
        <v>16590</v>
      </c>
      <c r="G407">
        <v>4.5</v>
      </c>
      <c r="H407" t="s">
        <v>79</v>
      </c>
      <c r="I407" t="s">
        <v>80</v>
      </c>
      <c r="J407">
        <v>5</v>
      </c>
      <c r="K407">
        <v>5</v>
      </c>
      <c r="L407" t="s">
        <v>81</v>
      </c>
      <c r="M407" t="s">
        <v>82</v>
      </c>
      <c r="N407" t="s">
        <v>83</v>
      </c>
      <c r="O407" t="s">
        <v>83</v>
      </c>
      <c r="P407" t="s">
        <v>84</v>
      </c>
      <c r="Q407" t="s">
        <v>533</v>
      </c>
      <c r="R407">
        <v>3</v>
      </c>
      <c r="S407" t="s">
        <v>86</v>
      </c>
      <c r="T407" t="s">
        <v>87</v>
      </c>
      <c r="U407" t="s">
        <v>88</v>
      </c>
      <c r="V407">
        <v>1</v>
      </c>
      <c r="W407" t="s">
        <v>534</v>
      </c>
      <c r="X407" t="s">
        <v>83</v>
      </c>
      <c r="Y407" t="s">
        <v>90</v>
      </c>
      <c r="Z407">
        <v>4000</v>
      </c>
      <c r="AA407">
        <v>4000</v>
      </c>
      <c r="AC407">
        <v>256</v>
      </c>
      <c r="AD407" t="s">
        <v>91</v>
      </c>
      <c r="AE407">
        <v>0.15</v>
      </c>
      <c r="AF407" t="s">
        <v>92</v>
      </c>
      <c r="AG407">
        <v>180</v>
      </c>
      <c r="AH407">
        <v>60</v>
      </c>
      <c r="AI407">
        <v>120</v>
      </c>
      <c r="AJ407">
        <v>0.1020329490904676</v>
      </c>
      <c r="AK407">
        <v>17.360421457600289</v>
      </c>
      <c r="AL407">
        <v>0.73512532621344806</v>
      </c>
      <c r="AM407">
        <v>0.16856687042348151</v>
      </c>
      <c r="AN407">
        <v>23.309460542463071</v>
      </c>
      <c r="AO407">
        <v>0.68659517862695063</v>
      </c>
      <c r="AP407">
        <v>23.309460542463071</v>
      </c>
      <c r="AQ407">
        <v>23.309460542463071</v>
      </c>
      <c r="AR407">
        <v>0.68659517862695063</v>
      </c>
      <c r="AS407">
        <v>110.355853673562</v>
      </c>
      <c r="AT407">
        <v>0.184156125206729</v>
      </c>
      <c r="AU407">
        <v>0.8</v>
      </c>
      <c r="AV407" t="s">
        <v>93</v>
      </c>
      <c r="AW407">
        <v>7.7083899956059937E-2</v>
      </c>
      <c r="AX407">
        <v>0.44027122003258878</v>
      </c>
      <c r="AY407">
        <v>7.7083899956059937E-2</v>
      </c>
      <c r="AZ407">
        <v>7.7083899956059937E-2</v>
      </c>
      <c r="BA407">
        <v>0.44027122003258878</v>
      </c>
      <c r="BB407">
        <v>0.12673804171735861</v>
      </c>
      <c r="BC407">
        <v>7.9717950099135071E-2</v>
      </c>
      <c r="BD407">
        <v>7.2655406672302039E-2</v>
      </c>
      <c r="BE407">
        <v>0.74826453376832802</v>
      </c>
      <c r="BF407">
        <v>7.2655406672302039E-2</v>
      </c>
      <c r="BG407">
        <v>7.2655406672302039E-2</v>
      </c>
      <c r="BH407">
        <v>0.74826453376832802</v>
      </c>
      <c r="BI407">
        <v>0.12605163603938371</v>
      </c>
      <c r="BJ407">
        <v>0.56325800348542909</v>
      </c>
      <c r="BK407">
        <v>4.4171751234623878E-2</v>
      </c>
      <c r="BL407">
        <v>0.82266439040204076</v>
      </c>
      <c r="BM407">
        <v>4.4171751234623878E-2</v>
      </c>
      <c r="BN407">
        <v>4.4171751234623878E-2</v>
      </c>
      <c r="BO407">
        <v>0.82266439040204076</v>
      </c>
      <c r="BP407">
        <v>0.16219552288061079</v>
      </c>
      <c r="BQ407">
        <v>0.34883627838719161</v>
      </c>
      <c r="BR407">
        <v>93.043931111989551</v>
      </c>
      <c r="BS407">
        <v>0.73518057030484329</v>
      </c>
      <c r="BT407">
        <v>93.043931111989551</v>
      </c>
      <c r="BU407">
        <v>93.043931111989551</v>
      </c>
      <c r="BV407">
        <v>0.73518057030484329</v>
      </c>
      <c r="BW407">
        <v>441.00842949360992</v>
      </c>
      <c r="BX407">
        <v>-0.25518773114483539</v>
      </c>
      <c r="BY407" t="str">
        <f t="shared" si="15"/>
        <v>[[sv,wv],[yr],[ya]]</v>
      </c>
      <c r="BZ407" t="str">
        <f>SUBSTITUTE(TRIM(MID(SUBSTITUTE(SUBSTITUTE(SUBSTITUTE(Tabla1[[#This Row],[map]],"[",""),"]",""),",",REPT(" ",100)),901,200))," ",", ")</f>
        <v>2, 4</v>
      </c>
      <c r="CA407" t="str">
        <f>SUBSTITUTE(TRIM(MID(SUBSTITUTE(SUBSTITUTE(SUBSTITUTE(Tabla1[[#This Row],[map]],"[",""),"]",""),",",REPT(" ",100)),1501,200))," ",", ")</f>
        <v>3, 4</v>
      </c>
      <c r="CB407" t="str">
        <f>SUBSTITUTE(TRIM(MID(SUBSTITUTE(SUBSTITUTE(SUBSTITUTE(Tabla1[[#This Row],[map]],"[",""),"]",""),",",REPT(" ",100)),601,300))," ",", ")</f>
        <v>1, 3, 0</v>
      </c>
      <c r="CC407" t="str">
        <f>SUBSTITUTE(TRIM(MID(SUBSTITUTE(SUBSTITUTE(SUBSTITUTE(Tabla1[[#This Row],[map]],"[",""),"]",""),",",REPT(" ",100)),1201,300))," ",", ")</f>
        <v>1, 2, 0</v>
      </c>
      <c r="CD407" t="str">
        <f>SUBSTITUTE(TRIM(MID(SUBSTITUTE(SUBSTITUTE(SUBSTITUTE(Tabla1[[#This Row],[map]],"[",""),"]",""),",",REPT(" ",100)),1,300))," ",", ")</f>
        <v>4, 2, 3</v>
      </c>
      <c r="CE407" t="str">
        <f>SUBSTITUTE(TRIM(MID(SUBSTITUTE(SUBSTITUTE(SUBSTITUTE(Tabla1[[#This Row],[map]],"[",""),"]",""),",",REPT(" ",100)),1,600))," ",", ")</f>
        <v>4, 2, 3, 0, 1, -1</v>
      </c>
      <c r="CF407" t="str">
        <f>SUBSTITUTE(TRIM(MID(SUBSTITUTE(SUBSTITUTE(SUBSTITUTE(Tabla1[[#This Row],[map]],"[",""),"]",""),",",REPT(" ",100)),601,600))," ",", ")</f>
        <v>1, 3, 0, 2, 4, -1</v>
      </c>
      <c r="CG407" t="str">
        <f>SUBSTITUTE(TRIM(MID(SUBSTITUTE(SUBSTITUTE(SUBSTITUTE(Tabla1[[#This Row],[map]],"[",""),"]",""),",",REPT(" ",100)),1201,600))," ",", ")</f>
        <v>1, 2, 0, 3, 4, -1</v>
      </c>
    </row>
    <row r="408" spans="1:85" x14ac:dyDescent="0.3">
      <c r="A408" s="1">
        <v>46110.520752314813</v>
      </c>
      <c r="B408" t="s">
        <v>646</v>
      </c>
      <c r="C408">
        <v>4</v>
      </c>
      <c r="D408" t="s">
        <v>96</v>
      </c>
      <c r="E408" t="s">
        <v>78</v>
      </c>
      <c r="F408">
        <v>16590</v>
      </c>
      <c r="G408">
        <v>4.5</v>
      </c>
      <c r="H408" t="s">
        <v>79</v>
      </c>
      <c r="I408" t="s">
        <v>80</v>
      </c>
      <c r="J408">
        <v>5</v>
      </c>
      <c r="K408">
        <v>5</v>
      </c>
      <c r="L408" t="s">
        <v>81</v>
      </c>
      <c r="M408" t="s">
        <v>82</v>
      </c>
      <c r="N408" t="s">
        <v>83</v>
      </c>
      <c r="O408" t="s">
        <v>83</v>
      </c>
      <c r="P408" t="s">
        <v>84</v>
      </c>
      <c r="Q408" t="s">
        <v>243</v>
      </c>
      <c r="R408">
        <v>3</v>
      </c>
      <c r="S408" t="s">
        <v>86</v>
      </c>
      <c r="T408" t="s">
        <v>87</v>
      </c>
      <c r="U408" t="s">
        <v>88</v>
      </c>
      <c r="V408">
        <v>1</v>
      </c>
      <c r="W408" t="s">
        <v>244</v>
      </c>
      <c r="X408" t="s">
        <v>83</v>
      </c>
      <c r="Y408" t="s">
        <v>90</v>
      </c>
      <c r="Z408">
        <v>4000</v>
      </c>
      <c r="AA408">
        <v>4000</v>
      </c>
      <c r="AC408">
        <v>256</v>
      </c>
      <c r="AD408" t="s">
        <v>91</v>
      </c>
      <c r="AE408">
        <v>0.15</v>
      </c>
      <c r="AF408" t="s">
        <v>92</v>
      </c>
      <c r="AG408">
        <v>180</v>
      </c>
      <c r="AH408">
        <v>60</v>
      </c>
      <c r="AI408">
        <v>120</v>
      </c>
      <c r="AJ408">
        <v>0.10754026606576179</v>
      </c>
      <c r="AK408">
        <v>13.19784013387827</v>
      </c>
      <c r="AL408">
        <v>0.72409856223340863</v>
      </c>
      <c r="AM408">
        <v>-1.8601577186980911E-2</v>
      </c>
      <c r="AN408">
        <v>16.639321407900471</v>
      </c>
      <c r="AO408">
        <v>0.67552507156695252</v>
      </c>
      <c r="AP408">
        <v>16.639321407900471</v>
      </c>
      <c r="AQ408">
        <v>16.639321407900471</v>
      </c>
      <c r="AR408">
        <v>0.67552507156695252</v>
      </c>
      <c r="AS408">
        <v>160.23999818162741</v>
      </c>
      <c r="AT408">
        <v>1.5615926345803889E-2</v>
      </c>
      <c r="AU408">
        <v>0.8</v>
      </c>
      <c r="AV408" t="s">
        <v>93</v>
      </c>
      <c r="AW408">
        <v>7.9124411178193702E-2</v>
      </c>
      <c r="AX408">
        <v>0.4254544702634957</v>
      </c>
      <c r="AY408">
        <v>7.9124411178193702E-2</v>
      </c>
      <c r="AZ408">
        <v>7.9124411178193702E-2</v>
      </c>
      <c r="BA408">
        <v>0.4254544702634957</v>
      </c>
      <c r="BB408">
        <v>0.1241360824611802</v>
      </c>
      <c r="BC408">
        <v>9.8611538524420728E-2</v>
      </c>
      <c r="BD408">
        <v>7.9447819394867822E-2</v>
      </c>
      <c r="BE408">
        <v>0.72473027442180515</v>
      </c>
      <c r="BF408">
        <v>7.9447819394867822E-2</v>
      </c>
      <c r="BG408">
        <v>7.9447819394867822E-2</v>
      </c>
      <c r="BH408">
        <v>0.72473027442180515</v>
      </c>
      <c r="BI408">
        <v>0.15546045037579961</v>
      </c>
      <c r="BJ408">
        <v>0.46136274300344993</v>
      </c>
      <c r="BK408">
        <v>6.4584374099922889E-2</v>
      </c>
      <c r="BL408">
        <v>0.74071416614936036</v>
      </c>
      <c r="BM408">
        <v>6.4584374099922889E-2</v>
      </c>
      <c r="BN408">
        <v>6.4584374099922889E-2</v>
      </c>
      <c r="BO408">
        <v>0.74071416614936036</v>
      </c>
      <c r="BP408">
        <v>0.16800810750793799</v>
      </c>
      <c r="BQ408">
        <v>0.32550058964006229</v>
      </c>
      <c r="BR408">
        <v>66.334129026928892</v>
      </c>
      <c r="BS408">
        <v>0.81120137543315129</v>
      </c>
      <c r="BT408">
        <v>66.334129026928892</v>
      </c>
      <c r="BU408">
        <v>66.334129026928892</v>
      </c>
      <c r="BV408">
        <v>0.81120137543315129</v>
      </c>
      <c r="BW408">
        <v>640.51238808616517</v>
      </c>
      <c r="BX408">
        <v>-0.823011165784719</v>
      </c>
      <c r="BY408" t="str">
        <f t="shared" si="15"/>
        <v>[[sv,wv],[yr],[ya]]</v>
      </c>
      <c r="BZ408" t="str">
        <f>SUBSTITUTE(TRIM(MID(SUBSTITUTE(SUBSTITUTE(SUBSTITUTE(Tabla1[[#This Row],[map]],"[",""),"]",""),",",REPT(" ",100)),901,200))," ",", ")</f>
        <v>2, 3</v>
      </c>
      <c r="CA408" t="str">
        <f>SUBSTITUTE(TRIM(MID(SUBSTITUTE(SUBSTITUTE(SUBSTITUTE(Tabla1[[#This Row],[map]],"[",""),"]",""),",",REPT(" ",100)),1501,200))," ",", ")</f>
        <v>3, 4</v>
      </c>
      <c r="CB408" t="str">
        <f>SUBSTITUTE(TRIM(MID(SUBSTITUTE(SUBSTITUTE(SUBSTITUTE(Tabla1[[#This Row],[map]],"[",""),"]",""),",",REPT(" ",100)),601,300))," ",", ")</f>
        <v>4, 0, 1</v>
      </c>
      <c r="CC408" t="str">
        <f>SUBSTITUTE(TRIM(MID(SUBSTITUTE(SUBSTITUTE(SUBSTITUTE(Tabla1[[#This Row],[map]],"[",""),"]",""),",",REPT(" ",100)),1201,300))," ",", ")</f>
        <v>2, 0, 1</v>
      </c>
      <c r="CD408" t="str">
        <f>SUBSTITUTE(TRIM(MID(SUBSTITUTE(SUBSTITUTE(SUBSTITUTE(Tabla1[[#This Row],[map]],"[",""),"]",""),",",REPT(" ",100)),1,300))," ",", ")</f>
        <v>4, 2, 3</v>
      </c>
      <c r="CE408" t="str">
        <f>SUBSTITUTE(TRIM(MID(SUBSTITUTE(SUBSTITUTE(SUBSTITUTE(Tabla1[[#This Row],[map]],"[",""),"]",""),",",REPT(" ",100)),1,600))," ",", ")</f>
        <v>4, 2, 3, 0, 1, -1</v>
      </c>
      <c r="CF408" t="str">
        <f>SUBSTITUTE(TRIM(MID(SUBSTITUTE(SUBSTITUTE(SUBSTITUTE(Tabla1[[#This Row],[map]],"[",""),"]",""),",",REPT(" ",100)),601,600))," ",", ")</f>
        <v>4, 0, 1, 2, 3, -1</v>
      </c>
      <c r="CG408" t="str">
        <f>SUBSTITUTE(TRIM(MID(SUBSTITUTE(SUBSTITUTE(SUBSTITUTE(Tabla1[[#This Row],[map]],"[",""),"]",""),",",REPT(" ",100)),1201,600))," ",", ")</f>
        <v>2, 0, 1, 3, 4, -1</v>
      </c>
    </row>
    <row r="409" spans="1:85" x14ac:dyDescent="0.3">
      <c r="A409" s="1">
        <v>46110.530601851853</v>
      </c>
      <c r="B409" t="s">
        <v>647</v>
      </c>
      <c r="C409">
        <v>5</v>
      </c>
      <c r="D409" t="s">
        <v>96</v>
      </c>
      <c r="E409" t="s">
        <v>78</v>
      </c>
      <c r="F409">
        <v>16590</v>
      </c>
      <c r="G409">
        <v>4.5</v>
      </c>
      <c r="H409" t="s">
        <v>79</v>
      </c>
      <c r="I409" t="s">
        <v>80</v>
      </c>
      <c r="J409">
        <v>5</v>
      </c>
      <c r="K409">
        <v>5</v>
      </c>
      <c r="L409" t="s">
        <v>81</v>
      </c>
      <c r="M409" t="s">
        <v>82</v>
      </c>
      <c r="N409" t="s">
        <v>83</v>
      </c>
      <c r="O409" t="s">
        <v>83</v>
      </c>
      <c r="P409" t="s">
        <v>84</v>
      </c>
      <c r="Q409" t="s">
        <v>225</v>
      </c>
      <c r="R409">
        <v>3</v>
      </c>
      <c r="S409" t="s">
        <v>86</v>
      </c>
      <c r="T409" t="s">
        <v>87</v>
      </c>
      <c r="U409" t="s">
        <v>88</v>
      </c>
      <c r="V409">
        <v>1</v>
      </c>
      <c r="W409" t="s">
        <v>226</v>
      </c>
      <c r="X409" t="s">
        <v>83</v>
      </c>
      <c r="Y409" t="s">
        <v>90</v>
      </c>
      <c r="Z409">
        <v>4000</v>
      </c>
      <c r="AA409">
        <v>4000</v>
      </c>
      <c r="AC409">
        <v>256</v>
      </c>
      <c r="AD409" t="s">
        <v>91</v>
      </c>
      <c r="AE409">
        <v>0.15</v>
      </c>
      <c r="AF409" t="s">
        <v>92</v>
      </c>
      <c r="AG409">
        <v>180</v>
      </c>
      <c r="AH409">
        <v>60</v>
      </c>
      <c r="AI409">
        <v>120</v>
      </c>
      <c r="AJ409">
        <v>0.13796139321535261</v>
      </c>
      <c r="AK409">
        <v>18.013293936804409</v>
      </c>
      <c r="AL409">
        <v>0.64133028402754533</v>
      </c>
      <c r="AM409">
        <v>0.25349108270897591</v>
      </c>
      <c r="AN409">
        <v>23.041976498602779</v>
      </c>
      <c r="AO409">
        <v>0.59420180247545229</v>
      </c>
      <c r="AP409">
        <v>23.041976498602779</v>
      </c>
      <c r="AQ409">
        <v>23.041976498602779</v>
      </c>
      <c r="AR409">
        <v>0.59420180247545229</v>
      </c>
      <c r="AS409">
        <v>54.861243274560692</v>
      </c>
      <c r="AT409">
        <v>0.26932388392905138</v>
      </c>
      <c r="AU409">
        <v>0.8</v>
      </c>
      <c r="AV409" t="s">
        <v>93</v>
      </c>
      <c r="AW409">
        <v>7.6673196612650346E-2</v>
      </c>
      <c r="AX409">
        <v>0.44325345732813581</v>
      </c>
      <c r="AY409">
        <v>7.6673196612650346E-2</v>
      </c>
      <c r="AZ409">
        <v>7.6673196612650346E-2</v>
      </c>
      <c r="BA409">
        <v>0.44325345732813581</v>
      </c>
      <c r="BB409">
        <v>0.19534768987071149</v>
      </c>
      <c r="BC409">
        <v>-0.4184768049244203</v>
      </c>
      <c r="BD409">
        <v>0.10618102136043921</v>
      </c>
      <c r="BE409">
        <v>0.63210543934213204</v>
      </c>
      <c r="BF409">
        <v>0.10618102136043921</v>
      </c>
      <c r="BG409">
        <v>0.10618102136043921</v>
      </c>
      <c r="BH409">
        <v>0.63210543934213204</v>
      </c>
      <c r="BI409">
        <v>0.1082821545104317</v>
      </c>
      <c r="BJ409">
        <v>0.62482546174165132</v>
      </c>
      <c r="BK409">
        <v>0.1088643326022581</v>
      </c>
      <c r="BL409">
        <v>0.56294413859770509</v>
      </c>
      <c r="BM409">
        <v>0.1088643326022581</v>
      </c>
      <c r="BN409">
        <v>0.1088643326022581</v>
      </c>
      <c r="BO409">
        <v>0.56294413859770509</v>
      </c>
      <c r="BP409">
        <v>0.12596178815719389</v>
      </c>
      <c r="BQ409">
        <v>0.49430326250239798</v>
      </c>
      <c r="BR409">
        <v>91.876187443835676</v>
      </c>
      <c r="BS409">
        <v>0.73850417463383955</v>
      </c>
      <c r="BT409">
        <v>91.876187443835676</v>
      </c>
      <c r="BU409">
        <v>91.876187443835676</v>
      </c>
      <c r="BV409">
        <v>0.73850417463383955</v>
      </c>
      <c r="BW409">
        <v>219.015381465704</v>
      </c>
      <c r="BX409">
        <v>0.3766436163965865</v>
      </c>
      <c r="BY409" t="str">
        <f t="shared" si="15"/>
        <v>[[sv,wv],[yr],[ya]]</v>
      </c>
      <c r="BZ409" t="str">
        <f>SUBSTITUTE(TRIM(MID(SUBSTITUTE(SUBSTITUTE(SUBSTITUTE(Tabla1[[#This Row],[map]],"[",""),"]",""),",",REPT(" ",100)),901,200))," ",", ")</f>
        <v>2, 3</v>
      </c>
      <c r="CA409" t="str">
        <f>SUBSTITUTE(TRIM(MID(SUBSTITUTE(SUBSTITUTE(SUBSTITUTE(Tabla1[[#This Row],[map]],"[",""),"]",""),",",REPT(" ",100)),1501,200))," ",", ")</f>
        <v>3, 4</v>
      </c>
      <c r="CB409" t="str">
        <f>SUBSTITUTE(TRIM(MID(SUBSTITUTE(SUBSTITUTE(SUBSTITUTE(Tabla1[[#This Row],[map]],"[",""),"]",""),",",REPT(" ",100)),601,300))," ",", ")</f>
        <v>0, 1, 4</v>
      </c>
      <c r="CC409" t="str">
        <f>SUBSTITUTE(TRIM(MID(SUBSTITUTE(SUBSTITUTE(SUBSTITUTE(Tabla1[[#This Row],[map]],"[",""),"]",""),",",REPT(" ",100)),1201,300))," ",", ")</f>
        <v>2, 0, 1</v>
      </c>
      <c r="CD409" t="str">
        <f>SUBSTITUTE(TRIM(MID(SUBSTITUTE(SUBSTITUTE(SUBSTITUTE(Tabla1[[#This Row],[map]],"[",""),"]",""),",",REPT(" ",100)),1,300))," ",", ")</f>
        <v>4, 2, 3</v>
      </c>
      <c r="CE409" t="str">
        <f>SUBSTITUTE(TRIM(MID(SUBSTITUTE(SUBSTITUTE(SUBSTITUTE(Tabla1[[#This Row],[map]],"[",""),"]",""),",",REPT(" ",100)),1,600))," ",", ")</f>
        <v>4, 2, 3, 0, 1, -1</v>
      </c>
      <c r="CF409" t="str">
        <f>SUBSTITUTE(TRIM(MID(SUBSTITUTE(SUBSTITUTE(SUBSTITUTE(Tabla1[[#This Row],[map]],"[",""),"]",""),",",REPT(" ",100)),601,600))," ",", ")</f>
        <v>0, 1, 4, 2, 3, -1</v>
      </c>
      <c r="CG409" t="str">
        <f>SUBSTITUTE(TRIM(MID(SUBSTITUTE(SUBSTITUTE(SUBSTITUTE(Tabla1[[#This Row],[map]],"[",""),"]",""),",",REPT(" ",100)),1201,600))," ",", ")</f>
        <v>2, 0, 1, 3, 4, -1</v>
      </c>
    </row>
    <row r="410" spans="1:85" x14ac:dyDescent="0.3">
      <c r="A410" s="1">
        <v>46110.584224537037</v>
      </c>
      <c r="B410" t="s">
        <v>648</v>
      </c>
      <c r="C410">
        <v>7</v>
      </c>
      <c r="D410" t="s">
        <v>96</v>
      </c>
      <c r="E410" t="s">
        <v>78</v>
      </c>
      <c r="F410">
        <v>16590</v>
      </c>
      <c r="G410">
        <v>4.5</v>
      </c>
      <c r="H410" t="s">
        <v>79</v>
      </c>
      <c r="I410" t="s">
        <v>80</v>
      </c>
      <c r="J410">
        <v>5</v>
      </c>
      <c r="K410">
        <v>5</v>
      </c>
      <c r="L410" t="s">
        <v>81</v>
      </c>
      <c r="M410" t="s">
        <v>82</v>
      </c>
      <c r="N410" t="s">
        <v>83</v>
      </c>
      <c r="O410" t="s">
        <v>83</v>
      </c>
      <c r="P410" t="s">
        <v>84</v>
      </c>
      <c r="Q410" t="s">
        <v>435</v>
      </c>
      <c r="R410">
        <v>3</v>
      </c>
      <c r="S410" t="s">
        <v>86</v>
      </c>
      <c r="T410" t="s">
        <v>87</v>
      </c>
      <c r="U410" t="s">
        <v>88</v>
      </c>
      <c r="V410">
        <v>1</v>
      </c>
      <c r="W410" t="s">
        <v>436</v>
      </c>
      <c r="X410" t="s">
        <v>83</v>
      </c>
      <c r="Y410" t="s">
        <v>90</v>
      </c>
      <c r="Z410">
        <v>4000</v>
      </c>
      <c r="AA410">
        <v>4000</v>
      </c>
      <c r="AC410">
        <v>256</v>
      </c>
      <c r="AD410" t="s">
        <v>91</v>
      </c>
      <c r="AE410">
        <v>0.15</v>
      </c>
      <c r="AF410" t="s">
        <v>92</v>
      </c>
      <c r="AG410">
        <v>180</v>
      </c>
      <c r="AH410">
        <v>60</v>
      </c>
      <c r="AI410">
        <v>120</v>
      </c>
      <c r="AJ410">
        <v>9.6966985268402556E-2</v>
      </c>
      <c r="AK410">
        <v>12.32826448272211</v>
      </c>
      <c r="AL410">
        <v>0.76232858756030752</v>
      </c>
      <c r="AM410">
        <v>-0.27518992691046251</v>
      </c>
      <c r="AN410">
        <v>16.61700169872444</v>
      </c>
      <c r="AO410">
        <v>0.73027129149612935</v>
      </c>
      <c r="AP410">
        <v>16.61700169872444</v>
      </c>
      <c r="AQ410">
        <v>16.61700169872444</v>
      </c>
      <c r="AR410">
        <v>0.73027129149612935</v>
      </c>
      <c r="AS410">
        <v>113.1951325971809</v>
      </c>
      <c r="AT410">
        <v>-0.24803194734549139</v>
      </c>
      <c r="AU410">
        <v>0.8</v>
      </c>
      <c r="AV410" t="s">
        <v>93</v>
      </c>
      <c r="AW410">
        <v>7.2373727370723978E-2</v>
      </c>
      <c r="AX410">
        <v>0.47447316305997678</v>
      </c>
      <c r="AY410">
        <v>7.2373727370723978E-2</v>
      </c>
      <c r="AZ410">
        <v>7.2373727370723978E-2</v>
      </c>
      <c r="BA410">
        <v>0.47447316305997678</v>
      </c>
      <c r="BB410">
        <v>0.16561224234195021</v>
      </c>
      <c r="BC410">
        <v>-0.2025590091649172</v>
      </c>
      <c r="BD410">
        <v>7.0886956138482796E-2</v>
      </c>
      <c r="BE410">
        <v>0.75439183715879055</v>
      </c>
      <c r="BF410">
        <v>7.0886956138482796E-2</v>
      </c>
      <c r="BG410">
        <v>7.0886956138482796E-2</v>
      </c>
      <c r="BH410">
        <v>0.75439183715879055</v>
      </c>
      <c r="BI410">
        <v>0.32184693145246818</v>
      </c>
      <c r="BJ410">
        <v>-0.1151308767680042</v>
      </c>
      <c r="BK410">
        <v>2.9664191147300151E-2</v>
      </c>
      <c r="BL410">
        <v>0.88090765538375537</v>
      </c>
      <c r="BM410">
        <v>2.9664191147300151E-2</v>
      </c>
      <c r="BN410">
        <v>2.9664191147300151E-2</v>
      </c>
      <c r="BO410">
        <v>0.88090765538375537</v>
      </c>
      <c r="BP410">
        <v>0.34575978841861182</v>
      </c>
      <c r="BQ410">
        <v>-0.38811618602103198</v>
      </c>
      <c r="BR410">
        <v>66.295081920241486</v>
      </c>
      <c r="BS410">
        <v>0.81131251038199348</v>
      </c>
      <c r="BT410">
        <v>66.295081920241486</v>
      </c>
      <c r="BU410">
        <v>66.295081920241486</v>
      </c>
      <c r="BV410">
        <v>0.81131251038199348</v>
      </c>
      <c r="BW410">
        <v>451.94731142651023</v>
      </c>
      <c r="BX410">
        <v>-0.28632171742800971</v>
      </c>
      <c r="BY410" t="str">
        <f t="shared" si="15"/>
        <v>[[sv,wv],[yr],[ya]]</v>
      </c>
      <c r="BZ410" t="str">
        <f>SUBSTITUTE(TRIM(MID(SUBSTITUTE(SUBSTITUTE(SUBSTITUTE(Tabla1[[#This Row],[map]],"[",""),"]",""),",",REPT(" ",100)),901,200))," ",", ")</f>
        <v>2, 4</v>
      </c>
      <c r="CA410" t="str">
        <f>SUBSTITUTE(TRIM(MID(SUBSTITUTE(SUBSTITUTE(SUBSTITUTE(Tabla1[[#This Row],[map]],"[",""),"]",""),",",REPT(" ",100)),1501,200))," ",", ")</f>
        <v>3, 4</v>
      </c>
      <c r="CB410" t="str">
        <f>SUBSTITUTE(TRIM(MID(SUBSTITUTE(SUBSTITUTE(SUBSTITUTE(Tabla1[[#This Row],[map]],"[",""),"]",""),",",REPT(" ",100)),601,300))," ",", ")</f>
        <v>1, 3, 0</v>
      </c>
      <c r="CC410" t="str">
        <f>SUBSTITUTE(TRIM(MID(SUBSTITUTE(SUBSTITUTE(SUBSTITUTE(Tabla1[[#This Row],[map]],"[",""),"]",""),",",REPT(" ",100)),1201,300))," ",", ")</f>
        <v>1, 2, 0</v>
      </c>
      <c r="CD410" t="str">
        <f>SUBSTITUTE(TRIM(MID(SUBSTITUTE(SUBSTITUTE(SUBSTITUTE(Tabla1[[#This Row],[map]],"[",""),"]",""),",",REPT(" ",100)),1,300))," ",", ")</f>
        <v>2, 3, 4</v>
      </c>
      <c r="CE410" t="str">
        <f>SUBSTITUTE(TRIM(MID(SUBSTITUTE(SUBSTITUTE(SUBSTITUTE(Tabla1[[#This Row],[map]],"[",""),"]",""),",",REPT(" ",100)),1,600))," ",", ")</f>
        <v>2, 3, 4, 0, 1, -1</v>
      </c>
      <c r="CF410" t="str">
        <f>SUBSTITUTE(TRIM(MID(SUBSTITUTE(SUBSTITUTE(SUBSTITUTE(Tabla1[[#This Row],[map]],"[",""),"]",""),",",REPT(" ",100)),601,600))," ",", ")</f>
        <v>1, 3, 0, 2, 4, -1</v>
      </c>
      <c r="CG410" t="str">
        <f>SUBSTITUTE(TRIM(MID(SUBSTITUTE(SUBSTITUTE(SUBSTITUTE(Tabla1[[#This Row],[map]],"[",""),"]",""),",",REPT(" ",100)),1201,600))," ",", ")</f>
        <v>1, 2, 0, 3, 4, -1</v>
      </c>
    </row>
    <row r="411" spans="1:85" x14ac:dyDescent="0.3">
      <c r="A411" s="1">
        <v>46110.607372685183</v>
      </c>
      <c r="B411" t="s">
        <v>649</v>
      </c>
      <c r="C411">
        <v>8</v>
      </c>
      <c r="D411" t="s">
        <v>96</v>
      </c>
      <c r="E411" t="s">
        <v>78</v>
      </c>
      <c r="F411">
        <v>16590</v>
      </c>
      <c r="G411">
        <v>4.5</v>
      </c>
      <c r="H411" t="s">
        <v>79</v>
      </c>
      <c r="I411" t="s">
        <v>80</v>
      </c>
      <c r="J411">
        <v>5</v>
      </c>
      <c r="K411">
        <v>5</v>
      </c>
      <c r="L411" t="s">
        <v>81</v>
      </c>
      <c r="M411" t="s">
        <v>82</v>
      </c>
      <c r="N411" t="s">
        <v>83</v>
      </c>
      <c r="O411" t="s">
        <v>83</v>
      </c>
      <c r="P411" t="s">
        <v>84</v>
      </c>
      <c r="Q411" t="s">
        <v>429</v>
      </c>
      <c r="R411">
        <v>3</v>
      </c>
      <c r="S411" t="s">
        <v>86</v>
      </c>
      <c r="T411" t="s">
        <v>87</v>
      </c>
      <c r="U411" t="s">
        <v>88</v>
      </c>
      <c r="V411">
        <v>1</v>
      </c>
      <c r="W411" t="s">
        <v>430</v>
      </c>
      <c r="X411" t="s">
        <v>83</v>
      </c>
      <c r="Y411" t="s">
        <v>90</v>
      </c>
      <c r="Z411">
        <v>4000</v>
      </c>
      <c r="AA411">
        <v>4000</v>
      </c>
      <c r="AC411">
        <v>256</v>
      </c>
      <c r="AD411" t="s">
        <v>91</v>
      </c>
      <c r="AE411">
        <v>0.15</v>
      </c>
      <c r="AF411" t="s">
        <v>92</v>
      </c>
      <c r="AG411">
        <v>180</v>
      </c>
      <c r="AH411">
        <v>60</v>
      </c>
      <c r="AI411">
        <v>120</v>
      </c>
      <c r="AJ411">
        <v>9.9405956051692584E-2</v>
      </c>
      <c r="AK411">
        <v>26.71552987381121</v>
      </c>
      <c r="AL411">
        <v>0.71730367411965479</v>
      </c>
      <c r="AM411">
        <v>-0.12132455992218549</v>
      </c>
      <c r="AN411">
        <v>25.510373400569311</v>
      </c>
      <c r="AO411">
        <v>0.6751986822577003</v>
      </c>
      <c r="AP411">
        <v>25.510373400569311</v>
      </c>
      <c r="AQ411">
        <v>25.510373400569311</v>
      </c>
      <c r="AR411">
        <v>0.6751986822577003</v>
      </c>
      <c r="AS411">
        <v>95.372960566795385</v>
      </c>
      <c r="AT411">
        <v>-0.1188949974642504</v>
      </c>
      <c r="AU411">
        <v>0.8</v>
      </c>
      <c r="AV411" t="s">
        <v>93</v>
      </c>
      <c r="AW411">
        <v>8.2338988378048289E-2</v>
      </c>
      <c r="AX411">
        <v>0.40211248347752199</v>
      </c>
      <c r="AY411">
        <v>8.2338988378048289E-2</v>
      </c>
      <c r="AZ411">
        <v>8.2338988378048289E-2</v>
      </c>
      <c r="BA411">
        <v>0.40211248347752199</v>
      </c>
      <c r="BB411">
        <v>0.14323815075174709</v>
      </c>
      <c r="BC411">
        <v>-4.0094175447342062E-2</v>
      </c>
      <c r="BD411">
        <v>6.1142569310196203E-2</v>
      </c>
      <c r="BE411">
        <v>0.78815405629307056</v>
      </c>
      <c r="BF411">
        <v>6.1142569310196203E-2</v>
      </c>
      <c r="BG411">
        <v>6.1142569310196203E-2</v>
      </c>
      <c r="BH411">
        <v>0.78815405629307056</v>
      </c>
      <c r="BI411">
        <v>0.32086040140663519</v>
      </c>
      <c r="BJ411">
        <v>-0.11171276086426379</v>
      </c>
      <c r="BK411">
        <v>4.9715898221625567E-2</v>
      </c>
      <c r="BL411">
        <v>0.80040639387348178</v>
      </c>
      <c r="BM411">
        <v>4.9715898221625567E-2</v>
      </c>
      <c r="BN411">
        <v>4.9715898221625567E-2</v>
      </c>
      <c r="BO411">
        <v>0.80040639387348178</v>
      </c>
      <c r="BP411">
        <v>0.30891104656180629</v>
      </c>
      <c r="BQ411">
        <v>-0.24018014279319819</v>
      </c>
      <c r="BR411">
        <v>101.84829614636671</v>
      </c>
      <c r="BS411">
        <v>0.71012179538673048</v>
      </c>
      <c r="BT411">
        <v>101.84829614636671</v>
      </c>
      <c r="BU411">
        <v>101.84829614636671</v>
      </c>
      <c r="BV411">
        <v>0.71012179538673048</v>
      </c>
      <c r="BW411">
        <v>380.71883266846118</v>
      </c>
      <c r="BX411">
        <v>-8.3592910752197769E-2</v>
      </c>
      <c r="BY411" t="str">
        <f t="shared" si="15"/>
        <v>[[sv,wv],[yr],[ya]]</v>
      </c>
      <c r="BZ411" t="str">
        <f>SUBSTITUTE(TRIM(MID(SUBSTITUTE(SUBSTITUTE(SUBSTITUTE(Tabla1[[#This Row],[map]],"[",""),"]",""),",",REPT(" ",100)),901,200))," ",", ")</f>
        <v>2, 4</v>
      </c>
      <c r="CA411" t="str">
        <f>SUBSTITUTE(TRIM(MID(SUBSTITUTE(SUBSTITUTE(SUBSTITUTE(Tabla1[[#This Row],[map]],"[",""),"]",""),",",REPT(" ",100)),1501,200))," ",", ")</f>
        <v>3, 4</v>
      </c>
      <c r="CB411" t="str">
        <f>SUBSTITUTE(TRIM(MID(SUBSTITUTE(SUBSTITUTE(SUBSTITUTE(Tabla1[[#This Row],[map]],"[",""),"]",""),",",REPT(" ",100)),601,300))," ",", ")</f>
        <v>1, 3, 0</v>
      </c>
      <c r="CC411" t="str">
        <f>SUBSTITUTE(TRIM(MID(SUBSTITUTE(SUBSTITUTE(SUBSTITUTE(Tabla1[[#This Row],[map]],"[",""),"]",""),",",REPT(" ",100)),1201,300))," ",", ")</f>
        <v>0, 1, 2</v>
      </c>
      <c r="CD411" t="str">
        <f>SUBSTITUTE(TRIM(MID(SUBSTITUTE(SUBSTITUTE(SUBSTITUTE(Tabla1[[#This Row],[map]],"[",""),"]",""),",",REPT(" ",100)),1,300))," ",", ")</f>
        <v>2, 3, 4</v>
      </c>
      <c r="CE411" t="str">
        <f>SUBSTITUTE(TRIM(MID(SUBSTITUTE(SUBSTITUTE(SUBSTITUTE(Tabla1[[#This Row],[map]],"[",""),"]",""),",",REPT(" ",100)),1,600))," ",", ")</f>
        <v>2, 3, 4, 0, 1, -1</v>
      </c>
      <c r="CF411" t="str">
        <f>SUBSTITUTE(TRIM(MID(SUBSTITUTE(SUBSTITUTE(SUBSTITUTE(Tabla1[[#This Row],[map]],"[",""),"]",""),",",REPT(" ",100)),601,600))," ",", ")</f>
        <v>1, 3, 0, 2, 4, -1</v>
      </c>
      <c r="CG411" t="str">
        <f>SUBSTITUTE(TRIM(MID(SUBSTITUTE(SUBSTITUTE(SUBSTITUTE(Tabla1[[#This Row],[map]],"[",""),"]",""),",",REPT(" ",100)),1201,600))," ",", ")</f>
        <v>0, 1, 2, 3, 4, -1</v>
      </c>
    </row>
    <row r="412" spans="1:85" x14ac:dyDescent="0.3">
      <c r="A412" s="1">
        <v>46110.620335648149</v>
      </c>
      <c r="B412" t="s">
        <v>650</v>
      </c>
      <c r="C412">
        <v>6</v>
      </c>
      <c r="D412" t="s">
        <v>77</v>
      </c>
      <c r="E412" t="s">
        <v>78</v>
      </c>
      <c r="F412">
        <v>16590</v>
      </c>
      <c r="G412">
        <v>4.5</v>
      </c>
      <c r="H412" t="s">
        <v>79</v>
      </c>
      <c r="I412" t="s">
        <v>80</v>
      </c>
      <c r="J412">
        <v>5</v>
      </c>
      <c r="K412">
        <v>5</v>
      </c>
      <c r="L412" t="s">
        <v>81</v>
      </c>
      <c r="M412" t="s">
        <v>82</v>
      </c>
      <c r="N412" t="s">
        <v>83</v>
      </c>
      <c r="O412" t="s">
        <v>83</v>
      </c>
      <c r="P412" t="s">
        <v>84</v>
      </c>
      <c r="Q412" t="s">
        <v>201</v>
      </c>
      <c r="R412">
        <v>3</v>
      </c>
      <c r="S412" t="s">
        <v>86</v>
      </c>
      <c r="T412" t="s">
        <v>87</v>
      </c>
      <c r="U412" t="s">
        <v>88</v>
      </c>
      <c r="V412">
        <v>1</v>
      </c>
      <c r="W412" t="s">
        <v>202</v>
      </c>
      <c r="X412" t="s">
        <v>83</v>
      </c>
      <c r="Y412" t="s">
        <v>90</v>
      </c>
      <c r="Z412">
        <v>4000</v>
      </c>
      <c r="AA412">
        <v>4000</v>
      </c>
      <c r="AC412">
        <v>256</v>
      </c>
      <c r="AD412" t="s">
        <v>91</v>
      </c>
      <c r="AE412">
        <v>0.15</v>
      </c>
      <c r="AF412" t="s">
        <v>92</v>
      </c>
      <c r="AG412">
        <v>180</v>
      </c>
      <c r="AH412">
        <v>60</v>
      </c>
      <c r="AI412">
        <v>120</v>
      </c>
      <c r="AJ412">
        <v>0.11168488779969959</v>
      </c>
      <c r="AK412">
        <v>13.86149166938336</v>
      </c>
      <c r="AL412">
        <v>0.7044912454604948</v>
      </c>
      <c r="AM412">
        <v>5.4024813219766182E-2</v>
      </c>
      <c r="AN412">
        <v>19.995343404635701</v>
      </c>
      <c r="AO412">
        <v>0.64473250478142241</v>
      </c>
      <c r="AP412">
        <v>19.995343404635701</v>
      </c>
      <c r="AQ412">
        <v>19.995343404635701</v>
      </c>
      <c r="AR412">
        <v>0.64473250478142241</v>
      </c>
      <c r="AS412">
        <v>77.887623237502964</v>
      </c>
      <c r="AT412">
        <v>0.1097971838233877</v>
      </c>
      <c r="AU412">
        <v>0.8</v>
      </c>
      <c r="AV412" t="s">
        <v>93</v>
      </c>
      <c r="AW412">
        <v>8.377662974966657E-2</v>
      </c>
      <c r="AX412">
        <v>0.39167334830889061</v>
      </c>
      <c r="AY412">
        <v>8.377662974966657E-2</v>
      </c>
      <c r="AZ412">
        <v>8.377662974966657E-2</v>
      </c>
      <c r="BA412">
        <v>0.39167334830889061</v>
      </c>
      <c r="BB412">
        <v>0.185988804318827</v>
      </c>
      <c r="BC412">
        <v>-0.35051919516677987</v>
      </c>
      <c r="BD412">
        <v>9.6543960451597438E-2</v>
      </c>
      <c r="BE412">
        <v>0.66549579708842133</v>
      </c>
      <c r="BF412">
        <v>9.6543960451597438E-2</v>
      </c>
      <c r="BG412">
        <v>9.6543960451597438E-2</v>
      </c>
      <c r="BH412">
        <v>0.66549579708842133</v>
      </c>
      <c r="BI412">
        <v>0.12735346923706151</v>
      </c>
      <c r="BJ412">
        <v>0.55874742950362721</v>
      </c>
      <c r="BK412">
        <v>6.2592580254504912E-2</v>
      </c>
      <c r="BL412">
        <v>0.74871058843052618</v>
      </c>
      <c r="BM412">
        <v>6.2592580254504912E-2</v>
      </c>
      <c r="BN412">
        <v>6.2592580254504912E-2</v>
      </c>
      <c r="BO412">
        <v>0.74871058843052618</v>
      </c>
      <c r="BP412">
        <v>0.22014941997111659</v>
      </c>
      <c r="BQ412">
        <v>0.1161697124968534</v>
      </c>
      <c r="BR412">
        <v>79.738460448087309</v>
      </c>
      <c r="BS412">
        <v>0.77305028529785247</v>
      </c>
      <c r="BT412">
        <v>79.738460448087309</v>
      </c>
      <c r="BU412">
        <v>79.738460448087309</v>
      </c>
      <c r="BV412">
        <v>0.77305028529785247</v>
      </c>
      <c r="BW412">
        <v>311.01700125648563</v>
      </c>
      <c r="BX412">
        <v>0.11479078845984921</v>
      </c>
      <c r="BY412" t="str">
        <f t="shared" si="15"/>
        <v>[[sv,wv],[yr],[ya]]</v>
      </c>
      <c r="BZ412" t="str">
        <f>SUBSTITUTE(TRIM(MID(SUBSTITUTE(SUBSTITUTE(SUBSTITUTE(Tabla1[[#This Row],[map]],"[",""),"]",""),",",REPT(" ",100)),901,200))," ",", ")</f>
        <v>2, 4</v>
      </c>
      <c r="CA412" t="str">
        <f>SUBSTITUTE(TRIM(MID(SUBSTITUTE(SUBSTITUTE(SUBSTITUTE(Tabla1[[#This Row],[map]],"[",""),"]",""),",",REPT(" ",100)),1501,200))," ",", ")</f>
        <v>3, 2</v>
      </c>
      <c r="CB412" t="str">
        <f>SUBSTITUTE(TRIM(MID(SUBSTITUTE(SUBSTITUTE(SUBSTITUTE(Tabla1[[#This Row],[map]],"[",""),"]",""),",",REPT(" ",100)),601,300))," ",", ")</f>
        <v>0, 1, 3</v>
      </c>
      <c r="CC412" t="str">
        <f>SUBSTITUTE(TRIM(MID(SUBSTITUTE(SUBSTITUTE(SUBSTITUTE(Tabla1[[#This Row],[map]],"[",""),"]",""),",",REPT(" ",100)),1201,300))," ",", ")</f>
        <v>0, 1, 4</v>
      </c>
      <c r="CD412" t="str">
        <f>SUBSTITUTE(TRIM(MID(SUBSTITUTE(SUBSTITUTE(SUBSTITUTE(Tabla1[[#This Row],[map]],"[",""),"]",""),",",REPT(" ",100)),1,300))," ",", ")</f>
        <v>4, 2, 3</v>
      </c>
      <c r="CE412" t="str">
        <f>SUBSTITUTE(TRIM(MID(SUBSTITUTE(SUBSTITUTE(SUBSTITUTE(Tabla1[[#This Row],[map]],"[",""),"]",""),",",REPT(" ",100)),1,600))," ",", ")</f>
        <v>4, 2, 3, 0, 1, -1</v>
      </c>
      <c r="CF412" t="str">
        <f>SUBSTITUTE(TRIM(MID(SUBSTITUTE(SUBSTITUTE(SUBSTITUTE(Tabla1[[#This Row],[map]],"[",""),"]",""),",",REPT(" ",100)),601,600))," ",", ")</f>
        <v>0, 1, 3, 2, 4, -1</v>
      </c>
      <c r="CG412" t="str">
        <f>SUBSTITUTE(TRIM(MID(SUBSTITUTE(SUBSTITUTE(SUBSTITUTE(Tabla1[[#This Row],[map]],"[",""),"]",""),",",REPT(" ",100)),1201,600))," ",", ")</f>
        <v>0, 1, 4, 3, 2, -1</v>
      </c>
    </row>
    <row r="413" spans="1:85" x14ac:dyDescent="0.3">
      <c r="A413" s="1">
        <v>46110.631435185183</v>
      </c>
      <c r="B413" t="s">
        <v>651</v>
      </c>
      <c r="C413">
        <v>9</v>
      </c>
      <c r="D413" t="s">
        <v>77</v>
      </c>
      <c r="E413" t="s">
        <v>78</v>
      </c>
      <c r="F413">
        <v>16590</v>
      </c>
      <c r="G413">
        <v>4.5</v>
      </c>
      <c r="H413" t="s">
        <v>79</v>
      </c>
      <c r="I413" t="s">
        <v>80</v>
      </c>
      <c r="J413">
        <v>5</v>
      </c>
      <c r="K413">
        <v>5</v>
      </c>
      <c r="L413" t="s">
        <v>81</v>
      </c>
      <c r="M413" t="s">
        <v>82</v>
      </c>
      <c r="N413" t="s">
        <v>83</v>
      </c>
      <c r="O413" t="s">
        <v>83</v>
      </c>
      <c r="P413" t="s">
        <v>84</v>
      </c>
      <c r="Q413" t="s">
        <v>429</v>
      </c>
      <c r="R413">
        <v>3</v>
      </c>
      <c r="S413" t="s">
        <v>86</v>
      </c>
      <c r="T413" t="s">
        <v>87</v>
      </c>
      <c r="U413" t="s">
        <v>88</v>
      </c>
      <c r="V413">
        <v>1</v>
      </c>
      <c r="W413" t="s">
        <v>430</v>
      </c>
      <c r="X413" t="s">
        <v>83</v>
      </c>
      <c r="Y413" t="s">
        <v>90</v>
      </c>
      <c r="Z413">
        <v>4000</v>
      </c>
      <c r="AA413">
        <v>4000</v>
      </c>
      <c r="AC413">
        <v>256</v>
      </c>
      <c r="AD413" t="s">
        <v>91</v>
      </c>
      <c r="AE413">
        <v>0.15</v>
      </c>
      <c r="AF413" t="s">
        <v>92</v>
      </c>
      <c r="AG413">
        <v>180</v>
      </c>
      <c r="AH413">
        <v>60</v>
      </c>
      <c r="AI413">
        <v>120</v>
      </c>
      <c r="AJ413">
        <v>0.10367910978676841</v>
      </c>
      <c r="AK413">
        <v>14.986672994325771</v>
      </c>
      <c r="AL413">
        <v>0.79855851845709158</v>
      </c>
      <c r="AM413">
        <v>-0.22774738141233061</v>
      </c>
      <c r="AN413">
        <v>17.053013633878109</v>
      </c>
      <c r="AO413">
        <v>0.75082495239274749</v>
      </c>
      <c r="AP413">
        <v>17.053013633878109</v>
      </c>
      <c r="AQ413">
        <v>17.053013633878109</v>
      </c>
      <c r="AR413">
        <v>0.75082495239274749</v>
      </c>
      <c r="AS413">
        <v>109.18841977425581</v>
      </c>
      <c r="AT413">
        <v>-0.2080498241798602</v>
      </c>
      <c r="AU413">
        <v>0.8</v>
      </c>
      <c r="AV413" t="s">
        <v>93</v>
      </c>
      <c r="AW413">
        <v>6.1763893797680797E-2</v>
      </c>
      <c r="AX413">
        <v>0.55151427287515131</v>
      </c>
      <c r="AY413">
        <v>6.1763893797680797E-2</v>
      </c>
      <c r="AZ413">
        <v>6.1763893797680797E-2</v>
      </c>
      <c r="BA413">
        <v>0.55151427287515131</v>
      </c>
      <c r="BB413">
        <v>0.1708859720650292</v>
      </c>
      <c r="BC413">
        <v>-0.2408531056683314</v>
      </c>
      <c r="BD413">
        <v>5.2586031094463831E-2</v>
      </c>
      <c r="BE413">
        <v>0.81780063368794542</v>
      </c>
      <c r="BF413">
        <v>5.2586031094463831E-2</v>
      </c>
      <c r="BG413">
        <v>5.2586031094463831E-2</v>
      </c>
      <c r="BH413">
        <v>0.81780063368794542</v>
      </c>
      <c r="BI413">
        <v>0.3383613938756207</v>
      </c>
      <c r="BJ413">
        <v>-0.17234996187213539</v>
      </c>
      <c r="BK413">
        <v>4.2922233140109803E-2</v>
      </c>
      <c r="BL413">
        <v>0.82768081032656138</v>
      </c>
      <c r="BM413">
        <v>4.2922233140109803E-2</v>
      </c>
      <c r="BN413">
        <v>4.2922233140109803E-2</v>
      </c>
      <c r="BO413">
        <v>0.82768081032656138</v>
      </c>
      <c r="BP413">
        <v>0.29347341936452043</v>
      </c>
      <c r="BQ413">
        <v>-0.17820295254698421</v>
      </c>
      <c r="BR413">
        <v>68.054782377480109</v>
      </c>
      <c r="BS413">
        <v>0.80630409268133385</v>
      </c>
      <c r="BT413">
        <v>68.054782377480109</v>
      </c>
      <c r="BU413">
        <v>68.054782377480109</v>
      </c>
      <c r="BV413">
        <v>0.80630409268133385</v>
      </c>
      <c r="BW413">
        <v>435.95095831172023</v>
      </c>
      <c r="BX413">
        <v>-0.24079327663199129</v>
      </c>
      <c r="BY413" t="str">
        <f t="shared" si="15"/>
        <v>[[sv,wv],[yr],[ya]]</v>
      </c>
      <c r="BZ413" t="str">
        <f>SUBSTITUTE(TRIM(MID(SUBSTITUTE(SUBSTITUTE(SUBSTITUTE(Tabla1[[#This Row],[map]],"[",""),"]",""),",",REPT(" ",100)),901,200))," ",", ")</f>
        <v>2, 4</v>
      </c>
      <c r="CA413" t="str">
        <f>SUBSTITUTE(TRIM(MID(SUBSTITUTE(SUBSTITUTE(SUBSTITUTE(Tabla1[[#This Row],[map]],"[",""),"]",""),",",REPT(" ",100)),1501,200))," ",", ")</f>
        <v>3, 4</v>
      </c>
      <c r="CB413" t="str">
        <f>SUBSTITUTE(TRIM(MID(SUBSTITUTE(SUBSTITUTE(SUBSTITUTE(Tabla1[[#This Row],[map]],"[",""),"]",""),",",REPT(" ",100)),601,300))," ",", ")</f>
        <v>1, 3, 0</v>
      </c>
      <c r="CC413" t="str">
        <f>SUBSTITUTE(TRIM(MID(SUBSTITUTE(SUBSTITUTE(SUBSTITUTE(Tabla1[[#This Row],[map]],"[",""),"]",""),",",REPT(" ",100)),1201,300))," ",", ")</f>
        <v>0, 1, 2</v>
      </c>
      <c r="CD413" t="str">
        <f>SUBSTITUTE(TRIM(MID(SUBSTITUTE(SUBSTITUTE(SUBSTITUTE(Tabla1[[#This Row],[map]],"[",""),"]",""),",",REPT(" ",100)),1,300))," ",", ")</f>
        <v>2, 3, 4</v>
      </c>
      <c r="CE413" t="str">
        <f>SUBSTITUTE(TRIM(MID(SUBSTITUTE(SUBSTITUTE(SUBSTITUTE(Tabla1[[#This Row],[map]],"[",""),"]",""),",",REPT(" ",100)),1,600))," ",", ")</f>
        <v>2, 3, 4, 0, 1, -1</v>
      </c>
      <c r="CF413" t="str">
        <f>SUBSTITUTE(TRIM(MID(SUBSTITUTE(SUBSTITUTE(SUBSTITUTE(Tabla1[[#This Row],[map]],"[",""),"]",""),",",REPT(" ",100)),601,600))," ",", ")</f>
        <v>1, 3, 0, 2, 4, -1</v>
      </c>
      <c r="CG413" t="str">
        <f>SUBSTITUTE(TRIM(MID(SUBSTITUTE(SUBSTITUTE(SUBSTITUTE(Tabla1[[#This Row],[map]],"[",""),"]",""),",",REPT(" ",100)),1201,600))," ",", ")</f>
        <v>0, 1, 2, 3, 4, -1</v>
      </c>
    </row>
    <row r="414" spans="1:85" x14ac:dyDescent="0.3">
      <c r="A414" s="1">
        <v>46110.662812499999</v>
      </c>
      <c r="B414" t="s">
        <v>652</v>
      </c>
      <c r="C414">
        <v>4</v>
      </c>
      <c r="D414" t="s">
        <v>96</v>
      </c>
      <c r="E414" t="s">
        <v>78</v>
      </c>
      <c r="F414">
        <v>16590</v>
      </c>
      <c r="G414">
        <v>4.5</v>
      </c>
      <c r="H414" t="s">
        <v>79</v>
      </c>
      <c r="I414" t="s">
        <v>80</v>
      </c>
      <c r="J414">
        <v>5</v>
      </c>
      <c r="K414">
        <v>5</v>
      </c>
      <c r="L414" t="s">
        <v>81</v>
      </c>
      <c r="M414" t="s">
        <v>82</v>
      </c>
      <c r="N414" t="s">
        <v>83</v>
      </c>
      <c r="O414" t="s">
        <v>83</v>
      </c>
      <c r="P414" t="s">
        <v>84</v>
      </c>
      <c r="Q414" t="s">
        <v>265</v>
      </c>
      <c r="R414">
        <v>3</v>
      </c>
      <c r="S414" t="s">
        <v>86</v>
      </c>
      <c r="T414" t="s">
        <v>87</v>
      </c>
      <c r="U414" t="s">
        <v>88</v>
      </c>
      <c r="V414">
        <v>1</v>
      </c>
      <c r="W414" t="s">
        <v>266</v>
      </c>
      <c r="X414" t="s">
        <v>83</v>
      </c>
      <c r="Y414" t="s">
        <v>90</v>
      </c>
      <c r="Z414">
        <v>4000</v>
      </c>
      <c r="AA414">
        <v>4000</v>
      </c>
      <c r="AC414">
        <v>256</v>
      </c>
      <c r="AD414" t="s">
        <v>91</v>
      </c>
      <c r="AE414">
        <v>0.15</v>
      </c>
      <c r="AF414" t="s">
        <v>92</v>
      </c>
      <c r="AG414">
        <v>180</v>
      </c>
      <c r="AH414">
        <v>60</v>
      </c>
      <c r="AI414">
        <v>120</v>
      </c>
      <c r="AJ414">
        <v>0.1225683426668821</v>
      </c>
      <c r="AK414">
        <v>38.143874550204828</v>
      </c>
      <c r="AL414">
        <v>0.64926682767441535</v>
      </c>
      <c r="AM414">
        <v>0.18796319126706609</v>
      </c>
      <c r="AN414">
        <v>42.260140025633717</v>
      </c>
      <c r="AO414">
        <v>0.59405857249773164</v>
      </c>
      <c r="AP414">
        <v>42.260140025633717</v>
      </c>
      <c r="AQ414">
        <v>42.260140025633717</v>
      </c>
      <c r="AR414">
        <v>0.59405857249773164</v>
      </c>
      <c r="AS414">
        <v>103.17954342774451</v>
      </c>
      <c r="AT414">
        <v>0.2199854430190584</v>
      </c>
      <c r="AU414">
        <v>0.8</v>
      </c>
      <c r="AV414" t="s">
        <v>93</v>
      </c>
      <c r="AW414">
        <v>7.7981943673029838E-2</v>
      </c>
      <c r="AX414">
        <v>0.4337502615140979</v>
      </c>
      <c r="AY414">
        <v>7.7981943673029838E-2</v>
      </c>
      <c r="AZ414">
        <v>7.7981943673029838E-2</v>
      </c>
      <c r="BA414">
        <v>0.4337502615140979</v>
      </c>
      <c r="BB414">
        <v>0.1474873122230724</v>
      </c>
      <c r="BC414">
        <v>-7.0948581718757397E-2</v>
      </c>
      <c r="BD414">
        <v>7.3537761391543346E-2</v>
      </c>
      <c r="BE414">
        <v>0.74520736312125213</v>
      </c>
      <c r="BF414">
        <v>7.3537761391543346E-2</v>
      </c>
      <c r="BG414">
        <v>7.3537761391543346E-2</v>
      </c>
      <c r="BH414">
        <v>0.74520736312125213</v>
      </c>
      <c r="BI414">
        <v>0.13186074814151519</v>
      </c>
      <c r="BJ414">
        <v>0.54313067077338717</v>
      </c>
      <c r="BK414">
        <v>8.0271285221116165E-2</v>
      </c>
      <c r="BL414">
        <v>0.67773617979763801</v>
      </c>
      <c r="BM414">
        <v>8.0271285221116165E-2</v>
      </c>
      <c r="BN414">
        <v>8.0271285221116165E-2</v>
      </c>
      <c r="BO414">
        <v>0.67773617979763801</v>
      </c>
      <c r="BP414">
        <v>0.1042830653871554</v>
      </c>
      <c r="BQ414">
        <v>0.5813364774027957</v>
      </c>
      <c r="BR414">
        <v>168.80876911224979</v>
      </c>
      <c r="BS414">
        <v>0.51954048555793564</v>
      </c>
      <c r="BT414">
        <v>168.80876911224979</v>
      </c>
      <c r="BU414">
        <v>168.80876911224979</v>
      </c>
      <c r="BV414">
        <v>0.51954048555793564</v>
      </c>
      <c r="BW414">
        <v>412.33454258522693</v>
      </c>
      <c r="BX414">
        <v>-0.1735767943811917</v>
      </c>
      <c r="BY414" t="str">
        <f t="shared" si="15"/>
        <v>[[sv,wv],[yr],[ya]]</v>
      </c>
      <c r="BZ414" t="str">
        <f>SUBSTITUTE(TRIM(MID(SUBSTITUTE(SUBSTITUTE(SUBSTITUTE(Tabla1[[#This Row],[map]],"[",""),"]",""),",",REPT(" ",100)),901,200))," ",", ")</f>
        <v>2, 4</v>
      </c>
      <c r="CA414" t="str">
        <f>SUBSTITUTE(TRIM(MID(SUBSTITUTE(SUBSTITUTE(SUBSTITUTE(Tabla1[[#This Row],[map]],"[",""),"]",""),",",REPT(" ",100)),1501,200))," ",", ")</f>
        <v>3, 2</v>
      </c>
      <c r="CB414" t="str">
        <f>SUBSTITUTE(TRIM(MID(SUBSTITUTE(SUBSTITUTE(SUBSTITUTE(Tabla1[[#This Row],[map]],"[",""),"]",""),",",REPT(" ",100)),601,300))," ",", ")</f>
        <v>0, 1, 3</v>
      </c>
      <c r="CC414" t="str">
        <f>SUBSTITUTE(TRIM(MID(SUBSTITUTE(SUBSTITUTE(SUBSTITUTE(Tabla1[[#This Row],[map]],"[",""),"]",""),",",REPT(" ",100)),1201,300))," ",", ")</f>
        <v>4, 0, 1</v>
      </c>
      <c r="CD414" t="str">
        <f>SUBSTITUTE(TRIM(MID(SUBSTITUTE(SUBSTITUTE(SUBSTITUTE(Tabla1[[#This Row],[map]],"[",""),"]",""),",",REPT(" ",100)),1,300))," ",", ")</f>
        <v>4, 2, 3</v>
      </c>
      <c r="CE414" t="str">
        <f>SUBSTITUTE(TRIM(MID(SUBSTITUTE(SUBSTITUTE(SUBSTITUTE(Tabla1[[#This Row],[map]],"[",""),"]",""),",",REPT(" ",100)),1,600))," ",", ")</f>
        <v>4, 2, 3, 0, 1, -1</v>
      </c>
      <c r="CF414" t="str">
        <f>SUBSTITUTE(TRIM(MID(SUBSTITUTE(SUBSTITUTE(SUBSTITUTE(Tabla1[[#This Row],[map]],"[",""),"]",""),",",REPT(" ",100)),601,600))," ",", ")</f>
        <v>0, 1, 3, 2, 4, -1</v>
      </c>
      <c r="CG414" t="str">
        <f>SUBSTITUTE(TRIM(MID(SUBSTITUTE(SUBSTITUTE(SUBSTITUTE(Tabla1[[#This Row],[map]],"[",""),"]",""),",",REPT(" ",100)),1201,600))," ",", ")</f>
        <v>4, 0, 1, 3, 2, -1</v>
      </c>
    </row>
    <row r="415" spans="1:85" x14ac:dyDescent="0.3">
      <c r="A415" s="1">
        <v>46110.670856481483</v>
      </c>
      <c r="B415" t="s">
        <v>653</v>
      </c>
      <c r="C415">
        <v>5</v>
      </c>
      <c r="D415" t="s">
        <v>77</v>
      </c>
      <c r="E415" t="s">
        <v>78</v>
      </c>
      <c r="F415">
        <v>16590</v>
      </c>
      <c r="G415">
        <v>4.5</v>
      </c>
      <c r="H415" t="s">
        <v>79</v>
      </c>
      <c r="I415" t="s">
        <v>80</v>
      </c>
      <c r="J415">
        <v>5</v>
      </c>
      <c r="K415">
        <v>5</v>
      </c>
      <c r="L415" t="s">
        <v>81</v>
      </c>
      <c r="M415" t="s">
        <v>82</v>
      </c>
      <c r="N415" t="s">
        <v>83</v>
      </c>
      <c r="O415" t="s">
        <v>83</v>
      </c>
      <c r="P415" t="s">
        <v>84</v>
      </c>
      <c r="Q415" t="s">
        <v>231</v>
      </c>
      <c r="R415">
        <v>3</v>
      </c>
      <c r="S415" t="s">
        <v>86</v>
      </c>
      <c r="T415" t="s">
        <v>87</v>
      </c>
      <c r="U415" t="s">
        <v>88</v>
      </c>
      <c r="V415">
        <v>1</v>
      </c>
      <c r="W415" t="s">
        <v>232</v>
      </c>
      <c r="X415" t="s">
        <v>83</v>
      </c>
      <c r="Y415" t="s">
        <v>90</v>
      </c>
      <c r="Z415">
        <v>4000</v>
      </c>
      <c r="AA415">
        <v>4000</v>
      </c>
      <c r="AC415">
        <v>256</v>
      </c>
      <c r="AD415" t="s">
        <v>91</v>
      </c>
      <c r="AE415">
        <v>0.15</v>
      </c>
      <c r="AF415" t="s">
        <v>92</v>
      </c>
      <c r="AG415">
        <v>180</v>
      </c>
      <c r="AH415">
        <v>60</v>
      </c>
      <c r="AI415">
        <v>120</v>
      </c>
      <c r="AJ415">
        <v>0.13632593011428451</v>
      </c>
      <c r="AK415">
        <v>42.234464439514547</v>
      </c>
      <c r="AL415">
        <v>0.64678614747626084</v>
      </c>
      <c r="AM415">
        <v>0.22582609417134539</v>
      </c>
      <c r="AN415">
        <v>47.893106197379879</v>
      </c>
      <c r="AO415">
        <v>0.60515526662298302</v>
      </c>
      <c r="AP415">
        <v>47.893106197379879</v>
      </c>
      <c r="AQ415">
        <v>47.893106197379879</v>
      </c>
      <c r="AR415">
        <v>0.60515526662298302</v>
      </c>
      <c r="AS415">
        <v>116.09343658910269</v>
      </c>
      <c r="AT415">
        <v>0.2356189413442687</v>
      </c>
      <c r="AU415">
        <v>0.8</v>
      </c>
      <c r="AV415" t="s">
        <v>93</v>
      </c>
      <c r="AW415">
        <v>6.9461986213827709E-2</v>
      </c>
      <c r="AX415">
        <v>0.49561616861962632</v>
      </c>
      <c r="AY415">
        <v>6.9461986213827709E-2</v>
      </c>
      <c r="AZ415">
        <v>6.9461986213827709E-2</v>
      </c>
      <c r="BA415">
        <v>0.49561616861962632</v>
      </c>
      <c r="BB415">
        <v>0.13602697828119761</v>
      </c>
      <c r="BC415">
        <v>1.2268260435845829E-2</v>
      </c>
      <c r="BD415">
        <v>0.1035602626483343</v>
      </c>
      <c r="BE415">
        <v>0.64118580853265972</v>
      </c>
      <c r="BF415">
        <v>0.1035602626483343</v>
      </c>
      <c r="BG415">
        <v>0.1035602626483343</v>
      </c>
      <c r="BH415">
        <v>0.64118580853265972</v>
      </c>
      <c r="BI415">
        <v>0.13720714250703281</v>
      </c>
      <c r="BJ415">
        <v>0.52460655619052798</v>
      </c>
      <c r="BK415">
        <v>4.2729664469262678E-2</v>
      </c>
      <c r="BL415">
        <v>0.8284539126301752</v>
      </c>
      <c r="BM415">
        <v>4.2729664469262678E-2</v>
      </c>
      <c r="BN415">
        <v>4.2729664469262678E-2</v>
      </c>
      <c r="BO415">
        <v>0.8284539126301752</v>
      </c>
      <c r="BP415">
        <v>6.8170054362756735E-2</v>
      </c>
      <c r="BQ415">
        <v>0.72631879405157984</v>
      </c>
      <c r="BR415">
        <v>191.35667287618909</v>
      </c>
      <c r="BS415">
        <v>0.45536517670946569</v>
      </c>
      <c r="BT415">
        <v>191.35667287618909</v>
      </c>
      <c r="BU415">
        <v>191.35667287618909</v>
      </c>
      <c r="BV415">
        <v>0.45536517670946569</v>
      </c>
      <c r="BW415">
        <v>464.03234218126101</v>
      </c>
      <c r="BX415">
        <v>-0.32071784530086939</v>
      </c>
      <c r="BY415" t="str">
        <f t="shared" si="15"/>
        <v>[[sv,wv],[yr],[ya]]</v>
      </c>
      <c r="BZ415" t="str">
        <f>SUBSTITUTE(TRIM(MID(SUBSTITUTE(SUBSTITUTE(SUBSTITUTE(Tabla1[[#This Row],[map]],"[",""),"]",""),",",REPT(" ",100)),901,200))," ",", ")</f>
        <v>2, 3</v>
      </c>
      <c r="CA415" t="str">
        <f>SUBSTITUTE(TRIM(MID(SUBSTITUTE(SUBSTITUTE(SUBSTITUTE(Tabla1[[#This Row],[map]],"[",""),"]",""),",",REPT(" ",100)),1501,200))," ",", ")</f>
        <v>3, 2</v>
      </c>
      <c r="CB415" t="str">
        <f>SUBSTITUTE(TRIM(MID(SUBSTITUTE(SUBSTITUTE(SUBSTITUTE(Tabla1[[#This Row],[map]],"[",""),"]",""),",",REPT(" ",100)),601,300))," ",", ")</f>
        <v>4, 0, 1</v>
      </c>
      <c r="CC415" t="str">
        <f>SUBSTITUTE(TRIM(MID(SUBSTITUTE(SUBSTITUTE(SUBSTITUTE(Tabla1[[#This Row],[map]],"[",""),"]",""),",",REPT(" ",100)),1201,300))," ",", ")</f>
        <v>4, 0, 1</v>
      </c>
      <c r="CD415" t="str">
        <f>SUBSTITUTE(TRIM(MID(SUBSTITUTE(SUBSTITUTE(SUBSTITUTE(Tabla1[[#This Row],[map]],"[",""),"]",""),",",REPT(" ",100)),1,300))," ",", ")</f>
        <v>4, 2, 3</v>
      </c>
      <c r="CE415" t="str">
        <f>SUBSTITUTE(TRIM(MID(SUBSTITUTE(SUBSTITUTE(SUBSTITUTE(Tabla1[[#This Row],[map]],"[",""),"]",""),",",REPT(" ",100)),1,600))," ",", ")</f>
        <v>4, 2, 3, 0, 1, -1</v>
      </c>
      <c r="CF415" t="str">
        <f>SUBSTITUTE(TRIM(MID(SUBSTITUTE(SUBSTITUTE(SUBSTITUTE(Tabla1[[#This Row],[map]],"[",""),"]",""),",",REPT(" ",100)),601,600))," ",", ")</f>
        <v>4, 0, 1, 2, 3, -1</v>
      </c>
      <c r="CG415" t="str">
        <f>SUBSTITUTE(TRIM(MID(SUBSTITUTE(SUBSTITUTE(SUBSTITUTE(Tabla1[[#This Row],[map]],"[",""),"]",""),",",REPT(" ",100)),1201,600))," ",", ")</f>
        <v>4, 0, 1, 3, 2, -1</v>
      </c>
    </row>
    <row r="416" spans="1:85" x14ac:dyDescent="0.3">
      <c r="A416" s="1">
        <v>46110.715763888889</v>
      </c>
      <c r="B416" t="s">
        <v>654</v>
      </c>
      <c r="C416">
        <v>7</v>
      </c>
      <c r="D416" t="s">
        <v>77</v>
      </c>
      <c r="E416" t="s">
        <v>78</v>
      </c>
      <c r="F416">
        <v>16590</v>
      </c>
      <c r="G416">
        <v>4.5</v>
      </c>
      <c r="H416" t="s">
        <v>79</v>
      </c>
      <c r="I416" t="s">
        <v>80</v>
      </c>
      <c r="J416">
        <v>5</v>
      </c>
      <c r="K416">
        <v>5</v>
      </c>
      <c r="L416" t="s">
        <v>81</v>
      </c>
      <c r="M416" t="s">
        <v>82</v>
      </c>
      <c r="N416" t="s">
        <v>83</v>
      </c>
      <c r="O416" t="s">
        <v>83</v>
      </c>
      <c r="P416" t="s">
        <v>84</v>
      </c>
      <c r="Q416" t="s">
        <v>189</v>
      </c>
      <c r="R416">
        <v>3</v>
      </c>
      <c r="S416" t="s">
        <v>86</v>
      </c>
      <c r="T416" t="s">
        <v>87</v>
      </c>
      <c r="U416" t="s">
        <v>88</v>
      </c>
      <c r="V416">
        <v>1</v>
      </c>
      <c r="W416" t="s">
        <v>190</v>
      </c>
      <c r="X416" t="s">
        <v>83</v>
      </c>
      <c r="Y416" t="s">
        <v>90</v>
      </c>
      <c r="Z416">
        <v>4000</v>
      </c>
      <c r="AA416">
        <v>4000</v>
      </c>
      <c r="AC416">
        <v>256</v>
      </c>
      <c r="AD416" t="s">
        <v>91</v>
      </c>
      <c r="AE416">
        <v>0.15</v>
      </c>
      <c r="AF416" t="s">
        <v>92</v>
      </c>
      <c r="AG416">
        <v>180</v>
      </c>
      <c r="AH416">
        <v>60</v>
      </c>
      <c r="AI416">
        <v>120</v>
      </c>
      <c r="AJ416">
        <v>0.12548439511366691</v>
      </c>
      <c r="AK416">
        <v>21.5469605142214</v>
      </c>
      <c r="AL416">
        <v>0.66623616446798994</v>
      </c>
      <c r="AM416">
        <v>0.1398737437452435</v>
      </c>
      <c r="AN416">
        <v>28.79443629675524</v>
      </c>
      <c r="AO416">
        <v>0.60301428656021727</v>
      </c>
      <c r="AP416">
        <v>28.79443629675524</v>
      </c>
      <c r="AQ416">
        <v>28.79443629675524</v>
      </c>
      <c r="AR416">
        <v>0.60301428656021727</v>
      </c>
      <c r="AS416">
        <v>122.4565902873872</v>
      </c>
      <c r="AT416">
        <v>0.17409648523044921</v>
      </c>
      <c r="AU416">
        <v>0.8</v>
      </c>
      <c r="AV416" t="s">
        <v>93</v>
      </c>
      <c r="AW416">
        <v>8.450067110087163E-2</v>
      </c>
      <c r="AX416">
        <v>0.38641587194369648</v>
      </c>
      <c r="AY416">
        <v>8.450067110087163E-2</v>
      </c>
      <c r="AZ416">
        <v>8.450067110087163E-2</v>
      </c>
      <c r="BA416">
        <v>0.38641587194369648</v>
      </c>
      <c r="BB416">
        <v>0.10288076861850939</v>
      </c>
      <c r="BC416">
        <v>0.25295259926167352</v>
      </c>
      <c r="BD416">
        <v>0.1080135057530557</v>
      </c>
      <c r="BE416">
        <v>0.62575627230741715</v>
      </c>
      <c r="BF416">
        <v>0.1080135057530557</v>
      </c>
      <c r="BG416">
        <v>0.1080135057530557</v>
      </c>
      <c r="BH416">
        <v>0.62575627230741715</v>
      </c>
      <c r="BI416">
        <v>0.1339220153216627</v>
      </c>
      <c r="BJ416">
        <v>0.53598882024376526</v>
      </c>
      <c r="BK416">
        <v>6.8010421537960344E-2</v>
      </c>
      <c r="BL416">
        <v>0.72695966935097078</v>
      </c>
      <c r="BM416">
        <v>6.8010421537960344E-2</v>
      </c>
      <c r="BN416">
        <v>6.8010421537960344E-2</v>
      </c>
      <c r="BO416">
        <v>0.72695966935097078</v>
      </c>
      <c r="BP416">
        <v>0.17425862513219181</v>
      </c>
      <c r="BQ416">
        <v>0.30040673842931442</v>
      </c>
      <c r="BR416">
        <v>114.91722058862911</v>
      </c>
      <c r="BS416">
        <v>0.67292533263879029</v>
      </c>
      <c r="BT416">
        <v>114.91722058862911</v>
      </c>
      <c r="BU416">
        <v>114.91722058862911</v>
      </c>
      <c r="BV416">
        <v>0.67292533263879029</v>
      </c>
      <c r="BW416">
        <v>489.41529974047643</v>
      </c>
      <c r="BX416">
        <v>-0.39296221701294992</v>
      </c>
      <c r="BY416" t="str">
        <f t="shared" si="15"/>
        <v>[[sv,wv],[yr],[ya]]</v>
      </c>
      <c r="BZ416" t="str">
        <f>SUBSTITUTE(TRIM(MID(SUBSTITUTE(SUBSTITUTE(SUBSTITUTE(Tabla1[[#This Row],[map]],"[",""),"]",""),",",REPT(" ",100)),901,200))," ",", ")</f>
        <v>2, 3</v>
      </c>
      <c r="CA416" t="str">
        <f>SUBSTITUTE(TRIM(MID(SUBSTITUTE(SUBSTITUTE(SUBSTITUTE(Tabla1[[#This Row],[map]],"[",""),"]",""),",",REPT(" ",100)),1501,200))," ",", ")</f>
        <v>3, 2</v>
      </c>
      <c r="CB416" t="str">
        <f>SUBSTITUTE(TRIM(MID(SUBSTITUTE(SUBSTITUTE(SUBSTITUTE(Tabla1[[#This Row],[map]],"[",""),"]",""),",",REPT(" ",100)),601,300))," ",", ")</f>
        <v>0, 1, 4</v>
      </c>
      <c r="CC416" t="str">
        <f>SUBSTITUTE(TRIM(MID(SUBSTITUTE(SUBSTITUTE(SUBSTITUTE(Tabla1[[#This Row],[map]],"[",""),"]",""),",",REPT(" ",100)),1201,300))," ",", ")</f>
        <v>0, 1, 4</v>
      </c>
      <c r="CD416" t="str">
        <f>SUBSTITUTE(TRIM(MID(SUBSTITUTE(SUBSTITUTE(SUBSTITUTE(Tabla1[[#This Row],[map]],"[",""),"]",""),",",REPT(" ",100)),1,300))," ",", ")</f>
        <v>4, 2, 3</v>
      </c>
      <c r="CE416" t="str">
        <f>SUBSTITUTE(TRIM(MID(SUBSTITUTE(SUBSTITUTE(SUBSTITUTE(Tabla1[[#This Row],[map]],"[",""),"]",""),",",REPT(" ",100)),1,600))," ",", ")</f>
        <v>4, 2, 3, 0, 1, -1</v>
      </c>
      <c r="CF416" t="str">
        <f>SUBSTITUTE(TRIM(MID(SUBSTITUTE(SUBSTITUTE(SUBSTITUTE(Tabla1[[#This Row],[map]],"[",""),"]",""),",",REPT(" ",100)),601,600))," ",", ")</f>
        <v>0, 1, 4, 2, 3, -1</v>
      </c>
      <c r="CG416" t="str">
        <f>SUBSTITUTE(TRIM(MID(SUBSTITUTE(SUBSTITUTE(SUBSTITUTE(Tabla1[[#This Row],[map]],"[",""),"]",""),",",REPT(" ",100)),1201,600))," ",", ")</f>
        <v>0, 1, 4, 3, 2, -1</v>
      </c>
    </row>
    <row r="417" spans="1:85" x14ac:dyDescent="0.3">
      <c r="A417" s="1">
        <v>46110.73636574074</v>
      </c>
      <c r="B417" t="s">
        <v>655</v>
      </c>
      <c r="C417">
        <v>8</v>
      </c>
      <c r="D417" t="s">
        <v>77</v>
      </c>
      <c r="E417" t="s">
        <v>78</v>
      </c>
      <c r="F417">
        <v>16590</v>
      </c>
      <c r="G417">
        <v>4.5</v>
      </c>
      <c r="H417" t="s">
        <v>79</v>
      </c>
      <c r="I417" t="s">
        <v>80</v>
      </c>
      <c r="J417">
        <v>5</v>
      </c>
      <c r="K417">
        <v>5</v>
      </c>
      <c r="L417" t="s">
        <v>81</v>
      </c>
      <c r="M417" t="s">
        <v>82</v>
      </c>
      <c r="N417" t="s">
        <v>83</v>
      </c>
      <c r="O417" t="s">
        <v>83</v>
      </c>
      <c r="P417" t="s">
        <v>84</v>
      </c>
      <c r="Q417" t="s">
        <v>435</v>
      </c>
      <c r="R417">
        <v>3</v>
      </c>
      <c r="S417" t="s">
        <v>86</v>
      </c>
      <c r="T417" t="s">
        <v>87</v>
      </c>
      <c r="U417" t="s">
        <v>88</v>
      </c>
      <c r="V417">
        <v>1</v>
      </c>
      <c r="W417" t="s">
        <v>436</v>
      </c>
      <c r="X417" t="s">
        <v>83</v>
      </c>
      <c r="Y417" t="s">
        <v>90</v>
      </c>
      <c r="Z417">
        <v>4000</v>
      </c>
      <c r="AA417">
        <v>4000</v>
      </c>
      <c r="AC417">
        <v>256</v>
      </c>
      <c r="AD417" t="s">
        <v>91</v>
      </c>
      <c r="AE417">
        <v>0.15</v>
      </c>
      <c r="AF417" t="s">
        <v>92</v>
      </c>
      <c r="AG417">
        <v>180</v>
      </c>
      <c r="AH417">
        <v>60</v>
      </c>
      <c r="AI417">
        <v>120</v>
      </c>
      <c r="AJ417">
        <v>9.804955220418321E-2</v>
      </c>
      <c r="AK417">
        <v>13.26231669327289</v>
      </c>
      <c r="AL417">
        <v>0.76040753393659988</v>
      </c>
      <c r="AM417">
        <v>-0.1917100279535186</v>
      </c>
      <c r="AN417">
        <v>17.88421805971057</v>
      </c>
      <c r="AO417">
        <v>0.69372448317980817</v>
      </c>
      <c r="AP417">
        <v>17.88421805971057</v>
      </c>
      <c r="AQ417">
        <v>17.88421805971057</v>
      </c>
      <c r="AR417">
        <v>0.69372448317980817</v>
      </c>
      <c r="AS417">
        <v>106.15170997819889</v>
      </c>
      <c r="AT417">
        <v>-0.19135790917626441</v>
      </c>
      <c r="AU417">
        <v>0.8</v>
      </c>
      <c r="AV417" t="s">
        <v>93</v>
      </c>
      <c r="AW417">
        <v>8.7347227857555471E-2</v>
      </c>
      <c r="AX417">
        <v>0.36574618941031578</v>
      </c>
      <c r="AY417">
        <v>8.7347227857555471E-2</v>
      </c>
      <c r="AZ417">
        <v>8.7347227857555471E-2</v>
      </c>
      <c r="BA417">
        <v>0.36574618941031578</v>
      </c>
      <c r="BB417">
        <v>0.16773609823271601</v>
      </c>
      <c r="BC417">
        <v>-0.21798094898947951</v>
      </c>
      <c r="BD417">
        <v>5.8835763036335011E-2</v>
      </c>
      <c r="BE417">
        <v>0.79614664733967699</v>
      </c>
      <c r="BF417">
        <v>5.8835763036335011E-2</v>
      </c>
      <c r="BG417">
        <v>5.8835763036335011E-2</v>
      </c>
      <c r="BH417">
        <v>0.79614664733967699</v>
      </c>
      <c r="BI417">
        <v>0.31797347464003273</v>
      </c>
      <c r="BJ417">
        <v>-0.1017101762136101</v>
      </c>
      <c r="BK417">
        <v>4.5815518875525922E-2</v>
      </c>
      <c r="BL417">
        <v>0.81606518325065502</v>
      </c>
      <c r="BM417">
        <v>4.5815518875525922E-2</v>
      </c>
      <c r="BN417">
        <v>4.5815518875525922E-2</v>
      </c>
      <c r="BO417">
        <v>0.81606518325065502</v>
      </c>
      <c r="BP417">
        <v>0.30874057184524029</v>
      </c>
      <c r="BQ417">
        <v>-0.23949574072766319</v>
      </c>
      <c r="BR417">
        <v>71.344873729073171</v>
      </c>
      <c r="BS417">
        <v>0.79693991271858966</v>
      </c>
      <c r="BT417">
        <v>71.344873729073171</v>
      </c>
      <c r="BU417">
        <v>71.344873729073171</v>
      </c>
      <c r="BV417">
        <v>0.79693991271858966</v>
      </c>
      <c r="BW417">
        <v>423.81238976807782</v>
      </c>
      <c r="BX417">
        <v>-0.20624477077432421</v>
      </c>
      <c r="BY417" t="str">
        <f t="shared" si="15"/>
        <v>[[sv,wv],[yr],[ya]]</v>
      </c>
      <c r="BZ417" t="str">
        <f>SUBSTITUTE(TRIM(MID(SUBSTITUTE(SUBSTITUTE(SUBSTITUTE(Tabla1[[#This Row],[map]],"[",""),"]",""),",",REPT(" ",100)),901,200))," ",", ")</f>
        <v>2, 4</v>
      </c>
      <c r="CA417" t="str">
        <f>SUBSTITUTE(TRIM(MID(SUBSTITUTE(SUBSTITUTE(SUBSTITUTE(Tabla1[[#This Row],[map]],"[",""),"]",""),",",REPT(" ",100)),1501,200))," ",", ")</f>
        <v>3, 4</v>
      </c>
      <c r="CB417" t="str">
        <f>SUBSTITUTE(TRIM(MID(SUBSTITUTE(SUBSTITUTE(SUBSTITUTE(Tabla1[[#This Row],[map]],"[",""),"]",""),",",REPT(" ",100)),601,300))," ",", ")</f>
        <v>1, 3, 0</v>
      </c>
      <c r="CC417" t="str">
        <f>SUBSTITUTE(TRIM(MID(SUBSTITUTE(SUBSTITUTE(SUBSTITUTE(Tabla1[[#This Row],[map]],"[",""),"]",""),",",REPT(" ",100)),1201,300))," ",", ")</f>
        <v>1, 2, 0</v>
      </c>
      <c r="CD417" t="str">
        <f>SUBSTITUTE(TRIM(MID(SUBSTITUTE(SUBSTITUTE(SUBSTITUTE(Tabla1[[#This Row],[map]],"[",""),"]",""),",",REPT(" ",100)),1,300))," ",", ")</f>
        <v>2, 3, 4</v>
      </c>
      <c r="CE417" t="str">
        <f>SUBSTITUTE(TRIM(MID(SUBSTITUTE(SUBSTITUTE(SUBSTITUTE(Tabla1[[#This Row],[map]],"[",""),"]",""),",",REPT(" ",100)),1,600))," ",", ")</f>
        <v>2, 3, 4, 0, 1, -1</v>
      </c>
      <c r="CF417" t="str">
        <f>SUBSTITUTE(TRIM(MID(SUBSTITUTE(SUBSTITUTE(SUBSTITUTE(Tabla1[[#This Row],[map]],"[",""),"]",""),",",REPT(" ",100)),601,600))," ",", ")</f>
        <v>1, 3, 0, 2, 4, -1</v>
      </c>
      <c r="CG417" t="str">
        <f>SUBSTITUTE(TRIM(MID(SUBSTITUTE(SUBSTITUTE(SUBSTITUTE(Tabla1[[#This Row],[map]],"[",""),"]",""),",",REPT(" ",100)),1201,600))," ",", ")</f>
        <v>1, 2, 0, 3, 4, -1</v>
      </c>
    </row>
    <row r="418" spans="1:85" x14ac:dyDescent="0.3">
      <c r="A418" s="1">
        <v>46110.747372685182</v>
      </c>
      <c r="B418" t="s">
        <v>656</v>
      </c>
      <c r="C418">
        <v>6</v>
      </c>
      <c r="D418" t="s">
        <v>77</v>
      </c>
      <c r="E418" t="s">
        <v>78</v>
      </c>
      <c r="F418">
        <v>16590</v>
      </c>
      <c r="G418">
        <v>4.5</v>
      </c>
      <c r="H418" t="s">
        <v>79</v>
      </c>
      <c r="I418" t="s">
        <v>80</v>
      </c>
      <c r="J418">
        <v>5</v>
      </c>
      <c r="K418">
        <v>5</v>
      </c>
      <c r="L418" t="s">
        <v>81</v>
      </c>
      <c r="M418" t="s">
        <v>82</v>
      </c>
      <c r="N418" t="s">
        <v>83</v>
      </c>
      <c r="O418" t="s">
        <v>83</v>
      </c>
      <c r="P418" t="s">
        <v>84</v>
      </c>
      <c r="Q418" t="s">
        <v>449</v>
      </c>
      <c r="R418">
        <v>3</v>
      </c>
      <c r="S418" t="s">
        <v>86</v>
      </c>
      <c r="T418" t="s">
        <v>87</v>
      </c>
      <c r="U418" t="s">
        <v>88</v>
      </c>
      <c r="V418">
        <v>1</v>
      </c>
      <c r="W418" t="s">
        <v>450</v>
      </c>
      <c r="X418" t="s">
        <v>83</v>
      </c>
      <c r="Y418" t="s">
        <v>90</v>
      </c>
      <c r="Z418">
        <v>4000</v>
      </c>
      <c r="AA418">
        <v>4000</v>
      </c>
      <c r="AC418">
        <v>256</v>
      </c>
      <c r="AD418" t="s">
        <v>91</v>
      </c>
      <c r="AE418">
        <v>0.15</v>
      </c>
      <c r="AF418" t="s">
        <v>92</v>
      </c>
      <c r="AG418">
        <v>180</v>
      </c>
      <c r="AH418">
        <v>60</v>
      </c>
      <c r="AI418">
        <v>120</v>
      </c>
      <c r="AJ418">
        <v>0.1156608052464749</v>
      </c>
      <c r="AK418">
        <v>12.892913214785001</v>
      </c>
      <c r="AL418">
        <v>0.70743088050002756</v>
      </c>
      <c r="AM418">
        <v>-9.9214109076709051E-2</v>
      </c>
      <c r="AN418">
        <v>18.713473265062181</v>
      </c>
      <c r="AO418">
        <v>0.6620085145953335</v>
      </c>
      <c r="AP418">
        <v>18.713473265062181</v>
      </c>
      <c r="AQ418">
        <v>18.713473265062181</v>
      </c>
      <c r="AR418">
        <v>0.6620085145953335</v>
      </c>
      <c r="AS418">
        <v>81.653604591479194</v>
      </c>
      <c r="AT418">
        <v>-0.1197685842534066</v>
      </c>
      <c r="AU418">
        <v>0.8</v>
      </c>
      <c r="AV418" t="s">
        <v>93</v>
      </c>
      <c r="AW418">
        <v>8.0485822038122254E-2</v>
      </c>
      <c r="AX418">
        <v>0.41556886717262242</v>
      </c>
      <c r="AY418">
        <v>8.0485822038122254E-2</v>
      </c>
      <c r="AZ418">
        <v>8.0485822038122254E-2</v>
      </c>
      <c r="BA418">
        <v>0.41556886717262242</v>
      </c>
      <c r="BB418">
        <v>0.1786527207277859</v>
      </c>
      <c r="BC418">
        <v>-0.29724974304392321</v>
      </c>
      <c r="BD418">
        <v>9.8916670909106164E-2</v>
      </c>
      <c r="BE418">
        <v>0.65727486212142427</v>
      </c>
      <c r="BF418">
        <v>9.8916670909106164E-2</v>
      </c>
      <c r="BG418">
        <v>9.8916670909106164E-2</v>
      </c>
      <c r="BH418">
        <v>0.65727486212142427</v>
      </c>
      <c r="BI418">
        <v>0.1275724698231612</v>
      </c>
      <c r="BJ418">
        <v>0.5579886392473774</v>
      </c>
      <c r="BK418">
        <v>5.2911641115016832E-2</v>
      </c>
      <c r="BL418">
        <v>0.78757649697608034</v>
      </c>
      <c r="BM418">
        <v>5.2911641115016832E-2</v>
      </c>
      <c r="BN418">
        <v>5.2911641115016832E-2</v>
      </c>
      <c r="BO418">
        <v>0.78757649697608034</v>
      </c>
      <c r="BP418">
        <v>0.45143468151483052</v>
      </c>
      <c r="BQ418">
        <v>-0.81236745663236998</v>
      </c>
      <c r="BR418">
        <v>74.621578926186629</v>
      </c>
      <c r="BS418">
        <v>0.78761383211120095</v>
      </c>
      <c r="BT418">
        <v>74.621578926186629</v>
      </c>
      <c r="BU418">
        <v>74.621578926186629</v>
      </c>
      <c r="BV418">
        <v>0.78761383211120095</v>
      </c>
      <c r="BW418">
        <v>325.85675849385183</v>
      </c>
      <c r="BX418">
        <v>7.2554223415280839E-2</v>
      </c>
      <c r="BY418" t="str">
        <f t="shared" si="15"/>
        <v>[[sv,wv],[yr],[ya]]</v>
      </c>
      <c r="BZ418" t="str">
        <f>SUBSTITUTE(TRIM(MID(SUBSTITUTE(SUBSTITUTE(SUBSTITUTE(Tabla1[[#This Row],[map]],"[",""),"]",""),",",REPT(" ",100)),901,200))," ",", ")</f>
        <v>2, 4</v>
      </c>
      <c r="CA418" t="str">
        <f>SUBSTITUTE(TRIM(MID(SUBSTITUTE(SUBSTITUTE(SUBSTITUTE(Tabla1[[#This Row],[map]],"[",""),"]",""),",",REPT(" ",100)),1501,200))," ",", ")</f>
        <v>3, 2</v>
      </c>
      <c r="CB418" t="str">
        <f>SUBSTITUTE(TRIM(MID(SUBSTITUTE(SUBSTITUTE(SUBSTITUTE(Tabla1[[#This Row],[map]],"[",""),"]",""),",",REPT(" ",100)),601,300))," ",", ")</f>
        <v>1, 3, 0</v>
      </c>
      <c r="CC418" t="str">
        <f>SUBSTITUTE(TRIM(MID(SUBSTITUTE(SUBSTITUTE(SUBSTITUTE(Tabla1[[#This Row],[map]],"[",""),"]",""),",",REPT(" ",100)),1201,300))," ",", ")</f>
        <v>0, 1, 4</v>
      </c>
      <c r="CD418" t="str">
        <f>SUBSTITUTE(TRIM(MID(SUBSTITUTE(SUBSTITUTE(SUBSTITUTE(Tabla1[[#This Row],[map]],"[",""),"]",""),",",REPT(" ",100)),1,300))," ",", ")</f>
        <v>4, 2, 3</v>
      </c>
      <c r="CE418" t="str">
        <f>SUBSTITUTE(TRIM(MID(SUBSTITUTE(SUBSTITUTE(SUBSTITUTE(Tabla1[[#This Row],[map]],"[",""),"]",""),",",REPT(" ",100)),1,600))," ",", ")</f>
        <v>4, 2, 3, 0, 1, -1</v>
      </c>
      <c r="CF418" t="str">
        <f>SUBSTITUTE(TRIM(MID(SUBSTITUTE(SUBSTITUTE(SUBSTITUTE(Tabla1[[#This Row],[map]],"[",""),"]",""),",",REPT(" ",100)),601,600))," ",", ")</f>
        <v>1, 3, 0, 2, 4, -1</v>
      </c>
      <c r="CG418" t="str">
        <f>SUBSTITUTE(TRIM(MID(SUBSTITUTE(SUBSTITUTE(SUBSTITUTE(Tabla1[[#This Row],[map]],"[",""),"]",""),",",REPT(" ",100)),1201,600))," ",", ")</f>
        <v>0, 1, 4, 3, 2, -1</v>
      </c>
    </row>
    <row r="419" spans="1:85" x14ac:dyDescent="0.3">
      <c r="A419" s="1">
        <v>46110.758819444447</v>
      </c>
      <c r="B419" t="s">
        <v>657</v>
      </c>
      <c r="C419">
        <v>9</v>
      </c>
      <c r="D419" t="s">
        <v>96</v>
      </c>
      <c r="E419" t="s">
        <v>78</v>
      </c>
      <c r="F419">
        <v>16590</v>
      </c>
      <c r="G419">
        <v>4.5</v>
      </c>
      <c r="H419" t="s">
        <v>79</v>
      </c>
      <c r="I419" t="s">
        <v>80</v>
      </c>
      <c r="J419">
        <v>5</v>
      </c>
      <c r="K419">
        <v>5</v>
      </c>
      <c r="L419" t="s">
        <v>81</v>
      </c>
      <c r="M419" t="s">
        <v>82</v>
      </c>
      <c r="N419" t="s">
        <v>83</v>
      </c>
      <c r="O419" t="s">
        <v>83</v>
      </c>
      <c r="P419" t="s">
        <v>84</v>
      </c>
      <c r="Q419" t="s">
        <v>435</v>
      </c>
      <c r="R419">
        <v>3</v>
      </c>
      <c r="S419" t="s">
        <v>86</v>
      </c>
      <c r="T419" t="s">
        <v>87</v>
      </c>
      <c r="U419" t="s">
        <v>88</v>
      </c>
      <c r="V419">
        <v>1</v>
      </c>
      <c r="W419" t="s">
        <v>436</v>
      </c>
      <c r="X419" t="s">
        <v>83</v>
      </c>
      <c r="Y419" t="s">
        <v>90</v>
      </c>
      <c r="Z419">
        <v>4000</v>
      </c>
      <c r="AA419">
        <v>4000</v>
      </c>
      <c r="AC419">
        <v>256</v>
      </c>
      <c r="AD419" t="s">
        <v>91</v>
      </c>
      <c r="AE419">
        <v>0.15</v>
      </c>
      <c r="AF419" t="s">
        <v>92</v>
      </c>
      <c r="AG419">
        <v>180</v>
      </c>
      <c r="AH419">
        <v>60</v>
      </c>
      <c r="AI419">
        <v>120</v>
      </c>
      <c r="AJ419">
        <v>0.1075557328520447</v>
      </c>
      <c r="AK419">
        <v>20.826809964075611</v>
      </c>
      <c r="AL419">
        <v>0.79835935960445248</v>
      </c>
      <c r="AM419">
        <v>-0.14589609094565409</v>
      </c>
      <c r="AN419">
        <v>26.623927481339329</v>
      </c>
      <c r="AO419">
        <v>0.74946025659941784</v>
      </c>
      <c r="AP419">
        <v>26.623927481339329</v>
      </c>
      <c r="AQ419">
        <v>26.623927481339329</v>
      </c>
      <c r="AR419">
        <v>0.74946025659941784</v>
      </c>
      <c r="AS419">
        <v>100.8962638011734</v>
      </c>
      <c r="AT419">
        <v>-0.10962697362538409</v>
      </c>
      <c r="AU419">
        <v>0.8</v>
      </c>
      <c r="AV419" t="s">
        <v>93</v>
      </c>
      <c r="AW419">
        <v>5.3489771864559971E-2</v>
      </c>
      <c r="AX419">
        <v>0.61159509620618768</v>
      </c>
      <c r="AY419">
        <v>5.3489771864559971E-2</v>
      </c>
      <c r="AZ419">
        <v>5.3489771864559971E-2</v>
      </c>
      <c r="BA419">
        <v>0.61159509620618768</v>
      </c>
      <c r="BB419">
        <v>0.153284922024579</v>
      </c>
      <c r="BC419">
        <v>-0.1130467249467748</v>
      </c>
      <c r="BD419">
        <v>4.8401163289204567E-2</v>
      </c>
      <c r="BE419">
        <v>0.83230030682068779</v>
      </c>
      <c r="BF419">
        <v>4.8401163289204567E-2</v>
      </c>
      <c r="BG419">
        <v>4.8401163289204567E-2</v>
      </c>
      <c r="BH419">
        <v>0.83230030682068779</v>
      </c>
      <c r="BI419">
        <v>0.32683814010636392</v>
      </c>
      <c r="BJ419">
        <v>-0.1324243487213721</v>
      </c>
      <c r="BK419">
        <v>3.5704041337754268E-2</v>
      </c>
      <c r="BL419">
        <v>0.85665956728520221</v>
      </c>
      <c r="BM419">
        <v>3.5704041337754268E-2</v>
      </c>
      <c r="BN419">
        <v>3.5704041337754268E-2</v>
      </c>
      <c r="BO419">
        <v>0.85665956728520221</v>
      </c>
      <c r="BP419">
        <v>0.26066088645862379</v>
      </c>
      <c r="BQ419">
        <v>-4.6471011596470158E-2</v>
      </c>
      <c r="BR419">
        <v>106.3581149488659</v>
      </c>
      <c r="BS419">
        <v>0.69728605608559469</v>
      </c>
      <c r="BT419">
        <v>106.3581149488659</v>
      </c>
      <c r="BU419">
        <v>106.3581149488659</v>
      </c>
      <c r="BV419">
        <v>0.69728605608559469</v>
      </c>
      <c r="BW419">
        <v>402.84427125610381</v>
      </c>
      <c r="BX419">
        <v>-0.14656580923691889</v>
      </c>
      <c r="BY419" t="str">
        <f t="shared" si="15"/>
        <v>[[sv,wv],[yr],[ya]]</v>
      </c>
      <c r="BZ419" t="str">
        <f>SUBSTITUTE(TRIM(MID(SUBSTITUTE(SUBSTITUTE(SUBSTITUTE(Tabla1[[#This Row],[map]],"[",""),"]",""),",",REPT(" ",100)),901,200))," ",", ")</f>
        <v>2, 4</v>
      </c>
      <c r="CA419" t="str">
        <f>SUBSTITUTE(TRIM(MID(SUBSTITUTE(SUBSTITUTE(SUBSTITUTE(Tabla1[[#This Row],[map]],"[",""),"]",""),",",REPT(" ",100)),1501,200))," ",", ")</f>
        <v>3, 4</v>
      </c>
      <c r="CB419" t="str">
        <f>SUBSTITUTE(TRIM(MID(SUBSTITUTE(SUBSTITUTE(SUBSTITUTE(Tabla1[[#This Row],[map]],"[",""),"]",""),",",REPT(" ",100)),601,300))," ",", ")</f>
        <v>1, 3, 0</v>
      </c>
      <c r="CC419" t="str">
        <f>SUBSTITUTE(TRIM(MID(SUBSTITUTE(SUBSTITUTE(SUBSTITUTE(Tabla1[[#This Row],[map]],"[",""),"]",""),",",REPT(" ",100)),1201,300))," ",", ")</f>
        <v>1, 2, 0</v>
      </c>
      <c r="CD419" t="str">
        <f>SUBSTITUTE(TRIM(MID(SUBSTITUTE(SUBSTITUTE(SUBSTITUTE(Tabla1[[#This Row],[map]],"[",""),"]",""),",",REPT(" ",100)),1,300))," ",", ")</f>
        <v>2, 3, 4</v>
      </c>
      <c r="CE419" t="str">
        <f>SUBSTITUTE(TRIM(MID(SUBSTITUTE(SUBSTITUTE(SUBSTITUTE(Tabla1[[#This Row],[map]],"[",""),"]",""),",",REPT(" ",100)),1,600))," ",", ")</f>
        <v>2, 3, 4, 0, 1, -1</v>
      </c>
      <c r="CF419" t="str">
        <f>SUBSTITUTE(TRIM(MID(SUBSTITUTE(SUBSTITUTE(SUBSTITUTE(Tabla1[[#This Row],[map]],"[",""),"]",""),",",REPT(" ",100)),601,600))," ",", ")</f>
        <v>1, 3, 0, 2, 4, -1</v>
      </c>
      <c r="CG419" t="str">
        <f>SUBSTITUTE(TRIM(MID(SUBSTITUTE(SUBSTITUTE(SUBSTITUTE(Tabla1[[#This Row],[map]],"[",""),"]",""),",",REPT(" ",100)),1201,600))," ",", ")</f>
        <v>1, 2, 0, 3, 4, -1</v>
      </c>
    </row>
    <row r="420" spans="1:85" x14ac:dyDescent="0.3">
      <c r="A420" s="1">
        <v>46110.787164351852</v>
      </c>
      <c r="B420" t="s">
        <v>658</v>
      </c>
      <c r="C420">
        <v>4</v>
      </c>
      <c r="D420" t="s">
        <v>96</v>
      </c>
      <c r="E420" t="s">
        <v>78</v>
      </c>
      <c r="F420">
        <v>16590</v>
      </c>
      <c r="G420">
        <v>4.5</v>
      </c>
      <c r="H420" t="s">
        <v>79</v>
      </c>
      <c r="I420" t="s">
        <v>80</v>
      </c>
      <c r="J420">
        <v>5</v>
      </c>
      <c r="K420">
        <v>5</v>
      </c>
      <c r="L420" t="s">
        <v>81</v>
      </c>
      <c r="M420" t="s">
        <v>82</v>
      </c>
      <c r="N420" t="s">
        <v>83</v>
      </c>
      <c r="O420" t="s">
        <v>83</v>
      </c>
      <c r="P420" t="s">
        <v>84</v>
      </c>
      <c r="Q420" t="s">
        <v>279</v>
      </c>
      <c r="R420">
        <v>3</v>
      </c>
      <c r="S420" t="s">
        <v>86</v>
      </c>
      <c r="T420" t="s">
        <v>87</v>
      </c>
      <c r="U420" t="s">
        <v>88</v>
      </c>
      <c r="V420">
        <v>1</v>
      </c>
      <c r="W420" t="s">
        <v>280</v>
      </c>
      <c r="X420" t="s">
        <v>83</v>
      </c>
      <c r="Y420" t="s">
        <v>90</v>
      </c>
      <c r="Z420">
        <v>4000</v>
      </c>
      <c r="AA420">
        <v>4000</v>
      </c>
      <c r="AC420">
        <v>256</v>
      </c>
      <c r="AD420" t="s">
        <v>91</v>
      </c>
      <c r="AE420">
        <v>0.15</v>
      </c>
      <c r="AF420" t="s">
        <v>92</v>
      </c>
      <c r="AG420">
        <v>180</v>
      </c>
      <c r="AH420">
        <v>60</v>
      </c>
      <c r="AI420">
        <v>120</v>
      </c>
      <c r="AJ420">
        <v>0.1067305070380664</v>
      </c>
      <c r="AK420">
        <v>14.95136999234602</v>
      </c>
      <c r="AL420">
        <v>0.71539829814537459</v>
      </c>
      <c r="AM420">
        <v>0.16707073771014549</v>
      </c>
      <c r="AN420">
        <v>16.917366479571822</v>
      </c>
      <c r="AO420">
        <v>0.65800137073620935</v>
      </c>
      <c r="AP420">
        <v>16.917366479571822</v>
      </c>
      <c r="AQ420">
        <v>16.917366479571822</v>
      </c>
      <c r="AR420">
        <v>0.65800137073620935</v>
      </c>
      <c r="AS420">
        <v>97.135866261636878</v>
      </c>
      <c r="AT420">
        <v>0.19072153682319939</v>
      </c>
      <c r="AU420">
        <v>0.8</v>
      </c>
      <c r="AV420" t="s">
        <v>93</v>
      </c>
      <c r="AW420">
        <v>7.7421241728029111E-2</v>
      </c>
      <c r="AX420">
        <v>0.43782168259916898</v>
      </c>
      <c r="AY420">
        <v>7.7421241728029111E-2</v>
      </c>
      <c r="AZ420">
        <v>7.7421241728029111E-2</v>
      </c>
      <c r="BA420">
        <v>0.43782168259916898</v>
      </c>
      <c r="BB420">
        <v>0.13761153910320781</v>
      </c>
      <c r="BC420">
        <v>7.6230009661226728E-4</v>
      </c>
      <c r="BD420">
        <v>7.336606080222112E-2</v>
      </c>
      <c r="BE420">
        <v>0.74580226899109636</v>
      </c>
      <c r="BF420">
        <v>7.336606080222112E-2</v>
      </c>
      <c r="BG420">
        <v>7.336606080222112E-2</v>
      </c>
      <c r="BH420">
        <v>0.74580226899109636</v>
      </c>
      <c r="BI420">
        <v>0.1148490024157653</v>
      </c>
      <c r="BJ420">
        <v>0.60207273631025071</v>
      </c>
      <c r="BK420">
        <v>8.9596950320695368E-2</v>
      </c>
      <c r="BL420">
        <v>0.64029658414846247</v>
      </c>
      <c r="BM420">
        <v>8.9596950320695368E-2</v>
      </c>
      <c r="BN420">
        <v>8.9596950320695368E-2</v>
      </c>
      <c r="BO420">
        <v>0.64029658414846247</v>
      </c>
      <c r="BP420">
        <v>0.18315902339005219</v>
      </c>
      <c r="BQ420">
        <v>0.26467445463692768</v>
      </c>
      <c r="BR420">
        <v>67.429081665436243</v>
      </c>
      <c r="BS420">
        <v>0.80808494720610535</v>
      </c>
      <c r="BT420">
        <v>67.429081665436243</v>
      </c>
      <c r="BU420">
        <v>67.429081665436243</v>
      </c>
      <c r="BV420">
        <v>0.80808494720610535</v>
      </c>
      <c r="BW420">
        <v>388.10784548163758</v>
      </c>
      <c r="BX420">
        <v>-0.10462334375099649</v>
      </c>
      <c r="BY420" t="str">
        <f t="shared" si="15"/>
        <v>[[sv,wv],[yr],[ya]]</v>
      </c>
      <c r="BZ420" t="str">
        <f>SUBSTITUTE(TRIM(MID(SUBSTITUTE(SUBSTITUTE(SUBSTITUTE(Tabla1[[#This Row],[map]],"[",""),"]",""),",",REPT(" ",100)),901,200))," ",", ")</f>
        <v>2, 4</v>
      </c>
      <c r="CA420" t="str">
        <f>SUBSTITUTE(TRIM(MID(SUBSTITUTE(SUBSTITUTE(SUBSTITUTE(Tabla1[[#This Row],[map]],"[",""),"]",""),",",REPT(" ",100)),1501,200))," ",", ")</f>
        <v>3, 4</v>
      </c>
      <c r="CB420" t="str">
        <f>SUBSTITUTE(TRIM(MID(SUBSTITUTE(SUBSTITUTE(SUBSTITUTE(Tabla1[[#This Row],[map]],"[",""),"]",""),",",REPT(" ",100)),601,300))," ",", ")</f>
        <v>0, 1, 3</v>
      </c>
      <c r="CC420" t="str">
        <f>SUBSTITUTE(TRIM(MID(SUBSTITUTE(SUBSTITUTE(SUBSTITUTE(Tabla1[[#This Row],[map]],"[",""),"]",""),",",REPT(" ",100)),1201,300))," ",", ")</f>
        <v>2, 0, 1</v>
      </c>
      <c r="CD420" t="str">
        <f>SUBSTITUTE(TRIM(MID(SUBSTITUTE(SUBSTITUTE(SUBSTITUTE(Tabla1[[#This Row],[map]],"[",""),"]",""),",",REPT(" ",100)),1,300))," ",", ")</f>
        <v>4, 2, 3</v>
      </c>
      <c r="CE420" t="str">
        <f>SUBSTITUTE(TRIM(MID(SUBSTITUTE(SUBSTITUTE(SUBSTITUTE(Tabla1[[#This Row],[map]],"[",""),"]",""),",",REPT(" ",100)),1,600))," ",", ")</f>
        <v>4, 2, 3, 0, 1, -1</v>
      </c>
      <c r="CF420" t="str">
        <f>SUBSTITUTE(TRIM(MID(SUBSTITUTE(SUBSTITUTE(SUBSTITUTE(Tabla1[[#This Row],[map]],"[",""),"]",""),",",REPT(" ",100)),601,600))," ",", ")</f>
        <v>0, 1, 3, 2, 4, -1</v>
      </c>
      <c r="CG420" t="str">
        <f>SUBSTITUTE(TRIM(MID(SUBSTITUTE(SUBSTITUTE(SUBSTITUTE(Tabla1[[#This Row],[map]],"[",""),"]",""),",",REPT(" ",100)),1201,600))," ",", ")</f>
        <v>2, 0, 1, 3, 4, -1</v>
      </c>
    </row>
    <row r="421" spans="1:85" x14ac:dyDescent="0.3">
      <c r="A421" s="1">
        <v>46110.795486111107</v>
      </c>
      <c r="B421" t="s">
        <v>659</v>
      </c>
      <c r="C421">
        <v>5</v>
      </c>
      <c r="D421" t="s">
        <v>77</v>
      </c>
      <c r="E421" t="s">
        <v>78</v>
      </c>
      <c r="F421">
        <v>16590</v>
      </c>
      <c r="G421">
        <v>4.5</v>
      </c>
      <c r="H421" t="s">
        <v>79</v>
      </c>
      <c r="I421" t="s">
        <v>80</v>
      </c>
      <c r="J421">
        <v>5</v>
      </c>
      <c r="K421">
        <v>5</v>
      </c>
      <c r="L421" t="s">
        <v>81</v>
      </c>
      <c r="M421" t="s">
        <v>82</v>
      </c>
      <c r="N421" t="s">
        <v>83</v>
      </c>
      <c r="O421" t="s">
        <v>83</v>
      </c>
      <c r="P421" t="s">
        <v>84</v>
      </c>
      <c r="Q421" t="s">
        <v>237</v>
      </c>
      <c r="R421">
        <v>3</v>
      </c>
      <c r="S421" t="s">
        <v>86</v>
      </c>
      <c r="T421" t="s">
        <v>87</v>
      </c>
      <c r="U421" t="s">
        <v>88</v>
      </c>
      <c r="V421">
        <v>1</v>
      </c>
      <c r="W421" t="s">
        <v>238</v>
      </c>
      <c r="X421" t="s">
        <v>83</v>
      </c>
      <c r="Y421" t="s">
        <v>90</v>
      </c>
      <c r="Z421">
        <v>4000</v>
      </c>
      <c r="AA421">
        <v>4000</v>
      </c>
      <c r="AC421">
        <v>256</v>
      </c>
      <c r="AD421" t="s">
        <v>91</v>
      </c>
      <c r="AE421">
        <v>0.15</v>
      </c>
      <c r="AF421" t="s">
        <v>92</v>
      </c>
      <c r="AG421">
        <v>180</v>
      </c>
      <c r="AH421">
        <v>60</v>
      </c>
      <c r="AI421">
        <v>120</v>
      </c>
      <c r="AJ421">
        <v>0.12603355334464841</v>
      </c>
      <c r="AK421">
        <v>21.788518078677729</v>
      </c>
      <c r="AL421">
        <v>0.68002426469623922</v>
      </c>
      <c r="AM421">
        <v>0.41224170796001658</v>
      </c>
      <c r="AN421">
        <v>21.679697772516491</v>
      </c>
      <c r="AO421">
        <v>0.6587144583957758</v>
      </c>
      <c r="AP421">
        <v>21.679697772516491</v>
      </c>
      <c r="AQ421">
        <v>21.679697772516491</v>
      </c>
      <c r="AR421">
        <v>0.6587144583957758</v>
      </c>
      <c r="AS421">
        <v>60.553882084003369</v>
      </c>
      <c r="AT421">
        <v>0.33666633785712557</v>
      </c>
      <c r="AU421">
        <v>0.8</v>
      </c>
      <c r="AV421" t="s">
        <v>93</v>
      </c>
      <c r="AW421">
        <v>7.8670409738878788E-2</v>
      </c>
      <c r="AX421">
        <v>0.42875110771795821</v>
      </c>
      <c r="AY421">
        <v>7.8670409738878788E-2</v>
      </c>
      <c r="AZ421">
        <v>7.8670409738878788E-2</v>
      </c>
      <c r="BA421">
        <v>0.42875110771795821</v>
      </c>
      <c r="BB421">
        <v>0.16466452745379889</v>
      </c>
      <c r="BC421">
        <v>-0.19567737372088431</v>
      </c>
      <c r="BD421">
        <v>0.1060941818092999</v>
      </c>
      <c r="BE421">
        <v>0.6324063198394636</v>
      </c>
      <c r="BF421">
        <v>0.1060941818092999</v>
      </c>
      <c r="BG421">
        <v>0.1060941818092999</v>
      </c>
      <c r="BH421">
        <v>0.6324063198394636</v>
      </c>
      <c r="BI421">
        <v>0.1451301398437379</v>
      </c>
      <c r="BJ421">
        <v>0.49715506262854769</v>
      </c>
      <c r="BK421">
        <v>4.4869339646453253E-2</v>
      </c>
      <c r="BL421">
        <v>0.81986379357708938</v>
      </c>
      <c r="BM421">
        <v>4.4869339646453253E-2</v>
      </c>
      <c r="BN421">
        <v>4.4869339646453253E-2</v>
      </c>
      <c r="BO421">
        <v>0.81986379357708938</v>
      </c>
      <c r="BP421">
        <v>6.6380050277426397E-2</v>
      </c>
      <c r="BQ421">
        <v>0.73350509427247923</v>
      </c>
      <c r="BR421">
        <v>86.489157158871706</v>
      </c>
      <c r="BS421">
        <v>0.75383661244859201</v>
      </c>
      <c r="BT421">
        <v>86.489157158871706</v>
      </c>
      <c r="BU421">
        <v>86.489157158871706</v>
      </c>
      <c r="BV421">
        <v>0.75383661244859201</v>
      </c>
      <c r="BW421">
        <v>241.8393536184382</v>
      </c>
      <c r="BX421">
        <v>0.31168256824837082</v>
      </c>
      <c r="BY421" t="str">
        <f t="shared" si="15"/>
        <v>[[sv,wv],[yr],[ya]]</v>
      </c>
      <c r="BZ421" t="str">
        <f>SUBSTITUTE(TRIM(MID(SUBSTITUTE(SUBSTITUTE(SUBSTITUTE(Tabla1[[#This Row],[map]],"[",""),"]",""),",",REPT(" ",100)),901,200))," ",", ")</f>
        <v>2, 3</v>
      </c>
      <c r="CA421" t="str">
        <f>SUBSTITUTE(TRIM(MID(SUBSTITUTE(SUBSTITUTE(SUBSTITUTE(Tabla1[[#This Row],[map]],"[",""),"]",""),",",REPT(" ",100)),1501,200))," ",", ")</f>
        <v>3, 4</v>
      </c>
      <c r="CB421" t="str">
        <f>SUBSTITUTE(TRIM(MID(SUBSTITUTE(SUBSTITUTE(SUBSTITUTE(Tabla1[[#This Row],[map]],"[",""),"]",""),",",REPT(" ",100)),601,300))," ",", ")</f>
        <v>4, 0, 1</v>
      </c>
      <c r="CC421" t="str">
        <f>SUBSTITUTE(TRIM(MID(SUBSTITUTE(SUBSTITUTE(SUBSTITUTE(Tabla1[[#This Row],[map]],"[",""),"]",""),",",REPT(" ",100)),1201,300))," ",", ")</f>
        <v>0, 1, 2</v>
      </c>
      <c r="CD421" t="str">
        <f>SUBSTITUTE(TRIM(MID(SUBSTITUTE(SUBSTITUTE(SUBSTITUTE(Tabla1[[#This Row],[map]],"[",""),"]",""),",",REPT(" ",100)),1,300))," ",", ")</f>
        <v>4, 2, 3</v>
      </c>
      <c r="CE421" t="str">
        <f>SUBSTITUTE(TRIM(MID(SUBSTITUTE(SUBSTITUTE(SUBSTITUTE(Tabla1[[#This Row],[map]],"[",""),"]",""),",",REPT(" ",100)),1,600))," ",", ")</f>
        <v>4, 2, 3, 0, 1, -1</v>
      </c>
      <c r="CF421" t="str">
        <f>SUBSTITUTE(TRIM(MID(SUBSTITUTE(SUBSTITUTE(SUBSTITUTE(Tabla1[[#This Row],[map]],"[",""),"]",""),",",REPT(" ",100)),601,600))," ",", ")</f>
        <v>4, 0, 1, 2, 3, -1</v>
      </c>
      <c r="CG421" t="str">
        <f>SUBSTITUTE(TRIM(MID(SUBSTITUTE(SUBSTITUTE(SUBSTITUTE(Tabla1[[#This Row],[map]],"[",""),"]",""),",",REPT(" ",100)),1201,600))," ",", ")</f>
        <v>0, 1, 2, 3, 4, -1</v>
      </c>
    </row>
    <row r="422" spans="1:85" x14ac:dyDescent="0.3">
      <c r="A422" s="1">
        <v>46110.84033564815</v>
      </c>
      <c r="B422" t="s">
        <v>660</v>
      </c>
      <c r="C422">
        <v>7</v>
      </c>
      <c r="D422" t="s">
        <v>77</v>
      </c>
      <c r="E422" t="s">
        <v>78</v>
      </c>
      <c r="F422">
        <v>16590</v>
      </c>
      <c r="G422">
        <v>4.5</v>
      </c>
      <c r="H422" t="s">
        <v>79</v>
      </c>
      <c r="I422" t="s">
        <v>80</v>
      </c>
      <c r="J422">
        <v>5</v>
      </c>
      <c r="K422">
        <v>5</v>
      </c>
      <c r="L422" t="s">
        <v>81</v>
      </c>
      <c r="M422" t="s">
        <v>82</v>
      </c>
      <c r="N422" t="s">
        <v>83</v>
      </c>
      <c r="O422" t="s">
        <v>83</v>
      </c>
      <c r="P422" t="s">
        <v>84</v>
      </c>
      <c r="Q422" t="s">
        <v>441</v>
      </c>
      <c r="R422">
        <v>3</v>
      </c>
      <c r="S422" t="s">
        <v>86</v>
      </c>
      <c r="T422" t="s">
        <v>87</v>
      </c>
      <c r="U422" t="s">
        <v>88</v>
      </c>
      <c r="V422">
        <v>1</v>
      </c>
      <c r="W422" t="s">
        <v>442</v>
      </c>
      <c r="X422" t="s">
        <v>83</v>
      </c>
      <c r="Y422" t="s">
        <v>90</v>
      </c>
      <c r="Z422">
        <v>4000</v>
      </c>
      <c r="AA422">
        <v>4000</v>
      </c>
      <c r="AC422">
        <v>256</v>
      </c>
      <c r="AD422" t="s">
        <v>91</v>
      </c>
      <c r="AE422">
        <v>0.15</v>
      </c>
      <c r="AF422" t="s">
        <v>92</v>
      </c>
      <c r="AG422">
        <v>180</v>
      </c>
      <c r="AH422">
        <v>60</v>
      </c>
      <c r="AI422">
        <v>120</v>
      </c>
      <c r="AJ422">
        <v>0.12915051684419579</v>
      </c>
      <c r="AK422">
        <v>16.210262983537799</v>
      </c>
      <c r="AL422">
        <v>0.67326124075410188</v>
      </c>
      <c r="AM422">
        <v>0.23483947696331839</v>
      </c>
      <c r="AN422">
        <v>23.940047755279771</v>
      </c>
      <c r="AO422">
        <v>0.6363639901000856</v>
      </c>
      <c r="AP422">
        <v>23.940047755279771</v>
      </c>
      <c r="AQ422">
        <v>23.940047755279771</v>
      </c>
      <c r="AR422">
        <v>0.6363639901000856</v>
      </c>
      <c r="AS422">
        <v>87.69059667548926</v>
      </c>
      <c r="AT422">
        <v>0.23107461596701431</v>
      </c>
      <c r="AU422">
        <v>0.8</v>
      </c>
      <c r="AV422" t="s">
        <v>93</v>
      </c>
      <c r="AW422">
        <v>9.8531895557549876E-2</v>
      </c>
      <c r="AX422">
        <v>0.28453104059678441</v>
      </c>
      <c r="AY422">
        <v>9.8531895557549876E-2</v>
      </c>
      <c r="AZ422">
        <v>9.8531895557549876E-2</v>
      </c>
      <c r="BA422">
        <v>0.28453104059678441</v>
      </c>
      <c r="BB422">
        <v>0.1167299290400358</v>
      </c>
      <c r="BC422">
        <v>0.1523897882112116</v>
      </c>
      <c r="BD422">
        <v>9.3094346414433593E-2</v>
      </c>
      <c r="BE422">
        <v>0.67744797295169146</v>
      </c>
      <c r="BF422">
        <v>9.3094346414433593E-2</v>
      </c>
      <c r="BG422">
        <v>9.3094346414433593E-2</v>
      </c>
      <c r="BH422">
        <v>0.67744797295169146</v>
      </c>
      <c r="BI422">
        <v>0.1178321695940497</v>
      </c>
      <c r="BJ422">
        <v>0.59173669918833993</v>
      </c>
      <c r="BK422">
        <v>3.6022912246291838E-2</v>
      </c>
      <c r="BL422">
        <v>0.85537940144689972</v>
      </c>
      <c r="BM422">
        <v>3.6022912246291838E-2</v>
      </c>
      <c r="BN422">
        <v>3.6022912246291838E-2</v>
      </c>
      <c r="BO422">
        <v>0.85537940144689972</v>
      </c>
      <c r="BP422">
        <v>0.20493453170071749</v>
      </c>
      <c r="BQ422">
        <v>0.17725267640436371</v>
      </c>
      <c r="BR422">
        <v>95.5325418669008</v>
      </c>
      <c r="BS422">
        <v>0.72809754540496441</v>
      </c>
      <c r="BT422">
        <v>95.5325418669008</v>
      </c>
      <c r="BU422">
        <v>95.5325418669008</v>
      </c>
      <c r="BV422">
        <v>0.72809754540496441</v>
      </c>
      <c r="BW422">
        <v>350.32289007162302</v>
      </c>
      <c r="BX422">
        <v>2.9193000641420941E-3</v>
      </c>
      <c r="BY422" t="str">
        <f t="shared" si="15"/>
        <v>[[sv,wv],[yr],[ya]]</v>
      </c>
      <c r="BZ422" t="str">
        <f>SUBSTITUTE(TRIM(MID(SUBSTITUTE(SUBSTITUTE(SUBSTITUTE(Tabla1[[#This Row],[map]],"[",""),"]",""),",",REPT(" ",100)),901,200))," ",", ")</f>
        <v>2, 3</v>
      </c>
      <c r="CA422" t="str">
        <f>SUBSTITUTE(TRIM(MID(SUBSTITUTE(SUBSTITUTE(SUBSTITUTE(Tabla1[[#This Row],[map]],"[",""),"]",""),",",REPT(" ",100)),1501,200))," ",", ")</f>
        <v>3, 2</v>
      </c>
      <c r="CB422" t="str">
        <f>SUBSTITUTE(TRIM(MID(SUBSTITUTE(SUBSTITUTE(SUBSTITUTE(Tabla1[[#This Row],[map]],"[",""),"]",""),",",REPT(" ",100)),601,300))," ",", ")</f>
        <v>1, 4, 0</v>
      </c>
      <c r="CC422" t="str">
        <f>SUBSTITUTE(TRIM(MID(SUBSTITUTE(SUBSTITUTE(SUBSTITUTE(Tabla1[[#This Row],[map]],"[",""),"]",""),",",REPT(" ",100)),1201,300))," ",", ")</f>
        <v>0, 1, 4</v>
      </c>
      <c r="CD422" t="str">
        <f>SUBSTITUTE(TRIM(MID(SUBSTITUTE(SUBSTITUTE(SUBSTITUTE(Tabla1[[#This Row],[map]],"[",""),"]",""),",",REPT(" ",100)),1,300))," ",", ")</f>
        <v>4, 2, 3</v>
      </c>
      <c r="CE422" t="str">
        <f>SUBSTITUTE(TRIM(MID(SUBSTITUTE(SUBSTITUTE(SUBSTITUTE(Tabla1[[#This Row],[map]],"[",""),"]",""),",",REPT(" ",100)),1,600))," ",", ")</f>
        <v>4, 2, 3, 0, 1, -1</v>
      </c>
      <c r="CF422" t="str">
        <f>SUBSTITUTE(TRIM(MID(SUBSTITUTE(SUBSTITUTE(SUBSTITUTE(Tabla1[[#This Row],[map]],"[",""),"]",""),",",REPT(" ",100)),601,600))," ",", ")</f>
        <v>1, 4, 0, 2, 3, -1</v>
      </c>
      <c r="CG422" t="str">
        <f>SUBSTITUTE(TRIM(MID(SUBSTITUTE(SUBSTITUTE(SUBSTITUTE(Tabla1[[#This Row],[map]],"[",""),"]",""),",",REPT(" ",100)),1201,600))," ",", ")</f>
        <v>0, 1, 4, 3, 2, -1</v>
      </c>
    </row>
    <row r="423" spans="1:85" x14ac:dyDescent="0.3">
      <c r="A423" s="1">
        <v>46110.856064814812</v>
      </c>
      <c r="B423" t="s">
        <v>661</v>
      </c>
      <c r="C423">
        <v>6</v>
      </c>
      <c r="D423" t="s">
        <v>96</v>
      </c>
      <c r="E423" t="s">
        <v>78</v>
      </c>
      <c r="F423">
        <v>16590</v>
      </c>
      <c r="G423">
        <v>4.5</v>
      </c>
      <c r="H423" t="s">
        <v>79</v>
      </c>
      <c r="I423" t="s">
        <v>80</v>
      </c>
      <c r="J423">
        <v>5</v>
      </c>
      <c r="K423">
        <v>5</v>
      </c>
      <c r="L423" t="s">
        <v>81</v>
      </c>
      <c r="M423" t="s">
        <v>82</v>
      </c>
      <c r="N423" t="s">
        <v>83</v>
      </c>
      <c r="O423" t="s">
        <v>83</v>
      </c>
      <c r="P423" t="s">
        <v>84</v>
      </c>
      <c r="Q423" t="s">
        <v>147</v>
      </c>
      <c r="R423">
        <v>3</v>
      </c>
      <c r="S423" t="s">
        <v>86</v>
      </c>
      <c r="T423" t="s">
        <v>87</v>
      </c>
      <c r="U423" t="s">
        <v>88</v>
      </c>
      <c r="V423">
        <v>1</v>
      </c>
      <c r="W423" t="s">
        <v>148</v>
      </c>
      <c r="X423" t="s">
        <v>83</v>
      </c>
      <c r="Y423" t="s">
        <v>90</v>
      </c>
      <c r="Z423">
        <v>4000</v>
      </c>
      <c r="AA423">
        <v>4000</v>
      </c>
      <c r="AC423">
        <v>256</v>
      </c>
      <c r="AD423" t="s">
        <v>91</v>
      </c>
      <c r="AE423">
        <v>0.15</v>
      </c>
      <c r="AF423" t="s">
        <v>92</v>
      </c>
      <c r="AG423">
        <v>180</v>
      </c>
      <c r="AH423">
        <v>60</v>
      </c>
      <c r="AI423">
        <v>120</v>
      </c>
      <c r="AJ423">
        <v>8.8696726417865565E-2</v>
      </c>
      <c r="AK423">
        <v>13.48402506705991</v>
      </c>
      <c r="AL423">
        <v>0.77819685037742892</v>
      </c>
      <c r="AM423">
        <v>0.28280108622352518</v>
      </c>
      <c r="AN423">
        <v>16.25781599811171</v>
      </c>
      <c r="AO423">
        <v>0.72479925276098356</v>
      </c>
      <c r="AP423">
        <v>16.25781599811171</v>
      </c>
      <c r="AQ423">
        <v>16.25781599811171</v>
      </c>
      <c r="AR423">
        <v>0.72479925276098356</v>
      </c>
      <c r="AS423">
        <v>81.536910303761658</v>
      </c>
      <c r="AT423">
        <v>0.32978625086252672</v>
      </c>
      <c r="AU423">
        <v>0.8</v>
      </c>
      <c r="AV423" t="s">
        <v>93</v>
      </c>
      <c r="AW423">
        <v>6.765828267059025E-2</v>
      </c>
      <c r="AX423">
        <v>0.50871338845742253</v>
      </c>
      <c r="AY423">
        <v>6.765828267059025E-2</v>
      </c>
      <c r="AZ423">
        <v>6.765828267059025E-2</v>
      </c>
      <c r="BA423">
        <v>0.50871338845742253</v>
      </c>
      <c r="BB423">
        <v>0.1438127373537621</v>
      </c>
      <c r="BC423">
        <v>-4.426641709462209E-2</v>
      </c>
      <c r="BD423">
        <v>6.9317634569737788E-2</v>
      </c>
      <c r="BE423">
        <v>0.7598292012156358</v>
      </c>
      <c r="BF423">
        <v>6.9317634569737788E-2</v>
      </c>
      <c r="BG423">
        <v>6.9317634569737788E-2</v>
      </c>
      <c r="BH423">
        <v>0.7598292012156358</v>
      </c>
      <c r="BI423">
        <v>0.1195585208311048</v>
      </c>
      <c r="BJ423">
        <v>0.58575526086951235</v>
      </c>
      <c r="BK423">
        <v>4.6025043193164757E-2</v>
      </c>
      <c r="BL423">
        <v>0.81522400938827588</v>
      </c>
      <c r="BM423">
        <v>4.6025043193164757E-2</v>
      </c>
      <c r="BN423">
        <v>4.6025043193164757E-2</v>
      </c>
      <c r="BO423">
        <v>0.81522400938827588</v>
      </c>
      <c r="BP423">
        <v>7.3487462955181451E-2</v>
      </c>
      <c r="BQ423">
        <v>0.70497108045946111</v>
      </c>
      <c r="BR423">
        <v>64.848263032013733</v>
      </c>
      <c r="BS423">
        <v>0.81543041198259858</v>
      </c>
      <c r="BT423">
        <v>64.848263032013733</v>
      </c>
      <c r="BU423">
        <v>64.848263032013733</v>
      </c>
      <c r="BV423">
        <v>0.81543041198259858</v>
      </c>
      <c r="BW423">
        <v>325.81078249390617</v>
      </c>
      <c r="BX423">
        <v>7.2685079215758619E-2</v>
      </c>
      <c r="BY423" t="str">
        <f t="shared" si="15"/>
        <v>[[sv,wv],[yr],[ya]]</v>
      </c>
      <c r="BZ423" t="str">
        <f>SUBSTITUTE(TRIM(MID(SUBSTITUTE(SUBSTITUTE(SUBSTITUTE(Tabla1[[#This Row],[map]],"[",""),"]",""),",",REPT(" ",100)),901,200))," ",", ")</f>
        <v>2, 3</v>
      </c>
      <c r="CA423" t="str">
        <f>SUBSTITUTE(TRIM(MID(SUBSTITUTE(SUBSTITUTE(SUBSTITUTE(Tabla1[[#This Row],[map]],"[",""),"]",""),",",REPT(" ",100)),1501,200))," ",", ")</f>
        <v>3, 4</v>
      </c>
      <c r="CB423" t="str">
        <f>SUBSTITUTE(TRIM(MID(SUBSTITUTE(SUBSTITUTE(SUBSTITUTE(Tabla1[[#This Row],[map]],"[",""),"]",""),",",REPT(" ",100)),601,300))," ",", ")</f>
        <v>4, 0, 1</v>
      </c>
      <c r="CC423" t="str">
        <f>SUBSTITUTE(TRIM(MID(SUBSTITUTE(SUBSTITUTE(SUBSTITUTE(Tabla1[[#This Row],[map]],"[",""),"]",""),",",REPT(" ",100)),1201,300))," ",", ")</f>
        <v>2, 0, 1</v>
      </c>
      <c r="CD423" t="str">
        <f>SUBSTITUTE(TRIM(MID(SUBSTITUTE(SUBSTITUTE(SUBSTITUTE(Tabla1[[#This Row],[map]],"[",""),"]",""),",",REPT(" ",100)),1,300))," ",", ")</f>
        <v>2, 3, 4</v>
      </c>
      <c r="CE423" t="str">
        <f>SUBSTITUTE(TRIM(MID(SUBSTITUTE(SUBSTITUTE(SUBSTITUTE(Tabla1[[#This Row],[map]],"[",""),"]",""),",",REPT(" ",100)),1,600))," ",", ")</f>
        <v>2, 3, 4, 0, 1, -1</v>
      </c>
      <c r="CF423" t="str">
        <f>SUBSTITUTE(TRIM(MID(SUBSTITUTE(SUBSTITUTE(SUBSTITUTE(Tabla1[[#This Row],[map]],"[",""),"]",""),",",REPT(" ",100)),601,600))," ",", ")</f>
        <v>4, 0, 1, 2, 3, -1</v>
      </c>
      <c r="CG423" t="str">
        <f>SUBSTITUTE(TRIM(MID(SUBSTITUTE(SUBSTITUTE(SUBSTITUTE(Tabla1[[#This Row],[map]],"[",""),"]",""),",",REPT(" ",100)),1201,600))," ",", ")</f>
        <v>2, 0, 1, 3, 4, -1</v>
      </c>
    </row>
    <row r="424" spans="1:85" x14ac:dyDescent="0.3">
      <c r="A424" s="1">
        <v>46110.860694444447</v>
      </c>
      <c r="B424" t="s">
        <v>662</v>
      </c>
      <c r="C424">
        <v>8</v>
      </c>
      <c r="D424" t="s">
        <v>77</v>
      </c>
      <c r="E424" t="s">
        <v>78</v>
      </c>
      <c r="F424">
        <v>16590</v>
      </c>
      <c r="G424">
        <v>4.5</v>
      </c>
      <c r="H424" t="s">
        <v>79</v>
      </c>
      <c r="I424" t="s">
        <v>80</v>
      </c>
      <c r="J424">
        <v>5</v>
      </c>
      <c r="K424">
        <v>5</v>
      </c>
      <c r="L424" t="s">
        <v>81</v>
      </c>
      <c r="M424" t="s">
        <v>82</v>
      </c>
      <c r="N424" t="s">
        <v>83</v>
      </c>
      <c r="O424" t="s">
        <v>83</v>
      </c>
      <c r="P424" t="s">
        <v>84</v>
      </c>
      <c r="Q424" t="s">
        <v>189</v>
      </c>
      <c r="R424">
        <v>3</v>
      </c>
      <c r="S424" t="s">
        <v>86</v>
      </c>
      <c r="T424" t="s">
        <v>87</v>
      </c>
      <c r="U424" t="s">
        <v>88</v>
      </c>
      <c r="V424">
        <v>1</v>
      </c>
      <c r="W424" t="s">
        <v>190</v>
      </c>
      <c r="X424" t="s">
        <v>83</v>
      </c>
      <c r="Y424" t="s">
        <v>90</v>
      </c>
      <c r="Z424">
        <v>4000</v>
      </c>
      <c r="AA424">
        <v>4000</v>
      </c>
      <c r="AC424">
        <v>256</v>
      </c>
      <c r="AD424" t="s">
        <v>91</v>
      </c>
      <c r="AE424">
        <v>0.15</v>
      </c>
      <c r="AF424" t="s">
        <v>92</v>
      </c>
      <c r="AG424">
        <v>180</v>
      </c>
      <c r="AH424">
        <v>60</v>
      </c>
      <c r="AI424">
        <v>120</v>
      </c>
      <c r="AJ424">
        <v>0.14318372508194649</v>
      </c>
      <c r="AK424">
        <v>26.09614674813464</v>
      </c>
      <c r="AL424">
        <v>0.55502773332819455</v>
      </c>
      <c r="AM424">
        <v>0.18264854500578931</v>
      </c>
      <c r="AN424">
        <v>27.544893663864311</v>
      </c>
      <c r="AO424">
        <v>0.51234183920618237</v>
      </c>
      <c r="AP424">
        <v>27.544893663864311</v>
      </c>
      <c r="AQ424">
        <v>27.544893663864311</v>
      </c>
      <c r="AR424">
        <v>0.51234183920618237</v>
      </c>
      <c r="AS424">
        <v>105.4574947274897</v>
      </c>
      <c r="AT424">
        <v>0.20308997043208041</v>
      </c>
      <c r="AU424">
        <v>0.8</v>
      </c>
      <c r="AV424" t="s">
        <v>93</v>
      </c>
      <c r="AW424">
        <v>0.1168476286741614</v>
      </c>
      <c r="AX424">
        <v>0.15153513668671331</v>
      </c>
      <c r="AY424">
        <v>0.1168476286741614</v>
      </c>
      <c r="AZ424">
        <v>0.1168476286741614</v>
      </c>
      <c r="BA424">
        <v>0.15153513668671331</v>
      </c>
      <c r="BB424">
        <v>0.12852622229608021</v>
      </c>
      <c r="BC424">
        <v>6.6733447054273753E-2</v>
      </c>
      <c r="BD424">
        <v>8.2169609363477017E-2</v>
      </c>
      <c r="BE424">
        <v>0.71529985350594893</v>
      </c>
      <c r="BF424">
        <v>8.2169609363477017E-2</v>
      </c>
      <c r="BG424">
        <v>8.2169609363477017E-2</v>
      </c>
      <c r="BH424">
        <v>0.71529985350594893</v>
      </c>
      <c r="BI424">
        <v>0.1122084435338188</v>
      </c>
      <c r="BJ424">
        <v>0.61122170886031946</v>
      </c>
      <c r="BK424">
        <v>0.1257387860007084</v>
      </c>
      <c r="BL424">
        <v>0.49519854562468041</v>
      </c>
      <c r="BM424">
        <v>0.1257387860007084</v>
      </c>
      <c r="BN424">
        <v>0.1257387860007084</v>
      </c>
      <c r="BO424">
        <v>0.49519854562468041</v>
      </c>
      <c r="BP424">
        <v>0.1659284464658847</v>
      </c>
      <c r="BQ424">
        <v>0.33384977092315737</v>
      </c>
      <c r="BR424">
        <v>109.85481863141921</v>
      </c>
      <c r="BS424">
        <v>0.68733382100739093</v>
      </c>
      <c r="BT424">
        <v>109.85481863141921</v>
      </c>
      <c r="BU424">
        <v>109.85481863141921</v>
      </c>
      <c r="BV424">
        <v>0.68733382100739093</v>
      </c>
      <c r="BW424">
        <v>421.42331579766119</v>
      </c>
      <c r="BX424">
        <v>-0.1994450451094254</v>
      </c>
      <c r="BY424" t="str">
        <f t="shared" si="15"/>
        <v>[[sv,wv],[yr],[ya]]</v>
      </c>
      <c r="BZ424" t="str">
        <f>SUBSTITUTE(TRIM(MID(SUBSTITUTE(SUBSTITUTE(SUBSTITUTE(Tabla1[[#This Row],[map]],"[",""),"]",""),",",REPT(" ",100)),901,200))," ",", ")</f>
        <v>2, 3</v>
      </c>
      <c r="CA424" t="str">
        <f>SUBSTITUTE(TRIM(MID(SUBSTITUTE(SUBSTITUTE(SUBSTITUTE(Tabla1[[#This Row],[map]],"[",""),"]",""),",",REPT(" ",100)),1501,200))," ",", ")</f>
        <v>3, 2</v>
      </c>
      <c r="CB424" t="str">
        <f>SUBSTITUTE(TRIM(MID(SUBSTITUTE(SUBSTITUTE(SUBSTITUTE(Tabla1[[#This Row],[map]],"[",""),"]",""),",",REPT(" ",100)),601,300))," ",", ")</f>
        <v>0, 1, 4</v>
      </c>
      <c r="CC424" t="str">
        <f>SUBSTITUTE(TRIM(MID(SUBSTITUTE(SUBSTITUTE(SUBSTITUTE(Tabla1[[#This Row],[map]],"[",""),"]",""),",",REPT(" ",100)),1201,300))," ",", ")</f>
        <v>0, 1, 4</v>
      </c>
      <c r="CD424" t="str">
        <f>SUBSTITUTE(TRIM(MID(SUBSTITUTE(SUBSTITUTE(SUBSTITUTE(Tabla1[[#This Row],[map]],"[",""),"]",""),",",REPT(" ",100)),1,300))," ",", ")</f>
        <v>4, 2, 3</v>
      </c>
      <c r="CE424" t="str">
        <f>SUBSTITUTE(TRIM(MID(SUBSTITUTE(SUBSTITUTE(SUBSTITUTE(Tabla1[[#This Row],[map]],"[",""),"]",""),",",REPT(" ",100)),1,600))," ",", ")</f>
        <v>4, 2, 3, 0, 1, -1</v>
      </c>
      <c r="CF424" t="str">
        <f>SUBSTITUTE(TRIM(MID(SUBSTITUTE(SUBSTITUTE(SUBSTITUTE(Tabla1[[#This Row],[map]],"[",""),"]",""),",",REPT(" ",100)),601,600))," ",", ")</f>
        <v>0, 1, 4, 2, 3, -1</v>
      </c>
      <c r="CG424" t="str">
        <f>SUBSTITUTE(TRIM(MID(SUBSTITUTE(SUBSTITUTE(SUBSTITUTE(Tabla1[[#This Row],[map]],"[",""),"]",""),",",REPT(" ",100)),1201,600))," ",", ")</f>
        <v>0, 1, 4, 3, 2, -1</v>
      </c>
    </row>
    <row r="425" spans="1:85" x14ac:dyDescent="0.3">
      <c r="A425" s="1">
        <v>46110.874224537038</v>
      </c>
      <c r="B425" t="s">
        <v>663</v>
      </c>
      <c r="C425">
        <v>6</v>
      </c>
      <c r="D425" t="s">
        <v>96</v>
      </c>
      <c r="E425" t="s">
        <v>78</v>
      </c>
      <c r="F425">
        <v>16590</v>
      </c>
      <c r="G425">
        <v>4.5</v>
      </c>
      <c r="H425" t="s">
        <v>79</v>
      </c>
      <c r="I425" t="s">
        <v>80</v>
      </c>
      <c r="J425">
        <v>5</v>
      </c>
      <c r="K425">
        <v>5</v>
      </c>
      <c r="L425" t="s">
        <v>81</v>
      </c>
      <c r="M425" t="s">
        <v>82</v>
      </c>
      <c r="N425" t="s">
        <v>83</v>
      </c>
      <c r="O425" t="s">
        <v>83</v>
      </c>
      <c r="P425" t="s">
        <v>84</v>
      </c>
      <c r="Q425" t="s">
        <v>461</v>
      </c>
      <c r="R425">
        <v>3</v>
      </c>
      <c r="S425" t="s">
        <v>86</v>
      </c>
      <c r="T425" t="s">
        <v>87</v>
      </c>
      <c r="U425" t="s">
        <v>88</v>
      </c>
      <c r="V425">
        <v>1</v>
      </c>
      <c r="W425" t="s">
        <v>462</v>
      </c>
      <c r="X425" t="s">
        <v>83</v>
      </c>
      <c r="Y425" t="s">
        <v>90</v>
      </c>
      <c r="Z425">
        <v>4000</v>
      </c>
      <c r="AA425">
        <v>4000</v>
      </c>
      <c r="AC425">
        <v>256</v>
      </c>
      <c r="AD425" t="s">
        <v>91</v>
      </c>
      <c r="AE425">
        <v>0.15</v>
      </c>
      <c r="AF425" t="s">
        <v>92</v>
      </c>
      <c r="AG425">
        <v>180</v>
      </c>
      <c r="AH425">
        <v>60</v>
      </c>
      <c r="AI425">
        <v>120</v>
      </c>
      <c r="AJ425">
        <v>0.12556006896917629</v>
      </c>
      <c r="AK425">
        <v>11.08973269884275</v>
      </c>
      <c r="AL425">
        <v>0.7004756663009325</v>
      </c>
      <c r="AM425">
        <v>0.34407830454286997</v>
      </c>
      <c r="AN425">
        <v>15.352607402841461</v>
      </c>
      <c r="AO425">
        <v>0.64958156735181904</v>
      </c>
      <c r="AP425">
        <v>15.352607402841461</v>
      </c>
      <c r="AQ425">
        <v>15.352607402841461</v>
      </c>
      <c r="AR425">
        <v>0.64958156735181904</v>
      </c>
      <c r="AS425">
        <v>65.451051128199907</v>
      </c>
      <c r="AT425">
        <v>0.35154025221428248</v>
      </c>
      <c r="AU425">
        <v>0.8</v>
      </c>
      <c r="AV425" t="s">
        <v>93</v>
      </c>
      <c r="AW425">
        <v>7.8880508884214301E-2</v>
      </c>
      <c r="AX425">
        <v>0.42722551627333899</v>
      </c>
      <c r="AY425">
        <v>7.8880508884214301E-2</v>
      </c>
      <c r="AZ425">
        <v>7.8880508884214301E-2</v>
      </c>
      <c r="BA425">
        <v>0.42722551627333899</v>
      </c>
      <c r="BB425">
        <v>0.1435132841163379</v>
      </c>
      <c r="BC425">
        <v>-4.2091999410302838E-2</v>
      </c>
      <c r="BD425">
        <v>0.1033308205662115</v>
      </c>
      <c r="BE425">
        <v>0.64198077634251405</v>
      </c>
      <c r="BF425">
        <v>0.1033308205662115</v>
      </c>
      <c r="BG425">
        <v>0.1033308205662115</v>
      </c>
      <c r="BH425">
        <v>0.64198077634251405</v>
      </c>
      <c r="BI425">
        <v>9.2457470427404265E-2</v>
      </c>
      <c r="BJ425">
        <v>0.67965461222149415</v>
      </c>
      <c r="BK425">
        <v>7.3934629475198507E-2</v>
      </c>
      <c r="BL425">
        <v>0.70317584832121471</v>
      </c>
      <c r="BM425">
        <v>7.3934629475198507E-2</v>
      </c>
      <c r="BN425">
        <v>7.3934629475198507E-2</v>
      </c>
      <c r="BO425">
        <v>0.70317584832121471</v>
      </c>
      <c r="BP425">
        <v>0.12137388388159739</v>
      </c>
      <c r="BQ425">
        <v>0.51272224700605629</v>
      </c>
      <c r="BR425">
        <v>61.154283652440178</v>
      </c>
      <c r="BS425">
        <v>0.82594412847021026</v>
      </c>
      <c r="BT425">
        <v>61.154283652440178</v>
      </c>
      <c r="BU425">
        <v>61.154283652440178</v>
      </c>
      <c r="BV425">
        <v>0.82594412847021026</v>
      </c>
      <c r="BW425">
        <v>261.4468598743739</v>
      </c>
      <c r="BX425">
        <v>0.25587614903988559</v>
      </c>
      <c r="BY425" t="str">
        <f t="shared" si="15"/>
        <v>[[sv,wv],[yr],[ya]]</v>
      </c>
      <c r="BZ425" t="str">
        <f>SUBSTITUTE(TRIM(MID(SUBSTITUTE(SUBSTITUTE(SUBSTITUTE(Tabla1[[#This Row],[map]],"[",""),"]",""),",",REPT(" ",100)),901,200))," ",", ")</f>
        <v>2, 3</v>
      </c>
      <c r="CA425" t="str">
        <f>SUBSTITUTE(TRIM(MID(SUBSTITUTE(SUBSTITUTE(SUBSTITUTE(Tabla1[[#This Row],[map]],"[",""),"]",""),",",REPT(" ",100)),1501,200))," ",", ")</f>
        <v>3, 2</v>
      </c>
      <c r="CB425" t="str">
        <f>SUBSTITUTE(TRIM(MID(SUBSTITUTE(SUBSTITUTE(SUBSTITUTE(Tabla1[[#This Row],[map]],"[",""),"]",""),",",REPT(" ",100)),601,300))," ",", ")</f>
        <v>0, 1, 4</v>
      </c>
      <c r="CC425" t="str">
        <f>SUBSTITUTE(TRIM(MID(SUBSTITUTE(SUBSTITUTE(SUBSTITUTE(Tabla1[[#This Row],[map]],"[",""),"]",""),",",REPT(" ",100)),1201,300))," ",", ")</f>
        <v>1, 4, 0</v>
      </c>
      <c r="CD425" t="str">
        <f>SUBSTITUTE(TRIM(MID(SUBSTITUTE(SUBSTITUTE(SUBSTITUTE(Tabla1[[#This Row],[map]],"[",""),"]",""),",",REPT(" ",100)),1,300))," ",", ")</f>
        <v>4, 2, 3</v>
      </c>
      <c r="CE425" t="str">
        <f>SUBSTITUTE(TRIM(MID(SUBSTITUTE(SUBSTITUTE(SUBSTITUTE(Tabla1[[#This Row],[map]],"[",""),"]",""),",",REPT(" ",100)),1,600))," ",", ")</f>
        <v>4, 2, 3, 0, 1, -1</v>
      </c>
      <c r="CF425" t="str">
        <f>SUBSTITUTE(TRIM(MID(SUBSTITUTE(SUBSTITUTE(SUBSTITUTE(Tabla1[[#This Row],[map]],"[",""),"]",""),",",REPT(" ",100)),601,600))," ",", ")</f>
        <v>0, 1, 4, 2, 3, -1</v>
      </c>
      <c r="CG425" t="str">
        <f>SUBSTITUTE(TRIM(MID(SUBSTITUTE(SUBSTITUTE(SUBSTITUTE(Tabla1[[#This Row],[map]],"[",""),"]",""),",",REPT(" ",100)),1201,600))," ",", ")</f>
        <v>1, 4, 0, 3, 2, -1</v>
      </c>
    </row>
    <row r="426" spans="1:85" x14ac:dyDescent="0.3">
      <c r="A426" s="1">
        <v>46110.887685185182</v>
      </c>
      <c r="B426" t="s">
        <v>664</v>
      </c>
      <c r="C426">
        <v>9</v>
      </c>
      <c r="D426" t="s">
        <v>96</v>
      </c>
      <c r="E426" t="s">
        <v>78</v>
      </c>
      <c r="F426">
        <v>16590</v>
      </c>
      <c r="G426">
        <v>4.5</v>
      </c>
      <c r="H426" t="s">
        <v>79</v>
      </c>
      <c r="I426" t="s">
        <v>80</v>
      </c>
      <c r="J426">
        <v>5</v>
      </c>
      <c r="K426">
        <v>5</v>
      </c>
      <c r="L426" t="s">
        <v>81</v>
      </c>
      <c r="M426" t="s">
        <v>82</v>
      </c>
      <c r="N426" t="s">
        <v>83</v>
      </c>
      <c r="O426" t="s">
        <v>83</v>
      </c>
      <c r="P426" t="s">
        <v>84</v>
      </c>
      <c r="Q426" t="s">
        <v>189</v>
      </c>
      <c r="R426">
        <v>3</v>
      </c>
      <c r="S426" t="s">
        <v>86</v>
      </c>
      <c r="T426" t="s">
        <v>87</v>
      </c>
      <c r="U426" t="s">
        <v>88</v>
      </c>
      <c r="V426">
        <v>1</v>
      </c>
      <c r="W426" t="s">
        <v>190</v>
      </c>
      <c r="X426" t="s">
        <v>83</v>
      </c>
      <c r="Y426" t="s">
        <v>90</v>
      </c>
      <c r="Z426">
        <v>4000</v>
      </c>
      <c r="AA426">
        <v>4000</v>
      </c>
      <c r="AC426">
        <v>256</v>
      </c>
      <c r="AD426" t="s">
        <v>91</v>
      </c>
      <c r="AE426">
        <v>0.15</v>
      </c>
      <c r="AF426" t="s">
        <v>92</v>
      </c>
      <c r="AG426">
        <v>180</v>
      </c>
      <c r="AH426">
        <v>60</v>
      </c>
      <c r="AI426">
        <v>120</v>
      </c>
      <c r="AJ426">
        <v>0.11797723146272281</v>
      </c>
      <c r="AK426">
        <v>15.56848954867708</v>
      </c>
      <c r="AL426">
        <v>0.71739958725672648</v>
      </c>
      <c r="AM426">
        <v>0.49803013478444752</v>
      </c>
      <c r="AN426">
        <v>24.606926179977389</v>
      </c>
      <c r="AO426">
        <v>0.62601278864014487</v>
      </c>
      <c r="AP426">
        <v>24.606926179977389</v>
      </c>
      <c r="AQ426">
        <v>24.606926179977389</v>
      </c>
      <c r="AR426">
        <v>0.62601278864014487</v>
      </c>
      <c r="AS426">
        <v>72.021672287455559</v>
      </c>
      <c r="AT426">
        <v>0.43957416373450842</v>
      </c>
      <c r="AU426">
        <v>0.8</v>
      </c>
      <c r="AV426" t="s">
        <v>93</v>
      </c>
      <c r="AW426">
        <v>7.3949880517108518E-2</v>
      </c>
      <c r="AX426">
        <v>0.46302825331656078</v>
      </c>
      <c r="AY426">
        <v>7.3949880517108518E-2</v>
      </c>
      <c r="AZ426">
        <v>7.3949880517108518E-2</v>
      </c>
      <c r="BA426">
        <v>0.46302825331656078</v>
      </c>
      <c r="BB426">
        <v>7.6193343664154298E-2</v>
      </c>
      <c r="BC426">
        <v>0.44673781016418279</v>
      </c>
      <c r="BD426">
        <v>8.0768561611966286E-2</v>
      </c>
      <c r="BE426">
        <v>0.72015418472633752</v>
      </c>
      <c r="BF426">
        <v>8.0768561611966286E-2</v>
      </c>
      <c r="BG426">
        <v>8.0768561611966286E-2</v>
      </c>
      <c r="BH426">
        <v>0.72015418472633752</v>
      </c>
      <c r="BI426">
        <v>0.1169923292585022</v>
      </c>
      <c r="BJ426">
        <v>0.59464656657622439</v>
      </c>
      <c r="BK426">
        <v>9.9562616590866682E-2</v>
      </c>
      <c r="BL426">
        <v>0.60028758623294887</v>
      </c>
      <c r="BM426">
        <v>9.9562616590866682E-2</v>
      </c>
      <c r="BN426">
        <v>9.9562616590866682E-2</v>
      </c>
      <c r="BO426">
        <v>0.60028758623294887</v>
      </c>
      <c r="BP426">
        <v>0.115580967230919</v>
      </c>
      <c r="BQ426">
        <v>0.53597897504795888</v>
      </c>
      <c r="BR426">
        <v>98.173423661189503</v>
      </c>
      <c r="BS426">
        <v>0.72058113028473381</v>
      </c>
      <c r="BT426">
        <v>98.173423661189503</v>
      </c>
      <c r="BU426">
        <v>98.173423661189503</v>
      </c>
      <c r="BV426">
        <v>0.72058113028473381</v>
      </c>
      <c r="BW426">
        <v>287.77792250966922</v>
      </c>
      <c r="BX426">
        <v>0.18093330314966261</v>
      </c>
      <c r="BY426" t="str">
        <f t="shared" si="15"/>
        <v>[[sv,wv],[yr],[ya]]</v>
      </c>
      <c r="BZ426" t="str">
        <f>SUBSTITUTE(TRIM(MID(SUBSTITUTE(SUBSTITUTE(SUBSTITUTE(Tabla1[[#This Row],[map]],"[",""),"]",""),",",REPT(" ",100)),901,200))," ",", ")</f>
        <v>2, 3</v>
      </c>
      <c r="CA426" t="str">
        <f>SUBSTITUTE(TRIM(MID(SUBSTITUTE(SUBSTITUTE(SUBSTITUTE(Tabla1[[#This Row],[map]],"[",""),"]",""),",",REPT(" ",100)),1501,200))," ",", ")</f>
        <v>3, 2</v>
      </c>
      <c r="CB426" t="str">
        <f>SUBSTITUTE(TRIM(MID(SUBSTITUTE(SUBSTITUTE(SUBSTITUTE(Tabla1[[#This Row],[map]],"[",""),"]",""),",",REPT(" ",100)),601,300))," ",", ")</f>
        <v>0, 1, 4</v>
      </c>
      <c r="CC426" t="str">
        <f>SUBSTITUTE(TRIM(MID(SUBSTITUTE(SUBSTITUTE(SUBSTITUTE(Tabla1[[#This Row],[map]],"[",""),"]",""),",",REPT(" ",100)),1201,300))," ",", ")</f>
        <v>0, 1, 4</v>
      </c>
      <c r="CD426" t="str">
        <f>SUBSTITUTE(TRIM(MID(SUBSTITUTE(SUBSTITUTE(SUBSTITUTE(Tabla1[[#This Row],[map]],"[",""),"]",""),",",REPT(" ",100)),1,300))," ",", ")</f>
        <v>4, 2, 3</v>
      </c>
      <c r="CE426" t="str">
        <f>SUBSTITUTE(TRIM(MID(SUBSTITUTE(SUBSTITUTE(SUBSTITUTE(Tabla1[[#This Row],[map]],"[",""),"]",""),",",REPT(" ",100)),1,600))," ",", ")</f>
        <v>4, 2, 3, 0, 1, -1</v>
      </c>
      <c r="CF426" t="str">
        <f>SUBSTITUTE(TRIM(MID(SUBSTITUTE(SUBSTITUTE(SUBSTITUTE(Tabla1[[#This Row],[map]],"[",""),"]",""),",",REPT(" ",100)),601,600))," ",", ")</f>
        <v>0, 1, 4, 2, 3, -1</v>
      </c>
      <c r="CG426" t="str">
        <f>SUBSTITUTE(TRIM(MID(SUBSTITUTE(SUBSTITUTE(SUBSTITUTE(Tabla1[[#This Row],[map]],"[",""),"]",""),",",REPT(" ",100)),1201,600))," ",", ")</f>
        <v>0, 1, 4, 3, 2, -1</v>
      </c>
    </row>
    <row r="427" spans="1:85" x14ac:dyDescent="0.3">
      <c r="A427" s="1">
        <v>46110.916979166657</v>
      </c>
      <c r="B427" t="s">
        <v>665</v>
      </c>
      <c r="C427">
        <v>4</v>
      </c>
      <c r="D427" t="s">
        <v>96</v>
      </c>
      <c r="E427" t="s">
        <v>78</v>
      </c>
      <c r="F427">
        <v>16590</v>
      </c>
      <c r="G427">
        <v>4.5</v>
      </c>
      <c r="H427" t="s">
        <v>79</v>
      </c>
      <c r="I427" t="s">
        <v>80</v>
      </c>
      <c r="J427">
        <v>5</v>
      </c>
      <c r="K427">
        <v>5</v>
      </c>
      <c r="L427" t="s">
        <v>81</v>
      </c>
      <c r="M427" t="s">
        <v>82</v>
      </c>
      <c r="N427" t="s">
        <v>83</v>
      </c>
      <c r="O427" t="s">
        <v>83</v>
      </c>
      <c r="P427" t="s">
        <v>84</v>
      </c>
      <c r="Q427" t="s">
        <v>287</v>
      </c>
      <c r="R427">
        <v>3</v>
      </c>
      <c r="S427" t="s">
        <v>86</v>
      </c>
      <c r="T427" t="s">
        <v>87</v>
      </c>
      <c r="U427" t="s">
        <v>88</v>
      </c>
      <c r="V427">
        <v>1</v>
      </c>
      <c r="W427" t="s">
        <v>288</v>
      </c>
      <c r="X427" t="s">
        <v>83</v>
      </c>
      <c r="Y427" t="s">
        <v>90</v>
      </c>
      <c r="Z427">
        <v>4000</v>
      </c>
      <c r="AA427">
        <v>4000</v>
      </c>
      <c r="AC427">
        <v>256</v>
      </c>
      <c r="AD427" t="s">
        <v>91</v>
      </c>
      <c r="AE427">
        <v>0.15</v>
      </c>
      <c r="AF427" t="s">
        <v>92</v>
      </c>
      <c r="AG427">
        <v>180</v>
      </c>
      <c r="AH427">
        <v>60</v>
      </c>
      <c r="AI427">
        <v>120</v>
      </c>
      <c r="AJ427">
        <v>0.13876062149927551</v>
      </c>
      <c r="AK427">
        <v>40.204787156125569</v>
      </c>
      <c r="AL427">
        <v>0.61295241380234489</v>
      </c>
      <c r="AM427">
        <v>1.344122358033728E-2</v>
      </c>
      <c r="AN427">
        <v>44.776538973898539</v>
      </c>
      <c r="AO427">
        <v>0.55466942544943776</v>
      </c>
      <c r="AP427">
        <v>44.776538973898539</v>
      </c>
      <c r="AQ427">
        <v>44.776538973898539</v>
      </c>
      <c r="AR427">
        <v>0.55466942544943776</v>
      </c>
      <c r="AS427">
        <v>114.1890760117205</v>
      </c>
      <c r="AT427">
        <v>4.597091776899595E-2</v>
      </c>
      <c r="AU427">
        <v>0.8</v>
      </c>
      <c r="AV427" t="s">
        <v>93</v>
      </c>
      <c r="AW427">
        <v>7.5848257246701148E-2</v>
      </c>
      <c r="AX427">
        <v>0.44924358373732182</v>
      </c>
      <c r="AY427">
        <v>7.5848257246701148E-2</v>
      </c>
      <c r="AZ427">
        <v>7.5848257246701148E-2</v>
      </c>
      <c r="BA427">
        <v>0.44924358373732182</v>
      </c>
      <c r="BB427">
        <v>0.10254548558984521</v>
      </c>
      <c r="BC427">
        <v>0.25538718755682899</v>
      </c>
      <c r="BD427">
        <v>7.2404150899236699E-2</v>
      </c>
      <c r="BE427">
        <v>0.74913508135828621</v>
      </c>
      <c r="BF427">
        <v>7.2404150899236699E-2</v>
      </c>
      <c r="BG427">
        <v>7.2404150899236699E-2</v>
      </c>
      <c r="BH427">
        <v>0.74913508135828621</v>
      </c>
      <c r="BI427">
        <v>0.12575220066604059</v>
      </c>
      <c r="BJ427">
        <v>0.56429548310005351</v>
      </c>
      <c r="BK427">
        <v>0.1172418426171444</v>
      </c>
      <c r="BL427">
        <v>0.52931108571031227</v>
      </c>
      <c r="BM427">
        <v>0.1172418426171444</v>
      </c>
      <c r="BN427">
        <v>0.1172418426171444</v>
      </c>
      <c r="BO427">
        <v>0.52931108571031227</v>
      </c>
      <c r="BP427">
        <v>0.33312411323237368</v>
      </c>
      <c r="BQ427">
        <v>-0.33738794683641649</v>
      </c>
      <c r="BR427">
        <v>178.8406616448313</v>
      </c>
      <c r="BS427">
        <v>0.49098795099183112</v>
      </c>
      <c r="BT427">
        <v>178.8406616448313</v>
      </c>
      <c r="BU427">
        <v>178.8406616448313</v>
      </c>
      <c r="BV427">
        <v>0.49098795099183112</v>
      </c>
      <c r="BW427">
        <v>456.19488224739251</v>
      </c>
      <c r="BX427">
        <v>-0.29841105274448448</v>
      </c>
      <c r="BY427" t="str">
        <f t="shared" ref="BY427:BY445" si="16">_xlfn.LET(_xlpm.TextoConfig, Q427,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427" t="str">
        <f>SUBSTITUTE(TRIM(MID(SUBSTITUTE(SUBSTITUTE(SUBSTITUTE(Tabla1[[#This Row],[map]],"[",""),"]",""),",",REPT(" ",100)),901,200))," ",", ")</f>
        <v>2, 4</v>
      </c>
      <c r="CA427" t="str">
        <f>SUBSTITUTE(TRIM(MID(SUBSTITUTE(SUBSTITUTE(SUBSTITUTE(Tabla1[[#This Row],[map]],"[",""),"]",""),",",REPT(" ",100)),1501,200))," ",", ")</f>
        <v>3, 2</v>
      </c>
      <c r="CB427" t="str">
        <f>SUBSTITUTE(TRIM(MID(SUBSTITUTE(SUBSTITUTE(SUBSTITUTE(Tabla1[[#This Row],[map]],"[",""),"]",""),",",REPT(" ",100)),601,300))," ",", ")</f>
        <v>3, 0, 1</v>
      </c>
      <c r="CC427" t="str">
        <f>SUBSTITUTE(TRIM(MID(SUBSTITUTE(SUBSTITUTE(SUBSTITUTE(Tabla1[[#This Row],[map]],"[",""),"]",""),",",REPT(" ",100)),1201,300))," ",", ")</f>
        <v>4, 0, 1</v>
      </c>
      <c r="CD427" t="str">
        <f>SUBSTITUTE(TRIM(MID(SUBSTITUTE(SUBSTITUTE(SUBSTITUTE(Tabla1[[#This Row],[map]],"[",""),"]",""),",",REPT(" ",100)),1,300))," ",", ")</f>
        <v>4, 2, 3</v>
      </c>
      <c r="CE427" t="str">
        <f>SUBSTITUTE(TRIM(MID(SUBSTITUTE(SUBSTITUTE(SUBSTITUTE(Tabla1[[#This Row],[map]],"[",""),"]",""),",",REPT(" ",100)),1,600))," ",", ")</f>
        <v>4, 2, 3, 0, 1, -1</v>
      </c>
      <c r="CF427" t="str">
        <f>SUBSTITUTE(TRIM(MID(SUBSTITUTE(SUBSTITUTE(SUBSTITUTE(Tabla1[[#This Row],[map]],"[",""),"]",""),",",REPT(" ",100)),601,600))," ",", ")</f>
        <v>3, 0, 1, 2, 4, -1</v>
      </c>
      <c r="CG427" t="str">
        <f>SUBSTITUTE(TRIM(MID(SUBSTITUTE(SUBSTITUTE(SUBSTITUTE(Tabla1[[#This Row],[map]],"[",""),"]",""),",",REPT(" ",100)),1201,600))," ",", ")</f>
        <v>4, 0, 1, 3, 2, -1</v>
      </c>
    </row>
    <row r="428" spans="1:85" x14ac:dyDescent="0.3">
      <c r="A428" s="1">
        <v>46110.925625000003</v>
      </c>
      <c r="B428" t="s">
        <v>666</v>
      </c>
      <c r="C428">
        <v>5</v>
      </c>
      <c r="D428" t="s">
        <v>96</v>
      </c>
      <c r="E428" t="s">
        <v>78</v>
      </c>
      <c r="F428">
        <v>16590</v>
      </c>
      <c r="G428">
        <v>4.5</v>
      </c>
      <c r="H428" t="s">
        <v>79</v>
      </c>
      <c r="I428" t="s">
        <v>80</v>
      </c>
      <c r="J428">
        <v>5</v>
      </c>
      <c r="K428">
        <v>5</v>
      </c>
      <c r="L428" t="s">
        <v>81</v>
      </c>
      <c r="M428" t="s">
        <v>82</v>
      </c>
      <c r="N428" t="s">
        <v>83</v>
      </c>
      <c r="O428" t="s">
        <v>83</v>
      </c>
      <c r="P428" t="s">
        <v>84</v>
      </c>
      <c r="Q428" t="s">
        <v>243</v>
      </c>
      <c r="R428">
        <v>3</v>
      </c>
      <c r="S428" t="s">
        <v>86</v>
      </c>
      <c r="T428" t="s">
        <v>87</v>
      </c>
      <c r="U428" t="s">
        <v>88</v>
      </c>
      <c r="V428">
        <v>1</v>
      </c>
      <c r="W428" t="s">
        <v>244</v>
      </c>
      <c r="X428" t="s">
        <v>83</v>
      </c>
      <c r="Y428" t="s">
        <v>90</v>
      </c>
      <c r="Z428">
        <v>4000</v>
      </c>
      <c r="AA428">
        <v>4000</v>
      </c>
      <c r="AC428">
        <v>256</v>
      </c>
      <c r="AD428" t="s">
        <v>91</v>
      </c>
      <c r="AE428">
        <v>0.15</v>
      </c>
      <c r="AF428" t="s">
        <v>92</v>
      </c>
      <c r="AG428">
        <v>180</v>
      </c>
      <c r="AH428">
        <v>60</v>
      </c>
      <c r="AI428">
        <v>120</v>
      </c>
      <c r="AJ428">
        <v>0.1230413222002907</v>
      </c>
      <c r="AK428">
        <v>14.84465017520081</v>
      </c>
      <c r="AL428">
        <v>0.70011425337446986</v>
      </c>
      <c r="AM428">
        <v>0.26124037700545732</v>
      </c>
      <c r="AN428">
        <v>18.32485272115688</v>
      </c>
      <c r="AO428">
        <v>0.66805557940654681</v>
      </c>
      <c r="AP428">
        <v>18.32485272115688</v>
      </c>
      <c r="AQ428">
        <v>18.32485272115688</v>
      </c>
      <c r="AR428">
        <v>0.66805557940654681</v>
      </c>
      <c r="AS428">
        <v>92.352657826246258</v>
      </c>
      <c r="AT428">
        <v>0.23574356493195561</v>
      </c>
      <c r="AU428">
        <v>0.8</v>
      </c>
      <c r="AV428" t="s">
        <v>93</v>
      </c>
      <c r="AW428">
        <v>7.4827044519707162E-2</v>
      </c>
      <c r="AX428">
        <v>0.45665890852101021</v>
      </c>
      <c r="AY428">
        <v>7.4827044519707162E-2</v>
      </c>
      <c r="AZ428">
        <v>7.4827044519707162E-2</v>
      </c>
      <c r="BA428">
        <v>0.45665890852101021</v>
      </c>
      <c r="BB428">
        <v>0.17982251955365841</v>
      </c>
      <c r="BC428">
        <v>-0.30574399502113508</v>
      </c>
      <c r="BD428">
        <v>0.11076675794740611</v>
      </c>
      <c r="BE428">
        <v>0.61621684149913314</v>
      </c>
      <c r="BF428">
        <v>0.11076675794740611</v>
      </c>
      <c r="BG428">
        <v>0.11076675794740611</v>
      </c>
      <c r="BH428">
        <v>0.61621684149913314</v>
      </c>
      <c r="BI428">
        <v>9.2547226417045686E-2</v>
      </c>
      <c r="BJ428">
        <v>0.67934362688765138</v>
      </c>
      <c r="BK428">
        <v>4.7997611930661703E-2</v>
      </c>
      <c r="BL428">
        <v>0.80730476983447474</v>
      </c>
      <c r="BM428">
        <v>4.7997611930661703E-2</v>
      </c>
      <c r="BN428">
        <v>4.7997611930661703E-2</v>
      </c>
      <c r="BO428">
        <v>0.80730476983447474</v>
      </c>
      <c r="BP428">
        <v>9.4717895756381093E-2</v>
      </c>
      <c r="BQ428">
        <v>0.61973760798898025</v>
      </c>
      <c r="BR428">
        <v>73.065819470229371</v>
      </c>
      <c r="BS428">
        <v>0.79204179777156791</v>
      </c>
      <c r="BT428">
        <v>73.065819470229371</v>
      </c>
      <c r="BU428">
        <v>73.065819470229371</v>
      </c>
      <c r="BV428">
        <v>0.79204179777156791</v>
      </c>
      <c r="BW428">
        <v>369.04354366325731</v>
      </c>
      <c r="BX428">
        <v>-5.0362980127675261E-2</v>
      </c>
      <c r="BY428" t="str">
        <f t="shared" si="16"/>
        <v>[[sv,wv],[yr],[ya]]</v>
      </c>
      <c r="BZ428" t="str">
        <f>SUBSTITUTE(TRIM(MID(SUBSTITUTE(SUBSTITUTE(SUBSTITUTE(Tabla1[[#This Row],[map]],"[",""),"]",""),",",REPT(" ",100)),901,200))," ",", ")</f>
        <v>2, 3</v>
      </c>
      <c r="CA428" t="str">
        <f>SUBSTITUTE(TRIM(MID(SUBSTITUTE(SUBSTITUTE(SUBSTITUTE(Tabla1[[#This Row],[map]],"[",""),"]",""),",",REPT(" ",100)),1501,200))," ",", ")</f>
        <v>3, 4</v>
      </c>
      <c r="CB428" t="str">
        <f>SUBSTITUTE(TRIM(MID(SUBSTITUTE(SUBSTITUTE(SUBSTITUTE(Tabla1[[#This Row],[map]],"[",""),"]",""),",",REPT(" ",100)),601,300))," ",", ")</f>
        <v>4, 0, 1</v>
      </c>
      <c r="CC428" t="str">
        <f>SUBSTITUTE(TRIM(MID(SUBSTITUTE(SUBSTITUTE(SUBSTITUTE(Tabla1[[#This Row],[map]],"[",""),"]",""),",",REPT(" ",100)),1201,300))," ",", ")</f>
        <v>2, 0, 1</v>
      </c>
      <c r="CD428" t="str">
        <f>SUBSTITUTE(TRIM(MID(SUBSTITUTE(SUBSTITUTE(SUBSTITUTE(Tabla1[[#This Row],[map]],"[",""),"]",""),",",REPT(" ",100)),1,300))," ",", ")</f>
        <v>4, 2, 3</v>
      </c>
      <c r="CE428" t="str">
        <f>SUBSTITUTE(TRIM(MID(SUBSTITUTE(SUBSTITUTE(SUBSTITUTE(Tabla1[[#This Row],[map]],"[",""),"]",""),",",REPT(" ",100)),1,600))," ",", ")</f>
        <v>4, 2, 3, 0, 1, -1</v>
      </c>
      <c r="CF428" t="str">
        <f>SUBSTITUTE(TRIM(MID(SUBSTITUTE(SUBSTITUTE(SUBSTITUTE(Tabla1[[#This Row],[map]],"[",""),"]",""),",",REPT(" ",100)),601,600))," ",", ")</f>
        <v>4, 0, 1, 2, 3, -1</v>
      </c>
      <c r="CG428" t="str">
        <f>SUBSTITUTE(TRIM(MID(SUBSTITUTE(SUBSTITUTE(SUBSTITUTE(Tabla1[[#This Row],[map]],"[",""),"]",""),",",REPT(" ",100)),1201,600))," ",", ")</f>
        <v>2, 0, 1, 3, 4, -1</v>
      </c>
    </row>
    <row r="429" spans="1:85" x14ac:dyDescent="0.3">
      <c r="A429" s="1">
        <v>46110.973796296297</v>
      </c>
      <c r="B429" t="s">
        <v>667</v>
      </c>
      <c r="C429">
        <v>7</v>
      </c>
      <c r="D429" t="s">
        <v>77</v>
      </c>
      <c r="E429" t="s">
        <v>78</v>
      </c>
      <c r="F429">
        <v>16590</v>
      </c>
      <c r="G429">
        <v>4.5</v>
      </c>
      <c r="H429" t="s">
        <v>79</v>
      </c>
      <c r="I429" t="s">
        <v>80</v>
      </c>
      <c r="J429">
        <v>5</v>
      </c>
      <c r="K429">
        <v>5</v>
      </c>
      <c r="L429" t="s">
        <v>81</v>
      </c>
      <c r="M429" t="s">
        <v>82</v>
      </c>
      <c r="N429" t="s">
        <v>83</v>
      </c>
      <c r="O429" t="s">
        <v>83</v>
      </c>
      <c r="P429" t="s">
        <v>84</v>
      </c>
      <c r="Q429" t="s">
        <v>201</v>
      </c>
      <c r="R429">
        <v>3</v>
      </c>
      <c r="S429" t="s">
        <v>86</v>
      </c>
      <c r="T429" t="s">
        <v>87</v>
      </c>
      <c r="U429" t="s">
        <v>88</v>
      </c>
      <c r="V429">
        <v>1</v>
      </c>
      <c r="W429" t="s">
        <v>202</v>
      </c>
      <c r="X429" t="s">
        <v>83</v>
      </c>
      <c r="Y429" t="s">
        <v>90</v>
      </c>
      <c r="Z429">
        <v>4000</v>
      </c>
      <c r="AA429">
        <v>4000</v>
      </c>
      <c r="AC429">
        <v>256</v>
      </c>
      <c r="AD429" t="s">
        <v>91</v>
      </c>
      <c r="AE429">
        <v>0.15</v>
      </c>
      <c r="AF429" t="s">
        <v>92</v>
      </c>
      <c r="AG429">
        <v>180</v>
      </c>
      <c r="AH429">
        <v>60</v>
      </c>
      <c r="AI429">
        <v>120</v>
      </c>
      <c r="AJ429">
        <v>0.11450948428909639</v>
      </c>
      <c r="AK429">
        <v>14.210279005204541</v>
      </c>
      <c r="AL429">
        <v>0.72589091509185222</v>
      </c>
      <c r="AM429">
        <v>0.30750806088442939</v>
      </c>
      <c r="AN429">
        <v>20.54794218084993</v>
      </c>
      <c r="AO429">
        <v>0.67472413750487648</v>
      </c>
      <c r="AP429">
        <v>20.54794218084993</v>
      </c>
      <c r="AQ429">
        <v>20.54794218084993</v>
      </c>
      <c r="AR429">
        <v>0.67472413750487648</v>
      </c>
      <c r="AS429">
        <v>64.578039502078852</v>
      </c>
      <c r="AT429">
        <v>0.25390673142724379</v>
      </c>
      <c r="AU429">
        <v>0.8</v>
      </c>
      <c r="AV429" t="s">
        <v>93</v>
      </c>
      <c r="AW429">
        <v>7.607791691875182E-2</v>
      </c>
      <c r="AX429">
        <v>0.44757595757780061</v>
      </c>
      <c r="AY429">
        <v>7.607791691875182E-2</v>
      </c>
      <c r="AZ429">
        <v>7.607791691875182E-2</v>
      </c>
      <c r="BA429">
        <v>0.44757595757780061</v>
      </c>
      <c r="BB429">
        <v>9.3861584550219632E-2</v>
      </c>
      <c r="BC429">
        <v>0.31844353702848338</v>
      </c>
      <c r="BD429">
        <v>8.4101022488395016E-2</v>
      </c>
      <c r="BE429">
        <v>0.7086079195432069</v>
      </c>
      <c r="BF429">
        <v>8.4101022488395016E-2</v>
      </c>
      <c r="BG429">
        <v>8.4101022488395016E-2</v>
      </c>
      <c r="BH429">
        <v>0.7086079195432069</v>
      </c>
      <c r="BI429">
        <v>0.1408157765366492</v>
      </c>
      <c r="BJ429">
        <v>0.51210341001721948</v>
      </c>
      <c r="BK429">
        <v>5.5787643657132409E-2</v>
      </c>
      <c r="BL429">
        <v>0.77603025645456869</v>
      </c>
      <c r="BM429">
        <v>5.5787643657132409E-2</v>
      </c>
      <c r="BN429">
        <v>5.5787643657132409E-2</v>
      </c>
      <c r="BO429">
        <v>0.77603025645456869</v>
      </c>
      <c r="BP429">
        <v>0.26929954459399491</v>
      </c>
      <c r="BQ429">
        <v>-8.1152491585961384E-2</v>
      </c>
      <c r="BR429">
        <v>81.975802140335588</v>
      </c>
      <c r="BS429">
        <v>0.76668241644393176</v>
      </c>
      <c r="BT429">
        <v>81.975802140335588</v>
      </c>
      <c r="BU429">
        <v>81.975802140335588</v>
      </c>
      <c r="BV429">
        <v>0.76668241644393176</v>
      </c>
      <c r="BW429">
        <v>257.80818110263459</v>
      </c>
      <c r="BX429">
        <v>0.2662324702492298</v>
      </c>
      <c r="BY429" t="str">
        <f t="shared" si="16"/>
        <v>[[sv,wv],[yr],[ya]]</v>
      </c>
      <c r="BZ429" t="str">
        <f>SUBSTITUTE(TRIM(MID(SUBSTITUTE(SUBSTITUTE(SUBSTITUTE(Tabla1[[#This Row],[map]],"[",""),"]",""),",",REPT(" ",100)),901,200))," ",", ")</f>
        <v>2, 4</v>
      </c>
      <c r="CA429" t="str">
        <f>SUBSTITUTE(TRIM(MID(SUBSTITUTE(SUBSTITUTE(SUBSTITUTE(Tabla1[[#This Row],[map]],"[",""),"]",""),",",REPT(" ",100)),1501,200))," ",", ")</f>
        <v>3, 2</v>
      </c>
      <c r="CB429" t="str">
        <f>SUBSTITUTE(TRIM(MID(SUBSTITUTE(SUBSTITUTE(SUBSTITUTE(Tabla1[[#This Row],[map]],"[",""),"]",""),",",REPT(" ",100)),601,300))," ",", ")</f>
        <v>0, 1, 3</v>
      </c>
      <c r="CC429" t="str">
        <f>SUBSTITUTE(TRIM(MID(SUBSTITUTE(SUBSTITUTE(SUBSTITUTE(Tabla1[[#This Row],[map]],"[",""),"]",""),",",REPT(" ",100)),1201,300))," ",", ")</f>
        <v>0, 1, 4</v>
      </c>
      <c r="CD429" t="str">
        <f>SUBSTITUTE(TRIM(MID(SUBSTITUTE(SUBSTITUTE(SUBSTITUTE(Tabla1[[#This Row],[map]],"[",""),"]",""),",",REPT(" ",100)),1,300))," ",", ")</f>
        <v>4, 2, 3</v>
      </c>
      <c r="CE429" t="str">
        <f>SUBSTITUTE(TRIM(MID(SUBSTITUTE(SUBSTITUTE(SUBSTITUTE(Tabla1[[#This Row],[map]],"[",""),"]",""),",",REPT(" ",100)),1,600))," ",", ")</f>
        <v>4, 2, 3, 0, 1, -1</v>
      </c>
      <c r="CF429" t="str">
        <f>SUBSTITUTE(TRIM(MID(SUBSTITUTE(SUBSTITUTE(SUBSTITUTE(Tabla1[[#This Row],[map]],"[",""),"]",""),",",REPT(" ",100)),601,600))," ",", ")</f>
        <v>0, 1, 3, 2, 4, -1</v>
      </c>
      <c r="CG429" t="str">
        <f>SUBSTITUTE(TRIM(MID(SUBSTITUTE(SUBSTITUTE(SUBSTITUTE(Tabla1[[#This Row],[map]],"[",""),"]",""),",",REPT(" ",100)),1201,600))," ",", ")</f>
        <v>0, 1, 4, 3, 2, -1</v>
      </c>
    </row>
    <row r="430" spans="1:85" x14ac:dyDescent="0.3">
      <c r="A430" s="1">
        <v>46110.988032407397</v>
      </c>
      <c r="B430" t="s">
        <v>668</v>
      </c>
      <c r="C430">
        <v>6</v>
      </c>
      <c r="D430" t="s">
        <v>96</v>
      </c>
      <c r="E430" t="s">
        <v>78</v>
      </c>
      <c r="F430">
        <v>16590</v>
      </c>
      <c r="G430">
        <v>4.5</v>
      </c>
      <c r="H430" t="s">
        <v>79</v>
      </c>
      <c r="I430" t="s">
        <v>80</v>
      </c>
      <c r="J430">
        <v>5</v>
      </c>
      <c r="K430">
        <v>5</v>
      </c>
      <c r="L430" t="s">
        <v>81</v>
      </c>
      <c r="M430" t="s">
        <v>82</v>
      </c>
      <c r="N430" t="s">
        <v>83</v>
      </c>
      <c r="O430" t="s">
        <v>83</v>
      </c>
      <c r="P430" t="s">
        <v>84</v>
      </c>
      <c r="Q430" t="s">
        <v>153</v>
      </c>
      <c r="R430">
        <v>3</v>
      </c>
      <c r="S430" t="s">
        <v>86</v>
      </c>
      <c r="T430" t="s">
        <v>87</v>
      </c>
      <c r="U430" t="s">
        <v>88</v>
      </c>
      <c r="V430">
        <v>1</v>
      </c>
      <c r="W430" t="s">
        <v>154</v>
      </c>
      <c r="X430" t="s">
        <v>83</v>
      </c>
      <c r="Y430" t="s">
        <v>90</v>
      </c>
      <c r="Z430">
        <v>4000</v>
      </c>
      <c r="AA430">
        <v>4000</v>
      </c>
      <c r="AC430">
        <v>256</v>
      </c>
      <c r="AD430" t="s">
        <v>91</v>
      </c>
      <c r="AE430">
        <v>0.15</v>
      </c>
      <c r="AF430" t="s">
        <v>92</v>
      </c>
      <c r="AG430">
        <v>180</v>
      </c>
      <c r="AH430">
        <v>60</v>
      </c>
      <c r="AI430">
        <v>120</v>
      </c>
      <c r="AJ430">
        <v>0.12047082085162809</v>
      </c>
      <c r="AK430">
        <v>42.433035327428072</v>
      </c>
      <c r="AL430">
        <v>0.6789126195774684</v>
      </c>
      <c r="AM430">
        <v>0.14435734807980899</v>
      </c>
      <c r="AN430">
        <v>50.868677674077937</v>
      </c>
      <c r="AO430">
        <v>0.61175941386758181</v>
      </c>
      <c r="AP430">
        <v>50.868677674077937</v>
      </c>
      <c r="AQ430">
        <v>50.868677674077937</v>
      </c>
      <c r="AR430">
        <v>0.61175941386758181</v>
      </c>
      <c r="AS430">
        <v>99.308714603470705</v>
      </c>
      <c r="AT430">
        <v>7.7907946172437736E-2</v>
      </c>
      <c r="AU430">
        <v>0.8</v>
      </c>
      <c r="AV430" t="s">
        <v>93</v>
      </c>
      <c r="AW430">
        <v>6.7819648321846462E-2</v>
      </c>
      <c r="AX430">
        <v>0.50754166519020627</v>
      </c>
      <c r="AY430">
        <v>6.7819648321846462E-2</v>
      </c>
      <c r="AZ430">
        <v>6.7819648321846462E-2</v>
      </c>
      <c r="BA430">
        <v>0.50754166519020627</v>
      </c>
      <c r="BB430">
        <v>0.1526148709502877</v>
      </c>
      <c r="BC430">
        <v>-0.1081812877991644</v>
      </c>
      <c r="BD430">
        <v>6.8147625520267013E-2</v>
      </c>
      <c r="BE430">
        <v>0.76388303267916646</v>
      </c>
      <c r="BF430">
        <v>6.8147625520267013E-2</v>
      </c>
      <c r="BG430">
        <v>6.8147625520267013E-2</v>
      </c>
      <c r="BH430">
        <v>0.76388303267916646</v>
      </c>
      <c r="BI430">
        <v>0.24012177060762491</v>
      </c>
      <c r="BJ430">
        <v>0.1680293505351895</v>
      </c>
      <c r="BK430">
        <v>6.1231077480820018E-2</v>
      </c>
      <c r="BL430">
        <v>0.75417659142095028</v>
      </c>
      <c r="BM430">
        <v>6.1231077480820018E-2</v>
      </c>
      <c r="BN430">
        <v>6.1231077480820018E-2</v>
      </c>
      <c r="BO430">
        <v>0.75417659142095028</v>
      </c>
      <c r="BP430">
        <v>0.15422699472059501</v>
      </c>
      <c r="BQ430">
        <v>0.38082739848901898</v>
      </c>
      <c r="BR430">
        <v>203.27751234498891</v>
      </c>
      <c r="BS430">
        <v>0.42143636618000302</v>
      </c>
      <c r="BT430">
        <v>203.27751234498891</v>
      </c>
      <c r="BU430">
        <v>203.27751234498891</v>
      </c>
      <c r="BV430">
        <v>0.42143636618000302</v>
      </c>
      <c r="BW430">
        <v>396.68789477760379</v>
      </c>
      <c r="BX430">
        <v>-0.12904367653529489</v>
      </c>
      <c r="BY430" t="str">
        <f t="shared" si="16"/>
        <v>[[sv,wv],[yr],[ya]]</v>
      </c>
      <c r="BZ430" t="str">
        <f>SUBSTITUTE(TRIM(MID(SUBSTITUTE(SUBSTITUTE(SUBSTITUTE(Tabla1[[#This Row],[map]],"[",""),"]",""),",",REPT(" ",100)),901,200))," ",", ")</f>
        <v>2, 4</v>
      </c>
      <c r="CA430" t="str">
        <f>SUBSTITUTE(TRIM(MID(SUBSTITUTE(SUBSTITUTE(SUBSTITUTE(Tabla1[[#This Row],[map]],"[",""),"]",""),",",REPT(" ",100)),1501,200))," ",", ")</f>
        <v>3, 2</v>
      </c>
      <c r="CB430" t="str">
        <f>SUBSTITUTE(TRIM(MID(SUBSTITUTE(SUBSTITUTE(SUBSTITUTE(Tabla1[[#This Row],[map]],"[",""),"]",""),",",REPT(" ",100)),601,300))," ",", ")</f>
        <v>0, 1, 3</v>
      </c>
      <c r="CC430" t="str">
        <f>SUBSTITUTE(TRIM(MID(SUBSTITUTE(SUBSTITUTE(SUBSTITUTE(Tabla1[[#This Row],[map]],"[",""),"]",""),",",REPT(" ",100)),1201,300))," ",", ")</f>
        <v>4, 0, 1</v>
      </c>
      <c r="CD430" t="str">
        <f>SUBSTITUTE(TRIM(MID(SUBSTITUTE(SUBSTITUTE(SUBSTITUTE(Tabla1[[#This Row],[map]],"[",""),"]",""),",",REPT(" ",100)),1,300))," ",", ")</f>
        <v>2, 3, 4</v>
      </c>
      <c r="CE430" t="str">
        <f>SUBSTITUTE(TRIM(MID(SUBSTITUTE(SUBSTITUTE(SUBSTITUTE(Tabla1[[#This Row],[map]],"[",""),"]",""),",",REPT(" ",100)),1,600))," ",", ")</f>
        <v>2, 3, 4, 0, 1, -1</v>
      </c>
      <c r="CF430" t="str">
        <f>SUBSTITUTE(TRIM(MID(SUBSTITUTE(SUBSTITUTE(SUBSTITUTE(Tabla1[[#This Row],[map]],"[",""),"]",""),",",REPT(" ",100)),601,600))," ",", ")</f>
        <v>0, 1, 3, 2, 4, -1</v>
      </c>
      <c r="CG430" t="str">
        <f>SUBSTITUTE(TRIM(MID(SUBSTITUTE(SUBSTITUTE(SUBSTITUTE(Tabla1[[#This Row],[map]],"[",""),"]",""),",",REPT(" ",100)),1201,600))," ",", ")</f>
        <v>4, 0, 1, 3, 2, -1</v>
      </c>
    </row>
    <row r="431" spans="1:85" x14ac:dyDescent="0.3">
      <c r="A431" s="1">
        <v>46110.994120370371</v>
      </c>
      <c r="B431" t="s">
        <v>669</v>
      </c>
      <c r="C431">
        <v>8</v>
      </c>
      <c r="D431" t="s">
        <v>77</v>
      </c>
      <c r="E431" t="s">
        <v>78</v>
      </c>
      <c r="F431">
        <v>16590</v>
      </c>
      <c r="G431">
        <v>4.5</v>
      </c>
      <c r="H431" t="s">
        <v>79</v>
      </c>
      <c r="I431" t="s">
        <v>80</v>
      </c>
      <c r="J431">
        <v>5</v>
      </c>
      <c r="K431">
        <v>5</v>
      </c>
      <c r="L431" t="s">
        <v>81</v>
      </c>
      <c r="M431" t="s">
        <v>82</v>
      </c>
      <c r="N431" t="s">
        <v>83</v>
      </c>
      <c r="O431" t="s">
        <v>83</v>
      </c>
      <c r="P431" t="s">
        <v>84</v>
      </c>
      <c r="Q431" t="s">
        <v>441</v>
      </c>
      <c r="R431">
        <v>3</v>
      </c>
      <c r="S431" t="s">
        <v>86</v>
      </c>
      <c r="T431" t="s">
        <v>87</v>
      </c>
      <c r="U431" t="s">
        <v>88</v>
      </c>
      <c r="V431">
        <v>1</v>
      </c>
      <c r="W431" t="s">
        <v>442</v>
      </c>
      <c r="X431" t="s">
        <v>83</v>
      </c>
      <c r="Y431" t="s">
        <v>90</v>
      </c>
      <c r="Z431">
        <v>4000</v>
      </c>
      <c r="AA431">
        <v>4000</v>
      </c>
      <c r="AC431">
        <v>256</v>
      </c>
      <c r="AD431" t="s">
        <v>91</v>
      </c>
      <c r="AE431">
        <v>0.15</v>
      </c>
      <c r="AF431" t="s">
        <v>92</v>
      </c>
      <c r="AG431">
        <v>180</v>
      </c>
      <c r="AH431">
        <v>60</v>
      </c>
      <c r="AI431">
        <v>120</v>
      </c>
      <c r="AJ431">
        <v>0.101463544415546</v>
      </c>
      <c r="AK431">
        <v>24.350749043306351</v>
      </c>
      <c r="AL431">
        <v>0.72405749730942603</v>
      </c>
      <c r="AM431">
        <v>0.20917859398351021</v>
      </c>
      <c r="AN431">
        <v>25.161727615761482</v>
      </c>
      <c r="AO431">
        <v>0.68662722825404343</v>
      </c>
      <c r="AP431">
        <v>25.161727615761482</v>
      </c>
      <c r="AQ431">
        <v>25.161727615761482</v>
      </c>
      <c r="AR431">
        <v>0.68662722825404343</v>
      </c>
      <c r="AS431">
        <v>92.272156968294595</v>
      </c>
      <c r="AT431">
        <v>0.16820936358289909</v>
      </c>
      <c r="AU431">
        <v>0.8</v>
      </c>
      <c r="AV431" t="s">
        <v>93</v>
      </c>
      <c r="AW431">
        <v>8.2169419223457274E-2</v>
      </c>
      <c r="AX431">
        <v>0.40334377478573857</v>
      </c>
      <c r="AY431">
        <v>8.2169419223457274E-2</v>
      </c>
      <c r="AZ431">
        <v>8.2169419223457274E-2</v>
      </c>
      <c r="BA431">
        <v>0.40334377478573857</v>
      </c>
      <c r="BB431">
        <v>0.14629010043637</v>
      </c>
      <c r="BC431">
        <v>-6.2255276202099592E-2</v>
      </c>
      <c r="BD431">
        <v>7.6194192473485856E-2</v>
      </c>
      <c r="BE431">
        <v>0.73600339678821336</v>
      </c>
      <c r="BF431">
        <v>7.6194192473485856E-2</v>
      </c>
      <c r="BG431">
        <v>7.6194192473485856E-2</v>
      </c>
      <c r="BH431">
        <v>0.73600339678821336</v>
      </c>
      <c r="BI431">
        <v>9.8696972219663379E-2</v>
      </c>
      <c r="BJ431">
        <v>0.65803607115665563</v>
      </c>
      <c r="BK431">
        <v>2.6628730489039239E-2</v>
      </c>
      <c r="BL431">
        <v>0.89309406980468464</v>
      </c>
      <c r="BM431">
        <v>2.6628730489039239E-2</v>
      </c>
      <c r="BN431">
        <v>2.6628730489039239E-2</v>
      </c>
      <c r="BO431">
        <v>0.89309406980468464</v>
      </c>
      <c r="BP431">
        <v>0.21764324066800511</v>
      </c>
      <c r="BQ431">
        <v>0.12623122968955861</v>
      </c>
      <c r="BR431">
        <v>100.4619181208602</v>
      </c>
      <c r="BS431">
        <v>0.71406767163753759</v>
      </c>
      <c r="BT431">
        <v>100.4619181208602</v>
      </c>
      <c r="BU431">
        <v>100.4619181208602</v>
      </c>
      <c r="BV431">
        <v>0.71406767163753759</v>
      </c>
      <c r="BW431">
        <v>368.62599755985542</v>
      </c>
      <c r="BX431">
        <v>-4.9174570312517929E-2</v>
      </c>
      <c r="BY431" t="str">
        <f t="shared" si="16"/>
        <v>[[sv,wv],[yr],[ya]]</v>
      </c>
      <c r="BZ431" t="str">
        <f>SUBSTITUTE(TRIM(MID(SUBSTITUTE(SUBSTITUTE(SUBSTITUTE(Tabla1[[#This Row],[map]],"[",""),"]",""),",",REPT(" ",100)),901,200))," ",", ")</f>
        <v>2, 3</v>
      </c>
      <c r="CA431" t="str">
        <f>SUBSTITUTE(TRIM(MID(SUBSTITUTE(SUBSTITUTE(SUBSTITUTE(Tabla1[[#This Row],[map]],"[",""),"]",""),",",REPT(" ",100)),1501,200))," ",", ")</f>
        <v>3, 2</v>
      </c>
      <c r="CB431" t="str">
        <f>SUBSTITUTE(TRIM(MID(SUBSTITUTE(SUBSTITUTE(SUBSTITUTE(Tabla1[[#This Row],[map]],"[",""),"]",""),",",REPT(" ",100)),601,300))," ",", ")</f>
        <v>1, 4, 0</v>
      </c>
      <c r="CC431" t="str">
        <f>SUBSTITUTE(TRIM(MID(SUBSTITUTE(SUBSTITUTE(SUBSTITUTE(Tabla1[[#This Row],[map]],"[",""),"]",""),",",REPT(" ",100)),1201,300))," ",", ")</f>
        <v>0, 1, 4</v>
      </c>
      <c r="CD431" t="str">
        <f>SUBSTITUTE(TRIM(MID(SUBSTITUTE(SUBSTITUTE(SUBSTITUTE(Tabla1[[#This Row],[map]],"[",""),"]",""),",",REPT(" ",100)),1,300))," ",", ")</f>
        <v>4, 2, 3</v>
      </c>
      <c r="CE431" t="str">
        <f>SUBSTITUTE(TRIM(MID(SUBSTITUTE(SUBSTITUTE(SUBSTITUTE(Tabla1[[#This Row],[map]],"[",""),"]",""),",",REPT(" ",100)),1,600))," ",", ")</f>
        <v>4, 2, 3, 0, 1, -1</v>
      </c>
      <c r="CF431" t="str">
        <f>SUBSTITUTE(TRIM(MID(SUBSTITUTE(SUBSTITUTE(SUBSTITUTE(Tabla1[[#This Row],[map]],"[",""),"]",""),",",REPT(" ",100)),601,600))," ",", ")</f>
        <v>1, 4, 0, 2, 3, -1</v>
      </c>
      <c r="CG431" t="str">
        <f>SUBSTITUTE(TRIM(MID(SUBSTITUTE(SUBSTITUTE(SUBSTITUTE(Tabla1[[#This Row],[map]],"[",""),"]",""),",",REPT(" ",100)),1201,600))," ",", ")</f>
        <v>0, 1, 4, 3, 2, -1</v>
      </c>
    </row>
    <row r="432" spans="1:85" x14ac:dyDescent="0.3">
      <c r="A432" s="1">
        <v>46111.007118055553</v>
      </c>
      <c r="B432" t="s">
        <v>670</v>
      </c>
      <c r="C432">
        <v>6</v>
      </c>
      <c r="D432" t="s">
        <v>96</v>
      </c>
      <c r="E432" t="s">
        <v>78</v>
      </c>
      <c r="F432">
        <v>16590</v>
      </c>
      <c r="G432">
        <v>4.5</v>
      </c>
      <c r="H432" t="s">
        <v>79</v>
      </c>
      <c r="I432" t="s">
        <v>80</v>
      </c>
      <c r="J432">
        <v>5</v>
      </c>
      <c r="K432">
        <v>5</v>
      </c>
      <c r="L432" t="s">
        <v>81</v>
      </c>
      <c r="M432" t="s">
        <v>82</v>
      </c>
      <c r="N432" t="s">
        <v>83</v>
      </c>
      <c r="O432" t="s">
        <v>83</v>
      </c>
      <c r="P432" t="s">
        <v>84</v>
      </c>
      <c r="Q432" t="s">
        <v>219</v>
      </c>
      <c r="R432">
        <v>3</v>
      </c>
      <c r="S432" t="s">
        <v>86</v>
      </c>
      <c r="T432" t="s">
        <v>87</v>
      </c>
      <c r="U432" t="s">
        <v>88</v>
      </c>
      <c r="V432">
        <v>1</v>
      </c>
      <c r="W432" t="s">
        <v>220</v>
      </c>
      <c r="X432" t="s">
        <v>83</v>
      </c>
      <c r="Y432" t="s">
        <v>90</v>
      </c>
      <c r="Z432">
        <v>4000</v>
      </c>
      <c r="AA432">
        <v>4000</v>
      </c>
      <c r="AC432">
        <v>256</v>
      </c>
      <c r="AD432" t="s">
        <v>91</v>
      </c>
      <c r="AE432">
        <v>0.15</v>
      </c>
      <c r="AF432" t="s">
        <v>92</v>
      </c>
      <c r="AG432">
        <v>180</v>
      </c>
      <c r="AH432">
        <v>60</v>
      </c>
      <c r="AI432">
        <v>120</v>
      </c>
      <c r="AJ432">
        <v>0.12816662969704329</v>
      </c>
      <c r="AK432">
        <v>16.26760792821333</v>
      </c>
      <c r="AL432">
        <v>0.65908447757385136</v>
      </c>
      <c r="AM432">
        <v>0.1896493262731852</v>
      </c>
      <c r="AN432">
        <v>17.557516148477319</v>
      </c>
      <c r="AO432">
        <v>0.62038480988540257</v>
      </c>
      <c r="AP432">
        <v>17.557516148477319</v>
      </c>
      <c r="AQ432">
        <v>17.557516148477319</v>
      </c>
      <c r="AR432">
        <v>0.62038480988540257</v>
      </c>
      <c r="AS432">
        <v>64.900221113823079</v>
      </c>
      <c r="AT432">
        <v>0.21447124780328231</v>
      </c>
      <c r="AU432">
        <v>0.8</v>
      </c>
      <c r="AV432" t="s">
        <v>93</v>
      </c>
      <c r="AW432">
        <v>8.0425764303272043E-2</v>
      </c>
      <c r="AX432">
        <v>0.41600496397979592</v>
      </c>
      <c r="AY432">
        <v>8.0425764303272043E-2</v>
      </c>
      <c r="AZ432">
        <v>8.0425764303272043E-2</v>
      </c>
      <c r="BA432">
        <v>0.41600496397979592</v>
      </c>
      <c r="BB432">
        <v>0.17593130240776961</v>
      </c>
      <c r="BC432">
        <v>-0.27748872735955921</v>
      </c>
      <c r="BD432">
        <v>0.1026969073476016</v>
      </c>
      <c r="BE432">
        <v>0.6441771502525373</v>
      </c>
      <c r="BF432">
        <v>0.1026969073476016</v>
      </c>
      <c r="BG432">
        <v>0.1026969073476016</v>
      </c>
      <c r="BH432">
        <v>0.6441771502525373</v>
      </c>
      <c r="BI432">
        <v>0.13951367409155671</v>
      </c>
      <c r="BJ432">
        <v>0.51661491688380656</v>
      </c>
      <c r="BK432">
        <v>9.453945431938035E-2</v>
      </c>
      <c r="BL432">
        <v>0.62045399391717182</v>
      </c>
      <c r="BM432">
        <v>9.453945431938035E-2</v>
      </c>
      <c r="BN432">
        <v>9.453945431938035E-2</v>
      </c>
      <c r="BO432">
        <v>0.62045399391717182</v>
      </c>
      <c r="BP432">
        <v>0.16034276745089221</v>
      </c>
      <c r="BQ432">
        <v>0.35627450540744032</v>
      </c>
      <c r="BR432">
        <v>69.952402467938811</v>
      </c>
      <c r="BS432">
        <v>0.800903131392107</v>
      </c>
      <c r="BT432">
        <v>69.952402467938811</v>
      </c>
      <c r="BU432">
        <v>69.952402467938811</v>
      </c>
      <c r="BV432">
        <v>0.800903131392107</v>
      </c>
      <c r="BW432">
        <v>259.12509671134239</v>
      </c>
      <c r="BX432">
        <v>0.26248429628144182</v>
      </c>
      <c r="BY432" t="str">
        <f t="shared" si="16"/>
        <v>[[sv,wv],[yr],[ya]]</v>
      </c>
      <c r="BZ432" t="str">
        <f>SUBSTITUTE(TRIM(MID(SUBSTITUTE(SUBSTITUTE(SUBSTITUTE(Tabla1[[#This Row],[map]],"[",""),"]",""),",",REPT(" ",100)),901,200))," ",", ")</f>
        <v>2, 3</v>
      </c>
      <c r="CA432" t="str">
        <f>SUBSTITUTE(TRIM(MID(SUBSTITUTE(SUBSTITUTE(SUBSTITUTE(Tabla1[[#This Row],[map]],"[",""),"]",""),",",REPT(" ",100)),1501,200))," ",", ")</f>
        <v>3, 4</v>
      </c>
      <c r="CB432" t="str">
        <f>SUBSTITUTE(TRIM(MID(SUBSTITUTE(SUBSTITUTE(SUBSTITUTE(Tabla1[[#This Row],[map]],"[",""),"]",""),",",REPT(" ",100)),601,300))," ",", ")</f>
        <v>0, 1, 4</v>
      </c>
      <c r="CC432" t="str">
        <f>SUBSTITUTE(TRIM(MID(SUBSTITUTE(SUBSTITUTE(SUBSTITUTE(Tabla1[[#This Row],[map]],"[",""),"]",""),",",REPT(" ",100)),1201,300))," ",", ")</f>
        <v>0, 1, 2</v>
      </c>
      <c r="CD432" t="str">
        <f>SUBSTITUTE(TRIM(MID(SUBSTITUTE(SUBSTITUTE(SUBSTITUTE(Tabla1[[#This Row],[map]],"[",""),"]",""),",",REPT(" ",100)),1,300))," ",", ")</f>
        <v>4, 2, 3</v>
      </c>
      <c r="CE432" t="str">
        <f>SUBSTITUTE(TRIM(MID(SUBSTITUTE(SUBSTITUTE(SUBSTITUTE(Tabla1[[#This Row],[map]],"[",""),"]",""),",",REPT(" ",100)),1,600))," ",", ")</f>
        <v>4, 2, 3, 0, 1, -1</v>
      </c>
      <c r="CF432" t="str">
        <f>SUBSTITUTE(TRIM(MID(SUBSTITUTE(SUBSTITUTE(SUBSTITUTE(Tabla1[[#This Row],[map]],"[",""),"]",""),",",REPT(" ",100)),601,600))," ",", ")</f>
        <v>0, 1, 4, 2, 3, -1</v>
      </c>
      <c r="CG432" t="str">
        <f>SUBSTITUTE(TRIM(MID(SUBSTITUTE(SUBSTITUTE(SUBSTITUTE(Tabla1[[#This Row],[map]],"[",""),"]",""),",",REPT(" ",100)),1201,600))," ",", ")</f>
        <v>0, 1, 2, 3, 4, -1</v>
      </c>
    </row>
    <row r="433" spans="1:85" x14ac:dyDescent="0.3">
      <c r="A433" s="1">
        <v>46111.0234837963</v>
      </c>
      <c r="B433" t="s">
        <v>671</v>
      </c>
      <c r="C433">
        <v>9</v>
      </c>
      <c r="D433" t="s">
        <v>96</v>
      </c>
      <c r="E433" t="s">
        <v>78</v>
      </c>
      <c r="F433">
        <v>16590</v>
      </c>
      <c r="G433">
        <v>4.5</v>
      </c>
      <c r="H433" t="s">
        <v>79</v>
      </c>
      <c r="I433" t="s">
        <v>80</v>
      </c>
      <c r="J433">
        <v>5</v>
      </c>
      <c r="K433">
        <v>5</v>
      </c>
      <c r="L433" t="s">
        <v>81</v>
      </c>
      <c r="M433" t="s">
        <v>82</v>
      </c>
      <c r="N433" t="s">
        <v>83</v>
      </c>
      <c r="O433" t="s">
        <v>83</v>
      </c>
      <c r="P433" t="s">
        <v>84</v>
      </c>
      <c r="Q433" t="s">
        <v>441</v>
      </c>
      <c r="R433">
        <v>3</v>
      </c>
      <c r="S433" t="s">
        <v>86</v>
      </c>
      <c r="T433" t="s">
        <v>87</v>
      </c>
      <c r="U433" t="s">
        <v>88</v>
      </c>
      <c r="V433">
        <v>1</v>
      </c>
      <c r="W433" t="s">
        <v>442</v>
      </c>
      <c r="X433" t="s">
        <v>83</v>
      </c>
      <c r="Y433" t="s">
        <v>90</v>
      </c>
      <c r="Z433">
        <v>4000</v>
      </c>
      <c r="AA433">
        <v>4000</v>
      </c>
      <c r="AC433">
        <v>256</v>
      </c>
      <c r="AD433" t="s">
        <v>91</v>
      </c>
      <c r="AE433">
        <v>0.15</v>
      </c>
      <c r="AF433" t="s">
        <v>92</v>
      </c>
      <c r="AG433">
        <v>180</v>
      </c>
      <c r="AH433">
        <v>60</v>
      </c>
      <c r="AI433">
        <v>120</v>
      </c>
      <c r="AJ433">
        <v>0.10284029089872621</v>
      </c>
      <c r="AK433">
        <v>15.626752077137381</v>
      </c>
      <c r="AL433">
        <v>0.77176293290920217</v>
      </c>
      <c r="AM433">
        <v>7.2170145827283816E-2</v>
      </c>
      <c r="AN433">
        <v>22.878465354232869</v>
      </c>
      <c r="AO433">
        <v>0.70294706446472233</v>
      </c>
      <c r="AP433">
        <v>22.878465354232869</v>
      </c>
      <c r="AQ433">
        <v>22.878465354232869</v>
      </c>
      <c r="AR433">
        <v>0.70294706446472233</v>
      </c>
      <c r="AS433">
        <v>93.598599533470207</v>
      </c>
      <c r="AT433">
        <v>0.1165580214678061</v>
      </c>
      <c r="AU433">
        <v>0.8</v>
      </c>
      <c r="AV433" t="s">
        <v>93</v>
      </c>
      <c r="AW433">
        <v>6.5652717858192947E-2</v>
      </c>
      <c r="AX433">
        <v>0.5232763821075701</v>
      </c>
      <c r="AY433">
        <v>6.5652717858192947E-2</v>
      </c>
      <c r="AZ433">
        <v>6.5652717858192947E-2</v>
      </c>
      <c r="BA433">
        <v>0.5232763821075701</v>
      </c>
      <c r="BB433">
        <v>6.9747423120103902E-2</v>
      </c>
      <c r="BC433">
        <v>0.49354352762197679</v>
      </c>
      <c r="BD433">
        <v>7.7779889721311571E-2</v>
      </c>
      <c r="BE433">
        <v>0.73050929450090396</v>
      </c>
      <c r="BF433">
        <v>7.7779889721311571E-2</v>
      </c>
      <c r="BG433">
        <v>7.7779889721311571E-2</v>
      </c>
      <c r="BH433">
        <v>0.73050929450090396</v>
      </c>
      <c r="BI433">
        <v>0.16026339349132801</v>
      </c>
      <c r="BJ433">
        <v>0.44472157093039222</v>
      </c>
      <c r="BK433">
        <v>4.5351056871759318E-2</v>
      </c>
      <c r="BL433">
        <v>0.8179298512855615</v>
      </c>
      <c r="BM433">
        <v>4.5351056871759318E-2</v>
      </c>
      <c r="BN433">
        <v>4.5351056871759318E-2</v>
      </c>
      <c r="BO433">
        <v>0.8179298512855615</v>
      </c>
      <c r="BP433">
        <v>0.35073584140987968</v>
      </c>
      <c r="BQ433">
        <v>-0.40809346484593267</v>
      </c>
      <c r="BR433">
        <v>91.325077752479814</v>
      </c>
      <c r="BS433">
        <v>0.74007272996485485</v>
      </c>
      <c r="BT433">
        <v>91.325077752479814</v>
      </c>
      <c r="BU433">
        <v>91.325077752479814</v>
      </c>
      <c r="BV433">
        <v>0.74007272996485485</v>
      </c>
      <c r="BW433">
        <v>373.81365147585751</v>
      </c>
      <c r="BX433">
        <v>-6.3939547835210941E-2</v>
      </c>
      <c r="BY433" t="str">
        <f t="shared" si="16"/>
        <v>[[sv,wv],[yr],[ya]]</v>
      </c>
      <c r="BZ433" t="str">
        <f>SUBSTITUTE(TRIM(MID(SUBSTITUTE(SUBSTITUTE(SUBSTITUTE(Tabla1[[#This Row],[map]],"[",""),"]",""),",",REPT(" ",100)),901,200))," ",", ")</f>
        <v>2, 3</v>
      </c>
      <c r="CA433" t="str">
        <f>SUBSTITUTE(TRIM(MID(SUBSTITUTE(SUBSTITUTE(SUBSTITUTE(Tabla1[[#This Row],[map]],"[",""),"]",""),",",REPT(" ",100)),1501,200))," ",", ")</f>
        <v>3, 2</v>
      </c>
      <c r="CB433" t="str">
        <f>SUBSTITUTE(TRIM(MID(SUBSTITUTE(SUBSTITUTE(SUBSTITUTE(Tabla1[[#This Row],[map]],"[",""),"]",""),",",REPT(" ",100)),601,300))," ",", ")</f>
        <v>1, 4, 0</v>
      </c>
      <c r="CC433" t="str">
        <f>SUBSTITUTE(TRIM(MID(SUBSTITUTE(SUBSTITUTE(SUBSTITUTE(Tabla1[[#This Row],[map]],"[",""),"]",""),",",REPT(" ",100)),1201,300))," ",", ")</f>
        <v>0, 1, 4</v>
      </c>
      <c r="CD433" t="str">
        <f>SUBSTITUTE(TRIM(MID(SUBSTITUTE(SUBSTITUTE(SUBSTITUTE(Tabla1[[#This Row],[map]],"[",""),"]",""),",",REPT(" ",100)),1,300))," ",", ")</f>
        <v>4, 2, 3</v>
      </c>
      <c r="CE433" t="str">
        <f>SUBSTITUTE(TRIM(MID(SUBSTITUTE(SUBSTITUTE(SUBSTITUTE(Tabla1[[#This Row],[map]],"[",""),"]",""),",",REPT(" ",100)),1,600))," ",", ")</f>
        <v>4, 2, 3, 0, 1, -1</v>
      </c>
      <c r="CF433" t="str">
        <f>SUBSTITUTE(TRIM(MID(SUBSTITUTE(SUBSTITUTE(SUBSTITUTE(Tabla1[[#This Row],[map]],"[",""),"]",""),",",REPT(" ",100)),601,600))," ",", ")</f>
        <v>1, 4, 0, 2, 3, -1</v>
      </c>
      <c r="CG433" t="str">
        <f>SUBSTITUTE(TRIM(MID(SUBSTITUTE(SUBSTITUTE(SUBSTITUTE(Tabla1[[#This Row],[map]],"[",""),"]",""),",",REPT(" ",100)),1201,600))," ",", ")</f>
        <v>0, 1, 4, 3, 2, -1</v>
      </c>
    </row>
    <row r="434" spans="1:85" x14ac:dyDescent="0.3">
      <c r="A434" s="1">
        <v>46111.052499999998</v>
      </c>
      <c r="B434" t="s">
        <v>672</v>
      </c>
      <c r="C434">
        <v>4</v>
      </c>
      <c r="D434" t="s">
        <v>96</v>
      </c>
      <c r="E434" t="s">
        <v>78</v>
      </c>
      <c r="F434">
        <v>16590</v>
      </c>
      <c r="G434">
        <v>4.5</v>
      </c>
      <c r="H434" t="s">
        <v>79</v>
      </c>
      <c r="I434" t="s">
        <v>80</v>
      </c>
      <c r="J434">
        <v>5</v>
      </c>
      <c r="K434">
        <v>5</v>
      </c>
      <c r="L434" t="s">
        <v>81</v>
      </c>
      <c r="M434" t="s">
        <v>82</v>
      </c>
      <c r="N434" t="s">
        <v>83</v>
      </c>
      <c r="O434" t="s">
        <v>83</v>
      </c>
      <c r="P434" t="s">
        <v>84</v>
      </c>
      <c r="Q434" t="s">
        <v>295</v>
      </c>
      <c r="R434">
        <v>3</v>
      </c>
      <c r="S434" t="s">
        <v>86</v>
      </c>
      <c r="T434" t="s">
        <v>87</v>
      </c>
      <c r="U434" t="s">
        <v>88</v>
      </c>
      <c r="V434">
        <v>1</v>
      </c>
      <c r="W434" t="s">
        <v>296</v>
      </c>
      <c r="X434" t="s">
        <v>83</v>
      </c>
      <c r="Y434" t="s">
        <v>90</v>
      </c>
      <c r="Z434">
        <v>4000</v>
      </c>
      <c r="AA434">
        <v>4000</v>
      </c>
      <c r="AC434">
        <v>256</v>
      </c>
      <c r="AD434" t="s">
        <v>91</v>
      </c>
      <c r="AE434">
        <v>0.15</v>
      </c>
      <c r="AF434" t="s">
        <v>92</v>
      </c>
      <c r="AG434">
        <v>180</v>
      </c>
      <c r="AH434">
        <v>60</v>
      </c>
      <c r="AI434">
        <v>120</v>
      </c>
      <c r="AJ434">
        <v>0.1230890296860843</v>
      </c>
      <c r="AK434">
        <v>14.436740971935089</v>
      </c>
      <c r="AL434">
        <v>0.67990939547977214</v>
      </c>
      <c r="AM434">
        <v>0.2330737890131315</v>
      </c>
      <c r="AN434">
        <v>15.99230748582538</v>
      </c>
      <c r="AO434">
        <v>0.63401094453787987</v>
      </c>
      <c r="AP434">
        <v>15.99230748582538</v>
      </c>
      <c r="AQ434">
        <v>15.99230748582538</v>
      </c>
      <c r="AR434">
        <v>0.63401094453787987</v>
      </c>
      <c r="AS434">
        <v>86.697769222440812</v>
      </c>
      <c r="AT434">
        <v>0.152578021652196</v>
      </c>
      <c r="AU434">
        <v>0.8</v>
      </c>
      <c r="AV434" t="s">
        <v>93</v>
      </c>
      <c r="AW434">
        <v>7.2182964125002691E-2</v>
      </c>
      <c r="AX434">
        <v>0.4758583508728802</v>
      </c>
      <c r="AY434">
        <v>7.2182964125002691E-2</v>
      </c>
      <c r="AZ434">
        <v>7.2182964125002691E-2</v>
      </c>
      <c r="BA434">
        <v>0.4758583508728802</v>
      </c>
      <c r="BB434">
        <v>7.8048023251014453E-2</v>
      </c>
      <c r="BC434">
        <v>0.4332704383397753</v>
      </c>
      <c r="BD434">
        <v>7.1237924256144419E-2</v>
      </c>
      <c r="BE434">
        <v>0.75317580759156932</v>
      </c>
      <c r="BF434">
        <v>7.1237924256144419E-2</v>
      </c>
      <c r="BG434">
        <v>7.1237924256144419E-2</v>
      </c>
      <c r="BH434">
        <v>0.75317580759156932</v>
      </c>
      <c r="BI434">
        <v>0.15137520807118371</v>
      </c>
      <c r="BJ434">
        <v>0.47551723505467769</v>
      </c>
      <c r="BK434">
        <v>0.127455529734602</v>
      </c>
      <c r="BL434">
        <v>0.48830636254241039</v>
      </c>
      <c r="BM434">
        <v>0.127455529734602</v>
      </c>
      <c r="BN434">
        <v>0.127455529734602</v>
      </c>
      <c r="BO434">
        <v>0.48830636254241039</v>
      </c>
      <c r="BP434">
        <v>0.32705712072739662</v>
      </c>
      <c r="BQ434">
        <v>-0.31303089093021907</v>
      </c>
      <c r="BR434">
        <v>63.698353525185752</v>
      </c>
      <c r="BS434">
        <v>0.81870325714466186</v>
      </c>
      <c r="BT434">
        <v>63.698353525185752</v>
      </c>
      <c r="BU434">
        <v>63.698353525185752</v>
      </c>
      <c r="BV434">
        <v>0.81870325714466186</v>
      </c>
      <c r="BW434">
        <v>346.23459653771232</v>
      </c>
      <c r="BX434">
        <v>1.45553041445533E-2</v>
      </c>
      <c r="BY434" t="str">
        <f t="shared" si="16"/>
        <v>[[sv,wv],[yr],[ya]]</v>
      </c>
      <c r="BZ434" t="str">
        <f>SUBSTITUTE(TRIM(MID(SUBSTITUTE(SUBSTITUTE(SUBSTITUTE(Tabla1[[#This Row],[map]],"[",""),"]",""),",",REPT(" ",100)),901,200))," ",", ")</f>
        <v>2, 4</v>
      </c>
      <c r="CA434" t="str">
        <f>SUBSTITUTE(TRIM(MID(SUBSTITUTE(SUBSTITUTE(SUBSTITUTE(Tabla1[[#This Row],[map]],"[",""),"]",""),",",REPT(" ",100)),1501,200))," ",", ")</f>
        <v>3, 4</v>
      </c>
      <c r="CB434" t="str">
        <f>SUBSTITUTE(TRIM(MID(SUBSTITUTE(SUBSTITUTE(SUBSTITUTE(Tabla1[[#This Row],[map]],"[",""),"]",""),",",REPT(" ",100)),601,300))," ",", ")</f>
        <v>3, 0, 1</v>
      </c>
      <c r="CC434" t="str">
        <f>SUBSTITUTE(TRIM(MID(SUBSTITUTE(SUBSTITUTE(SUBSTITUTE(Tabla1[[#This Row],[map]],"[",""),"]",""),",",REPT(" ",100)),1201,300))," ",", ")</f>
        <v>0, 1, 2</v>
      </c>
      <c r="CD434" t="str">
        <f>SUBSTITUTE(TRIM(MID(SUBSTITUTE(SUBSTITUTE(SUBSTITUTE(Tabla1[[#This Row],[map]],"[",""),"]",""),",",REPT(" ",100)),1,300))," ",", ")</f>
        <v>4, 2, 3</v>
      </c>
      <c r="CE434" t="str">
        <f>SUBSTITUTE(TRIM(MID(SUBSTITUTE(SUBSTITUTE(SUBSTITUTE(Tabla1[[#This Row],[map]],"[",""),"]",""),",",REPT(" ",100)),1,600))," ",", ")</f>
        <v>4, 2, 3, 0, 1, -1</v>
      </c>
      <c r="CF434" t="str">
        <f>SUBSTITUTE(TRIM(MID(SUBSTITUTE(SUBSTITUTE(SUBSTITUTE(Tabla1[[#This Row],[map]],"[",""),"]",""),",",REPT(" ",100)),601,600))," ",", ")</f>
        <v>3, 0, 1, 2, 4, -1</v>
      </c>
      <c r="CG434" t="str">
        <f>SUBSTITUTE(TRIM(MID(SUBSTITUTE(SUBSTITUTE(SUBSTITUTE(Tabla1[[#This Row],[map]],"[",""),"]",""),",",REPT(" ",100)),1201,600))," ",", ")</f>
        <v>0, 1, 2, 3, 4, -1</v>
      </c>
    </row>
    <row r="435" spans="1:85" x14ac:dyDescent="0.3">
      <c r="A435" s="1">
        <v>46111.062164351853</v>
      </c>
      <c r="B435" t="s">
        <v>673</v>
      </c>
      <c r="C435">
        <v>5</v>
      </c>
      <c r="D435" t="s">
        <v>96</v>
      </c>
      <c r="E435" t="s">
        <v>78</v>
      </c>
      <c r="F435">
        <v>16590</v>
      </c>
      <c r="G435">
        <v>4.5</v>
      </c>
      <c r="H435" t="s">
        <v>79</v>
      </c>
      <c r="I435" t="s">
        <v>80</v>
      </c>
      <c r="J435">
        <v>5</v>
      </c>
      <c r="K435">
        <v>5</v>
      </c>
      <c r="L435" t="s">
        <v>81</v>
      </c>
      <c r="M435" t="s">
        <v>82</v>
      </c>
      <c r="N435" t="s">
        <v>83</v>
      </c>
      <c r="O435" t="s">
        <v>83</v>
      </c>
      <c r="P435" t="s">
        <v>84</v>
      </c>
      <c r="Q435" t="s">
        <v>265</v>
      </c>
      <c r="R435">
        <v>3</v>
      </c>
      <c r="S435" t="s">
        <v>86</v>
      </c>
      <c r="T435" t="s">
        <v>87</v>
      </c>
      <c r="U435" t="s">
        <v>88</v>
      </c>
      <c r="V435">
        <v>1</v>
      </c>
      <c r="W435" t="s">
        <v>266</v>
      </c>
      <c r="X435" t="s">
        <v>83</v>
      </c>
      <c r="Y435" t="s">
        <v>90</v>
      </c>
      <c r="Z435">
        <v>4000</v>
      </c>
      <c r="AA435">
        <v>4000</v>
      </c>
      <c r="AC435">
        <v>256</v>
      </c>
      <c r="AD435" t="s">
        <v>91</v>
      </c>
      <c r="AE435">
        <v>0.15</v>
      </c>
      <c r="AF435" t="s">
        <v>92</v>
      </c>
      <c r="AG435">
        <v>180</v>
      </c>
      <c r="AH435">
        <v>60</v>
      </c>
      <c r="AI435">
        <v>120</v>
      </c>
      <c r="AJ435">
        <v>0.1366862255410112</v>
      </c>
      <c r="AK435">
        <v>42.607289115657288</v>
      </c>
      <c r="AL435">
        <v>0.6135873460626311</v>
      </c>
      <c r="AM435">
        <v>0.21522195597896249</v>
      </c>
      <c r="AN435">
        <v>45.989944122354032</v>
      </c>
      <c r="AO435">
        <v>0.57886884288274731</v>
      </c>
      <c r="AP435">
        <v>45.989944122354032</v>
      </c>
      <c r="AQ435">
        <v>45.989944122354032</v>
      </c>
      <c r="AR435">
        <v>0.57886884288274731</v>
      </c>
      <c r="AS435">
        <v>90.06390247227813</v>
      </c>
      <c r="AT435">
        <v>0.18554743474386859</v>
      </c>
      <c r="AU435">
        <v>0.8</v>
      </c>
      <c r="AV435" t="s">
        <v>93</v>
      </c>
      <c r="AW435">
        <v>7.9044067241070048E-2</v>
      </c>
      <c r="AX435">
        <v>0.42603787112839281</v>
      </c>
      <c r="AY435">
        <v>7.9044067241070048E-2</v>
      </c>
      <c r="AZ435">
        <v>7.9044067241070048E-2</v>
      </c>
      <c r="BA435">
        <v>0.42603787112839281</v>
      </c>
      <c r="BB435">
        <v>0.17257566743115249</v>
      </c>
      <c r="BC435">
        <v>-0.2531224787324331</v>
      </c>
      <c r="BD435">
        <v>0.10597993009693001</v>
      </c>
      <c r="BE435">
        <v>0.63280217762071511</v>
      </c>
      <c r="BF435">
        <v>0.10597993009693001</v>
      </c>
      <c r="BG435">
        <v>0.10597993009693001</v>
      </c>
      <c r="BH435">
        <v>0.63280217762071511</v>
      </c>
      <c r="BI435">
        <v>9.0689273838195597E-2</v>
      </c>
      <c r="BJ435">
        <v>0.68578103574811911</v>
      </c>
      <c r="BK435">
        <v>5.4914820124430802E-2</v>
      </c>
      <c r="BL435">
        <v>0.77953436686261968</v>
      </c>
      <c r="BM435">
        <v>5.4914820124430802E-2</v>
      </c>
      <c r="BN435">
        <v>5.4914820124430802E-2</v>
      </c>
      <c r="BO435">
        <v>0.77953436686261968</v>
      </c>
      <c r="BP435">
        <v>0.16597560129934871</v>
      </c>
      <c r="BQ435">
        <v>0.3336604591819633</v>
      </c>
      <c r="BR435">
        <v>183.71983767195329</v>
      </c>
      <c r="BS435">
        <v>0.47710095591926122</v>
      </c>
      <c r="BT435">
        <v>183.71983767195329</v>
      </c>
      <c r="BU435">
        <v>183.71983767195329</v>
      </c>
      <c r="BV435">
        <v>0.47710095591926122</v>
      </c>
      <c r="BW435">
        <v>359.82636934654261</v>
      </c>
      <c r="BX435">
        <v>-2.4129277222159521E-2</v>
      </c>
      <c r="BY435" t="str">
        <f t="shared" si="16"/>
        <v>[[sv,wv],[yr],[ya]]</v>
      </c>
      <c r="BZ435" t="str">
        <f>SUBSTITUTE(TRIM(MID(SUBSTITUTE(SUBSTITUTE(SUBSTITUTE(Tabla1[[#This Row],[map]],"[",""),"]",""),",",REPT(" ",100)),901,200))," ",", ")</f>
        <v>2, 4</v>
      </c>
      <c r="CA435" t="str">
        <f>SUBSTITUTE(TRIM(MID(SUBSTITUTE(SUBSTITUTE(SUBSTITUTE(Tabla1[[#This Row],[map]],"[",""),"]",""),",",REPT(" ",100)),1501,200))," ",", ")</f>
        <v>3, 2</v>
      </c>
      <c r="CB435" t="str">
        <f>SUBSTITUTE(TRIM(MID(SUBSTITUTE(SUBSTITUTE(SUBSTITUTE(Tabla1[[#This Row],[map]],"[",""),"]",""),",",REPT(" ",100)),601,300))," ",", ")</f>
        <v>0, 1, 3</v>
      </c>
      <c r="CC435" t="str">
        <f>SUBSTITUTE(TRIM(MID(SUBSTITUTE(SUBSTITUTE(SUBSTITUTE(Tabla1[[#This Row],[map]],"[",""),"]",""),",",REPT(" ",100)),1201,300))," ",", ")</f>
        <v>4, 0, 1</v>
      </c>
      <c r="CD435" t="str">
        <f>SUBSTITUTE(TRIM(MID(SUBSTITUTE(SUBSTITUTE(SUBSTITUTE(Tabla1[[#This Row],[map]],"[",""),"]",""),",",REPT(" ",100)),1,300))," ",", ")</f>
        <v>4, 2, 3</v>
      </c>
      <c r="CE435" t="str">
        <f>SUBSTITUTE(TRIM(MID(SUBSTITUTE(SUBSTITUTE(SUBSTITUTE(Tabla1[[#This Row],[map]],"[",""),"]",""),",",REPT(" ",100)),1,600))," ",", ")</f>
        <v>4, 2, 3, 0, 1, -1</v>
      </c>
      <c r="CF435" t="str">
        <f>SUBSTITUTE(TRIM(MID(SUBSTITUTE(SUBSTITUTE(SUBSTITUTE(Tabla1[[#This Row],[map]],"[",""),"]",""),",",REPT(" ",100)),601,600))," ",", ")</f>
        <v>0, 1, 3, 2, 4, -1</v>
      </c>
      <c r="CG435" t="str">
        <f>SUBSTITUTE(TRIM(MID(SUBSTITUTE(SUBSTITUTE(SUBSTITUTE(Tabla1[[#This Row],[map]],"[",""),"]",""),",",REPT(" ",100)),1201,600))," ",", ")</f>
        <v>4, 0, 1, 3, 2, -1</v>
      </c>
    </row>
    <row r="436" spans="1:85" x14ac:dyDescent="0.3">
      <c r="A436" s="1">
        <v>46111.109317129631</v>
      </c>
      <c r="B436" t="s">
        <v>674</v>
      </c>
      <c r="C436">
        <v>7</v>
      </c>
      <c r="D436" t="s">
        <v>96</v>
      </c>
      <c r="E436" t="s">
        <v>78</v>
      </c>
      <c r="F436">
        <v>16590</v>
      </c>
      <c r="G436">
        <v>4.5</v>
      </c>
      <c r="H436" t="s">
        <v>79</v>
      </c>
      <c r="I436" t="s">
        <v>80</v>
      </c>
      <c r="J436">
        <v>5</v>
      </c>
      <c r="K436">
        <v>5</v>
      </c>
      <c r="L436" t="s">
        <v>81</v>
      </c>
      <c r="M436" t="s">
        <v>82</v>
      </c>
      <c r="N436" t="s">
        <v>83</v>
      </c>
      <c r="O436" t="s">
        <v>83</v>
      </c>
      <c r="P436" t="s">
        <v>84</v>
      </c>
      <c r="Q436" t="s">
        <v>449</v>
      </c>
      <c r="R436">
        <v>3</v>
      </c>
      <c r="S436" t="s">
        <v>86</v>
      </c>
      <c r="T436" t="s">
        <v>87</v>
      </c>
      <c r="U436" t="s">
        <v>88</v>
      </c>
      <c r="V436">
        <v>1</v>
      </c>
      <c r="W436" t="s">
        <v>450</v>
      </c>
      <c r="X436" t="s">
        <v>83</v>
      </c>
      <c r="Y436" t="s">
        <v>90</v>
      </c>
      <c r="Z436">
        <v>4000</v>
      </c>
      <c r="AA436">
        <v>4000</v>
      </c>
      <c r="AC436">
        <v>256</v>
      </c>
      <c r="AD436" t="s">
        <v>91</v>
      </c>
      <c r="AE436">
        <v>0.15</v>
      </c>
      <c r="AF436" t="s">
        <v>92</v>
      </c>
      <c r="AG436">
        <v>180</v>
      </c>
      <c r="AH436">
        <v>60</v>
      </c>
      <c r="AI436">
        <v>120</v>
      </c>
      <c r="AJ436">
        <v>0.13380520827799861</v>
      </c>
      <c r="AK436">
        <v>14.96724082607396</v>
      </c>
      <c r="AL436">
        <v>0.61120053039428923</v>
      </c>
      <c r="AM436">
        <v>4.538142693021105E-2</v>
      </c>
      <c r="AN436">
        <v>22.607069873072149</v>
      </c>
      <c r="AO436">
        <v>0.5823692057669756</v>
      </c>
      <c r="AP436">
        <v>22.607069873072149</v>
      </c>
      <c r="AQ436">
        <v>22.607069873072149</v>
      </c>
      <c r="AR436">
        <v>0.5823692057669756</v>
      </c>
      <c r="AS436">
        <v>118.55041852852131</v>
      </c>
      <c r="AT436">
        <v>9.6392846163294299E-3</v>
      </c>
      <c r="AU436">
        <v>0.8</v>
      </c>
      <c r="AV436" t="s">
        <v>93</v>
      </c>
      <c r="AW436">
        <v>0.1218100202147218</v>
      </c>
      <c r="AX436">
        <v>0.1155017579357446</v>
      </c>
      <c r="AY436">
        <v>0.1218100202147218</v>
      </c>
      <c r="AZ436">
        <v>0.1218100202147218</v>
      </c>
      <c r="BA436">
        <v>0.1155017579357446</v>
      </c>
      <c r="BB436">
        <v>0.13530523837121039</v>
      </c>
      <c r="BC436">
        <v>1.75090253621305E-2</v>
      </c>
      <c r="BD436">
        <v>0.1213546091486095</v>
      </c>
      <c r="BE436">
        <v>0.57953219846151316</v>
      </c>
      <c r="BF436">
        <v>0.1213546091486095</v>
      </c>
      <c r="BG436">
        <v>0.1213546091486095</v>
      </c>
      <c r="BH436">
        <v>0.57953219846151316</v>
      </c>
      <c r="BI436">
        <v>0.14120337011557671</v>
      </c>
      <c r="BJ436">
        <v>0.51076048104925176</v>
      </c>
      <c r="BK436">
        <v>2.7138287141014229E-2</v>
      </c>
      <c r="BL436">
        <v>0.89104836102074469</v>
      </c>
      <c r="BM436">
        <v>2.7138287141014229E-2</v>
      </c>
      <c r="BN436">
        <v>2.7138287141014229E-2</v>
      </c>
      <c r="BO436">
        <v>0.89104836102074469</v>
      </c>
      <c r="BP436">
        <v>0.28436789809088348</v>
      </c>
      <c r="BQ436">
        <v>-0.14164716472705521</v>
      </c>
      <c r="BR436">
        <v>90.157976575784147</v>
      </c>
      <c r="BS436">
        <v>0.74339450564990295</v>
      </c>
      <c r="BT436">
        <v>90.157976575784147</v>
      </c>
      <c r="BU436">
        <v>90.157976575784147</v>
      </c>
      <c r="BV436">
        <v>0.74339450564990295</v>
      </c>
      <c r="BW436">
        <v>473.64079760750809</v>
      </c>
      <c r="BX436">
        <v>-0.3480652032190068</v>
      </c>
      <c r="BY436" t="str">
        <f t="shared" si="16"/>
        <v>[[sv,wv],[yr],[ya]]</v>
      </c>
      <c r="BZ436" t="str">
        <f>SUBSTITUTE(TRIM(MID(SUBSTITUTE(SUBSTITUTE(SUBSTITUTE(Tabla1[[#This Row],[map]],"[",""),"]",""),",",REPT(" ",100)),901,200))," ",", ")</f>
        <v>2, 4</v>
      </c>
      <c r="CA436" t="str">
        <f>SUBSTITUTE(TRIM(MID(SUBSTITUTE(SUBSTITUTE(SUBSTITUTE(Tabla1[[#This Row],[map]],"[",""),"]",""),",",REPT(" ",100)),1501,200))," ",", ")</f>
        <v>3, 2</v>
      </c>
      <c r="CB436" t="str">
        <f>SUBSTITUTE(TRIM(MID(SUBSTITUTE(SUBSTITUTE(SUBSTITUTE(Tabla1[[#This Row],[map]],"[",""),"]",""),",",REPT(" ",100)),601,300))," ",", ")</f>
        <v>1, 3, 0</v>
      </c>
      <c r="CC436" t="str">
        <f>SUBSTITUTE(TRIM(MID(SUBSTITUTE(SUBSTITUTE(SUBSTITUTE(Tabla1[[#This Row],[map]],"[",""),"]",""),",",REPT(" ",100)),1201,300))," ",", ")</f>
        <v>0, 1, 4</v>
      </c>
      <c r="CD436" t="str">
        <f>SUBSTITUTE(TRIM(MID(SUBSTITUTE(SUBSTITUTE(SUBSTITUTE(Tabla1[[#This Row],[map]],"[",""),"]",""),",",REPT(" ",100)),1,300))," ",", ")</f>
        <v>4, 2, 3</v>
      </c>
      <c r="CE436" t="str">
        <f>SUBSTITUTE(TRIM(MID(SUBSTITUTE(SUBSTITUTE(SUBSTITUTE(Tabla1[[#This Row],[map]],"[",""),"]",""),",",REPT(" ",100)),1,600))," ",", ")</f>
        <v>4, 2, 3, 0, 1, -1</v>
      </c>
      <c r="CF436" t="str">
        <f>SUBSTITUTE(TRIM(MID(SUBSTITUTE(SUBSTITUTE(SUBSTITUTE(Tabla1[[#This Row],[map]],"[",""),"]",""),",",REPT(" ",100)),601,600))," ",", ")</f>
        <v>1, 3, 0, 2, 4, -1</v>
      </c>
      <c r="CG436" t="str">
        <f>SUBSTITUTE(TRIM(MID(SUBSTITUTE(SUBSTITUTE(SUBSTITUTE(Tabla1[[#This Row],[map]],"[",""),"]",""),",",REPT(" ",100)),1201,600))," ",", ")</f>
        <v>0, 1, 4, 3, 2, -1</v>
      </c>
    </row>
    <row r="437" spans="1:85" x14ac:dyDescent="0.3">
      <c r="A437" s="1">
        <v>46111.122881944437</v>
      </c>
      <c r="B437" t="s">
        <v>675</v>
      </c>
      <c r="C437">
        <v>6</v>
      </c>
      <c r="D437" t="s">
        <v>96</v>
      </c>
      <c r="E437" t="s">
        <v>78</v>
      </c>
      <c r="F437">
        <v>16590</v>
      </c>
      <c r="G437">
        <v>4.5</v>
      </c>
      <c r="H437" t="s">
        <v>79</v>
      </c>
      <c r="I437" t="s">
        <v>80</v>
      </c>
      <c r="J437">
        <v>5</v>
      </c>
      <c r="K437">
        <v>5</v>
      </c>
      <c r="L437" t="s">
        <v>81</v>
      </c>
      <c r="M437" t="s">
        <v>82</v>
      </c>
      <c r="N437" t="s">
        <v>83</v>
      </c>
      <c r="O437" t="s">
        <v>83</v>
      </c>
      <c r="P437" t="s">
        <v>84</v>
      </c>
      <c r="Q437" t="s">
        <v>165</v>
      </c>
      <c r="R437">
        <v>3</v>
      </c>
      <c r="S437" t="s">
        <v>86</v>
      </c>
      <c r="T437" t="s">
        <v>87</v>
      </c>
      <c r="U437" t="s">
        <v>88</v>
      </c>
      <c r="V437">
        <v>1</v>
      </c>
      <c r="W437" t="s">
        <v>166</v>
      </c>
      <c r="X437" t="s">
        <v>83</v>
      </c>
      <c r="Y437" t="s">
        <v>90</v>
      </c>
      <c r="Z437">
        <v>4000</v>
      </c>
      <c r="AA437">
        <v>4000</v>
      </c>
      <c r="AC437">
        <v>256</v>
      </c>
      <c r="AD437" t="s">
        <v>91</v>
      </c>
      <c r="AE437">
        <v>0.15</v>
      </c>
      <c r="AF437" t="s">
        <v>92</v>
      </c>
      <c r="AG437">
        <v>180</v>
      </c>
      <c r="AH437">
        <v>60</v>
      </c>
      <c r="AI437">
        <v>120</v>
      </c>
      <c r="AJ437">
        <v>0.1015724422170157</v>
      </c>
      <c r="AK437">
        <v>17.468319119542379</v>
      </c>
      <c r="AL437">
        <v>0.75274017109588054</v>
      </c>
      <c r="AM437">
        <v>0.29926813515355788</v>
      </c>
      <c r="AN437">
        <v>20.478267535824521</v>
      </c>
      <c r="AO437">
        <v>0.69522115351707292</v>
      </c>
      <c r="AP437">
        <v>20.478267535824521</v>
      </c>
      <c r="AQ437">
        <v>20.478267535824521</v>
      </c>
      <c r="AR437">
        <v>0.69522115351707292</v>
      </c>
      <c r="AS437">
        <v>94.995070563632964</v>
      </c>
      <c r="AT437">
        <v>0.17868441080168929</v>
      </c>
      <c r="AU437">
        <v>0.8</v>
      </c>
      <c r="AV437" t="s">
        <v>93</v>
      </c>
      <c r="AW437">
        <v>7.0646089625826441E-2</v>
      </c>
      <c r="AX437">
        <v>0.48701804685190192</v>
      </c>
      <c r="AY437">
        <v>7.0646089625826441E-2</v>
      </c>
      <c r="AZ437">
        <v>7.0646089625826441E-2</v>
      </c>
      <c r="BA437">
        <v>0.48701804685190192</v>
      </c>
      <c r="BB437">
        <v>0.15229587480128809</v>
      </c>
      <c r="BC437">
        <v>-0.1058649633086339</v>
      </c>
      <c r="BD437">
        <v>6.7132678748960214E-2</v>
      </c>
      <c r="BE437">
        <v>0.76739960646737226</v>
      </c>
      <c r="BF437">
        <v>6.7132678748960214E-2</v>
      </c>
      <c r="BG437">
        <v>6.7132678748960214E-2</v>
      </c>
      <c r="BH437">
        <v>0.76739960646737226</v>
      </c>
      <c r="BI437">
        <v>0.16286464569535239</v>
      </c>
      <c r="BJ437">
        <v>0.43570878762412418</v>
      </c>
      <c r="BK437">
        <v>6.0018917358915763E-2</v>
      </c>
      <c r="BL437">
        <v>0.75904303090184033</v>
      </c>
      <c r="BM437">
        <v>6.0018917358915763E-2</v>
      </c>
      <c r="BN437">
        <v>6.0018917358915763E-2</v>
      </c>
      <c r="BO437">
        <v>0.75904303090184033</v>
      </c>
      <c r="BP437">
        <v>0.13323378988234791</v>
      </c>
      <c r="BQ437">
        <v>0.46510847572390229</v>
      </c>
      <c r="BR437">
        <v>81.715272457564566</v>
      </c>
      <c r="BS437">
        <v>0.76742392984717611</v>
      </c>
      <c r="BT437">
        <v>81.715272457564566</v>
      </c>
      <c r="BU437">
        <v>81.715272457564566</v>
      </c>
      <c r="BV437">
        <v>0.76742392984717611</v>
      </c>
      <c r="BW437">
        <v>379.53188794415161</v>
      </c>
      <c r="BX437">
        <v>-8.0214656832626963E-2</v>
      </c>
      <c r="BY437" t="str">
        <f t="shared" si="16"/>
        <v>[[sv,wv],[yr],[ya]]</v>
      </c>
      <c r="BZ437" t="str">
        <f>SUBSTITUTE(TRIM(MID(SUBSTITUTE(SUBSTITUTE(SUBSTITUTE(Tabla1[[#This Row],[map]],"[",""),"]",""),",",REPT(" ",100)),901,200))," ",", ")</f>
        <v>2, 4</v>
      </c>
      <c r="CA437" t="str">
        <f>SUBSTITUTE(TRIM(MID(SUBSTITUTE(SUBSTITUTE(SUBSTITUTE(Tabla1[[#This Row],[map]],"[",""),"]",""),",",REPT(" ",100)),1501,200))," ",", ")</f>
        <v>3, 4</v>
      </c>
      <c r="CB437" t="str">
        <f>SUBSTITUTE(TRIM(MID(SUBSTITUTE(SUBSTITUTE(SUBSTITUTE(Tabla1[[#This Row],[map]],"[",""),"]",""),",",REPT(" ",100)),601,300))," ",", ")</f>
        <v>0, 1, 3</v>
      </c>
      <c r="CC437" t="str">
        <f>SUBSTITUTE(TRIM(MID(SUBSTITUTE(SUBSTITUTE(SUBSTITUTE(Tabla1[[#This Row],[map]],"[",""),"]",""),",",REPT(" ",100)),1201,300))," ",", ")</f>
        <v>2, 0, 1</v>
      </c>
      <c r="CD437" t="str">
        <f>SUBSTITUTE(TRIM(MID(SUBSTITUTE(SUBSTITUTE(SUBSTITUTE(Tabla1[[#This Row],[map]],"[",""),"]",""),",",REPT(" ",100)),1,300))," ",", ")</f>
        <v>2, 3, 4</v>
      </c>
      <c r="CE437" t="str">
        <f>SUBSTITUTE(TRIM(MID(SUBSTITUTE(SUBSTITUTE(SUBSTITUTE(Tabla1[[#This Row],[map]],"[",""),"]",""),",",REPT(" ",100)),1,600))," ",", ")</f>
        <v>2, 3, 4, 0, 1, -1</v>
      </c>
      <c r="CF437" t="str">
        <f>SUBSTITUTE(TRIM(MID(SUBSTITUTE(SUBSTITUTE(SUBSTITUTE(Tabla1[[#This Row],[map]],"[",""),"]",""),",",REPT(" ",100)),601,600))," ",", ")</f>
        <v>0, 1, 3, 2, 4, -1</v>
      </c>
      <c r="CG437" t="str">
        <f>SUBSTITUTE(TRIM(MID(SUBSTITUTE(SUBSTITUTE(SUBSTITUTE(Tabla1[[#This Row],[map]],"[",""),"]",""),",",REPT(" ",100)),1201,600))," ",", ")</f>
        <v>2, 0, 1, 3, 4, -1</v>
      </c>
    </row>
    <row r="438" spans="1:85" x14ac:dyDescent="0.3">
      <c r="A438" s="1">
        <v>46111.127615740741</v>
      </c>
      <c r="B438" t="s">
        <v>676</v>
      </c>
      <c r="C438">
        <v>8</v>
      </c>
      <c r="D438" t="s">
        <v>96</v>
      </c>
      <c r="E438" t="s">
        <v>78</v>
      </c>
      <c r="F438">
        <v>16590</v>
      </c>
      <c r="G438">
        <v>4.5</v>
      </c>
      <c r="H438" t="s">
        <v>79</v>
      </c>
      <c r="I438" t="s">
        <v>80</v>
      </c>
      <c r="J438">
        <v>5</v>
      </c>
      <c r="K438">
        <v>5</v>
      </c>
      <c r="L438" t="s">
        <v>81</v>
      </c>
      <c r="M438" t="s">
        <v>82</v>
      </c>
      <c r="N438" t="s">
        <v>83</v>
      </c>
      <c r="O438" t="s">
        <v>83</v>
      </c>
      <c r="P438" t="s">
        <v>84</v>
      </c>
      <c r="Q438" t="s">
        <v>201</v>
      </c>
      <c r="R438">
        <v>3</v>
      </c>
      <c r="S438" t="s">
        <v>86</v>
      </c>
      <c r="T438" t="s">
        <v>87</v>
      </c>
      <c r="U438" t="s">
        <v>88</v>
      </c>
      <c r="V438">
        <v>1</v>
      </c>
      <c r="W438" t="s">
        <v>202</v>
      </c>
      <c r="X438" t="s">
        <v>83</v>
      </c>
      <c r="Y438" t="s">
        <v>90</v>
      </c>
      <c r="Z438">
        <v>4000</v>
      </c>
      <c r="AA438">
        <v>4000</v>
      </c>
      <c r="AC438">
        <v>256</v>
      </c>
      <c r="AD438" t="s">
        <v>91</v>
      </c>
      <c r="AE438">
        <v>0.15</v>
      </c>
      <c r="AF438" t="s">
        <v>92</v>
      </c>
      <c r="AG438">
        <v>180</v>
      </c>
      <c r="AH438">
        <v>60</v>
      </c>
      <c r="AI438">
        <v>120</v>
      </c>
      <c r="AJ438">
        <v>0.13385545800279761</v>
      </c>
      <c r="AK438">
        <v>23.940950316730319</v>
      </c>
      <c r="AL438">
        <v>0.61168551318345776</v>
      </c>
      <c r="AM438">
        <v>-5.3846233698565227E-2</v>
      </c>
      <c r="AN438">
        <v>26.92476710343686</v>
      </c>
      <c r="AO438">
        <v>0.56602070016769901</v>
      </c>
      <c r="AP438">
        <v>26.92476710343686</v>
      </c>
      <c r="AQ438">
        <v>26.92476710343686</v>
      </c>
      <c r="AR438">
        <v>0.56602070016769901</v>
      </c>
      <c r="AS438">
        <v>114.39938553334071</v>
      </c>
      <c r="AT438">
        <v>-2.8863004463462742E-2</v>
      </c>
      <c r="AU438">
        <v>0.8</v>
      </c>
      <c r="AV438" t="s">
        <v>93</v>
      </c>
      <c r="AW438">
        <v>9.7005210650922408E-2</v>
      </c>
      <c r="AX438">
        <v>0.29561674695918128</v>
      </c>
      <c r="AY438">
        <v>9.7005210650922408E-2</v>
      </c>
      <c r="AZ438">
        <v>9.7005210650922408E-2</v>
      </c>
      <c r="BA438">
        <v>0.29561674695918128</v>
      </c>
      <c r="BB438">
        <v>0.16044614307686039</v>
      </c>
      <c r="BC438">
        <v>-0.16504644894822421</v>
      </c>
      <c r="BD438">
        <v>8.0004895222510072E-2</v>
      </c>
      <c r="BE438">
        <v>0.72280012566040019</v>
      </c>
      <c r="BF438">
        <v>8.0004895222510072E-2</v>
      </c>
      <c r="BG438">
        <v>8.0004895222510072E-2</v>
      </c>
      <c r="BH438">
        <v>0.72280012566040019</v>
      </c>
      <c r="BI438">
        <v>0.1078357970244061</v>
      </c>
      <c r="BJ438">
        <v>0.6263719950968003</v>
      </c>
      <c r="BK438">
        <v>0.1117461356840419</v>
      </c>
      <c r="BL438">
        <v>0.55137461074414729</v>
      </c>
      <c r="BM438">
        <v>0.1117461356840419</v>
      </c>
      <c r="BN438">
        <v>0.1117461356840419</v>
      </c>
      <c r="BO438">
        <v>0.55137461074414729</v>
      </c>
      <c r="BP438">
        <v>0.31784384704573221</v>
      </c>
      <c r="BQ438">
        <v>-0.27604251127435209</v>
      </c>
      <c r="BR438">
        <v>107.4103121721901</v>
      </c>
      <c r="BS438">
        <v>0.69429131730706906</v>
      </c>
      <c r="BT438">
        <v>107.4103121721901</v>
      </c>
      <c r="BU438">
        <v>107.4103121721901</v>
      </c>
      <c r="BV438">
        <v>0.69429131730706906</v>
      </c>
      <c r="BW438">
        <v>457.01141634621592</v>
      </c>
      <c r="BX438">
        <v>-0.300735052728071</v>
      </c>
      <c r="BY438" t="str">
        <f t="shared" si="16"/>
        <v>[[sv,wv],[yr],[ya]]</v>
      </c>
      <c r="BZ438" t="str">
        <f>SUBSTITUTE(TRIM(MID(SUBSTITUTE(SUBSTITUTE(SUBSTITUTE(Tabla1[[#This Row],[map]],"[",""),"]",""),",",REPT(" ",100)),901,200))," ",", ")</f>
        <v>2, 4</v>
      </c>
      <c r="CA438" t="str">
        <f>SUBSTITUTE(TRIM(MID(SUBSTITUTE(SUBSTITUTE(SUBSTITUTE(Tabla1[[#This Row],[map]],"[",""),"]",""),",",REPT(" ",100)),1501,200))," ",", ")</f>
        <v>3, 2</v>
      </c>
      <c r="CB438" t="str">
        <f>SUBSTITUTE(TRIM(MID(SUBSTITUTE(SUBSTITUTE(SUBSTITUTE(Tabla1[[#This Row],[map]],"[",""),"]",""),",",REPT(" ",100)),601,300))," ",", ")</f>
        <v>0, 1, 3</v>
      </c>
      <c r="CC438" t="str">
        <f>SUBSTITUTE(TRIM(MID(SUBSTITUTE(SUBSTITUTE(SUBSTITUTE(Tabla1[[#This Row],[map]],"[",""),"]",""),",",REPT(" ",100)),1201,300))," ",", ")</f>
        <v>0, 1, 4</v>
      </c>
      <c r="CD438" t="str">
        <f>SUBSTITUTE(TRIM(MID(SUBSTITUTE(SUBSTITUTE(SUBSTITUTE(Tabla1[[#This Row],[map]],"[",""),"]",""),",",REPT(" ",100)),1,300))," ",", ")</f>
        <v>4, 2, 3</v>
      </c>
      <c r="CE438" t="str">
        <f>SUBSTITUTE(TRIM(MID(SUBSTITUTE(SUBSTITUTE(SUBSTITUTE(Tabla1[[#This Row],[map]],"[",""),"]",""),",",REPT(" ",100)),1,600))," ",", ")</f>
        <v>4, 2, 3, 0, 1, -1</v>
      </c>
      <c r="CF438" t="str">
        <f>SUBSTITUTE(TRIM(MID(SUBSTITUTE(SUBSTITUTE(SUBSTITUTE(Tabla1[[#This Row],[map]],"[",""),"]",""),",",REPT(" ",100)),601,600))," ",", ")</f>
        <v>0, 1, 3, 2, 4, -1</v>
      </c>
      <c r="CG438" t="str">
        <f>SUBSTITUTE(TRIM(MID(SUBSTITUTE(SUBSTITUTE(SUBSTITUTE(Tabla1[[#This Row],[map]],"[",""),"]",""),",",REPT(" ",100)),1201,600))," ",", ")</f>
        <v>0, 1, 4, 3, 2, -1</v>
      </c>
    </row>
    <row r="439" spans="1:85" x14ac:dyDescent="0.3">
      <c r="A439" s="1">
        <v>46111.141458333332</v>
      </c>
      <c r="B439" t="s">
        <v>677</v>
      </c>
      <c r="C439">
        <v>6</v>
      </c>
      <c r="D439" t="s">
        <v>96</v>
      </c>
      <c r="E439" t="s">
        <v>78</v>
      </c>
      <c r="F439">
        <v>16590</v>
      </c>
      <c r="G439">
        <v>4.5</v>
      </c>
      <c r="H439" t="s">
        <v>79</v>
      </c>
      <c r="I439" t="s">
        <v>80</v>
      </c>
      <c r="J439">
        <v>5</v>
      </c>
      <c r="K439">
        <v>5</v>
      </c>
      <c r="L439" t="s">
        <v>81</v>
      </c>
      <c r="M439" t="s">
        <v>82</v>
      </c>
      <c r="N439" t="s">
        <v>83</v>
      </c>
      <c r="O439" t="s">
        <v>83</v>
      </c>
      <c r="P439" t="s">
        <v>84</v>
      </c>
      <c r="Q439" t="s">
        <v>469</v>
      </c>
      <c r="R439">
        <v>3</v>
      </c>
      <c r="S439" t="s">
        <v>86</v>
      </c>
      <c r="T439" t="s">
        <v>87</v>
      </c>
      <c r="U439" t="s">
        <v>88</v>
      </c>
      <c r="V439">
        <v>1</v>
      </c>
      <c r="W439" t="s">
        <v>470</v>
      </c>
      <c r="X439" t="s">
        <v>83</v>
      </c>
      <c r="Y439" t="s">
        <v>90</v>
      </c>
      <c r="Z439">
        <v>4000</v>
      </c>
      <c r="AA439">
        <v>4000</v>
      </c>
      <c r="AC439">
        <v>256</v>
      </c>
      <c r="AD439" t="s">
        <v>91</v>
      </c>
      <c r="AE439">
        <v>0.15</v>
      </c>
      <c r="AF439" t="s">
        <v>92</v>
      </c>
      <c r="AG439">
        <v>180</v>
      </c>
      <c r="AH439">
        <v>60</v>
      </c>
      <c r="AI439">
        <v>120</v>
      </c>
      <c r="AJ439">
        <v>0.1208562622764682</v>
      </c>
      <c r="AK439">
        <v>13.256390758167679</v>
      </c>
      <c r="AL439">
        <v>0.68645585541364795</v>
      </c>
      <c r="AM439">
        <v>0.32196800835695177</v>
      </c>
      <c r="AN439">
        <v>17.699929186150811</v>
      </c>
      <c r="AO439">
        <v>0.63567330835664793</v>
      </c>
      <c r="AP439">
        <v>17.699929186150811</v>
      </c>
      <c r="AQ439">
        <v>17.699929186150811</v>
      </c>
      <c r="AR439">
        <v>0.63567330835664793</v>
      </c>
      <c r="AS439">
        <v>99.471220659894868</v>
      </c>
      <c r="AT439">
        <v>0.34330593771498158</v>
      </c>
      <c r="AU439">
        <v>0.8</v>
      </c>
      <c r="AV439" t="s">
        <v>93</v>
      </c>
      <c r="AW439">
        <v>7.7793186964375455E-2</v>
      </c>
      <c r="AX439">
        <v>0.43512087927352638</v>
      </c>
      <c r="AY439">
        <v>7.7793186964375455E-2</v>
      </c>
      <c r="AZ439">
        <v>7.7793186964375455E-2</v>
      </c>
      <c r="BA439">
        <v>0.43512087927352638</v>
      </c>
      <c r="BB439">
        <v>8.893661670012519E-2</v>
      </c>
      <c r="BC439">
        <v>0.35420517139938912</v>
      </c>
      <c r="BD439">
        <v>0.1011900763723569</v>
      </c>
      <c r="BE439">
        <v>0.64939799774977081</v>
      </c>
      <c r="BF439">
        <v>0.1011900763723569</v>
      </c>
      <c r="BG439">
        <v>0.1011900763723569</v>
      </c>
      <c r="BH439">
        <v>0.64939799774977081</v>
      </c>
      <c r="BI439">
        <v>9.3113100301130389E-2</v>
      </c>
      <c r="BJ439">
        <v>0.67738299473977992</v>
      </c>
      <c r="BK439">
        <v>8.4955231925119487E-2</v>
      </c>
      <c r="BL439">
        <v>0.65893161532232947</v>
      </c>
      <c r="BM439">
        <v>8.4955231925119487E-2</v>
      </c>
      <c r="BN439">
        <v>8.4955231925119487E-2</v>
      </c>
      <c r="BO439">
        <v>0.65893161532232947</v>
      </c>
      <c r="BP439">
        <v>0.13121968250403979</v>
      </c>
      <c r="BQ439">
        <v>0.47319447978180912</v>
      </c>
      <c r="BR439">
        <v>70.535778249341277</v>
      </c>
      <c r="BS439">
        <v>0.79924274108096438</v>
      </c>
      <c r="BT439">
        <v>70.535778249341277</v>
      </c>
      <c r="BU439">
        <v>70.535778249341277</v>
      </c>
      <c r="BV439">
        <v>0.79924274108096438</v>
      </c>
      <c r="BW439">
        <v>397.57161324007399</v>
      </c>
      <c r="BX439">
        <v>-0.13155889506105509</v>
      </c>
      <c r="BY439" t="str">
        <f t="shared" si="16"/>
        <v>[[sv,wv],[yr],[ya]]</v>
      </c>
      <c r="BZ439" t="str">
        <f>SUBSTITUTE(TRIM(MID(SUBSTITUTE(SUBSTITUTE(SUBSTITUTE(Tabla1[[#This Row],[map]],"[",""),"]",""),",",REPT(" ",100)),901,200))," ",", ")</f>
        <v>2, 3</v>
      </c>
      <c r="CA439" t="str">
        <f>SUBSTITUTE(TRIM(MID(SUBSTITUTE(SUBSTITUTE(SUBSTITUTE(Tabla1[[#This Row],[map]],"[",""),"]",""),",",REPT(" ",100)),1501,200))," ",", ")</f>
        <v>3, 4</v>
      </c>
      <c r="CB439" t="str">
        <f>SUBSTITUTE(TRIM(MID(SUBSTITUTE(SUBSTITUTE(SUBSTITUTE(Tabla1[[#This Row],[map]],"[",""),"]",""),",",REPT(" ",100)),601,300))," ",", ")</f>
        <v>0, 1, 4</v>
      </c>
      <c r="CC439" t="str">
        <f>SUBSTITUTE(TRIM(MID(SUBSTITUTE(SUBSTITUTE(SUBSTITUTE(Tabla1[[#This Row],[map]],"[",""),"]",""),",",REPT(" ",100)),1201,300))," ",", ")</f>
        <v>1, 2, 0</v>
      </c>
      <c r="CD439" t="str">
        <f>SUBSTITUTE(TRIM(MID(SUBSTITUTE(SUBSTITUTE(SUBSTITUTE(Tabla1[[#This Row],[map]],"[",""),"]",""),",",REPT(" ",100)),1,300))," ",", ")</f>
        <v>4, 2, 3</v>
      </c>
      <c r="CE439" t="str">
        <f>SUBSTITUTE(TRIM(MID(SUBSTITUTE(SUBSTITUTE(SUBSTITUTE(Tabla1[[#This Row],[map]],"[",""),"]",""),",",REPT(" ",100)),1,600))," ",", ")</f>
        <v>4, 2, 3, 0, 1, -1</v>
      </c>
      <c r="CF439" t="str">
        <f>SUBSTITUTE(TRIM(MID(SUBSTITUTE(SUBSTITUTE(SUBSTITUTE(Tabla1[[#This Row],[map]],"[",""),"]",""),",",REPT(" ",100)),601,600))," ",", ")</f>
        <v>0, 1, 4, 2, 3, -1</v>
      </c>
      <c r="CG439" t="str">
        <f>SUBSTITUTE(TRIM(MID(SUBSTITUTE(SUBSTITUTE(SUBSTITUTE(Tabla1[[#This Row],[map]],"[",""),"]",""),",",REPT(" ",100)),1201,600))," ",", ")</f>
        <v>1, 2, 0, 3, 4, -1</v>
      </c>
    </row>
    <row r="440" spans="1:85" x14ac:dyDescent="0.3">
      <c r="A440" s="1">
        <v>46111.15929398148</v>
      </c>
      <c r="B440" t="s">
        <v>678</v>
      </c>
      <c r="C440">
        <v>9</v>
      </c>
      <c r="D440" t="s">
        <v>96</v>
      </c>
      <c r="E440" t="s">
        <v>78</v>
      </c>
      <c r="F440">
        <v>16590</v>
      </c>
      <c r="G440">
        <v>4.5</v>
      </c>
      <c r="H440" t="s">
        <v>79</v>
      </c>
      <c r="I440" t="s">
        <v>80</v>
      </c>
      <c r="J440">
        <v>5</v>
      </c>
      <c r="K440">
        <v>5</v>
      </c>
      <c r="L440" t="s">
        <v>81</v>
      </c>
      <c r="M440" t="s">
        <v>82</v>
      </c>
      <c r="N440" t="s">
        <v>83</v>
      </c>
      <c r="O440" t="s">
        <v>83</v>
      </c>
      <c r="P440" t="s">
        <v>84</v>
      </c>
      <c r="Q440" t="s">
        <v>201</v>
      </c>
      <c r="R440">
        <v>3</v>
      </c>
      <c r="S440" t="s">
        <v>86</v>
      </c>
      <c r="T440" t="s">
        <v>87</v>
      </c>
      <c r="U440" t="s">
        <v>88</v>
      </c>
      <c r="V440">
        <v>1</v>
      </c>
      <c r="W440" t="s">
        <v>202</v>
      </c>
      <c r="X440" t="s">
        <v>83</v>
      </c>
      <c r="Y440" t="s">
        <v>90</v>
      </c>
      <c r="Z440">
        <v>4000</v>
      </c>
      <c r="AA440">
        <v>4000</v>
      </c>
      <c r="AC440">
        <v>256</v>
      </c>
      <c r="AD440" t="s">
        <v>91</v>
      </c>
      <c r="AE440">
        <v>0.15</v>
      </c>
      <c r="AF440" t="s">
        <v>92</v>
      </c>
      <c r="AG440">
        <v>180</v>
      </c>
      <c r="AH440">
        <v>60</v>
      </c>
      <c r="AI440">
        <v>120</v>
      </c>
      <c r="AJ440">
        <v>0.1216939731650311</v>
      </c>
      <c r="AK440">
        <v>14.024238058423981</v>
      </c>
      <c r="AL440">
        <v>0.6619945328867296</v>
      </c>
      <c r="AM440">
        <v>1.217529701487427E-2</v>
      </c>
      <c r="AN440">
        <v>21.923748672519562</v>
      </c>
      <c r="AO440">
        <v>0.59592927603271895</v>
      </c>
      <c r="AP440">
        <v>21.923748672519562</v>
      </c>
      <c r="AQ440">
        <v>21.923748672519562</v>
      </c>
      <c r="AR440">
        <v>0.59592927603271895</v>
      </c>
      <c r="AS440">
        <v>82.220113774208841</v>
      </c>
      <c r="AT440">
        <v>9.6860697244543714E-2</v>
      </c>
      <c r="AU440">
        <v>0.8</v>
      </c>
      <c r="AV440" t="s">
        <v>93</v>
      </c>
      <c r="AW440">
        <v>0.1134742193753181</v>
      </c>
      <c r="AX440">
        <v>0.1760304498746631</v>
      </c>
      <c r="AY440">
        <v>0.1134742193753181</v>
      </c>
      <c r="AZ440">
        <v>0.1134742193753181</v>
      </c>
      <c r="BA440">
        <v>0.1760304498746631</v>
      </c>
      <c r="BB440">
        <v>0.206187800036542</v>
      </c>
      <c r="BC440">
        <v>-0.49719002054131728</v>
      </c>
      <c r="BD440">
        <v>7.9750468629743873E-2</v>
      </c>
      <c r="BE440">
        <v>0.72368165946339191</v>
      </c>
      <c r="BF440">
        <v>7.9750468629743873E-2</v>
      </c>
      <c r="BG440">
        <v>7.9750468629743873E-2</v>
      </c>
      <c r="BH440">
        <v>0.72368165946339191</v>
      </c>
      <c r="BI440">
        <v>0.124362066896561</v>
      </c>
      <c r="BJ440">
        <v>0.56911199970373449</v>
      </c>
      <c r="BK440">
        <v>6.6540467192247307E-2</v>
      </c>
      <c r="BL440">
        <v>0.73286107109964904</v>
      </c>
      <c r="BM440">
        <v>6.6540467192247307E-2</v>
      </c>
      <c r="BN440">
        <v>6.6540467192247307E-2</v>
      </c>
      <c r="BO440">
        <v>0.73286107109964904</v>
      </c>
      <c r="BP440">
        <v>0.18678928026543459</v>
      </c>
      <c r="BQ440">
        <v>0.25010012153943167</v>
      </c>
      <c r="BR440">
        <v>87.435229534880975</v>
      </c>
      <c r="BS440">
        <v>0.75114392369317429</v>
      </c>
      <c r="BT440">
        <v>87.435229534880975</v>
      </c>
      <c r="BU440">
        <v>87.435229534880975</v>
      </c>
      <c r="BV440">
        <v>0.75114392369317429</v>
      </c>
      <c r="BW440">
        <v>328.36311594963661</v>
      </c>
      <c r="BX440">
        <v>6.5420688276333849E-2</v>
      </c>
      <c r="BY440" t="str">
        <f t="shared" si="16"/>
        <v>[[sv,wv],[yr],[ya]]</v>
      </c>
      <c r="BZ440" t="str">
        <f>SUBSTITUTE(TRIM(MID(SUBSTITUTE(SUBSTITUTE(SUBSTITUTE(Tabla1[[#This Row],[map]],"[",""),"]",""),",",REPT(" ",100)),901,200))," ",", ")</f>
        <v>2, 4</v>
      </c>
      <c r="CA440" t="str">
        <f>SUBSTITUTE(TRIM(MID(SUBSTITUTE(SUBSTITUTE(SUBSTITUTE(Tabla1[[#This Row],[map]],"[",""),"]",""),",",REPT(" ",100)),1501,200))," ",", ")</f>
        <v>3, 2</v>
      </c>
      <c r="CB440" t="str">
        <f>SUBSTITUTE(TRIM(MID(SUBSTITUTE(SUBSTITUTE(SUBSTITUTE(Tabla1[[#This Row],[map]],"[",""),"]",""),",",REPT(" ",100)),601,300))," ",", ")</f>
        <v>0, 1, 3</v>
      </c>
      <c r="CC440" t="str">
        <f>SUBSTITUTE(TRIM(MID(SUBSTITUTE(SUBSTITUTE(SUBSTITUTE(Tabla1[[#This Row],[map]],"[",""),"]",""),",",REPT(" ",100)),1201,300))," ",", ")</f>
        <v>0, 1, 4</v>
      </c>
      <c r="CD440" t="str">
        <f>SUBSTITUTE(TRIM(MID(SUBSTITUTE(SUBSTITUTE(SUBSTITUTE(Tabla1[[#This Row],[map]],"[",""),"]",""),",",REPT(" ",100)),1,300))," ",", ")</f>
        <v>4, 2, 3</v>
      </c>
      <c r="CE440" t="str">
        <f>SUBSTITUTE(TRIM(MID(SUBSTITUTE(SUBSTITUTE(SUBSTITUTE(Tabla1[[#This Row],[map]],"[",""),"]",""),",",REPT(" ",100)),1,600))," ",", ")</f>
        <v>4, 2, 3, 0, 1, -1</v>
      </c>
      <c r="CF440" t="str">
        <f>SUBSTITUTE(TRIM(MID(SUBSTITUTE(SUBSTITUTE(SUBSTITUTE(Tabla1[[#This Row],[map]],"[",""),"]",""),",",REPT(" ",100)),601,600))," ",", ")</f>
        <v>0, 1, 3, 2, 4, -1</v>
      </c>
      <c r="CG440" t="str">
        <f>SUBSTITUTE(TRIM(MID(SUBSTITUTE(SUBSTITUTE(SUBSTITUTE(Tabla1[[#This Row],[map]],"[",""),"]",""),",",REPT(" ",100)),1201,600))," ",", ")</f>
        <v>0, 1, 4, 3, 2, -1</v>
      </c>
    </row>
    <row r="441" spans="1:85" x14ac:dyDescent="0.3">
      <c r="A441" s="1">
        <v>46111.186111111107</v>
      </c>
      <c r="B441" t="s">
        <v>679</v>
      </c>
      <c r="C441">
        <v>4</v>
      </c>
      <c r="D441" t="s">
        <v>96</v>
      </c>
      <c r="E441" t="s">
        <v>78</v>
      </c>
      <c r="F441">
        <v>16590</v>
      </c>
      <c r="G441">
        <v>4.5</v>
      </c>
      <c r="H441" t="s">
        <v>79</v>
      </c>
      <c r="I441" t="s">
        <v>80</v>
      </c>
      <c r="J441">
        <v>5</v>
      </c>
      <c r="K441">
        <v>5</v>
      </c>
      <c r="L441" t="s">
        <v>81</v>
      </c>
      <c r="M441" t="s">
        <v>82</v>
      </c>
      <c r="N441" t="s">
        <v>83</v>
      </c>
      <c r="O441" t="s">
        <v>83</v>
      </c>
      <c r="P441" t="s">
        <v>84</v>
      </c>
      <c r="Q441" t="s">
        <v>303</v>
      </c>
      <c r="R441">
        <v>3</v>
      </c>
      <c r="S441" t="s">
        <v>86</v>
      </c>
      <c r="T441" t="s">
        <v>87</v>
      </c>
      <c r="U441" t="s">
        <v>88</v>
      </c>
      <c r="V441">
        <v>1</v>
      </c>
      <c r="W441" t="s">
        <v>304</v>
      </c>
      <c r="X441" t="s">
        <v>83</v>
      </c>
      <c r="Y441" t="s">
        <v>90</v>
      </c>
      <c r="Z441">
        <v>4000</v>
      </c>
      <c r="AA441">
        <v>4000</v>
      </c>
      <c r="AC441">
        <v>256</v>
      </c>
      <c r="AD441" t="s">
        <v>91</v>
      </c>
      <c r="AE441">
        <v>0.15</v>
      </c>
      <c r="AF441" t="s">
        <v>92</v>
      </c>
      <c r="AG441">
        <v>180</v>
      </c>
      <c r="AH441">
        <v>60</v>
      </c>
      <c r="AI441">
        <v>120</v>
      </c>
      <c r="AJ441">
        <v>0.109717594461315</v>
      </c>
      <c r="AK441">
        <v>16.349241778722881</v>
      </c>
      <c r="AL441">
        <v>0.7154590374568528</v>
      </c>
      <c r="AM441">
        <v>0.24066906495722379</v>
      </c>
      <c r="AN441">
        <v>18.19075264949538</v>
      </c>
      <c r="AO441">
        <v>0.66238090544288697</v>
      </c>
      <c r="AP441">
        <v>18.19075264949538</v>
      </c>
      <c r="AQ441">
        <v>18.19075264949538</v>
      </c>
      <c r="AR441">
        <v>0.66238090544288697</v>
      </c>
      <c r="AS441">
        <v>100.46724881025661</v>
      </c>
      <c r="AT441">
        <v>0.17352463797505491</v>
      </c>
      <c r="AU441">
        <v>0.8</v>
      </c>
      <c r="AV441" t="s">
        <v>93</v>
      </c>
      <c r="AW441">
        <v>7.2933041836205248E-2</v>
      </c>
      <c r="AX441">
        <v>0.47041181687017047</v>
      </c>
      <c r="AY441">
        <v>7.2933041836205248E-2</v>
      </c>
      <c r="AZ441">
        <v>7.2933041836205248E-2</v>
      </c>
      <c r="BA441">
        <v>0.47041181687017047</v>
      </c>
      <c r="BB441">
        <v>0.10673736139832039</v>
      </c>
      <c r="BC441">
        <v>0.224948749265692</v>
      </c>
      <c r="BD441">
        <v>7.0058378299460336E-2</v>
      </c>
      <c r="BE441">
        <v>0.75726268240168249</v>
      </c>
      <c r="BF441">
        <v>7.0058378299460336E-2</v>
      </c>
      <c r="BG441">
        <v>7.0058378299460336E-2</v>
      </c>
      <c r="BH441">
        <v>0.75726268240168249</v>
      </c>
      <c r="BI441">
        <v>0.10812930181759051</v>
      </c>
      <c r="BJ441">
        <v>0.62535506367576055</v>
      </c>
      <c r="BK441">
        <v>9.2591362304575667E-2</v>
      </c>
      <c r="BL441">
        <v>0.62827496717139741</v>
      </c>
      <c r="BM441">
        <v>9.2591362304575667E-2</v>
      </c>
      <c r="BN441">
        <v>9.2591362304575667E-2</v>
      </c>
      <c r="BO441">
        <v>0.62827496717139741</v>
      </c>
      <c r="BP441">
        <v>0.25250943044328927</v>
      </c>
      <c r="BQ441">
        <v>-1.374549401596714E-2</v>
      </c>
      <c r="BR441">
        <v>72.527427815541344</v>
      </c>
      <c r="BS441">
        <v>0.79357415532829567</v>
      </c>
      <c r="BT441">
        <v>72.527427815541344</v>
      </c>
      <c r="BU441">
        <v>72.527427815541344</v>
      </c>
      <c r="BV441">
        <v>0.79357415532829567</v>
      </c>
      <c r="BW441">
        <v>401.4016191473678</v>
      </c>
      <c r="BX441">
        <v>-0.14245976702526561</v>
      </c>
      <c r="BY441" t="str">
        <f t="shared" si="16"/>
        <v>[[sv,wv],[yr],[ya]]</v>
      </c>
      <c r="BZ441" t="str">
        <f>SUBSTITUTE(TRIM(MID(SUBSTITUTE(SUBSTITUTE(SUBSTITUTE(Tabla1[[#This Row],[map]],"[",""),"]",""),",",REPT(" ",100)),901,200))," ",", ")</f>
        <v>2, 4</v>
      </c>
      <c r="CA441" t="str">
        <f>SUBSTITUTE(TRIM(MID(SUBSTITUTE(SUBSTITUTE(SUBSTITUTE(Tabla1[[#This Row],[map]],"[",""),"]",""),",",REPT(" ",100)),1501,200))," ",", ")</f>
        <v>3, 4</v>
      </c>
      <c r="CB441" t="str">
        <f>SUBSTITUTE(TRIM(MID(SUBSTITUTE(SUBSTITUTE(SUBSTITUTE(Tabla1[[#This Row],[map]],"[",""),"]",""),",",REPT(" ",100)),601,300))," ",", ")</f>
        <v>3, 0, 1</v>
      </c>
      <c r="CC441" t="str">
        <f>SUBSTITUTE(TRIM(MID(SUBSTITUTE(SUBSTITUTE(SUBSTITUTE(Tabla1[[#This Row],[map]],"[",""),"]",""),",",REPT(" ",100)),1201,300))," ",", ")</f>
        <v>2, 0, 1</v>
      </c>
      <c r="CD441" t="str">
        <f>SUBSTITUTE(TRIM(MID(SUBSTITUTE(SUBSTITUTE(SUBSTITUTE(Tabla1[[#This Row],[map]],"[",""),"]",""),",",REPT(" ",100)),1,300))," ",", ")</f>
        <v>4, 2, 3</v>
      </c>
      <c r="CE441" t="str">
        <f>SUBSTITUTE(TRIM(MID(SUBSTITUTE(SUBSTITUTE(SUBSTITUTE(Tabla1[[#This Row],[map]],"[",""),"]",""),",",REPT(" ",100)),1,600))," ",", ")</f>
        <v>4, 2, 3, 0, 1, -1</v>
      </c>
      <c r="CF441" t="str">
        <f>SUBSTITUTE(TRIM(MID(SUBSTITUTE(SUBSTITUTE(SUBSTITUTE(Tabla1[[#This Row],[map]],"[",""),"]",""),",",REPT(" ",100)),601,600))," ",", ")</f>
        <v>3, 0, 1, 2, 4, -1</v>
      </c>
      <c r="CG441" t="str">
        <f>SUBSTITUTE(TRIM(MID(SUBSTITUTE(SUBSTITUTE(SUBSTITUTE(Tabla1[[#This Row],[map]],"[",""),"]",""),",",REPT(" ",100)),1201,600))," ",", ")</f>
        <v>2, 0, 1, 3, 4, -1</v>
      </c>
    </row>
    <row r="442" spans="1:85" x14ac:dyDescent="0.3">
      <c r="A442" s="1">
        <v>46111.196481481478</v>
      </c>
      <c r="B442" t="s">
        <v>680</v>
      </c>
      <c r="C442">
        <v>5</v>
      </c>
      <c r="D442" t="s">
        <v>96</v>
      </c>
      <c r="E442" t="s">
        <v>78</v>
      </c>
      <c r="F442">
        <v>16590</v>
      </c>
      <c r="G442">
        <v>4.5</v>
      </c>
      <c r="H442" t="s">
        <v>79</v>
      </c>
      <c r="I442" t="s">
        <v>80</v>
      </c>
      <c r="J442">
        <v>5</v>
      </c>
      <c r="K442">
        <v>5</v>
      </c>
      <c r="L442" t="s">
        <v>81</v>
      </c>
      <c r="M442" t="s">
        <v>82</v>
      </c>
      <c r="N442" t="s">
        <v>83</v>
      </c>
      <c r="O442" t="s">
        <v>83</v>
      </c>
      <c r="P442" t="s">
        <v>84</v>
      </c>
      <c r="Q442" t="s">
        <v>279</v>
      </c>
      <c r="R442">
        <v>3</v>
      </c>
      <c r="S442" t="s">
        <v>86</v>
      </c>
      <c r="T442" t="s">
        <v>87</v>
      </c>
      <c r="U442" t="s">
        <v>88</v>
      </c>
      <c r="V442">
        <v>1</v>
      </c>
      <c r="W442" t="s">
        <v>280</v>
      </c>
      <c r="X442" t="s">
        <v>83</v>
      </c>
      <c r="Y442" t="s">
        <v>90</v>
      </c>
      <c r="Z442">
        <v>4000</v>
      </c>
      <c r="AA442">
        <v>4000</v>
      </c>
      <c r="AC442">
        <v>256</v>
      </c>
      <c r="AD442" t="s">
        <v>91</v>
      </c>
      <c r="AE442">
        <v>0.15</v>
      </c>
      <c r="AF442" t="s">
        <v>92</v>
      </c>
      <c r="AG442">
        <v>180</v>
      </c>
      <c r="AH442">
        <v>60</v>
      </c>
      <c r="AI442">
        <v>120</v>
      </c>
      <c r="AJ442">
        <v>0.12197930986097159</v>
      </c>
      <c r="AK442">
        <v>19.237703602796341</v>
      </c>
      <c r="AL442">
        <v>0.6797593646441944</v>
      </c>
      <c r="AM442">
        <v>0.38595400557906628</v>
      </c>
      <c r="AN442">
        <v>24.881416955762489</v>
      </c>
      <c r="AO442">
        <v>0.64359521115972784</v>
      </c>
      <c r="AP442">
        <v>24.881416955762489</v>
      </c>
      <c r="AQ442">
        <v>24.881416955762489</v>
      </c>
      <c r="AR442">
        <v>0.64359521115972784</v>
      </c>
      <c r="AS442">
        <v>70.354144339282584</v>
      </c>
      <c r="AT442">
        <v>0.2325194415333755</v>
      </c>
      <c r="AU442">
        <v>0.8</v>
      </c>
      <c r="AV442" t="s">
        <v>93</v>
      </c>
      <c r="AW442">
        <v>7.8321532086331969E-2</v>
      </c>
      <c r="AX442">
        <v>0.43128441055978689</v>
      </c>
      <c r="AY442">
        <v>7.8321532086331969E-2</v>
      </c>
      <c r="AZ442">
        <v>7.8321532086331969E-2</v>
      </c>
      <c r="BA442">
        <v>0.43128441055978689</v>
      </c>
      <c r="BB442">
        <v>0.1735883058960449</v>
      </c>
      <c r="BC442">
        <v>-0.26047554328709838</v>
      </c>
      <c r="BD442">
        <v>0.1031792273379037</v>
      </c>
      <c r="BE442">
        <v>0.64250601450101397</v>
      </c>
      <c r="BF442">
        <v>0.1031792273379037</v>
      </c>
      <c r="BG442">
        <v>0.1031792273379037</v>
      </c>
      <c r="BH442">
        <v>0.64250601450101397</v>
      </c>
      <c r="BI442">
        <v>0.11706569499350759</v>
      </c>
      <c r="BJ442">
        <v>0.59439236997403166</v>
      </c>
      <c r="BK442">
        <v>5.4004821338581567E-2</v>
      </c>
      <c r="BL442">
        <v>0.78318772415345506</v>
      </c>
      <c r="BM442">
        <v>5.4004821338581567E-2</v>
      </c>
      <c r="BN442">
        <v>5.4004821338581567E-2</v>
      </c>
      <c r="BO442">
        <v>0.78318772415345506</v>
      </c>
      <c r="BP442">
        <v>0.1504809510910961</v>
      </c>
      <c r="BQ442">
        <v>0.39586657878072168</v>
      </c>
      <c r="BR442">
        <v>99.290162242287082</v>
      </c>
      <c r="BS442">
        <v>0.71740269542465795</v>
      </c>
      <c r="BT442">
        <v>99.290162242287082</v>
      </c>
      <c r="BU442">
        <v>99.290162242287082</v>
      </c>
      <c r="BV442">
        <v>0.71740269542465795</v>
      </c>
      <c r="BW442">
        <v>280.97544240514901</v>
      </c>
      <c r="BX442">
        <v>0.20029436066585329</v>
      </c>
      <c r="BY442" t="str">
        <f t="shared" si="16"/>
        <v>[[sv,wv],[yr],[ya]]</v>
      </c>
      <c r="BZ442" t="str">
        <f>SUBSTITUTE(TRIM(MID(SUBSTITUTE(SUBSTITUTE(SUBSTITUTE(Tabla1[[#This Row],[map]],"[",""),"]",""),",",REPT(" ",100)),901,200))," ",", ")</f>
        <v>2, 4</v>
      </c>
      <c r="CA442" t="str">
        <f>SUBSTITUTE(TRIM(MID(SUBSTITUTE(SUBSTITUTE(SUBSTITUTE(Tabla1[[#This Row],[map]],"[",""),"]",""),",",REPT(" ",100)),1501,200))," ",", ")</f>
        <v>3, 4</v>
      </c>
      <c r="CB442" t="str">
        <f>SUBSTITUTE(TRIM(MID(SUBSTITUTE(SUBSTITUTE(SUBSTITUTE(Tabla1[[#This Row],[map]],"[",""),"]",""),",",REPT(" ",100)),601,300))," ",", ")</f>
        <v>0, 1, 3</v>
      </c>
      <c r="CC442" t="str">
        <f>SUBSTITUTE(TRIM(MID(SUBSTITUTE(SUBSTITUTE(SUBSTITUTE(Tabla1[[#This Row],[map]],"[",""),"]",""),",",REPT(" ",100)),1201,300))," ",", ")</f>
        <v>2, 0, 1</v>
      </c>
      <c r="CD442" t="str">
        <f>SUBSTITUTE(TRIM(MID(SUBSTITUTE(SUBSTITUTE(SUBSTITUTE(Tabla1[[#This Row],[map]],"[",""),"]",""),",",REPT(" ",100)),1,300))," ",", ")</f>
        <v>4, 2, 3</v>
      </c>
      <c r="CE442" t="str">
        <f>SUBSTITUTE(TRIM(MID(SUBSTITUTE(SUBSTITUTE(SUBSTITUTE(Tabla1[[#This Row],[map]],"[",""),"]",""),",",REPT(" ",100)),1,600))," ",", ")</f>
        <v>4, 2, 3, 0, 1, -1</v>
      </c>
      <c r="CF442" t="str">
        <f>SUBSTITUTE(TRIM(MID(SUBSTITUTE(SUBSTITUTE(SUBSTITUTE(Tabla1[[#This Row],[map]],"[",""),"]",""),",",REPT(" ",100)),601,600))," ",", ")</f>
        <v>0, 1, 3, 2, 4, -1</v>
      </c>
      <c r="CG442" t="str">
        <f>SUBSTITUTE(TRIM(MID(SUBSTITUTE(SUBSTITUTE(SUBSTITUTE(Tabla1[[#This Row],[map]],"[",""),"]",""),",",REPT(" ",100)),1201,600))," ",", ")</f>
        <v>2, 0, 1, 3, 4, -1</v>
      </c>
    </row>
    <row r="443" spans="1:85" x14ac:dyDescent="0.3">
      <c r="A443" s="1">
        <v>46111.243217592593</v>
      </c>
      <c r="B443" t="s">
        <v>681</v>
      </c>
      <c r="C443">
        <v>7</v>
      </c>
      <c r="D443" t="s">
        <v>96</v>
      </c>
      <c r="E443" t="s">
        <v>78</v>
      </c>
      <c r="F443">
        <v>16590</v>
      </c>
      <c r="G443">
        <v>4.5</v>
      </c>
      <c r="H443" t="s">
        <v>79</v>
      </c>
      <c r="I443" t="s">
        <v>80</v>
      </c>
      <c r="J443">
        <v>5</v>
      </c>
      <c r="K443">
        <v>5</v>
      </c>
      <c r="L443" t="s">
        <v>81</v>
      </c>
      <c r="M443" t="s">
        <v>82</v>
      </c>
      <c r="N443" t="s">
        <v>83</v>
      </c>
      <c r="O443" t="s">
        <v>83</v>
      </c>
      <c r="P443" t="s">
        <v>84</v>
      </c>
      <c r="Q443" t="s">
        <v>461</v>
      </c>
      <c r="R443">
        <v>3</v>
      </c>
      <c r="S443" t="s">
        <v>86</v>
      </c>
      <c r="T443" t="s">
        <v>87</v>
      </c>
      <c r="U443" t="s">
        <v>88</v>
      </c>
      <c r="V443">
        <v>1</v>
      </c>
      <c r="W443" t="s">
        <v>462</v>
      </c>
      <c r="X443" t="s">
        <v>83</v>
      </c>
      <c r="Y443" t="s">
        <v>90</v>
      </c>
      <c r="Z443">
        <v>4000</v>
      </c>
      <c r="AA443">
        <v>4000</v>
      </c>
      <c r="AC443">
        <v>256</v>
      </c>
      <c r="AD443" t="s">
        <v>91</v>
      </c>
      <c r="AE443">
        <v>0.15</v>
      </c>
      <c r="AF443" t="s">
        <v>92</v>
      </c>
      <c r="AG443">
        <v>180</v>
      </c>
      <c r="AH443">
        <v>60</v>
      </c>
      <c r="AI443">
        <v>120</v>
      </c>
      <c r="AJ443">
        <v>0.1164961554769792</v>
      </c>
      <c r="AK443">
        <v>6.7940206507355976</v>
      </c>
      <c r="AL443">
        <v>0.72154914260436609</v>
      </c>
      <c r="AM443">
        <v>0.1420263939628596</v>
      </c>
      <c r="AN443">
        <v>9.7621524078517865</v>
      </c>
      <c r="AO443">
        <v>0.6781949653188738</v>
      </c>
      <c r="AP443">
        <v>9.7621524078517865</v>
      </c>
      <c r="AQ443">
        <v>9.7621524078517865</v>
      </c>
      <c r="AR443">
        <v>0.6781949653188738</v>
      </c>
      <c r="AS443">
        <v>118.68941996365081</v>
      </c>
      <c r="AT443">
        <v>0.14649443021705719</v>
      </c>
      <c r="AU443">
        <v>0.8</v>
      </c>
      <c r="AV443" t="s">
        <v>93</v>
      </c>
      <c r="AW443">
        <v>7.6508150254219753E-2</v>
      </c>
      <c r="AX443">
        <v>0.44445190728843997</v>
      </c>
      <c r="AY443">
        <v>7.6508150254219753E-2</v>
      </c>
      <c r="AZ443">
        <v>7.6508150254219753E-2</v>
      </c>
      <c r="BA443">
        <v>0.44445190728843997</v>
      </c>
      <c r="BB443">
        <v>9.2574873724993609E-2</v>
      </c>
      <c r="BC443">
        <v>0.32778672128336878</v>
      </c>
      <c r="BD443">
        <v>8.8862208666698222E-2</v>
      </c>
      <c r="BE443">
        <v>0.69211142633910427</v>
      </c>
      <c r="BF443">
        <v>8.8862208666698222E-2</v>
      </c>
      <c r="BG443">
        <v>8.8862208666698222E-2</v>
      </c>
      <c r="BH443">
        <v>0.69211142633910427</v>
      </c>
      <c r="BI443">
        <v>0.1144927154274283</v>
      </c>
      <c r="BJ443">
        <v>0.60330719462834703</v>
      </c>
      <c r="BK443">
        <v>7.8047756758987355E-2</v>
      </c>
      <c r="BL443">
        <v>0.68666294326679722</v>
      </c>
      <c r="BM443">
        <v>7.8047756758987355E-2</v>
      </c>
      <c r="BN443">
        <v>7.8047756758987355E-2</v>
      </c>
      <c r="BO443">
        <v>0.68666294326679722</v>
      </c>
      <c r="BP443">
        <v>0.24788179818312869</v>
      </c>
      <c r="BQ443">
        <v>4.8329857796791664E-3</v>
      </c>
      <c r="BR443">
        <v>38.805191515727238</v>
      </c>
      <c r="BS443">
        <v>0.8895535843811524</v>
      </c>
      <c r="BT443">
        <v>38.805191515727238</v>
      </c>
      <c r="BU443">
        <v>38.805191515727238</v>
      </c>
      <c r="BV443">
        <v>0.8895535843811524</v>
      </c>
      <c r="BW443">
        <v>474.30273046726683</v>
      </c>
      <c r="BX443">
        <v>-0.34994918082316467</v>
      </c>
      <c r="BY443" t="str">
        <f t="shared" si="16"/>
        <v>[[sv,wv],[yr],[ya]]</v>
      </c>
      <c r="BZ443" t="str">
        <f>SUBSTITUTE(TRIM(MID(SUBSTITUTE(SUBSTITUTE(SUBSTITUTE(Tabla1[[#This Row],[map]],"[",""),"]",""),",",REPT(" ",100)),901,200))," ",", ")</f>
        <v>2, 3</v>
      </c>
      <c r="CA443" t="str">
        <f>SUBSTITUTE(TRIM(MID(SUBSTITUTE(SUBSTITUTE(SUBSTITUTE(Tabla1[[#This Row],[map]],"[",""),"]",""),",",REPT(" ",100)),1501,200))," ",", ")</f>
        <v>3, 2</v>
      </c>
      <c r="CB443" t="str">
        <f>SUBSTITUTE(TRIM(MID(SUBSTITUTE(SUBSTITUTE(SUBSTITUTE(Tabla1[[#This Row],[map]],"[",""),"]",""),",",REPT(" ",100)),601,300))," ",", ")</f>
        <v>0, 1, 4</v>
      </c>
      <c r="CC443" t="str">
        <f>SUBSTITUTE(TRIM(MID(SUBSTITUTE(SUBSTITUTE(SUBSTITUTE(Tabla1[[#This Row],[map]],"[",""),"]",""),",",REPT(" ",100)),1201,300))," ",", ")</f>
        <v>1, 4, 0</v>
      </c>
      <c r="CD443" t="str">
        <f>SUBSTITUTE(TRIM(MID(SUBSTITUTE(SUBSTITUTE(SUBSTITUTE(Tabla1[[#This Row],[map]],"[",""),"]",""),",",REPT(" ",100)),1,300))," ",", ")</f>
        <v>4, 2, 3</v>
      </c>
      <c r="CE443" t="str">
        <f>SUBSTITUTE(TRIM(MID(SUBSTITUTE(SUBSTITUTE(SUBSTITUTE(Tabla1[[#This Row],[map]],"[",""),"]",""),",",REPT(" ",100)),1,600))," ",", ")</f>
        <v>4, 2, 3, 0, 1, -1</v>
      </c>
      <c r="CF443" t="str">
        <f>SUBSTITUTE(TRIM(MID(SUBSTITUTE(SUBSTITUTE(SUBSTITUTE(Tabla1[[#This Row],[map]],"[",""),"]",""),",",REPT(" ",100)),601,600))," ",", ")</f>
        <v>0, 1, 4, 2, 3, -1</v>
      </c>
      <c r="CG443" t="str">
        <f>SUBSTITUTE(TRIM(MID(SUBSTITUTE(SUBSTITUTE(SUBSTITUTE(Tabla1[[#This Row],[map]],"[",""),"]",""),",",REPT(" ",100)),1201,600))," ",", ")</f>
        <v>1, 4, 0, 3, 2, -1</v>
      </c>
    </row>
    <row r="444" spans="1:85" x14ac:dyDescent="0.3">
      <c r="A444" s="1">
        <v>46111.25708333333</v>
      </c>
      <c r="B444" t="s">
        <v>682</v>
      </c>
      <c r="C444">
        <v>6</v>
      </c>
      <c r="D444" t="s">
        <v>96</v>
      </c>
      <c r="E444" t="s">
        <v>78</v>
      </c>
      <c r="F444">
        <v>16590</v>
      </c>
      <c r="G444">
        <v>4.5</v>
      </c>
      <c r="H444" t="s">
        <v>79</v>
      </c>
      <c r="I444" t="s">
        <v>80</v>
      </c>
      <c r="J444">
        <v>5</v>
      </c>
      <c r="K444">
        <v>5</v>
      </c>
      <c r="L444" t="s">
        <v>81</v>
      </c>
      <c r="M444" t="s">
        <v>82</v>
      </c>
      <c r="N444" t="s">
        <v>83</v>
      </c>
      <c r="O444" t="s">
        <v>83</v>
      </c>
      <c r="P444" t="s">
        <v>84</v>
      </c>
      <c r="Q444" t="s">
        <v>171</v>
      </c>
      <c r="R444">
        <v>3</v>
      </c>
      <c r="S444" t="s">
        <v>86</v>
      </c>
      <c r="T444" t="s">
        <v>87</v>
      </c>
      <c r="U444" t="s">
        <v>88</v>
      </c>
      <c r="V444">
        <v>1</v>
      </c>
      <c r="W444" t="s">
        <v>172</v>
      </c>
      <c r="X444" t="s">
        <v>83</v>
      </c>
      <c r="Y444" t="s">
        <v>90</v>
      </c>
      <c r="Z444">
        <v>4000</v>
      </c>
      <c r="AA444">
        <v>4000</v>
      </c>
      <c r="AC444">
        <v>256</v>
      </c>
      <c r="AD444" t="s">
        <v>91</v>
      </c>
      <c r="AE444">
        <v>0.15</v>
      </c>
      <c r="AF444" t="s">
        <v>92</v>
      </c>
      <c r="AG444">
        <v>180</v>
      </c>
      <c r="AH444">
        <v>60</v>
      </c>
      <c r="AI444">
        <v>120</v>
      </c>
      <c r="AJ444">
        <v>0.13334678958718479</v>
      </c>
      <c r="AK444">
        <v>44.28690414553089</v>
      </c>
      <c r="AL444">
        <v>0.63625412417844074</v>
      </c>
      <c r="AM444">
        <v>-0.45398795777580953</v>
      </c>
      <c r="AN444">
        <v>51.602725281493711</v>
      </c>
      <c r="AO444">
        <v>0.55096753262500331</v>
      </c>
      <c r="AP444">
        <v>51.602725281493711</v>
      </c>
      <c r="AQ444">
        <v>51.602725281493711</v>
      </c>
      <c r="AR444">
        <v>0.55096753262500331</v>
      </c>
      <c r="AS444">
        <v>115.5079089846782</v>
      </c>
      <c r="AT444">
        <v>-0.34376112030870049</v>
      </c>
      <c r="AU444">
        <v>0.8</v>
      </c>
      <c r="AV444" t="s">
        <v>93</v>
      </c>
      <c r="AW444">
        <v>6.8842396747173989E-2</v>
      </c>
      <c r="AX444">
        <v>0.50011518925102194</v>
      </c>
      <c r="AY444">
        <v>6.8842396747173989E-2</v>
      </c>
      <c r="AZ444">
        <v>6.8842396747173989E-2</v>
      </c>
      <c r="BA444">
        <v>0.50011518925102194</v>
      </c>
      <c r="BB444">
        <v>0.1372330236217312</v>
      </c>
      <c r="BC444">
        <v>3.5108118969546802E-3</v>
      </c>
      <c r="BD444">
        <v>6.6690819848820207E-2</v>
      </c>
      <c r="BE444">
        <v>0.76893055318324499</v>
      </c>
      <c r="BF444">
        <v>6.6690819848820207E-2</v>
      </c>
      <c r="BG444">
        <v>6.6690819848820207E-2</v>
      </c>
      <c r="BH444">
        <v>0.76893055318324499</v>
      </c>
      <c r="BI444">
        <v>0.42230820538910901</v>
      </c>
      <c r="BJ444">
        <v>-0.46320773423756673</v>
      </c>
      <c r="BK444">
        <v>0.1191672270169003</v>
      </c>
      <c r="BL444">
        <v>0.5215812763480453</v>
      </c>
      <c r="BM444">
        <v>0.1191672270169003</v>
      </c>
      <c r="BN444">
        <v>0.1191672270169003</v>
      </c>
      <c r="BO444">
        <v>0.5215812763480453</v>
      </c>
      <c r="BP444">
        <v>0.39929748413438931</v>
      </c>
      <c r="BQ444">
        <v>-0.60305310024474279</v>
      </c>
      <c r="BR444">
        <v>206.15620068236089</v>
      </c>
      <c r="BS444">
        <v>0.41324311171770622</v>
      </c>
      <c r="BT444">
        <v>206.15620068236089</v>
      </c>
      <c r="BU444">
        <v>206.15620068236089</v>
      </c>
      <c r="BV444">
        <v>0.41324311171770622</v>
      </c>
      <c r="BW444">
        <v>461.07279722556729</v>
      </c>
      <c r="BX444">
        <v>-0.3122944586494536</v>
      </c>
      <c r="BY444" t="str">
        <f t="shared" si="16"/>
        <v>[[sv,wv],[yr],[ya]]</v>
      </c>
      <c r="BZ444" t="str">
        <f>SUBSTITUTE(TRIM(MID(SUBSTITUTE(SUBSTITUTE(SUBSTITUTE(Tabla1[[#This Row],[map]],"[",""),"]",""),",",REPT(" ",100)),901,200))," ",", ")</f>
        <v>2, 4</v>
      </c>
      <c r="CA444" t="str">
        <f>SUBSTITUTE(TRIM(MID(SUBSTITUTE(SUBSTITUTE(SUBSTITUTE(Tabla1[[#This Row],[map]],"[",""),"]",""),",",REPT(" ",100)),1501,200))," ",", ")</f>
        <v>3, 2</v>
      </c>
      <c r="CB444" t="str">
        <f>SUBSTITUTE(TRIM(MID(SUBSTITUTE(SUBSTITUTE(SUBSTITUTE(Tabla1[[#This Row],[map]],"[",""),"]",""),",",REPT(" ",100)),601,300))," ",", ")</f>
        <v>3, 0, 1</v>
      </c>
      <c r="CC444" t="str">
        <f>SUBSTITUTE(TRIM(MID(SUBSTITUTE(SUBSTITUTE(SUBSTITUTE(Tabla1[[#This Row],[map]],"[",""),"]",""),",",REPT(" ",100)),1201,300))," ",", ")</f>
        <v>4, 0, 1</v>
      </c>
      <c r="CD444" t="str">
        <f>SUBSTITUTE(TRIM(MID(SUBSTITUTE(SUBSTITUTE(SUBSTITUTE(Tabla1[[#This Row],[map]],"[",""),"]",""),",",REPT(" ",100)),1,300))," ",", ")</f>
        <v>2, 3, 4</v>
      </c>
      <c r="CE444" t="str">
        <f>SUBSTITUTE(TRIM(MID(SUBSTITUTE(SUBSTITUTE(SUBSTITUTE(Tabla1[[#This Row],[map]],"[",""),"]",""),",",REPT(" ",100)),1,600))," ",", ")</f>
        <v>2, 3, 4, 0, 1, -1</v>
      </c>
      <c r="CF444" t="str">
        <f>SUBSTITUTE(TRIM(MID(SUBSTITUTE(SUBSTITUTE(SUBSTITUTE(Tabla1[[#This Row],[map]],"[",""),"]",""),",",REPT(" ",100)),601,600))," ",", ")</f>
        <v>3, 0, 1, 2, 4, -1</v>
      </c>
      <c r="CG444" t="str">
        <f>SUBSTITUTE(TRIM(MID(SUBSTITUTE(SUBSTITUTE(SUBSTITUTE(Tabla1[[#This Row],[map]],"[",""),"]",""),",",REPT(" ",100)),1201,600))," ",", ")</f>
        <v>4, 0, 1, 3, 2, -1</v>
      </c>
    </row>
    <row r="445" spans="1:85" x14ac:dyDescent="0.3">
      <c r="A445" s="1">
        <v>46111.260671296302</v>
      </c>
      <c r="B445" t="s">
        <v>683</v>
      </c>
      <c r="C445">
        <v>8</v>
      </c>
      <c r="D445" t="s">
        <v>77</v>
      </c>
      <c r="E445" t="s">
        <v>78</v>
      </c>
      <c r="F445">
        <v>16590</v>
      </c>
      <c r="G445">
        <v>4.5</v>
      </c>
      <c r="H445" t="s">
        <v>79</v>
      </c>
      <c r="I445" t="s">
        <v>80</v>
      </c>
      <c r="J445">
        <v>5</v>
      </c>
      <c r="K445">
        <v>5</v>
      </c>
      <c r="L445" t="s">
        <v>81</v>
      </c>
      <c r="M445" t="s">
        <v>82</v>
      </c>
      <c r="N445" t="s">
        <v>83</v>
      </c>
      <c r="O445" t="s">
        <v>83</v>
      </c>
      <c r="P445" t="s">
        <v>84</v>
      </c>
      <c r="Q445" t="s">
        <v>449</v>
      </c>
      <c r="R445">
        <v>3</v>
      </c>
      <c r="S445" t="s">
        <v>86</v>
      </c>
      <c r="T445" t="s">
        <v>87</v>
      </c>
      <c r="U445" t="s">
        <v>88</v>
      </c>
      <c r="V445">
        <v>1</v>
      </c>
      <c r="W445" t="s">
        <v>450</v>
      </c>
      <c r="X445" t="s">
        <v>83</v>
      </c>
      <c r="Y445" t="s">
        <v>90</v>
      </c>
      <c r="Z445">
        <v>4000</v>
      </c>
      <c r="AA445">
        <v>4000</v>
      </c>
      <c r="AC445">
        <v>256</v>
      </c>
      <c r="AD445" t="s">
        <v>91</v>
      </c>
      <c r="AE445">
        <v>0.15</v>
      </c>
      <c r="AF445" t="s">
        <v>92</v>
      </c>
      <c r="AG445">
        <v>180</v>
      </c>
      <c r="AH445">
        <v>60</v>
      </c>
      <c r="AI445">
        <v>120</v>
      </c>
      <c r="AJ445">
        <v>0.10689567405280551</v>
      </c>
      <c r="AK445">
        <v>25.189037095721329</v>
      </c>
      <c r="AL445">
        <v>0.68681445201179092</v>
      </c>
      <c r="AM445">
        <v>-0.20831150120671621</v>
      </c>
      <c r="AN445">
        <v>26.988240146808469</v>
      </c>
      <c r="AO445">
        <v>0.64567450512255675</v>
      </c>
      <c r="AP445">
        <v>26.988240146808469</v>
      </c>
      <c r="AQ445">
        <v>26.988240146808469</v>
      </c>
      <c r="AR445">
        <v>0.64567450512255675</v>
      </c>
      <c r="AS445">
        <v>103.7504242356458</v>
      </c>
      <c r="AT445">
        <v>-0.14398385812253289</v>
      </c>
      <c r="AU445">
        <v>0.8</v>
      </c>
      <c r="AV445" t="s">
        <v>93</v>
      </c>
      <c r="AW445">
        <v>8.9743394650686481E-2</v>
      </c>
      <c r="AX445">
        <v>0.34834692034787651</v>
      </c>
      <c r="AY445">
        <v>8.9743394650686481E-2</v>
      </c>
      <c r="AZ445">
        <v>8.9743394650686481E-2</v>
      </c>
      <c r="BA445">
        <v>0.34834692034787651</v>
      </c>
      <c r="BB445">
        <v>0.1092620675955648</v>
      </c>
      <c r="BC445">
        <v>0.20661611793326939</v>
      </c>
      <c r="BD445">
        <v>7.5781770889143896E-2</v>
      </c>
      <c r="BE445">
        <v>0.73743234949212699</v>
      </c>
      <c r="BF445">
        <v>7.5781770889143896E-2</v>
      </c>
      <c r="BG445">
        <v>7.5781770889143896E-2</v>
      </c>
      <c r="BH445">
        <v>0.73743234949212699</v>
      </c>
      <c r="BI445">
        <v>0.1230854650418263</v>
      </c>
      <c r="BJ445">
        <v>0.57353515247119913</v>
      </c>
      <c r="BK445">
        <v>4.8929999368661582E-2</v>
      </c>
      <c r="BL445">
        <v>0.80356152918682799</v>
      </c>
      <c r="BM445">
        <v>4.8929999368661582E-2</v>
      </c>
      <c r="BN445">
        <v>4.8929999368661582E-2</v>
      </c>
      <c r="BO445">
        <v>0.80356152918682799</v>
      </c>
      <c r="BP445">
        <v>0.54229016186549084</v>
      </c>
      <c r="BQ445">
        <v>-1.1771234724787709</v>
      </c>
      <c r="BR445">
        <v>107.7385054223251</v>
      </c>
      <c r="BS445">
        <v>0.69335722146339762</v>
      </c>
      <c r="BT445">
        <v>107.7385054223251</v>
      </c>
      <c r="BU445">
        <v>107.7385054223251</v>
      </c>
      <c r="BV445">
        <v>0.69335722146339762</v>
      </c>
      <c r="BW445">
        <v>414.22705924808059</v>
      </c>
      <c r="BX445">
        <v>-0.17896323041582421</v>
      </c>
      <c r="BY445" t="str">
        <f t="shared" si="16"/>
        <v>[[sv,wv],[yr],[ya]]</v>
      </c>
      <c r="BZ445" t="str">
        <f>SUBSTITUTE(TRIM(MID(SUBSTITUTE(SUBSTITUTE(SUBSTITUTE(Tabla1[[#This Row],[map]],"[",""),"]",""),",",REPT(" ",100)),901,200))," ",", ")</f>
        <v>2, 4</v>
      </c>
      <c r="CA445" t="str">
        <f>SUBSTITUTE(TRIM(MID(SUBSTITUTE(SUBSTITUTE(SUBSTITUTE(Tabla1[[#This Row],[map]],"[",""),"]",""),",",REPT(" ",100)),1501,200))," ",", ")</f>
        <v>3, 2</v>
      </c>
      <c r="CB445" t="str">
        <f>SUBSTITUTE(TRIM(MID(SUBSTITUTE(SUBSTITUTE(SUBSTITUTE(Tabla1[[#This Row],[map]],"[",""),"]",""),",",REPT(" ",100)),601,300))," ",", ")</f>
        <v>1, 3, 0</v>
      </c>
      <c r="CC445" t="str">
        <f>SUBSTITUTE(TRIM(MID(SUBSTITUTE(SUBSTITUTE(SUBSTITUTE(Tabla1[[#This Row],[map]],"[",""),"]",""),",",REPT(" ",100)),1201,300))," ",", ")</f>
        <v>0, 1, 4</v>
      </c>
      <c r="CD445" t="str">
        <f>SUBSTITUTE(TRIM(MID(SUBSTITUTE(SUBSTITUTE(SUBSTITUTE(Tabla1[[#This Row],[map]],"[",""),"]",""),",",REPT(" ",100)),1,300))," ",", ")</f>
        <v>4, 2, 3</v>
      </c>
      <c r="CE445" t="str">
        <f>SUBSTITUTE(TRIM(MID(SUBSTITUTE(SUBSTITUTE(SUBSTITUTE(Tabla1[[#This Row],[map]],"[",""),"]",""),",",REPT(" ",100)),1,600))," ",", ")</f>
        <v>4, 2, 3, 0, 1, -1</v>
      </c>
      <c r="CF445" t="str">
        <f>SUBSTITUTE(TRIM(MID(SUBSTITUTE(SUBSTITUTE(SUBSTITUTE(Tabla1[[#This Row],[map]],"[",""),"]",""),",",REPT(" ",100)),601,600))," ",", ")</f>
        <v>1, 3, 0, 2, 4, -1</v>
      </c>
      <c r="CG445" t="str">
        <f>SUBSTITUTE(TRIM(MID(SUBSTITUTE(SUBSTITUTE(SUBSTITUTE(Tabla1[[#This Row],[map]],"[",""),"]",""),",",REPT(" ",100)),1201,600))," ",", ")</f>
        <v>0, 1, 4, 3, 2, -1</v>
      </c>
    </row>
    <row r="446" spans="1:85" x14ac:dyDescent="0.3">
      <c r="A446" s="1">
        <v>46111.275289351863</v>
      </c>
      <c r="B446" t="s">
        <v>701</v>
      </c>
      <c r="C446">
        <v>6</v>
      </c>
      <c r="D446" t="s">
        <v>77</v>
      </c>
      <c r="E446" t="s">
        <v>78</v>
      </c>
      <c r="F446">
        <v>16590</v>
      </c>
      <c r="G446">
        <v>4.5</v>
      </c>
      <c r="H446" t="s">
        <v>79</v>
      </c>
      <c r="I446" t="s">
        <v>80</v>
      </c>
      <c r="J446">
        <v>5</v>
      </c>
      <c r="K446">
        <v>5</v>
      </c>
      <c r="L446" t="s">
        <v>81</v>
      </c>
      <c r="M446" t="s">
        <v>82</v>
      </c>
      <c r="N446" t="s">
        <v>83</v>
      </c>
      <c r="O446" t="s">
        <v>83</v>
      </c>
      <c r="P446" t="s">
        <v>84</v>
      </c>
      <c r="Q446" t="s">
        <v>477</v>
      </c>
      <c r="R446">
        <v>3</v>
      </c>
      <c r="S446" t="s">
        <v>86</v>
      </c>
      <c r="T446" t="s">
        <v>87</v>
      </c>
      <c r="U446" t="s">
        <v>88</v>
      </c>
      <c r="V446">
        <v>1</v>
      </c>
      <c r="W446" t="s">
        <v>478</v>
      </c>
      <c r="X446" t="s">
        <v>83</v>
      </c>
      <c r="Y446" t="s">
        <v>90</v>
      </c>
      <c r="Z446">
        <v>4000</v>
      </c>
      <c r="AA446">
        <v>4000</v>
      </c>
      <c r="AC446">
        <v>256</v>
      </c>
      <c r="AD446" t="s">
        <v>91</v>
      </c>
      <c r="AE446">
        <v>0.15</v>
      </c>
      <c r="AF446" t="s">
        <v>92</v>
      </c>
      <c r="AG446">
        <v>180</v>
      </c>
      <c r="AH446">
        <v>60</v>
      </c>
      <c r="AI446">
        <v>120</v>
      </c>
      <c r="AJ446">
        <v>0.120806353479533</v>
      </c>
      <c r="AK446">
        <v>9.823873200483991</v>
      </c>
      <c r="AL446">
        <v>0.72767582247225815</v>
      </c>
      <c r="AM446">
        <v>0.29327841865715087</v>
      </c>
      <c r="AN446">
        <v>15.21882324778281</v>
      </c>
      <c r="AO446">
        <v>0.69210723380288619</v>
      </c>
      <c r="AP446">
        <v>15.21882324778281</v>
      </c>
      <c r="AQ446">
        <v>15.21882324778281</v>
      </c>
      <c r="AR446">
        <v>0.69210723380288619</v>
      </c>
      <c r="AS446">
        <v>74.783947667602277</v>
      </c>
      <c r="AT446">
        <v>0.28329981253755232</v>
      </c>
      <c r="AU446">
        <v>0.8</v>
      </c>
      <c r="AV446" t="s">
        <v>93</v>
      </c>
      <c r="AW446">
        <v>8.1615847853959686E-2</v>
      </c>
      <c r="AX446">
        <v>0.40736341867311843</v>
      </c>
      <c r="AY446">
        <v>8.1615847853959686E-2</v>
      </c>
      <c r="AZ446">
        <v>8.1615847853959686E-2</v>
      </c>
      <c r="BA446">
        <v>0.40736341867311843</v>
      </c>
      <c r="BB446">
        <v>0.13978141227655469</v>
      </c>
      <c r="BC446">
        <v>-1.4993784697927341E-2</v>
      </c>
      <c r="BD446">
        <v>8.9133706562380594E-2</v>
      </c>
      <c r="BE446">
        <v>0.69117074411763135</v>
      </c>
      <c r="BF446">
        <v>8.9133706562380594E-2</v>
      </c>
      <c r="BG446">
        <v>8.9133706562380594E-2</v>
      </c>
      <c r="BH446">
        <v>0.69117074411763135</v>
      </c>
      <c r="BI446">
        <v>0.10968187278654951</v>
      </c>
      <c r="BJ446">
        <v>0.6199757368695471</v>
      </c>
      <c r="BK446">
        <v>3.9216293064683251E-2</v>
      </c>
      <c r="BL446">
        <v>0.8425589875334939</v>
      </c>
      <c r="BM446">
        <v>3.9216293064683251E-2</v>
      </c>
      <c r="BN446">
        <v>3.9216293064683251E-2</v>
      </c>
      <c r="BO446">
        <v>0.8425589875334939</v>
      </c>
      <c r="BP446">
        <v>0.15481672010192429</v>
      </c>
      <c r="BQ446">
        <v>0.37845983761424329</v>
      </c>
      <c r="BR446">
        <v>60.665327143650252</v>
      </c>
      <c r="BS446">
        <v>0.82733578488730253</v>
      </c>
      <c r="BT446">
        <v>60.665327143650252</v>
      </c>
      <c r="BU446">
        <v>60.665327143650252</v>
      </c>
      <c r="BV446">
        <v>0.82733578488730253</v>
      </c>
      <c r="BW446">
        <v>298.73151066524338</v>
      </c>
      <c r="BX446">
        <v>0.1497574603643507</v>
      </c>
      <c r="BY446" t="str">
        <f t="shared" ref="BY446:BY477" si="17">_xlfn.LET(_xlpm.TextoConfig, Q446,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446" t="str">
        <f>SUBSTITUTE(TRIM(MID(SUBSTITUTE(SUBSTITUTE(SUBSTITUTE(Tabla1[[#This Row],[map]],"[",""),"]",""),",",REPT(" ",100)),901,200))," ",", ")</f>
        <v>2, 3</v>
      </c>
      <c r="CA446" t="str">
        <f>SUBSTITUTE(TRIM(MID(SUBSTITUTE(SUBSTITUTE(SUBSTITUTE(Tabla1[[#This Row],[map]],"[",""),"]",""),",",REPT(" ",100)),1501,200))," ",", ")</f>
        <v>3, 2</v>
      </c>
      <c r="CB446" t="str">
        <f>SUBSTITUTE(TRIM(MID(SUBSTITUTE(SUBSTITUTE(SUBSTITUTE(Tabla1[[#This Row],[map]],"[",""),"]",""),",",REPT(" ",100)),601,300))," ",", ")</f>
        <v>1, 4, 0</v>
      </c>
      <c r="CC446" t="str">
        <f>SUBSTITUTE(TRIM(MID(SUBSTITUTE(SUBSTITUTE(SUBSTITUTE(Tabla1[[#This Row],[map]],"[",""),"]",""),",",REPT(" ",100)),1201,300))," ",", ")</f>
        <v>1, 4, 0</v>
      </c>
      <c r="CD446" t="str">
        <f>SUBSTITUTE(TRIM(MID(SUBSTITUTE(SUBSTITUTE(SUBSTITUTE(Tabla1[[#This Row],[map]],"[",""),"]",""),",",REPT(" ",100)),1,300))," ",", ")</f>
        <v>4, 2, 3</v>
      </c>
      <c r="CE446" t="str">
        <f>SUBSTITUTE(TRIM(MID(SUBSTITUTE(SUBSTITUTE(SUBSTITUTE(Tabla1[[#This Row],[map]],"[",""),"]",""),",",REPT(" ",100)),1,600))," ",", ")</f>
        <v>4, 2, 3, 0, 1, -1</v>
      </c>
      <c r="CF446" t="str">
        <f>SUBSTITUTE(TRIM(MID(SUBSTITUTE(SUBSTITUTE(SUBSTITUTE(Tabla1[[#This Row],[map]],"[",""),"]",""),",",REPT(" ",100)),601,600))," ",", ")</f>
        <v>1, 4, 0, 2, 3, -1</v>
      </c>
      <c r="CG446" t="str">
        <f>SUBSTITUTE(TRIM(MID(SUBSTITUTE(SUBSTITUTE(SUBSTITUTE(Tabla1[[#This Row],[map]],"[",""),"]",""),",",REPT(" ",100)),1201,600))," ",", ")</f>
        <v>1, 4, 0, 3, 2, -1</v>
      </c>
    </row>
    <row r="447" spans="1:85" x14ac:dyDescent="0.3">
      <c r="A447" s="1">
        <v>46111.294641203713</v>
      </c>
      <c r="B447" t="s">
        <v>702</v>
      </c>
      <c r="C447">
        <v>9</v>
      </c>
      <c r="D447" t="s">
        <v>77</v>
      </c>
      <c r="E447" t="s">
        <v>78</v>
      </c>
      <c r="F447">
        <v>16590</v>
      </c>
      <c r="G447">
        <v>4.5</v>
      </c>
      <c r="H447" t="s">
        <v>79</v>
      </c>
      <c r="I447" t="s">
        <v>80</v>
      </c>
      <c r="J447">
        <v>5</v>
      </c>
      <c r="K447">
        <v>5</v>
      </c>
      <c r="L447" t="s">
        <v>81</v>
      </c>
      <c r="M447" t="s">
        <v>82</v>
      </c>
      <c r="N447" t="s">
        <v>83</v>
      </c>
      <c r="O447" t="s">
        <v>83</v>
      </c>
      <c r="P447" t="s">
        <v>84</v>
      </c>
      <c r="Q447" t="s">
        <v>449</v>
      </c>
      <c r="R447">
        <v>3</v>
      </c>
      <c r="S447" t="s">
        <v>86</v>
      </c>
      <c r="T447" t="s">
        <v>87</v>
      </c>
      <c r="U447" t="s">
        <v>88</v>
      </c>
      <c r="V447">
        <v>1</v>
      </c>
      <c r="W447" t="s">
        <v>450</v>
      </c>
      <c r="X447" t="s">
        <v>83</v>
      </c>
      <c r="Y447" t="s">
        <v>90</v>
      </c>
      <c r="Z447">
        <v>4000</v>
      </c>
      <c r="AA447">
        <v>4000</v>
      </c>
      <c r="AC447">
        <v>256</v>
      </c>
      <c r="AD447" t="s">
        <v>91</v>
      </c>
      <c r="AE447">
        <v>0.15</v>
      </c>
      <c r="AF447" t="s">
        <v>92</v>
      </c>
      <c r="AG447">
        <v>180</v>
      </c>
      <c r="AH447">
        <v>60</v>
      </c>
      <c r="AI447">
        <v>120</v>
      </c>
      <c r="AJ447">
        <v>0.1089211558025821</v>
      </c>
      <c r="AK447">
        <v>13.66990369574363</v>
      </c>
      <c r="AL447">
        <v>0.74177614609202758</v>
      </c>
      <c r="AM447">
        <v>0.20948632103938011</v>
      </c>
      <c r="AN447">
        <v>21.130800123329369</v>
      </c>
      <c r="AO447">
        <v>0.68180999480067705</v>
      </c>
      <c r="AP447">
        <v>21.130800123329369</v>
      </c>
      <c r="AQ447">
        <v>21.130800123329369</v>
      </c>
      <c r="AR447">
        <v>0.68180999480067705</v>
      </c>
      <c r="AS447">
        <v>91.044346535205236</v>
      </c>
      <c r="AT447">
        <v>0.2447002534521292</v>
      </c>
      <c r="AU447">
        <v>0.8</v>
      </c>
      <c r="AV447" t="s">
        <v>93</v>
      </c>
      <c r="AW447">
        <v>7.7243550611791265E-2</v>
      </c>
      <c r="AX447">
        <v>0.43911194985030122</v>
      </c>
      <c r="AY447">
        <v>7.7243550611791265E-2</v>
      </c>
      <c r="AZ447">
        <v>7.7243550611791265E-2</v>
      </c>
      <c r="BA447">
        <v>0.43911194985030122</v>
      </c>
      <c r="BB447">
        <v>7.3945100479422973E-2</v>
      </c>
      <c r="BC447">
        <v>0.46306296257054841</v>
      </c>
      <c r="BD447">
        <v>8.1371785772674107E-2</v>
      </c>
      <c r="BE447">
        <v>0.71806414184731415</v>
      </c>
      <c r="BF447">
        <v>8.1371785772674107E-2</v>
      </c>
      <c r="BG447">
        <v>8.1371785772674107E-2</v>
      </c>
      <c r="BH447">
        <v>0.71806414184731415</v>
      </c>
      <c r="BI447">
        <v>0.127682977155055</v>
      </c>
      <c r="BJ447">
        <v>0.55760575494474363</v>
      </c>
      <c r="BK447">
        <v>4.7314885098810419E-2</v>
      </c>
      <c r="BL447">
        <v>0.81004570211656024</v>
      </c>
      <c r="BM447">
        <v>4.7314885098810419E-2</v>
      </c>
      <c r="BN447">
        <v>4.7314885098810419E-2</v>
      </c>
      <c r="BO447">
        <v>0.81004570211656024</v>
      </c>
      <c r="BP447">
        <v>0.25074009834004418</v>
      </c>
      <c r="BQ447">
        <v>-6.6421852645521806E-3</v>
      </c>
      <c r="BR447">
        <v>84.317270271833991</v>
      </c>
      <c r="BS447">
        <v>0.76001818538853416</v>
      </c>
      <c r="BT447">
        <v>84.317270271833991</v>
      </c>
      <c r="BU447">
        <v>84.317270271833991</v>
      </c>
      <c r="BV447">
        <v>0.76001818538853416</v>
      </c>
      <c r="BW447">
        <v>363.72501796484607</v>
      </c>
      <c r="BX447">
        <v>-3.5225518442215893E-2</v>
      </c>
      <c r="BY447" t="str">
        <f t="shared" si="17"/>
        <v>[[sv,wv],[yr],[ya]]</v>
      </c>
      <c r="BZ447" t="str">
        <f>SUBSTITUTE(TRIM(MID(SUBSTITUTE(SUBSTITUTE(SUBSTITUTE(Tabla1[[#This Row],[map]],"[",""),"]",""),",",REPT(" ",100)),901,200))," ",", ")</f>
        <v>2, 4</v>
      </c>
      <c r="CA447" t="str">
        <f>SUBSTITUTE(TRIM(MID(SUBSTITUTE(SUBSTITUTE(SUBSTITUTE(Tabla1[[#This Row],[map]],"[",""),"]",""),",",REPT(" ",100)),1501,200))," ",", ")</f>
        <v>3, 2</v>
      </c>
      <c r="CB447" t="str">
        <f>SUBSTITUTE(TRIM(MID(SUBSTITUTE(SUBSTITUTE(SUBSTITUTE(Tabla1[[#This Row],[map]],"[",""),"]",""),",",REPT(" ",100)),601,300))," ",", ")</f>
        <v>1, 3, 0</v>
      </c>
      <c r="CC447" t="str">
        <f>SUBSTITUTE(TRIM(MID(SUBSTITUTE(SUBSTITUTE(SUBSTITUTE(Tabla1[[#This Row],[map]],"[",""),"]",""),",",REPT(" ",100)),1201,300))," ",", ")</f>
        <v>0, 1, 4</v>
      </c>
      <c r="CD447" t="str">
        <f>SUBSTITUTE(TRIM(MID(SUBSTITUTE(SUBSTITUTE(SUBSTITUTE(Tabla1[[#This Row],[map]],"[",""),"]",""),",",REPT(" ",100)),1,300))," ",", ")</f>
        <v>4, 2, 3</v>
      </c>
      <c r="CE447" t="str">
        <f>SUBSTITUTE(TRIM(MID(SUBSTITUTE(SUBSTITUTE(SUBSTITUTE(Tabla1[[#This Row],[map]],"[",""),"]",""),",",REPT(" ",100)),1,600))," ",", ")</f>
        <v>4, 2, 3, 0, 1, -1</v>
      </c>
      <c r="CF447" t="str">
        <f>SUBSTITUTE(TRIM(MID(SUBSTITUTE(SUBSTITUTE(SUBSTITUTE(Tabla1[[#This Row],[map]],"[",""),"]",""),",",REPT(" ",100)),601,600))," ",", ")</f>
        <v>1, 3, 0, 2, 4, -1</v>
      </c>
      <c r="CG447" t="str">
        <f>SUBSTITUTE(TRIM(MID(SUBSTITUTE(SUBSTITUTE(SUBSTITUTE(Tabla1[[#This Row],[map]],"[",""),"]",""),",",REPT(" ",100)),1201,600))," ",", ")</f>
        <v>0, 1, 4, 3, 2, -1</v>
      </c>
    </row>
    <row r="448" spans="1:85" x14ac:dyDescent="0.3">
      <c r="A448" s="1">
        <v>46111.332627314812</v>
      </c>
      <c r="B448" t="s">
        <v>703</v>
      </c>
      <c r="C448">
        <v>5</v>
      </c>
      <c r="D448" t="s">
        <v>96</v>
      </c>
      <c r="E448" t="s">
        <v>78</v>
      </c>
      <c r="F448">
        <v>16590</v>
      </c>
      <c r="G448">
        <v>4.5</v>
      </c>
      <c r="H448" t="s">
        <v>79</v>
      </c>
      <c r="I448" t="s">
        <v>80</v>
      </c>
      <c r="J448">
        <v>5</v>
      </c>
      <c r="K448">
        <v>5</v>
      </c>
      <c r="L448" t="s">
        <v>81</v>
      </c>
      <c r="M448" t="s">
        <v>82</v>
      </c>
      <c r="N448" t="s">
        <v>83</v>
      </c>
      <c r="O448" t="s">
        <v>83</v>
      </c>
      <c r="P448" t="s">
        <v>84</v>
      </c>
      <c r="Q448" t="s">
        <v>287</v>
      </c>
      <c r="R448">
        <v>3</v>
      </c>
      <c r="S448" t="s">
        <v>86</v>
      </c>
      <c r="T448" t="s">
        <v>87</v>
      </c>
      <c r="U448" t="s">
        <v>88</v>
      </c>
      <c r="V448">
        <v>1</v>
      </c>
      <c r="W448" t="s">
        <v>288</v>
      </c>
      <c r="X448" t="s">
        <v>83</v>
      </c>
      <c r="Y448" t="s">
        <v>90</v>
      </c>
      <c r="Z448">
        <v>4000</v>
      </c>
      <c r="AA448">
        <v>4000</v>
      </c>
      <c r="AC448">
        <v>256</v>
      </c>
      <c r="AD448" t="s">
        <v>91</v>
      </c>
      <c r="AE448">
        <v>0.15</v>
      </c>
      <c r="AF448" t="s">
        <v>92</v>
      </c>
      <c r="AG448">
        <v>180</v>
      </c>
      <c r="AH448">
        <v>60</v>
      </c>
      <c r="AI448">
        <v>120</v>
      </c>
      <c r="AJ448">
        <v>0.15551458838488411</v>
      </c>
      <c r="AK448">
        <v>43.432290956588027</v>
      </c>
      <c r="AL448">
        <v>0.56986812651353902</v>
      </c>
      <c r="AM448">
        <v>-3.6532923667877998E-2</v>
      </c>
      <c r="AN448">
        <v>47.237929589596718</v>
      </c>
      <c r="AO448">
        <v>0.5174425122859907</v>
      </c>
      <c r="AP448">
        <v>47.237929589596718</v>
      </c>
      <c r="AQ448">
        <v>47.237929589596718</v>
      </c>
      <c r="AR448">
        <v>0.5174425122859907</v>
      </c>
      <c r="AS448">
        <v>94.427072562423504</v>
      </c>
      <c r="AT448">
        <v>-4.7023579616607414E-3</v>
      </c>
      <c r="AU448">
        <v>0.8</v>
      </c>
      <c r="AV448" t="s">
        <v>93</v>
      </c>
      <c r="AW448">
        <v>7.8146827201464875E-2</v>
      </c>
      <c r="AX448">
        <v>0.43255299391009411</v>
      </c>
      <c r="AY448">
        <v>7.8146827201464875E-2</v>
      </c>
      <c r="AZ448">
        <v>7.8146827201464875E-2</v>
      </c>
      <c r="BA448">
        <v>0.43255299391009411</v>
      </c>
      <c r="BB448">
        <v>0.21012146307882451</v>
      </c>
      <c r="BC448">
        <v>-0.52575350029149526</v>
      </c>
      <c r="BD448">
        <v>0.10882409074426939</v>
      </c>
      <c r="BE448">
        <v>0.62294776843923394</v>
      </c>
      <c r="BF448">
        <v>0.10882409074426939</v>
      </c>
      <c r="BG448">
        <v>0.10882409074426939</v>
      </c>
      <c r="BH448">
        <v>0.62294776843923394</v>
      </c>
      <c r="BI448">
        <v>8.9259038915157712E-2</v>
      </c>
      <c r="BJ448">
        <v>0.69073649428399453</v>
      </c>
      <c r="BK448">
        <v>0.1117874201459909</v>
      </c>
      <c r="BL448">
        <v>0.55120886668777591</v>
      </c>
      <c r="BM448">
        <v>0.1117874201459909</v>
      </c>
      <c r="BN448">
        <v>0.1117874201459909</v>
      </c>
      <c r="BO448">
        <v>0.55120886668777591</v>
      </c>
      <c r="BP448">
        <v>0.27658651008610452</v>
      </c>
      <c r="BQ448">
        <v>-0.1104073531557159</v>
      </c>
      <c r="BR448">
        <v>188.65296002029501</v>
      </c>
      <c r="BS448">
        <v>0.46306042010686232</v>
      </c>
      <c r="BT448">
        <v>188.65296002029501</v>
      </c>
      <c r="BU448">
        <v>188.65296002029501</v>
      </c>
      <c r="BV448">
        <v>0.46306042010686232</v>
      </c>
      <c r="BW448">
        <v>377.13232323761252</v>
      </c>
      <c r="BX448">
        <v>-7.3385072683420427E-2</v>
      </c>
      <c r="BY448" t="str">
        <f t="shared" si="17"/>
        <v>[[sv,wv],[yr],[ya]]</v>
      </c>
      <c r="BZ448" t="str">
        <f>SUBSTITUTE(TRIM(MID(SUBSTITUTE(SUBSTITUTE(SUBSTITUTE(Tabla1[[#This Row],[map]],"[",""),"]",""),",",REPT(" ",100)),901,200))," ",", ")</f>
        <v>2, 4</v>
      </c>
      <c r="CA448" t="str">
        <f>SUBSTITUTE(TRIM(MID(SUBSTITUTE(SUBSTITUTE(SUBSTITUTE(Tabla1[[#This Row],[map]],"[",""),"]",""),",",REPT(" ",100)),1501,200))," ",", ")</f>
        <v>3, 2</v>
      </c>
      <c r="CB448" t="str">
        <f>SUBSTITUTE(TRIM(MID(SUBSTITUTE(SUBSTITUTE(SUBSTITUTE(Tabla1[[#This Row],[map]],"[",""),"]",""),",",REPT(" ",100)),601,300))," ",", ")</f>
        <v>3, 0, 1</v>
      </c>
      <c r="CC448" t="str">
        <f>SUBSTITUTE(TRIM(MID(SUBSTITUTE(SUBSTITUTE(SUBSTITUTE(Tabla1[[#This Row],[map]],"[",""),"]",""),",",REPT(" ",100)),1201,300))," ",", ")</f>
        <v>4, 0, 1</v>
      </c>
      <c r="CD448" t="str">
        <f>SUBSTITUTE(TRIM(MID(SUBSTITUTE(SUBSTITUTE(SUBSTITUTE(Tabla1[[#This Row],[map]],"[",""),"]",""),",",REPT(" ",100)),1,300))," ",", ")</f>
        <v>4, 2, 3</v>
      </c>
      <c r="CE448" t="str">
        <f>SUBSTITUTE(TRIM(MID(SUBSTITUTE(SUBSTITUTE(SUBSTITUTE(Tabla1[[#This Row],[map]],"[",""),"]",""),",",REPT(" ",100)),1,600))," ",", ")</f>
        <v>4, 2, 3, 0, 1, -1</v>
      </c>
      <c r="CF448" t="str">
        <f>SUBSTITUTE(TRIM(MID(SUBSTITUTE(SUBSTITUTE(SUBSTITUTE(Tabla1[[#This Row],[map]],"[",""),"]",""),",",REPT(" ",100)),601,600))," ",", ")</f>
        <v>3, 0, 1, 2, 4, -1</v>
      </c>
      <c r="CG448" t="str">
        <f>SUBSTITUTE(TRIM(MID(SUBSTITUTE(SUBSTITUTE(SUBSTITUTE(Tabla1[[#This Row],[map]],"[",""),"]",""),",",REPT(" ",100)),1201,600))," ",", ")</f>
        <v>4, 0, 1, 3, 2, -1</v>
      </c>
    </row>
    <row r="449" spans="1:85" x14ac:dyDescent="0.3">
      <c r="A449" s="1">
        <v>46111.373425925929</v>
      </c>
      <c r="B449" t="s">
        <v>704</v>
      </c>
      <c r="C449">
        <v>7</v>
      </c>
      <c r="D449" t="s">
        <v>96</v>
      </c>
      <c r="E449" t="s">
        <v>78</v>
      </c>
      <c r="F449">
        <v>16590</v>
      </c>
      <c r="G449">
        <v>4.5</v>
      </c>
      <c r="H449" t="s">
        <v>79</v>
      </c>
      <c r="I449" t="s">
        <v>80</v>
      </c>
      <c r="J449">
        <v>5</v>
      </c>
      <c r="K449">
        <v>5</v>
      </c>
      <c r="L449" t="s">
        <v>81</v>
      </c>
      <c r="M449" t="s">
        <v>82</v>
      </c>
      <c r="N449" t="s">
        <v>83</v>
      </c>
      <c r="O449" t="s">
        <v>83</v>
      </c>
      <c r="P449" t="s">
        <v>84</v>
      </c>
      <c r="Q449" t="s">
        <v>219</v>
      </c>
      <c r="R449">
        <v>3</v>
      </c>
      <c r="S449" t="s">
        <v>86</v>
      </c>
      <c r="T449" t="s">
        <v>87</v>
      </c>
      <c r="U449" t="s">
        <v>88</v>
      </c>
      <c r="V449">
        <v>1</v>
      </c>
      <c r="W449" t="s">
        <v>220</v>
      </c>
      <c r="X449" t="s">
        <v>83</v>
      </c>
      <c r="Y449" t="s">
        <v>90</v>
      </c>
      <c r="Z449">
        <v>4000</v>
      </c>
      <c r="AA449">
        <v>4000</v>
      </c>
      <c r="AC449">
        <v>256</v>
      </c>
      <c r="AD449" t="s">
        <v>91</v>
      </c>
      <c r="AE449">
        <v>0.15</v>
      </c>
      <c r="AF449" t="s">
        <v>92</v>
      </c>
      <c r="AG449">
        <v>180</v>
      </c>
      <c r="AH449">
        <v>60</v>
      </c>
      <c r="AI449">
        <v>120</v>
      </c>
      <c r="AJ449">
        <v>0.1181791366240173</v>
      </c>
      <c r="AK449">
        <v>14.305974982726299</v>
      </c>
      <c r="AL449">
        <v>0.70311994960794655</v>
      </c>
      <c r="AM449">
        <v>0.2196222620404398</v>
      </c>
      <c r="AN449">
        <v>19.408064707548501</v>
      </c>
      <c r="AO449">
        <v>0.65072978194516884</v>
      </c>
      <c r="AP449">
        <v>19.408064707548501</v>
      </c>
      <c r="AQ449">
        <v>19.408064707548501</v>
      </c>
      <c r="AR449">
        <v>0.65072978194516884</v>
      </c>
      <c r="AS449">
        <v>71.664213930837207</v>
      </c>
      <c r="AT449">
        <v>0.2118713004622792</v>
      </c>
      <c r="AU449">
        <v>0.8</v>
      </c>
      <c r="AV449" t="s">
        <v>93</v>
      </c>
      <c r="AW449">
        <v>8.186420916503491E-2</v>
      </c>
      <c r="AX449">
        <v>0.40555999443383528</v>
      </c>
      <c r="AY449">
        <v>8.186420916503491E-2</v>
      </c>
      <c r="AZ449">
        <v>8.186420916503491E-2</v>
      </c>
      <c r="BA449">
        <v>0.40555999443383528</v>
      </c>
      <c r="BB449">
        <v>0.10645679451061781</v>
      </c>
      <c r="BC449">
        <v>0.2269860276317652</v>
      </c>
      <c r="BD449">
        <v>8.8475574415304306E-2</v>
      </c>
      <c r="BE449">
        <v>0.69345103144206321</v>
      </c>
      <c r="BF449">
        <v>8.8475574415304306E-2</v>
      </c>
      <c r="BG449">
        <v>8.8475574415304306E-2</v>
      </c>
      <c r="BH449">
        <v>0.69345103144206321</v>
      </c>
      <c r="BI449">
        <v>0.17567684447600679</v>
      </c>
      <c r="BJ449">
        <v>0.39131725530433542</v>
      </c>
      <c r="BK449">
        <v>6.870208976081231E-2</v>
      </c>
      <c r="BL449">
        <v>0.72418284021219648</v>
      </c>
      <c r="BM449">
        <v>6.870208976081231E-2</v>
      </c>
      <c r="BN449">
        <v>6.870208976081231E-2</v>
      </c>
      <c r="BO449">
        <v>0.72418284021219648</v>
      </c>
      <c r="BP449">
        <v>0.23823126804253419</v>
      </c>
      <c r="BQ449">
        <v>4.3576811813099907E-2</v>
      </c>
      <c r="BR449">
        <v>77.393216956852953</v>
      </c>
      <c r="BS449">
        <v>0.77972526169257761</v>
      </c>
      <c r="BT449">
        <v>77.393216956852953</v>
      </c>
      <c r="BU449">
        <v>77.393216956852953</v>
      </c>
      <c r="BV449">
        <v>0.77972526169257761</v>
      </c>
      <c r="BW449">
        <v>286.1364908163207</v>
      </c>
      <c r="BX449">
        <v>0.18560510709991621</v>
      </c>
      <c r="BY449" t="str">
        <f t="shared" si="17"/>
        <v>[[sv,wv],[yr],[ya]]</v>
      </c>
      <c r="BZ449" t="str">
        <f>SUBSTITUTE(TRIM(MID(SUBSTITUTE(SUBSTITUTE(SUBSTITUTE(Tabla1[[#This Row],[map]],"[",""),"]",""),",",REPT(" ",100)),901,200))," ",", ")</f>
        <v>2, 3</v>
      </c>
      <c r="CA449" t="str">
        <f>SUBSTITUTE(TRIM(MID(SUBSTITUTE(SUBSTITUTE(SUBSTITUTE(Tabla1[[#This Row],[map]],"[",""),"]",""),",",REPT(" ",100)),1501,200))," ",", ")</f>
        <v>3, 4</v>
      </c>
      <c r="CB449" t="str">
        <f>SUBSTITUTE(TRIM(MID(SUBSTITUTE(SUBSTITUTE(SUBSTITUTE(Tabla1[[#This Row],[map]],"[",""),"]",""),",",REPT(" ",100)),601,300))," ",", ")</f>
        <v>0, 1, 4</v>
      </c>
      <c r="CC449" t="str">
        <f>SUBSTITUTE(TRIM(MID(SUBSTITUTE(SUBSTITUTE(SUBSTITUTE(Tabla1[[#This Row],[map]],"[",""),"]",""),",",REPT(" ",100)),1201,300))," ",", ")</f>
        <v>0, 1, 2</v>
      </c>
      <c r="CD449" t="str">
        <f>SUBSTITUTE(TRIM(MID(SUBSTITUTE(SUBSTITUTE(SUBSTITUTE(Tabla1[[#This Row],[map]],"[",""),"]",""),",",REPT(" ",100)),1,300))," ",", ")</f>
        <v>4, 2, 3</v>
      </c>
      <c r="CE449" t="str">
        <f>SUBSTITUTE(TRIM(MID(SUBSTITUTE(SUBSTITUTE(SUBSTITUTE(Tabla1[[#This Row],[map]],"[",""),"]",""),",",REPT(" ",100)),1,600))," ",", ")</f>
        <v>4, 2, 3, 0, 1, -1</v>
      </c>
      <c r="CF449" t="str">
        <f>SUBSTITUTE(TRIM(MID(SUBSTITUTE(SUBSTITUTE(SUBSTITUTE(Tabla1[[#This Row],[map]],"[",""),"]",""),",",REPT(" ",100)),601,600))," ",", ")</f>
        <v>0, 1, 4, 2, 3, -1</v>
      </c>
      <c r="CG449" t="str">
        <f>SUBSTITUTE(TRIM(MID(SUBSTITUTE(SUBSTITUTE(SUBSTITUTE(Tabla1[[#This Row],[map]],"[",""),"]",""),",",REPT(" ",100)),1201,600))," ",", ")</f>
        <v>0, 1, 2, 3, 4, -1</v>
      </c>
    </row>
    <row r="450" spans="1:85" x14ac:dyDescent="0.3">
      <c r="A450" s="1">
        <v>46111.397939814808</v>
      </c>
      <c r="B450" t="s">
        <v>705</v>
      </c>
      <c r="C450">
        <v>8</v>
      </c>
      <c r="D450" t="s">
        <v>77</v>
      </c>
      <c r="E450" t="s">
        <v>78</v>
      </c>
      <c r="F450">
        <v>16590</v>
      </c>
      <c r="G450">
        <v>4.5</v>
      </c>
      <c r="H450" t="s">
        <v>79</v>
      </c>
      <c r="I450" t="s">
        <v>80</v>
      </c>
      <c r="J450">
        <v>5</v>
      </c>
      <c r="K450">
        <v>5</v>
      </c>
      <c r="L450" t="s">
        <v>81</v>
      </c>
      <c r="M450" t="s">
        <v>82</v>
      </c>
      <c r="N450" t="s">
        <v>83</v>
      </c>
      <c r="O450" t="s">
        <v>83</v>
      </c>
      <c r="P450" t="s">
        <v>84</v>
      </c>
      <c r="Q450" t="s">
        <v>147</v>
      </c>
      <c r="R450">
        <v>3</v>
      </c>
      <c r="S450" t="s">
        <v>86</v>
      </c>
      <c r="T450" t="s">
        <v>87</v>
      </c>
      <c r="U450" t="s">
        <v>88</v>
      </c>
      <c r="V450">
        <v>1</v>
      </c>
      <c r="W450" t="s">
        <v>148</v>
      </c>
      <c r="X450" t="s">
        <v>83</v>
      </c>
      <c r="Y450" t="s">
        <v>90</v>
      </c>
      <c r="Z450">
        <v>4000</v>
      </c>
      <c r="AA450">
        <v>4000</v>
      </c>
      <c r="AC450">
        <v>256</v>
      </c>
      <c r="AD450" t="s">
        <v>91</v>
      </c>
      <c r="AE450">
        <v>0.15</v>
      </c>
      <c r="AF450" t="s">
        <v>92</v>
      </c>
      <c r="AG450">
        <v>180</v>
      </c>
      <c r="AH450">
        <v>60</v>
      </c>
      <c r="AI450">
        <v>120</v>
      </c>
      <c r="AJ450">
        <v>9.2819290641105792E-2</v>
      </c>
      <c r="AK450">
        <v>12.94116715151134</v>
      </c>
      <c r="AL450">
        <v>0.75562112274312321</v>
      </c>
      <c r="AM450">
        <v>0.39534011617781739</v>
      </c>
      <c r="AN450">
        <v>17.735595806720291</v>
      </c>
      <c r="AO450">
        <v>0.67550689392264451</v>
      </c>
      <c r="AP450">
        <v>17.735595806720291</v>
      </c>
      <c r="AQ450">
        <v>17.735595806720291</v>
      </c>
      <c r="AR450">
        <v>0.67550689392264451</v>
      </c>
      <c r="AS450">
        <v>67.763225282901146</v>
      </c>
      <c r="AT450">
        <v>0.39674399420278922</v>
      </c>
      <c r="AU450">
        <v>0.8</v>
      </c>
      <c r="AV450" t="s">
        <v>93</v>
      </c>
      <c r="AW450">
        <v>9.0961328304186129E-2</v>
      </c>
      <c r="AX450">
        <v>0.33950314728575581</v>
      </c>
      <c r="AY450">
        <v>9.0961328304186129E-2</v>
      </c>
      <c r="AZ450">
        <v>9.0961328304186129E-2</v>
      </c>
      <c r="BA450">
        <v>0.33950314728575581</v>
      </c>
      <c r="BB450">
        <v>0.13279641876054751</v>
      </c>
      <c r="BC450">
        <v>3.5726299535273072E-2</v>
      </c>
      <c r="BD450">
        <v>7.1951461187395732E-2</v>
      </c>
      <c r="BE450">
        <v>0.75070355452343618</v>
      </c>
      <c r="BF450">
        <v>7.1951461187395732E-2</v>
      </c>
      <c r="BG450">
        <v>7.1951461187395732E-2</v>
      </c>
      <c r="BH450">
        <v>0.75070355452343618</v>
      </c>
      <c r="BI450">
        <v>0.12138922174918319</v>
      </c>
      <c r="BJ450">
        <v>0.57941227319315391</v>
      </c>
      <c r="BK450">
        <v>4.6544326697936941E-2</v>
      </c>
      <c r="BL450">
        <v>0.81313925036697732</v>
      </c>
      <c r="BM450">
        <v>4.6544326697936941E-2</v>
      </c>
      <c r="BN450">
        <v>4.6544326697936941E-2</v>
      </c>
      <c r="BO450">
        <v>0.81313925036697732</v>
      </c>
      <c r="BP450">
        <v>6.4165538591841362E-2</v>
      </c>
      <c r="BQ450">
        <v>0.74239565823583864</v>
      </c>
      <c r="BR450">
        <v>70.732926110691935</v>
      </c>
      <c r="BS450">
        <v>0.79868162351440697</v>
      </c>
      <c r="BT450">
        <v>70.732926110691935</v>
      </c>
      <c r="BU450">
        <v>70.732926110691935</v>
      </c>
      <c r="BV450">
        <v>0.79868162351440697</v>
      </c>
      <c r="BW450">
        <v>270.73454995250279</v>
      </c>
      <c r="BX450">
        <v>0.22944174584689189</v>
      </c>
      <c r="BY450" t="str">
        <f t="shared" si="17"/>
        <v>[[sv,wv],[yr],[ya]]</v>
      </c>
      <c r="BZ450" t="str">
        <f>SUBSTITUTE(TRIM(MID(SUBSTITUTE(SUBSTITUTE(SUBSTITUTE(Tabla1[[#This Row],[map]],"[",""),"]",""),",",REPT(" ",100)),901,200))," ",", ")</f>
        <v>2, 3</v>
      </c>
      <c r="CA450" t="str">
        <f>SUBSTITUTE(TRIM(MID(SUBSTITUTE(SUBSTITUTE(SUBSTITUTE(Tabla1[[#This Row],[map]],"[",""),"]",""),",",REPT(" ",100)),1501,200))," ",", ")</f>
        <v>3, 4</v>
      </c>
      <c r="CB450" t="str">
        <f>SUBSTITUTE(TRIM(MID(SUBSTITUTE(SUBSTITUTE(SUBSTITUTE(Tabla1[[#This Row],[map]],"[",""),"]",""),",",REPT(" ",100)),601,300))," ",", ")</f>
        <v>4, 0, 1</v>
      </c>
      <c r="CC450" t="str">
        <f>SUBSTITUTE(TRIM(MID(SUBSTITUTE(SUBSTITUTE(SUBSTITUTE(Tabla1[[#This Row],[map]],"[",""),"]",""),",",REPT(" ",100)),1201,300))," ",", ")</f>
        <v>2, 0, 1</v>
      </c>
      <c r="CD450" t="str">
        <f>SUBSTITUTE(TRIM(MID(SUBSTITUTE(SUBSTITUTE(SUBSTITUTE(Tabla1[[#This Row],[map]],"[",""),"]",""),",",REPT(" ",100)),1,300))," ",", ")</f>
        <v>2, 3, 4</v>
      </c>
      <c r="CE450" t="str">
        <f>SUBSTITUTE(TRIM(MID(SUBSTITUTE(SUBSTITUTE(SUBSTITUTE(Tabla1[[#This Row],[map]],"[",""),"]",""),",",REPT(" ",100)),1,600))," ",", ")</f>
        <v>2, 3, 4, 0, 1, -1</v>
      </c>
      <c r="CF450" t="str">
        <f>SUBSTITUTE(TRIM(MID(SUBSTITUTE(SUBSTITUTE(SUBSTITUTE(Tabla1[[#This Row],[map]],"[",""),"]",""),",",REPT(" ",100)),601,600))," ",", ")</f>
        <v>4, 0, 1, 2, 3, -1</v>
      </c>
      <c r="CG450" t="str">
        <f>SUBSTITUTE(TRIM(MID(SUBSTITUTE(SUBSTITUTE(SUBSTITUTE(Tabla1[[#This Row],[map]],"[",""),"]",""),",",REPT(" ",100)),1201,600))," ",", ")</f>
        <v>2, 0, 1, 3, 4, -1</v>
      </c>
    </row>
    <row r="451" spans="1:85" x14ac:dyDescent="0.3">
      <c r="A451" s="1">
        <v>46111.401493055557</v>
      </c>
      <c r="B451" t="s">
        <v>706</v>
      </c>
      <c r="C451">
        <v>7</v>
      </c>
      <c r="D451" t="s">
        <v>77</v>
      </c>
      <c r="E451" t="s">
        <v>78</v>
      </c>
      <c r="F451">
        <v>16590</v>
      </c>
      <c r="G451">
        <v>4.5</v>
      </c>
      <c r="H451" t="s">
        <v>79</v>
      </c>
      <c r="I451" t="s">
        <v>80</v>
      </c>
      <c r="J451">
        <v>5</v>
      </c>
      <c r="K451">
        <v>5</v>
      </c>
      <c r="L451" t="s">
        <v>81</v>
      </c>
      <c r="M451" t="s">
        <v>82</v>
      </c>
      <c r="N451" t="s">
        <v>83</v>
      </c>
      <c r="O451" t="s">
        <v>83</v>
      </c>
      <c r="P451" t="s">
        <v>84</v>
      </c>
      <c r="Q451" t="s">
        <v>147</v>
      </c>
      <c r="R451">
        <v>3</v>
      </c>
      <c r="S451" t="s">
        <v>86</v>
      </c>
      <c r="T451" t="s">
        <v>87</v>
      </c>
      <c r="U451" t="s">
        <v>88</v>
      </c>
      <c r="V451">
        <v>1</v>
      </c>
      <c r="W451" t="s">
        <v>148</v>
      </c>
      <c r="X451" t="s">
        <v>83</v>
      </c>
      <c r="Y451" t="s">
        <v>90</v>
      </c>
      <c r="Z451">
        <v>4000</v>
      </c>
      <c r="AA451">
        <v>4000</v>
      </c>
      <c r="AC451">
        <v>256</v>
      </c>
      <c r="AD451" t="s">
        <v>91</v>
      </c>
      <c r="AE451">
        <v>0.15</v>
      </c>
      <c r="AF451" t="s">
        <v>92</v>
      </c>
      <c r="AG451">
        <v>180</v>
      </c>
      <c r="AH451">
        <v>60</v>
      </c>
      <c r="AI451">
        <v>120</v>
      </c>
      <c r="AJ451">
        <v>8.9322910640304273E-2</v>
      </c>
      <c r="AK451">
        <v>13.708702616309679</v>
      </c>
      <c r="AL451">
        <v>0.8026521959763806</v>
      </c>
      <c r="AM451">
        <v>0.12805542301919551</v>
      </c>
      <c r="AN451">
        <v>16.64232750021397</v>
      </c>
      <c r="AO451">
        <v>0.76470781703261559</v>
      </c>
      <c r="AP451">
        <v>16.64232750021397</v>
      </c>
      <c r="AQ451">
        <v>16.64232750021397</v>
      </c>
      <c r="AR451">
        <v>0.76470781703261559</v>
      </c>
      <c r="AS451">
        <v>87.658313471392233</v>
      </c>
      <c r="AT451">
        <v>0.16515711538721289</v>
      </c>
      <c r="AU451">
        <v>0.8</v>
      </c>
      <c r="AV451" t="s">
        <v>93</v>
      </c>
      <c r="AW451">
        <v>6.3532950791103437E-2</v>
      </c>
      <c r="AX451">
        <v>0.53866863178556312</v>
      </c>
      <c r="AY451">
        <v>6.3532950791103437E-2</v>
      </c>
      <c r="AZ451">
        <v>6.3532950791103437E-2</v>
      </c>
      <c r="BA451">
        <v>0.53866863178556312</v>
      </c>
      <c r="BB451">
        <v>0.1586934942995637</v>
      </c>
      <c r="BC451">
        <v>-0.15231995272285309</v>
      </c>
      <c r="BD451">
        <v>2.990386879536373E-2</v>
      </c>
      <c r="BE451">
        <v>0.89638948155249354</v>
      </c>
      <c r="BF451">
        <v>2.990386879536373E-2</v>
      </c>
      <c r="BG451">
        <v>2.990386879536373E-2</v>
      </c>
      <c r="BH451">
        <v>0.89638948155249354</v>
      </c>
      <c r="BI451">
        <v>0.26630985326119638</v>
      </c>
      <c r="BJ451">
        <v>7.7293237443916918E-2</v>
      </c>
      <c r="BK451">
        <v>4.6618236848795437E-2</v>
      </c>
      <c r="BL451">
        <v>0.81284252448920191</v>
      </c>
      <c r="BM451">
        <v>4.6618236848795437E-2</v>
      </c>
      <c r="BN451">
        <v>4.6618236848795437E-2</v>
      </c>
      <c r="BO451">
        <v>0.81284252448920191</v>
      </c>
      <c r="BP451">
        <v>6.6700210589921385E-2</v>
      </c>
      <c r="BQ451">
        <v>0.73221975188512856</v>
      </c>
      <c r="BR451">
        <v>66.429254944420833</v>
      </c>
      <c r="BS451">
        <v>0.81093063030320689</v>
      </c>
      <c r="BT451">
        <v>66.429254944420833</v>
      </c>
      <c r="BU451">
        <v>66.429254944420833</v>
      </c>
      <c r="BV451">
        <v>0.81093063030320689</v>
      </c>
      <c r="BW451">
        <v>350.14155032741712</v>
      </c>
      <c r="BX451">
        <v>3.4354249426564731E-3</v>
      </c>
      <c r="BY451" t="str">
        <f t="shared" si="17"/>
        <v>[[sv,wv],[yr],[ya]]</v>
      </c>
      <c r="BZ451" t="str">
        <f>SUBSTITUTE(TRIM(MID(SUBSTITUTE(SUBSTITUTE(SUBSTITUTE(Tabla1[[#This Row],[map]],"[",""),"]",""),",",REPT(" ",100)),901,200))," ",", ")</f>
        <v>2, 3</v>
      </c>
      <c r="CA451" t="str">
        <f>SUBSTITUTE(TRIM(MID(SUBSTITUTE(SUBSTITUTE(SUBSTITUTE(Tabla1[[#This Row],[map]],"[",""),"]",""),",",REPT(" ",100)),1501,200))," ",", ")</f>
        <v>3, 4</v>
      </c>
      <c r="CB451" t="str">
        <f>SUBSTITUTE(TRIM(MID(SUBSTITUTE(SUBSTITUTE(SUBSTITUTE(Tabla1[[#This Row],[map]],"[",""),"]",""),",",REPT(" ",100)),601,300))," ",", ")</f>
        <v>4, 0, 1</v>
      </c>
      <c r="CC451" t="str">
        <f>SUBSTITUTE(TRIM(MID(SUBSTITUTE(SUBSTITUTE(SUBSTITUTE(Tabla1[[#This Row],[map]],"[",""),"]",""),",",REPT(" ",100)),1201,300))," ",", ")</f>
        <v>2, 0, 1</v>
      </c>
      <c r="CD451" t="str">
        <f>SUBSTITUTE(TRIM(MID(SUBSTITUTE(SUBSTITUTE(SUBSTITUTE(Tabla1[[#This Row],[map]],"[",""),"]",""),",",REPT(" ",100)),1,300))," ",", ")</f>
        <v>2, 3, 4</v>
      </c>
      <c r="CE451" t="str">
        <f>SUBSTITUTE(TRIM(MID(SUBSTITUTE(SUBSTITUTE(SUBSTITUTE(Tabla1[[#This Row],[map]],"[",""),"]",""),",",REPT(" ",100)),1,600))," ",", ")</f>
        <v>2, 3, 4, 0, 1, -1</v>
      </c>
      <c r="CF451" t="str">
        <f>SUBSTITUTE(TRIM(MID(SUBSTITUTE(SUBSTITUTE(SUBSTITUTE(Tabla1[[#This Row],[map]],"[",""),"]",""),",",REPT(" ",100)),601,600))," ",", ")</f>
        <v>4, 0, 1, 2, 3, -1</v>
      </c>
      <c r="CG451" t="str">
        <f>SUBSTITUTE(TRIM(MID(SUBSTITUTE(SUBSTITUTE(SUBSTITUTE(Tabla1[[#This Row],[map]],"[",""),"]",""),",",REPT(" ",100)),1201,600))," ",", ")</f>
        <v>2, 0, 1, 3, 4, -1</v>
      </c>
    </row>
    <row r="452" spans="1:85" x14ac:dyDescent="0.3">
      <c r="A452" s="1">
        <v>46111.401828703703</v>
      </c>
      <c r="B452" t="s">
        <v>707</v>
      </c>
      <c r="C452">
        <v>6</v>
      </c>
      <c r="D452" t="s">
        <v>77</v>
      </c>
      <c r="E452" t="s">
        <v>78</v>
      </c>
      <c r="F452">
        <v>16590</v>
      </c>
      <c r="G452">
        <v>4.5</v>
      </c>
      <c r="H452" t="s">
        <v>79</v>
      </c>
      <c r="I452" t="s">
        <v>80</v>
      </c>
      <c r="J452">
        <v>5</v>
      </c>
      <c r="K452">
        <v>5</v>
      </c>
      <c r="L452" t="s">
        <v>81</v>
      </c>
      <c r="M452" t="s">
        <v>82</v>
      </c>
      <c r="N452" t="s">
        <v>83</v>
      </c>
      <c r="O452" t="s">
        <v>83</v>
      </c>
      <c r="P452" t="s">
        <v>84</v>
      </c>
      <c r="Q452" t="s">
        <v>177</v>
      </c>
      <c r="R452">
        <v>3</v>
      </c>
      <c r="S452" t="s">
        <v>86</v>
      </c>
      <c r="T452" t="s">
        <v>87</v>
      </c>
      <c r="U452" t="s">
        <v>88</v>
      </c>
      <c r="V452">
        <v>1</v>
      </c>
      <c r="W452" t="s">
        <v>178</v>
      </c>
      <c r="X452" t="s">
        <v>83</v>
      </c>
      <c r="Y452" t="s">
        <v>90</v>
      </c>
      <c r="Z452">
        <v>4000</v>
      </c>
      <c r="AA452">
        <v>4000</v>
      </c>
      <c r="AC452">
        <v>256</v>
      </c>
      <c r="AD452" t="s">
        <v>91</v>
      </c>
      <c r="AE452">
        <v>0.15</v>
      </c>
      <c r="AF452" t="s">
        <v>92</v>
      </c>
      <c r="AG452">
        <v>180</v>
      </c>
      <c r="AH452">
        <v>60</v>
      </c>
      <c r="AI452">
        <v>120</v>
      </c>
      <c r="AJ452">
        <v>0.1171825818508964</v>
      </c>
      <c r="AK452">
        <v>16.47150242962676</v>
      </c>
      <c r="AL452">
        <v>0.73673994545446275</v>
      </c>
      <c r="AM452">
        <v>-0.27792990336906342</v>
      </c>
      <c r="AN452">
        <v>17.65937944182048</v>
      </c>
      <c r="AO452">
        <v>0.64818213148955506</v>
      </c>
      <c r="AP452">
        <v>17.65937944182048</v>
      </c>
      <c r="AQ452">
        <v>17.65937944182048</v>
      </c>
      <c r="AR452">
        <v>0.64818213148955506</v>
      </c>
      <c r="AS452">
        <v>115.46317183912871</v>
      </c>
      <c r="AT452">
        <v>-0.24307941801447561</v>
      </c>
      <c r="AU452">
        <v>0.8</v>
      </c>
      <c r="AV452" t="s">
        <v>93</v>
      </c>
      <c r="AW452">
        <v>7.0906103110286861E-2</v>
      </c>
      <c r="AX452">
        <v>0.48513001276806511</v>
      </c>
      <c r="AY452">
        <v>7.0906103110286861E-2</v>
      </c>
      <c r="AZ452">
        <v>7.0906103110286861E-2</v>
      </c>
      <c r="BA452">
        <v>0.48513001276806511</v>
      </c>
      <c r="BB452">
        <v>0.14173051172229789</v>
      </c>
      <c r="BC452">
        <v>-2.9146766778788798E-2</v>
      </c>
      <c r="BD452">
        <v>6.7945225683849197E-2</v>
      </c>
      <c r="BE452">
        <v>0.76458430488339024</v>
      </c>
      <c r="BF452">
        <v>6.7945225683849197E-2</v>
      </c>
      <c r="BG452">
        <v>6.7945225683849197E-2</v>
      </c>
      <c r="BH452">
        <v>0.76458430488339024</v>
      </c>
      <c r="BI452">
        <v>0.36291116264136608</v>
      </c>
      <c r="BJ452">
        <v>-0.25740966725646519</v>
      </c>
      <c r="BK452">
        <v>0.1137469194723109</v>
      </c>
      <c r="BL452">
        <v>0.54334209668597044</v>
      </c>
      <c r="BM452">
        <v>0.1137469194723109</v>
      </c>
      <c r="BN452">
        <v>0.1137469194723109</v>
      </c>
      <c r="BO452">
        <v>0.54334209668597044</v>
      </c>
      <c r="BP452">
        <v>0.3421582669489257</v>
      </c>
      <c r="BQ452">
        <v>-0.37365721648834338</v>
      </c>
      <c r="BR452">
        <v>70.384919519015597</v>
      </c>
      <c r="BS452">
        <v>0.79967211162079355</v>
      </c>
      <c r="BT452">
        <v>70.384919519015597</v>
      </c>
      <c r="BU452">
        <v>70.384919519015597</v>
      </c>
      <c r="BV452">
        <v>0.79967211162079355</v>
      </c>
      <c r="BW452">
        <v>461.0058874152017</v>
      </c>
      <c r="BX452">
        <v>-0.31210402153431599</v>
      </c>
      <c r="BY452" t="str">
        <f t="shared" si="17"/>
        <v>[[sv,wv],[yr],[ya]]</v>
      </c>
      <c r="BZ452" t="str">
        <f>SUBSTITUTE(TRIM(MID(SUBSTITUTE(SUBSTITUTE(SUBSTITUTE(Tabla1[[#This Row],[map]],"[",""),"]",""),",",REPT(" ",100)),901,200))," ",", ")</f>
        <v>2, 4</v>
      </c>
      <c r="CA452" t="str">
        <f>SUBSTITUTE(TRIM(MID(SUBSTITUTE(SUBSTITUTE(SUBSTITUTE(Tabla1[[#This Row],[map]],"[",""),"]",""),",",REPT(" ",100)),1501,200))," ",", ")</f>
        <v>3, 4</v>
      </c>
      <c r="CB452" t="str">
        <f>SUBSTITUTE(TRIM(MID(SUBSTITUTE(SUBSTITUTE(SUBSTITUTE(Tabla1[[#This Row],[map]],"[",""),"]",""),",",REPT(" ",100)),601,300))," ",", ")</f>
        <v>3, 0, 1</v>
      </c>
      <c r="CC452" t="str">
        <f>SUBSTITUTE(TRIM(MID(SUBSTITUTE(SUBSTITUTE(SUBSTITUTE(Tabla1[[#This Row],[map]],"[",""),"]",""),",",REPT(" ",100)),1201,300))," ",", ")</f>
        <v>0, 1, 2</v>
      </c>
      <c r="CD452" t="str">
        <f>SUBSTITUTE(TRIM(MID(SUBSTITUTE(SUBSTITUTE(SUBSTITUTE(Tabla1[[#This Row],[map]],"[",""),"]",""),",",REPT(" ",100)),1,300))," ",", ")</f>
        <v>2, 3, 4</v>
      </c>
      <c r="CE452" t="str">
        <f>SUBSTITUTE(TRIM(MID(SUBSTITUTE(SUBSTITUTE(SUBSTITUTE(Tabla1[[#This Row],[map]],"[",""),"]",""),",",REPT(" ",100)),1,600))," ",", ")</f>
        <v>2, 3, 4, 0, 1, -1</v>
      </c>
      <c r="CF452" t="str">
        <f>SUBSTITUTE(TRIM(MID(SUBSTITUTE(SUBSTITUTE(SUBSTITUTE(Tabla1[[#This Row],[map]],"[",""),"]",""),",",REPT(" ",100)),601,600))," ",", ")</f>
        <v>3, 0, 1, 2, 4, -1</v>
      </c>
      <c r="CG452" t="str">
        <f>SUBSTITUTE(TRIM(MID(SUBSTITUTE(SUBSTITUTE(SUBSTITUTE(Tabla1[[#This Row],[map]],"[",""),"]",""),",",REPT(" ",100)),1201,600))," ",", ")</f>
        <v>0, 1, 2, 3, 4, -1</v>
      </c>
    </row>
    <row r="453" spans="1:85" x14ac:dyDescent="0.3">
      <c r="A453" s="1">
        <v>46111.405509259261</v>
      </c>
      <c r="B453" t="s">
        <v>708</v>
      </c>
      <c r="C453">
        <v>8</v>
      </c>
      <c r="D453" t="s">
        <v>96</v>
      </c>
      <c r="E453" t="s">
        <v>78</v>
      </c>
      <c r="F453">
        <v>16590</v>
      </c>
      <c r="G453">
        <v>4.5</v>
      </c>
      <c r="H453" t="s">
        <v>79</v>
      </c>
      <c r="I453" t="s">
        <v>80</v>
      </c>
      <c r="J453">
        <v>5</v>
      </c>
      <c r="K453">
        <v>5</v>
      </c>
      <c r="L453" t="s">
        <v>81</v>
      </c>
      <c r="M453" t="s">
        <v>82</v>
      </c>
      <c r="N453" t="s">
        <v>83</v>
      </c>
      <c r="O453" t="s">
        <v>83</v>
      </c>
      <c r="P453" t="s">
        <v>84</v>
      </c>
      <c r="Q453" t="s">
        <v>461</v>
      </c>
      <c r="R453">
        <v>3</v>
      </c>
      <c r="S453" t="s">
        <v>86</v>
      </c>
      <c r="T453" t="s">
        <v>87</v>
      </c>
      <c r="U453" t="s">
        <v>88</v>
      </c>
      <c r="V453">
        <v>1</v>
      </c>
      <c r="W453" t="s">
        <v>462</v>
      </c>
      <c r="X453" t="s">
        <v>83</v>
      </c>
      <c r="Y453" t="s">
        <v>90</v>
      </c>
      <c r="Z453">
        <v>4000</v>
      </c>
      <c r="AA453">
        <v>4000</v>
      </c>
      <c r="AC453">
        <v>256</v>
      </c>
      <c r="AD453" t="s">
        <v>91</v>
      </c>
      <c r="AE453">
        <v>0.15</v>
      </c>
      <c r="AF453" t="s">
        <v>92</v>
      </c>
      <c r="AG453">
        <v>180</v>
      </c>
      <c r="AH453">
        <v>60</v>
      </c>
      <c r="AI453">
        <v>120</v>
      </c>
      <c r="AJ453">
        <v>0.12698920213701109</v>
      </c>
      <c r="AK453">
        <v>10.366588578930781</v>
      </c>
      <c r="AL453">
        <v>0.66232171516731064</v>
      </c>
      <c r="AM453">
        <v>0.3004851172832691</v>
      </c>
      <c r="AN453">
        <v>13.493383931025869</v>
      </c>
      <c r="AO453">
        <v>0.57244094069292306</v>
      </c>
      <c r="AP453">
        <v>13.493383931025869</v>
      </c>
      <c r="AQ453">
        <v>13.493383931025869</v>
      </c>
      <c r="AR453">
        <v>0.57244094069292306</v>
      </c>
      <c r="AS453">
        <v>89.051592421305457</v>
      </c>
      <c r="AT453">
        <v>0.25599175907761662</v>
      </c>
      <c r="AU453">
        <v>0.8</v>
      </c>
      <c r="AV453" t="s">
        <v>93</v>
      </c>
      <c r="AW453">
        <v>0.1087521185286127</v>
      </c>
      <c r="AX453">
        <v>0.21031900750234089</v>
      </c>
      <c r="AY453">
        <v>0.1087521185286127</v>
      </c>
      <c r="AZ453">
        <v>0.1087521185286127</v>
      </c>
      <c r="BA453">
        <v>0.21031900750234089</v>
      </c>
      <c r="BB453">
        <v>9.0853475037987019E-2</v>
      </c>
      <c r="BC453">
        <v>0.34028630144816252</v>
      </c>
      <c r="BD453">
        <v>7.9970643216944276E-2</v>
      </c>
      <c r="BE453">
        <v>0.72291880154407351</v>
      </c>
      <c r="BF453">
        <v>7.9970643216944276E-2</v>
      </c>
      <c r="BG453">
        <v>7.9970643216944276E-2</v>
      </c>
      <c r="BH453">
        <v>0.72291880154407351</v>
      </c>
      <c r="BI453">
        <v>0.11977601578062649</v>
      </c>
      <c r="BJ453">
        <v>0.58500168732242841</v>
      </c>
      <c r="BK453">
        <v>0.1222365025377713</v>
      </c>
      <c r="BL453">
        <v>0.50925910594944213</v>
      </c>
      <c r="BM453">
        <v>0.1222365025377713</v>
      </c>
      <c r="BN453">
        <v>0.1222365025377713</v>
      </c>
      <c r="BO453">
        <v>0.50925910594944213</v>
      </c>
      <c r="BP453">
        <v>0.22136846675310479</v>
      </c>
      <c r="BQ453">
        <v>0.1112756252539899</v>
      </c>
      <c r="BR453">
        <v>53.662576459820023</v>
      </c>
      <c r="BS453">
        <v>0.84726684777583439</v>
      </c>
      <c r="BT453">
        <v>53.662576459820023</v>
      </c>
      <c r="BU453">
        <v>53.662576459820023</v>
      </c>
      <c r="BV453">
        <v>0.84726684777583439</v>
      </c>
      <c r="BW453">
        <v>355.7743717276515</v>
      </c>
      <c r="BX453">
        <v>-1.259657771412437E-2</v>
      </c>
      <c r="BY453" t="str">
        <f t="shared" si="17"/>
        <v>[[sv,wv],[yr],[ya]]</v>
      </c>
      <c r="BZ453" t="str">
        <f>SUBSTITUTE(TRIM(MID(SUBSTITUTE(SUBSTITUTE(SUBSTITUTE(Tabla1[[#This Row],[map]],"[",""),"]",""),",",REPT(" ",100)),901,200))," ",", ")</f>
        <v>2, 3</v>
      </c>
      <c r="CA453" t="str">
        <f>SUBSTITUTE(TRIM(MID(SUBSTITUTE(SUBSTITUTE(SUBSTITUTE(Tabla1[[#This Row],[map]],"[",""),"]",""),",",REPT(" ",100)),1501,200))," ",", ")</f>
        <v>3, 2</v>
      </c>
      <c r="CB453" t="str">
        <f>SUBSTITUTE(TRIM(MID(SUBSTITUTE(SUBSTITUTE(SUBSTITUTE(Tabla1[[#This Row],[map]],"[",""),"]",""),",",REPT(" ",100)),601,300))," ",", ")</f>
        <v>0, 1, 4</v>
      </c>
      <c r="CC453" t="str">
        <f>SUBSTITUTE(TRIM(MID(SUBSTITUTE(SUBSTITUTE(SUBSTITUTE(Tabla1[[#This Row],[map]],"[",""),"]",""),",",REPT(" ",100)),1201,300))," ",", ")</f>
        <v>1, 4, 0</v>
      </c>
      <c r="CD453" t="str">
        <f>SUBSTITUTE(TRIM(MID(SUBSTITUTE(SUBSTITUTE(SUBSTITUTE(Tabla1[[#This Row],[map]],"[",""),"]",""),",",REPT(" ",100)),1,300))," ",", ")</f>
        <v>4, 2, 3</v>
      </c>
      <c r="CE453" t="str">
        <f>SUBSTITUTE(TRIM(MID(SUBSTITUTE(SUBSTITUTE(SUBSTITUTE(Tabla1[[#This Row],[map]],"[",""),"]",""),",",REPT(" ",100)),1,600))," ",", ")</f>
        <v>4, 2, 3, 0, 1, -1</v>
      </c>
      <c r="CF453" t="str">
        <f>SUBSTITUTE(TRIM(MID(SUBSTITUTE(SUBSTITUTE(SUBSTITUTE(Tabla1[[#This Row],[map]],"[",""),"]",""),",",REPT(" ",100)),601,600))," ",", ")</f>
        <v>0, 1, 4, 2, 3, -1</v>
      </c>
      <c r="CG453" t="str">
        <f>SUBSTITUTE(TRIM(MID(SUBSTITUTE(SUBSTITUTE(SUBSTITUTE(Tabla1[[#This Row],[map]],"[",""),"]",""),",",REPT(" ",100)),1201,600))," ",", ")</f>
        <v>1, 4, 0, 3, 2, -1</v>
      </c>
    </row>
    <row r="454" spans="1:85" x14ac:dyDescent="0.3">
      <c r="A454" s="1">
        <v>46111.425451388888</v>
      </c>
      <c r="B454" t="s">
        <v>709</v>
      </c>
      <c r="C454">
        <v>6</v>
      </c>
      <c r="D454" t="s">
        <v>77</v>
      </c>
      <c r="E454" t="s">
        <v>78</v>
      </c>
      <c r="F454">
        <v>16590</v>
      </c>
      <c r="G454">
        <v>4.5</v>
      </c>
      <c r="H454" t="s">
        <v>79</v>
      </c>
      <c r="I454" t="s">
        <v>80</v>
      </c>
      <c r="J454">
        <v>5</v>
      </c>
      <c r="K454">
        <v>5</v>
      </c>
      <c r="L454" t="s">
        <v>81</v>
      </c>
      <c r="M454" t="s">
        <v>82</v>
      </c>
      <c r="N454" t="s">
        <v>83</v>
      </c>
      <c r="O454" t="s">
        <v>83</v>
      </c>
      <c r="P454" t="s">
        <v>84</v>
      </c>
      <c r="Q454" t="s">
        <v>485</v>
      </c>
      <c r="R454">
        <v>3</v>
      </c>
      <c r="S454" t="s">
        <v>86</v>
      </c>
      <c r="T454" t="s">
        <v>87</v>
      </c>
      <c r="U454" t="s">
        <v>88</v>
      </c>
      <c r="V454">
        <v>1</v>
      </c>
      <c r="W454" t="s">
        <v>486</v>
      </c>
      <c r="X454" t="s">
        <v>83</v>
      </c>
      <c r="Y454" t="s">
        <v>90</v>
      </c>
      <c r="Z454">
        <v>4000</v>
      </c>
      <c r="AA454">
        <v>4000</v>
      </c>
      <c r="AC454">
        <v>256</v>
      </c>
      <c r="AD454" t="s">
        <v>91</v>
      </c>
      <c r="AE454">
        <v>0.15</v>
      </c>
      <c r="AF454" t="s">
        <v>92</v>
      </c>
      <c r="AG454">
        <v>180</v>
      </c>
      <c r="AH454">
        <v>60</v>
      </c>
      <c r="AI454">
        <v>120</v>
      </c>
      <c r="AJ454">
        <v>0.11599802468732159</v>
      </c>
      <c r="AK454">
        <v>20.27978840342475</v>
      </c>
      <c r="AL454">
        <v>0.70020506917016612</v>
      </c>
      <c r="AM454">
        <v>0.29911251563211427</v>
      </c>
      <c r="AN454">
        <v>21.492587983997939</v>
      </c>
      <c r="AO454">
        <v>0.66819735283562065</v>
      </c>
      <c r="AP454">
        <v>21.492587983997939</v>
      </c>
      <c r="AQ454">
        <v>21.492587983997939</v>
      </c>
      <c r="AR454">
        <v>0.66819735283562065</v>
      </c>
      <c r="AS454">
        <v>69.752444032540566</v>
      </c>
      <c r="AT454">
        <v>0.30832476746511411</v>
      </c>
      <c r="AU454">
        <v>0.8</v>
      </c>
      <c r="AV454" t="s">
        <v>93</v>
      </c>
      <c r="AW454">
        <v>8.3150700884383574E-2</v>
      </c>
      <c r="AX454">
        <v>0.39621840117091428</v>
      </c>
      <c r="AY454">
        <v>8.3150700884383574E-2</v>
      </c>
      <c r="AZ454">
        <v>8.3150700884383574E-2</v>
      </c>
      <c r="BA454">
        <v>0.39621840117091428</v>
      </c>
      <c r="BB454">
        <v>0.15417471343497521</v>
      </c>
      <c r="BC454">
        <v>-0.1195077610496509</v>
      </c>
      <c r="BD454">
        <v>9.6414631008967258E-2</v>
      </c>
      <c r="BE454">
        <v>0.6659438959846925</v>
      </c>
      <c r="BF454">
        <v>9.6414631008967258E-2</v>
      </c>
      <c r="BG454">
        <v>9.6414631008967258E-2</v>
      </c>
      <c r="BH454">
        <v>0.6659438959846925</v>
      </c>
      <c r="BI454">
        <v>0.1277206913982013</v>
      </c>
      <c r="BJ454">
        <v>0.55747508314732563</v>
      </c>
      <c r="BK454">
        <v>3.6192189533986757E-2</v>
      </c>
      <c r="BL454">
        <v>0.85469980667953316</v>
      </c>
      <c r="BM454">
        <v>3.6192189533986757E-2</v>
      </c>
      <c r="BN454">
        <v>3.6192189533986757E-2</v>
      </c>
      <c r="BO454">
        <v>0.85469980667953316</v>
      </c>
      <c r="BP454">
        <v>0.10253644805062601</v>
      </c>
      <c r="BQ454">
        <v>0.58834859355057056</v>
      </c>
      <c r="BR454">
        <v>85.754594414563982</v>
      </c>
      <c r="BS454">
        <v>0.75592730750734605</v>
      </c>
      <c r="BT454">
        <v>85.754594414563982</v>
      </c>
      <c r="BU454">
        <v>85.754594414563982</v>
      </c>
      <c r="BV454">
        <v>0.75592730750734605</v>
      </c>
      <c r="BW454">
        <v>278.62534427727832</v>
      </c>
      <c r="BX454">
        <v>0.2069831542122188</v>
      </c>
      <c r="BY454" t="str">
        <f t="shared" si="17"/>
        <v>[[sv,wv],[yr],[ya]]</v>
      </c>
      <c r="BZ454" t="str">
        <f>SUBSTITUTE(TRIM(MID(SUBSTITUTE(SUBSTITUTE(SUBSTITUTE(Tabla1[[#This Row],[map]],"[",""),"]",""),",",REPT(" ",100)),901,200))," ",", ")</f>
        <v>2, 3</v>
      </c>
      <c r="CA454" t="str">
        <f>SUBSTITUTE(TRIM(MID(SUBSTITUTE(SUBSTITUTE(SUBSTITUTE(Tabla1[[#This Row],[map]],"[",""),"]",""),",",REPT(" ",100)),1501,200))," ",", ")</f>
        <v>3, 4</v>
      </c>
      <c r="CB454" t="str">
        <f>SUBSTITUTE(TRIM(MID(SUBSTITUTE(SUBSTITUTE(SUBSTITUTE(Tabla1[[#This Row],[map]],"[",""),"]",""),",",REPT(" ",100)),601,300))," ",", ")</f>
        <v>1, 4, 0</v>
      </c>
      <c r="CC454" t="str">
        <f>SUBSTITUTE(TRIM(MID(SUBSTITUTE(SUBSTITUTE(SUBSTITUTE(Tabla1[[#This Row],[map]],"[",""),"]",""),",",REPT(" ",100)),1201,300))," ",", ")</f>
        <v>0, 1, 2</v>
      </c>
      <c r="CD454" t="str">
        <f>SUBSTITUTE(TRIM(MID(SUBSTITUTE(SUBSTITUTE(SUBSTITUTE(Tabla1[[#This Row],[map]],"[",""),"]",""),",",REPT(" ",100)),1,300))," ",", ")</f>
        <v>4, 2, 3</v>
      </c>
      <c r="CE454" t="str">
        <f>SUBSTITUTE(TRIM(MID(SUBSTITUTE(SUBSTITUTE(SUBSTITUTE(Tabla1[[#This Row],[map]],"[",""),"]",""),",",REPT(" ",100)),1,600))," ",", ")</f>
        <v>4, 2, 3, 0, 1, -1</v>
      </c>
      <c r="CF454" t="str">
        <f>SUBSTITUTE(TRIM(MID(SUBSTITUTE(SUBSTITUTE(SUBSTITUTE(Tabla1[[#This Row],[map]],"[",""),"]",""),",",REPT(" ",100)),601,600))," ",", ")</f>
        <v>1, 4, 0, 2, 3, -1</v>
      </c>
      <c r="CG454" t="str">
        <f>SUBSTITUTE(TRIM(MID(SUBSTITUTE(SUBSTITUTE(SUBSTITUTE(Tabla1[[#This Row],[map]],"[",""),"]",""),",",REPT(" ",100)),1201,600))," ",", ")</f>
        <v>0, 1, 2, 3, 4, -1</v>
      </c>
    </row>
    <row r="455" spans="1:85" x14ac:dyDescent="0.3">
      <c r="A455" s="1">
        <v>46111.450231481482</v>
      </c>
      <c r="B455" t="s">
        <v>710</v>
      </c>
      <c r="C455">
        <v>9</v>
      </c>
      <c r="D455" t="s">
        <v>96</v>
      </c>
      <c r="E455" t="s">
        <v>78</v>
      </c>
      <c r="F455">
        <v>16590</v>
      </c>
      <c r="G455">
        <v>4.5</v>
      </c>
      <c r="H455" t="s">
        <v>79</v>
      </c>
      <c r="I455" t="s">
        <v>80</v>
      </c>
      <c r="J455">
        <v>5</v>
      </c>
      <c r="K455">
        <v>5</v>
      </c>
      <c r="L455" t="s">
        <v>81</v>
      </c>
      <c r="M455" t="s">
        <v>82</v>
      </c>
      <c r="N455" t="s">
        <v>83</v>
      </c>
      <c r="O455" t="s">
        <v>83</v>
      </c>
      <c r="P455" t="s">
        <v>84</v>
      </c>
      <c r="Q455" t="s">
        <v>461</v>
      </c>
      <c r="R455">
        <v>3</v>
      </c>
      <c r="S455" t="s">
        <v>86</v>
      </c>
      <c r="T455" t="s">
        <v>87</v>
      </c>
      <c r="U455" t="s">
        <v>88</v>
      </c>
      <c r="V455">
        <v>1</v>
      </c>
      <c r="W455" t="s">
        <v>462</v>
      </c>
      <c r="X455" t="s">
        <v>83</v>
      </c>
      <c r="Y455" t="s">
        <v>90</v>
      </c>
      <c r="Z455">
        <v>4000</v>
      </c>
      <c r="AA455">
        <v>4000</v>
      </c>
      <c r="AC455">
        <v>256</v>
      </c>
      <c r="AD455" t="s">
        <v>91</v>
      </c>
      <c r="AE455">
        <v>0.15</v>
      </c>
      <c r="AF455" t="s">
        <v>92</v>
      </c>
      <c r="AG455">
        <v>180</v>
      </c>
      <c r="AH455">
        <v>60</v>
      </c>
      <c r="AI455">
        <v>120</v>
      </c>
      <c r="AJ455">
        <v>0.12938909552499811</v>
      </c>
      <c r="AK455">
        <v>17.050200664505201</v>
      </c>
      <c r="AL455">
        <v>0.67176198992484881</v>
      </c>
      <c r="AM455">
        <v>-0.1201839424137186</v>
      </c>
      <c r="AN455">
        <v>22.173037411016431</v>
      </c>
      <c r="AO455">
        <v>0.60398091928879372</v>
      </c>
      <c r="AP455">
        <v>22.173037411016431</v>
      </c>
      <c r="AQ455">
        <v>22.173037411016431</v>
      </c>
      <c r="AR455">
        <v>0.60398091928879372</v>
      </c>
      <c r="AS455">
        <v>95.578223817076662</v>
      </c>
      <c r="AT455">
        <v>2.6234478257600451E-3</v>
      </c>
      <c r="AU455">
        <v>0.8</v>
      </c>
      <c r="AV455" t="s">
        <v>93</v>
      </c>
      <c r="AW455">
        <v>6.5426998721508589E-2</v>
      </c>
      <c r="AX455">
        <v>0.52491539488538308</v>
      </c>
      <c r="AY455">
        <v>6.5426998721508589E-2</v>
      </c>
      <c r="AZ455">
        <v>6.5426998721508589E-2</v>
      </c>
      <c r="BA455">
        <v>0.52491539488538308</v>
      </c>
      <c r="BB455">
        <v>7.9314776706929602E-2</v>
      </c>
      <c r="BC455">
        <v>0.42407217039013778</v>
      </c>
      <c r="BD455">
        <v>8.4435556572985584E-2</v>
      </c>
      <c r="BE455">
        <v>0.70744883039056305</v>
      </c>
      <c r="BF455">
        <v>8.4435556572985584E-2</v>
      </c>
      <c r="BG455">
        <v>8.4435556572985584E-2</v>
      </c>
      <c r="BH455">
        <v>0.70744883039056305</v>
      </c>
      <c r="BI455">
        <v>0.20422521222496789</v>
      </c>
      <c r="BJ455">
        <v>0.29240325847197501</v>
      </c>
      <c r="BK455">
        <v>0.14069203645327119</v>
      </c>
      <c r="BL455">
        <v>0.43516597479924207</v>
      </c>
      <c r="BM455">
        <v>0.14069203645327119</v>
      </c>
      <c r="BN455">
        <v>0.14069203645327119</v>
      </c>
      <c r="BO455">
        <v>0.43516597479924207</v>
      </c>
      <c r="BP455">
        <v>0.40347066391294512</v>
      </c>
      <c r="BQ455">
        <v>-0.61980709707093129</v>
      </c>
      <c r="BR455">
        <v>88.401595052318214</v>
      </c>
      <c r="BS455">
        <v>0.74839347707998494</v>
      </c>
      <c r="BT455">
        <v>88.401595052318214</v>
      </c>
      <c r="BU455">
        <v>88.401595052318214</v>
      </c>
      <c r="BV455">
        <v>0.74839347707998494</v>
      </c>
      <c r="BW455">
        <v>381.6258846154617</v>
      </c>
      <c r="BX455">
        <v>-8.6174540488149098E-2</v>
      </c>
      <c r="BY455" t="str">
        <f t="shared" si="17"/>
        <v>[[sv,wv],[yr],[ya]]</v>
      </c>
      <c r="BZ455" t="str">
        <f>SUBSTITUTE(TRIM(MID(SUBSTITUTE(SUBSTITUTE(SUBSTITUTE(Tabla1[[#This Row],[map]],"[",""),"]",""),",",REPT(" ",100)),901,200))," ",", ")</f>
        <v>2, 3</v>
      </c>
      <c r="CA455" t="str">
        <f>SUBSTITUTE(TRIM(MID(SUBSTITUTE(SUBSTITUTE(SUBSTITUTE(Tabla1[[#This Row],[map]],"[",""),"]",""),",",REPT(" ",100)),1501,200))," ",", ")</f>
        <v>3, 2</v>
      </c>
      <c r="CB455" t="str">
        <f>SUBSTITUTE(TRIM(MID(SUBSTITUTE(SUBSTITUTE(SUBSTITUTE(Tabla1[[#This Row],[map]],"[",""),"]",""),",",REPT(" ",100)),601,300))," ",", ")</f>
        <v>0, 1, 4</v>
      </c>
      <c r="CC455" t="str">
        <f>SUBSTITUTE(TRIM(MID(SUBSTITUTE(SUBSTITUTE(SUBSTITUTE(Tabla1[[#This Row],[map]],"[",""),"]",""),",",REPT(" ",100)),1201,300))," ",", ")</f>
        <v>1, 4, 0</v>
      </c>
      <c r="CD455" t="str">
        <f>SUBSTITUTE(TRIM(MID(SUBSTITUTE(SUBSTITUTE(SUBSTITUTE(Tabla1[[#This Row],[map]],"[",""),"]",""),",",REPT(" ",100)),1,300))," ",", ")</f>
        <v>4, 2, 3</v>
      </c>
      <c r="CE455" t="str">
        <f>SUBSTITUTE(TRIM(MID(SUBSTITUTE(SUBSTITUTE(SUBSTITUTE(Tabla1[[#This Row],[map]],"[",""),"]",""),",",REPT(" ",100)),1,600))," ",", ")</f>
        <v>4, 2, 3, 0, 1, -1</v>
      </c>
      <c r="CF455" t="str">
        <f>SUBSTITUTE(TRIM(MID(SUBSTITUTE(SUBSTITUTE(SUBSTITUTE(Tabla1[[#This Row],[map]],"[",""),"]",""),",",REPT(" ",100)),601,600))," ",", ")</f>
        <v>0, 1, 4, 2, 3, -1</v>
      </c>
      <c r="CG455" t="str">
        <f>SUBSTITUTE(TRIM(MID(SUBSTITUTE(SUBSTITUTE(SUBSTITUTE(Tabla1[[#This Row],[map]],"[",""),"]",""),",",REPT(" ",100)),1201,600))," ",", ")</f>
        <v>1, 4, 0, 3, 2, -1</v>
      </c>
    </row>
    <row r="456" spans="1:85" x14ac:dyDescent="0.3">
      <c r="A456" s="1">
        <v>46111.494664351849</v>
      </c>
      <c r="B456" t="s">
        <v>711</v>
      </c>
      <c r="C456">
        <v>5</v>
      </c>
      <c r="D456" t="s">
        <v>77</v>
      </c>
      <c r="E456" t="s">
        <v>78</v>
      </c>
      <c r="F456">
        <v>16590</v>
      </c>
      <c r="G456">
        <v>4.5</v>
      </c>
      <c r="H456" t="s">
        <v>79</v>
      </c>
      <c r="I456" t="s">
        <v>80</v>
      </c>
      <c r="J456">
        <v>5</v>
      </c>
      <c r="K456">
        <v>5</v>
      </c>
      <c r="L456" t="s">
        <v>81</v>
      </c>
      <c r="M456" t="s">
        <v>82</v>
      </c>
      <c r="N456" t="s">
        <v>83</v>
      </c>
      <c r="O456" t="s">
        <v>83</v>
      </c>
      <c r="P456" t="s">
        <v>84</v>
      </c>
      <c r="Q456" t="s">
        <v>295</v>
      </c>
      <c r="R456">
        <v>3</v>
      </c>
      <c r="S456" t="s">
        <v>86</v>
      </c>
      <c r="T456" t="s">
        <v>87</v>
      </c>
      <c r="U456" t="s">
        <v>88</v>
      </c>
      <c r="V456">
        <v>1</v>
      </c>
      <c r="W456" t="s">
        <v>296</v>
      </c>
      <c r="X456" t="s">
        <v>83</v>
      </c>
      <c r="Y456" t="s">
        <v>90</v>
      </c>
      <c r="Z456">
        <v>4000</v>
      </c>
      <c r="AA456">
        <v>4000</v>
      </c>
      <c r="AC456">
        <v>256</v>
      </c>
      <c r="AD456" t="s">
        <v>91</v>
      </c>
      <c r="AE456">
        <v>0.15</v>
      </c>
      <c r="AF456" t="s">
        <v>92</v>
      </c>
      <c r="AG456">
        <v>180</v>
      </c>
      <c r="AH456">
        <v>60</v>
      </c>
      <c r="AI456">
        <v>120</v>
      </c>
      <c r="AJ456">
        <v>0.1414729736537389</v>
      </c>
      <c r="AK456">
        <v>21.08315753144273</v>
      </c>
      <c r="AL456">
        <v>0.6240989782914228</v>
      </c>
      <c r="AM456">
        <v>5.1741806789790068E-2</v>
      </c>
      <c r="AN456">
        <v>21.0559853987887</v>
      </c>
      <c r="AO456">
        <v>0.58592782145611566</v>
      </c>
      <c r="AP456">
        <v>21.0559853987887</v>
      </c>
      <c r="AQ456">
        <v>21.0559853987887</v>
      </c>
      <c r="AR456">
        <v>0.58592782145611566</v>
      </c>
      <c r="AS456">
        <v>65.195709438861201</v>
      </c>
      <c r="AT456">
        <v>5.8932740671651863E-2</v>
      </c>
      <c r="AU456">
        <v>0.8</v>
      </c>
      <c r="AV456" t="s">
        <v>93</v>
      </c>
      <c r="AW456">
        <v>7.9164285153493635E-2</v>
      </c>
      <c r="AX456">
        <v>0.42516493364742147</v>
      </c>
      <c r="AY456">
        <v>7.9164285153493635E-2</v>
      </c>
      <c r="AZ456">
        <v>7.9164285153493635E-2</v>
      </c>
      <c r="BA456">
        <v>0.42516493364742147</v>
      </c>
      <c r="BB456">
        <v>0.1925779007118234</v>
      </c>
      <c r="BC456">
        <v>-0.39836455440835777</v>
      </c>
      <c r="BD456">
        <v>0.1014648882189231</v>
      </c>
      <c r="BE456">
        <v>0.64844583339628559</v>
      </c>
      <c r="BF456">
        <v>0.1014648882189231</v>
      </c>
      <c r="BG456">
        <v>0.1014648882189231</v>
      </c>
      <c r="BH456">
        <v>0.64844583339628559</v>
      </c>
      <c r="BI456">
        <v>0.1155166444986163</v>
      </c>
      <c r="BJ456">
        <v>0.59975949908951054</v>
      </c>
      <c r="BK456">
        <v>0.12231238086635</v>
      </c>
      <c r="BL456">
        <v>0.50895447846065855</v>
      </c>
      <c r="BM456">
        <v>0.12231238086635</v>
      </c>
      <c r="BN456">
        <v>0.12231238086635</v>
      </c>
      <c r="BO456">
        <v>0.50895447846065855</v>
      </c>
      <c r="BP456">
        <v>0.30517361178448332</v>
      </c>
      <c r="BQ456">
        <v>-0.2251755243199858</v>
      </c>
      <c r="BR456">
        <v>83.921000040915956</v>
      </c>
      <c r="BS456">
        <v>0.76114604032009958</v>
      </c>
      <c r="BT456">
        <v>83.921000040915956</v>
      </c>
      <c r="BU456">
        <v>83.921000040915956</v>
      </c>
      <c r="BV456">
        <v>0.76114604032009958</v>
      </c>
      <c r="BW456">
        <v>260.16956959844981</v>
      </c>
      <c r="BX456">
        <v>0.2595115423254325</v>
      </c>
      <c r="BY456" t="str">
        <f t="shared" si="17"/>
        <v>[[sv,wv],[yr],[ya]]</v>
      </c>
      <c r="BZ456" t="str">
        <f>SUBSTITUTE(TRIM(MID(SUBSTITUTE(SUBSTITUTE(SUBSTITUTE(Tabla1[[#This Row],[map]],"[",""),"]",""),",",REPT(" ",100)),901,200))," ",", ")</f>
        <v>2, 4</v>
      </c>
      <c r="CA456" t="str">
        <f>SUBSTITUTE(TRIM(MID(SUBSTITUTE(SUBSTITUTE(SUBSTITUTE(Tabla1[[#This Row],[map]],"[",""),"]",""),",",REPT(" ",100)),1501,200))," ",", ")</f>
        <v>3, 4</v>
      </c>
      <c r="CB456" t="str">
        <f>SUBSTITUTE(TRIM(MID(SUBSTITUTE(SUBSTITUTE(SUBSTITUTE(Tabla1[[#This Row],[map]],"[",""),"]",""),",",REPT(" ",100)),601,300))," ",", ")</f>
        <v>3, 0, 1</v>
      </c>
      <c r="CC456" t="str">
        <f>SUBSTITUTE(TRIM(MID(SUBSTITUTE(SUBSTITUTE(SUBSTITUTE(Tabla1[[#This Row],[map]],"[",""),"]",""),",",REPT(" ",100)),1201,300))," ",", ")</f>
        <v>0, 1, 2</v>
      </c>
      <c r="CD456" t="str">
        <f>SUBSTITUTE(TRIM(MID(SUBSTITUTE(SUBSTITUTE(SUBSTITUTE(Tabla1[[#This Row],[map]],"[",""),"]",""),",",REPT(" ",100)),1,300))," ",", ")</f>
        <v>4, 2, 3</v>
      </c>
      <c r="CE456" t="str">
        <f>SUBSTITUTE(TRIM(MID(SUBSTITUTE(SUBSTITUTE(SUBSTITUTE(Tabla1[[#This Row],[map]],"[",""),"]",""),",",REPT(" ",100)),1,600))," ",", ")</f>
        <v>4, 2, 3, 0, 1, -1</v>
      </c>
      <c r="CF456" t="str">
        <f>SUBSTITUTE(TRIM(MID(SUBSTITUTE(SUBSTITUTE(SUBSTITUTE(Tabla1[[#This Row],[map]],"[",""),"]",""),",",REPT(" ",100)),601,600))," ",", ")</f>
        <v>3, 0, 1, 2, 4, -1</v>
      </c>
      <c r="CG456" t="str">
        <f>SUBSTITUTE(TRIM(MID(SUBSTITUTE(SUBSTITUTE(SUBSTITUTE(Tabla1[[#This Row],[map]],"[",""),"]",""),",",REPT(" ",100)),1201,600))," ",", ")</f>
        <v>0, 1, 2, 3, 4, -1</v>
      </c>
    </row>
    <row r="457" spans="1:85" x14ac:dyDescent="0.3">
      <c r="A457" s="1">
        <v>46111.539571759262</v>
      </c>
      <c r="B457" t="s">
        <v>712</v>
      </c>
      <c r="C457">
        <v>7</v>
      </c>
      <c r="D457" t="s">
        <v>77</v>
      </c>
      <c r="E457" t="s">
        <v>78</v>
      </c>
      <c r="F457">
        <v>16590</v>
      </c>
      <c r="G457">
        <v>4.5</v>
      </c>
      <c r="H457" t="s">
        <v>79</v>
      </c>
      <c r="I457" t="s">
        <v>80</v>
      </c>
      <c r="J457">
        <v>5</v>
      </c>
      <c r="K457">
        <v>5</v>
      </c>
      <c r="L457" t="s">
        <v>81</v>
      </c>
      <c r="M457" t="s">
        <v>82</v>
      </c>
      <c r="N457" t="s">
        <v>83</v>
      </c>
      <c r="O457" t="s">
        <v>83</v>
      </c>
      <c r="P457" t="s">
        <v>84</v>
      </c>
      <c r="Q457" t="s">
        <v>469</v>
      </c>
      <c r="R457">
        <v>3</v>
      </c>
      <c r="S457" t="s">
        <v>86</v>
      </c>
      <c r="T457" t="s">
        <v>87</v>
      </c>
      <c r="U457" t="s">
        <v>88</v>
      </c>
      <c r="V457">
        <v>1</v>
      </c>
      <c r="W457" t="s">
        <v>470</v>
      </c>
      <c r="X457" t="s">
        <v>83</v>
      </c>
      <c r="Y457" t="s">
        <v>90</v>
      </c>
      <c r="Z457">
        <v>4000</v>
      </c>
      <c r="AA457">
        <v>4000</v>
      </c>
      <c r="AC457">
        <v>256</v>
      </c>
      <c r="AD457" t="s">
        <v>91</v>
      </c>
      <c r="AE457">
        <v>0.15</v>
      </c>
      <c r="AF457" t="s">
        <v>92</v>
      </c>
      <c r="AG457">
        <v>180</v>
      </c>
      <c r="AH457">
        <v>60</v>
      </c>
      <c r="AI457">
        <v>120</v>
      </c>
      <c r="AJ457">
        <v>0.11619372001565891</v>
      </c>
      <c r="AK457">
        <v>11.712184026500161</v>
      </c>
      <c r="AL457">
        <v>0.71754269244782076</v>
      </c>
      <c r="AM457">
        <v>0.20168654902589689</v>
      </c>
      <c r="AN457">
        <v>16.337274112260339</v>
      </c>
      <c r="AO457">
        <v>0.67214552815086559</v>
      </c>
      <c r="AP457">
        <v>16.337274112260339</v>
      </c>
      <c r="AQ457">
        <v>16.337274112260339</v>
      </c>
      <c r="AR457">
        <v>0.67214552815086559</v>
      </c>
      <c r="AS457">
        <v>96.038250377666571</v>
      </c>
      <c r="AT457">
        <v>0.2281625650201827</v>
      </c>
      <c r="AU457">
        <v>0.8</v>
      </c>
      <c r="AV457" t="s">
        <v>93</v>
      </c>
      <c r="AW457">
        <v>7.264842623471128E-2</v>
      </c>
      <c r="AX457">
        <v>0.4724784941331881</v>
      </c>
      <c r="AY457">
        <v>7.264842623471128E-2</v>
      </c>
      <c r="AZ457">
        <v>7.264842623471128E-2</v>
      </c>
      <c r="BA457">
        <v>0.4724784941331881</v>
      </c>
      <c r="BB457">
        <v>0.1073676129676929</v>
      </c>
      <c r="BC457">
        <v>0.22037230798290131</v>
      </c>
      <c r="BD457">
        <v>8.9926630286146447E-2</v>
      </c>
      <c r="BE457">
        <v>0.68842343276902596</v>
      </c>
      <c r="BF457">
        <v>8.9926630286146447E-2</v>
      </c>
      <c r="BG457">
        <v>8.9926630286146447E-2</v>
      </c>
      <c r="BH457">
        <v>0.68842343276902596</v>
      </c>
      <c r="BI457">
        <v>0.11095579069023501</v>
      </c>
      <c r="BJ457">
        <v>0.61556188341922424</v>
      </c>
      <c r="BK457">
        <v>7.1485318585261248E-2</v>
      </c>
      <c r="BL457">
        <v>0.71300905682261284</v>
      </c>
      <c r="BM457">
        <v>7.1485318585261248E-2</v>
      </c>
      <c r="BN457">
        <v>7.1485318585261248E-2</v>
      </c>
      <c r="BO457">
        <v>0.71300905682261284</v>
      </c>
      <c r="BP457">
        <v>0.20702188287704351</v>
      </c>
      <c r="BQ457">
        <v>0.16887262166456801</v>
      </c>
      <c r="BR457">
        <v>65.115036073935215</v>
      </c>
      <c r="BS457">
        <v>0.81467112887863491</v>
      </c>
      <c r="BT457">
        <v>65.115036073935215</v>
      </c>
      <c r="BU457">
        <v>65.115036073935215</v>
      </c>
      <c r="BV457">
        <v>0.81467112887863491</v>
      </c>
      <c r="BW457">
        <v>383.7276562241322</v>
      </c>
      <c r="BX457">
        <v>-9.2156552985962481E-2</v>
      </c>
      <c r="BY457" t="str">
        <f t="shared" si="17"/>
        <v>[[sv,wv],[yr],[ya]]</v>
      </c>
      <c r="BZ457" t="str">
        <f>SUBSTITUTE(TRIM(MID(SUBSTITUTE(SUBSTITUTE(SUBSTITUTE(Tabla1[[#This Row],[map]],"[",""),"]",""),",",REPT(" ",100)),901,200))," ",", ")</f>
        <v>2, 3</v>
      </c>
      <c r="CA457" t="str">
        <f>SUBSTITUTE(TRIM(MID(SUBSTITUTE(SUBSTITUTE(SUBSTITUTE(Tabla1[[#This Row],[map]],"[",""),"]",""),",",REPT(" ",100)),1501,200))," ",", ")</f>
        <v>3, 4</v>
      </c>
      <c r="CB457" t="str">
        <f>SUBSTITUTE(TRIM(MID(SUBSTITUTE(SUBSTITUTE(SUBSTITUTE(Tabla1[[#This Row],[map]],"[",""),"]",""),",",REPT(" ",100)),601,300))," ",", ")</f>
        <v>0, 1, 4</v>
      </c>
      <c r="CC457" t="str">
        <f>SUBSTITUTE(TRIM(MID(SUBSTITUTE(SUBSTITUTE(SUBSTITUTE(Tabla1[[#This Row],[map]],"[",""),"]",""),",",REPT(" ",100)),1201,300))," ",", ")</f>
        <v>1, 2, 0</v>
      </c>
      <c r="CD457" t="str">
        <f>SUBSTITUTE(TRIM(MID(SUBSTITUTE(SUBSTITUTE(SUBSTITUTE(Tabla1[[#This Row],[map]],"[",""),"]",""),",",REPT(" ",100)),1,300))," ",", ")</f>
        <v>4, 2, 3</v>
      </c>
      <c r="CE457" t="str">
        <f>SUBSTITUTE(TRIM(MID(SUBSTITUTE(SUBSTITUTE(SUBSTITUTE(Tabla1[[#This Row],[map]],"[",""),"]",""),",",REPT(" ",100)),1,600))," ",", ")</f>
        <v>4, 2, 3, 0, 1, -1</v>
      </c>
      <c r="CF457" t="str">
        <f>SUBSTITUTE(TRIM(MID(SUBSTITUTE(SUBSTITUTE(SUBSTITUTE(Tabla1[[#This Row],[map]],"[",""),"]",""),",",REPT(" ",100)),601,600))," ",", ")</f>
        <v>0, 1, 4, 2, 3, -1</v>
      </c>
      <c r="CG457" t="str">
        <f>SUBSTITUTE(TRIM(MID(SUBSTITUTE(SUBSTITUTE(SUBSTITUTE(Tabla1[[#This Row],[map]],"[",""),"]",""),",",REPT(" ",100)),1201,600))," ",", ")</f>
        <v>1, 2, 0, 3, 4, -1</v>
      </c>
    </row>
    <row r="458" spans="1:85" x14ac:dyDescent="0.3">
      <c r="A458" s="1">
        <v>46111.548391203702</v>
      </c>
      <c r="B458" t="s">
        <v>713</v>
      </c>
      <c r="C458">
        <v>8</v>
      </c>
      <c r="D458" t="s">
        <v>77</v>
      </c>
      <c r="E458" t="s">
        <v>78</v>
      </c>
      <c r="F458">
        <v>16590</v>
      </c>
      <c r="G458">
        <v>4.5</v>
      </c>
      <c r="H458" t="s">
        <v>79</v>
      </c>
      <c r="I458" t="s">
        <v>80</v>
      </c>
      <c r="J458">
        <v>5</v>
      </c>
      <c r="K458">
        <v>5</v>
      </c>
      <c r="L458" t="s">
        <v>81</v>
      </c>
      <c r="M458" t="s">
        <v>82</v>
      </c>
      <c r="N458" t="s">
        <v>83</v>
      </c>
      <c r="O458" t="s">
        <v>83</v>
      </c>
      <c r="P458" t="s">
        <v>84</v>
      </c>
      <c r="Q458" t="s">
        <v>153</v>
      </c>
      <c r="R458">
        <v>3</v>
      </c>
      <c r="S458" t="s">
        <v>86</v>
      </c>
      <c r="T458" t="s">
        <v>87</v>
      </c>
      <c r="U458" t="s">
        <v>88</v>
      </c>
      <c r="V458">
        <v>1</v>
      </c>
      <c r="W458" t="s">
        <v>154</v>
      </c>
      <c r="X458" t="s">
        <v>83</v>
      </c>
      <c r="Y458" t="s">
        <v>90</v>
      </c>
      <c r="Z458">
        <v>4000</v>
      </c>
      <c r="AA458">
        <v>4000</v>
      </c>
      <c r="AC458">
        <v>256</v>
      </c>
      <c r="AD458" t="s">
        <v>91</v>
      </c>
      <c r="AE458">
        <v>0.15</v>
      </c>
      <c r="AF458" t="s">
        <v>92</v>
      </c>
      <c r="AG458">
        <v>180</v>
      </c>
      <c r="AH458">
        <v>60</v>
      </c>
      <c r="AI458">
        <v>120</v>
      </c>
      <c r="AJ458">
        <v>0.1117551614991536</v>
      </c>
      <c r="AK458">
        <v>32.152717245871052</v>
      </c>
      <c r="AL458">
        <v>0.69329534496220924</v>
      </c>
      <c r="AM458">
        <v>0.24416642261153479</v>
      </c>
      <c r="AN458">
        <v>37.89001785678937</v>
      </c>
      <c r="AO458">
        <v>0.61993052343324273</v>
      </c>
      <c r="AP458">
        <v>37.89001785678937</v>
      </c>
      <c r="AQ458">
        <v>37.89001785678937</v>
      </c>
      <c r="AR458">
        <v>0.61993052343324273</v>
      </c>
      <c r="AS458">
        <v>96.717439386619986</v>
      </c>
      <c r="AT458">
        <v>0.16324737095293579</v>
      </c>
      <c r="AU458">
        <v>0.8</v>
      </c>
      <c r="AV458" t="s">
        <v>93</v>
      </c>
      <c r="AW458">
        <v>8.9528379868884511E-2</v>
      </c>
      <c r="AX458">
        <v>0.3499082056689562</v>
      </c>
      <c r="AY458">
        <v>8.9528379868884511E-2</v>
      </c>
      <c r="AZ458">
        <v>8.9528379868884511E-2</v>
      </c>
      <c r="BA458">
        <v>0.3499082056689562</v>
      </c>
      <c r="BB458">
        <v>0.12999829299401081</v>
      </c>
      <c r="BC458">
        <v>5.6044310460924063E-2</v>
      </c>
      <c r="BD458">
        <v>5.5569882969472691E-2</v>
      </c>
      <c r="BE458">
        <v>0.80746222423812319</v>
      </c>
      <c r="BF458">
        <v>5.5569882969472691E-2</v>
      </c>
      <c r="BG458">
        <v>5.5569882969472691E-2</v>
      </c>
      <c r="BH458">
        <v>0.80746222423812319</v>
      </c>
      <c r="BI458">
        <v>0.20396792877058009</v>
      </c>
      <c r="BJ458">
        <v>0.29329469069031089</v>
      </c>
      <c r="BK458">
        <v>6.1491680515577962E-2</v>
      </c>
      <c r="BL458">
        <v>0.75313035266563344</v>
      </c>
      <c r="BM458">
        <v>6.1491680515577962E-2</v>
      </c>
      <c r="BN458">
        <v>6.1491680515577962E-2</v>
      </c>
      <c r="BO458">
        <v>0.75313035266563344</v>
      </c>
      <c r="BP458">
        <v>0.14861033469033039</v>
      </c>
      <c r="BQ458">
        <v>0.40337651195026519</v>
      </c>
      <c r="BR458">
        <v>151.35348148380399</v>
      </c>
      <c r="BS458">
        <v>0.56922131116026553</v>
      </c>
      <c r="BT458">
        <v>151.35348148380399</v>
      </c>
      <c r="BU458">
        <v>151.35348148380399</v>
      </c>
      <c r="BV458">
        <v>0.56922131116026553</v>
      </c>
      <c r="BW458">
        <v>386.38718099002472</v>
      </c>
      <c r="BX458">
        <v>-9.9726029289753715E-2</v>
      </c>
      <c r="BY458" t="str">
        <f t="shared" si="17"/>
        <v>[[sv,wv],[yr],[ya]]</v>
      </c>
      <c r="BZ458" t="str">
        <f>SUBSTITUTE(TRIM(MID(SUBSTITUTE(SUBSTITUTE(SUBSTITUTE(Tabla1[[#This Row],[map]],"[",""),"]",""),",",REPT(" ",100)),901,200))," ",", ")</f>
        <v>2, 4</v>
      </c>
      <c r="CA458" t="str">
        <f>SUBSTITUTE(TRIM(MID(SUBSTITUTE(SUBSTITUTE(SUBSTITUTE(Tabla1[[#This Row],[map]],"[",""),"]",""),",",REPT(" ",100)),1501,200))," ",", ")</f>
        <v>3, 2</v>
      </c>
      <c r="CB458" t="str">
        <f>SUBSTITUTE(TRIM(MID(SUBSTITUTE(SUBSTITUTE(SUBSTITUTE(Tabla1[[#This Row],[map]],"[",""),"]",""),",",REPT(" ",100)),601,300))," ",", ")</f>
        <v>0, 1, 3</v>
      </c>
      <c r="CC458" t="str">
        <f>SUBSTITUTE(TRIM(MID(SUBSTITUTE(SUBSTITUTE(SUBSTITUTE(Tabla1[[#This Row],[map]],"[",""),"]",""),",",REPT(" ",100)),1201,300))," ",", ")</f>
        <v>4, 0, 1</v>
      </c>
      <c r="CD458" t="str">
        <f>SUBSTITUTE(TRIM(MID(SUBSTITUTE(SUBSTITUTE(SUBSTITUTE(Tabla1[[#This Row],[map]],"[",""),"]",""),",",REPT(" ",100)),1,300))," ",", ")</f>
        <v>2, 3, 4</v>
      </c>
      <c r="CE458" t="str">
        <f>SUBSTITUTE(TRIM(MID(SUBSTITUTE(SUBSTITUTE(SUBSTITUTE(Tabla1[[#This Row],[map]],"[",""),"]",""),",",REPT(" ",100)),1,600))," ",", ")</f>
        <v>2, 3, 4, 0, 1, -1</v>
      </c>
      <c r="CF458" t="str">
        <f>SUBSTITUTE(TRIM(MID(SUBSTITUTE(SUBSTITUTE(SUBSTITUTE(Tabla1[[#This Row],[map]],"[",""),"]",""),",",REPT(" ",100)),601,600))," ",", ")</f>
        <v>0, 1, 3, 2, 4, -1</v>
      </c>
      <c r="CG458" t="str">
        <f>SUBSTITUTE(TRIM(MID(SUBSTITUTE(SUBSTITUTE(SUBSTITUTE(Tabla1[[#This Row],[map]],"[",""),"]",""),",",REPT(" ",100)),1201,600))," ",", ")</f>
        <v>4, 0, 1, 3, 2, -1</v>
      </c>
    </row>
    <row r="459" spans="1:85" x14ac:dyDescent="0.3">
      <c r="A459" s="1">
        <v>46111.553900462961</v>
      </c>
      <c r="B459" t="s">
        <v>714</v>
      </c>
      <c r="C459">
        <v>7</v>
      </c>
      <c r="D459" t="s">
        <v>77</v>
      </c>
      <c r="E459" t="s">
        <v>78</v>
      </c>
      <c r="F459">
        <v>16590</v>
      </c>
      <c r="G459">
        <v>4.5</v>
      </c>
      <c r="H459" t="s">
        <v>79</v>
      </c>
      <c r="I459" t="s">
        <v>80</v>
      </c>
      <c r="J459">
        <v>5</v>
      </c>
      <c r="K459">
        <v>5</v>
      </c>
      <c r="L459" t="s">
        <v>81</v>
      </c>
      <c r="M459" t="s">
        <v>82</v>
      </c>
      <c r="N459" t="s">
        <v>83</v>
      </c>
      <c r="O459" t="s">
        <v>83</v>
      </c>
      <c r="P459" t="s">
        <v>84</v>
      </c>
      <c r="Q459" t="s">
        <v>153</v>
      </c>
      <c r="R459">
        <v>3</v>
      </c>
      <c r="S459" t="s">
        <v>86</v>
      </c>
      <c r="T459" t="s">
        <v>87</v>
      </c>
      <c r="U459" t="s">
        <v>88</v>
      </c>
      <c r="V459">
        <v>1</v>
      </c>
      <c r="W459" t="s">
        <v>154</v>
      </c>
      <c r="X459" t="s">
        <v>83</v>
      </c>
      <c r="Y459" t="s">
        <v>90</v>
      </c>
      <c r="Z459">
        <v>4000</v>
      </c>
      <c r="AA459">
        <v>4000</v>
      </c>
      <c r="AC459">
        <v>256</v>
      </c>
      <c r="AD459" t="s">
        <v>91</v>
      </c>
      <c r="AE459">
        <v>0.15</v>
      </c>
      <c r="AF459" t="s">
        <v>92</v>
      </c>
      <c r="AG459">
        <v>180</v>
      </c>
      <c r="AH459">
        <v>60</v>
      </c>
      <c r="AI459">
        <v>120</v>
      </c>
      <c r="AJ459">
        <v>0.1119803409802983</v>
      </c>
      <c r="AK459">
        <v>29.00999886570586</v>
      </c>
      <c r="AL459">
        <v>0.63377067183951963</v>
      </c>
      <c r="AM459">
        <v>-4.4142026249716471E-2</v>
      </c>
      <c r="AN459">
        <v>34.012032671518497</v>
      </c>
      <c r="AO459">
        <v>0.6081907756132523</v>
      </c>
      <c r="AP459">
        <v>34.012032671518497</v>
      </c>
      <c r="AQ459">
        <v>34.012032671518497</v>
      </c>
      <c r="AR459">
        <v>0.6081907756132523</v>
      </c>
      <c r="AS459">
        <v>114.8722896861419</v>
      </c>
      <c r="AT459">
        <v>-9.7024185228730131E-2</v>
      </c>
      <c r="AU459">
        <v>0.8</v>
      </c>
      <c r="AV459" t="s">
        <v>93</v>
      </c>
      <c r="AW459">
        <v>0.1041961308755828</v>
      </c>
      <c r="AX459">
        <v>0.24340136856646219</v>
      </c>
      <c r="AY459">
        <v>0.1041961308755828</v>
      </c>
      <c r="AZ459">
        <v>0.1041961308755828</v>
      </c>
      <c r="BA459">
        <v>0.24340136856646219</v>
      </c>
      <c r="BB459">
        <v>0.1570797784718769</v>
      </c>
      <c r="BC459">
        <v>-0.14060228934619359</v>
      </c>
      <c r="BD459">
        <v>5.051616753295906E-2</v>
      </c>
      <c r="BE459">
        <v>0.82497226884293784</v>
      </c>
      <c r="BF459">
        <v>5.051616753295906E-2</v>
      </c>
      <c r="BG459">
        <v>5.051616753295906E-2</v>
      </c>
      <c r="BH459">
        <v>0.82497226884293784</v>
      </c>
      <c r="BI459">
        <v>0.36501995381775282</v>
      </c>
      <c r="BJ459">
        <v>-0.26471617828278488</v>
      </c>
      <c r="BK459">
        <v>6.2024922402634582E-2</v>
      </c>
      <c r="BL459">
        <v>0.7509895551545257</v>
      </c>
      <c r="BM459">
        <v>6.2024922402634582E-2</v>
      </c>
      <c r="BN459">
        <v>6.2024922402634582E-2</v>
      </c>
      <c r="BO459">
        <v>0.7509895551545257</v>
      </c>
      <c r="BP459">
        <v>0.16862026767328819</v>
      </c>
      <c r="BQ459">
        <v>0.3230429602036079</v>
      </c>
      <c r="BR459">
        <v>135.83139346526269</v>
      </c>
      <c r="BS459">
        <v>0.61339990988908077</v>
      </c>
      <c r="BT459">
        <v>135.83139346526269</v>
      </c>
      <c r="BU459">
        <v>135.83139346526269</v>
      </c>
      <c r="BV459">
        <v>0.61339990988908077</v>
      </c>
      <c r="BW459">
        <v>458.79843874460403</v>
      </c>
      <c r="BX459">
        <v>-0.30582123348954399</v>
      </c>
      <c r="BY459" t="str">
        <f t="shared" si="17"/>
        <v>[[sv,wv],[yr],[ya]]</v>
      </c>
      <c r="BZ459" t="str">
        <f>SUBSTITUTE(TRIM(MID(SUBSTITUTE(SUBSTITUTE(SUBSTITUTE(Tabla1[[#This Row],[map]],"[",""),"]",""),",",REPT(" ",100)),901,200))," ",", ")</f>
        <v>2, 4</v>
      </c>
      <c r="CA459" t="str">
        <f>SUBSTITUTE(TRIM(MID(SUBSTITUTE(SUBSTITUTE(SUBSTITUTE(Tabla1[[#This Row],[map]],"[",""),"]",""),",",REPT(" ",100)),1501,200))," ",", ")</f>
        <v>3, 2</v>
      </c>
      <c r="CB459" t="str">
        <f>SUBSTITUTE(TRIM(MID(SUBSTITUTE(SUBSTITUTE(SUBSTITUTE(Tabla1[[#This Row],[map]],"[",""),"]",""),",",REPT(" ",100)),601,300))," ",", ")</f>
        <v>0, 1, 3</v>
      </c>
      <c r="CC459" t="str">
        <f>SUBSTITUTE(TRIM(MID(SUBSTITUTE(SUBSTITUTE(SUBSTITUTE(Tabla1[[#This Row],[map]],"[",""),"]",""),",",REPT(" ",100)),1201,300))," ",", ")</f>
        <v>4, 0, 1</v>
      </c>
      <c r="CD459" t="str">
        <f>SUBSTITUTE(TRIM(MID(SUBSTITUTE(SUBSTITUTE(SUBSTITUTE(Tabla1[[#This Row],[map]],"[",""),"]",""),",",REPT(" ",100)),1,300))," ",", ")</f>
        <v>2, 3, 4</v>
      </c>
      <c r="CE459" t="str">
        <f>SUBSTITUTE(TRIM(MID(SUBSTITUTE(SUBSTITUTE(SUBSTITUTE(Tabla1[[#This Row],[map]],"[",""),"]",""),",",REPT(" ",100)),1,600))," ",", ")</f>
        <v>2, 3, 4, 0, 1, -1</v>
      </c>
      <c r="CF459" t="str">
        <f>SUBSTITUTE(TRIM(MID(SUBSTITUTE(SUBSTITUTE(SUBSTITUTE(Tabla1[[#This Row],[map]],"[",""),"]",""),",",REPT(" ",100)),601,600))," ",", ")</f>
        <v>0, 1, 3, 2, 4, -1</v>
      </c>
      <c r="CG459" t="str">
        <f>SUBSTITUTE(TRIM(MID(SUBSTITUTE(SUBSTITUTE(SUBSTITUTE(Tabla1[[#This Row],[map]],"[",""),"]",""),",",REPT(" ",100)),1201,600))," ",", ")</f>
        <v>4, 0, 1, 3, 2, -1</v>
      </c>
    </row>
    <row r="460" spans="1:85" x14ac:dyDescent="0.3">
      <c r="A460" s="1">
        <v>46111.556180555563</v>
      </c>
      <c r="B460" t="s">
        <v>715</v>
      </c>
      <c r="C460">
        <v>6</v>
      </c>
      <c r="D460" t="s">
        <v>96</v>
      </c>
      <c r="E460" t="s">
        <v>78</v>
      </c>
      <c r="F460">
        <v>16590</v>
      </c>
      <c r="G460">
        <v>4.5</v>
      </c>
      <c r="H460" t="s">
        <v>79</v>
      </c>
      <c r="I460" t="s">
        <v>80</v>
      </c>
      <c r="J460">
        <v>5</v>
      </c>
      <c r="K460">
        <v>5</v>
      </c>
      <c r="L460" t="s">
        <v>81</v>
      </c>
      <c r="M460" t="s">
        <v>82</v>
      </c>
      <c r="N460" t="s">
        <v>83</v>
      </c>
      <c r="O460" t="s">
        <v>83</v>
      </c>
      <c r="P460" t="s">
        <v>84</v>
      </c>
      <c r="Q460" t="s">
        <v>183</v>
      </c>
      <c r="R460">
        <v>3</v>
      </c>
      <c r="S460" t="s">
        <v>86</v>
      </c>
      <c r="T460" t="s">
        <v>87</v>
      </c>
      <c r="U460" t="s">
        <v>88</v>
      </c>
      <c r="V460">
        <v>1</v>
      </c>
      <c r="W460" t="s">
        <v>184</v>
      </c>
      <c r="X460" t="s">
        <v>83</v>
      </c>
      <c r="Y460" t="s">
        <v>90</v>
      </c>
      <c r="Z460">
        <v>4000</v>
      </c>
      <c r="AA460">
        <v>4000</v>
      </c>
      <c r="AC460">
        <v>256</v>
      </c>
      <c r="AD460" t="s">
        <v>91</v>
      </c>
      <c r="AE460">
        <v>0.15</v>
      </c>
      <c r="AF460" t="s">
        <v>92</v>
      </c>
      <c r="AG460">
        <v>180</v>
      </c>
      <c r="AH460">
        <v>60</v>
      </c>
      <c r="AI460">
        <v>120</v>
      </c>
      <c r="AJ460">
        <v>0.1192440800597418</v>
      </c>
      <c r="AK460">
        <v>33.223922308810387</v>
      </c>
      <c r="AL460">
        <v>0.67267249920339123</v>
      </c>
      <c r="AM460">
        <v>-0.16360788452246569</v>
      </c>
      <c r="AN460">
        <v>41.863131441766733</v>
      </c>
      <c r="AO460">
        <v>0.58156037875400535</v>
      </c>
      <c r="AP460">
        <v>41.863131441766733</v>
      </c>
      <c r="AQ460">
        <v>41.863131441766733</v>
      </c>
      <c r="AR460">
        <v>0.58156037875400535</v>
      </c>
      <c r="AS460">
        <v>98.396637691339535</v>
      </c>
      <c r="AT460">
        <v>-0.30777818642202348</v>
      </c>
      <c r="AU460">
        <v>0.8</v>
      </c>
      <c r="AV460" t="s">
        <v>93</v>
      </c>
      <c r="AW460">
        <v>7.063364981468831E-2</v>
      </c>
      <c r="AX460">
        <v>0.48710837596492462</v>
      </c>
      <c r="AY460">
        <v>7.063364981468831E-2</v>
      </c>
      <c r="AZ460">
        <v>7.063364981468831E-2</v>
      </c>
      <c r="BA460">
        <v>0.48710837596492462</v>
      </c>
      <c r="BB460">
        <v>0.2074955683505271</v>
      </c>
      <c r="BC460">
        <v>-0.5066861093910533</v>
      </c>
      <c r="BD460">
        <v>6.8950138962750027E-2</v>
      </c>
      <c r="BE460">
        <v>0.76110249500339766</v>
      </c>
      <c r="BF460">
        <v>6.8950138962750027E-2</v>
      </c>
      <c r="BG460">
        <v>6.8950138962750027E-2</v>
      </c>
      <c r="BH460">
        <v>0.76110249500339766</v>
      </c>
      <c r="BI460">
        <v>0.36381501968502911</v>
      </c>
      <c r="BJ460">
        <v>-0.26054133886515229</v>
      </c>
      <c r="BK460">
        <v>0.1111129817180684</v>
      </c>
      <c r="BL460">
        <v>0.55391652364972543</v>
      </c>
      <c r="BM460">
        <v>0.1111129817180684</v>
      </c>
      <c r="BN460">
        <v>0.1111129817180684</v>
      </c>
      <c r="BO460">
        <v>0.55391652364972543</v>
      </c>
      <c r="BP460">
        <v>0.3353312879666227</v>
      </c>
      <c r="BQ460">
        <v>-0.34624905526085348</v>
      </c>
      <c r="BR460">
        <v>167.20182899657109</v>
      </c>
      <c r="BS460">
        <v>0.52411412039797822</v>
      </c>
      <c r="BT460">
        <v>167.20182899657109</v>
      </c>
      <c r="BU460">
        <v>167.20182899657109</v>
      </c>
      <c r="BV460">
        <v>0.52411412039797822</v>
      </c>
      <c r="BW460">
        <v>392.67990888935441</v>
      </c>
      <c r="BX460">
        <v>-0.1176362421710382</v>
      </c>
      <c r="BY460" t="str">
        <f t="shared" si="17"/>
        <v>[[sv,wv],[yr],[ya]]</v>
      </c>
      <c r="BZ460" t="str">
        <f>SUBSTITUTE(TRIM(MID(SUBSTITUTE(SUBSTITUTE(SUBSTITUTE(Tabla1[[#This Row],[map]],"[",""),"]",""),",",REPT(" ",100)),901,200))," ",", ")</f>
        <v>2, 4</v>
      </c>
      <c r="CA460" t="str">
        <f>SUBSTITUTE(TRIM(MID(SUBSTITUTE(SUBSTITUTE(SUBSTITUTE(Tabla1[[#This Row],[map]],"[",""),"]",""),",",REPT(" ",100)),1501,200))," ",", ")</f>
        <v>3, 4</v>
      </c>
      <c r="CB460" t="str">
        <f>SUBSTITUTE(TRIM(MID(SUBSTITUTE(SUBSTITUTE(SUBSTITUTE(Tabla1[[#This Row],[map]],"[",""),"]",""),",",REPT(" ",100)),601,300))," ",", ")</f>
        <v>3, 0, 1</v>
      </c>
      <c r="CC460" t="str">
        <f>SUBSTITUTE(TRIM(MID(SUBSTITUTE(SUBSTITUTE(SUBSTITUTE(Tabla1[[#This Row],[map]],"[",""),"]",""),",",REPT(" ",100)),1201,300))," ",", ")</f>
        <v>2, 0, 1</v>
      </c>
      <c r="CD460" t="str">
        <f>SUBSTITUTE(TRIM(MID(SUBSTITUTE(SUBSTITUTE(SUBSTITUTE(Tabla1[[#This Row],[map]],"[",""),"]",""),",",REPT(" ",100)),1,300))," ",", ")</f>
        <v>2, 3, 4</v>
      </c>
      <c r="CE460" t="str">
        <f>SUBSTITUTE(TRIM(MID(SUBSTITUTE(SUBSTITUTE(SUBSTITUTE(Tabla1[[#This Row],[map]],"[",""),"]",""),",",REPT(" ",100)),1,600))," ",", ")</f>
        <v>2, 3, 4, 0, 1, -1</v>
      </c>
      <c r="CF460" t="str">
        <f>SUBSTITUTE(TRIM(MID(SUBSTITUTE(SUBSTITUTE(SUBSTITUTE(Tabla1[[#This Row],[map]],"[",""),"]",""),",",REPT(" ",100)),601,600))," ",", ")</f>
        <v>3, 0, 1, 2, 4, -1</v>
      </c>
      <c r="CG460" t="str">
        <f>SUBSTITUTE(TRIM(MID(SUBSTITUTE(SUBSTITUTE(SUBSTITUTE(Tabla1[[#This Row],[map]],"[",""),"]",""),",",REPT(" ",100)),1201,600))," ",", ")</f>
        <v>2, 0, 1, 3, 4, -1</v>
      </c>
    </row>
    <row r="461" spans="1:85" x14ac:dyDescent="0.3">
      <c r="A461" s="1">
        <v>46111.558113425926</v>
      </c>
      <c r="B461" t="s">
        <v>716</v>
      </c>
      <c r="C461">
        <v>8</v>
      </c>
      <c r="D461" t="s">
        <v>77</v>
      </c>
      <c r="E461" t="s">
        <v>78</v>
      </c>
      <c r="F461">
        <v>16590</v>
      </c>
      <c r="G461">
        <v>4.5</v>
      </c>
      <c r="H461" t="s">
        <v>79</v>
      </c>
      <c r="I461" t="s">
        <v>80</v>
      </c>
      <c r="J461">
        <v>5</v>
      </c>
      <c r="K461">
        <v>5</v>
      </c>
      <c r="L461" t="s">
        <v>81</v>
      </c>
      <c r="M461" t="s">
        <v>82</v>
      </c>
      <c r="N461" t="s">
        <v>83</v>
      </c>
      <c r="O461" t="s">
        <v>83</v>
      </c>
      <c r="P461" t="s">
        <v>84</v>
      </c>
      <c r="Q461" t="s">
        <v>219</v>
      </c>
      <c r="R461">
        <v>3</v>
      </c>
      <c r="S461" t="s">
        <v>86</v>
      </c>
      <c r="T461" t="s">
        <v>87</v>
      </c>
      <c r="U461" t="s">
        <v>88</v>
      </c>
      <c r="V461">
        <v>1</v>
      </c>
      <c r="W461" t="s">
        <v>220</v>
      </c>
      <c r="X461" t="s">
        <v>83</v>
      </c>
      <c r="Y461" t="s">
        <v>90</v>
      </c>
      <c r="Z461">
        <v>4000</v>
      </c>
      <c r="AA461">
        <v>4000</v>
      </c>
      <c r="AC461">
        <v>256</v>
      </c>
      <c r="AD461" t="s">
        <v>91</v>
      </c>
      <c r="AE461">
        <v>0.15</v>
      </c>
      <c r="AF461" t="s">
        <v>92</v>
      </c>
      <c r="AG461">
        <v>180</v>
      </c>
      <c r="AH461">
        <v>60</v>
      </c>
      <c r="AI461">
        <v>120</v>
      </c>
      <c r="AJ461">
        <v>0.1397111129780331</v>
      </c>
      <c r="AK461">
        <v>18.19468955494207</v>
      </c>
      <c r="AL461">
        <v>0.56052511801300842</v>
      </c>
      <c r="AM461">
        <v>0.2748587956724588</v>
      </c>
      <c r="AN461">
        <v>17.609288972576731</v>
      </c>
      <c r="AO461">
        <v>0.52980297642842844</v>
      </c>
      <c r="AP461">
        <v>17.609288972576731</v>
      </c>
      <c r="AQ461">
        <v>17.609288972576731</v>
      </c>
      <c r="AR461">
        <v>0.52980297642842844</v>
      </c>
      <c r="AS461">
        <v>69.775332275959229</v>
      </c>
      <c r="AT461">
        <v>0.28257022315468638</v>
      </c>
      <c r="AU461">
        <v>0.8</v>
      </c>
      <c r="AV461" t="s">
        <v>93</v>
      </c>
      <c r="AW461">
        <v>0.1212659984227738</v>
      </c>
      <c r="AX461">
        <v>0.11945205954290671</v>
      </c>
      <c r="AY461">
        <v>0.1212659984227738</v>
      </c>
      <c r="AZ461">
        <v>0.1212659984227738</v>
      </c>
      <c r="BA461">
        <v>0.11945205954290671</v>
      </c>
      <c r="BB461">
        <v>0.13377039133763921</v>
      </c>
      <c r="BC461">
        <v>2.865399931943036E-2</v>
      </c>
      <c r="BD461">
        <v>8.2563916814918897E-2</v>
      </c>
      <c r="BE461">
        <v>0.71393366240368117</v>
      </c>
      <c r="BF461">
        <v>8.2563916814918897E-2</v>
      </c>
      <c r="BG461">
        <v>8.2563916814918897E-2</v>
      </c>
      <c r="BH461">
        <v>0.71393366240368117</v>
      </c>
      <c r="BI461">
        <v>0.114623278324072</v>
      </c>
      <c r="BJ461">
        <v>0.60285482207736263</v>
      </c>
      <c r="BK461">
        <v>0.12818998451608801</v>
      </c>
      <c r="BL461">
        <v>0.48535775890419081</v>
      </c>
      <c r="BM461">
        <v>0.12818998451608801</v>
      </c>
      <c r="BN461">
        <v>0.12818998451608801</v>
      </c>
      <c r="BO461">
        <v>0.48535775890419081</v>
      </c>
      <c r="BP461">
        <v>0.17636888697273259</v>
      </c>
      <c r="BQ461">
        <v>0.29193470461938292</v>
      </c>
      <c r="BR461">
        <v>70.105135990553151</v>
      </c>
      <c r="BS461">
        <v>0.80046842486293657</v>
      </c>
      <c r="BT461">
        <v>70.105135990553151</v>
      </c>
      <c r="BU461">
        <v>70.105135990553151</v>
      </c>
      <c r="BV461">
        <v>0.80046842486293657</v>
      </c>
      <c r="BW461">
        <v>278.67656654720219</v>
      </c>
      <c r="BX461">
        <v>0.20683736660257229</v>
      </c>
      <c r="BY461" t="str">
        <f t="shared" si="17"/>
        <v>[[sv,wv],[yr],[ya]]</v>
      </c>
      <c r="BZ461" t="str">
        <f>SUBSTITUTE(TRIM(MID(SUBSTITUTE(SUBSTITUTE(SUBSTITUTE(Tabla1[[#This Row],[map]],"[",""),"]",""),",",REPT(" ",100)),901,200))," ",", ")</f>
        <v>2, 3</v>
      </c>
      <c r="CA461" t="str">
        <f>SUBSTITUTE(TRIM(MID(SUBSTITUTE(SUBSTITUTE(SUBSTITUTE(Tabla1[[#This Row],[map]],"[",""),"]",""),",",REPT(" ",100)),1501,200))," ",", ")</f>
        <v>3, 4</v>
      </c>
      <c r="CB461" t="str">
        <f>SUBSTITUTE(TRIM(MID(SUBSTITUTE(SUBSTITUTE(SUBSTITUTE(Tabla1[[#This Row],[map]],"[",""),"]",""),",",REPT(" ",100)),601,300))," ",", ")</f>
        <v>0, 1, 4</v>
      </c>
      <c r="CC461" t="str">
        <f>SUBSTITUTE(TRIM(MID(SUBSTITUTE(SUBSTITUTE(SUBSTITUTE(Tabla1[[#This Row],[map]],"[",""),"]",""),",",REPT(" ",100)),1201,300))," ",", ")</f>
        <v>0, 1, 2</v>
      </c>
      <c r="CD461" t="str">
        <f>SUBSTITUTE(TRIM(MID(SUBSTITUTE(SUBSTITUTE(SUBSTITUTE(Tabla1[[#This Row],[map]],"[",""),"]",""),",",REPT(" ",100)),1,300))," ",", ")</f>
        <v>4, 2, 3</v>
      </c>
      <c r="CE461" t="str">
        <f>SUBSTITUTE(TRIM(MID(SUBSTITUTE(SUBSTITUTE(SUBSTITUTE(Tabla1[[#This Row],[map]],"[",""),"]",""),",",REPT(" ",100)),1,600))," ",", ")</f>
        <v>4, 2, 3, 0, 1, -1</v>
      </c>
      <c r="CF461" t="str">
        <f>SUBSTITUTE(TRIM(MID(SUBSTITUTE(SUBSTITUTE(SUBSTITUTE(Tabla1[[#This Row],[map]],"[",""),"]",""),",",REPT(" ",100)),601,600))," ",", ")</f>
        <v>0, 1, 4, 2, 3, -1</v>
      </c>
      <c r="CG461" t="str">
        <f>SUBSTITUTE(TRIM(MID(SUBSTITUTE(SUBSTITUTE(SUBSTITUTE(Tabla1[[#This Row],[map]],"[",""),"]",""),",",REPT(" ",100)),1201,600))," ",", ")</f>
        <v>0, 1, 2, 3, 4, -1</v>
      </c>
    </row>
    <row r="462" spans="1:85" x14ac:dyDescent="0.3">
      <c r="A462" s="1">
        <v>46111.579641203702</v>
      </c>
      <c r="B462" t="s">
        <v>717</v>
      </c>
      <c r="C462">
        <v>6</v>
      </c>
      <c r="D462" t="s">
        <v>96</v>
      </c>
      <c r="E462" t="s">
        <v>78</v>
      </c>
      <c r="F462">
        <v>16590</v>
      </c>
      <c r="G462">
        <v>4.5</v>
      </c>
      <c r="H462" t="s">
        <v>79</v>
      </c>
      <c r="I462" t="s">
        <v>80</v>
      </c>
      <c r="J462">
        <v>5</v>
      </c>
      <c r="K462">
        <v>5</v>
      </c>
      <c r="L462" t="s">
        <v>81</v>
      </c>
      <c r="M462" t="s">
        <v>82</v>
      </c>
      <c r="N462" t="s">
        <v>83</v>
      </c>
      <c r="O462" t="s">
        <v>83</v>
      </c>
      <c r="P462" t="s">
        <v>84</v>
      </c>
      <c r="Q462" t="s">
        <v>493</v>
      </c>
      <c r="R462">
        <v>3</v>
      </c>
      <c r="S462" t="s">
        <v>86</v>
      </c>
      <c r="T462" t="s">
        <v>87</v>
      </c>
      <c r="U462" t="s">
        <v>88</v>
      </c>
      <c r="V462">
        <v>1</v>
      </c>
      <c r="W462" t="s">
        <v>494</v>
      </c>
      <c r="X462" t="s">
        <v>83</v>
      </c>
      <c r="Y462" t="s">
        <v>90</v>
      </c>
      <c r="Z462">
        <v>4000</v>
      </c>
      <c r="AA462">
        <v>4000</v>
      </c>
      <c r="AC462">
        <v>256</v>
      </c>
      <c r="AD462" t="s">
        <v>91</v>
      </c>
      <c r="AE462">
        <v>0.15</v>
      </c>
      <c r="AF462" t="s">
        <v>92</v>
      </c>
      <c r="AG462">
        <v>180</v>
      </c>
      <c r="AH462">
        <v>60</v>
      </c>
      <c r="AI462">
        <v>120</v>
      </c>
      <c r="AJ462">
        <v>0.11602746868994041</v>
      </c>
      <c r="AK462">
        <v>18.536176784205029</v>
      </c>
      <c r="AL462">
        <v>0.69903841242710874</v>
      </c>
      <c r="AM462">
        <v>1.44145509417089E-2</v>
      </c>
      <c r="AN462">
        <v>23.83619958029086</v>
      </c>
      <c r="AO462">
        <v>0.66851449715467803</v>
      </c>
      <c r="AP462">
        <v>23.83619958029086</v>
      </c>
      <c r="AQ462">
        <v>23.83619958029086</v>
      </c>
      <c r="AR462">
        <v>0.66851449715467803</v>
      </c>
      <c r="AS462">
        <v>132.87858051390049</v>
      </c>
      <c r="AT462">
        <v>1.8837188873939901E-2</v>
      </c>
      <c r="AU462">
        <v>0.8</v>
      </c>
      <c r="AV462" t="s">
        <v>93</v>
      </c>
      <c r="AW462">
        <v>8.1243958339314276E-2</v>
      </c>
      <c r="AX462">
        <v>0.41006381738716652</v>
      </c>
      <c r="AY462">
        <v>8.1243958339314276E-2</v>
      </c>
      <c r="AZ462">
        <v>8.1243958339314276E-2</v>
      </c>
      <c r="BA462">
        <v>0.41006381738716652</v>
      </c>
      <c r="BB462">
        <v>0.1500098213870891</v>
      </c>
      <c r="BC462">
        <v>-8.9265259749273573E-2</v>
      </c>
      <c r="BD462">
        <v>8.7717445670286429E-2</v>
      </c>
      <c r="BE462">
        <v>0.6960777856208884</v>
      </c>
      <c r="BF462">
        <v>8.7717445670286429E-2</v>
      </c>
      <c r="BG462">
        <v>8.7717445670286429E-2</v>
      </c>
      <c r="BH462">
        <v>0.6960777856208884</v>
      </c>
      <c r="BI462">
        <v>0.1166103393413245</v>
      </c>
      <c r="BJ462">
        <v>0.59597008005307028</v>
      </c>
      <c r="BK462">
        <v>4.0180192763180488E-2</v>
      </c>
      <c r="BL462">
        <v>0.83868923512733817</v>
      </c>
      <c r="BM462">
        <v>4.0180192763180488E-2</v>
      </c>
      <c r="BN462">
        <v>4.0180192763180488E-2</v>
      </c>
      <c r="BO462">
        <v>0.83868923512733817</v>
      </c>
      <c r="BP462">
        <v>0.22915470830108711</v>
      </c>
      <c r="BQ462">
        <v>8.0016328241874435E-2</v>
      </c>
      <c r="BR462">
        <v>95.135656724390728</v>
      </c>
      <c r="BS462">
        <v>0.7292271504833171</v>
      </c>
      <c r="BT462">
        <v>95.135656724390728</v>
      </c>
      <c r="BU462">
        <v>95.135656724390728</v>
      </c>
      <c r="BV462">
        <v>0.7292271504833171</v>
      </c>
      <c r="BW462">
        <v>531.01854718657262</v>
      </c>
      <c r="BX462">
        <v>-0.51137239304991233</v>
      </c>
      <c r="BY462" t="str">
        <f t="shared" si="17"/>
        <v>[[sv,wv],[yr],[ya]]</v>
      </c>
      <c r="BZ462" t="str">
        <f>SUBSTITUTE(TRIM(MID(SUBSTITUTE(SUBSTITUTE(SUBSTITUTE(Tabla1[[#This Row],[map]],"[",""),"]",""),",",REPT(" ",100)),901,200))," ",", ")</f>
        <v>2, 3</v>
      </c>
      <c r="CA462" t="str">
        <f>SUBSTITUTE(TRIM(MID(SUBSTITUTE(SUBSTITUTE(SUBSTITUTE(Tabla1[[#This Row],[map]],"[",""),"]",""),",",REPT(" ",100)),1501,200))," ",", ")</f>
        <v>3, 4</v>
      </c>
      <c r="CB462" t="str">
        <f>SUBSTITUTE(TRIM(MID(SUBSTITUTE(SUBSTITUTE(SUBSTITUTE(Tabla1[[#This Row],[map]],"[",""),"]",""),",",REPT(" ",100)),601,300))," ",", ")</f>
        <v>1, 4, 0</v>
      </c>
      <c r="CC462" t="str">
        <f>SUBSTITUTE(TRIM(MID(SUBSTITUTE(SUBSTITUTE(SUBSTITUTE(Tabla1[[#This Row],[map]],"[",""),"]",""),",",REPT(" ",100)),1201,300))," ",", ")</f>
        <v>1, 2, 0</v>
      </c>
      <c r="CD462" t="str">
        <f>SUBSTITUTE(TRIM(MID(SUBSTITUTE(SUBSTITUTE(SUBSTITUTE(Tabla1[[#This Row],[map]],"[",""),"]",""),",",REPT(" ",100)),1,300))," ",", ")</f>
        <v>4, 2, 3</v>
      </c>
      <c r="CE462" t="str">
        <f>SUBSTITUTE(TRIM(MID(SUBSTITUTE(SUBSTITUTE(SUBSTITUTE(Tabla1[[#This Row],[map]],"[",""),"]",""),",",REPT(" ",100)),1,600))," ",", ")</f>
        <v>4, 2, 3, 0, 1, -1</v>
      </c>
      <c r="CF462" t="str">
        <f>SUBSTITUTE(TRIM(MID(SUBSTITUTE(SUBSTITUTE(SUBSTITUTE(Tabla1[[#This Row],[map]],"[",""),"]",""),",",REPT(" ",100)),601,600))," ",", ")</f>
        <v>1, 4, 0, 2, 3, -1</v>
      </c>
      <c r="CG462" t="str">
        <f>SUBSTITUTE(TRIM(MID(SUBSTITUTE(SUBSTITUTE(SUBSTITUTE(Tabla1[[#This Row],[map]],"[",""),"]",""),",",REPT(" ",100)),1201,600))," ",", ")</f>
        <v>1, 2, 0, 3, 4, -1</v>
      </c>
    </row>
    <row r="463" spans="1:85" x14ac:dyDescent="0.3">
      <c r="A463" s="1">
        <v>46111.605798611112</v>
      </c>
      <c r="B463" t="s">
        <v>718</v>
      </c>
      <c r="C463">
        <v>9</v>
      </c>
      <c r="D463" t="s">
        <v>77</v>
      </c>
      <c r="E463" t="s">
        <v>78</v>
      </c>
      <c r="F463">
        <v>16590</v>
      </c>
      <c r="G463">
        <v>4.5</v>
      </c>
      <c r="H463" t="s">
        <v>79</v>
      </c>
      <c r="I463" t="s">
        <v>80</v>
      </c>
      <c r="J463">
        <v>5</v>
      </c>
      <c r="K463">
        <v>5</v>
      </c>
      <c r="L463" t="s">
        <v>81</v>
      </c>
      <c r="M463" t="s">
        <v>82</v>
      </c>
      <c r="N463" t="s">
        <v>83</v>
      </c>
      <c r="O463" t="s">
        <v>83</v>
      </c>
      <c r="P463" t="s">
        <v>84</v>
      </c>
      <c r="Q463" t="s">
        <v>219</v>
      </c>
      <c r="R463">
        <v>3</v>
      </c>
      <c r="S463" t="s">
        <v>86</v>
      </c>
      <c r="T463" t="s">
        <v>87</v>
      </c>
      <c r="U463" t="s">
        <v>88</v>
      </c>
      <c r="V463">
        <v>1</v>
      </c>
      <c r="W463" t="s">
        <v>220</v>
      </c>
      <c r="X463" t="s">
        <v>83</v>
      </c>
      <c r="Y463" t="s">
        <v>90</v>
      </c>
      <c r="Z463">
        <v>4000</v>
      </c>
      <c r="AA463">
        <v>4000</v>
      </c>
      <c r="AC463">
        <v>256</v>
      </c>
      <c r="AD463" t="s">
        <v>91</v>
      </c>
      <c r="AE463">
        <v>0.15</v>
      </c>
      <c r="AF463" t="s">
        <v>92</v>
      </c>
      <c r="AG463">
        <v>180</v>
      </c>
      <c r="AH463">
        <v>60</v>
      </c>
      <c r="AI463">
        <v>120</v>
      </c>
      <c r="AJ463">
        <v>0.1238565089754332</v>
      </c>
      <c r="AK463">
        <v>19.05564731669287</v>
      </c>
      <c r="AL463">
        <v>0.7063963592853777</v>
      </c>
      <c r="AM463">
        <v>0.43852517078151598</v>
      </c>
      <c r="AN463">
        <v>20.72938694421644</v>
      </c>
      <c r="AO463">
        <v>0.63750293340980058</v>
      </c>
      <c r="AP463">
        <v>20.72938694421644</v>
      </c>
      <c r="AQ463">
        <v>20.72938694421644</v>
      </c>
      <c r="AR463">
        <v>0.63750293340980058</v>
      </c>
      <c r="AS463">
        <v>82.902946242490046</v>
      </c>
      <c r="AT463">
        <v>0.37287991583676772</v>
      </c>
      <c r="AU463">
        <v>0.8</v>
      </c>
      <c r="AV463" t="s">
        <v>93</v>
      </c>
      <c r="AW463">
        <v>7.4728651140656618E-2</v>
      </c>
      <c r="AX463">
        <v>0.45737337167147651</v>
      </c>
      <c r="AY463">
        <v>7.4728651140656618E-2</v>
      </c>
      <c r="AZ463">
        <v>7.4728651140656618E-2</v>
      </c>
      <c r="BA463">
        <v>0.45737337167147651</v>
      </c>
      <c r="BB463">
        <v>7.6274213761680129E-2</v>
      </c>
      <c r="BC463">
        <v>0.44615058869446239</v>
      </c>
      <c r="BD463">
        <v>8.1075471267011312E-2</v>
      </c>
      <c r="BE463">
        <v>0.7190908083219878</v>
      </c>
      <c r="BF463">
        <v>8.1075471267011312E-2</v>
      </c>
      <c r="BG463">
        <v>8.1075471267011312E-2</v>
      </c>
      <c r="BH463">
        <v>0.7190908083219878</v>
      </c>
      <c r="BI463">
        <v>0.14970848748424581</v>
      </c>
      <c r="BJ463">
        <v>0.48129206590688289</v>
      </c>
      <c r="BK463">
        <v>9.7436133088116064E-2</v>
      </c>
      <c r="BL463">
        <v>0.60882474488571015</v>
      </c>
      <c r="BM463">
        <v>9.7436133088116064E-2</v>
      </c>
      <c r="BN463">
        <v>9.7436133088116064E-2</v>
      </c>
      <c r="BO463">
        <v>0.60882474488571015</v>
      </c>
      <c r="BP463">
        <v>0.1228216693096489</v>
      </c>
      <c r="BQ463">
        <v>0.50690984644971804</v>
      </c>
      <c r="BR463">
        <v>82.664307521369665</v>
      </c>
      <c r="BS463">
        <v>0.76472280876002985</v>
      </c>
      <c r="BT463">
        <v>82.664307521369665</v>
      </c>
      <c r="BU463">
        <v>82.664307521369665</v>
      </c>
      <c r="BV463">
        <v>0.76472280876002985</v>
      </c>
      <c r="BW463">
        <v>331.26298059940513</v>
      </c>
      <c r="BX463">
        <v>5.7167162296003833E-2</v>
      </c>
      <c r="BY463" t="str">
        <f t="shared" si="17"/>
        <v>[[sv,wv],[yr],[ya]]</v>
      </c>
      <c r="BZ463" t="str">
        <f>SUBSTITUTE(TRIM(MID(SUBSTITUTE(SUBSTITUTE(SUBSTITUTE(Tabla1[[#This Row],[map]],"[",""),"]",""),",",REPT(" ",100)),901,200))," ",", ")</f>
        <v>2, 3</v>
      </c>
      <c r="CA463" t="str">
        <f>SUBSTITUTE(TRIM(MID(SUBSTITUTE(SUBSTITUTE(SUBSTITUTE(Tabla1[[#This Row],[map]],"[",""),"]",""),",",REPT(" ",100)),1501,200))," ",", ")</f>
        <v>3, 4</v>
      </c>
      <c r="CB463" t="str">
        <f>SUBSTITUTE(TRIM(MID(SUBSTITUTE(SUBSTITUTE(SUBSTITUTE(Tabla1[[#This Row],[map]],"[",""),"]",""),",",REPT(" ",100)),601,300))," ",", ")</f>
        <v>0, 1, 4</v>
      </c>
      <c r="CC463" t="str">
        <f>SUBSTITUTE(TRIM(MID(SUBSTITUTE(SUBSTITUTE(SUBSTITUTE(Tabla1[[#This Row],[map]],"[",""),"]",""),",",REPT(" ",100)),1201,300))," ",", ")</f>
        <v>0, 1, 2</v>
      </c>
      <c r="CD463" t="str">
        <f>SUBSTITUTE(TRIM(MID(SUBSTITUTE(SUBSTITUTE(SUBSTITUTE(Tabla1[[#This Row],[map]],"[",""),"]",""),",",REPT(" ",100)),1,300))," ",", ")</f>
        <v>4, 2, 3</v>
      </c>
      <c r="CE463" t="str">
        <f>SUBSTITUTE(TRIM(MID(SUBSTITUTE(SUBSTITUTE(SUBSTITUTE(Tabla1[[#This Row],[map]],"[",""),"]",""),",",REPT(" ",100)),1,600))," ",", ")</f>
        <v>4, 2, 3, 0, 1, -1</v>
      </c>
      <c r="CF463" t="str">
        <f>SUBSTITUTE(TRIM(MID(SUBSTITUTE(SUBSTITUTE(SUBSTITUTE(Tabla1[[#This Row],[map]],"[",""),"]",""),",",REPT(" ",100)),601,600))," ",", ")</f>
        <v>0, 1, 4, 2, 3, -1</v>
      </c>
      <c r="CG463" t="str">
        <f>SUBSTITUTE(TRIM(MID(SUBSTITUTE(SUBSTITUTE(SUBSTITUTE(Tabla1[[#This Row],[map]],"[",""),"]",""),",",REPT(" ",100)),1201,600))," ",", ")</f>
        <v>0, 1, 2, 3, 4, -1</v>
      </c>
    </row>
    <row r="464" spans="1:85" x14ac:dyDescent="0.3">
      <c r="A464" s="1">
        <v>46111.652025462958</v>
      </c>
      <c r="B464" t="s">
        <v>719</v>
      </c>
      <c r="C464">
        <v>5</v>
      </c>
      <c r="D464" t="s">
        <v>96</v>
      </c>
      <c r="E464" t="s">
        <v>78</v>
      </c>
      <c r="F464">
        <v>16590</v>
      </c>
      <c r="G464">
        <v>4.5</v>
      </c>
      <c r="H464" t="s">
        <v>79</v>
      </c>
      <c r="I464" t="s">
        <v>80</v>
      </c>
      <c r="J464">
        <v>5</v>
      </c>
      <c r="K464">
        <v>5</v>
      </c>
      <c r="L464" t="s">
        <v>81</v>
      </c>
      <c r="M464" t="s">
        <v>82</v>
      </c>
      <c r="N464" t="s">
        <v>83</v>
      </c>
      <c r="O464" t="s">
        <v>83</v>
      </c>
      <c r="P464" t="s">
        <v>84</v>
      </c>
      <c r="Q464" t="s">
        <v>303</v>
      </c>
      <c r="R464">
        <v>3</v>
      </c>
      <c r="S464" t="s">
        <v>86</v>
      </c>
      <c r="T464" t="s">
        <v>87</v>
      </c>
      <c r="U464" t="s">
        <v>88</v>
      </c>
      <c r="V464">
        <v>1</v>
      </c>
      <c r="W464" t="s">
        <v>304</v>
      </c>
      <c r="X464" t="s">
        <v>83</v>
      </c>
      <c r="Y464" t="s">
        <v>90</v>
      </c>
      <c r="Z464">
        <v>4000</v>
      </c>
      <c r="AA464">
        <v>4000</v>
      </c>
      <c r="AC464">
        <v>256</v>
      </c>
      <c r="AD464" t="s">
        <v>91</v>
      </c>
      <c r="AE464">
        <v>0.15</v>
      </c>
      <c r="AF464" t="s">
        <v>92</v>
      </c>
      <c r="AG464">
        <v>180</v>
      </c>
      <c r="AH464">
        <v>60</v>
      </c>
      <c r="AI464">
        <v>120</v>
      </c>
      <c r="AJ464">
        <v>0.14163589333589721</v>
      </c>
      <c r="AK464">
        <v>19.979399653333211</v>
      </c>
      <c r="AL464">
        <v>0.62374632110921868</v>
      </c>
      <c r="AM464">
        <v>-6.0705920828950377E-2</v>
      </c>
      <c r="AN464">
        <v>25.8103572100412</v>
      </c>
      <c r="AO464">
        <v>0.56718172395404887</v>
      </c>
      <c r="AP464">
        <v>25.8103572100412</v>
      </c>
      <c r="AQ464">
        <v>25.8103572100412</v>
      </c>
      <c r="AR464">
        <v>0.56718172395404887</v>
      </c>
      <c r="AS464">
        <v>122.26128601893529</v>
      </c>
      <c r="AT464">
        <v>-8.9209381418233175E-2</v>
      </c>
      <c r="AU464">
        <v>0.8</v>
      </c>
      <c r="AV464" t="s">
        <v>93</v>
      </c>
      <c r="AW464">
        <v>8.0878401522120225E-2</v>
      </c>
      <c r="AX464">
        <v>0.41271823252980228</v>
      </c>
      <c r="AY464">
        <v>8.0878401522120225E-2</v>
      </c>
      <c r="AZ464">
        <v>8.0878401522120225E-2</v>
      </c>
      <c r="BA464">
        <v>0.41271823252980228</v>
      </c>
      <c r="BB464">
        <v>0.18780150267913581</v>
      </c>
      <c r="BC464">
        <v>-0.36368172900643941</v>
      </c>
      <c r="BD464">
        <v>0.10233303105492191</v>
      </c>
      <c r="BE464">
        <v>0.64543790388924227</v>
      </c>
      <c r="BF464">
        <v>0.10233303105492191</v>
      </c>
      <c r="BG464">
        <v>0.10233303105492191</v>
      </c>
      <c r="BH464">
        <v>0.64543790388924227</v>
      </c>
      <c r="BI464">
        <v>0.1079871257249998</v>
      </c>
      <c r="BJ464">
        <v>0.62584767347033143</v>
      </c>
      <c r="BK464">
        <v>0.12366088708676209</v>
      </c>
      <c r="BL464">
        <v>0.50354065252078994</v>
      </c>
      <c r="BM464">
        <v>0.12366088708676209</v>
      </c>
      <c r="BN464">
        <v>0.12366088708676209</v>
      </c>
      <c r="BO464">
        <v>0.50354065252078994</v>
      </c>
      <c r="BP464">
        <v>0.30607835967865121</v>
      </c>
      <c r="BQ464">
        <v>-0.22880780094158751</v>
      </c>
      <c r="BR464">
        <v>102.9345565205013</v>
      </c>
      <c r="BS464">
        <v>0.7070301068763587</v>
      </c>
      <c r="BT464">
        <v>102.9345565205013</v>
      </c>
      <c r="BU464">
        <v>102.9345565205013</v>
      </c>
      <c r="BV464">
        <v>0.7070301068763587</v>
      </c>
      <c r="BW464">
        <v>488.44327708765547</v>
      </c>
      <c r="BX464">
        <v>-0.39019566919522092</v>
      </c>
      <c r="BY464" t="str">
        <f t="shared" si="17"/>
        <v>[[sv,wv],[yr],[ya]]</v>
      </c>
      <c r="BZ464" t="str">
        <f>SUBSTITUTE(TRIM(MID(SUBSTITUTE(SUBSTITUTE(SUBSTITUTE(Tabla1[[#This Row],[map]],"[",""),"]",""),",",REPT(" ",100)),901,200))," ",", ")</f>
        <v>2, 4</v>
      </c>
      <c r="CA464" t="str">
        <f>SUBSTITUTE(TRIM(MID(SUBSTITUTE(SUBSTITUTE(SUBSTITUTE(Tabla1[[#This Row],[map]],"[",""),"]",""),",",REPT(" ",100)),1501,200))," ",", ")</f>
        <v>3, 4</v>
      </c>
      <c r="CB464" t="str">
        <f>SUBSTITUTE(TRIM(MID(SUBSTITUTE(SUBSTITUTE(SUBSTITUTE(Tabla1[[#This Row],[map]],"[",""),"]",""),",",REPT(" ",100)),601,300))," ",", ")</f>
        <v>3, 0, 1</v>
      </c>
      <c r="CC464" t="str">
        <f>SUBSTITUTE(TRIM(MID(SUBSTITUTE(SUBSTITUTE(SUBSTITUTE(Tabla1[[#This Row],[map]],"[",""),"]",""),",",REPT(" ",100)),1201,300))," ",", ")</f>
        <v>2, 0, 1</v>
      </c>
      <c r="CD464" t="str">
        <f>SUBSTITUTE(TRIM(MID(SUBSTITUTE(SUBSTITUTE(SUBSTITUTE(Tabla1[[#This Row],[map]],"[",""),"]",""),",",REPT(" ",100)),1,300))," ",", ")</f>
        <v>4, 2, 3</v>
      </c>
      <c r="CE464" t="str">
        <f>SUBSTITUTE(TRIM(MID(SUBSTITUTE(SUBSTITUTE(SUBSTITUTE(Tabla1[[#This Row],[map]],"[",""),"]",""),",",REPT(" ",100)),1,600))," ",", ")</f>
        <v>4, 2, 3, 0, 1, -1</v>
      </c>
      <c r="CF464" t="str">
        <f>SUBSTITUTE(TRIM(MID(SUBSTITUTE(SUBSTITUTE(SUBSTITUTE(Tabla1[[#This Row],[map]],"[",""),"]",""),",",REPT(" ",100)),601,600))," ",", ")</f>
        <v>3, 0, 1, 2, 4, -1</v>
      </c>
      <c r="CG464" t="str">
        <f>SUBSTITUTE(TRIM(MID(SUBSTITUTE(SUBSTITUTE(SUBSTITUTE(Tabla1[[#This Row],[map]],"[",""),"]",""),",",REPT(" ",100)),1201,600))," ",", ")</f>
        <v>2, 0, 1, 3, 4, -1</v>
      </c>
    </row>
    <row r="465" spans="1:85" x14ac:dyDescent="0.3">
      <c r="A465" s="1">
        <v>46111.707928240743</v>
      </c>
      <c r="B465" t="s">
        <v>720</v>
      </c>
      <c r="C465">
        <v>7</v>
      </c>
      <c r="D465" t="s">
        <v>77</v>
      </c>
      <c r="E465" t="s">
        <v>78</v>
      </c>
      <c r="F465">
        <v>16590</v>
      </c>
      <c r="G465">
        <v>4.5</v>
      </c>
      <c r="H465" t="s">
        <v>79</v>
      </c>
      <c r="I465" t="s">
        <v>80</v>
      </c>
      <c r="J465">
        <v>5</v>
      </c>
      <c r="K465">
        <v>5</v>
      </c>
      <c r="L465" t="s">
        <v>81</v>
      </c>
      <c r="M465" t="s">
        <v>82</v>
      </c>
      <c r="N465" t="s">
        <v>83</v>
      </c>
      <c r="O465" t="s">
        <v>83</v>
      </c>
      <c r="P465" t="s">
        <v>84</v>
      </c>
      <c r="Q465" t="s">
        <v>477</v>
      </c>
      <c r="R465">
        <v>3</v>
      </c>
      <c r="S465" t="s">
        <v>86</v>
      </c>
      <c r="T465" t="s">
        <v>87</v>
      </c>
      <c r="U465" t="s">
        <v>88</v>
      </c>
      <c r="V465">
        <v>1</v>
      </c>
      <c r="W465" t="s">
        <v>478</v>
      </c>
      <c r="X465" t="s">
        <v>83</v>
      </c>
      <c r="Y465" t="s">
        <v>90</v>
      </c>
      <c r="Z465">
        <v>4000</v>
      </c>
      <c r="AA465">
        <v>4000</v>
      </c>
      <c r="AC465">
        <v>256</v>
      </c>
      <c r="AD465" t="s">
        <v>91</v>
      </c>
      <c r="AE465">
        <v>0.15</v>
      </c>
      <c r="AF465" t="s">
        <v>92</v>
      </c>
      <c r="AG465">
        <v>180</v>
      </c>
      <c r="AH465">
        <v>60</v>
      </c>
      <c r="AI465">
        <v>120</v>
      </c>
      <c r="AJ465">
        <v>0.1120861028313935</v>
      </c>
      <c r="AK465">
        <v>7.101089960628018</v>
      </c>
      <c r="AL465">
        <v>0.74265359848726398</v>
      </c>
      <c r="AM465">
        <v>0.21389646438950349</v>
      </c>
      <c r="AN465">
        <v>9.7333383695861428</v>
      </c>
      <c r="AO465">
        <v>0.70946496130135273</v>
      </c>
      <c r="AP465">
        <v>9.7333383695861428</v>
      </c>
      <c r="AQ465">
        <v>9.7333383695861428</v>
      </c>
      <c r="AR465">
        <v>0.70946496130135273</v>
      </c>
      <c r="AS465">
        <v>105.52664924902091</v>
      </c>
      <c r="AT465">
        <v>0.21337620688277681</v>
      </c>
      <c r="AU465">
        <v>0.8</v>
      </c>
      <c r="AV465" t="s">
        <v>93</v>
      </c>
      <c r="AW465">
        <v>8.0878184120766056E-2</v>
      </c>
      <c r="AX465">
        <v>0.41271981114472461</v>
      </c>
      <c r="AY465">
        <v>8.0878184120766056E-2</v>
      </c>
      <c r="AZ465">
        <v>8.0878184120766056E-2</v>
      </c>
      <c r="BA465">
        <v>0.41271981114472461</v>
      </c>
      <c r="BB465">
        <v>0.1014507931167471</v>
      </c>
      <c r="BC465">
        <v>0.26333607030349859</v>
      </c>
      <c r="BD465">
        <v>9.5080013477847586E-2</v>
      </c>
      <c r="BE465">
        <v>0.67056806067972619</v>
      </c>
      <c r="BF465">
        <v>9.5080013477847586E-2</v>
      </c>
      <c r="BG465">
        <v>9.5080013477847586E-2</v>
      </c>
      <c r="BH465">
        <v>0.67056806067972619</v>
      </c>
      <c r="BI465">
        <v>0.1147027141789547</v>
      </c>
      <c r="BJ465">
        <v>0.60257959380626369</v>
      </c>
      <c r="BK465">
        <v>3.3679740711259551E-2</v>
      </c>
      <c r="BL465">
        <v>0.86478649401043439</v>
      </c>
      <c r="BM465">
        <v>3.3679740711259551E-2</v>
      </c>
      <c r="BN465">
        <v>3.3679740711259551E-2</v>
      </c>
      <c r="BO465">
        <v>0.86478649401043439</v>
      </c>
      <c r="BP465">
        <v>0.20231035262561781</v>
      </c>
      <c r="BQ465">
        <v>0.187787925358049</v>
      </c>
      <c r="BR465">
        <v>38.723715540034668</v>
      </c>
      <c r="BS465">
        <v>0.88978547937052888</v>
      </c>
      <c r="BT465">
        <v>38.723715540034668</v>
      </c>
      <c r="BU465">
        <v>38.723715540034668</v>
      </c>
      <c r="BV465">
        <v>0.88978547937052888</v>
      </c>
      <c r="BW465">
        <v>421.68813313616101</v>
      </c>
      <c r="BX465">
        <v>-0.2001987619367003</v>
      </c>
      <c r="BY465" t="str">
        <f t="shared" si="17"/>
        <v>[[sv,wv],[yr],[ya]]</v>
      </c>
      <c r="BZ465" t="str">
        <f>SUBSTITUTE(TRIM(MID(SUBSTITUTE(SUBSTITUTE(SUBSTITUTE(Tabla1[[#This Row],[map]],"[",""),"]",""),",",REPT(" ",100)),901,200))," ",", ")</f>
        <v>2, 3</v>
      </c>
      <c r="CA465" t="str">
        <f>SUBSTITUTE(TRIM(MID(SUBSTITUTE(SUBSTITUTE(SUBSTITUTE(Tabla1[[#This Row],[map]],"[",""),"]",""),",",REPT(" ",100)),1501,200))," ",", ")</f>
        <v>3, 2</v>
      </c>
      <c r="CB465" t="str">
        <f>SUBSTITUTE(TRIM(MID(SUBSTITUTE(SUBSTITUTE(SUBSTITUTE(Tabla1[[#This Row],[map]],"[",""),"]",""),",",REPT(" ",100)),601,300))," ",", ")</f>
        <v>1, 4, 0</v>
      </c>
      <c r="CC465" t="str">
        <f>SUBSTITUTE(TRIM(MID(SUBSTITUTE(SUBSTITUTE(SUBSTITUTE(Tabla1[[#This Row],[map]],"[",""),"]",""),",",REPT(" ",100)),1201,300))," ",", ")</f>
        <v>1, 4, 0</v>
      </c>
      <c r="CD465" t="str">
        <f>SUBSTITUTE(TRIM(MID(SUBSTITUTE(SUBSTITUTE(SUBSTITUTE(Tabla1[[#This Row],[map]],"[",""),"]",""),",",REPT(" ",100)),1,300))," ",", ")</f>
        <v>4, 2, 3</v>
      </c>
      <c r="CE465" t="str">
        <f>SUBSTITUTE(TRIM(MID(SUBSTITUTE(SUBSTITUTE(SUBSTITUTE(Tabla1[[#This Row],[map]],"[",""),"]",""),",",REPT(" ",100)),1,600))," ",", ")</f>
        <v>4, 2, 3, 0, 1, -1</v>
      </c>
      <c r="CF465" t="str">
        <f>SUBSTITUTE(TRIM(MID(SUBSTITUTE(SUBSTITUTE(SUBSTITUTE(Tabla1[[#This Row],[map]],"[",""),"]",""),",",REPT(" ",100)),601,600))," ",", ")</f>
        <v>1, 4, 0, 2, 3, -1</v>
      </c>
      <c r="CG465" t="str">
        <f>SUBSTITUTE(TRIM(MID(SUBSTITUTE(SUBSTITUTE(SUBSTITUTE(Tabla1[[#This Row],[map]],"[",""),"]",""),",",REPT(" ",100)),1201,600))," ",", ")</f>
        <v>1, 4, 0, 3, 2, -1</v>
      </c>
    </row>
    <row r="466" spans="1:85" x14ac:dyDescent="0.3">
      <c r="A466" s="1">
        <v>46111.716956018521</v>
      </c>
      <c r="B466" t="s">
        <v>721</v>
      </c>
      <c r="C466">
        <v>8</v>
      </c>
      <c r="D466" t="s">
        <v>96</v>
      </c>
      <c r="E466" t="s">
        <v>78</v>
      </c>
      <c r="F466">
        <v>16590</v>
      </c>
      <c r="G466">
        <v>4.5</v>
      </c>
      <c r="H466" t="s">
        <v>79</v>
      </c>
      <c r="I466" t="s">
        <v>80</v>
      </c>
      <c r="J466">
        <v>5</v>
      </c>
      <c r="K466">
        <v>5</v>
      </c>
      <c r="L466" t="s">
        <v>81</v>
      </c>
      <c r="M466" t="s">
        <v>82</v>
      </c>
      <c r="N466" t="s">
        <v>83</v>
      </c>
      <c r="O466" t="s">
        <v>83</v>
      </c>
      <c r="P466" t="s">
        <v>84</v>
      </c>
      <c r="Q466" t="s">
        <v>165</v>
      </c>
      <c r="R466">
        <v>3</v>
      </c>
      <c r="S466" t="s">
        <v>86</v>
      </c>
      <c r="T466" t="s">
        <v>87</v>
      </c>
      <c r="U466" t="s">
        <v>88</v>
      </c>
      <c r="V466">
        <v>1</v>
      </c>
      <c r="W466" t="s">
        <v>166</v>
      </c>
      <c r="X466" t="s">
        <v>83</v>
      </c>
      <c r="Y466" t="s">
        <v>90</v>
      </c>
      <c r="Z466">
        <v>4000</v>
      </c>
      <c r="AA466">
        <v>4000</v>
      </c>
      <c r="AC466">
        <v>256</v>
      </c>
      <c r="AD466" t="s">
        <v>91</v>
      </c>
      <c r="AE466">
        <v>0.15</v>
      </c>
      <c r="AF466" t="s">
        <v>92</v>
      </c>
      <c r="AG466">
        <v>180</v>
      </c>
      <c r="AH466">
        <v>60</v>
      </c>
      <c r="AI466">
        <v>120</v>
      </c>
      <c r="AJ466">
        <v>0.10443380615958869</v>
      </c>
      <c r="AK466">
        <v>11.80746285082081</v>
      </c>
      <c r="AL466">
        <v>0.68740817783593466</v>
      </c>
      <c r="AM466">
        <v>0.22539696308672241</v>
      </c>
      <c r="AN466">
        <v>16.898249499821759</v>
      </c>
      <c r="AO466">
        <v>0.62089380528345428</v>
      </c>
      <c r="AP466">
        <v>16.898249499821759</v>
      </c>
      <c r="AQ466">
        <v>16.898249499821759</v>
      </c>
      <c r="AR466">
        <v>0.62089380528345428</v>
      </c>
      <c r="AS466">
        <v>87.222460951346704</v>
      </c>
      <c r="AT466">
        <v>0.1506062752113054</v>
      </c>
      <c r="AU466">
        <v>0.8</v>
      </c>
      <c r="AV466" t="s">
        <v>93</v>
      </c>
      <c r="AW466">
        <v>0.1125268533432546</v>
      </c>
      <c r="AX466">
        <v>0.18290955217244181</v>
      </c>
      <c r="AY466">
        <v>0.1125268533432546</v>
      </c>
      <c r="AZ466">
        <v>0.1125268533432546</v>
      </c>
      <c r="BA466">
        <v>0.18290955217244181</v>
      </c>
      <c r="BB466">
        <v>0.15340966263572869</v>
      </c>
      <c r="BC466">
        <v>-0.11395250306815979</v>
      </c>
      <c r="BD466">
        <v>7.3784356982000573E-2</v>
      </c>
      <c r="BE466">
        <v>0.74435296206869983</v>
      </c>
      <c r="BF466">
        <v>7.3784356982000573E-2</v>
      </c>
      <c r="BG466">
        <v>7.3784356982000573E-2</v>
      </c>
      <c r="BH466">
        <v>0.74435296206869983</v>
      </c>
      <c r="BI466">
        <v>0.18514799779296309</v>
      </c>
      <c r="BJ466">
        <v>0.3585017319290521</v>
      </c>
      <c r="BK466">
        <v>6.2773225164330523E-2</v>
      </c>
      <c r="BL466">
        <v>0.74798535625590545</v>
      </c>
      <c r="BM466">
        <v>6.2773225164330523E-2</v>
      </c>
      <c r="BN466">
        <v>6.2773225164330523E-2</v>
      </c>
      <c r="BO466">
        <v>0.74798535625590545</v>
      </c>
      <c r="BP466">
        <v>0.16204188769305039</v>
      </c>
      <c r="BQ466">
        <v>0.34945307507014389</v>
      </c>
      <c r="BR466">
        <v>67.343913563797315</v>
      </c>
      <c r="BS466">
        <v>0.80832735063677175</v>
      </c>
      <c r="BT466">
        <v>67.343913563797315</v>
      </c>
      <c r="BU466">
        <v>67.343913563797315</v>
      </c>
      <c r="BV466">
        <v>0.80832735063677175</v>
      </c>
      <c r="BW466">
        <v>348.38924425726572</v>
      </c>
      <c r="BX466">
        <v>8.4227969141859038E-3</v>
      </c>
      <c r="BY466" t="str">
        <f t="shared" si="17"/>
        <v>[[sv,wv],[yr],[ya]]</v>
      </c>
      <c r="BZ466" t="str">
        <f>SUBSTITUTE(TRIM(MID(SUBSTITUTE(SUBSTITUTE(SUBSTITUTE(Tabla1[[#This Row],[map]],"[",""),"]",""),",",REPT(" ",100)),901,200))," ",", ")</f>
        <v>2, 4</v>
      </c>
      <c r="CA466" t="str">
        <f>SUBSTITUTE(TRIM(MID(SUBSTITUTE(SUBSTITUTE(SUBSTITUTE(Tabla1[[#This Row],[map]],"[",""),"]",""),",",REPT(" ",100)),1501,200))," ",", ")</f>
        <v>3, 4</v>
      </c>
      <c r="CB466" t="str">
        <f>SUBSTITUTE(TRIM(MID(SUBSTITUTE(SUBSTITUTE(SUBSTITUTE(Tabla1[[#This Row],[map]],"[",""),"]",""),",",REPT(" ",100)),601,300))," ",", ")</f>
        <v>0, 1, 3</v>
      </c>
      <c r="CC466" t="str">
        <f>SUBSTITUTE(TRIM(MID(SUBSTITUTE(SUBSTITUTE(SUBSTITUTE(Tabla1[[#This Row],[map]],"[",""),"]",""),",",REPT(" ",100)),1201,300))," ",", ")</f>
        <v>2, 0, 1</v>
      </c>
      <c r="CD466" t="str">
        <f>SUBSTITUTE(TRIM(MID(SUBSTITUTE(SUBSTITUTE(SUBSTITUTE(Tabla1[[#This Row],[map]],"[",""),"]",""),",",REPT(" ",100)),1,300))," ",", ")</f>
        <v>2, 3, 4</v>
      </c>
      <c r="CE466" t="str">
        <f>SUBSTITUTE(TRIM(MID(SUBSTITUTE(SUBSTITUTE(SUBSTITUTE(Tabla1[[#This Row],[map]],"[",""),"]",""),",",REPT(" ",100)),1,600))," ",", ")</f>
        <v>2, 3, 4, 0, 1, -1</v>
      </c>
      <c r="CF466" t="str">
        <f>SUBSTITUTE(TRIM(MID(SUBSTITUTE(SUBSTITUTE(SUBSTITUTE(Tabla1[[#This Row],[map]],"[",""),"]",""),",",REPT(" ",100)),601,600))," ",", ")</f>
        <v>0, 1, 3, 2, 4, -1</v>
      </c>
      <c r="CG466" t="str">
        <f>SUBSTITUTE(TRIM(MID(SUBSTITUTE(SUBSTITUTE(SUBSTITUTE(Tabla1[[#This Row],[map]],"[",""),"]",""),",",REPT(" ",100)),1201,600))," ",", ")</f>
        <v>2, 0, 1, 3, 4, -1</v>
      </c>
    </row>
    <row r="467" spans="1:85" x14ac:dyDescent="0.3">
      <c r="A467" s="1">
        <v>46111.729525462957</v>
      </c>
      <c r="B467" t="s">
        <v>722</v>
      </c>
      <c r="C467">
        <v>8</v>
      </c>
      <c r="D467" t="s">
        <v>77</v>
      </c>
      <c r="E467" t="s">
        <v>78</v>
      </c>
      <c r="F467">
        <v>16590</v>
      </c>
      <c r="G467">
        <v>4.5</v>
      </c>
      <c r="H467" t="s">
        <v>79</v>
      </c>
      <c r="I467" t="s">
        <v>80</v>
      </c>
      <c r="J467">
        <v>5</v>
      </c>
      <c r="K467">
        <v>5</v>
      </c>
      <c r="L467" t="s">
        <v>81</v>
      </c>
      <c r="M467" t="s">
        <v>82</v>
      </c>
      <c r="N467" t="s">
        <v>83</v>
      </c>
      <c r="O467" t="s">
        <v>83</v>
      </c>
      <c r="P467" t="s">
        <v>84</v>
      </c>
      <c r="Q467" t="s">
        <v>469</v>
      </c>
      <c r="R467">
        <v>3</v>
      </c>
      <c r="S467" t="s">
        <v>86</v>
      </c>
      <c r="T467" t="s">
        <v>87</v>
      </c>
      <c r="U467" t="s">
        <v>88</v>
      </c>
      <c r="V467">
        <v>1</v>
      </c>
      <c r="W467" t="s">
        <v>470</v>
      </c>
      <c r="X467" t="s">
        <v>83</v>
      </c>
      <c r="Y467" t="s">
        <v>90</v>
      </c>
      <c r="Z467">
        <v>4000</v>
      </c>
      <c r="AA467">
        <v>4000</v>
      </c>
      <c r="AC467">
        <v>256</v>
      </c>
      <c r="AD467" t="s">
        <v>91</v>
      </c>
      <c r="AE467">
        <v>0.15</v>
      </c>
      <c r="AF467" t="s">
        <v>92</v>
      </c>
      <c r="AG467">
        <v>180</v>
      </c>
      <c r="AH467">
        <v>60</v>
      </c>
      <c r="AI467">
        <v>120</v>
      </c>
      <c r="AJ467">
        <v>0.13148011255891021</v>
      </c>
      <c r="AK467">
        <v>11.7594876815236</v>
      </c>
      <c r="AL467">
        <v>0.65691322615305914</v>
      </c>
      <c r="AM467">
        <v>0.14265443444002951</v>
      </c>
      <c r="AN467">
        <v>15.88523032190532</v>
      </c>
      <c r="AO467">
        <v>0.56963102377238628</v>
      </c>
      <c r="AP467">
        <v>15.88523032190532</v>
      </c>
      <c r="AQ467">
        <v>15.88523032190532</v>
      </c>
      <c r="AR467">
        <v>0.56963102377238628</v>
      </c>
      <c r="AS467">
        <v>108.0356851380941</v>
      </c>
      <c r="AT467">
        <v>0.13496302277623901</v>
      </c>
      <c r="AU467">
        <v>0.8</v>
      </c>
      <c r="AV467" t="s">
        <v>93</v>
      </c>
      <c r="AW467">
        <v>9.8516992962558406E-2</v>
      </c>
      <c r="AX467">
        <v>0.28463925270485979</v>
      </c>
      <c r="AY467">
        <v>9.8516992962558406E-2</v>
      </c>
      <c r="AZ467">
        <v>9.8516992962558406E-2</v>
      </c>
      <c r="BA467">
        <v>0.28463925270485979</v>
      </c>
      <c r="BB467">
        <v>7.5855870167802472E-2</v>
      </c>
      <c r="BC467">
        <v>0.44918830408693478</v>
      </c>
      <c r="BD467">
        <v>7.8925478760044382E-2</v>
      </c>
      <c r="BE467">
        <v>0.72654007315890534</v>
      </c>
      <c r="BF467">
        <v>7.8925478760044382E-2</v>
      </c>
      <c r="BG467">
        <v>7.8925478760044382E-2</v>
      </c>
      <c r="BH467">
        <v>0.72654007315890534</v>
      </c>
      <c r="BI467">
        <v>0.13069086600427479</v>
      </c>
      <c r="BJ467">
        <v>0.54718406251314589</v>
      </c>
      <c r="BK467">
        <v>0.13767048076342789</v>
      </c>
      <c r="BL467">
        <v>0.44729656517014288</v>
      </c>
      <c r="BM467">
        <v>0.13767048076342789</v>
      </c>
      <c r="BN467">
        <v>0.13767048076342789</v>
      </c>
      <c r="BO467">
        <v>0.44729656517014288</v>
      </c>
      <c r="BP467">
        <v>0.30588320680127312</v>
      </c>
      <c r="BQ467">
        <v>-0.22802432386614099</v>
      </c>
      <c r="BR467">
        <v>63.225808335135063</v>
      </c>
      <c r="BS467">
        <v>0.82004820405564083</v>
      </c>
      <c r="BT467">
        <v>63.225808335135063</v>
      </c>
      <c r="BU467">
        <v>63.225808335135063</v>
      </c>
      <c r="BV467">
        <v>0.82004820405564083</v>
      </c>
      <c r="BW467">
        <v>431.63031060940523</v>
      </c>
      <c r="BX467">
        <v>-0.2284959516289928</v>
      </c>
      <c r="BY467" t="str">
        <f t="shared" si="17"/>
        <v>[[sv,wv],[yr],[ya]]</v>
      </c>
      <c r="BZ467" t="str">
        <f>SUBSTITUTE(TRIM(MID(SUBSTITUTE(SUBSTITUTE(SUBSTITUTE(Tabla1[[#This Row],[map]],"[",""),"]",""),",",REPT(" ",100)),901,200))," ",", ")</f>
        <v>2, 3</v>
      </c>
      <c r="CA467" t="str">
        <f>SUBSTITUTE(TRIM(MID(SUBSTITUTE(SUBSTITUTE(SUBSTITUTE(Tabla1[[#This Row],[map]],"[",""),"]",""),",",REPT(" ",100)),1501,200))," ",", ")</f>
        <v>3, 4</v>
      </c>
      <c r="CB467" t="str">
        <f>SUBSTITUTE(TRIM(MID(SUBSTITUTE(SUBSTITUTE(SUBSTITUTE(Tabla1[[#This Row],[map]],"[",""),"]",""),",",REPT(" ",100)),601,300))," ",", ")</f>
        <v>0, 1, 4</v>
      </c>
      <c r="CC467" t="str">
        <f>SUBSTITUTE(TRIM(MID(SUBSTITUTE(SUBSTITUTE(SUBSTITUTE(Tabla1[[#This Row],[map]],"[",""),"]",""),",",REPT(" ",100)),1201,300))," ",", ")</f>
        <v>1, 2, 0</v>
      </c>
      <c r="CD467" t="str">
        <f>SUBSTITUTE(TRIM(MID(SUBSTITUTE(SUBSTITUTE(SUBSTITUTE(Tabla1[[#This Row],[map]],"[",""),"]",""),",",REPT(" ",100)),1,300))," ",", ")</f>
        <v>4, 2, 3</v>
      </c>
      <c r="CE467" t="str">
        <f>SUBSTITUTE(TRIM(MID(SUBSTITUTE(SUBSTITUTE(SUBSTITUTE(Tabla1[[#This Row],[map]],"[",""),"]",""),",",REPT(" ",100)),1,600))," ",", ")</f>
        <v>4, 2, 3, 0, 1, -1</v>
      </c>
      <c r="CF467" t="str">
        <f>SUBSTITUTE(TRIM(MID(SUBSTITUTE(SUBSTITUTE(SUBSTITUTE(Tabla1[[#This Row],[map]],"[",""),"]",""),",",REPT(" ",100)),601,600))," ",", ")</f>
        <v>0, 1, 4, 2, 3, -1</v>
      </c>
      <c r="CG467" t="str">
        <f>SUBSTITUTE(TRIM(MID(SUBSTITUTE(SUBSTITUTE(SUBSTITUTE(Tabla1[[#This Row],[map]],"[",""),"]",""),",",REPT(" ",100)),1201,600))," ",", ")</f>
        <v>1, 2, 0, 3, 4, -1</v>
      </c>
    </row>
    <row r="468" spans="1:85" x14ac:dyDescent="0.3">
      <c r="A468" s="1">
        <v>46111.728148148148</v>
      </c>
      <c r="B468" t="s">
        <v>723</v>
      </c>
      <c r="C468">
        <v>6</v>
      </c>
      <c r="D468" t="s">
        <v>77</v>
      </c>
      <c r="E468" t="s">
        <v>78</v>
      </c>
      <c r="F468">
        <v>16590</v>
      </c>
      <c r="G468">
        <v>4.5</v>
      </c>
      <c r="H468" t="s">
        <v>79</v>
      </c>
      <c r="I468" t="s">
        <v>80</v>
      </c>
      <c r="J468">
        <v>5</v>
      </c>
      <c r="K468">
        <v>5</v>
      </c>
      <c r="L468" t="s">
        <v>81</v>
      </c>
      <c r="M468" t="s">
        <v>82</v>
      </c>
      <c r="N468" t="s">
        <v>83</v>
      </c>
      <c r="O468" t="s">
        <v>83</v>
      </c>
      <c r="P468" t="s">
        <v>84</v>
      </c>
      <c r="Q468" t="s">
        <v>195</v>
      </c>
      <c r="R468">
        <v>3</v>
      </c>
      <c r="S468" t="s">
        <v>86</v>
      </c>
      <c r="T468" t="s">
        <v>87</v>
      </c>
      <c r="U468" t="s">
        <v>88</v>
      </c>
      <c r="V468">
        <v>1</v>
      </c>
      <c r="W468" t="s">
        <v>196</v>
      </c>
      <c r="X468" t="s">
        <v>83</v>
      </c>
      <c r="Y468" t="s">
        <v>90</v>
      </c>
      <c r="Z468">
        <v>4000</v>
      </c>
      <c r="AA468">
        <v>4000</v>
      </c>
      <c r="AC468">
        <v>256</v>
      </c>
      <c r="AD468" t="s">
        <v>91</v>
      </c>
      <c r="AE468">
        <v>0.15</v>
      </c>
      <c r="AF468" t="s">
        <v>92</v>
      </c>
      <c r="AG468">
        <v>180</v>
      </c>
      <c r="AH468">
        <v>60</v>
      </c>
      <c r="AI468">
        <v>120</v>
      </c>
      <c r="AJ468">
        <v>0.11200443931777911</v>
      </c>
      <c r="AK468">
        <v>16.650171420896839</v>
      </c>
      <c r="AL468">
        <v>0.68754067524875917</v>
      </c>
      <c r="AM468">
        <v>0.1696230767795916</v>
      </c>
      <c r="AN468">
        <v>22.422221625069941</v>
      </c>
      <c r="AO468">
        <v>0.62534275394369199</v>
      </c>
      <c r="AP468">
        <v>22.422221625069941</v>
      </c>
      <c r="AQ468">
        <v>22.422221625069941</v>
      </c>
      <c r="AR468">
        <v>0.62534275394369199</v>
      </c>
      <c r="AS468">
        <v>84.379938431311814</v>
      </c>
      <c r="AT468">
        <v>0.1773964554748895</v>
      </c>
      <c r="AU468">
        <v>0.8</v>
      </c>
      <c r="AV468" t="s">
        <v>93</v>
      </c>
      <c r="AW468">
        <v>8.2864227843267954E-2</v>
      </c>
      <c r="AX468">
        <v>0.39829856584717738</v>
      </c>
      <c r="AY468">
        <v>8.2864227843267954E-2</v>
      </c>
      <c r="AZ468">
        <v>8.2864227843267954E-2</v>
      </c>
      <c r="BA468">
        <v>0.39829856584717738</v>
      </c>
      <c r="BB468">
        <v>0.12809164617472429</v>
      </c>
      <c r="BC468">
        <v>6.9889031584222883E-2</v>
      </c>
      <c r="BD468">
        <v>0.1109279801100481</v>
      </c>
      <c r="BE468">
        <v>0.61565824113973211</v>
      </c>
      <c r="BF468">
        <v>0.1109279801100481</v>
      </c>
      <c r="BG468">
        <v>0.1109279801100481</v>
      </c>
      <c r="BH468">
        <v>0.61565824113973211</v>
      </c>
      <c r="BI468">
        <v>0.1195862285892481</v>
      </c>
      <c r="BJ468">
        <v>0.58565925940542485</v>
      </c>
      <c r="BK468">
        <v>6.4276525480203739E-2</v>
      </c>
      <c r="BL468">
        <v>0.74195008098442794</v>
      </c>
      <c r="BM468">
        <v>6.4276525480203739E-2</v>
      </c>
      <c r="BN468">
        <v>6.4276525480203739E-2</v>
      </c>
      <c r="BO468">
        <v>0.74195008098442794</v>
      </c>
      <c r="BP468">
        <v>0.24577931724766711</v>
      </c>
      <c r="BQ468">
        <v>1.3273781716832911E-2</v>
      </c>
      <c r="BR468">
        <v>89.430817766846218</v>
      </c>
      <c r="BS468">
        <v>0.74546412780343141</v>
      </c>
      <c r="BT468">
        <v>89.430817766846218</v>
      </c>
      <c r="BU468">
        <v>89.430817766846218</v>
      </c>
      <c r="BV468">
        <v>0.74546412780343141</v>
      </c>
      <c r="BW468">
        <v>337.02629653323697</v>
      </c>
      <c r="BX468">
        <v>4.0763749193075682E-2</v>
      </c>
      <c r="BY468" t="str">
        <f t="shared" si="17"/>
        <v>[[sv,wv],[yr],[ya]]</v>
      </c>
      <c r="BZ468" t="str">
        <f>SUBSTITUTE(TRIM(MID(SUBSTITUTE(SUBSTITUTE(SUBSTITUTE(Tabla1[[#This Row],[map]],"[",""),"]",""),",",REPT(" ",100)),901,200))," ",", ")</f>
        <v>2, 3</v>
      </c>
      <c r="CA468" t="str">
        <f>SUBSTITUTE(TRIM(MID(SUBSTITUTE(SUBSTITUTE(SUBSTITUTE(Tabla1[[#This Row],[map]],"[",""),"]",""),",",REPT(" ",100)),1501,200))," ",", ")</f>
        <v>3, 2</v>
      </c>
      <c r="CB468" t="str">
        <f>SUBSTITUTE(TRIM(MID(SUBSTITUTE(SUBSTITUTE(SUBSTITUTE(Tabla1[[#This Row],[map]],"[",""),"]",""),",",REPT(" ",100)),601,300))," ",", ")</f>
        <v>4, 0, 1</v>
      </c>
      <c r="CC468" t="str">
        <f>SUBSTITUTE(TRIM(MID(SUBSTITUTE(SUBSTITUTE(SUBSTITUTE(Tabla1[[#This Row],[map]],"[",""),"]",""),",",REPT(" ",100)),1201,300))," ",", ")</f>
        <v>0, 1, 4</v>
      </c>
      <c r="CD468" t="str">
        <f>SUBSTITUTE(TRIM(MID(SUBSTITUTE(SUBSTITUTE(SUBSTITUTE(Tabla1[[#This Row],[map]],"[",""),"]",""),",",REPT(" ",100)),1,300))," ",", ")</f>
        <v>4, 2, 3</v>
      </c>
      <c r="CE468" t="str">
        <f>SUBSTITUTE(TRIM(MID(SUBSTITUTE(SUBSTITUTE(SUBSTITUTE(Tabla1[[#This Row],[map]],"[",""),"]",""),",",REPT(" ",100)),1,600))," ",", ")</f>
        <v>4, 2, 3, 0, 1, -1</v>
      </c>
      <c r="CF468" t="str">
        <f>SUBSTITUTE(TRIM(MID(SUBSTITUTE(SUBSTITUTE(SUBSTITUTE(Tabla1[[#This Row],[map]],"[",""),"]",""),",",REPT(" ",100)),601,600))," ",", ")</f>
        <v>4, 0, 1, 2, 3, -1</v>
      </c>
      <c r="CG468" t="str">
        <f>SUBSTITUTE(TRIM(MID(SUBSTITUTE(SUBSTITUTE(SUBSTITUTE(Tabla1[[#This Row],[map]],"[",""),"]",""),",",REPT(" ",100)),1201,600))," ",", ")</f>
        <v>0, 1, 4, 3, 2, -1</v>
      </c>
    </row>
    <row r="469" spans="1:85" x14ac:dyDescent="0.3">
      <c r="A469" s="1">
        <v>46111.724594907413</v>
      </c>
      <c r="B469" t="s">
        <v>724</v>
      </c>
      <c r="C469">
        <v>7</v>
      </c>
      <c r="D469" t="s">
        <v>77</v>
      </c>
      <c r="E469" t="s">
        <v>78</v>
      </c>
      <c r="F469">
        <v>16590</v>
      </c>
      <c r="G469">
        <v>4.5</v>
      </c>
      <c r="H469" t="s">
        <v>79</v>
      </c>
      <c r="I469" t="s">
        <v>80</v>
      </c>
      <c r="J469">
        <v>5</v>
      </c>
      <c r="K469">
        <v>5</v>
      </c>
      <c r="L469" t="s">
        <v>81</v>
      </c>
      <c r="M469" t="s">
        <v>82</v>
      </c>
      <c r="N469" t="s">
        <v>83</v>
      </c>
      <c r="O469" t="s">
        <v>83</v>
      </c>
      <c r="P469" t="s">
        <v>84</v>
      </c>
      <c r="Q469" t="s">
        <v>165</v>
      </c>
      <c r="R469">
        <v>3</v>
      </c>
      <c r="S469" t="s">
        <v>86</v>
      </c>
      <c r="T469" t="s">
        <v>87</v>
      </c>
      <c r="U469" t="s">
        <v>88</v>
      </c>
      <c r="V469">
        <v>1</v>
      </c>
      <c r="W469" t="s">
        <v>166</v>
      </c>
      <c r="X469" t="s">
        <v>83</v>
      </c>
      <c r="Y469" t="s">
        <v>90</v>
      </c>
      <c r="Z469">
        <v>4000</v>
      </c>
      <c r="AA469">
        <v>4000</v>
      </c>
      <c r="AC469">
        <v>256</v>
      </c>
      <c r="AD469" t="s">
        <v>91</v>
      </c>
      <c r="AE469">
        <v>0.15</v>
      </c>
      <c r="AF469" t="s">
        <v>92</v>
      </c>
      <c r="AG469">
        <v>180</v>
      </c>
      <c r="AH469">
        <v>60</v>
      </c>
      <c r="AI469">
        <v>120</v>
      </c>
      <c r="AJ469">
        <v>9.4640136387919419E-2</v>
      </c>
      <c r="AK469">
        <v>12.01746894122452</v>
      </c>
      <c r="AL469">
        <v>0.796546328861089</v>
      </c>
      <c r="AM469">
        <v>9.4249125640790909E-2</v>
      </c>
      <c r="AN469">
        <v>14.98895574344794</v>
      </c>
      <c r="AO469">
        <v>0.75625001750832654</v>
      </c>
      <c r="AP469">
        <v>14.98895574344794</v>
      </c>
      <c r="AQ469">
        <v>14.98895574344794</v>
      </c>
      <c r="AR469">
        <v>0.75625001750832654</v>
      </c>
      <c r="AS469">
        <v>101.556511831986</v>
      </c>
      <c r="AT469">
        <v>0.1099377611580606</v>
      </c>
      <c r="AU469">
        <v>0.8</v>
      </c>
      <c r="AV469" t="s">
        <v>93</v>
      </c>
      <c r="AW469">
        <v>6.2995495948271862E-2</v>
      </c>
      <c r="AX469">
        <v>0.542571248851347</v>
      </c>
      <c r="AY469">
        <v>6.2995495948271862E-2</v>
      </c>
      <c r="AZ469">
        <v>6.2995495948271862E-2</v>
      </c>
      <c r="BA469">
        <v>0.542571248851347</v>
      </c>
      <c r="BB469">
        <v>0.1816434434829122</v>
      </c>
      <c r="BC469">
        <v>-0.3189662571266545</v>
      </c>
      <c r="BD469">
        <v>3.3718324456715569E-2</v>
      </c>
      <c r="BE469">
        <v>0.88317320738501981</v>
      </c>
      <c r="BF469">
        <v>3.3718324456715569E-2</v>
      </c>
      <c r="BG469">
        <v>3.3718324456715569E-2</v>
      </c>
      <c r="BH469">
        <v>0.88317320738501981</v>
      </c>
      <c r="BI469">
        <v>0.16193392112585769</v>
      </c>
      <c r="BJ469">
        <v>0.43893354947139818</v>
      </c>
      <c r="BK469">
        <v>5.7423763638915652E-2</v>
      </c>
      <c r="BL469">
        <v>0.76946175223557578</v>
      </c>
      <c r="BM469">
        <v>5.7423763638915652E-2</v>
      </c>
      <c r="BN469">
        <v>5.7423763638915652E-2</v>
      </c>
      <c r="BO469">
        <v>0.76946175223557578</v>
      </c>
      <c r="BP469">
        <v>0.1308635223952539</v>
      </c>
      <c r="BQ469">
        <v>0.47462434996446351</v>
      </c>
      <c r="BR469">
        <v>59.801685389747853</v>
      </c>
      <c r="BS469">
        <v>0.82979386156136392</v>
      </c>
      <c r="BT469">
        <v>59.801685389747853</v>
      </c>
      <c r="BU469">
        <v>59.801685389747853</v>
      </c>
      <c r="BV469">
        <v>0.82979386156136392</v>
      </c>
      <c r="BW469">
        <v>405.75160644094012</v>
      </c>
      <c r="BX469">
        <v>-0.15484059767695491</v>
      </c>
      <c r="BY469" t="str">
        <f t="shared" si="17"/>
        <v>[[sv,wv],[yr],[ya]]</v>
      </c>
      <c r="BZ469" t="str">
        <f>SUBSTITUTE(TRIM(MID(SUBSTITUTE(SUBSTITUTE(SUBSTITUTE(Tabla1[[#This Row],[map]],"[",""),"]",""),",",REPT(" ",100)),901,200))," ",", ")</f>
        <v>2, 4</v>
      </c>
      <c r="CA469" t="str">
        <f>SUBSTITUTE(TRIM(MID(SUBSTITUTE(SUBSTITUTE(SUBSTITUTE(Tabla1[[#This Row],[map]],"[",""),"]",""),",",REPT(" ",100)),1501,200))," ",", ")</f>
        <v>3, 4</v>
      </c>
      <c r="CB469" t="str">
        <f>SUBSTITUTE(TRIM(MID(SUBSTITUTE(SUBSTITUTE(SUBSTITUTE(Tabla1[[#This Row],[map]],"[",""),"]",""),",",REPT(" ",100)),601,300))," ",", ")</f>
        <v>0, 1, 3</v>
      </c>
      <c r="CC469" t="str">
        <f>SUBSTITUTE(TRIM(MID(SUBSTITUTE(SUBSTITUTE(SUBSTITUTE(Tabla1[[#This Row],[map]],"[",""),"]",""),",",REPT(" ",100)),1201,300))," ",", ")</f>
        <v>2, 0, 1</v>
      </c>
      <c r="CD469" t="str">
        <f>SUBSTITUTE(TRIM(MID(SUBSTITUTE(SUBSTITUTE(SUBSTITUTE(Tabla1[[#This Row],[map]],"[",""),"]",""),",",REPT(" ",100)),1,300))," ",", ")</f>
        <v>2, 3, 4</v>
      </c>
      <c r="CE469" t="str">
        <f>SUBSTITUTE(TRIM(MID(SUBSTITUTE(SUBSTITUTE(SUBSTITUTE(Tabla1[[#This Row],[map]],"[",""),"]",""),",",REPT(" ",100)),1,600))," ",", ")</f>
        <v>2, 3, 4, 0, 1, -1</v>
      </c>
      <c r="CF469" t="str">
        <f>SUBSTITUTE(TRIM(MID(SUBSTITUTE(SUBSTITUTE(SUBSTITUTE(Tabla1[[#This Row],[map]],"[",""),"]",""),",",REPT(" ",100)),601,600))," ",", ")</f>
        <v>0, 1, 3, 2, 4, -1</v>
      </c>
      <c r="CG469" t="str">
        <f>SUBSTITUTE(TRIM(MID(SUBSTITUTE(SUBSTITUTE(SUBSTITUTE(Tabla1[[#This Row],[map]],"[",""),"]",""),",",REPT(" ",100)),1201,600))," ",", ")</f>
        <v>2, 0, 1, 3, 4, -1</v>
      </c>
    </row>
    <row r="470" spans="1:85" x14ac:dyDescent="0.3">
      <c r="A470" s="1">
        <v>46111.728865740741</v>
      </c>
      <c r="B470" t="s">
        <v>725</v>
      </c>
      <c r="C470">
        <v>9</v>
      </c>
      <c r="D470" t="s">
        <v>96</v>
      </c>
      <c r="E470" t="s">
        <v>78</v>
      </c>
      <c r="F470">
        <v>16590</v>
      </c>
      <c r="G470">
        <v>4.5</v>
      </c>
      <c r="H470" t="s">
        <v>79</v>
      </c>
      <c r="I470" t="s">
        <v>80</v>
      </c>
      <c r="J470">
        <v>5</v>
      </c>
      <c r="K470">
        <v>5</v>
      </c>
      <c r="L470" t="s">
        <v>81</v>
      </c>
      <c r="M470" t="s">
        <v>82</v>
      </c>
      <c r="N470" t="s">
        <v>83</v>
      </c>
      <c r="O470" t="s">
        <v>83</v>
      </c>
      <c r="P470" t="s">
        <v>84</v>
      </c>
      <c r="Q470" t="s">
        <v>147</v>
      </c>
      <c r="R470">
        <v>3</v>
      </c>
      <c r="S470" t="s">
        <v>86</v>
      </c>
      <c r="T470" t="s">
        <v>87</v>
      </c>
      <c r="U470" t="s">
        <v>88</v>
      </c>
      <c r="V470">
        <v>1</v>
      </c>
      <c r="W470" t="s">
        <v>148</v>
      </c>
      <c r="X470" t="s">
        <v>83</v>
      </c>
      <c r="Y470" t="s">
        <v>90</v>
      </c>
      <c r="Z470">
        <v>4000</v>
      </c>
      <c r="AA470">
        <v>4000</v>
      </c>
      <c r="AC470">
        <v>256</v>
      </c>
      <c r="AD470" t="s">
        <v>91</v>
      </c>
      <c r="AE470">
        <v>0.15</v>
      </c>
      <c r="AF470" t="s">
        <v>92</v>
      </c>
      <c r="AG470">
        <v>180</v>
      </c>
      <c r="AH470">
        <v>60</v>
      </c>
      <c r="AI470">
        <v>120</v>
      </c>
      <c r="AJ470">
        <v>0.10088849950208539</v>
      </c>
      <c r="AK470">
        <v>13.220237833704241</v>
      </c>
      <c r="AL470">
        <v>0.80386435430358405</v>
      </c>
      <c r="AM470">
        <v>-0.22655067411761129</v>
      </c>
      <c r="AN470">
        <v>16.45558277647898</v>
      </c>
      <c r="AO470">
        <v>0.75964260090778191</v>
      </c>
      <c r="AP470">
        <v>16.45558277647898</v>
      </c>
      <c r="AQ470">
        <v>16.45558277647898</v>
      </c>
      <c r="AR470">
        <v>0.75964260090778191</v>
      </c>
      <c r="AS470">
        <v>102.2513519454856</v>
      </c>
      <c r="AT470">
        <v>-0.17493850731021079</v>
      </c>
      <c r="AU470">
        <v>0.8</v>
      </c>
      <c r="AV470" t="s">
        <v>93</v>
      </c>
      <c r="AW470">
        <v>5.6677639527227368E-2</v>
      </c>
      <c r="AX470">
        <v>0.58844705519451712</v>
      </c>
      <c r="AY470">
        <v>5.6677639527227368E-2</v>
      </c>
      <c r="AZ470">
        <v>5.6677639527227368E-2</v>
      </c>
      <c r="BA470">
        <v>0.58844705519451712</v>
      </c>
      <c r="BB470">
        <v>0.1430685787947705</v>
      </c>
      <c r="BC470">
        <v>-3.8862863790182223E-2</v>
      </c>
      <c r="BD470">
        <v>5.5497466915672769E-2</v>
      </c>
      <c r="BE470">
        <v>0.80771313039777348</v>
      </c>
      <c r="BF470">
        <v>5.5497466915672769E-2</v>
      </c>
      <c r="BG470">
        <v>5.5497466915672769E-2</v>
      </c>
      <c r="BH470">
        <v>0.80771313039777348</v>
      </c>
      <c r="BI470">
        <v>0.42472232637761731</v>
      </c>
      <c r="BJ470">
        <v>-0.47157214784993312</v>
      </c>
      <c r="BK470">
        <v>4.2515952776423643E-2</v>
      </c>
      <c r="BL470">
        <v>0.8293118974795084</v>
      </c>
      <c r="BM470">
        <v>4.2515952776423643E-2</v>
      </c>
      <c r="BN470">
        <v>4.2515952776423643E-2</v>
      </c>
      <c r="BO470">
        <v>0.8293118974795084</v>
      </c>
      <c r="BP470">
        <v>0.25595093399240559</v>
      </c>
      <c r="BQ470">
        <v>-2.7562042211541019E-2</v>
      </c>
      <c r="BR470">
        <v>65.667640046696576</v>
      </c>
      <c r="BS470">
        <v>0.81309832055932818</v>
      </c>
      <c r="BT470">
        <v>65.667640046696576</v>
      </c>
      <c r="BU470">
        <v>65.667640046696576</v>
      </c>
      <c r="BV470">
        <v>0.81309832055932818</v>
      </c>
      <c r="BW470">
        <v>408.18166594277801</v>
      </c>
      <c r="BX470">
        <v>-0.1617569753891934</v>
      </c>
      <c r="BY470" t="str">
        <f t="shared" si="17"/>
        <v>[[sv,wv],[yr],[ya]]</v>
      </c>
      <c r="BZ470" t="str">
        <f>SUBSTITUTE(TRIM(MID(SUBSTITUTE(SUBSTITUTE(SUBSTITUTE(Tabla1[[#This Row],[map]],"[",""),"]",""),",",REPT(" ",100)),901,200))," ",", ")</f>
        <v>2, 3</v>
      </c>
      <c r="CA470" t="str">
        <f>SUBSTITUTE(TRIM(MID(SUBSTITUTE(SUBSTITUTE(SUBSTITUTE(Tabla1[[#This Row],[map]],"[",""),"]",""),",",REPT(" ",100)),1501,200))," ",", ")</f>
        <v>3, 4</v>
      </c>
      <c r="CB470" t="str">
        <f>SUBSTITUTE(TRIM(MID(SUBSTITUTE(SUBSTITUTE(SUBSTITUTE(Tabla1[[#This Row],[map]],"[",""),"]",""),",",REPT(" ",100)),601,300))," ",", ")</f>
        <v>4, 0, 1</v>
      </c>
      <c r="CC470" t="str">
        <f>SUBSTITUTE(TRIM(MID(SUBSTITUTE(SUBSTITUTE(SUBSTITUTE(Tabla1[[#This Row],[map]],"[",""),"]",""),",",REPT(" ",100)),1201,300))," ",", ")</f>
        <v>2, 0, 1</v>
      </c>
      <c r="CD470" t="str">
        <f>SUBSTITUTE(TRIM(MID(SUBSTITUTE(SUBSTITUTE(SUBSTITUTE(Tabla1[[#This Row],[map]],"[",""),"]",""),",",REPT(" ",100)),1,300))," ",", ")</f>
        <v>2, 3, 4</v>
      </c>
      <c r="CE470" t="str">
        <f>SUBSTITUTE(TRIM(MID(SUBSTITUTE(SUBSTITUTE(SUBSTITUTE(Tabla1[[#This Row],[map]],"[",""),"]",""),",",REPT(" ",100)),1,600))," ",", ")</f>
        <v>2, 3, 4, 0, 1, -1</v>
      </c>
      <c r="CF470" t="str">
        <f>SUBSTITUTE(TRIM(MID(SUBSTITUTE(SUBSTITUTE(SUBSTITUTE(Tabla1[[#This Row],[map]],"[",""),"]",""),",",REPT(" ",100)),601,600))," ",", ")</f>
        <v>4, 0, 1, 2, 3, -1</v>
      </c>
      <c r="CG470" t="str">
        <f>SUBSTITUTE(TRIM(MID(SUBSTITUTE(SUBSTITUTE(SUBSTITUTE(Tabla1[[#This Row],[map]],"[",""),"]",""),",",REPT(" ",100)),1201,600))," ",", ")</f>
        <v>2, 0, 1, 3, 4, -1</v>
      </c>
    </row>
    <row r="471" spans="1:85" x14ac:dyDescent="0.3">
      <c r="A471" s="1">
        <v>46111.753946759258</v>
      </c>
      <c r="B471" t="s">
        <v>726</v>
      </c>
      <c r="C471">
        <v>6</v>
      </c>
      <c r="D471" t="s">
        <v>77</v>
      </c>
      <c r="E471" t="s">
        <v>78</v>
      </c>
      <c r="F471">
        <v>16590</v>
      </c>
      <c r="G471">
        <v>4.5</v>
      </c>
      <c r="H471" t="s">
        <v>79</v>
      </c>
      <c r="I471" t="s">
        <v>80</v>
      </c>
      <c r="J471">
        <v>5</v>
      </c>
      <c r="K471">
        <v>5</v>
      </c>
      <c r="L471" t="s">
        <v>81</v>
      </c>
      <c r="M471" t="s">
        <v>82</v>
      </c>
      <c r="N471" t="s">
        <v>83</v>
      </c>
      <c r="O471" t="s">
        <v>83</v>
      </c>
      <c r="P471" t="s">
        <v>84</v>
      </c>
      <c r="Q471" t="s">
        <v>501</v>
      </c>
      <c r="R471">
        <v>3</v>
      </c>
      <c r="S471" t="s">
        <v>86</v>
      </c>
      <c r="T471" t="s">
        <v>87</v>
      </c>
      <c r="U471" t="s">
        <v>88</v>
      </c>
      <c r="V471">
        <v>1</v>
      </c>
      <c r="W471" t="s">
        <v>502</v>
      </c>
      <c r="X471" t="s">
        <v>83</v>
      </c>
      <c r="Y471" t="s">
        <v>90</v>
      </c>
      <c r="Z471">
        <v>4000</v>
      </c>
      <c r="AA471">
        <v>4000</v>
      </c>
      <c r="AC471">
        <v>256</v>
      </c>
      <c r="AD471" t="s">
        <v>91</v>
      </c>
      <c r="AE471">
        <v>0.15</v>
      </c>
      <c r="AF471" t="s">
        <v>92</v>
      </c>
      <c r="AG471">
        <v>180</v>
      </c>
      <c r="AH471">
        <v>60</v>
      </c>
      <c r="AI471">
        <v>120</v>
      </c>
      <c r="AJ471">
        <v>0.1185179470226814</v>
      </c>
      <c r="AK471">
        <v>11.059858541318119</v>
      </c>
      <c r="AL471">
        <v>0.71149421612543096</v>
      </c>
      <c r="AM471">
        <v>2.9395293362801691E-2</v>
      </c>
      <c r="AN471">
        <v>15.33907163661255</v>
      </c>
      <c r="AO471">
        <v>0.65914600961966874</v>
      </c>
      <c r="AP471">
        <v>15.33907163661255</v>
      </c>
      <c r="AQ471">
        <v>15.33907163661255</v>
      </c>
      <c r="AR471">
        <v>0.65914600961966874</v>
      </c>
      <c r="AS471">
        <v>103.6741043238999</v>
      </c>
      <c r="AT471">
        <v>6.0669256620329133E-2</v>
      </c>
      <c r="AU471">
        <v>0.8</v>
      </c>
      <c r="AV471" t="s">
        <v>93</v>
      </c>
      <c r="AW471">
        <v>8.1996107871845969E-2</v>
      </c>
      <c r="AX471">
        <v>0.40460223928282812</v>
      </c>
      <c r="AY471">
        <v>8.1996107871845969E-2</v>
      </c>
      <c r="AZ471">
        <v>8.1996107871845969E-2</v>
      </c>
      <c r="BA471">
        <v>0.40460223928282812</v>
      </c>
      <c r="BB471">
        <v>0.1543690388788948</v>
      </c>
      <c r="BC471">
        <v>-0.1209188150272482</v>
      </c>
      <c r="BD471">
        <v>0.1000964358280093</v>
      </c>
      <c r="BE471">
        <v>0.65318722865398859</v>
      </c>
      <c r="BF471">
        <v>0.1000964358280093</v>
      </c>
      <c r="BG471">
        <v>0.1000964358280093</v>
      </c>
      <c r="BH471">
        <v>0.65318722865398859</v>
      </c>
      <c r="BI471">
        <v>0.11019923899761409</v>
      </c>
      <c r="BJ471">
        <v>0.61818317344832374</v>
      </c>
      <c r="BK471">
        <v>6.1590951332884891E-2</v>
      </c>
      <c r="BL471">
        <v>0.75273181173369474</v>
      </c>
      <c r="BM471">
        <v>6.1590951332884891E-2</v>
      </c>
      <c r="BN471">
        <v>6.1590951332884891E-2</v>
      </c>
      <c r="BO471">
        <v>0.75273181173369474</v>
      </c>
      <c r="BP471">
        <v>0.26796729127075158</v>
      </c>
      <c r="BQ471">
        <v>-7.5803915887403539E-2</v>
      </c>
      <c r="BR471">
        <v>61.112603051417452</v>
      </c>
      <c r="BS471">
        <v>0.82606275880816216</v>
      </c>
      <c r="BT471">
        <v>61.112603051417452</v>
      </c>
      <c r="BU471">
        <v>61.112603051417452</v>
      </c>
      <c r="BV471">
        <v>0.82606275880816216</v>
      </c>
      <c r="BW471">
        <v>414.16388172645151</v>
      </c>
      <c r="BX471">
        <v>-0.17878341605235709</v>
      </c>
      <c r="BY471" t="str">
        <f t="shared" si="17"/>
        <v>[[sv,wv],[yr],[ya]]</v>
      </c>
      <c r="BZ471" t="str">
        <f>SUBSTITUTE(TRIM(MID(SUBSTITUTE(SUBSTITUTE(SUBSTITUTE(Tabla1[[#This Row],[map]],"[",""),"]",""),",",REPT(" ",100)),901,200))," ",", ")</f>
        <v>2, 4</v>
      </c>
      <c r="CA471" t="str">
        <f>SUBSTITUTE(TRIM(MID(SUBSTITUTE(SUBSTITUTE(SUBSTITUTE(Tabla1[[#This Row],[map]],"[",""),"]",""),",",REPT(" ",100)),1501,200))," ",", ")</f>
        <v>3, 2</v>
      </c>
      <c r="CB471" t="str">
        <f>SUBSTITUTE(TRIM(MID(SUBSTITUTE(SUBSTITUTE(SUBSTITUTE(Tabla1[[#This Row],[map]],"[",""),"]",""),",",REPT(" ",100)),601,300))," ",", ")</f>
        <v>0, 1, 3</v>
      </c>
      <c r="CC471" t="str">
        <f>SUBSTITUTE(TRIM(MID(SUBSTITUTE(SUBSTITUTE(SUBSTITUTE(Tabla1[[#This Row],[map]],"[",""),"]",""),",",REPT(" ",100)),1201,300))," ",", ")</f>
        <v>1, 4, 0</v>
      </c>
      <c r="CD471" t="str">
        <f>SUBSTITUTE(TRIM(MID(SUBSTITUTE(SUBSTITUTE(SUBSTITUTE(Tabla1[[#This Row],[map]],"[",""),"]",""),",",REPT(" ",100)),1,300))," ",", ")</f>
        <v>4, 2, 3</v>
      </c>
      <c r="CE471" t="str">
        <f>SUBSTITUTE(TRIM(MID(SUBSTITUTE(SUBSTITUTE(SUBSTITUTE(Tabla1[[#This Row],[map]],"[",""),"]",""),",",REPT(" ",100)),1,600))," ",", ")</f>
        <v>4, 2, 3, 0, 1, -1</v>
      </c>
      <c r="CF471" t="str">
        <f>SUBSTITUTE(TRIM(MID(SUBSTITUTE(SUBSTITUTE(SUBSTITUTE(Tabla1[[#This Row],[map]],"[",""),"]",""),",",REPT(" ",100)),601,600))," ",", ")</f>
        <v>0, 1, 3, 2, 4, -1</v>
      </c>
      <c r="CG471" t="str">
        <f>SUBSTITUTE(TRIM(MID(SUBSTITUTE(SUBSTITUTE(SUBSTITUTE(Tabla1[[#This Row],[map]],"[",""),"]",""),",",REPT(" ",100)),1201,600))," ",", ")</f>
        <v>1, 4, 0, 3, 2, -1</v>
      </c>
    </row>
    <row r="472" spans="1:85" x14ac:dyDescent="0.3">
      <c r="A472" s="1">
        <v>46111.78324074074</v>
      </c>
      <c r="B472" t="s">
        <v>727</v>
      </c>
      <c r="C472">
        <v>9</v>
      </c>
      <c r="D472" t="s">
        <v>96</v>
      </c>
      <c r="E472" t="s">
        <v>78</v>
      </c>
      <c r="F472">
        <v>16590</v>
      </c>
      <c r="G472">
        <v>4.5</v>
      </c>
      <c r="H472" t="s">
        <v>79</v>
      </c>
      <c r="I472" t="s">
        <v>80</v>
      </c>
      <c r="J472">
        <v>5</v>
      </c>
      <c r="K472">
        <v>5</v>
      </c>
      <c r="L472" t="s">
        <v>81</v>
      </c>
      <c r="M472" t="s">
        <v>82</v>
      </c>
      <c r="N472" t="s">
        <v>83</v>
      </c>
      <c r="O472" t="s">
        <v>83</v>
      </c>
      <c r="P472" t="s">
        <v>84</v>
      </c>
      <c r="Q472" t="s">
        <v>469</v>
      </c>
      <c r="R472">
        <v>3</v>
      </c>
      <c r="S472" t="s">
        <v>86</v>
      </c>
      <c r="T472" t="s">
        <v>87</v>
      </c>
      <c r="U472" t="s">
        <v>88</v>
      </c>
      <c r="V472">
        <v>1</v>
      </c>
      <c r="W472" t="s">
        <v>470</v>
      </c>
      <c r="X472" t="s">
        <v>83</v>
      </c>
      <c r="Y472" t="s">
        <v>90</v>
      </c>
      <c r="Z472">
        <v>4000</v>
      </c>
      <c r="AA472">
        <v>4000</v>
      </c>
      <c r="AC472">
        <v>256</v>
      </c>
      <c r="AD472" t="s">
        <v>91</v>
      </c>
      <c r="AE472">
        <v>0.15</v>
      </c>
      <c r="AF472" t="s">
        <v>92</v>
      </c>
      <c r="AG472">
        <v>180</v>
      </c>
      <c r="AH472">
        <v>60</v>
      </c>
      <c r="AI472">
        <v>120</v>
      </c>
      <c r="AJ472">
        <v>0.13128277893355669</v>
      </c>
      <c r="AK472">
        <v>19.51122850439215</v>
      </c>
      <c r="AL472">
        <v>0.6650131079773054</v>
      </c>
      <c r="AM472">
        <v>-5.6854269085340643E-2</v>
      </c>
      <c r="AN472">
        <v>25.178074892768901</v>
      </c>
      <c r="AO472">
        <v>0.59706979099901925</v>
      </c>
      <c r="AP472">
        <v>25.178074892768901</v>
      </c>
      <c r="AQ472">
        <v>25.178074892768901</v>
      </c>
      <c r="AR472">
        <v>0.59706979099901925</v>
      </c>
      <c r="AS472">
        <v>102.0931902667045</v>
      </c>
      <c r="AT472">
        <v>-3.2758454500890023E-2</v>
      </c>
      <c r="AU472">
        <v>0.8</v>
      </c>
      <c r="AV472" t="s">
        <v>93</v>
      </c>
      <c r="AW472">
        <v>6.4373966617736672E-2</v>
      </c>
      <c r="AX472">
        <v>0.53256176948561407</v>
      </c>
      <c r="AY472">
        <v>6.4373966617736672E-2</v>
      </c>
      <c r="AZ472">
        <v>6.4373966617736672E-2</v>
      </c>
      <c r="BA472">
        <v>0.53256176948561407</v>
      </c>
      <c r="BB472">
        <v>7.2642212615805696E-2</v>
      </c>
      <c r="BC472">
        <v>0.47252361304039409</v>
      </c>
      <c r="BD472">
        <v>8.5323036596807317E-2</v>
      </c>
      <c r="BE472">
        <v>0.7043739016577889</v>
      </c>
      <c r="BF472">
        <v>8.5323036596807317E-2</v>
      </c>
      <c r="BG472">
        <v>8.5323036596807317E-2</v>
      </c>
      <c r="BH472">
        <v>0.7043739016577889</v>
      </c>
      <c r="BI472">
        <v>0.2077925234691195</v>
      </c>
      <c r="BJ472">
        <v>0.2800432869244982</v>
      </c>
      <c r="BK472">
        <v>0.1401945143694526</v>
      </c>
      <c r="BL472">
        <v>0.43716336859859117</v>
      </c>
      <c r="BM472">
        <v>0.1401945143694526</v>
      </c>
      <c r="BN472">
        <v>0.1401945143694526</v>
      </c>
      <c r="BO472">
        <v>0.43716336859859117</v>
      </c>
      <c r="BP472">
        <v>0.42925417829099421</v>
      </c>
      <c r="BQ472">
        <v>-0.72331975192408704</v>
      </c>
      <c r="BR472">
        <v>100.42240805349149</v>
      </c>
      <c r="BS472">
        <v>0.71418012425408928</v>
      </c>
      <c r="BT472">
        <v>100.42240805349149</v>
      </c>
      <c r="BU472">
        <v>100.42240805349149</v>
      </c>
      <c r="BV472">
        <v>0.71418012425408928</v>
      </c>
      <c r="BW472">
        <v>407.66307215244098</v>
      </c>
      <c r="BX472">
        <v>-0.16028096604436889</v>
      </c>
      <c r="BY472" t="str">
        <f t="shared" si="17"/>
        <v>[[sv,wv],[yr],[ya]]</v>
      </c>
      <c r="BZ472" t="str">
        <f>SUBSTITUTE(TRIM(MID(SUBSTITUTE(SUBSTITUTE(SUBSTITUTE(Tabla1[[#This Row],[map]],"[",""),"]",""),",",REPT(" ",100)),901,200))," ",", ")</f>
        <v>2, 3</v>
      </c>
      <c r="CA472" t="str">
        <f>SUBSTITUTE(TRIM(MID(SUBSTITUTE(SUBSTITUTE(SUBSTITUTE(Tabla1[[#This Row],[map]],"[",""),"]",""),",",REPT(" ",100)),1501,200))," ",", ")</f>
        <v>3, 4</v>
      </c>
      <c r="CB472" t="str">
        <f>SUBSTITUTE(TRIM(MID(SUBSTITUTE(SUBSTITUTE(SUBSTITUTE(Tabla1[[#This Row],[map]],"[",""),"]",""),",",REPT(" ",100)),601,300))," ",", ")</f>
        <v>0, 1, 4</v>
      </c>
      <c r="CC472" t="str">
        <f>SUBSTITUTE(TRIM(MID(SUBSTITUTE(SUBSTITUTE(SUBSTITUTE(Tabla1[[#This Row],[map]],"[",""),"]",""),",",REPT(" ",100)),1201,300))," ",", ")</f>
        <v>1, 2, 0</v>
      </c>
      <c r="CD472" t="str">
        <f>SUBSTITUTE(TRIM(MID(SUBSTITUTE(SUBSTITUTE(SUBSTITUTE(Tabla1[[#This Row],[map]],"[",""),"]",""),",",REPT(" ",100)),1,300))," ",", ")</f>
        <v>4, 2, 3</v>
      </c>
      <c r="CE472" t="str">
        <f>SUBSTITUTE(TRIM(MID(SUBSTITUTE(SUBSTITUTE(SUBSTITUTE(Tabla1[[#This Row],[map]],"[",""),"]",""),",",REPT(" ",100)),1,600))," ",", ")</f>
        <v>4, 2, 3, 0, 1, -1</v>
      </c>
      <c r="CF472" t="str">
        <f>SUBSTITUTE(TRIM(MID(SUBSTITUTE(SUBSTITUTE(SUBSTITUTE(Tabla1[[#This Row],[map]],"[",""),"]",""),",",REPT(" ",100)),601,600))," ",", ")</f>
        <v>0, 1, 4, 2, 3, -1</v>
      </c>
      <c r="CG472" t="str">
        <f>SUBSTITUTE(TRIM(MID(SUBSTITUTE(SUBSTITUTE(SUBSTITUTE(Tabla1[[#This Row],[map]],"[",""),"]",""),",",REPT(" ",100)),1201,600))," ",", ")</f>
        <v>1, 2, 0, 3, 4, -1</v>
      </c>
    </row>
    <row r="473" spans="1:85" x14ac:dyDescent="0.3">
      <c r="A473" s="1">
        <v>46111.869687500002</v>
      </c>
      <c r="B473" t="s">
        <v>728</v>
      </c>
      <c r="C473">
        <v>7</v>
      </c>
      <c r="D473" t="s">
        <v>96</v>
      </c>
      <c r="E473" t="s">
        <v>78</v>
      </c>
      <c r="F473">
        <v>16590</v>
      </c>
      <c r="G473">
        <v>4.5</v>
      </c>
      <c r="H473" t="s">
        <v>79</v>
      </c>
      <c r="I473" t="s">
        <v>80</v>
      </c>
      <c r="J473">
        <v>5</v>
      </c>
      <c r="K473">
        <v>5</v>
      </c>
      <c r="L473" t="s">
        <v>81</v>
      </c>
      <c r="M473" t="s">
        <v>82</v>
      </c>
      <c r="N473" t="s">
        <v>83</v>
      </c>
      <c r="O473" t="s">
        <v>83</v>
      </c>
      <c r="P473" t="s">
        <v>84</v>
      </c>
      <c r="Q473" t="s">
        <v>485</v>
      </c>
      <c r="R473">
        <v>3</v>
      </c>
      <c r="S473" t="s">
        <v>86</v>
      </c>
      <c r="T473" t="s">
        <v>87</v>
      </c>
      <c r="U473" t="s">
        <v>88</v>
      </c>
      <c r="V473">
        <v>1</v>
      </c>
      <c r="W473" t="s">
        <v>486</v>
      </c>
      <c r="X473" t="s">
        <v>83</v>
      </c>
      <c r="Y473" t="s">
        <v>90</v>
      </c>
      <c r="Z473">
        <v>4000</v>
      </c>
      <c r="AA473">
        <v>4000</v>
      </c>
      <c r="AC473">
        <v>256</v>
      </c>
      <c r="AD473" t="s">
        <v>91</v>
      </c>
      <c r="AE473">
        <v>0.15</v>
      </c>
      <c r="AF473" t="s">
        <v>92</v>
      </c>
      <c r="AG473">
        <v>180</v>
      </c>
      <c r="AH473">
        <v>60</v>
      </c>
      <c r="AI473">
        <v>120</v>
      </c>
      <c r="AJ473">
        <v>0.1226291042674936</v>
      </c>
      <c r="AK473">
        <v>19.984805530680791</v>
      </c>
      <c r="AL473">
        <v>0.67348257244981569</v>
      </c>
      <c r="AM473">
        <v>0.34637655734193917</v>
      </c>
      <c r="AN473">
        <v>25.7539392308591</v>
      </c>
      <c r="AO473">
        <v>0.63675213437688605</v>
      </c>
      <c r="AP473">
        <v>25.7539392308591</v>
      </c>
      <c r="AQ473">
        <v>25.7539392308591</v>
      </c>
      <c r="AR473">
        <v>0.63675213437688605</v>
      </c>
      <c r="AS473">
        <v>48.64974235332604</v>
      </c>
      <c r="AT473">
        <v>0.33314350064099391</v>
      </c>
      <c r="AU473">
        <v>0.8</v>
      </c>
      <c r="AV473" t="s">
        <v>93</v>
      </c>
      <c r="AW473">
        <v>9.4787812397987808E-2</v>
      </c>
      <c r="AX473">
        <v>0.31171792527948461</v>
      </c>
      <c r="AY473">
        <v>9.4787812397987808E-2</v>
      </c>
      <c r="AZ473">
        <v>9.4787812397987808E-2</v>
      </c>
      <c r="BA473">
        <v>0.31171792527948461</v>
      </c>
      <c r="BB473">
        <v>0.1115101795813387</v>
      </c>
      <c r="BC473">
        <v>0.19029191820096991</v>
      </c>
      <c r="BD473">
        <v>9.4860337859235616E-2</v>
      </c>
      <c r="BE473">
        <v>0.67132918977945633</v>
      </c>
      <c r="BF473">
        <v>9.4860337859235616E-2</v>
      </c>
      <c r="BG473">
        <v>9.4860337859235616E-2</v>
      </c>
      <c r="BH473">
        <v>0.67132918977945633</v>
      </c>
      <c r="BI473">
        <v>0.11550286323801991</v>
      </c>
      <c r="BJ473">
        <v>0.59980724821404774</v>
      </c>
      <c r="BK473">
        <v>3.5738572425754483E-2</v>
      </c>
      <c r="BL473">
        <v>0.85652093588913036</v>
      </c>
      <c r="BM473">
        <v>3.5738572425754483E-2</v>
      </c>
      <c r="BN473">
        <v>3.5738572425754483E-2</v>
      </c>
      <c r="BO473">
        <v>0.85652093588913036</v>
      </c>
      <c r="BP473">
        <v>0.2254100040904512</v>
      </c>
      <c r="BQ473">
        <v>9.5050131190502429E-2</v>
      </c>
      <c r="BR473">
        <v>102.7903702007532</v>
      </c>
      <c r="BS473">
        <v>0.70744048655947389</v>
      </c>
      <c r="BT473">
        <v>102.7903702007532</v>
      </c>
      <c r="BU473">
        <v>102.7903702007532</v>
      </c>
      <c r="BV473">
        <v>0.70744048655947389</v>
      </c>
      <c r="BW473">
        <v>194.14654636639489</v>
      </c>
      <c r="BX473">
        <v>0.44742470495845288</v>
      </c>
      <c r="BY473" t="str">
        <f t="shared" si="17"/>
        <v>[[sv,wv],[yr],[ya]]</v>
      </c>
      <c r="BZ473" t="str">
        <f>SUBSTITUTE(TRIM(MID(SUBSTITUTE(SUBSTITUTE(SUBSTITUTE(Tabla1[[#This Row],[map]],"[",""),"]",""),",",REPT(" ",100)),901,200))," ",", ")</f>
        <v>2, 3</v>
      </c>
      <c r="CA473" t="str">
        <f>SUBSTITUTE(TRIM(MID(SUBSTITUTE(SUBSTITUTE(SUBSTITUTE(Tabla1[[#This Row],[map]],"[",""),"]",""),",",REPT(" ",100)),1501,200))," ",", ")</f>
        <v>3, 4</v>
      </c>
      <c r="CB473" t="str">
        <f>SUBSTITUTE(TRIM(MID(SUBSTITUTE(SUBSTITUTE(SUBSTITUTE(Tabla1[[#This Row],[map]],"[",""),"]",""),",",REPT(" ",100)),601,300))," ",", ")</f>
        <v>1, 4, 0</v>
      </c>
      <c r="CC473" t="str">
        <f>SUBSTITUTE(TRIM(MID(SUBSTITUTE(SUBSTITUTE(SUBSTITUTE(Tabla1[[#This Row],[map]],"[",""),"]",""),",",REPT(" ",100)),1201,300))," ",", ")</f>
        <v>0, 1, 2</v>
      </c>
      <c r="CD473" t="str">
        <f>SUBSTITUTE(TRIM(MID(SUBSTITUTE(SUBSTITUTE(SUBSTITUTE(Tabla1[[#This Row],[map]],"[",""),"]",""),",",REPT(" ",100)),1,300))," ",", ")</f>
        <v>4, 2, 3</v>
      </c>
      <c r="CE473" t="str">
        <f>SUBSTITUTE(TRIM(MID(SUBSTITUTE(SUBSTITUTE(SUBSTITUTE(Tabla1[[#This Row],[map]],"[",""),"]",""),",",REPT(" ",100)),1,600))," ",", ")</f>
        <v>4, 2, 3, 0, 1, -1</v>
      </c>
      <c r="CF473" t="str">
        <f>SUBSTITUTE(TRIM(MID(SUBSTITUTE(SUBSTITUTE(SUBSTITUTE(Tabla1[[#This Row],[map]],"[",""),"]",""),",",REPT(" ",100)),601,600))," ",", ")</f>
        <v>1, 4, 0, 2, 3, -1</v>
      </c>
      <c r="CG473" t="str">
        <f>SUBSTITUTE(TRIM(MID(SUBSTITUTE(SUBSTITUTE(SUBSTITUTE(Tabla1[[#This Row],[map]],"[",""),"]",""),",",REPT(" ",100)),1201,600))," ",", ")</f>
        <v>0, 1, 2, 3, 4, -1</v>
      </c>
    </row>
    <row r="474" spans="1:85" x14ac:dyDescent="0.3">
      <c r="A474" s="1">
        <v>46111.875891203701</v>
      </c>
      <c r="B474" t="s">
        <v>729</v>
      </c>
      <c r="C474">
        <v>8</v>
      </c>
      <c r="D474" t="s">
        <v>96</v>
      </c>
      <c r="E474" t="s">
        <v>78</v>
      </c>
      <c r="F474">
        <v>16590</v>
      </c>
      <c r="G474">
        <v>4.5</v>
      </c>
      <c r="H474" t="s">
        <v>79</v>
      </c>
      <c r="I474" t="s">
        <v>80</v>
      </c>
      <c r="J474">
        <v>5</v>
      </c>
      <c r="K474">
        <v>5</v>
      </c>
      <c r="L474" t="s">
        <v>81</v>
      </c>
      <c r="M474" t="s">
        <v>82</v>
      </c>
      <c r="N474" t="s">
        <v>83</v>
      </c>
      <c r="O474" t="s">
        <v>83</v>
      </c>
      <c r="P474" t="s">
        <v>84</v>
      </c>
      <c r="Q474" t="s">
        <v>171</v>
      </c>
      <c r="R474">
        <v>3</v>
      </c>
      <c r="S474" t="s">
        <v>86</v>
      </c>
      <c r="T474" t="s">
        <v>87</v>
      </c>
      <c r="U474" t="s">
        <v>88</v>
      </c>
      <c r="V474">
        <v>1</v>
      </c>
      <c r="W474" t="s">
        <v>172</v>
      </c>
      <c r="X474" t="s">
        <v>83</v>
      </c>
      <c r="Y474" t="s">
        <v>90</v>
      </c>
      <c r="Z474">
        <v>4000</v>
      </c>
      <c r="AA474">
        <v>4000</v>
      </c>
      <c r="AC474">
        <v>256</v>
      </c>
      <c r="AD474" t="s">
        <v>91</v>
      </c>
      <c r="AE474">
        <v>0.15</v>
      </c>
      <c r="AF474" t="s">
        <v>92</v>
      </c>
      <c r="AG474">
        <v>180</v>
      </c>
      <c r="AH474">
        <v>60</v>
      </c>
      <c r="AI474">
        <v>120</v>
      </c>
      <c r="AJ474">
        <v>0.118226704020884</v>
      </c>
      <c r="AK474">
        <v>31.055917554842409</v>
      </c>
      <c r="AL474">
        <v>0.69402612900024496</v>
      </c>
      <c r="AM474">
        <v>-0.14877512827384529</v>
      </c>
      <c r="AN474">
        <v>36.191184069685541</v>
      </c>
      <c r="AO474">
        <v>0.59730368383750909</v>
      </c>
      <c r="AP474">
        <v>36.191184069685541</v>
      </c>
      <c r="AQ474">
        <v>36.191184069685541</v>
      </c>
      <c r="AR474">
        <v>0.59730368383750909</v>
      </c>
      <c r="AS474">
        <v>106.84407323394259</v>
      </c>
      <c r="AT474">
        <v>-0.32544938212896141</v>
      </c>
      <c r="AU474">
        <v>0.8</v>
      </c>
      <c r="AV474" t="s">
        <v>93</v>
      </c>
      <c r="AW474">
        <v>9.2308218380195206E-2</v>
      </c>
      <c r="AX474">
        <v>0.32972298386090942</v>
      </c>
      <c r="AY474">
        <v>9.2308218380195206E-2</v>
      </c>
      <c r="AZ474">
        <v>9.2308218380195206E-2</v>
      </c>
      <c r="BA474">
        <v>0.32972298386090942</v>
      </c>
      <c r="BB474">
        <v>0.14037536534469441</v>
      </c>
      <c r="BC474">
        <v>-1.93066519293108E-2</v>
      </c>
      <c r="BD474">
        <v>5.5903575358306173E-2</v>
      </c>
      <c r="BE474">
        <v>0.80630605138150657</v>
      </c>
      <c r="BF474">
        <v>5.5903575358306173E-2</v>
      </c>
      <c r="BG474">
        <v>5.5903575358306173E-2</v>
      </c>
      <c r="BH474">
        <v>0.80630605138150657</v>
      </c>
      <c r="BI474">
        <v>0.46629346043585568</v>
      </c>
      <c r="BJ474">
        <v>-0.61560724851532433</v>
      </c>
      <c r="BK474">
        <v>8.3555272723973242E-2</v>
      </c>
      <c r="BL474">
        <v>0.66455200870516951</v>
      </c>
      <c r="BM474">
        <v>8.3555272723973242E-2</v>
      </c>
      <c r="BN474">
        <v>8.3555272723973242E-2</v>
      </c>
      <c r="BO474">
        <v>0.66455200870516951</v>
      </c>
      <c r="BP474">
        <v>0.36198426261350841</v>
      </c>
      <c r="BQ474">
        <v>-0.45325231808144872</v>
      </c>
      <c r="BR474">
        <v>144.53296921227991</v>
      </c>
      <c r="BS474">
        <v>0.58863369140245281</v>
      </c>
      <c r="BT474">
        <v>144.53296921227991</v>
      </c>
      <c r="BU474">
        <v>144.53296921227991</v>
      </c>
      <c r="BV474">
        <v>0.58863369140245281</v>
      </c>
      <c r="BW474">
        <v>426.40763984737657</v>
      </c>
      <c r="BX474">
        <v>-0.2136313099897513</v>
      </c>
      <c r="BY474" t="str">
        <f t="shared" si="17"/>
        <v>[[sv,wv],[yr],[ya]]</v>
      </c>
      <c r="BZ474" t="str">
        <f>SUBSTITUTE(TRIM(MID(SUBSTITUTE(SUBSTITUTE(SUBSTITUTE(Tabla1[[#This Row],[map]],"[",""),"]",""),",",REPT(" ",100)),901,200))," ",", ")</f>
        <v>2, 4</v>
      </c>
      <c r="CA474" t="str">
        <f>SUBSTITUTE(TRIM(MID(SUBSTITUTE(SUBSTITUTE(SUBSTITUTE(Tabla1[[#This Row],[map]],"[",""),"]",""),",",REPT(" ",100)),1501,200))," ",", ")</f>
        <v>3, 2</v>
      </c>
      <c r="CB474" t="str">
        <f>SUBSTITUTE(TRIM(MID(SUBSTITUTE(SUBSTITUTE(SUBSTITUTE(Tabla1[[#This Row],[map]],"[",""),"]",""),",",REPT(" ",100)),601,300))," ",", ")</f>
        <v>3, 0, 1</v>
      </c>
      <c r="CC474" t="str">
        <f>SUBSTITUTE(TRIM(MID(SUBSTITUTE(SUBSTITUTE(SUBSTITUTE(Tabla1[[#This Row],[map]],"[",""),"]",""),",",REPT(" ",100)),1201,300))," ",", ")</f>
        <v>4, 0, 1</v>
      </c>
      <c r="CD474" t="str">
        <f>SUBSTITUTE(TRIM(MID(SUBSTITUTE(SUBSTITUTE(SUBSTITUTE(Tabla1[[#This Row],[map]],"[",""),"]",""),",",REPT(" ",100)),1,300))," ",", ")</f>
        <v>2, 3, 4</v>
      </c>
      <c r="CE474" t="str">
        <f>SUBSTITUTE(TRIM(MID(SUBSTITUTE(SUBSTITUTE(SUBSTITUTE(Tabla1[[#This Row],[map]],"[",""),"]",""),",",REPT(" ",100)),1,600))," ",", ")</f>
        <v>2, 3, 4, 0, 1, -1</v>
      </c>
      <c r="CF474" t="str">
        <f>SUBSTITUTE(TRIM(MID(SUBSTITUTE(SUBSTITUTE(SUBSTITUTE(Tabla1[[#This Row],[map]],"[",""),"]",""),",",REPT(" ",100)),601,600))," ",", ")</f>
        <v>3, 0, 1, 2, 4, -1</v>
      </c>
      <c r="CG474" t="str">
        <f>SUBSTITUTE(TRIM(MID(SUBSTITUTE(SUBSTITUTE(SUBSTITUTE(Tabla1[[#This Row],[map]],"[",""),"]",""),",",REPT(" ",100)),1201,600))," ",", ")</f>
        <v>4, 0, 1, 3, 2, -1</v>
      </c>
    </row>
    <row r="475" spans="1:85" x14ac:dyDescent="0.3">
      <c r="A475" s="1">
        <v>46111.885949074072</v>
      </c>
      <c r="B475" t="s">
        <v>730</v>
      </c>
      <c r="C475">
        <v>8</v>
      </c>
      <c r="D475" t="s">
        <v>96</v>
      </c>
      <c r="E475" t="s">
        <v>78</v>
      </c>
      <c r="F475">
        <v>16590</v>
      </c>
      <c r="G475">
        <v>4.5</v>
      </c>
      <c r="H475" t="s">
        <v>79</v>
      </c>
      <c r="I475" t="s">
        <v>80</v>
      </c>
      <c r="J475">
        <v>5</v>
      </c>
      <c r="K475">
        <v>5</v>
      </c>
      <c r="L475" t="s">
        <v>81</v>
      </c>
      <c r="M475" t="s">
        <v>82</v>
      </c>
      <c r="N475" t="s">
        <v>83</v>
      </c>
      <c r="O475" t="s">
        <v>83</v>
      </c>
      <c r="P475" t="s">
        <v>84</v>
      </c>
      <c r="Q475" t="s">
        <v>477</v>
      </c>
      <c r="R475">
        <v>3</v>
      </c>
      <c r="S475" t="s">
        <v>86</v>
      </c>
      <c r="T475" t="s">
        <v>87</v>
      </c>
      <c r="U475" t="s">
        <v>88</v>
      </c>
      <c r="V475">
        <v>1</v>
      </c>
      <c r="W475" t="s">
        <v>478</v>
      </c>
      <c r="X475" t="s">
        <v>83</v>
      </c>
      <c r="Y475" t="s">
        <v>90</v>
      </c>
      <c r="Z475">
        <v>4000</v>
      </c>
      <c r="AA475">
        <v>4000</v>
      </c>
      <c r="AC475">
        <v>256</v>
      </c>
      <c r="AD475" t="s">
        <v>91</v>
      </c>
      <c r="AE475">
        <v>0.15</v>
      </c>
      <c r="AF475" t="s">
        <v>92</v>
      </c>
      <c r="AG475">
        <v>180</v>
      </c>
      <c r="AH475">
        <v>60</v>
      </c>
      <c r="AI475">
        <v>120</v>
      </c>
      <c r="AJ475">
        <v>9.8459312322848755E-2</v>
      </c>
      <c r="AK475">
        <v>10.309762045149689</v>
      </c>
      <c r="AL475">
        <v>0.74668984972823182</v>
      </c>
      <c r="AM475">
        <v>3.6067267263433463E-2</v>
      </c>
      <c r="AN475">
        <v>14.07605139201433</v>
      </c>
      <c r="AO475">
        <v>0.68863740805483509</v>
      </c>
      <c r="AP475">
        <v>14.07605139201433</v>
      </c>
      <c r="AQ475">
        <v>14.07605139201433</v>
      </c>
      <c r="AR475">
        <v>0.68863740805483509</v>
      </c>
      <c r="AS475">
        <v>104.8802904776457</v>
      </c>
      <c r="AT475">
        <v>6.5428221788811469E-2</v>
      </c>
      <c r="AU475">
        <v>0.8</v>
      </c>
      <c r="AV475" t="s">
        <v>93</v>
      </c>
      <c r="AW475">
        <v>9.7713711076145182E-2</v>
      </c>
      <c r="AX475">
        <v>0.29047211781039151</v>
      </c>
      <c r="AY475">
        <v>9.7713711076145182E-2</v>
      </c>
      <c r="AZ475">
        <v>9.7713711076145182E-2</v>
      </c>
      <c r="BA475">
        <v>0.29047211781039151</v>
      </c>
      <c r="BB475">
        <v>9.8084859787131246E-2</v>
      </c>
      <c r="BC475">
        <v>0.28777709828873882</v>
      </c>
      <c r="BD475">
        <v>7.7455679081338533E-2</v>
      </c>
      <c r="BE475">
        <v>0.73163261512285016</v>
      </c>
      <c r="BF475">
        <v>7.7455679081338533E-2</v>
      </c>
      <c r="BG475">
        <v>7.7455679081338533E-2</v>
      </c>
      <c r="BH475">
        <v>0.73163261512285016</v>
      </c>
      <c r="BI475">
        <v>0.13195367675496689</v>
      </c>
      <c r="BJ475">
        <v>0.54280869297565726</v>
      </c>
      <c r="BK475">
        <v>2.68709709102752E-2</v>
      </c>
      <c r="BL475">
        <v>0.89212155113452896</v>
      </c>
      <c r="BM475">
        <v>2.68709709102752E-2</v>
      </c>
      <c r="BN475">
        <v>2.68709709102752E-2</v>
      </c>
      <c r="BO475">
        <v>0.89212155113452896</v>
      </c>
      <c r="BP475">
        <v>0.34285946203448991</v>
      </c>
      <c r="BQ475">
        <v>-0.37647229296754281</v>
      </c>
      <c r="BR475">
        <v>56.102165206989483</v>
      </c>
      <c r="BS475">
        <v>0.84032334815157039</v>
      </c>
      <c r="BT475">
        <v>56.102165206989483</v>
      </c>
      <c r="BU475">
        <v>56.102165206989483</v>
      </c>
      <c r="BV475">
        <v>0.84032334815157039</v>
      </c>
      <c r="BW475">
        <v>418.94826391200729</v>
      </c>
      <c r="BX475">
        <v>-0.1924006111416057</v>
      </c>
      <c r="BY475" t="str">
        <f t="shared" si="17"/>
        <v>[[sv,wv],[yr],[ya]]</v>
      </c>
      <c r="BZ475" t="str">
        <f>SUBSTITUTE(TRIM(MID(SUBSTITUTE(SUBSTITUTE(SUBSTITUTE(Tabla1[[#This Row],[map]],"[",""),"]",""),",",REPT(" ",100)),901,200))," ",", ")</f>
        <v>2, 3</v>
      </c>
      <c r="CA475" t="str">
        <f>SUBSTITUTE(TRIM(MID(SUBSTITUTE(SUBSTITUTE(SUBSTITUTE(Tabla1[[#This Row],[map]],"[",""),"]",""),",",REPT(" ",100)),1501,200))," ",", ")</f>
        <v>3, 2</v>
      </c>
      <c r="CB475" t="str">
        <f>SUBSTITUTE(TRIM(MID(SUBSTITUTE(SUBSTITUTE(SUBSTITUTE(Tabla1[[#This Row],[map]],"[",""),"]",""),",",REPT(" ",100)),601,300))," ",", ")</f>
        <v>1, 4, 0</v>
      </c>
      <c r="CC475" t="str">
        <f>SUBSTITUTE(TRIM(MID(SUBSTITUTE(SUBSTITUTE(SUBSTITUTE(Tabla1[[#This Row],[map]],"[",""),"]",""),",",REPT(" ",100)),1201,300))," ",", ")</f>
        <v>1, 4, 0</v>
      </c>
      <c r="CD475" t="str">
        <f>SUBSTITUTE(TRIM(MID(SUBSTITUTE(SUBSTITUTE(SUBSTITUTE(Tabla1[[#This Row],[map]],"[",""),"]",""),",",REPT(" ",100)),1,300))," ",", ")</f>
        <v>4, 2, 3</v>
      </c>
      <c r="CE475" t="str">
        <f>SUBSTITUTE(TRIM(MID(SUBSTITUTE(SUBSTITUTE(SUBSTITUTE(Tabla1[[#This Row],[map]],"[",""),"]",""),",",REPT(" ",100)),1,600))," ",", ")</f>
        <v>4, 2, 3, 0, 1, -1</v>
      </c>
      <c r="CF475" t="str">
        <f>SUBSTITUTE(TRIM(MID(SUBSTITUTE(SUBSTITUTE(SUBSTITUTE(Tabla1[[#This Row],[map]],"[",""),"]",""),",",REPT(" ",100)),601,600))," ",", ")</f>
        <v>1, 4, 0, 2, 3, -1</v>
      </c>
      <c r="CG475" t="str">
        <f>SUBSTITUTE(TRIM(MID(SUBSTITUTE(SUBSTITUTE(SUBSTITUTE(Tabla1[[#This Row],[map]],"[",""),"]",""),",",REPT(" ",100)),1201,600))," ",", ")</f>
        <v>1, 4, 0, 3, 2, -1</v>
      </c>
    </row>
    <row r="476" spans="1:85" x14ac:dyDescent="0.3">
      <c r="A476" s="1">
        <v>46111.886076388888</v>
      </c>
      <c r="B476" t="s">
        <v>731</v>
      </c>
      <c r="C476">
        <v>6</v>
      </c>
      <c r="D476" t="s">
        <v>96</v>
      </c>
      <c r="E476" t="s">
        <v>78</v>
      </c>
      <c r="F476">
        <v>16590</v>
      </c>
      <c r="G476">
        <v>4.5</v>
      </c>
      <c r="H476" t="s">
        <v>79</v>
      </c>
      <c r="I476" t="s">
        <v>80</v>
      </c>
      <c r="J476">
        <v>5</v>
      </c>
      <c r="K476">
        <v>5</v>
      </c>
      <c r="L476" t="s">
        <v>81</v>
      </c>
      <c r="M476" t="s">
        <v>82</v>
      </c>
      <c r="N476" t="s">
        <v>83</v>
      </c>
      <c r="O476" t="s">
        <v>83</v>
      </c>
      <c r="P476" t="s">
        <v>84</v>
      </c>
      <c r="Q476" t="s">
        <v>207</v>
      </c>
      <c r="R476">
        <v>3</v>
      </c>
      <c r="S476" t="s">
        <v>86</v>
      </c>
      <c r="T476" t="s">
        <v>87</v>
      </c>
      <c r="U476" t="s">
        <v>88</v>
      </c>
      <c r="V476">
        <v>1</v>
      </c>
      <c r="W476" t="s">
        <v>208</v>
      </c>
      <c r="X476" t="s">
        <v>83</v>
      </c>
      <c r="Y476" t="s">
        <v>90</v>
      </c>
      <c r="Z476">
        <v>4000</v>
      </c>
      <c r="AA476">
        <v>4000</v>
      </c>
      <c r="AC476">
        <v>256</v>
      </c>
      <c r="AD476" t="s">
        <v>91</v>
      </c>
      <c r="AE476">
        <v>0.15</v>
      </c>
      <c r="AF476" t="s">
        <v>92</v>
      </c>
      <c r="AG476">
        <v>180</v>
      </c>
      <c r="AH476">
        <v>60</v>
      </c>
      <c r="AI476">
        <v>120</v>
      </c>
      <c r="AJ476">
        <v>0.12611234534000221</v>
      </c>
      <c r="AK476">
        <v>12.923011766115611</v>
      </c>
      <c r="AL476">
        <v>0.6851842369936304</v>
      </c>
      <c r="AM476">
        <v>6.078199969654241E-2</v>
      </c>
      <c r="AN476">
        <v>18.844572387654271</v>
      </c>
      <c r="AO476">
        <v>0.60486715131340818</v>
      </c>
      <c r="AP476">
        <v>18.844572387654271</v>
      </c>
      <c r="AQ476">
        <v>18.844572387654271</v>
      </c>
      <c r="AR476">
        <v>0.60486715131340818</v>
      </c>
      <c r="AS476">
        <v>88.97224740873331</v>
      </c>
      <c r="AT476">
        <v>6.1421622590549452E-2</v>
      </c>
      <c r="AU476">
        <v>0.8</v>
      </c>
      <c r="AV476" t="s">
        <v>93</v>
      </c>
      <c r="AW476">
        <v>7.9193700054750654E-2</v>
      </c>
      <c r="AX476">
        <v>0.42495134343204782</v>
      </c>
      <c r="AY476">
        <v>7.9193700054750654E-2</v>
      </c>
      <c r="AZ476">
        <v>7.9193700054750654E-2</v>
      </c>
      <c r="BA476">
        <v>0.42495134343204782</v>
      </c>
      <c r="BB476">
        <v>0.14557701135465209</v>
      </c>
      <c r="BC476">
        <v>-5.7077327474212243E-2</v>
      </c>
      <c r="BD476">
        <v>9.991782123259621E-2</v>
      </c>
      <c r="BE476">
        <v>0.65380609007823054</v>
      </c>
      <c r="BF476">
        <v>9.991782123259621E-2</v>
      </c>
      <c r="BG476">
        <v>9.991782123259621E-2</v>
      </c>
      <c r="BH476">
        <v>0.65380609007823054</v>
      </c>
      <c r="BI476">
        <v>0.1236537691120061</v>
      </c>
      <c r="BJ476">
        <v>0.57156610024755217</v>
      </c>
      <c r="BK476">
        <v>0.11098622740330751</v>
      </c>
      <c r="BL476">
        <v>0.55442540213085922</v>
      </c>
      <c r="BM476">
        <v>0.11098622740330751</v>
      </c>
      <c r="BN476">
        <v>0.11098622740330751</v>
      </c>
      <c r="BO476">
        <v>0.55442540213085922</v>
      </c>
      <c r="BP476">
        <v>0.31323446010857431</v>
      </c>
      <c r="BQ476">
        <v>-0.2575372806795313</v>
      </c>
      <c r="BR476">
        <v>75.0881918019263</v>
      </c>
      <c r="BS476">
        <v>0.7862857696124973</v>
      </c>
      <c r="BT476">
        <v>75.0881918019263</v>
      </c>
      <c r="BU476">
        <v>75.0881918019263</v>
      </c>
      <c r="BV476">
        <v>0.7862857696124973</v>
      </c>
      <c r="BW476">
        <v>355.30652439435858</v>
      </c>
      <c r="BX476">
        <v>-1.126500173161471E-2</v>
      </c>
      <c r="BY476" t="str">
        <f t="shared" si="17"/>
        <v>[[sv,wv],[yr],[ya]]</v>
      </c>
      <c r="BZ476" t="str">
        <f>SUBSTITUTE(TRIM(MID(SUBSTITUTE(SUBSTITUTE(SUBSTITUTE(Tabla1[[#This Row],[map]],"[",""),"]",""),",",REPT(" ",100)),901,200))," ",", ")</f>
        <v>2, 4</v>
      </c>
      <c r="CA476" t="str">
        <f>SUBSTITUTE(TRIM(MID(SUBSTITUTE(SUBSTITUTE(SUBSTITUTE(Tabla1[[#This Row],[map]],"[",""),"]",""),",",REPT(" ",100)),1501,200))," ",", ")</f>
        <v>3, 2</v>
      </c>
      <c r="CB476" t="str">
        <f>SUBSTITUTE(TRIM(MID(SUBSTITUTE(SUBSTITUTE(SUBSTITUTE(Tabla1[[#This Row],[map]],"[",""),"]",""),",",REPT(" ",100)),601,300))," ",", ")</f>
        <v>3, 0, 1</v>
      </c>
      <c r="CC476" t="str">
        <f>SUBSTITUTE(TRIM(MID(SUBSTITUTE(SUBSTITUTE(SUBSTITUTE(Tabla1[[#This Row],[map]],"[",""),"]",""),",",REPT(" ",100)),1201,300))," ",", ")</f>
        <v>0, 1, 4</v>
      </c>
      <c r="CD476" t="str">
        <f>SUBSTITUTE(TRIM(MID(SUBSTITUTE(SUBSTITUTE(SUBSTITUTE(Tabla1[[#This Row],[map]],"[",""),"]",""),",",REPT(" ",100)),1,300))," ",", ")</f>
        <v>4, 2, 3</v>
      </c>
      <c r="CE476" t="str">
        <f>SUBSTITUTE(TRIM(MID(SUBSTITUTE(SUBSTITUTE(SUBSTITUTE(Tabla1[[#This Row],[map]],"[",""),"]",""),",",REPT(" ",100)),1,600))," ",", ")</f>
        <v>4, 2, 3, 0, 1, -1</v>
      </c>
      <c r="CF476" t="str">
        <f>SUBSTITUTE(TRIM(MID(SUBSTITUTE(SUBSTITUTE(SUBSTITUTE(Tabla1[[#This Row],[map]],"[",""),"]",""),",",REPT(" ",100)),601,600))," ",", ")</f>
        <v>3, 0, 1, 2, 4, -1</v>
      </c>
      <c r="CG476" t="str">
        <f>SUBSTITUTE(TRIM(MID(SUBSTITUTE(SUBSTITUTE(SUBSTITUTE(Tabla1[[#This Row],[map]],"[",""),"]",""),",",REPT(" ",100)),1201,600))," ",", ")</f>
        <v>0, 1, 4, 3, 2, -1</v>
      </c>
    </row>
    <row r="477" spans="1:85" x14ac:dyDescent="0.3">
      <c r="A477" s="1">
        <v>46111.887511574067</v>
      </c>
      <c r="B477" t="s">
        <v>732</v>
      </c>
      <c r="C477">
        <v>7</v>
      </c>
      <c r="D477" t="s">
        <v>96</v>
      </c>
      <c r="E477" t="s">
        <v>78</v>
      </c>
      <c r="F477">
        <v>16590</v>
      </c>
      <c r="G477">
        <v>4.5</v>
      </c>
      <c r="H477" t="s">
        <v>79</v>
      </c>
      <c r="I477" t="s">
        <v>80</v>
      </c>
      <c r="J477">
        <v>5</v>
      </c>
      <c r="K477">
        <v>5</v>
      </c>
      <c r="L477" t="s">
        <v>81</v>
      </c>
      <c r="M477" t="s">
        <v>82</v>
      </c>
      <c r="N477" t="s">
        <v>83</v>
      </c>
      <c r="O477" t="s">
        <v>83</v>
      </c>
      <c r="P477" t="s">
        <v>84</v>
      </c>
      <c r="Q477" t="s">
        <v>171</v>
      </c>
      <c r="R477">
        <v>3</v>
      </c>
      <c r="S477" t="s">
        <v>86</v>
      </c>
      <c r="T477" t="s">
        <v>87</v>
      </c>
      <c r="U477" t="s">
        <v>88</v>
      </c>
      <c r="V477">
        <v>1</v>
      </c>
      <c r="W477" t="s">
        <v>172</v>
      </c>
      <c r="X477" t="s">
        <v>83</v>
      </c>
      <c r="Y477" t="s">
        <v>90</v>
      </c>
      <c r="Z477">
        <v>4000</v>
      </c>
      <c r="AA477">
        <v>4000</v>
      </c>
      <c r="AC477">
        <v>256</v>
      </c>
      <c r="AD477" t="s">
        <v>91</v>
      </c>
      <c r="AE477">
        <v>0.15</v>
      </c>
      <c r="AF477" t="s">
        <v>92</v>
      </c>
      <c r="AG477">
        <v>180</v>
      </c>
      <c r="AH477">
        <v>60</v>
      </c>
      <c r="AI477">
        <v>120</v>
      </c>
      <c r="AJ477">
        <v>0.1253458307369065</v>
      </c>
      <c r="AK477">
        <v>28.868874536038099</v>
      </c>
      <c r="AL477">
        <v>0.62282676512180091</v>
      </c>
      <c r="AM477">
        <v>-0.36873403891469902</v>
      </c>
      <c r="AN477">
        <v>34.942244129057777</v>
      </c>
      <c r="AO477">
        <v>0.54113930962769174</v>
      </c>
      <c r="AP477">
        <v>34.942244129057777</v>
      </c>
      <c r="AQ477">
        <v>34.942244129057777</v>
      </c>
      <c r="AR477">
        <v>0.54113930962769174</v>
      </c>
      <c r="AS477">
        <v>102.7984812981946</v>
      </c>
      <c r="AT477">
        <v>-0.3489893168022255</v>
      </c>
      <c r="AU477">
        <v>0.8</v>
      </c>
      <c r="AV477" t="s">
        <v>93</v>
      </c>
      <c r="AW477">
        <v>9.9181432646956932E-2</v>
      </c>
      <c r="AX477">
        <v>0.27981456150316508</v>
      </c>
      <c r="AY477">
        <v>9.9181432646956932E-2</v>
      </c>
      <c r="AZ477">
        <v>9.9181432646956932E-2</v>
      </c>
      <c r="BA477">
        <v>0.27981456150316508</v>
      </c>
      <c r="BB477">
        <v>0.15962280709852289</v>
      </c>
      <c r="BC477">
        <v>-0.15906796520621241</v>
      </c>
      <c r="BD477">
        <v>7.2281839867327627E-2</v>
      </c>
      <c r="BE477">
        <v>0.74955886296041485</v>
      </c>
      <c r="BF477">
        <v>7.2281839867327627E-2</v>
      </c>
      <c r="BG477">
        <v>7.2281839867327627E-2</v>
      </c>
      <c r="BH477">
        <v>0.74955886296041485</v>
      </c>
      <c r="BI477">
        <v>0.40782183466174038</v>
      </c>
      <c r="BJ477">
        <v>-0.41301555369542409</v>
      </c>
      <c r="BK477">
        <v>0.116529408910514</v>
      </c>
      <c r="BL477">
        <v>0.53217128169829486</v>
      </c>
      <c r="BM477">
        <v>0.116529408910514</v>
      </c>
      <c r="BN477">
        <v>0.116529408910514</v>
      </c>
      <c r="BO477">
        <v>0.53217128169829486</v>
      </c>
      <c r="BP477">
        <v>0.41256865228753292</v>
      </c>
      <c r="BQ477">
        <v>-0.65633264268384806</v>
      </c>
      <c r="BR477">
        <v>139.4809838348059</v>
      </c>
      <c r="BS477">
        <v>0.60301253234889418</v>
      </c>
      <c r="BT477">
        <v>139.4809838348059</v>
      </c>
      <c r="BU477">
        <v>139.4809838348059</v>
      </c>
      <c r="BV477">
        <v>0.60301253234889418</v>
      </c>
      <c r="BW477">
        <v>410.21391189873009</v>
      </c>
      <c r="BX477">
        <v>-0.16754110562341309</v>
      </c>
      <c r="BY477" t="str">
        <f t="shared" si="17"/>
        <v>[[sv,wv],[yr],[ya]]</v>
      </c>
      <c r="BZ477" t="str">
        <f>SUBSTITUTE(TRIM(MID(SUBSTITUTE(SUBSTITUTE(SUBSTITUTE(Tabla1[[#This Row],[map]],"[",""),"]",""),",",REPT(" ",100)),901,200))," ",", ")</f>
        <v>2, 4</v>
      </c>
      <c r="CA477" t="str">
        <f>SUBSTITUTE(TRIM(MID(SUBSTITUTE(SUBSTITUTE(SUBSTITUTE(Tabla1[[#This Row],[map]],"[",""),"]",""),",",REPT(" ",100)),1501,200))," ",", ")</f>
        <v>3, 2</v>
      </c>
      <c r="CB477" t="str">
        <f>SUBSTITUTE(TRIM(MID(SUBSTITUTE(SUBSTITUTE(SUBSTITUTE(Tabla1[[#This Row],[map]],"[",""),"]",""),",",REPT(" ",100)),601,300))," ",", ")</f>
        <v>3, 0, 1</v>
      </c>
      <c r="CC477" t="str">
        <f>SUBSTITUTE(TRIM(MID(SUBSTITUTE(SUBSTITUTE(SUBSTITUTE(Tabla1[[#This Row],[map]],"[",""),"]",""),",",REPT(" ",100)),1201,300))," ",", ")</f>
        <v>4, 0, 1</v>
      </c>
      <c r="CD477" t="str">
        <f>SUBSTITUTE(TRIM(MID(SUBSTITUTE(SUBSTITUTE(SUBSTITUTE(Tabla1[[#This Row],[map]],"[",""),"]",""),",",REPT(" ",100)),1,300))," ",", ")</f>
        <v>2, 3, 4</v>
      </c>
      <c r="CE477" t="str">
        <f>SUBSTITUTE(TRIM(MID(SUBSTITUTE(SUBSTITUTE(SUBSTITUTE(Tabla1[[#This Row],[map]],"[",""),"]",""),",",REPT(" ",100)),1,600))," ",", ")</f>
        <v>2, 3, 4, 0, 1, -1</v>
      </c>
      <c r="CF477" t="str">
        <f>SUBSTITUTE(TRIM(MID(SUBSTITUTE(SUBSTITUTE(SUBSTITUTE(Tabla1[[#This Row],[map]],"[",""),"]",""),",",REPT(" ",100)),601,600))," ",", ")</f>
        <v>3, 0, 1, 2, 4, -1</v>
      </c>
      <c r="CG477" t="str">
        <f>SUBSTITUTE(TRIM(MID(SUBSTITUTE(SUBSTITUTE(SUBSTITUTE(Tabla1[[#This Row],[map]],"[",""),"]",""),",",REPT(" ",100)),1201,600))," ",", ")</f>
        <v>4, 0, 1, 3, 2, -1</v>
      </c>
    </row>
    <row r="478" spans="1:85" x14ac:dyDescent="0.3">
      <c r="A478" s="1">
        <v>46111.889699074083</v>
      </c>
      <c r="B478" t="s">
        <v>733</v>
      </c>
      <c r="C478">
        <v>9</v>
      </c>
      <c r="D478" t="s">
        <v>96</v>
      </c>
      <c r="E478" t="s">
        <v>78</v>
      </c>
      <c r="F478">
        <v>16590</v>
      </c>
      <c r="G478">
        <v>4.5</v>
      </c>
      <c r="H478" t="s">
        <v>79</v>
      </c>
      <c r="I478" t="s">
        <v>80</v>
      </c>
      <c r="J478">
        <v>5</v>
      </c>
      <c r="K478">
        <v>5</v>
      </c>
      <c r="L478" t="s">
        <v>81</v>
      </c>
      <c r="M478" t="s">
        <v>82</v>
      </c>
      <c r="N478" t="s">
        <v>83</v>
      </c>
      <c r="O478" t="s">
        <v>83</v>
      </c>
      <c r="P478" t="s">
        <v>84</v>
      </c>
      <c r="Q478" t="s">
        <v>153</v>
      </c>
      <c r="R478">
        <v>3</v>
      </c>
      <c r="S478" t="s">
        <v>86</v>
      </c>
      <c r="T478" t="s">
        <v>87</v>
      </c>
      <c r="U478" t="s">
        <v>88</v>
      </c>
      <c r="V478">
        <v>1</v>
      </c>
      <c r="W478" t="s">
        <v>154</v>
      </c>
      <c r="X478" t="s">
        <v>83</v>
      </c>
      <c r="Y478" t="s">
        <v>90</v>
      </c>
      <c r="Z478">
        <v>4000</v>
      </c>
      <c r="AA478">
        <v>4000</v>
      </c>
      <c r="AC478">
        <v>256</v>
      </c>
      <c r="AD478" t="s">
        <v>91</v>
      </c>
      <c r="AE478">
        <v>0.15</v>
      </c>
      <c r="AF478" t="s">
        <v>92</v>
      </c>
      <c r="AG478">
        <v>180</v>
      </c>
      <c r="AH478">
        <v>60</v>
      </c>
      <c r="AI478">
        <v>120</v>
      </c>
      <c r="AJ478">
        <v>0.13070482805045031</v>
      </c>
      <c r="AK478">
        <v>47.990084512586343</v>
      </c>
      <c r="AL478">
        <v>0.68615495180436303</v>
      </c>
      <c r="AM478">
        <v>0.1526017552700307</v>
      </c>
      <c r="AN478">
        <v>50.697351772288329</v>
      </c>
      <c r="AO478">
        <v>0.6491901409265235</v>
      </c>
      <c r="AP478">
        <v>50.697351772288329</v>
      </c>
      <c r="AQ478">
        <v>50.697351772288329</v>
      </c>
      <c r="AR478">
        <v>0.6491901409265235</v>
      </c>
      <c r="AS478">
        <v>97.093221537050539</v>
      </c>
      <c r="AT478">
        <v>7.4915883591307075E-2</v>
      </c>
      <c r="AU478">
        <v>0.8</v>
      </c>
      <c r="AV478" t="s">
        <v>93</v>
      </c>
      <c r="AW478">
        <v>5.48105668092373E-2</v>
      </c>
      <c r="AX478">
        <v>0.60200441717473263</v>
      </c>
      <c r="AY478">
        <v>5.48105668092373E-2</v>
      </c>
      <c r="AZ478">
        <v>5.48105668092373E-2</v>
      </c>
      <c r="BA478">
        <v>0.60200441717473263</v>
      </c>
      <c r="BB478">
        <v>0.16391951111733519</v>
      </c>
      <c r="BC478">
        <v>-0.19026759184292691</v>
      </c>
      <c r="BD478">
        <v>4.7920259057095488E-2</v>
      </c>
      <c r="BE478">
        <v>0.83396653727245296</v>
      </c>
      <c r="BF478">
        <v>4.7920259057095488E-2</v>
      </c>
      <c r="BG478">
        <v>4.7920259057095488E-2</v>
      </c>
      <c r="BH478">
        <v>0.83396653727245296</v>
      </c>
      <c r="BI478">
        <v>0.23012047591022211</v>
      </c>
      <c r="BJ478">
        <v>0.2026817005650581</v>
      </c>
      <c r="BK478">
        <v>6.5388585438842281E-2</v>
      </c>
      <c r="BL478">
        <v>0.73748551199717738</v>
      </c>
      <c r="BM478">
        <v>6.5388585438842281E-2</v>
      </c>
      <c r="BN478">
        <v>6.5388585438842281E-2</v>
      </c>
      <c r="BO478">
        <v>0.73748551199717738</v>
      </c>
      <c r="BP478">
        <v>0.15167473311245391</v>
      </c>
      <c r="BQ478">
        <v>0.39107392156049758</v>
      </c>
      <c r="BR478">
        <v>202.62128767784819</v>
      </c>
      <c r="BS478">
        <v>0.42330409726173179</v>
      </c>
      <c r="BT478">
        <v>202.62128767784819</v>
      </c>
      <c r="BU478">
        <v>202.62128767784819</v>
      </c>
      <c r="BV478">
        <v>0.42330409726173179</v>
      </c>
      <c r="BW478">
        <v>387.8271714280632</v>
      </c>
      <c r="BX478">
        <v>-0.1038244959174035</v>
      </c>
      <c r="BY478" t="str">
        <f t="shared" ref="BY478:BY496" si="18">_xlfn.LET(_xlpm.TextoConfig, Q478,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478" t="str">
        <f>SUBSTITUTE(TRIM(MID(SUBSTITUTE(SUBSTITUTE(SUBSTITUTE(Tabla1[[#This Row],[map]],"[",""),"]",""),",",REPT(" ",100)),901,200))," ",", ")</f>
        <v>2, 4</v>
      </c>
      <c r="CA478" t="str">
        <f>SUBSTITUTE(TRIM(MID(SUBSTITUTE(SUBSTITUTE(SUBSTITUTE(Tabla1[[#This Row],[map]],"[",""),"]",""),",",REPT(" ",100)),1501,200))," ",", ")</f>
        <v>3, 2</v>
      </c>
      <c r="CB478" t="str">
        <f>SUBSTITUTE(TRIM(MID(SUBSTITUTE(SUBSTITUTE(SUBSTITUTE(Tabla1[[#This Row],[map]],"[",""),"]",""),",",REPT(" ",100)),601,300))," ",", ")</f>
        <v>0, 1, 3</v>
      </c>
      <c r="CC478" t="str">
        <f>SUBSTITUTE(TRIM(MID(SUBSTITUTE(SUBSTITUTE(SUBSTITUTE(Tabla1[[#This Row],[map]],"[",""),"]",""),",",REPT(" ",100)),1201,300))," ",", ")</f>
        <v>4, 0, 1</v>
      </c>
      <c r="CD478" t="str">
        <f>SUBSTITUTE(TRIM(MID(SUBSTITUTE(SUBSTITUTE(SUBSTITUTE(Tabla1[[#This Row],[map]],"[",""),"]",""),",",REPT(" ",100)),1,300))," ",", ")</f>
        <v>2, 3, 4</v>
      </c>
      <c r="CE478" t="str">
        <f>SUBSTITUTE(TRIM(MID(SUBSTITUTE(SUBSTITUTE(SUBSTITUTE(Tabla1[[#This Row],[map]],"[",""),"]",""),",",REPT(" ",100)),1,600))," ",", ")</f>
        <v>2, 3, 4, 0, 1, -1</v>
      </c>
      <c r="CF478" t="str">
        <f>SUBSTITUTE(TRIM(MID(SUBSTITUTE(SUBSTITUTE(SUBSTITUTE(Tabla1[[#This Row],[map]],"[",""),"]",""),",",REPT(" ",100)),601,600))," ",", ")</f>
        <v>0, 1, 3, 2, 4, -1</v>
      </c>
      <c r="CG478" t="str">
        <f>SUBSTITUTE(TRIM(MID(SUBSTITUTE(SUBSTITUTE(SUBSTITUTE(Tabla1[[#This Row],[map]],"[",""),"]",""),",",REPT(" ",100)),1201,600))," ",", ")</f>
        <v>4, 0, 1, 3, 2, -1</v>
      </c>
    </row>
    <row r="479" spans="1:85" x14ac:dyDescent="0.3">
      <c r="A479" s="1">
        <v>46111.908668981479</v>
      </c>
      <c r="B479" t="s">
        <v>734</v>
      </c>
      <c r="C479">
        <v>6</v>
      </c>
      <c r="D479" t="s">
        <v>96</v>
      </c>
      <c r="E479" t="s">
        <v>78</v>
      </c>
      <c r="F479">
        <v>16590</v>
      </c>
      <c r="G479">
        <v>4.5</v>
      </c>
      <c r="H479" t="s">
        <v>79</v>
      </c>
      <c r="I479" t="s">
        <v>80</v>
      </c>
      <c r="J479">
        <v>5</v>
      </c>
      <c r="K479">
        <v>5</v>
      </c>
      <c r="L479" t="s">
        <v>81</v>
      </c>
      <c r="M479" t="s">
        <v>82</v>
      </c>
      <c r="N479" t="s">
        <v>83</v>
      </c>
      <c r="O479" t="s">
        <v>83</v>
      </c>
      <c r="P479" t="s">
        <v>84</v>
      </c>
      <c r="Q479" t="s">
        <v>271</v>
      </c>
      <c r="R479">
        <v>3</v>
      </c>
      <c r="S479" t="s">
        <v>86</v>
      </c>
      <c r="T479" t="s">
        <v>87</v>
      </c>
      <c r="U479" t="s">
        <v>88</v>
      </c>
      <c r="V479">
        <v>1</v>
      </c>
      <c r="W479" t="s">
        <v>272</v>
      </c>
      <c r="X479" t="s">
        <v>83</v>
      </c>
      <c r="Y479" t="s">
        <v>90</v>
      </c>
      <c r="Z479">
        <v>4000</v>
      </c>
      <c r="AA479">
        <v>4000</v>
      </c>
      <c r="AC479">
        <v>256</v>
      </c>
      <c r="AD479" t="s">
        <v>91</v>
      </c>
      <c r="AE479">
        <v>0.15</v>
      </c>
      <c r="AF479" t="s">
        <v>92</v>
      </c>
      <c r="AG479">
        <v>180</v>
      </c>
      <c r="AH479">
        <v>60</v>
      </c>
      <c r="AI479">
        <v>120</v>
      </c>
      <c r="AJ479">
        <v>0.115317415355526</v>
      </c>
      <c r="AK479">
        <v>16.345167555056008</v>
      </c>
      <c r="AL479">
        <v>0.69642409578193054</v>
      </c>
      <c r="AM479">
        <v>8.3716799636799122E-2</v>
      </c>
      <c r="AN479">
        <v>17.551132195261289</v>
      </c>
      <c r="AO479">
        <v>0.64953843659282595</v>
      </c>
      <c r="AP479">
        <v>17.551132195261289</v>
      </c>
      <c r="AQ479">
        <v>17.551132195261289</v>
      </c>
      <c r="AR479">
        <v>0.64953843659282595</v>
      </c>
      <c r="AS479">
        <v>71.239306048011457</v>
      </c>
      <c r="AT479">
        <v>0.13237650143043039</v>
      </c>
      <c r="AU479">
        <v>0.8</v>
      </c>
      <c r="AV479" t="s">
        <v>93</v>
      </c>
      <c r="AW479">
        <v>8.4657968320933336E-2</v>
      </c>
      <c r="AX479">
        <v>0.38527369074726531</v>
      </c>
      <c r="AY479">
        <v>8.4657968320933336E-2</v>
      </c>
      <c r="AZ479">
        <v>8.4657968320933336E-2</v>
      </c>
      <c r="BA479">
        <v>0.38527369074726531</v>
      </c>
      <c r="BB479">
        <v>0.18604104260930671</v>
      </c>
      <c r="BC479">
        <v>-0.35089851269760591</v>
      </c>
      <c r="BD479">
        <v>9.7390676547200794E-2</v>
      </c>
      <c r="BE479">
        <v>0.6625621066604821</v>
      </c>
      <c r="BF479">
        <v>9.7390676547200794E-2</v>
      </c>
      <c r="BG479">
        <v>9.7390676547200794E-2</v>
      </c>
      <c r="BH479">
        <v>0.6625621066604821</v>
      </c>
      <c r="BI479">
        <v>0.1249622134772375</v>
      </c>
      <c r="BJ479">
        <v>0.567032619982204</v>
      </c>
      <c r="BK479">
        <v>6.2411732197511408E-2</v>
      </c>
      <c r="BL479">
        <v>0.74943663617677025</v>
      </c>
      <c r="BM479">
        <v>6.2411732197511408E-2</v>
      </c>
      <c r="BN479">
        <v>6.2411732197511408E-2</v>
      </c>
      <c r="BO479">
        <v>0.74943663617677025</v>
      </c>
      <c r="BP479">
        <v>0.21847215264338221</v>
      </c>
      <c r="BQ479">
        <v>0.1229034102948565</v>
      </c>
      <c r="BR479">
        <v>69.960068403979889</v>
      </c>
      <c r="BS479">
        <v>0.80088131278678565</v>
      </c>
      <c r="BT479">
        <v>69.960068403979889</v>
      </c>
      <c r="BU479">
        <v>69.960068403979889</v>
      </c>
      <c r="BV479">
        <v>0.80088131278678565</v>
      </c>
      <c r="BW479">
        <v>284.42774878331602</v>
      </c>
      <c r="BX479">
        <v>0.1904684881422736</v>
      </c>
      <c r="BY479" t="str">
        <f t="shared" si="18"/>
        <v>[[sv,wv],[yr],[ya]]</v>
      </c>
      <c r="BZ479" t="str">
        <f>SUBSTITUTE(TRIM(MID(SUBSTITUTE(SUBSTITUTE(SUBSTITUTE(Tabla1[[#This Row],[map]],"[",""),"]",""),",",REPT(" ",100)),901,200))," ",", ")</f>
        <v>2, 4</v>
      </c>
      <c r="CA479" t="str">
        <f>SUBSTITUTE(TRIM(MID(SUBSTITUTE(SUBSTITUTE(SUBSTITUTE(Tabla1[[#This Row],[map]],"[",""),"]",""),",",REPT(" ",100)),1501,200))," ",", ")</f>
        <v>3, 4</v>
      </c>
      <c r="CB479" t="str">
        <f>SUBSTITUTE(TRIM(MID(SUBSTITUTE(SUBSTITUTE(SUBSTITUTE(Tabla1[[#This Row],[map]],"[",""),"]",""),",",REPT(" ",100)),601,300))," ",", ")</f>
        <v>0, 1, 3</v>
      </c>
      <c r="CC479" t="str">
        <f>SUBSTITUTE(TRIM(MID(SUBSTITUTE(SUBSTITUTE(SUBSTITUTE(Tabla1[[#This Row],[map]],"[",""),"]",""),",",REPT(" ",100)),1201,300))," ",", ")</f>
        <v>0, 1, 2</v>
      </c>
      <c r="CD479" t="str">
        <f>SUBSTITUTE(TRIM(MID(SUBSTITUTE(SUBSTITUTE(SUBSTITUTE(Tabla1[[#This Row],[map]],"[",""),"]",""),",",REPT(" ",100)),1,300))," ",", ")</f>
        <v>4, 2, 3</v>
      </c>
      <c r="CE479" t="str">
        <f>SUBSTITUTE(TRIM(MID(SUBSTITUTE(SUBSTITUTE(SUBSTITUTE(Tabla1[[#This Row],[map]],"[",""),"]",""),",",REPT(" ",100)),1,600))," ",", ")</f>
        <v>4, 2, 3, 0, 1, -1</v>
      </c>
      <c r="CF479" t="str">
        <f>SUBSTITUTE(TRIM(MID(SUBSTITUTE(SUBSTITUTE(SUBSTITUTE(Tabla1[[#This Row],[map]],"[",""),"]",""),",",REPT(" ",100)),601,600))," ",", ")</f>
        <v>0, 1, 3, 2, 4, -1</v>
      </c>
      <c r="CG479" t="str">
        <f>SUBSTITUTE(TRIM(MID(SUBSTITUTE(SUBSTITUTE(SUBSTITUTE(Tabla1[[#This Row],[map]],"[",""),"]",""),",",REPT(" ",100)),1201,600))," ",", ")</f>
        <v>0, 1, 2, 3, 4, -1</v>
      </c>
    </row>
    <row r="480" spans="1:85" x14ac:dyDescent="0.3">
      <c r="A480" s="1">
        <v>46111.94027777778</v>
      </c>
      <c r="B480" t="s">
        <v>735</v>
      </c>
      <c r="C480">
        <v>9</v>
      </c>
      <c r="D480" t="s">
        <v>96</v>
      </c>
      <c r="E480" t="s">
        <v>78</v>
      </c>
      <c r="F480">
        <v>16590</v>
      </c>
      <c r="G480">
        <v>4.5</v>
      </c>
      <c r="H480" t="s">
        <v>79</v>
      </c>
      <c r="I480" t="s">
        <v>80</v>
      </c>
      <c r="J480">
        <v>5</v>
      </c>
      <c r="K480">
        <v>5</v>
      </c>
      <c r="L480" t="s">
        <v>81</v>
      </c>
      <c r="M480" t="s">
        <v>82</v>
      </c>
      <c r="N480" t="s">
        <v>83</v>
      </c>
      <c r="O480" t="s">
        <v>83</v>
      </c>
      <c r="P480" t="s">
        <v>84</v>
      </c>
      <c r="Q480" t="s">
        <v>477</v>
      </c>
      <c r="R480">
        <v>3</v>
      </c>
      <c r="S480" t="s">
        <v>86</v>
      </c>
      <c r="T480" t="s">
        <v>87</v>
      </c>
      <c r="U480" t="s">
        <v>88</v>
      </c>
      <c r="V480">
        <v>1</v>
      </c>
      <c r="W480" t="s">
        <v>478</v>
      </c>
      <c r="X480" t="s">
        <v>83</v>
      </c>
      <c r="Y480" t="s">
        <v>90</v>
      </c>
      <c r="Z480">
        <v>4000</v>
      </c>
      <c r="AA480">
        <v>4000</v>
      </c>
      <c r="AC480">
        <v>256</v>
      </c>
      <c r="AD480" t="s">
        <v>91</v>
      </c>
      <c r="AE480">
        <v>0.15</v>
      </c>
      <c r="AF480" t="s">
        <v>92</v>
      </c>
      <c r="AG480">
        <v>180</v>
      </c>
      <c r="AH480">
        <v>60</v>
      </c>
      <c r="AI480">
        <v>120</v>
      </c>
      <c r="AJ480">
        <v>0.11222486906441489</v>
      </c>
      <c r="AK480">
        <v>22.333301530319101</v>
      </c>
      <c r="AL480">
        <v>0.72894934667570199</v>
      </c>
      <c r="AM480">
        <v>-4.5498611085968421E-3</v>
      </c>
      <c r="AN480">
        <v>27.950709347780329</v>
      </c>
      <c r="AO480">
        <v>0.66557863260520933</v>
      </c>
      <c r="AP480">
        <v>27.950709347780329</v>
      </c>
      <c r="AQ480">
        <v>27.950709347780329</v>
      </c>
      <c r="AR480">
        <v>0.66557863260520933</v>
      </c>
      <c r="AS480">
        <v>137.08225866612139</v>
      </c>
      <c r="AT480">
        <v>1.9965137665855889E-2</v>
      </c>
      <c r="AU480">
        <v>0.8</v>
      </c>
      <c r="AV480" t="s">
        <v>93</v>
      </c>
      <c r="AW480">
        <v>6.3374476113754449E-2</v>
      </c>
      <c r="AX480">
        <v>0.53981936284430354</v>
      </c>
      <c r="AY480">
        <v>6.3374476113754449E-2</v>
      </c>
      <c r="AZ480">
        <v>6.3374476113754449E-2</v>
      </c>
      <c r="BA480">
        <v>0.53981936284430354</v>
      </c>
      <c r="BB480">
        <v>6.8498495778478705E-2</v>
      </c>
      <c r="BC480">
        <v>0.5026123549334427</v>
      </c>
      <c r="BD480">
        <v>7.9520853913504108E-2</v>
      </c>
      <c r="BE480">
        <v>0.72447722541358983</v>
      </c>
      <c r="BF480">
        <v>7.9520853913504108E-2</v>
      </c>
      <c r="BG480">
        <v>7.9520853913504108E-2</v>
      </c>
      <c r="BH480">
        <v>0.72447722541358983</v>
      </c>
      <c r="BI480">
        <v>0.15403671277662179</v>
      </c>
      <c r="BJ480">
        <v>0.46629568969986129</v>
      </c>
      <c r="BK480">
        <v>7.0834917369357056E-2</v>
      </c>
      <c r="BL480">
        <v>0.71562021198132464</v>
      </c>
      <c r="BM480">
        <v>7.0834917369357056E-2</v>
      </c>
      <c r="BN480">
        <v>7.0834917369357056E-2</v>
      </c>
      <c r="BO480">
        <v>0.71562021198132464</v>
      </c>
      <c r="BP480">
        <v>0.33127956186567947</v>
      </c>
      <c r="BQ480">
        <v>-0.32998265653425007</v>
      </c>
      <c r="BR480">
        <v>111.5891071437246</v>
      </c>
      <c r="BS480">
        <v>0.68239773018161975</v>
      </c>
      <c r="BT480">
        <v>111.5891071437246</v>
      </c>
      <c r="BU480">
        <v>111.5891071437246</v>
      </c>
      <c r="BV480">
        <v>0.68239773018161975</v>
      </c>
      <c r="BW480">
        <v>547.77521989406387</v>
      </c>
      <c r="BX480">
        <v>-0.55906483743562041</v>
      </c>
      <c r="BY480" t="str">
        <f t="shared" si="18"/>
        <v>[[sv,wv],[yr],[ya]]</v>
      </c>
      <c r="BZ480" t="str">
        <f>SUBSTITUTE(TRIM(MID(SUBSTITUTE(SUBSTITUTE(SUBSTITUTE(Tabla1[[#This Row],[map]],"[",""),"]",""),",",REPT(" ",100)),901,200))," ",", ")</f>
        <v>2, 3</v>
      </c>
      <c r="CA480" t="str">
        <f>SUBSTITUTE(TRIM(MID(SUBSTITUTE(SUBSTITUTE(SUBSTITUTE(Tabla1[[#This Row],[map]],"[",""),"]",""),",",REPT(" ",100)),1501,200))," ",", ")</f>
        <v>3, 2</v>
      </c>
      <c r="CB480" t="str">
        <f>SUBSTITUTE(TRIM(MID(SUBSTITUTE(SUBSTITUTE(SUBSTITUTE(Tabla1[[#This Row],[map]],"[",""),"]",""),",",REPT(" ",100)),601,300))," ",", ")</f>
        <v>1, 4, 0</v>
      </c>
      <c r="CC480" t="str">
        <f>SUBSTITUTE(TRIM(MID(SUBSTITUTE(SUBSTITUTE(SUBSTITUTE(Tabla1[[#This Row],[map]],"[",""),"]",""),",",REPT(" ",100)),1201,300))," ",", ")</f>
        <v>1, 4, 0</v>
      </c>
      <c r="CD480" t="str">
        <f>SUBSTITUTE(TRIM(MID(SUBSTITUTE(SUBSTITUTE(SUBSTITUTE(Tabla1[[#This Row],[map]],"[",""),"]",""),",",REPT(" ",100)),1,300))," ",", ")</f>
        <v>4, 2, 3</v>
      </c>
      <c r="CE480" t="str">
        <f>SUBSTITUTE(TRIM(MID(SUBSTITUTE(SUBSTITUTE(SUBSTITUTE(Tabla1[[#This Row],[map]],"[",""),"]",""),",",REPT(" ",100)),1,600))," ",", ")</f>
        <v>4, 2, 3, 0, 1, -1</v>
      </c>
      <c r="CF480" t="str">
        <f>SUBSTITUTE(TRIM(MID(SUBSTITUTE(SUBSTITUTE(SUBSTITUTE(Tabla1[[#This Row],[map]],"[",""),"]",""),",",REPT(" ",100)),601,600))," ",", ")</f>
        <v>1, 4, 0, 2, 3, -1</v>
      </c>
      <c r="CG480" t="str">
        <f>SUBSTITUTE(TRIM(MID(SUBSTITUTE(SUBSTITUTE(SUBSTITUTE(Tabla1[[#This Row],[map]],"[",""),"]",""),",",REPT(" ",100)),1201,600))," ",", ")</f>
        <v>1, 4, 0, 3, 2, -1</v>
      </c>
    </row>
    <row r="481" spans="1:85" x14ac:dyDescent="0.3">
      <c r="A481" s="1">
        <v>46112.017488425918</v>
      </c>
      <c r="B481" t="s">
        <v>736</v>
      </c>
      <c r="C481">
        <v>7</v>
      </c>
      <c r="D481" t="s">
        <v>96</v>
      </c>
      <c r="E481" t="s">
        <v>78</v>
      </c>
      <c r="F481">
        <v>16590</v>
      </c>
      <c r="G481">
        <v>4.5</v>
      </c>
      <c r="H481" t="s">
        <v>79</v>
      </c>
      <c r="I481" t="s">
        <v>80</v>
      </c>
      <c r="J481">
        <v>5</v>
      </c>
      <c r="K481">
        <v>5</v>
      </c>
      <c r="L481" t="s">
        <v>81</v>
      </c>
      <c r="M481" t="s">
        <v>82</v>
      </c>
      <c r="N481" t="s">
        <v>83</v>
      </c>
      <c r="O481" t="s">
        <v>83</v>
      </c>
      <c r="P481" t="s">
        <v>84</v>
      </c>
      <c r="Q481" t="s">
        <v>493</v>
      </c>
      <c r="R481">
        <v>3</v>
      </c>
      <c r="S481" t="s">
        <v>86</v>
      </c>
      <c r="T481" t="s">
        <v>87</v>
      </c>
      <c r="U481" t="s">
        <v>88</v>
      </c>
      <c r="V481">
        <v>1</v>
      </c>
      <c r="W481" t="s">
        <v>494</v>
      </c>
      <c r="X481" t="s">
        <v>83</v>
      </c>
      <c r="Y481" t="s">
        <v>90</v>
      </c>
      <c r="Z481">
        <v>4000</v>
      </c>
      <c r="AA481">
        <v>4000</v>
      </c>
      <c r="AC481">
        <v>256</v>
      </c>
      <c r="AD481" t="s">
        <v>91</v>
      </c>
      <c r="AE481">
        <v>0.15</v>
      </c>
      <c r="AF481" t="s">
        <v>92</v>
      </c>
      <c r="AG481">
        <v>180</v>
      </c>
      <c r="AH481">
        <v>60</v>
      </c>
      <c r="AI481">
        <v>120</v>
      </c>
      <c r="AJ481">
        <v>0.11313128426783001</v>
      </c>
      <c r="AK481">
        <v>10.72948653929836</v>
      </c>
      <c r="AL481">
        <v>0.73222169188272823</v>
      </c>
      <c r="AM481">
        <v>0.10726281181961191</v>
      </c>
      <c r="AN481">
        <v>15.21836928199127</v>
      </c>
      <c r="AO481">
        <v>0.69614048937844342</v>
      </c>
      <c r="AP481">
        <v>15.21836928199127</v>
      </c>
      <c r="AQ481">
        <v>15.21836928199127</v>
      </c>
      <c r="AR481">
        <v>0.69614048937844342</v>
      </c>
      <c r="AS481">
        <v>106.9608701768109</v>
      </c>
      <c r="AT481">
        <v>0.10597048477120311</v>
      </c>
      <c r="AU481">
        <v>0.8</v>
      </c>
      <c r="AV481" t="s">
        <v>93</v>
      </c>
      <c r="AW481">
        <v>7.919086722072062E-2</v>
      </c>
      <c r="AX481">
        <v>0.42497191346984292</v>
      </c>
      <c r="AY481">
        <v>7.919086722072062E-2</v>
      </c>
      <c r="AZ481">
        <v>7.919086722072062E-2</v>
      </c>
      <c r="BA481">
        <v>0.42497191346984292</v>
      </c>
      <c r="BB481">
        <v>0.11614179392781671</v>
      </c>
      <c r="BC481">
        <v>0.15666040956023619</v>
      </c>
      <c r="BD481">
        <v>9.7276245642682863E-2</v>
      </c>
      <c r="BE481">
        <v>0.662958585304254</v>
      </c>
      <c r="BF481">
        <v>9.7276245642682863E-2</v>
      </c>
      <c r="BG481">
        <v>9.7276245642682863E-2</v>
      </c>
      <c r="BH481">
        <v>0.662958585304254</v>
      </c>
      <c r="BI481">
        <v>0.1167216942233561</v>
      </c>
      <c r="BJ481">
        <v>0.59558425917023039</v>
      </c>
      <c r="BK481">
        <v>3.2557188669824558E-2</v>
      </c>
      <c r="BL481">
        <v>0.86929318539144695</v>
      </c>
      <c r="BM481">
        <v>3.2557188669824558E-2</v>
      </c>
      <c r="BN481">
        <v>3.2557188669824558E-2</v>
      </c>
      <c r="BO481">
        <v>0.86929318539144695</v>
      </c>
      <c r="BP481">
        <v>0.27700711405996042</v>
      </c>
      <c r="BQ481">
        <v>-0.1120959450729091</v>
      </c>
      <c r="BR481">
        <v>60.664452826431969</v>
      </c>
      <c r="BS481">
        <v>0.82733827334823007</v>
      </c>
      <c r="BT481">
        <v>60.664452826431969</v>
      </c>
      <c r="BU481">
        <v>60.664452826431969</v>
      </c>
      <c r="BV481">
        <v>0.82733827334823007</v>
      </c>
      <c r="BW481">
        <v>427.33361010503342</v>
      </c>
      <c r="BX481">
        <v>-0.2162667845727437</v>
      </c>
      <c r="BY481" t="str">
        <f t="shared" si="18"/>
        <v>[[sv,wv],[yr],[ya]]</v>
      </c>
      <c r="BZ481" t="str">
        <f>SUBSTITUTE(TRIM(MID(SUBSTITUTE(SUBSTITUTE(SUBSTITUTE(Tabla1[[#This Row],[map]],"[",""),"]",""),",",REPT(" ",100)),901,200))," ",", ")</f>
        <v>2, 3</v>
      </c>
      <c r="CA481" t="str">
        <f>SUBSTITUTE(TRIM(MID(SUBSTITUTE(SUBSTITUTE(SUBSTITUTE(Tabla1[[#This Row],[map]],"[",""),"]",""),",",REPT(" ",100)),1501,200))," ",", ")</f>
        <v>3, 4</v>
      </c>
      <c r="CB481" t="str">
        <f>SUBSTITUTE(TRIM(MID(SUBSTITUTE(SUBSTITUTE(SUBSTITUTE(Tabla1[[#This Row],[map]],"[",""),"]",""),",",REPT(" ",100)),601,300))," ",", ")</f>
        <v>1, 4, 0</v>
      </c>
      <c r="CC481" t="str">
        <f>SUBSTITUTE(TRIM(MID(SUBSTITUTE(SUBSTITUTE(SUBSTITUTE(Tabla1[[#This Row],[map]],"[",""),"]",""),",",REPT(" ",100)),1201,300))," ",", ")</f>
        <v>1, 2, 0</v>
      </c>
      <c r="CD481" t="str">
        <f>SUBSTITUTE(TRIM(MID(SUBSTITUTE(SUBSTITUTE(SUBSTITUTE(Tabla1[[#This Row],[map]],"[",""),"]",""),",",REPT(" ",100)),1,300))," ",", ")</f>
        <v>4, 2, 3</v>
      </c>
      <c r="CE481" t="str">
        <f>SUBSTITUTE(TRIM(MID(SUBSTITUTE(SUBSTITUTE(SUBSTITUTE(Tabla1[[#This Row],[map]],"[",""),"]",""),",",REPT(" ",100)),1,600))," ",", ")</f>
        <v>4, 2, 3, 0, 1, -1</v>
      </c>
      <c r="CF481" t="str">
        <f>SUBSTITUTE(TRIM(MID(SUBSTITUTE(SUBSTITUTE(SUBSTITUTE(Tabla1[[#This Row],[map]],"[",""),"]",""),",",REPT(" ",100)),601,600))," ",", ")</f>
        <v>1, 4, 0, 2, 3, -1</v>
      </c>
      <c r="CG481" t="str">
        <f>SUBSTITUTE(TRIM(MID(SUBSTITUTE(SUBSTITUTE(SUBSTITUTE(Tabla1[[#This Row],[map]],"[",""),"]",""),",",REPT(" ",100)),1201,600))," ",", ")</f>
        <v>1, 2, 0, 3, 4, -1</v>
      </c>
    </row>
    <row r="482" spans="1:85" x14ac:dyDescent="0.3">
      <c r="A482" s="1">
        <v>46112.025289351863</v>
      </c>
      <c r="B482" t="s">
        <v>737</v>
      </c>
      <c r="C482">
        <v>8</v>
      </c>
      <c r="D482" t="s">
        <v>77</v>
      </c>
      <c r="E482" t="s">
        <v>78</v>
      </c>
      <c r="F482">
        <v>16590</v>
      </c>
      <c r="G482">
        <v>4.5</v>
      </c>
      <c r="H482" t="s">
        <v>79</v>
      </c>
      <c r="I482" t="s">
        <v>80</v>
      </c>
      <c r="J482">
        <v>5</v>
      </c>
      <c r="K482">
        <v>5</v>
      </c>
      <c r="L482" t="s">
        <v>81</v>
      </c>
      <c r="M482" t="s">
        <v>82</v>
      </c>
      <c r="N482" t="s">
        <v>83</v>
      </c>
      <c r="O482" t="s">
        <v>83</v>
      </c>
      <c r="P482" t="s">
        <v>84</v>
      </c>
      <c r="Q482" t="s">
        <v>177</v>
      </c>
      <c r="R482">
        <v>3</v>
      </c>
      <c r="S482" t="s">
        <v>86</v>
      </c>
      <c r="T482" t="s">
        <v>87</v>
      </c>
      <c r="U482" t="s">
        <v>88</v>
      </c>
      <c r="V482">
        <v>1</v>
      </c>
      <c r="W482" t="s">
        <v>178</v>
      </c>
      <c r="X482" t="s">
        <v>83</v>
      </c>
      <c r="Y482" t="s">
        <v>90</v>
      </c>
      <c r="Z482">
        <v>4000</v>
      </c>
      <c r="AA482">
        <v>4000</v>
      </c>
      <c r="AC482">
        <v>256</v>
      </c>
      <c r="AD482" t="s">
        <v>91</v>
      </c>
      <c r="AE482">
        <v>0.15</v>
      </c>
      <c r="AF482" t="s">
        <v>92</v>
      </c>
      <c r="AG482">
        <v>180</v>
      </c>
      <c r="AH482">
        <v>60</v>
      </c>
      <c r="AI482">
        <v>120</v>
      </c>
      <c r="AJ482">
        <v>0.1053416898824955</v>
      </c>
      <c r="AK482">
        <v>20.273474907543221</v>
      </c>
      <c r="AL482">
        <v>0.73524232229113973</v>
      </c>
      <c r="AM482">
        <v>-0.224917981177233</v>
      </c>
      <c r="AN482">
        <v>19.213624595048309</v>
      </c>
      <c r="AO482">
        <v>0.6612486510699096</v>
      </c>
      <c r="AP482">
        <v>19.213624595048309</v>
      </c>
      <c r="AQ482">
        <v>19.213624595048309</v>
      </c>
      <c r="AR482">
        <v>0.6612486510699096</v>
      </c>
      <c r="AS482">
        <v>124.59285325491039</v>
      </c>
      <c r="AT482">
        <v>-0.36591987657456743</v>
      </c>
      <c r="AU482">
        <v>0.8</v>
      </c>
      <c r="AV482" t="s">
        <v>93</v>
      </c>
      <c r="AW482">
        <v>8.5477653832319839E-2</v>
      </c>
      <c r="AX482">
        <v>0.37932171411522059</v>
      </c>
      <c r="AY482">
        <v>8.5477653832319839E-2</v>
      </c>
      <c r="AZ482">
        <v>8.5477653832319839E-2</v>
      </c>
      <c r="BA482">
        <v>0.37932171411522059</v>
      </c>
      <c r="BB482">
        <v>0.14226000066347519</v>
      </c>
      <c r="BC482">
        <v>-3.2991541098982058E-2</v>
      </c>
      <c r="BD482">
        <v>5.5845126094925313E-2</v>
      </c>
      <c r="BE482">
        <v>0.80650856559541007</v>
      </c>
      <c r="BF482">
        <v>5.5845126094925313E-2</v>
      </c>
      <c r="BG482">
        <v>5.5845126094925313E-2</v>
      </c>
      <c r="BH482">
        <v>0.80650856559541007</v>
      </c>
      <c r="BI482">
        <v>0.40377082028731281</v>
      </c>
      <c r="BJ482">
        <v>-0.39897965411182851</v>
      </c>
      <c r="BK482">
        <v>8.0386220266448108E-2</v>
      </c>
      <c r="BL482">
        <v>0.67727475194480413</v>
      </c>
      <c r="BM482">
        <v>8.0386220266448108E-2</v>
      </c>
      <c r="BN482">
        <v>8.0386220266448108E-2</v>
      </c>
      <c r="BO482">
        <v>0.67727475194480413</v>
      </c>
      <c r="BP482">
        <v>0.40251119545374209</v>
      </c>
      <c r="BQ482">
        <v>-0.6159551346889327</v>
      </c>
      <c r="BR482">
        <v>76.632789379999522</v>
      </c>
      <c r="BS482">
        <v>0.7818895726242</v>
      </c>
      <c r="BT482">
        <v>76.632789379999522</v>
      </c>
      <c r="BU482">
        <v>76.632789379999522</v>
      </c>
      <c r="BV482">
        <v>0.7818895726242</v>
      </c>
      <c r="BW482">
        <v>497.42287100323699</v>
      </c>
      <c r="BX482">
        <v>-0.41575317639852488</v>
      </c>
      <c r="BY482" t="str">
        <f t="shared" si="18"/>
        <v>[[sv,wv],[yr],[ya]]</v>
      </c>
      <c r="BZ482" t="str">
        <f>SUBSTITUTE(TRIM(MID(SUBSTITUTE(SUBSTITUTE(SUBSTITUTE(Tabla1[[#This Row],[map]],"[",""),"]",""),",",REPT(" ",100)),901,200))," ",", ")</f>
        <v>2, 4</v>
      </c>
      <c r="CA482" t="str">
        <f>SUBSTITUTE(TRIM(MID(SUBSTITUTE(SUBSTITUTE(SUBSTITUTE(Tabla1[[#This Row],[map]],"[",""),"]",""),",",REPT(" ",100)),1501,200))," ",", ")</f>
        <v>3, 4</v>
      </c>
      <c r="CB482" t="str">
        <f>SUBSTITUTE(TRIM(MID(SUBSTITUTE(SUBSTITUTE(SUBSTITUTE(Tabla1[[#This Row],[map]],"[",""),"]",""),",",REPT(" ",100)),601,300))," ",", ")</f>
        <v>3, 0, 1</v>
      </c>
      <c r="CC482" t="str">
        <f>SUBSTITUTE(TRIM(MID(SUBSTITUTE(SUBSTITUTE(SUBSTITUTE(Tabla1[[#This Row],[map]],"[",""),"]",""),",",REPT(" ",100)),1201,300))," ",", ")</f>
        <v>0, 1, 2</v>
      </c>
      <c r="CD482" t="str">
        <f>SUBSTITUTE(TRIM(MID(SUBSTITUTE(SUBSTITUTE(SUBSTITUTE(Tabla1[[#This Row],[map]],"[",""),"]",""),",",REPT(" ",100)),1,300))," ",", ")</f>
        <v>2, 3, 4</v>
      </c>
      <c r="CE482" t="str">
        <f>SUBSTITUTE(TRIM(MID(SUBSTITUTE(SUBSTITUTE(SUBSTITUTE(Tabla1[[#This Row],[map]],"[",""),"]",""),",",REPT(" ",100)),1,600))," ",", ")</f>
        <v>2, 3, 4, 0, 1, -1</v>
      </c>
      <c r="CF482" t="str">
        <f>SUBSTITUTE(TRIM(MID(SUBSTITUTE(SUBSTITUTE(SUBSTITUTE(Tabla1[[#This Row],[map]],"[",""),"]",""),",",REPT(" ",100)),601,600))," ",", ")</f>
        <v>3, 0, 1, 2, 4, -1</v>
      </c>
      <c r="CG482" t="str">
        <f>SUBSTITUTE(TRIM(MID(SUBSTITUTE(SUBSTITUTE(SUBSTITUTE(Tabla1[[#This Row],[map]],"[",""),"]",""),",",REPT(" ",100)),1201,600))," ",", ")</f>
        <v>0, 1, 2, 3, 4, -1</v>
      </c>
    </row>
    <row r="483" spans="1:85" x14ac:dyDescent="0.3">
      <c r="A483" s="1">
        <v>46112.032476851848</v>
      </c>
      <c r="B483" t="s">
        <v>738</v>
      </c>
      <c r="C483">
        <v>8</v>
      </c>
      <c r="D483" t="s">
        <v>96</v>
      </c>
      <c r="E483" t="s">
        <v>78</v>
      </c>
      <c r="F483">
        <v>16590</v>
      </c>
      <c r="G483">
        <v>4.5</v>
      </c>
      <c r="H483" t="s">
        <v>79</v>
      </c>
      <c r="I483" t="s">
        <v>80</v>
      </c>
      <c r="J483">
        <v>5</v>
      </c>
      <c r="K483">
        <v>5</v>
      </c>
      <c r="L483" t="s">
        <v>81</v>
      </c>
      <c r="M483" t="s">
        <v>82</v>
      </c>
      <c r="N483" t="s">
        <v>83</v>
      </c>
      <c r="O483" t="s">
        <v>83</v>
      </c>
      <c r="P483" t="s">
        <v>84</v>
      </c>
      <c r="Q483" t="s">
        <v>485</v>
      </c>
      <c r="R483">
        <v>3</v>
      </c>
      <c r="S483" t="s">
        <v>86</v>
      </c>
      <c r="T483" t="s">
        <v>87</v>
      </c>
      <c r="U483" t="s">
        <v>88</v>
      </c>
      <c r="V483">
        <v>1</v>
      </c>
      <c r="W483" t="s">
        <v>486</v>
      </c>
      <c r="X483" t="s">
        <v>83</v>
      </c>
      <c r="Y483" t="s">
        <v>90</v>
      </c>
      <c r="Z483">
        <v>4000</v>
      </c>
      <c r="AA483">
        <v>4000</v>
      </c>
      <c r="AC483">
        <v>256</v>
      </c>
      <c r="AD483" t="s">
        <v>91</v>
      </c>
      <c r="AE483">
        <v>0.15</v>
      </c>
      <c r="AF483" t="s">
        <v>92</v>
      </c>
      <c r="AG483">
        <v>180</v>
      </c>
      <c r="AH483">
        <v>60</v>
      </c>
      <c r="AI483">
        <v>120</v>
      </c>
      <c r="AJ483">
        <v>9.9775735297001275E-2</v>
      </c>
      <c r="AK483">
        <v>21.133741930382548</v>
      </c>
      <c r="AL483">
        <v>0.73300942747016773</v>
      </c>
      <c r="AM483">
        <v>0.23816081130001299</v>
      </c>
      <c r="AN483">
        <v>19.66986649345392</v>
      </c>
      <c r="AO483">
        <v>0.70160785262906911</v>
      </c>
      <c r="AP483">
        <v>19.66986649345392</v>
      </c>
      <c r="AQ483">
        <v>19.66986649345392</v>
      </c>
      <c r="AR483">
        <v>0.70160785262906911</v>
      </c>
      <c r="AS483">
        <v>72.502591626917976</v>
      </c>
      <c r="AT483">
        <v>0.2443087082308327</v>
      </c>
      <c r="AU483">
        <v>0.8</v>
      </c>
      <c r="AV483" t="s">
        <v>93</v>
      </c>
      <c r="AW483">
        <v>8.2576797300357871E-2</v>
      </c>
      <c r="AX483">
        <v>0.40038568322447848</v>
      </c>
      <c r="AY483">
        <v>8.2576797300357871E-2</v>
      </c>
      <c r="AZ483">
        <v>8.2576797300357871E-2</v>
      </c>
      <c r="BA483">
        <v>0.40038568322447848</v>
      </c>
      <c r="BB483">
        <v>0.14723820062977511</v>
      </c>
      <c r="BC483">
        <v>-6.9139709460457999E-2</v>
      </c>
      <c r="BD483">
        <v>7.6948033507409017E-2</v>
      </c>
      <c r="BE483">
        <v>0.73339149861255348</v>
      </c>
      <c r="BF483">
        <v>7.6948033507409017E-2</v>
      </c>
      <c r="BG483">
        <v>7.6948033507409017E-2</v>
      </c>
      <c r="BH483">
        <v>0.73339149861255348</v>
      </c>
      <c r="BI483">
        <v>0.1045300728034721</v>
      </c>
      <c r="BJ483">
        <v>0.63782562347911043</v>
      </c>
      <c r="BK483">
        <v>2.5889427674030609E-2</v>
      </c>
      <c r="BL483">
        <v>0.89606213676405566</v>
      </c>
      <c r="BM483">
        <v>2.5889427674030609E-2</v>
      </c>
      <c r="BN483">
        <v>2.5889427674030609E-2</v>
      </c>
      <c r="BO483">
        <v>0.89606213676405566</v>
      </c>
      <c r="BP483">
        <v>0.1911211577763679</v>
      </c>
      <c r="BQ483">
        <v>0.232709003514143</v>
      </c>
      <c r="BR483">
        <v>78.494051715333697</v>
      </c>
      <c r="BS483">
        <v>0.77659209191518941</v>
      </c>
      <c r="BT483">
        <v>78.494051715333697</v>
      </c>
      <c r="BU483">
        <v>78.494051715333697</v>
      </c>
      <c r="BV483">
        <v>0.77659209191518941</v>
      </c>
      <c r="BW483">
        <v>289.56747707646258</v>
      </c>
      <c r="BX483">
        <v>0.1758399153905387</v>
      </c>
      <c r="BY483" t="str">
        <f t="shared" si="18"/>
        <v>[[sv,wv],[yr],[ya]]</v>
      </c>
      <c r="BZ483" t="str">
        <f>SUBSTITUTE(TRIM(MID(SUBSTITUTE(SUBSTITUTE(SUBSTITUTE(Tabla1[[#This Row],[map]],"[",""),"]",""),",",REPT(" ",100)),901,200))," ",", ")</f>
        <v>2, 3</v>
      </c>
      <c r="CA483" t="str">
        <f>SUBSTITUTE(TRIM(MID(SUBSTITUTE(SUBSTITUTE(SUBSTITUTE(Tabla1[[#This Row],[map]],"[",""),"]",""),",",REPT(" ",100)),1501,200))," ",", ")</f>
        <v>3, 4</v>
      </c>
      <c r="CB483" t="str">
        <f>SUBSTITUTE(TRIM(MID(SUBSTITUTE(SUBSTITUTE(SUBSTITUTE(Tabla1[[#This Row],[map]],"[",""),"]",""),",",REPT(" ",100)),601,300))," ",", ")</f>
        <v>1, 4, 0</v>
      </c>
      <c r="CC483" t="str">
        <f>SUBSTITUTE(TRIM(MID(SUBSTITUTE(SUBSTITUTE(SUBSTITUTE(Tabla1[[#This Row],[map]],"[",""),"]",""),",",REPT(" ",100)),1201,300))," ",", ")</f>
        <v>0, 1, 2</v>
      </c>
      <c r="CD483" t="str">
        <f>SUBSTITUTE(TRIM(MID(SUBSTITUTE(SUBSTITUTE(SUBSTITUTE(Tabla1[[#This Row],[map]],"[",""),"]",""),",",REPT(" ",100)),1,300))," ",", ")</f>
        <v>4, 2, 3</v>
      </c>
      <c r="CE483" t="str">
        <f>SUBSTITUTE(TRIM(MID(SUBSTITUTE(SUBSTITUTE(SUBSTITUTE(Tabla1[[#This Row],[map]],"[",""),"]",""),",",REPT(" ",100)),1,600))," ",", ")</f>
        <v>4, 2, 3, 0, 1, -1</v>
      </c>
      <c r="CF483" t="str">
        <f>SUBSTITUTE(TRIM(MID(SUBSTITUTE(SUBSTITUTE(SUBSTITUTE(Tabla1[[#This Row],[map]],"[",""),"]",""),",",REPT(" ",100)),601,600))," ",", ")</f>
        <v>1, 4, 0, 2, 3, -1</v>
      </c>
      <c r="CG483" t="str">
        <f>SUBSTITUTE(TRIM(MID(SUBSTITUTE(SUBSTITUTE(SUBSTITUTE(Tabla1[[#This Row],[map]],"[",""),"]",""),",",REPT(" ",100)),1201,600))," ",", ")</f>
        <v>0, 1, 2, 3, 4, -1</v>
      </c>
    </row>
    <row r="484" spans="1:85" x14ac:dyDescent="0.3">
      <c r="A484" s="1">
        <v>46112.033692129633</v>
      </c>
      <c r="B484" t="s">
        <v>739</v>
      </c>
      <c r="C484">
        <v>6</v>
      </c>
      <c r="D484" t="s">
        <v>96</v>
      </c>
      <c r="E484" t="s">
        <v>78</v>
      </c>
      <c r="F484">
        <v>16590</v>
      </c>
      <c r="G484">
        <v>4.5</v>
      </c>
      <c r="H484" t="s">
        <v>79</v>
      </c>
      <c r="I484" t="s">
        <v>80</v>
      </c>
      <c r="J484">
        <v>5</v>
      </c>
      <c r="K484">
        <v>5</v>
      </c>
      <c r="L484" t="s">
        <v>81</v>
      </c>
      <c r="M484" t="s">
        <v>82</v>
      </c>
      <c r="N484" t="s">
        <v>83</v>
      </c>
      <c r="O484" t="s">
        <v>83</v>
      </c>
      <c r="P484" t="s">
        <v>84</v>
      </c>
      <c r="Q484" t="s">
        <v>213</v>
      </c>
      <c r="R484">
        <v>3</v>
      </c>
      <c r="S484" t="s">
        <v>86</v>
      </c>
      <c r="T484" t="s">
        <v>87</v>
      </c>
      <c r="U484" t="s">
        <v>88</v>
      </c>
      <c r="V484">
        <v>1</v>
      </c>
      <c r="W484" t="s">
        <v>214</v>
      </c>
      <c r="X484" t="s">
        <v>83</v>
      </c>
      <c r="Y484" t="s">
        <v>90</v>
      </c>
      <c r="Z484">
        <v>4000</v>
      </c>
      <c r="AA484">
        <v>4000</v>
      </c>
      <c r="AC484">
        <v>256</v>
      </c>
      <c r="AD484" t="s">
        <v>91</v>
      </c>
      <c r="AE484">
        <v>0.15</v>
      </c>
      <c r="AF484" t="s">
        <v>92</v>
      </c>
      <c r="AG484">
        <v>180</v>
      </c>
      <c r="AH484">
        <v>60</v>
      </c>
      <c r="AI484">
        <v>120</v>
      </c>
      <c r="AJ484">
        <v>0.13988271842012179</v>
      </c>
      <c r="AK484">
        <v>42.691110648361658</v>
      </c>
      <c r="AL484">
        <v>0.60560310842585441</v>
      </c>
      <c r="AM484">
        <v>0.20243197505554039</v>
      </c>
      <c r="AN484">
        <v>49.902822543366028</v>
      </c>
      <c r="AO484">
        <v>0.55875096719027395</v>
      </c>
      <c r="AP484">
        <v>49.902822543366028</v>
      </c>
      <c r="AQ484">
        <v>49.902822543366028</v>
      </c>
      <c r="AR484">
        <v>0.55875096719027395</v>
      </c>
      <c r="AS484">
        <v>114.3701338155505</v>
      </c>
      <c r="AT484">
        <v>0.1067366165017426</v>
      </c>
      <c r="AU484">
        <v>0.8</v>
      </c>
      <c r="AV484" t="s">
        <v>93</v>
      </c>
      <c r="AW484">
        <v>7.9109870976437943E-2</v>
      </c>
      <c r="AX484">
        <v>0.42556005092812038</v>
      </c>
      <c r="AY484">
        <v>7.9109870976437943E-2</v>
      </c>
      <c r="AZ484">
        <v>7.9109870976437943E-2</v>
      </c>
      <c r="BA484">
        <v>0.42556005092812038</v>
      </c>
      <c r="BB484">
        <v>0.1376340790371037</v>
      </c>
      <c r="BC484">
        <v>5.9863103332757905E-4</v>
      </c>
      <c r="BD484">
        <v>9.7221214322363345E-2</v>
      </c>
      <c r="BE484">
        <v>0.66314925707546102</v>
      </c>
      <c r="BF484">
        <v>9.7221214322363345E-2</v>
      </c>
      <c r="BG484">
        <v>9.7221214322363345E-2</v>
      </c>
      <c r="BH484">
        <v>0.66314925707546102</v>
      </c>
      <c r="BI484">
        <v>0.1239061074098315</v>
      </c>
      <c r="BJ484">
        <v>0.57069180194050828</v>
      </c>
      <c r="BK484">
        <v>7.1308568156032315E-2</v>
      </c>
      <c r="BL484">
        <v>0.71371865388946953</v>
      </c>
      <c r="BM484">
        <v>7.1308568156032315E-2</v>
      </c>
      <c r="BN484">
        <v>7.1308568156032315E-2</v>
      </c>
      <c r="BO484">
        <v>0.71371865388946953</v>
      </c>
      <c r="BP484">
        <v>0.21013266464518079</v>
      </c>
      <c r="BQ484">
        <v>0.15638381681169569</v>
      </c>
      <c r="BR484">
        <v>199.3636505200098</v>
      </c>
      <c r="BS484">
        <v>0.43257590686803682</v>
      </c>
      <c r="BT484">
        <v>199.3636505200098</v>
      </c>
      <c r="BU484">
        <v>199.3636505200098</v>
      </c>
      <c r="BV484">
        <v>0.43257590686803682</v>
      </c>
      <c r="BW484">
        <v>457.00886241111158</v>
      </c>
      <c r="BX484">
        <v>-0.30072778377855741</v>
      </c>
      <c r="BY484" t="str">
        <f t="shared" si="18"/>
        <v>[[sv,wv],[yr],[ya]]</v>
      </c>
      <c r="BZ484" t="str">
        <f>SUBSTITUTE(TRIM(MID(SUBSTITUTE(SUBSTITUTE(SUBSTITUTE(Tabla1[[#This Row],[map]],"[",""),"]",""),",",REPT(" ",100)),901,200))," ",", ")</f>
        <v>2, 3</v>
      </c>
      <c r="CA484" t="str">
        <f>SUBSTITUTE(TRIM(MID(SUBSTITUTE(SUBSTITUTE(SUBSTITUTE(Tabla1[[#This Row],[map]],"[",""),"]",""),",",REPT(" ",100)),1501,200))," ",", ")</f>
        <v>3, 2</v>
      </c>
      <c r="CB484" t="str">
        <f>SUBSTITUTE(TRIM(MID(SUBSTITUTE(SUBSTITUTE(SUBSTITUTE(Tabla1[[#This Row],[map]],"[",""),"]",""),",",REPT(" ",100)),601,300))," ",", ")</f>
        <v>0, 1, 4</v>
      </c>
      <c r="CC484" t="str">
        <f>SUBSTITUTE(TRIM(MID(SUBSTITUTE(SUBSTITUTE(SUBSTITUTE(Tabla1[[#This Row],[map]],"[",""),"]",""),",",REPT(" ",100)),1201,300))," ",", ")</f>
        <v>4, 0, 1</v>
      </c>
      <c r="CD484" t="str">
        <f>SUBSTITUTE(TRIM(MID(SUBSTITUTE(SUBSTITUTE(SUBSTITUTE(Tabla1[[#This Row],[map]],"[",""),"]",""),",",REPT(" ",100)),1,300))," ",", ")</f>
        <v>4, 2, 3</v>
      </c>
      <c r="CE484" t="str">
        <f>SUBSTITUTE(TRIM(MID(SUBSTITUTE(SUBSTITUTE(SUBSTITUTE(Tabla1[[#This Row],[map]],"[",""),"]",""),",",REPT(" ",100)),1,600))," ",", ")</f>
        <v>4, 2, 3, 0, 1, -1</v>
      </c>
      <c r="CF484" t="str">
        <f>SUBSTITUTE(TRIM(MID(SUBSTITUTE(SUBSTITUTE(SUBSTITUTE(Tabla1[[#This Row],[map]],"[",""),"]",""),",",REPT(" ",100)),601,600))," ",", ")</f>
        <v>0, 1, 4, 2, 3, -1</v>
      </c>
      <c r="CG484" t="str">
        <f>SUBSTITUTE(TRIM(MID(SUBSTITUTE(SUBSTITUTE(SUBSTITUTE(Tabla1[[#This Row],[map]],"[",""),"]",""),",",REPT(" ",100)),1201,600))," ",", ")</f>
        <v>4, 0, 1, 3, 2, -1</v>
      </c>
    </row>
    <row r="485" spans="1:85" x14ac:dyDescent="0.3">
      <c r="A485" s="1">
        <v>46112.037905092591</v>
      </c>
      <c r="B485" t="s">
        <v>740</v>
      </c>
      <c r="C485">
        <v>7</v>
      </c>
      <c r="D485" t="s">
        <v>77</v>
      </c>
      <c r="E485" t="s">
        <v>78</v>
      </c>
      <c r="F485">
        <v>16590</v>
      </c>
      <c r="G485">
        <v>4.5</v>
      </c>
      <c r="H485" t="s">
        <v>79</v>
      </c>
      <c r="I485" t="s">
        <v>80</v>
      </c>
      <c r="J485">
        <v>5</v>
      </c>
      <c r="K485">
        <v>5</v>
      </c>
      <c r="L485" t="s">
        <v>81</v>
      </c>
      <c r="M485" t="s">
        <v>82</v>
      </c>
      <c r="N485" t="s">
        <v>83</v>
      </c>
      <c r="O485" t="s">
        <v>83</v>
      </c>
      <c r="P485" t="s">
        <v>84</v>
      </c>
      <c r="Q485" t="s">
        <v>177</v>
      </c>
      <c r="R485">
        <v>3</v>
      </c>
      <c r="S485" t="s">
        <v>86</v>
      </c>
      <c r="T485" t="s">
        <v>87</v>
      </c>
      <c r="U485" t="s">
        <v>88</v>
      </c>
      <c r="V485">
        <v>1</v>
      </c>
      <c r="W485" t="s">
        <v>178</v>
      </c>
      <c r="X485" t="s">
        <v>83</v>
      </c>
      <c r="Y485" t="s">
        <v>90</v>
      </c>
      <c r="Z485">
        <v>4000</v>
      </c>
      <c r="AA485">
        <v>4000</v>
      </c>
      <c r="AC485">
        <v>256</v>
      </c>
      <c r="AD485" t="s">
        <v>91</v>
      </c>
      <c r="AE485">
        <v>0.15</v>
      </c>
      <c r="AF485" t="s">
        <v>92</v>
      </c>
      <c r="AG485">
        <v>180</v>
      </c>
      <c r="AH485">
        <v>60</v>
      </c>
      <c r="AI485">
        <v>120</v>
      </c>
      <c r="AJ485">
        <v>0.1166017913547754</v>
      </c>
      <c r="AK485">
        <v>14.20404748105549</v>
      </c>
      <c r="AL485">
        <v>0.69631844348139715</v>
      </c>
      <c r="AM485">
        <v>-0.121275591786748</v>
      </c>
      <c r="AN485">
        <v>19.532566976572951</v>
      </c>
      <c r="AO485">
        <v>0.63039866607009143</v>
      </c>
      <c r="AP485">
        <v>19.532566976572951</v>
      </c>
      <c r="AQ485">
        <v>19.532566976572951</v>
      </c>
      <c r="AR485">
        <v>0.63039866607009143</v>
      </c>
      <c r="AS485">
        <v>100.8253073612233</v>
      </c>
      <c r="AT485">
        <v>-8.4461142374226417E-2</v>
      </c>
      <c r="AU485">
        <v>0.8</v>
      </c>
      <c r="AV485" t="s">
        <v>93</v>
      </c>
      <c r="AW485">
        <v>9.4121127899184268E-2</v>
      </c>
      <c r="AX485">
        <v>0.31655891673621178</v>
      </c>
      <c r="AY485">
        <v>9.4121127899184268E-2</v>
      </c>
      <c r="AZ485">
        <v>9.4121127899184268E-2</v>
      </c>
      <c r="BA485">
        <v>0.31655891673621178</v>
      </c>
      <c r="BB485">
        <v>0.1464545105619188</v>
      </c>
      <c r="BC485">
        <v>-6.3449106289058532E-2</v>
      </c>
      <c r="BD485">
        <v>6.8943102137304993E-2</v>
      </c>
      <c r="BE485">
        <v>0.76112687610062535</v>
      </c>
      <c r="BF485">
        <v>6.8943102137304993E-2</v>
      </c>
      <c r="BG485">
        <v>6.8943102137304993E-2</v>
      </c>
      <c r="BH485">
        <v>0.76112687610062535</v>
      </c>
      <c r="BI485">
        <v>0.30678600245040938</v>
      </c>
      <c r="BJ485">
        <v>-6.2947974519371508E-2</v>
      </c>
      <c r="BK485">
        <v>8.3299166789842144E-2</v>
      </c>
      <c r="BL485">
        <v>0.66558019302391114</v>
      </c>
      <c r="BM485">
        <v>8.3299166789842144E-2</v>
      </c>
      <c r="BN485">
        <v>8.3299166789842144E-2</v>
      </c>
      <c r="BO485">
        <v>0.66558019302391114</v>
      </c>
      <c r="BP485">
        <v>0.26543225953204852</v>
      </c>
      <c r="BQ485">
        <v>-6.5626565291878602E-2</v>
      </c>
      <c r="BR485">
        <v>77.883904509465097</v>
      </c>
      <c r="BS485">
        <v>0.77832867841961961</v>
      </c>
      <c r="BT485">
        <v>77.883904509465097</v>
      </c>
      <c r="BU485">
        <v>77.883904509465097</v>
      </c>
      <c r="BV485">
        <v>0.77832867841961961</v>
      </c>
      <c r="BW485">
        <v>402.58255667234812</v>
      </c>
      <c r="BX485">
        <v>-0.14582092339659841</v>
      </c>
      <c r="BY485" t="str">
        <f t="shared" si="18"/>
        <v>[[sv,wv],[yr],[ya]]</v>
      </c>
      <c r="BZ485" t="str">
        <f>SUBSTITUTE(TRIM(MID(SUBSTITUTE(SUBSTITUTE(SUBSTITUTE(Tabla1[[#This Row],[map]],"[",""),"]",""),",",REPT(" ",100)),901,200))," ",", ")</f>
        <v>2, 4</v>
      </c>
      <c r="CA485" t="str">
        <f>SUBSTITUTE(TRIM(MID(SUBSTITUTE(SUBSTITUTE(SUBSTITUTE(Tabla1[[#This Row],[map]],"[",""),"]",""),",",REPT(" ",100)),1501,200))," ",", ")</f>
        <v>3, 4</v>
      </c>
      <c r="CB485" t="str">
        <f>SUBSTITUTE(TRIM(MID(SUBSTITUTE(SUBSTITUTE(SUBSTITUTE(Tabla1[[#This Row],[map]],"[",""),"]",""),",",REPT(" ",100)),601,300))," ",", ")</f>
        <v>3, 0, 1</v>
      </c>
      <c r="CC485" t="str">
        <f>SUBSTITUTE(TRIM(MID(SUBSTITUTE(SUBSTITUTE(SUBSTITUTE(Tabla1[[#This Row],[map]],"[",""),"]",""),",",REPT(" ",100)),1201,300))," ",", ")</f>
        <v>0, 1, 2</v>
      </c>
      <c r="CD485" t="str">
        <f>SUBSTITUTE(TRIM(MID(SUBSTITUTE(SUBSTITUTE(SUBSTITUTE(Tabla1[[#This Row],[map]],"[",""),"]",""),",",REPT(" ",100)),1,300))," ",", ")</f>
        <v>2, 3, 4</v>
      </c>
      <c r="CE485" t="str">
        <f>SUBSTITUTE(TRIM(MID(SUBSTITUTE(SUBSTITUTE(SUBSTITUTE(Tabla1[[#This Row],[map]],"[",""),"]",""),",",REPT(" ",100)),1,600))," ",", ")</f>
        <v>2, 3, 4, 0, 1, -1</v>
      </c>
      <c r="CF485" t="str">
        <f>SUBSTITUTE(TRIM(MID(SUBSTITUTE(SUBSTITUTE(SUBSTITUTE(Tabla1[[#This Row],[map]],"[",""),"]",""),",",REPT(" ",100)),601,600))," ",", ")</f>
        <v>3, 0, 1, 2, 4, -1</v>
      </c>
      <c r="CG485" t="str">
        <f>SUBSTITUTE(TRIM(MID(SUBSTITUTE(SUBSTITUTE(SUBSTITUTE(Tabla1[[#This Row],[map]],"[",""),"]",""),",",REPT(" ",100)),1201,600))," ",", ")</f>
        <v>0, 1, 2, 3, 4, -1</v>
      </c>
    </row>
    <row r="486" spans="1:85" x14ac:dyDescent="0.3">
      <c r="A486" s="1">
        <v>46112.038622685177</v>
      </c>
      <c r="B486" t="s">
        <v>741</v>
      </c>
      <c r="C486">
        <v>9</v>
      </c>
      <c r="D486" t="s">
        <v>96</v>
      </c>
      <c r="E486" t="s">
        <v>78</v>
      </c>
      <c r="F486">
        <v>16590</v>
      </c>
      <c r="G486">
        <v>4.5</v>
      </c>
      <c r="H486" t="s">
        <v>79</v>
      </c>
      <c r="I486" t="s">
        <v>80</v>
      </c>
      <c r="J486">
        <v>5</v>
      </c>
      <c r="K486">
        <v>5</v>
      </c>
      <c r="L486" t="s">
        <v>81</v>
      </c>
      <c r="M486" t="s">
        <v>82</v>
      </c>
      <c r="N486" t="s">
        <v>83</v>
      </c>
      <c r="O486" t="s">
        <v>83</v>
      </c>
      <c r="P486" t="s">
        <v>84</v>
      </c>
      <c r="Q486" t="s">
        <v>165</v>
      </c>
      <c r="R486">
        <v>3</v>
      </c>
      <c r="S486" t="s">
        <v>86</v>
      </c>
      <c r="T486" t="s">
        <v>87</v>
      </c>
      <c r="U486" t="s">
        <v>88</v>
      </c>
      <c r="V486">
        <v>1</v>
      </c>
      <c r="W486" t="s">
        <v>166</v>
      </c>
      <c r="X486" t="s">
        <v>83</v>
      </c>
      <c r="Y486" t="s">
        <v>90</v>
      </c>
      <c r="Z486">
        <v>4000</v>
      </c>
      <c r="AA486">
        <v>4000</v>
      </c>
      <c r="AC486">
        <v>256</v>
      </c>
      <c r="AD486" t="s">
        <v>91</v>
      </c>
      <c r="AE486">
        <v>0.15</v>
      </c>
      <c r="AF486" t="s">
        <v>92</v>
      </c>
      <c r="AG486">
        <v>180</v>
      </c>
      <c r="AH486">
        <v>60</v>
      </c>
      <c r="AI486">
        <v>120</v>
      </c>
      <c r="AJ486">
        <v>0.1086101830046004</v>
      </c>
      <c r="AK486">
        <v>13.528644547157301</v>
      </c>
      <c r="AL486">
        <v>0.7680853736726323</v>
      </c>
      <c r="AM486">
        <v>-2.8727966739621751E-3</v>
      </c>
      <c r="AN486">
        <v>16.91110081795215</v>
      </c>
      <c r="AO486">
        <v>0.72063345782838373</v>
      </c>
      <c r="AP486">
        <v>16.91110081795215</v>
      </c>
      <c r="AQ486">
        <v>16.91110081795215</v>
      </c>
      <c r="AR486">
        <v>0.72063345782838373</v>
      </c>
      <c r="AS486">
        <v>106.75615345342869</v>
      </c>
      <c r="AT486">
        <v>-5.8212103105960623E-2</v>
      </c>
      <c r="AU486">
        <v>0.8</v>
      </c>
      <c r="AV486" t="s">
        <v>93</v>
      </c>
      <c r="AW486">
        <v>6.8550450131820137E-2</v>
      </c>
      <c r="AX486">
        <v>0.50223509915335918</v>
      </c>
      <c r="AY486">
        <v>6.8550450131820137E-2</v>
      </c>
      <c r="AZ486">
        <v>6.8550450131820137E-2</v>
      </c>
      <c r="BA486">
        <v>0.50223509915335918</v>
      </c>
      <c r="BB486">
        <v>0.14164780509902031</v>
      </c>
      <c r="BC486">
        <v>-2.854620975755906E-2</v>
      </c>
      <c r="BD486">
        <v>5.8861535562151623E-2</v>
      </c>
      <c r="BE486">
        <v>0.79605735104227038</v>
      </c>
      <c r="BF486">
        <v>5.8861535562151623E-2</v>
      </c>
      <c r="BG486">
        <v>5.8861535562151623E-2</v>
      </c>
      <c r="BH486">
        <v>0.79605735104227038</v>
      </c>
      <c r="BI486">
        <v>0.37600461085799752</v>
      </c>
      <c r="BJ486">
        <v>-0.30277566880209389</v>
      </c>
      <c r="BK486">
        <v>5.5733403607504582E-2</v>
      </c>
      <c r="BL486">
        <v>0.7762480130975935</v>
      </c>
      <c r="BM486">
        <v>5.5733403607504582E-2</v>
      </c>
      <c r="BN486">
        <v>5.5733403607504582E-2</v>
      </c>
      <c r="BO486">
        <v>0.7762480130975935</v>
      </c>
      <c r="BP486">
        <v>0.17139590860661599</v>
      </c>
      <c r="BQ486">
        <v>0.31189963979681112</v>
      </c>
      <c r="BR486">
        <v>67.461257882507184</v>
      </c>
      <c r="BS486">
        <v>0.80799336802030952</v>
      </c>
      <c r="BT486">
        <v>67.461257882507184</v>
      </c>
      <c r="BU486">
        <v>67.461257882507184</v>
      </c>
      <c r="BV486">
        <v>0.80799336802030952</v>
      </c>
      <c r="BW486">
        <v>426.33556548915078</v>
      </c>
      <c r="BX486">
        <v>-0.21342617366099931</v>
      </c>
      <c r="BY486" t="str">
        <f t="shared" si="18"/>
        <v>[[sv,wv],[yr],[ya]]</v>
      </c>
      <c r="BZ486" t="str">
        <f>SUBSTITUTE(TRIM(MID(SUBSTITUTE(SUBSTITUTE(SUBSTITUTE(Tabla1[[#This Row],[map]],"[",""),"]",""),",",REPT(" ",100)),901,200))," ",", ")</f>
        <v>2, 4</v>
      </c>
      <c r="CA486" t="str">
        <f>SUBSTITUTE(TRIM(MID(SUBSTITUTE(SUBSTITUTE(SUBSTITUTE(Tabla1[[#This Row],[map]],"[",""),"]",""),",",REPT(" ",100)),1501,200))," ",", ")</f>
        <v>3, 4</v>
      </c>
      <c r="CB486" t="str">
        <f>SUBSTITUTE(TRIM(MID(SUBSTITUTE(SUBSTITUTE(SUBSTITUTE(Tabla1[[#This Row],[map]],"[",""),"]",""),",",REPT(" ",100)),601,300))," ",", ")</f>
        <v>0, 1, 3</v>
      </c>
      <c r="CC486" t="str">
        <f>SUBSTITUTE(TRIM(MID(SUBSTITUTE(SUBSTITUTE(SUBSTITUTE(Tabla1[[#This Row],[map]],"[",""),"]",""),",",REPT(" ",100)),1201,300))," ",", ")</f>
        <v>2, 0, 1</v>
      </c>
      <c r="CD486" t="str">
        <f>SUBSTITUTE(TRIM(MID(SUBSTITUTE(SUBSTITUTE(SUBSTITUTE(Tabla1[[#This Row],[map]],"[",""),"]",""),",",REPT(" ",100)),1,300))," ",", ")</f>
        <v>2, 3, 4</v>
      </c>
      <c r="CE486" t="str">
        <f>SUBSTITUTE(TRIM(MID(SUBSTITUTE(SUBSTITUTE(SUBSTITUTE(Tabla1[[#This Row],[map]],"[",""),"]",""),",",REPT(" ",100)),1,600))," ",", ")</f>
        <v>2, 3, 4, 0, 1, -1</v>
      </c>
      <c r="CF486" t="str">
        <f>SUBSTITUTE(TRIM(MID(SUBSTITUTE(SUBSTITUTE(SUBSTITUTE(Tabla1[[#This Row],[map]],"[",""),"]",""),",",REPT(" ",100)),601,600))," ",", ")</f>
        <v>0, 1, 3, 2, 4, -1</v>
      </c>
      <c r="CG486" t="str">
        <f>SUBSTITUTE(TRIM(MID(SUBSTITUTE(SUBSTITUTE(SUBSTITUTE(Tabla1[[#This Row],[map]],"[",""),"]",""),",",REPT(" ",100)),1201,600))," ",", ")</f>
        <v>2, 0, 1, 3, 4, -1</v>
      </c>
    </row>
    <row r="487" spans="1:85" x14ac:dyDescent="0.3">
      <c r="A487" s="1">
        <v>46112.056307870371</v>
      </c>
      <c r="B487" t="s">
        <v>742</v>
      </c>
      <c r="C487">
        <v>6</v>
      </c>
      <c r="D487" t="s">
        <v>77</v>
      </c>
      <c r="E487" t="s">
        <v>78</v>
      </c>
      <c r="F487">
        <v>16590</v>
      </c>
      <c r="G487">
        <v>4.5</v>
      </c>
      <c r="H487" t="s">
        <v>79</v>
      </c>
      <c r="I487" t="s">
        <v>80</v>
      </c>
      <c r="J487">
        <v>5</v>
      </c>
      <c r="K487">
        <v>5</v>
      </c>
      <c r="L487" t="s">
        <v>81</v>
      </c>
      <c r="M487" t="s">
        <v>82</v>
      </c>
      <c r="N487" t="s">
        <v>83</v>
      </c>
      <c r="O487" t="s">
        <v>83</v>
      </c>
      <c r="P487" t="s">
        <v>84</v>
      </c>
      <c r="Q487" t="s">
        <v>509</v>
      </c>
      <c r="R487">
        <v>3</v>
      </c>
      <c r="S487" t="s">
        <v>86</v>
      </c>
      <c r="T487" t="s">
        <v>87</v>
      </c>
      <c r="U487" t="s">
        <v>88</v>
      </c>
      <c r="V487">
        <v>1</v>
      </c>
      <c r="W487" t="s">
        <v>510</v>
      </c>
      <c r="X487" t="s">
        <v>83</v>
      </c>
      <c r="Y487" t="s">
        <v>90</v>
      </c>
      <c r="Z487">
        <v>4000</v>
      </c>
      <c r="AA487">
        <v>4000</v>
      </c>
      <c r="AC487">
        <v>256</v>
      </c>
      <c r="AD487" t="s">
        <v>91</v>
      </c>
      <c r="AE487">
        <v>0.15</v>
      </c>
      <c r="AF487" t="s">
        <v>92</v>
      </c>
      <c r="AG487">
        <v>180</v>
      </c>
      <c r="AH487">
        <v>60</v>
      </c>
      <c r="AI487">
        <v>120</v>
      </c>
      <c r="AJ487">
        <v>0.11243732732574629</v>
      </c>
      <c r="AK487">
        <v>12.82801297010889</v>
      </c>
      <c r="AL487">
        <v>0.70371769349374214</v>
      </c>
      <c r="AM487">
        <v>0.17181020108027151</v>
      </c>
      <c r="AN487">
        <v>17.285950488003369</v>
      </c>
      <c r="AO487">
        <v>0.65347941053841119</v>
      </c>
      <c r="AP487">
        <v>17.285950488003369</v>
      </c>
      <c r="AQ487">
        <v>17.285950488003369</v>
      </c>
      <c r="AR487">
        <v>0.65347941053841119</v>
      </c>
      <c r="AS487">
        <v>100.28809670107201</v>
      </c>
      <c r="AT487">
        <v>0.1851666451425909</v>
      </c>
      <c r="AU487">
        <v>0.8</v>
      </c>
      <c r="AV487" t="s">
        <v>93</v>
      </c>
      <c r="AW487">
        <v>8.0500782639848029E-2</v>
      </c>
      <c r="AX487">
        <v>0.41546023386065561</v>
      </c>
      <c r="AY487">
        <v>8.0500782639848029E-2</v>
      </c>
      <c r="AZ487">
        <v>8.0500782639848029E-2</v>
      </c>
      <c r="BA487">
        <v>0.41546023386065561</v>
      </c>
      <c r="BB487">
        <v>0.12150696185879099</v>
      </c>
      <c r="BC487">
        <v>0.11770235344169069</v>
      </c>
      <c r="BD487">
        <v>0.1050994729446541</v>
      </c>
      <c r="BE487">
        <v>0.63585277360354198</v>
      </c>
      <c r="BF487">
        <v>0.1050994729446541</v>
      </c>
      <c r="BG487">
        <v>0.1050994729446541</v>
      </c>
      <c r="BH487">
        <v>0.63585277360354198</v>
      </c>
      <c r="BI487">
        <v>0.100652221906675</v>
      </c>
      <c r="BJ487">
        <v>0.65126154859732033</v>
      </c>
      <c r="BK487">
        <v>6.0104170730874588E-2</v>
      </c>
      <c r="BL487">
        <v>0.75870076557922961</v>
      </c>
      <c r="BM487">
        <v>6.0104170730874588E-2</v>
      </c>
      <c r="BN487">
        <v>6.0104170730874588E-2</v>
      </c>
      <c r="BO487">
        <v>0.75870076557922961</v>
      </c>
      <c r="BP487">
        <v>0.22114036597973219</v>
      </c>
      <c r="BQ487">
        <v>0.1121913777103718</v>
      </c>
      <c r="BR487">
        <v>68.898097525698233</v>
      </c>
      <c r="BS487">
        <v>0.80390386911021661</v>
      </c>
      <c r="BT487">
        <v>68.898097525698233</v>
      </c>
      <c r="BU487">
        <v>68.898097525698233</v>
      </c>
      <c r="BV487">
        <v>0.80390386911021661</v>
      </c>
      <c r="BW487">
        <v>400.70908725454029</v>
      </c>
      <c r="BX487">
        <v>-0.140488699179008</v>
      </c>
      <c r="BY487" t="str">
        <f t="shared" si="18"/>
        <v>[[sv,wv],[yr],[ya]]</v>
      </c>
      <c r="BZ487" t="str">
        <f>SUBSTITUTE(TRIM(MID(SUBSTITUTE(SUBSTITUTE(SUBSTITUTE(Tabla1[[#This Row],[map]],"[",""),"]",""),",",REPT(" ",100)),901,200))," ",", ")</f>
        <v>2, 4</v>
      </c>
      <c r="CA487" t="str">
        <f>SUBSTITUTE(TRIM(MID(SUBSTITUTE(SUBSTITUTE(SUBSTITUTE(Tabla1[[#This Row],[map]],"[",""),"]",""),",",REPT(" ",100)),1501,200))," ",", ")</f>
        <v>3, 4</v>
      </c>
      <c r="CB487" t="str">
        <f>SUBSTITUTE(TRIM(MID(SUBSTITUTE(SUBSTITUTE(SUBSTITUTE(Tabla1[[#This Row],[map]],"[",""),"]",""),",",REPT(" ",100)),601,300))," ",", ")</f>
        <v>0, 1, 3</v>
      </c>
      <c r="CC487" t="str">
        <f>SUBSTITUTE(TRIM(MID(SUBSTITUTE(SUBSTITUTE(SUBSTITUTE(Tabla1[[#This Row],[map]],"[",""),"]",""),",",REPT(" ",100)),1201,300))," ",", ")</f>
        <v>1, 2, 0</v>
      </c>
      <c r="CD487" t="str">
        <f>SUBSTITUTE(TRIM(MID(SUBSTITUTE(SUBSTITUTE(SUBSTITUTE(Tabla1[[#This Row],[map]],"[",""),"]",""),",",REPT(" ",100)),1,300))," ",", ")</f>
        <v>4, 2, 3</v>
      </c>
      <c r="CE487" t="str">
        <f>SUBSTITUTE(TRIM(MID(SUBSTITUTE(SUBSTITUTE(SUBSTITUTE(Tabla1[[#This Row],[map]],"[",""),"]",""),",",REPT(" ",100)),1,600))," ",", ")</f>
        <v>4, 2, 3, 0, 1, -1</v>
      </c>
      <c r="CF487" t="str">
        <f>SUBSTITUTE(TRIM(MID(SUBSTITUTE(SUBSTITUTE(SUBSTITUTE(Tabla1[[#This Row],[map]],"[",""),"]",""),",",REPT(" ",100)),601,600))," ",", ")</f>
        <v>0, 1, 3, 2, 4, -1</v>
      </c>
      <c r="CG487" t="str">
        <f>SUBSTITUTE(TRIM(MID(SUBSTITUTE(SUBSTITUTE(SUBSTITUTE(Tabla1[[#This Row],[map]],"[",""),"]",""),",",REPT(" ",100)),1201,600))," ",", ")</f>
        <v>1, 2, 0, 3, 4, -1</v>
      </c>
    </row>
    <row r="488" spans="1:85" x14ac:dyDescent="0.3">
      <c r="A488" s="1">
        <v>46112.091979166667</v>
      </c>
      <c r="B488" t="s">
        <v>743</v>
      </c>
      <c r="C488">
        <v>9</v>
      </c>
      <c r="D488" t="s">
        <v>96</v>
      </c>
      <c r="E488" t="s">
        <v>78</v>
      </c>
      <c r="F488">
        <v>16590</v>
      </c>
      <c r="G488">
        <v>4.5</v>
      </c>
      <c r="H488" t="s">
        <v>79</v>
      </c>
      <c r="I488" t="s">
        <v>80</v>
      </c>
      <c r="J488">
        <v>5</v>
      </c>
      <c r="K488">
        <v>5</v>
      </c>
      <c r="L488" t="s">
        <v>81</v>
      </c>
      <c r="M488" t="s">
        <v>82</v>
      </c>
      <c r="N488" t="s">
        <v>83</v>
      </c>
      <c r="O488" t="s">
        <v>83</v>
      </c>
      <c r="P488" t="s">
        <v>84</v>
      </c>
      <c r="Q488" t="s">
        <v>485</v>
      </c>
      <c r="R488">
        <v>3</v>
      </c>
      <c r="S488" t="s">
        <v>86</v>
      </c>
      <c r="T488" t="s">
        <v>87</v>
      </c>
      <c r="U488" t="s">
        <v>88</v>
      </c>
      <c r="V488">
        <v>1</v>
      </c>
      <c r="W488" t="s">
        <v>486</v>
      </c>
      <c r="X488" t="s">
        <v>83</v>
      </c>
      <c r="Y488" t="s">
        <v>90</v>
      </c>
      <c r="Z488">
        <v>4000</v>
      </c>
      <c r="AA488">
        <v>4000</v>
      </c>
      <c r="AC488">
        <v>256</v>
      </c>
      <c r="AD488" t="s">
        <v>91</v>
      </c>
      <c r="AE488">
        <v>0.15</v>
      </c>
      <c r="AF488" t="s">
        <v>92</v>
      </c>
      <c r="AG488">
        <v>180</v>
      </c>
      <c r="AH488">
        <v>60</v>
      </c>
      <c r="AI488">
        <v>120</v>
      </c>
      <c r="AJ488">
        <v>0.10759383901124379</v>
      </c>
      <c r="AK488">
        <v>16.156068127707002</v>
      </c>
      <c r="AL488">
        <v>0.76788747669169122</v>
      </c>
      <c r="AM488">
        <v>0.18761385184956819</v>
      </c>
      <c r="AN488">
        <v>18.202526307796131</v>
      </c>
      <c r="AO488">
        <v>0.7148804625911942</v>
      </c>
      <c r="AP488">
        <v>18.202526307796131</v>
      </c>
      <c r="AQ488">
        <v>18.202526307796131</v>
      </c>
      <c r="AR488">
        <v>0.7148804625911942</v>
      </c>
      <c r="AS488">
        <v>71.273450032101763</v>
      </c>
      <c r="AT488">
        <v>0.19230550864229509</v>
      </c>
      <c r="AU488">
        <v>0.8</v>
      </c>
      <c r="AV488" t="s">
        <v>93</v>
      </c>
      <c r="AW488">
        <v>6.5244166101139436E-2</v>
      </c>
      <c r="AX488">
        <v>0.52624299610426017</v>
      </c>
      <c r="AY488">
        <v>6.5244166101139436E-2</v>
      </c>
      <c r="AZ488">
        <v>6.5244166101139436E-2</v>
      </c>
      <c r="BA488">
        <v>0.52624299610426017</v>
      </c>
      <c r="BB488">
        <v>6.6632626989605551E-2</v>
      </c>
      <c r="BC488">
        <v>0.51616097483163892</v>
      </c>
      <c r="BD488">
        <v>7.7435778165658081E-2</v>
      </c>
      <c r="BE488">
        <v>0.73170156754520532</v>
      </c>
      <c r="BF488">
        <v>7.7435778165658081E-2</v>
      </c>
      <c r="BG488">
        <v>7.7435778165658081E-2</v>
      </c>
      <c r="BH488">
        <v>0.73170156754520532</v>
      </c>
      <c r="BI488">
        <v>0.16109015866488299</v>
      </c>
      <c r="BJ488">
        <v>0.44185700618619228</v>
      </c>
      <c r="BK488">
        <v>4.775826789815666E-2</v>
      </c>
      <c r="BL488">
        <v>0.80826566042000914</v>
      </c>
      <c r="BM488">
        <v>4.775826789815666E-2</v>
      </c>
      <c r="BN488">
        <v>4.775826789815666E-2</v>
      </c>
      <c r="BO488">
        <v>0.80826566042000914</v>
      </c>
      <c r="BP488">
        <v>0.34348770775212523</v>
      </c>
      <c r="BQ488">
        <v>-0.37899450080853142</v>
      </c>
      <c r="BR488">
        <v>72.619667019019701</v>
      </c>
      <c r="BS488">
        <v>0.79331162629530305</v>
      </c>
      <c r="BT488">
        <v>72.619667019019701</v>
      </c>
      <c r="BU488">
        <v>72.619667019019701</v>
      </c>
      <c r="BV488">
        <v>0.79331162629530305</v>
      </c>
      <c r="BW488">
        <v>284.52258963500191</v>
      </c>
      <c r="BX488">
        <v>0.19019855435986441</v>
      </c>
      <c r="BY488" t="str">
        <f t="shared" si="18"/>
        <v>[[sv,wv],[yr],[ya]]</v>
      </c>
      <c r="BZ488" t="str">
        <f>SUBSTITUTE(TRIM(MID(SUBSTITUTE(SUBSTITUTE(SUBSTITUTE(Tabla1[[#This Row],[map]],"[",""),"]",""),",",REPT(" ",100)),901,200))," ",", ")</f>
        <v>2, 3</v>
      </c>
      <c r="CA488" t="str">
        <f>SUBSTITUTE(TRIM(MID(SUBSTITUTE(SUBSTITUTE(SUBSTITUTE(Tabla1[[#This Row],[map]],"[",""),"]",""),",",REPT(" ",100)),1501,200))," ",", ")</f>
        <v>3, 4</v>
      </c>
      <c r="CB488" t="str">
        <f>SUBSTITUTE(TRIM(MID(SUBSTITUTE(SUBSTITUTE(SUBSTITUTE(Tabla1[[#This Row],[map]],"[",""),"]",""),",",REPT(" ",100)),601,300))," ",", ")</f>
        <v>1, 4, 0</v>
      </c>
      <c r="CC488" t="str">
        <f>SUBSTITUTE(TRIM(MID(SUBSTITUTE(SUBSTITUTE(SUBSTITUTE(Tabla1[[#This Row],[map]],"[",""),"]",""),",",REPT(" ",100)),1201,300))," ",", ")</f>
        <v>0, 1, 2</v>
      </c>
      <c r="CD488" t="str">
        <f>SUBSTITUTE(TRIM(MID(SUBSTITUTE(SUBSTITUTE(SUBSTITUTE(Tabla1[[#This Row],[map]],"[",""),"]",""),",",REPT(" ",100)),1,300))," ",", ")</f>
        <v>4, 2, 3</v>
      </c>
      <c r="CE488" t="str">
        <f>SUBSTITUTE(TRIM(MID(SUBSTITUTE(SUBSTITUTE(SUBSTITUTE(Tabla1[[#This Row],[map]],"[",""),"]",""),",",REPT(" ",100)),1,600))," ",", ")</f>
        <v>4, 2, 3, 0, 1, -1</v>
      </c>
      <c r="CF488" t="str">
        <f>SUBSTITUTE(TRIM(MID(SUBSTITUTE(SUBSTITUTE(SUBSTITUTE(Tabla1[[#This Row],[map]],"[",""),"]",""),",",REPT(" ",100)),601,600))," ",", ")</f>
        <v>1, 4, 0, 2, 3, -1</v>
      </c>
      <c r="CG488" t="str">
        <f>SUBSTITUTE(TRIM(MID(SUBSTITUTE(SUBSTITUTE(SUBSTITUTE(Tabla1[[#This Row],[map]],"[",""),"]",""),",",REPT(" ",100)),1201,600))," ",", ")</f>
        <v>0, 1, 2, 3, 4, -1</v>
      </c>
    </row>
    <row r="489" spans="1:85" x14ac:dyDescent="0.3">
      <c r="A489" s="1">
        <v>46112.166655092587</v>
      </c>
      <c r="B489" t="s">
        <v>744</v>
      </c>
      <c r="C489">
        <v>7</v>
      </c>
      <c r="D489" t="s">
        <v>96</v>
      </c>
      <c r="E489" t="s">
        <v>78</v>
      </c>
      <c r="F489">
        <v>16590</v>
      </c>
      <c r="G489">
        <v>4.5</v>
      </c>
      <c r="H489" t="s">
        <v>79</v>
      </c>
      <c r="I489" t="s">
        <v>80</v>
      </c>
      <c r="J489">
        <v>5</v>
      </c>
      <c r="K489">
        <v>5</v>
      </c>
      <c r="L489" t="s">
        <v>81</v>
      </c>
      <c r="M489" t="s">
        <v>82</v>
      </c>
      <c r="N489" t="s">
        <v>83</v>
      </c>
      <c r="O489" t="s">
        <v>83</v>
      </c>
      <c r="P489" t="s">
        <v>84</v>
      </c>
      <c r="Q489" t="s">
        <v>501</v>
      </c>
      <c r="R489">
        <v>3</v>
      </c>
      <c r="S489" t="s">
        <v>86</v>
      </c>
      <c r="T489" t="s">
        <v>87</v>
      </c>
      <c r="U489" t="s">
        <v>88</v>
      </c>
      <c r="V489">
        <v>1</v>
      </c>
      <c r="W489" t="s">
        <v>502</v>
      </c>
      <c r="X489" t="s">
        <v>83</v>
      </c>
      <c r="Y489" t="s">
        <v>90</v>
      </c>
      <c r="Z489">
        <v>4000</v>
      </c>
      <c r="AA489">
        <v>4000</v>
      </c>
      <c r="AC489">
        <v>256</v>
      </c>
      <c r="AD489" t="s">
        <v>91</v>
      </c>
      <c r="AE489">
        <v>0.15</v>
      </c>
      <c r="AF489" t="s">
        <v>92</v>
      </c>
      <c r="AG489">
        <v>180</v>
      </c>
      <c r="AH489">
        <v>60</v>
      </c>
      <c r="AI489">
        <v>120</v>
      </c>
      <c r="AJ489">
        <v>0.10998940503567869</v>
      </c>
      <c r="AK489">
        <v>6.7835808131979238</v>
      </c>
      <c r="AL489">
        <v>0.74358873004727888</v>
      </c>
      <c r="AM489">
        <v>0.28489614620151482</v>
      </c>
      <c r="AN489">
        <v>9.4525027131870623</v>
      </c>
      <c r="AO489">
        <v>0.70381074885201311</v>
      </c>
      <c r="AP489">
        <v>9.4525027131870623</v>
      </c>
      <c r="AQ489">
        <v>9.4525027131870623</v>
      </c>
      <c r="AR489">
        <v>0.70381074885201311</v>
      </c>
      <c r="AS489">
        <v>94.373550169417086</v>
      </c>
      <c r="AT489">
        <v>0.2209054791785415</v>
      </c>
      <c r="AU489">
        <v>0.8</v>
      </c>
      <c r="AV489" t="s">
        <v>93</v>
      </c>
      <c r="AW489">
        <v>7.6060796563522659E-2</v>
      </c>
      <c r="AX489">
        <v>0.44770027349267372</v>
      </c>
      <c r="AY489">
        <v>7.6060796563522659E-2</v>
      </c>
      <c r="AZ489">
        <v>7.6060796563522659E-2</v>
      </c>
      <c r="BA489">
        <v>0.44770027349267372</v>
      </c>
      <c r="BB489">
        <v>9.4122596737264891E-2</v>
      </c>
      <c r="BC489">
        <v>0.31654825107259971</v>
      </c>
      <c r="BD489">
        <v>8.5871904706582944E-2</v>
      </c>
      <c r="BE489">
        <v>0.70247219088577095</v>
      </c>
      <c r="BF489">
        <v>8.5871904706582944E-2</v>
      </c>
      <c r="BG489">
        <v>8.5871904706582944E-2</v>
      </c>
      <c r="BH489">
        <v>0.70247219088577095</v>
      </c>
      <c r="BI489">
        <v>0.12885869488692089</v>
      </c>
      <c r="BJ489">
        <v>0.55353214411598572</v>
      </c>
      <c r="BK489">
        <v>5.6776078473547438E-2</v>
      </c>
      <c r="BL489">
        <v>0.77206200331047758</v>
      </c>
      <c r="BM489">
        <v>5.6776078473547438E-2</v>
      </c>
      <c r="BN489">
        <v>5.6776078473547438E-2</v>
      </c>
      <c r="BO489">
        <v>0.77206200331047758</v>
      </c>
      <c r="BP489">
        <v>0.2274962726942579</v>
      </c>
      <c r="BQ489">
        <v>8.6674422636951909E-2</v>
      </c>
      <c r="BR489">
        <v>37.591302073004663</v>
      </c>
      <c r="BS489">
        <v>0.89300852771913164</v>
      </c>
      <c r="BT489">
        <v>37.591302073004663</v>
      </c>
      <c r="BU489">
        <v>37.591302073004663</v>
      </c>
      <c r="BV489">
        <v>0.89300852771913164</v>
      </c>
      <c r="BW489">
        <v>377.04372311334947</v>
      </c>
      <c r="BX489">
        <v>-7.3132901111369941E-2</v>
      </c>
      <c r="BY489" t="str">
        <f t="shared" si="18"/>
        <v>[[sv,wv],[yr],[ya]]</v>
      </c>
      <c r="BZ489" t="str">
        <f>SUBSTITUTE(TRIM(MID(SUBSTITUTE(SUBSTITUTE(SUBSTITUTE(Tabla1[[#This Row],[map]],"[",""),"]",""),",",REPT(" ",100)),901,200))," ",", ")</f>
        <v>2, 4</v>
      </c>
      <c r="CA489" t="str">
        <f>SUBSTITUTE(TRIM(MID(SUBSTITUTE(SUBSTITUTE(SUBSTITUTE(Tabla1[[#This Row],[map]],"[",""),"]",""),",",REPT(" ",100)),1501,200))," ",", ")</f>
        <v>3, 2</v>
      </c>
      <c r="CB489" t="str">
        <f>SUBSTITUTE(TRIM(MID(SUBSTITUTE(SUBSTITUTE(SUBSTITUTE(Tabla1[[#This Row],[map]],"[",""),"]",""),",",REPT(" ",100)),601,300))," ",", ")</f>
        <v>0, 1, 3</v>
      </c>
      <c r="CC489" t="str">
        <f>SUBSTITUTE(TRIM(MID(SUBSTITUTE(SUBSTITUTE(SUBSTITUTE(Tabla1[[#This Row],[map]],"[",""),"]",""),",",REPT(" ",100)),1201,300))," ",", ")</f>
        <v>1, 4, 0</v>
      </c>
      <c r="CD489" t="str">
        <f>SUBSTITUTE(TRIM(MID(SUBSTITUTE(SUBSTITUTE(SUBSTITUTE(Tabla1[[#This Row],[map]],"[",""),"]",""),",",REPT(" ",100)),1,300))," ",", ")</f>
        <v>4, 2, 3</v>
      </c>
      <c r="CE489" t="str">
        <f>SUBSTITUTE(TRIM(MID(SUBSTITUTE(SUBSTITUTE(SUBSTITUTE(Tabla1[[#This Row],[map]],"[",""),"]",""),",",REPT(" ",100)),1,600))," ",", ")</f>
        <v>4, 2, 3, 0, 1, -1</v>
      </c>
      <c r="CF489" t="str">
        <f>SUBSTITUTE(TRIM(MID(SUBSTITUTE(SUBSTITUTE(SUBSTITUTE(Tabla1[[#This Row],[map]],"[",""),"]",""),",",REPT(" ",100)),601,600))," ",", ")</f>
        <v>0, 1, 3, 2, 4, -1</v>
      </c>
      <c r="CG489" t="str">
        <f>SUBSTITUTE(TRIM(MID(SUBSTITUTE(SUBSTITUTE(SUBSTITUTE(Tabla1[[#This Row],[map]],"[",""),"]",""),",",REPT(" ",100)),1201,600))," ",", ")</f>
        <v>1, 4, 0, 3, 2, -1</v>
      </c>
    </row>
    <row r="490" spans="1:85" x14ac:dyDescent="0.3">
      <c r="A490" s="1">
        <v>46112.17564814815</v>
      </c>
      <c r="B490" t="s">
        <v>745</v>
      </c>
      <c r="C490">
        <v>8</v>
      </c>
      <c r="D490" t="s">
        <v>96</v>
      </c>
      <c r="E490" t="s">
        <v>78</v>
      </c>
      <c r="F490">
        <v>16590</v>
      </c>
      <c r="G490">
        <v>4.5</v>
      </c>
      <c r="H490" t="s">
        <v>79</v>
      </c>
      <c r="I490" t="s">
        <v>80</v>
      </c>
      <c r="J490">
        <v>5</v>
      </c>
      <c r="K490">
        <v>5</v>
      </c>
      <c r="L490" t="s">
        <v>81</v>
      </c>
      <c r="M490" t="s">
        <v>82</v>
      </c>
      <c r="N490" t="s">
        <v>83</v>
      </c>
      <c r="O490" t="s">
        <v>83</v>
      </c>
      <c r="P490" t="s">
        <v>84</v>
      </c>
      <c r="Q490" t="s">
        <v>183</v>
      </c>
      <c r="R490">
        <v>3</v>
      </c>
      <c r="S490" t="s">
        <v>86</v>
      </c>
      <c r="T490" t="s">
        <v>87</v>
      </c>
      <c r="U490" t="s">
        <v>88</v>
      </c>
      <c r="V490">
        <v>1</v>
      </c>
      <c r="W490" t="s">
        <v>184</v>
      </c>
      <c r="X490" t="s">
        <v>83</v>
      </c>
      <c r="Y490" t="s">
        <v>90</v>
      </c>
      <c r="Z490">
        <v>4000</v>
      </c>
      <c r="AA490">
        <v>4000</v>
      </c>
      <c r="AC490">
        <v>256</v>
      </c>
      <c r="AD490" t="s">
        <v>91</v>
      </c>
      <c r="AE490">
        <v>0.15</v>
      </c>
      <c r="AF490" t="s">
        <v>92</v>
      </c>
      <c r="AG490">
        <v>180</v>
      </c>
      <c r="AH490">
        <v>60</v>
      </c>
      <c r="AI490">
        <v>120</v>
      </c>
      <c r="AJ490">
        <v>0.1051124848780091</v>
      </c>
      <c r="AK490">
        <v>11.675676278417351</v>
      </c>
      <c r="AL490">
        <v>0.74145792243241859</v>
      </c>
      <c r="AM490">
        <v>-0.121198489044664</v>
      </c>
      <c r="AN490">
        <v>15.63590159177634</v>
      </c>
      <c r="AO490">
        <v>0.64750831836732914</v>
      </c>
      <c r="AP490">
        <v>15.63590159177634</v>
      </c>
      <c r="AQ490">
        <v>15.63590159177634</v>
      </c>
      <c r="AR490">
        <v>0.64750831836732914</v>
      </c>
      <c r="AS490">
        <v>111.6003672375103</v>
      </c>
      <c r="AT490">
        <v>-9.366869177997697E-2</v>
      </c>
      <c r="AU490">
        <v>0.8</v>
      </c>
      <c r="AV490" t="s">
        <v>93</v>
      </c>
      <c r="AW490">
        <v>9.4769538814292009E-2</v>
      </c>
      <c r="AX490">
        <v>0.31185061512410223</v>
      </c>
      <c r="AY490">
        <v>9.4769538814292009E-2</v>
      </c>
      <c r="AZ490">
        <v>9.4769538814292009E-2</v>
      </c>
      <c r="BA490">
        <v>0.31185061512410223</v>
      </c>
      <c r="BB490">
        <v>0.14831362450603239</v>
      </c>
      <c r="BC490">
        <v>-7.6948677280566313E-2</v>
      </c>
      <c r="BD490">
        <v>6.2166565707198272E-2</v>
      </c>
      <c r="BE490">
        <v>0.78460612748466796</v>
      </c>
      <c r="BF490">
        <v>6.2166565707198272E-2</v>
      </c>
      <c r="BG490">
        <v>6.2166565707198272E-2</v>
      </c>
      <c r="BH490">
        <v>0.78460612748466796</v>
      </c>
      <c r="BI490">
        <v>0.29836304281027221</v>
      </c>
      <c r="BJ490">
        <v>-3.3764218358953269E-2</v>
      </c>
      <c r="BK490">
        <v>8.1972414457030032E-2</v>
      </c>
      <c r="BL490">
        <v>0.67090668398586162</v>
      </c>
      <c r="BM490">
        <v>8.1972414457030032E-2</v>
      </c>
      <c r="BN490">
        <v>8.1972414457030032E-2</v>
      </c>
      <c r="BO490">
        <v>0.67090668398586162</v>
      </c>
      <c r="BP490">
        <v>0.2479402305017962</v>
      </c>
      <c r="BQ490">
        <v>4.5983985024826701E-3</v>
      </c>
      <c r="BR490">
        <v>62.304697848126843</v>
      </c>
      <c r="BS490">
        <v>0.82266984687468891</v>
      </c>
      <c r="BT490">
        <v>62.304697848126843</v>
      </c>
      <c r="BU490">
        <v>62.304697848126843</v>
      </c>
      <c r="BV490">
        <v>0.82266984687468891</v>
      </c>
      <c r="BW490">
        <v>445.7068520522231</v>
      </c>
      <c r="BX490">
        <v>-0.2685602699828733</v>
      </c>
      <c r="BY490" t="str">
        <f t="shared" si="18"/>
        <v>[[sv,wv],[yr],[ya]]</v>
      </c>
      <c r="BZ490" t="str">
        <f>SUBSTITUTE(TRIM(MID(SUBSTITUTE(SUBSTITUTE(SUBSTITUTE(Tabla1[[#This Row],[map]],"[",""),"]",""),",",REPT(" ",100)),901,200))," ",", ")</f>
        <v>2, 4</v>
      </c>
      <c r="CA490" t="str">
        <f>SUBSTITUTE(TRIM(MID(SUBSTITUTE(SUBSTITUTE(SUBSTITUTE(Tabla1[[#This Row],[map]],"[",""),"]",""),",",REPT(" ",100)),1501,200))," ",", ")</f>
        <v>3, 4</v>
      </c>
      <c r="CB490" t="str">
        <f>SUBSTITUTE(TRIM(MID(SUBSTITUTE(SUBSTITUTE(SUBSTITUTE(Tabla1[[#This Row],[map]],"[",""),"]",""),",",REPT(" ",100)),601,300))," ",", ")</f>
        <v>3, 0, 1</v>
      </c>
      <c r="CC490" t="str">
        <f>SUBSTITUTE(TRIM(MID(SUBSTITUTE(SUBSTITUTE(SUBSTITUTE(Tabla1[[#This Row],[map]],"[",""),"]",""),",",REPT(" ",100)),1201,300))," ",", ")</f>
        <v>2, 0, 1</v>
      </c>
      <c r="CD490" t="str">
        <f>SUBSTITUTE(TRIM(MID(SUBSTITUTE(SUBSTITUTE(SUBSTITUTE(Tabla1[[#This Row],[map]],"[",""),"]",""),",",REPT(" ",100)),1,300))," ",", ")</f>
        <v>2, 3, 4</v>
      </c>
      <c r="CE490" t="str">
        <f>SUBSTITUTE(TRIM(MID(SUBSTITUTE(SUBSTITUTE(SUBSTITUTE(Tabla1[[#This Row],[map]],"[",""),"]",""),",",REPT(" ",100)),1,600))," ",", ")</f>
        <v>2, 3, 4, 0, 1, -1</v>
      </c>
      <c r="CF490" t="str">
        <f>SUBSTITUTE(TRIM(MID(SUBSTITUTE(SUBSTITUTE(SUBSTITUTE(Tabla1[[#This Row],[map]],"[",""),"]",""),",",REPT(" ",100)),601,600))," ",", ")</f>
        <v>3, 0, 1, 2, 4, -1</v>
      </c>
      <c r="CG490" t="str">
        <f>SUBSTITUTE(TRIM(MID(SUBSTITUTE(SUBSTITUTE(SUBSTITUTE(Tabla1[[#This Row],[map]],"[",""),"]",""),",",REPT(" ",100)),1201,600))," ",", ")</f>
        <v>2, 0, 1, 3, 4, -1</v>
      </c>
    </row>
    <row r="491" spans="1:85" x14ac:dyDescent="0.3">
      <c r="A491" s="1">
        <v>46112.180115740739</v>
      </c>
      <c r="B491" t="s">
        <v>746</v>
      </c>
      <c r="C491">
        <v>8</v>
      </c>
      <c r="D491" t="s">
        <v>96</v>
      </c>
      <c r="E491" t="s">
        <v>78</v>
      </c>
      <c r="F491">
        <v>16590</v>
      </c>
      <c r="G491">
        <v>4.5</v>
      </c>
      <c r="H491" t="s">
        <v>79</v>
      </c>
      <c r="I491" t="s">
        <v>80</v>
      </c>
      <c r="J491">
        <v>5</v>
      </c>
      <c r="K491">
        <v>5</v>
      </c>
      <c r="L491" t="s">
        <v>81</v>
      </c>
      <c r="M491" t="s">
        <v>82</v>
      </c>
      <c r="N491" t="s">
        <v>83</v>
      </c>
      <c r="O491" t="s">
        <v>83</v>
      </c>
      <c r="P491" t="s">
        <v>84</v>
      </c>
      <c r="Q491" t="s">
        <v>493</v>
      </c>
      <c r="R491">
        <v>3</v>
      </c>
      <c r="S491" t="s">
        <v>86</v>
      </c>
      <c r="T491" t="s">
        <v>87</v>
      </c>
      <c r="U491" t="s">
        <v>88</v>
      </c>
      <c r="V491">
        <v>1</v>
      </c>
      <c r="W491" t="s">
        <v>494</v>
      </c>
      <c r="X491" t="s">
        <v>83</v>
      </c>
      <c r="Y491" t="s">
        <v>90</v>
      </c>
      <c r="Z491">
        <v>4000</v>
      </c>
      <c r="AA491">
        <v>4000</v>
      </c>
      <c r="AC491">
        <v>256</v>
      </c>
      <c r="AD491" t="s">
        <v>91</v>
      </c>
      <c r="AE491">
        <v>0.15</v>
      </c>
      <c r="AF491" t="s">
        <v>92</v>
      </c>
      <c r="AG491">
        <v>180</v>
      </c>
      <c r="AH491">
        <v>60</v>
      </c>
      <c r="AI491">
        <v>120</v>
      </c>
      <c r="AJ491">
        <v>0.10298570798999911</v>
      </c>
      <c r="AK491">
        <v>13.731507646601321</v>
      </c>
      <c r="AL491">
        <v>0.74223781293114377</v>
      </c>
      <c r="AM491">
        <v>0.20015697499175869</v>
      </c>
      <c r="AN491">
        <v>18.013544648124</v>
      </c>
      <c r="AO491">
        <v>0.68275278772585279</v>
      </c>
      <c r="AP491">
        <v>18.013544648124</v>
      </c>
      <c r="AQ491">
        <v>18.013544648124</v>
      </c>
      <c r="AR491">
        <v>0.68275278772585279</v>
      </c>
      <c r="AS491">
        <v>97.812297090666135</v>
      </c>
      <c r="AT491">
        <v>0.16027561549493921</v>
      </c>
      <c r="AU491">
        <v>0.8</v>
      </c>
      <c r="AV491" t="s">
        <v>93</v>
      </c>
      <c r="AW491">
        <v>9.4530602054745907E-2</v>
      </c>
      <c r="AX491">
        <v>0.31358560493372972</v>
      </c>
      <c r="AY491">
        <v>9.4530602054745907E-2</v>
      </c>
      <c r="AZ491">
        <v>9.4530602054745907E-2</v>
      </c>
      <c r="BA491">
        <v>0.31358560493372972</v>
      </c>
      <c r="BB491">
        <v>7.9650628424162553E-2</v>
      </c>
      <c r="BC491">
        <v>0.42163345268068197</v>
      </c>
      <c r="BD491">
        <v>7.7772185493166821E-2</v>
      </c>
      <c r="BE491">
        <v>0.73053598800594099</v>
      </c>
      <c r="BF491">
        <v>7.7772185493166821E-2</v>
      </c>
      <c r="BG491">
        <v>7.7772185493166821E-2</v>
      </c>
      <c r="BH491">
        <v>0.73053598800594099</v>
      </c>
      <c r="BI491">
        <v>0.12547814997449119</v>
      </c>
      <c r="BJ491">
        <v>0.56524501021397455</v>
      </c>
      <c r="BK491">
        <v>2.7050435515960029E-2</v>
      </c>
      <c r="BL491">
        <v>0.89140105750770093</v>
      </c>
      <c r="BM491">
        <v>2.7050435515960029E-2</v>
      </c>
      <c r="BN491">
        <v>2.7050435515960029E-2</v>
      </c>
      <c r="BO491">
        <v>0.89140105750770093</v>
      </c>
      <c r="BP491">
        <v>0.30728953192380848</v>
      </c>
      <c r="BQ491">
        <v>-0.23367027440980601</v>
      </c>
      <c r="BR491">
        <v>71.854825369432092</v>
      </c>
      <c r="BS491">
        <v>0.79548850045603792</v>
      </c>
      <c r="BT491">
        <v>71.854825369432092</v>
      </c>
      <c r="BU491">
        <v>71.854825369432092</v>
      </c>
      <c r="BV491">
        <v>0.79548850045603792</v>
      </c>
      <c r="BW491">
        <v>390.73677005234077</v>
      </c>
      <c r="BX491">
        <v>-0.112105726505088</v>
      </c>
      <c r="BY491" t="str">
        <f t="shared" si="18"/>
        <v>[[sv,wv],[yr],[ya]]</v>
      </c>
      <c r="BZ491" t="str">
        <f>SUBSTITUTE(TRIM(MID(SUBSTITUTE(SUBSTITUTE(SUBSTITUTE(Tabla1[[#This Row],[map]],"[",""),"]",""),",",REPT(" ",100)),901,200))," ",", ")</f>
        <v>2, 3</v>
      </c>
      <c r="CA491" t="str">
        <f>SUBSTITUTE(TRIM(MID(SUBSTITUTE(SUBSTITUTE(SUBSTITUTE(Tabla1[[#This Row],[map]],"[",""),"]",""),",",REPT(" ",100)),1501,200))," ",", ")</f>
        <v>3, 4</v>
      </c>
      <c r="CB491" t="str">
        <f>SUBSTITUTE(TRIM(MID(SUBSTITUTE(SUBSTITUTE(SUBSTITUTE(Tabla1[[#This Row],[map]],"[",""),"]",""),",",REPT(" ",100)),601,300))," ",", ")</f>
        <v>1, 4, 0</v>
      </c>
      <c r="CC491" t="str">
        <f>SUBSTITUTE(TRIM(MID(SUBSTITUTE(SUBSTITUTE(SUBSTITUTE(Tabla1[[#This Row],[map]],"[",""),"]",""),",",REPT(" ",100)),1201,300))," ",", ")</f>
        <v>1, 2, 0</v>
      </c>
      <c r="CD491" t="str">
        <f>SUBSTITUTE(TRIM(MID(SUBSTITUTE(SUBSTITUTE(SUBSTITUTE(Tabla1[[#This Row],[map]],"[",""),"]",""),",",REPT(" ",100)),1,300))," ",", ")</f>
        <v>4, 2, 3</v>
      </c>
      <c r="CE491" t="str">
        <f>SUBSTITUTE(TRIM(MID(SUBSTITUTE(SUBSTITUTE(SUBSTITUTE(Tabla1[[#This Row],[map]],"[",""),"]",""),",",REPT(" ",100)),1,600))," ",", ")</f>
        <v>4, 2, 3, 0, 1, -1</v>
      </c>
      <c r="CF491" t="str">
        <f>SUBSTITUTE(TRIM(MID(SUBSTITUTE(SUBSTITUTE(SUBSTITUTE(Tabla1[[#This Row],[map]],"[",""),"]",""),",",REPT(" ",100)),601,600))," ",", ")</f>
        <v>1, 4, 0, 2, 3, -1</v>
      </c>
      <c r="CG491" t="str">
        <f>SUBSTITUTE(TRIM(MID(SUBSTITUTE(SUBSTITUTE(SUBSTITUTE(Tabla1[[#This Row],[map]],"[",""),"]",""),",",REPT(" ",100)),1201,600))," ",", ")</f>
        <v>1, 2, 0, 3, 4, -1</v>
      </c>
    </row>
    <row r="492" spans="1:85" x14ac:dyDescent="0.3">
      <c r="A492" s="1">
        <v>46112.183599537027</v>
      </c>
      <c r="B492" t="s">
        <v>747</v>
      </c>
      <c r="C492">
        <v>6</v>
      </c>
      <c r="D492" t="s">
        <v>77</v>
      </c>
      <c r="E492" t="s">
        <v>78</v>
      </c>
      <c r="F492">
        <v>16590</v>
      </c>
      <c r="G492">
        <v>4.5</v>
      </c>
      <c r="H492" t="s">
        <v>79</v>
      </c>
      <c r="I492" t="s">
        <v>80</v>
      </c>
      <c r="J492">
        <v>5</v>
      </c>
      <c r="K492">
        <v>5</v>
      </c>
      <c r="L492" t="s">
        <v>81</v>
      </c>
      <c r="M492" t="s">
        <v>82</v>
      </c>
      <c r="N492" t="s">
        <v>83</v>
      </c>
      <c r="O492" t="s">
        <v>83</v>
      </c>
      <c r="P492" t="s">
        <v>84</v>
      </c>
      <c r="Q492" t="s">
        <v>225</v>
      </c>
      <c r="R492">
        <v>3</v>
      </c>
      <c r="S492" t="s">
        <v>86</v>
      </c>
      <c r="T492" t="s">
        <v>87</v>
      </c>
      <c r="U492" t="s">
        <v>88</v>
      </c>
      <c r="V492">
        <v>1</v>
      </c>
      <c r="W492" t="s">
        <v>226</v>
      </c>
      <c r="X492" t="s">
        <v>83</v>
      </c>
      <c r="Y492" t="s">
        <v>90</v>
      </c>
      <c r="Z492">
        <v>4000</v>
      </c>
      <c r="AA492">
        <v>4000</v>
      </c>
      <c r="AC492">
        <v>256</v>
      </c>
      <c r="AD492" t="s">
        <v>91</v>
      </c>
      <c r="AE492">
        <v>0.15</v>
      </c>
      <c r="AF492" t="s">
        <v>92</v>
      </c>
      <c r="AG492">
        <v>180</v>
      </c>
      <c r="AH492">
        <v>60</v>
      </c>
      <c r="AI492">
        <v>120</v>
      </c>
      <c r="AJ492">
        <v>0.14340878677809141</v>
      </c>
      <c r="AK492">
        <v>37.448203631460281</v>
      </c>
      <c r="AL492">
        <v>0.59677831616633825</v>
      </c>
      <c r="AM492">
        <v>0.31350583166578277</v>
      </c>
      <c r="AN492">
        <v>48.115333341694843</v>
      </c>
      <c r="AO492">
        <v>0.53738679229068897</v>
      </c>
      <c r="AP492">
        <v>48.115333341694843</v>
      </c>
      <c r="AQ492">
        <v>48.115333341694843</v>
      </c>
      <c r="AR492">
        <v>0.53738679229068897</v>
      </c>
      <c r="AS492">
        <v>90.535210944768792</v>
      </c>
      <c r="AT492">
        <v>0.17548097949898689</v>
      </c>
      <c r="AU492">
        <v>0.8</v>
      </c>
      <c r="AV492" t="s">
        <v>93</v>
      </c>
      <c r="AW492">
        <v>7.892904764399257E-2</v>
      </c>
      <c r="AX492">
        <v>0.42687306211874498</v>
      </c>
      <c r="AY492">
        <v>7.892904764399257E-2</v>
      </c>
      <c r="AZ492">
        <v>7.892904764399257E-2</v>
      </c>
      <c r="BA492">
        <v>0.42687306211874498</v>
      </c>
      <c r="BB492">
        <v>0.1474869886237192</v>
      </c>
      <c r="BC492">
        <v>-7.0946231969052809E-2</v>
      </c>
      <c r="BD492">
        <v>0.10016867047957841</v>
      </c>
      <c r="BE492">
        <v>0.6529369510143237</v>
      </c>
      <c r="BF492">
        <v>0.10016867047957841</v>
      </c>
      <c r="BG492">
        <v>0.10016867047957841</v>
      </c>
      <c r="BH492">
        <v>0.6529369510143237</v>
      </c>
      <c r="BI492">
        <v>0.1196798296354591</v>
      </c>
      <c r="BJ492">
        <v>0.58533495177180317</v>
      </c>
      <c r="BK492">
        <v>9.5465906530069922E-2</v>
      </c>
      <c r="BL492">
        <v>0.61673458132985215</v>
      </c>
      <c r="BM492">
        <v>9.5465906530069922E-2</v>
      </c>
      <c r="BN492">
        <v>9.5465906530069922E-2</v>
      </c>
      <c r="BO492">
        <v>0.61673458132985215</v>
      </c>
      <c r="BP492">
        <v>0.19504990467850841</v>
      </c>
      <c r="BQ492">
        <v>0.2169363273721778</v>
      </c>
      <c r="BR492">
        <v>192.1867697421267</v>
      </c>
      <c r="BS492">
        <v>0.45300257469983302</v>
      </c>
      <c r="BT492">
        <v>192.1867697421267</v>
      </c>
      <c r="BU492">
        <v>192.1867697421267</v>
      </c>
      <c r="BV492">
        <v>0.45300257469983302</v>
      </c>
      <c r="BW492">
        <v>361.67862705613692</v>
      </c>
      <c r="BX492">
        <v>-2.940112917898197E-2</v>
      </c>
      <c r="BY492" t="str">
        <f t="shared" si="18"/>
        <v>[[sv,wv],[yr],[ya]]</v>
      </c>
      <c r="BZ492" t="str">
        <f>SUBSTITUTE(TRIM(MID(SUBSTITUTE(SUBSTITUTE(SUBSTITUTE(Tabla1[[#This Row],[map]],"[",""),"]",""),",",REPT(" ",100)),901,200))," ",", ")</f>
        <v>2, 3</v>
      </c>
      <c r="CA492" t="str">
        <f>SUBSTITUTE(TRIM(MID(SUBSTITUTE(SUBSTITUTE(SUBSTITUTE(Tabla1[[#This Row],[map]],"[",""),"]",""),",",REPT(" ",100)),1501,200))," ",", ")</f>
        <v>3, 4</v>
      </c>
      <c r="CB492" t="str">
        <f>SUBSTITUTE(TRIM(MID(SUBSTITUTE(SUBSTITUTE(SUBSTITUTE(Tabla1[[#This Row],[map]],"[",""),"]",""),",",REPT(" ",100)),601,300))," ",", ")</f>
        <v>0, 1, 4</v>
      </c>
      <c r="CC492" t="str">
        <f>SUBSTITUTE(TRIM(MID(SUBSTITUTE(SUBSTITUTE(SUBSTITUTE(Tabla1[[#This Row],[map]],"[",""),"]",""),",",REPT(" ",100)),1201,300))," ",", ")</f>
        <v>2, 0, 1</v>
      </c>
      <c r="CD492" t="str">
        <f>SUBSTITUTE(TRIM(MID(SUBSTITUTE(SUBSTITUTE(SUBSTITUTE(Tabla1[[#This Row],[map]],"[",""),"]",""),",",REPT(" ",100)),1,300))," ",", ")</f>
        <v>4, 2, 3</v>
      </c>
      <c r="CE492" t="str">
        <f>SUBSTITUTE(TRIM(MID(SUBSTITUTE(SUBSTITUTE(SUBSTITUTE(Tabla1[[#This Row],[map]],"[",""),"]",""),",",REPT(" ",100)),1,600))," ",", ")</f>
        <v>4, 2, 3, 0, 1, -1</v>
      </c>
      <c r="CF492" t="str">
        <f>SUBSTITUTE(TRIM(MID(SUBSTITUTE(SUBSTITUTE(SUBSTITUTE(Tabla1[[#This Row],[map]],"[",""),"]",""),",",REPT(" ",100)),601,600))," ",", ")</f>
        <v>0, 1, 4, 2, 3, -1</v>
      </c>
      <c r="CG492" t="str">
        <f>SUBSTITUTE(TRIM(MID(SUBSTITUTE(SUBSTITUTE(SUBSTITUTE(Tabla1[[#This Row],[map]],"[",""),"]",""),",",REPT(" ",100)),1201,600))," ",", ")</f>
        <v>2, 0, 1, 3, 4, -1</v>
      </c>
    </row>
    <row r="493" spans="1:85" x14ac:dyDescent="0.3">
      <c r="A493" s="1">
        <v>46112.189189814817</v>
      </c>
      <c r="B493" t="s">
        <v>748</v>
      </c>
      <c r="C493">
        <v>7</v>
      </c>
      <c r="D493" t="s">
        <v>96</v>
      </c>
      <c r="E493" t="s">
        <v>78</v>
      </c>
      <c r="F493">
        <v>16590</v>
      </c>
      <c r="G493">
        <v>4.5</v>
      </c>
      <c r="H493" t="s">
        <v>79</v>
      </c>
      <c r="I493" t="s">
        <v>80</v>
      </c>
      <c r="J493">
        <v>5</v>
      </c>
      <c r="K493">
        <v>5</v>
      </c>
      <c r="L493" t="s">
        <v>81</v>
      </c>
      <c r="M493" t="s">
        <v>82</v>
      </c>
      <c r="N493" t="s">
        <v>83</v>
      </c>
      <c r="O493" t="s">
        <v>83</v>
      </c>
      <c r="P493" t="s">
        <v>84</v>
      </c>
      <c r="Q493" t="s">
        <v>183</v>
      </c>
      <c r="R493">
        <v>3</v>
      </c>
      <c r="S493" t="s">
        <v>86</v>
      </c>
      <c r="T493" t="s">
        <v>87</v>
      </c>
      <c r="U493" t="s">
        <v>88</v>
      </c>
      <c r="V493">
        <v>1</v>
      </c>
      <c r="W493" t="s">
        <v>184</v>
      </c>
      <c r="X493" t="s">
        <v>83</v>
      </c>
      <c r="Y493" t="s">
        <v>90</v>
      </c>
      <c r="Z493">
        <v>4000</v>
      </c>
      <c r="AA493">
        <v>4000</v>
      </c>
      <c r="AC493">
        <v>256</v>
      </c>
      <c r="AD493" t="s">
        <v>91</v>
      </c>
      <c r="AE493">
        <v>0.15</v>
      </c>
      <c r="AF493" t="s">
        <v>92</v>
      </c>
      <c r="AG493">
        <v>180</v>
      </c>
      <c r="AH493">
        <v>60</v>
      </c>
      <c r="AI493">
        <v>120</v>
      </c>
      <c r="AJ493">
        <v>0.10977351656231291</v>
      </c>
      <c r="AK493">
        <v>12.47847985339591</v>
      </c>
      <c r="AL493">
        <v>0.75686313963850971</v>
      </c>
      <c r="AM493">
        <v>-6.2261929999203457E-2</v>
      </c>
      <c r="AN493">
        <v>15.82872171097679</v>
      </c>
      <c r="AO493">
        <v>0.68922825806493493</v>
      </c>
      <c r="AP493">
        <v>15.82872171097679</v>
      </c>
      <c r="AQ493">
        <v>15.82872171097679</v>
      </c>
      <c r="AR493">
        <v>0.68922825806493493</v>
      </c>
      <c r="AS493">
        <v>111.12672132207069</v>
      </c>
      <c r="AT493">
        <v>-5.620908895468596E-2</v>
      </c>
      <c r="AU493">
        <v>0.8</v>
      </c>
      <c r="AV493" t="s">
        <v>93</v>
      </c>
      <c r="AW493">
        <v>6.7600215971437005E-2</v>
      </c>
      <c r="AX493">
        <v>0.50913502777110931</v>
      </c>
      <c r="AY493">
        <v>6.7600215971437005E-2</v>
      </c>
      <c r="AZ493">
        <v>6.7600215971437005E-2</v>
      </c>
      <c r="BA493">
        <v>0.50913502777110931</v>
      </c>
      <c r="BB493">
        <v>0.14203356182161131</v>
      </c>
      <c r="BC493">
        <v>-3.1347302331016243E-2</v>
      </c>
      <c r="BD493">
        <v>3.6104161360020252E-2</v>
      </c>
      <c r="BE493">
        <v>0.87490679208691235</v>
      </c>
      <c r="BF493">
        <v>3.6104161360020252E-2</v>
      </c>
      <c r="BG493">
        <v>3.6104161360020252E-2</v>
      </c>
      <c r="BH493">
        <v>0.87490679208691235</v>
      </c>
      <c r="BI493">
        <v>0.27590995359358189</v>
      </c>
      <c r="BJ493">
        <v>4.4030940200934447E-2</v>
      </c>
      <c r="BK493">
        <v>0.1114747586416949</v>
      </c>
      <c r="BL493">
        <v>0.55246410373209498</v>
      </c>
      <c r="BM493">
        <v>0.1114747586416949</v>
      </c>
      <c r="BN493">
        <v>0.1114747586416949</v>
      </c>
      <c r="BO493">
        <v>0.55246410373209498</v>
      </c>
      <c r="BP493">
        <v>0.24267298370670201</v>
      </c>
      <c r="BQ493">
        <v>2.5744728344591409E-2</v>
      </c>
      <c r="BR493">
        <v>63.09970770793403</v>
      </c>
      <c r="BS493">
        <v>0.82040710866962785</v>
      </c>
      <c r="BT493">
        <v>63.09970770793403</v>
      </c>
      <c r="BU493">
        <v>63.09970770793403</v>
      </c>
      <c r="BV493">
        <v>0.82040710866962785</v>
      </c>
      <c r="BW493">
        <v>443.84626878915873</v>
      </c>
      <c r="BX493">
        <v>-0.26326472203324908</v>
      </c>
      <c r="BY493" t="str">
        <f t="shared" si="18"/>
        <v>[[sv,wv],[yr],[ya]]</v>
      </c>
      <c r="BZ493" t="str">
        <f>SUBSTITUTE(TRIM(MID(SUBSTITUTE(SUBSTITUTE(SUBSTITUTE(Tabla1[[#This Row],[map]],"[",""),"]",""),",",REPT(" ",100)),901,200))," ",", ")</f>
        <v>2, 4</v>
      </c>
      <c r="CA493" t="str">
        <f>SUBSTITUTE(TRIM(MID(SUBSTITUTE(SUBSTITUTE(SUBSTITUTE(Tabla1[[#This Row],[map]],"[",""),"]",""),",",REPT(" ",100)),1501,200))," ",", ")</f>
        <v>3, 4</v>
      </c>
      <c r="CB493" t="str">
        <f>SUBSTITUTE(TRIM(MID(SUBSTITUTE(SUBSTITUTE(SUBSTITUTE(Tabla1[[#This Row],[map]],"[",""),"]",""),",",REPT(" ",100)),601,300))," ",", ")</f>
        <v>3, 0, 1</v>
      </c>
      <c r="CC493" t="str">
        <f>SUBSTITUTE(TRIM(MID(SUBSTITUTE(SUBSTITUTE(SUBSTITUTE(Tabla1[[#This Row],[map]],"[",""),"]",""),",",REPT(" ",100)),1201,300))," ",", ")</f>
        <v>2, 0, 1</v>
      </c>
      <c r="CD493" t="str">
        <f>SUBSTITUTE(TRIM(MID(SUBSTITUTE(SUBSTITUTE(SUBSTITUTE(Tabla1[[#This Row],[map]],"[",""),"]",""),",",REPT(" ",100)),1,300))," ",", ")</f>
        <v>2, 3, 4</v>
      </c>
      <c r="CE493" t="str">
        <f>SUBSTITUTE(TRIM(MID(SUBSTITUTE(SUBSTITUTE(SUBSTITUTE(Tabla1[[#This Row],[map]],"[",""),"]",""),",",REPT(" ",100)),1,600))," ",", ")</f>
        <v>2, 3, 4, 0, 1, -1</v>
      </c>
      <c r="CF493" t="str">
        <f>SUBSTITUTE(TRIM(MID(SUBSTITUTE(SUBSTITUTE(SUBSTITUTE(Tabla1[[#This Row],[map]],"[",""),"]",""),",",REPT(" ",100)),601,600))," ",", ")</f>
        <v>3, 0, 1, 2, 4, -1</v>
      </c>
      <c r="CG493" t="str">
        <f>SUBSTITUTE(TRIM(MID(SUBSTITUTE(SUBSTITUTE(SUBSTITUTE(Tabla1[[#This Row],[map]],"[",""),"]",""),",",REPT(" ",100)),1201,600))," ",", ")</f>
        <v>2, 0, 1, 3, 4, -1</v>
      </c>
    </row>
    <row r="494" spans="1:85" x14ac:dyDescent="0.3">
      <c r="A494" s="1">
        <v>46112.189942129633</v>
      </c>
      <c r="B494" t="s">
        <v>749</v>
      </c>
      <c r="C494">
        <v>9</v>
      </c>
      <c r="D494" t="s">
        <v>96</v>
      </c>
      <c r="E494" t="s">
        <v>78</v>
      </c>
      <c r="F494">
        <v>16590</v>
      </c>
      <c r="G494">
        <v>4.5</v>
      </c>
      <c r="H494" t="s">
        <v>79</v>
      </c>
      <c r="I494" t="s">
        <v>80</v>
      </c>
      <c r="J494">
        <v>5</v>
      </c>
      <c r="K494">
        <v>5</v>
      </c>
      <c r="L494" t="s">
        <v>81</v>
      </c>
      <c r="M494" t="s">
        <v>82</v>
      </c>
      <c r="N494" t="s">
        <v>83</v>
      </c>
      <c r="O494" t="s">
        <v>83</v>
      </c>
      <c r="P494" t="s">
        <v>84</v>
      </c>
      <c r="Q494" t="s">
        <v>171</v>
      </c>
      <c r="R494">
        <v>3</v>
      </c>
      <c r="S494" t="s">
        <v>86</v>
      </c>
      <c r="T494" t="s">
        <v>87</v>
      </c>
      <c r="U494" t="s">
        <v>88</v>
      </c>
      <c r="V494">
        <v>1</v>
      </c>
      <c r="W494" t="s">
        <v>172</v>
      </c>
      <c r="X494" t="s">
        <v>83</v>
      </c>
      <c r="Y494" t="s">
        <v>90</v>
      </c>
      <c r="Z494">
        <v>4000</v>
      </c>
      <c r="AA494">
        <v>4000</v>
      </c>
      <c r="AC494">
        <v>256</v>
      </c>
      <c r="AD494" t="s">
        <v>91</v>
      </c>
      <c r="AE494">
        <v>0.15</v>
      </c>
      <c r="AF494" t="s">
        <v>92</v>
      </c>
      <c r="AG494">
        <v>180</v>
      </c>
      <c r="AH494">
        <v>60</v>
      </c>
      <c r="AI494">
        <v>120</v>
      </c>
      <c r="AJ494">
        <v>0.1390062985548943</v>
      </c>
      <c r="AK494">
        <v>48.338248829061911</v>
      </c>
      <c r="AL494">
        <v>0.64336863037490555</v>
      </c>
      <c r="AM494">
        <v>-0.21934186927520591</v>
      </c>
      <c r="AN494">
        <v>50.71684142664806</v>
      </c>
      <c r="AO494">
        <v>0.59551213149707016</v>
      </c>
      <c r="AP494">
        <v>50.71684142664806</v>
      </c>
      <c r="AQ494">
        <v>50.71684142664806</v>
      </c>
      <c r="AR494">
        <v>0.59551213149707016</v>
      </c>
      <c r="AS494">
        <v>92.428530057286309</v>
      </c>
      <c r="AT494">
        <v>-0.17256091155422271</v>
      </c>
      <c r="AU494">
        <v>0.8</v>
      </c>
      <c r="AV494" t="s">
        <v>93</v>
      </c>
      <c r="AW494">
        <v>5.7390895602701213E-2</v>
      </c>
      <c r="AX494">
        <v>0.58326789387604605</v>
      </c>
      <c r="AY494">
        <v>5.7390895602701213E-2</v>
      </c>
      <c r="AZ494">
        <v>5.7390895602701213E-2</v>
      </c>
      <c r="BA494">
        <v>0.58326789387604605</v>
      </c>
      <c r="BB494">
        <v>0.16261501283387109</v>
      </c>
      <c r="BC494">
        <v>-0.18079524764278651</v>
      </c>
      <c r="BD494">
        <v>5.1190519162623828E-2</v>
      </c>
      <c r="BE494">
        <v>0.82263578447552643</v>
      </c>
      <c r="BF494">
        <v>5.1190519162623828E-2</v>
      </c>
      <c r="BG494">
        <v>5.1190519162623828E-2</v>
      </c>
      <c r="BH494">
        <v>0.82263578447552643</v>
      </c>
      <c r="BI494">
        <v>0.39724770193447528</v>
      </c>
      <c r="BJ494">
        <v>-0.3763784422399814</v>
      </c>
      <c r="BK494">
        <v>0.11136241375538281</v>
      </c>
      <c r="BL494">
        <v>0.55291513291573668</v>
      </c>
      <c r="BM494">
        <v>0.11136241375538281</v>
      </c>
      <c r="BN494">
        <v>0.11136241375538281</v>
      </c>
      <c r="BO494">
        <v>0.55291513291573668</v>
      </c>
      <c r="BP494">
        <v>0.26979952682125341</v>
      </c>
      <c r="BQ494">
        <v>-8.3159762083073518E-2</v>
      </c>
      <c r="BR494">
        <v>202.6474218780717</v>
      </c>
      <c r="BS494">
        <v>0.42322971472096838</v>
      </c>
      <c r="BT494">
        <v>202.6474218780717</v>
      </c>
      <c r="BU494">
        <v>202.6474218780717</v>
      </c>
      <c r="BV494">
        <v>0.42322971472096838</v>
      </c>
      <c r="BW494">
        <v>368.88445798755708</v>
      </c>
      <c r="BX494">
        <v>-4.9910194251067352E-2</v>
      </c>
      <c r="BY494" t="str">
        <f t="shared" si="18"/>
        <v>[[sv,wv],[yr],[ya]]</v>
      </c>
      <c r="BZ494" t="str">
        <f>SUBSTITUTE(TRIM(MID(SUBSTITUTE(SUBSTITUTE(SUBSTITUTE(Tabla1[[#This Row],[map]],"[",""),"]",""),",",REPT(" ",100)),901,200))," ",", ")</f>
        <v>2, 4</v>
      </c>
      <c r="CA494" t="str">
        <f>SUBSTITUTE(TRIM(MID(SUBSTITUTE(SUBSTITUTE(SUBSTITUTE(Tabla1[[#This Row],[map]],"[",""),"]",""),",",REPT(" ",100)),1501,200))," ",", ")</f>
        <v>3, 2</v>
      </c>
      <c r="CB494" t="str">
        <f>SUBSTITUTE(TRIM(MID(SUBSTITUTE(SUBSTITUTE(SUBSTITUTE(Tabla1[[#This Row],[map]],"[",""),"]",""),",",REPT(" ",100)),601,300))," ",", ")</f>
        <v>3, 0, 1</v>
      </c>
      <c r="CC494" t="str">
        <f>SUBSTITUTE(TRIM(MID(SUBSTITUTE(SUBSTITUTE(SUBSTITUTE(Tabla1[[#This Row],[map]],"[",""),"]",""),",",REPT(" ",100)),1201,300))," ",", ")</f>
        <v>4, 0, 1</v>
      </c>
      <c r="CD494" t="str">
        <f>SUBSTITUTE(TRIM(MID(SUBSTITUTE(SUBSTITUTE(SUBSTITUTE(Tabla1[[#This Row],[map]],"[",""),"]",""),",",REPT(" ",100)),1,300))," ",", ")</f>
        <v>2, 3, 4</v>
      </c>
      <c r="CE494" t="str">
        <f>SUBSTITUTE(TRIM(MID(SUBSTITUTE(SUBSTITUTE(SUBSTITUTE(Tabla1[[#This Row],[map]],"[",""),"]",""),",",REPT(" ",100)),1,600))," ",", ")</f>
        <v>2, 3, 4, 0, 1, -1</v>
      </c>
      <c r="CF494" t="str">
        <f>SUBSTITUTE(TRIM(MID(SUBSTITUTE(SUBSTITUTE(SUBSTITUTE(Tabla1[[#This Row],[map]],"[",""),"]",""),",",REPT(" ",100)),601,600))," ",", ")</f>
        <v>3, 0, 1, 2, 4, -1</v>
      </c>
      <c r="CG494" t="str">
        <f>SUBSTITUTE(TRIM(MID(SUBSTITUTE(SUBSTITUTE(SUBSTITUTE(Tabla1[[#This Row],[map]],"[",""),"]",""),",",REPT(" ",100)),1201,600))," ",", ")</f>
        <v>4, 0, 1, 3, 2, -1</v>
      </c>
    </row>
    <row r="495" spans="1:85" x14ac:dyDescent="0.3">
      <c r="A495" s="1">
        <v>46112.206342592603</v>
      </c>
      <c r="B495" t="s">
        <v>750</v>
      </c>
      <c r="C495">
        <v>6</v>
      </c>
      <c r="D495" t="s">
        <v>77</v>
      </c>
      <c r="E495" t="s">
        <v>78</v>
      </c>
      <c r="F495">
        <v>16590</v>
      </c>
      <c r="G495">
        <v>4.5</v>
      </c>
      <c r="H495" t="s">
        <v>79</v>
      </c>
      <c r="I495" t="s">
        <v>80</v>
      </c>
      <c r="J495">
        <v>5</v>
      </c>
      <c r="K495">
        <v>5</v>
      </c>
      <c r="L495" t="s">
        <v>81</v>
      </c>
      <c r="M495" t="s">
        <v>82</v>
      </c>
      <c r="N495" t="s">
        <v>83</v>
      </c>
      <c r="O495" t="s">
        <v>83</v>
      </c>
      <c r="P495" t="s">
        <v>84</v>
      </c>
      <c r="Q495" t="s">
        <v>517</v>
      </c>
      <c r="R495">
        <v>3</v>
      </c>
      <c r="S495" t="s">
        <v>86</v>
      </c>
      <c r="T495" t="s">
        <v>87</v>
      </c>
      <c r="U495" t="s">
        <v>88</v>
      </c>
      <c r="V495">
        <v>1</v>
      </c>
      <c r="W495" t="s">
        <v>518</v>
      </c>
      <c r="X495" t="s">
        <v>83</v>
      </c>
      <c r="Y495" t="s">
        <v>90</v>
      </c>
      <c r="Z495">
        <v>4000</v>
      </c>
      <c r="AA495">
        <v>4000</v>
      </c>
      <c r="AC495">
        <v>256</v>
      </c>
      <c r="AD495" t="s">
        <v>91</v>
      </c>
      <c r="AE495">
        <v>0.15</v>
      </c>
      <c r="AF495" t="s">
        <v>92</v>
      </c>
      <c r="AG495">
        <v>180</v>
      </c>
      <c r="AH495">
        <v>60</v>
      </c>
      <c r="AI495">
        <v>120</v>
      </c>
      <c r="AJ495">
        <v>0.1217109607687798</v>
      </c>
      <c r="AK495">
        <v>10.443461820283661</v>
      </c>
      <c r="AL495">
        <v>0.71983823073380415</v>
      </c>
      <c r="AM495">
        <v>0.25948980844171138</v>
      </c>
      <c r="AN495">
        <v>15.872384881337499</v>
      </c>
      <c r="AO495">
        <v>0.68416514285109198</v>
      </c>
      <c r="AP495">
        <v>15.872384881337499</v>
      </c>
      <c r="AQ495">
        <v>15.872384881337499</v>
      </c>
      <c r="AR495">
        <v>0.68416514285109198</v>
      </c>
      <c r="AS495">
        <v>79.569906608080487</v>
      </c>
      <c r="AT495">
        <v>0.27403785904005451</v>
      </c>
      <c r="AU495">
        <v>0.8</v>
      </c>
      <c r="AV495" t="s">
        <v>93</v>
      </c>
      <c r="AW495">
        <v>8.2116172579990016E-2</v>
      </c>
      <c r="AX495">
        <v>0.40373041426301298</v>
      </c>
      <c r="AY495">
        <v>8.2116172579990016E-2</v>
      </c>
      <c r="AZ495">
        <v>8.2116172579990016E-2</v>
      </c>
      <c r="BA495">
        <v>0.40373041426301298</v>
      </c>
      <c r="BB495">
        <v>0.1243400707705639</v>
      </c>
      <c r="BC495">
        <v>9.7130319649869068E-2</v>
      </c>
      <c r="BD495">
        <v>8.9652902967073567E-2</v>
      </c>
      <c r="BE495">
        <v>0.68937183946638236</v>
      </c>
      <c r="BF495">
        <v>8.9652902967073567E-2</v>
      </c>
      <c r="BG495">
        <v>8.9652902967073567E-2</v>
      </c>
      <c r="BH495">
        <v>0.68937183946638236</v>
      </c>
      <c r="BI495">
        <v>9.9906258348260016E-2</v>
      </c>
      <c r="BJ495">
        <v>0.65384615300283133</v>
      </c>
      <c r="BK495">
        <v>4.3927039675206822E-2</v>
      </c>
      <c r="BL495">
        <v>0.82364682991036797</v>
      </c>
      <c r="BM495">
        <v>4.3927039675206822E-2</v>
      </c>
      <c r="BN495">
        <v>4.3927039675206822E-2</v>
      </c>
      <c r="BO495">
        <v>0.82364682991036797</v>
      </c>
      <c r="BP495">
        <v>0.18684290028088929</v>
      </c>
      <c r="BQ495">
        <v>0.24988485413749439</v>
      </c>
      <c r="BR495">
        <v>63.273843410127562</v>
      </c>
      <c r="BS495">
        <v>0.81991148776460654</v>
      </c>
      <c r="BT495">
        <v>63.273843410127562</v>
      </c>
      <c r="BU495">
        <v>63.273843410127562</v>
      </c>
      <c r="BV495">
        <v>0.81991148776460654</v>
      </c>
      <c r="BW495">
        <v>317.86853720292203</v>
      </c>
      <c r="BX495">
        <v>9.529010937001936E-2</v>
      </c>
      <c r="BY495" t="str">
        <f t="shared" si="18"/>
        <v>[[sv,wv],[yr],[ya]]</v>
      </c>
      <c r="BZ495" t="str">
        <f>SUBSTITUTE(TRIM(MID(SUBSTITUTE(SUBSTITUTE(SUBSTITUTE(Tabla1[[#This Row],[map]],"[",""),"]",""),",",REPT(" ",100)),901,200))," ",", ")</f>
        <v>2, 4</v>
      </c>
      <c r="CA495" t="str">
        <f>SUBSTITUTE(TRIM(MID(SUBSTITUTE(SUBSTITUTE(SUBSTITUTE(Tabla1[[#This Row],[map]],"[",""),"]",""),",",REPT(" ",100)),1501,200))," ",", ")</f>
        <v>3, 2</v>
      </c>
      <c r="CB495" t="str">
        <f>SUBSTITUTE(TRIM(MID(SUBSTITUTE(SUBSTITUTE(SUBSTITUTE(Tabla1[[#This Row],[map]],"[",""),"]",""),",",REPT(" ",100)),601,300))," ",", ")</f>
        <v>1, 3, 0</v>
      </c>
      <c r="CC495" t="str">
        <f>SUBSTITUTE(TRIM(MID(SUBSTITUTE(SUBSTITUTE(SUBSTITUTE(Tabla1[[#This Row],[map]],"[",""),"]",""),",",REPT(" ",100)),1201,300))," ",", ")</f>
        <v>1, 4, 0</v>
      </c>
      <c r="CD495" t="str">
        <f>SUBSTITUTE(TRIM(MID(SUBSTITUTE(SUBSTITUTE(SUBSTITUTE(Tabla1[[#This Row],[map]],"[",""),"]",""),",",REPT(" ",100)),1,300))," ",", ")</f>
        <v>4, 2, 3</v>
      </c>
      <c r="CE495" t="str">
        <f>SUBSTITUTE(TRIM(MID(SUBSTITUTE(SUBSTITUTE(SUBSTITUTE(Tabla1[[#This Row],[map]],"[",""),"]",""),",",REPT(" ",100)),1,600))," ",", ")</f>
        <v>4, 2, 3, 0, 1, -1</v>
      </c>
      <c r="CF495" t="str">
        <f>SUBSTITUTE(TRIM(MID(SUBSTITUTE(SUBSTITUTE(SUBSTITUTE(Tabla1[[#This Row],[map]],"[",""),"]",""),",",REPT(" ",100)),601,600))," ",", ")</f>
        <v>1, 3, 0, 2, 4, -1</v>
      </c>
      <c r="CG495" t="str">
        <f>SUBSTITUTE(TRIM(MID(SUBSTITUTE(SUBSTITUTE(SUBSTITUTE(Tabla1[[#This Row],[map]],"[",""),"]",""),",",REPT(" ",100)),1201,600))," ",", ")</f>
        <v>1, 4, 0, 3, 2, -1</v>
      </c>
    </row>
    <row r="496" spans="1:85" x14ac:dyDescent="0.3">
      <c r="A496" s="1">
        <v>46112.242881944447</v>
      </c>
      <c r="B496" t="s">
        <v>751</v>
      </c>
      <c r="C496">
        <v>9</v>
      </c>
      <c r="D496" t="s">
        <v>96</v>
      </c>
      <c r="E496" t="s">
        <v>78</v>
      </c>
      <c r="F496">
        <v>16590</v>
      </c>
      <c r="G496">
        <v>4.5</v>
      </c>
      <c r="H496" t="s">
        <v>79</v>
      </c>
      <c r="I496" t="s">
        <v>80</v>
      </c>
      <c r="J496">
        <v>5</v>
      </c>
      <c r="K496">
        <v>5</v>
      </c>
      <c r="L496" t="s">
        <v>81</v>
      </c>
      <c r="M496" t="s">
        <v>82</v>
      </c>
      <c r="N496" t="s">
        <v>83</v>
      </c>
      <c r="O496" t="s">
        <v>83</v>
      </c>
      <c r="P496" t="s">
        <v>84</v>
      </c>
      <c r="Q496" t="s">
        <v>493</v>
      </c>
      <c r="R496">
        <v>3</v>
      </c>
      <c r="S496" t="s">
        <v>86</v>
      </c>
      <c r="T496" t="s">
        <v>87</v>
      </c>
      <c r="U496" t="s">
        <v>88</v>
      </c>
      <c r="V496">
        <v>1</v>
      </c>
      <c r="W496" t="s">
        <v>494</v>
      </c>
      <c r="X496" t="s">
        <v>83</v>
      </c>
      <c r="Y496" t="s">
        <v>90</v>
      </c>
      <c r="Z496">
        <v>4000</v>
      </c>
      <c r="AA496">
        <v>4000</v>
      </c>
      <c r="AC496">
        <v>256</v>
      </c>
      <c r="AD496" t="s">
        <v>91</v>
      </c>
      <c r="AE496">
        <v>0.15</v>
      </c>
      <c r="AF496" t="s">
        <v>92</v>
      </c>
      <c r="AG496">
        <v>180</v>
      </c>
      <c r="AH496">
        <v>60</v>
      </c>
      <c r="AI496">
        <v>120</v>
      </c>
      <c r="AJ496">
        <v>0.10725994122806699</v>
      </c>
      <c r="AK496">
        <v>19.05517401344029</v>
      </c>
      <c r="AL496">
        <v>0.73654118063487217</v>
      </c>
      <c r="AM496">
        <v>0.1512230822271457</v>
      </c>
      <c r="AN496">
        <v>25.839190799498521</v>
      </c>
      <c r="AO496">
        <v>0.67124089327803382</v>
      </c>
      <c r="AP496">
        <v>25.839190799498521</v>
      </c>
      <c r="AQ496">
        <v>25.839190799498521</v>
      </c>
      <c r="AR496">
        <v>0.67124089327803382</v>
      </c>
      <c r="AS496">
        <v>110.6606078028945</v>
      </c>
      <c r="AT496">
        <v>0.178960537940864</v>
      </c>
      <c r="AU496">
        <v>0.8</v>
      </c>
      <c r="AV496" t="s">
        <v>93</v>
      </c>
      <c r="AW496">
        <v>6.3773518297923867E-2</v>
      </c>
      <c r="AX496">
        <v>0.53692180064223549</v>
      </c>
      <c r="AY496">
        <v>6.3773518297923867E-2</v>
      </c>
      <c r="AZ496">
        <v>6.3773518297923867E-2</v>
      </c>
      <c r="BA496">
        <v>0.53692180064223549</v>
      </c>
      <c r="BB496">
        <v>6.1676314109125607E-2</v>
      </c>
      <c r="BC496">
        <v>0.55215021465096781</v>
      </c>
      <c r="BD496">
        <v>7.9090399462370994E-2</v>
      </c>
      <c r="BE496">
        <v>0.72596865814943889</v>
      </c>
      <c r="BF496">
        <v>7.9090399462370994E-2</v>
      </c>
      <c r="BG496">
        <v>7.9090399462370994E-2</v>
      </c>
      <c r="BH496">
        <v>0.72596865814943889</v>
      </c>
      <c r="BI496">
        <v>0.1403696831762814</v>
      </c>
      <c r="BJ496">
        <v>0.51364902823337699</v>
      </c>
      <c r="BK496">
        <v>7.0830867968615929E-2</v>
      </c>
      <c r="BL496">
        <v>0.71563646904446709</v>
      </c>
      <c r="BM496">
        <v>7.0830867968615929E-2</v>
      </c>
      <c r="BN496">
        <v>7.0830867968615929E-2</v>
      </c>
      <c r="BO496">
        <v>0.71563646904446709</v>
      </c>
      <c r="BP496">
        <v>0.27186887695211948</v>
      </c>
      <c r="BQ496">
        <v>-9.1467548319112746E-2</v>
      </c>
      <c r="BR496">
        <v>103.14306841226519</v>
      </c>
      <c r="BS496">
        <v>0.70643664527599792</v>
      </c>
      <c r="BT496">
        <v>103.14306841226519</v>
      </c>
      <c r="BU496">
        <v>103.14306841226519</v>
      </c>
      <c r="BV496">
        <v>0.70643664527599792</v>
      </c>
      <c r="BW496">
        <v>442.16851633733887</v>
      </c>
      <c r="BX496">
        <v>-0.25848954280177622</v>
      </c>
      <c r="BY496" t="str">
        <f t="shared" si="18"/>
        <v>[[sv,wv],[yr],[ya]]</v>
      </c>
      <c r="BZ496" t="str">
        <f>SUBSTITUTE(TRIM(MID(SUBSTITUTE(SUBSTITUTE(SUBSTITUTE(Tabla1[[#This Row],[map]],"[",""),"]",""),",",REPT(" ",100)),901,200))," ",", ")</f>
        <v>2, 3</v>
      </c>
      <c r="CA496" t="str">
        <f>SUBSTITUTE(TRIM(MID(SUBSTITUTE(SUBSTITUTE(SUBSTITUTE(Tabla1[[#This Row],[map]],"[",""),"]",""),",",REPT(" ",100)),1501,200))," ",", ")</f>
        <v>3, 4</v>
      </c>
      <c r="CB496" t="str">
        <f>SUBSTITUTE(TRIM(MID(SUBSTITUTE(SUBSTITUTE(SUBSTITUTE(Tabla1[[#This Row],[map]],"[",""),"]",""),",",REPT(" ",100)),601,300))," ",", ")</f>
        <v>1, 4, 0</v>
      </c>
      <c r="CC496" t="str">
        <f>SUBSTITUTE(TRIM(MID(SUBSTITUTE(SUBSTITUTE(SUBSTITUTE(Tabla1[[#This Row],[map]],"[",""),"]",""),",",REPT(" ",100)),1201,300))," ",", ")</f>
        <v>1, 2, 0</v>
      </c>
      <c r="CD496" t="str">
        <f>SUBSTITUTE(TRIM(MID(SUBSTITUTE(SUBSTITUTE(SUBSTITUTE(Tabla1[[#This Row],[map]],"[",""),"]",""),",",REPT(" ",100)),1,300))," ",", ")</f>
        <v>4, 2, 3</v>
      </c>
      <c r="CE496" t="str">
        <f>SUBSTITUTE(TRIM(MID(SUBSTITUTE(SUBSTITUTE(SUBSTITUTE(Tabla1[[#This Row],[map]],"[",""),"]",""),",",REPT(" ",100)),1,600))," ",", ")</f>
        <v>4, 2, 3, 0, 1, -1</v>
      </c>
      <c r="CF496" t="str">
        <f>SUBSTITUTE(TRIM(MID(SUBSTITUTE(SUBSTITUTE(SUBSTITUTE(Tabla1[[#This Row],[map]],"[",""),"]",""),",",REPT(" ",100)),601,600))," ",", ")</f>
        <v>1, 4, 0, 2, 3, -1</v>
      </c>
      <c r="CG496" t="str">
        <f>SUBSTITUTE(TRIM(MID(SUBSTITUTE(SUBSTITUTE(SUBSTITUTE(Tabla1[[#This Row],[map]],"[",""),"]",""),",",REPT(" ",100)),1201,600))," ",", ")</f>
        <v>1, 2, 0, 3, 4, -1</v>
      </c>
    </row>
    <row r="497" spans="1:85" x14ac:dyDescent="0.3">
      <c r="A497" s="1">
        <v>46112.313657407409</v>
      </c>
      <c r="B497" t="s">
        <v>752</v>
      </c>
      <c r="C497">
        <v>7</v>
      </c>
      <c r="D497" t="s">
        <v>77</v>
      </c>
      <c r="E497" t="s">
        <v>78</v>
      </c>
      <c r="F497">
        <v>16590</v>
      </c>
      <c r="G497">
        <v>4.5</v>
      </c>
      <c r="H497" t="s">
        <v>79</v>
      </c>
      <c r="I497" t="s">
        <v>80</v>
      </c>
      <c r="J497">
        <v>5</v>
      </c>
      <c r="K497">
        <v>5</v>
      </c>
      <c r="L497" t="s">
        <v>81</v>
      </c>
      <c r="M497" t="s">
        <v>82</v>
      </c>
      <c r="N497" t="s">
        <v>83</v>
      </c>
      <c r="O497" t="s">
        <v>83</v>
      </c>
      <c r="P497" t="s">
        <v>84</v>
      </c>
      <c r="Q497" t="s">
        <v>271</v>
      </c>
      <c r="R497">
        <v>3</v>
      </c>
      <c r="S497" t="s">
        <v>86</v>
      </c>
      <c r="T497" t="s">
        <v>87</v>
      </c>
      <c r="U497" t="s">
        <v>88</v>
      </c>
      <c r="V497">
        <v>1</v>
      </c>
      <c r="W497" t="s">
        <v>272</v>
      </c>
      <c r="X497" t="s">
        <v>83</v>
      </c>
      <c r="Y497" t="s">
        <v>90</v>
      </c>
      <c r="Z497">
        <v>4000</v>
      </c>
      <c r="AA497">
        <v>4000</v>
      </c>
      <c r="AC497">
        <v>256</v>
      </c>
      <c r="AD497" t="s">
        <v>91</v>
      </c>
      <c r="AE497">
        <v>0.15</v>
      </c>
      <c r="AF497" t="s">
        <v>92</v>
      </c>
      <c r="AG497">
        <v>180</v>
      </c>
      <c r="AH497">
        <v>60</v>
      </c>
      <c r="AI497">
        <v>120</v>
      </c>
      <c r="AJ497">
        <v>0.11444710606705021</v>
      </c>
      <c r="AK497">
        <v>14.76137526645021</v>
      </c>
      <c r="AL497">
        <v>0.7271389979459244</v>
      </c>
      <c r="AM497">
        <v>0.2766180767853661</v>
      </c>
      <c r="AN497">
        <v>20.182426418074051</v>
      </c>
      <c r="AO497">
        <v>0.67773501445612272</v>
      </c>
      <c r="AP497">
        <v>20.182426418074051</v>
      </c>
      <c r="AQ497">
        <v>20.182426418074051</v>
      </c>
      <c r="AR497">
        <v>0.67773501445612272</v>
      </c>
      <c r="AS497">
        <v>57.894061813701363</v>
      </c>
      <c r="AT497">
        <v>0.27558766747306851</v>
      </c>
      <c r="AU497">
        <v>0.8</v>
      </c>
      <c r="AV497" t="s">
        <v>93</v>
      </c>
      <c r="AW497">
        <v>7.4852771398136064E-2</v>
      </c>
      <c r="AX497">
        <v>0.45647209811982942</v>
      </c>
      <c r="AY497">
        <v>7.4852771398136064E-2</v>
      </c>
      <c r="AZ497">
        <v>7.4852771398136064E-2</v>
      </c>
      <c r="BA497">
        <v>0.45647209811982942</v>
      </c>
      <c r="BB497">
        <v>8.9313360305961653E-2</v>
      </c>
      <c r="BC497">
        <v>0.35146952570715539</v>
      </c>
      <c r="BD497">
        <v>8.2772011372325816E-2</v>
      </c>
      <c r="BE497">
        <v>0.71321265920752019</v>
      </c>
      <c r="BF497">
        <v>8.2772011372325816E-2</v>
      </c>
      <c r="BG497">
        <v>8.2772011372325816E-2</v>
      </c>
      <c r="BH497">
        <v>0.71321265920752019</v>
      </c>
      <c r="BI497">
        <v>0.1397087027207165</v>
      </c>
      <c r="BJ497">
        <v>0.51593918433837449</v>
      </c>
      <c r="BK497">
        <v>5.7186352345158807E-2</v>
      </c>
      <c r="BL497">
        <v>0.77041488348636511</v>
      </c>
      <c r="BM497">
        <v>5.7186352345158807E-2</v>
      </c>
      <c r="BN497">
        <v>5.7186352345158807E-2</v>
      </c>
      <c r="BO497">
        <v>0.77041488348636511</v>
      </c>
      <c r="BP497">
        <v>0.27583446473966611</v>
      </c>
      <c r="BQ497">
        <v>-0.1073881289631413</v>
      </c>
      <c r="BR497">
        <v>80.514894537180851</v>
      </c>
      <c r="BS497">
        <v>0.77084041701077255</v>
      </c>
      <c r="BT497">
        <v>80.514894537180851</v>
      </c>
      <c r="BU497">
        <v>80.514894537180851</v>
      </c>
      <c r="BV497">
        <v>0.77084041701077255</v>
      </c>
      <c r="BW497">
        <v>231.0713907270393</v>
      </c>
      <c r="BX497">
        <v>0.34233008880988569</v>
      </c>
      <c r="BY497" t="str">
        <f t="shared" ref="BY497:BY528" si="19">_xlfn.LET(_xlpm.TextoConfig, Q497,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497" t="str">
        <f>SUBSTITUTE(TRIM(MID(SUBSTITUTE(SUBSTITUTE(SUBSTITUTE(Tabla1[[#This Row],[map]],"[",""),"]",""),",",REPT(" ",100)),901,200))," ",", ")</f>
        <v>2, 4</v>
      </c>
      <c r="CA497" t="str">
        <f>SUBSTITUTE(TRIM(MID(SUBSTITUTE(SUBSTITUTE(SUBSTITUTE(Tabla1[[#This Row],[map]],"[",""),"]",""),",",REPT(" ",100)),1501,200))," ",", ")</f>
        <v>3, 4</v>
      </c>
      <c r="CB497" t="str">
        <f>SUBSTITUTE(TRIM(MID(SUBSTITUTE(SUBSTITUTE(SUBSTITUTE(Tabla1[[#This Row],[map]],"[",""),"]",""),",",REPT(" ",100)),601,300))," ",", ")</f>
        <v>0, 1, 3</v>
      </c>
      <c r="CC497" t="str">
        <f>SUBSTITUTE(TRIM(MID(SUBSTITUTE(SUBSTITUTE(SUBSTITUTE(Tabla1[[#This Row],[map]],"[",""),"]",""),",",REPT(" ",100)),1201,300))," ",", ")</f>
        <v>0, 1, 2</v>
      </c>
      <c r="CD497" t="str">
        <f>SUBSTITUTE(TRIM(MID(SUBSTITUTE(SUBSTITUTE(SUBSTITUTE(Tabla1[[#This Row],[map]],"[",""),"]",""),",",REPT(" ",100)),1,300))," ",", ")</f>
        <v>4, 2, 3</v>
      </c>
      <c r="CE497" t="str">
        <f>SUBSTITUTE(TRIM(MID(SUBSTITUTE(SUBSTITUTE(SUBSTITUTE(Tabla1[[#This Row],[map]],"[",""),"]",""),",",REPT(" ",100)),1,600))," ",", ")</f>
        <v>4, 2, 3, 0, 1, -1</v>
      </c>
      <c r="CF497" t="str">
        <f>SUBSTITUTE(TRIM(MID(SUBSTITUTE(SUBSTITUTE(SUBSTITUTE(Tabla1[[#This Row],[map]],"[",""),"]",""),",",REPT(" ",100)),601,600))," ",", ")</f>
        <v>0, 1, 3, 2, 4, -1</v>
      </c>
      <c r="CG497" t="str">
        <f>SUBSTITUTE(TRIM(MID(SUBSTITUTE(SUBSTITUTE(SUBSTITUTE(Tabla1[[#This Row],[map]],"[",""),"]",""),",",REPT(" ",100)),1201,600))," ",", ")</f>
        <v>0, 1, 2, 3, 4, -1</v>
      </c>
    </row>
    <row r="498" spans="1:85" x14ac:dyDescent="0.3">
      <c r="A498" s="1">
        <v>46112.325902777768</v>
      </c>
      <c r="B498" t="s">
        <v>753</v>
      </c>
      <c r="C498">
        <v>8</v>
      </c>
      <c r="D498" t="s">
        <v>77</v>
      </c>
      <c r="E498" t="s">
        <v>78</v>
      </c>
      <c r="F498">
        <v>16590</v>
      </c>
      <c r="G498">
        <v>4.5</v>
      </c>
      <c r="H498" t="s">
        <v>79</v>
      </c>
      <c r="I498" t="s">
        <v>80</v>
      </c>
      <c r="J498">
        <v>5</v>
      </c>
      <c r="K498">
        <v>5</v>
      </c>
      <c r="L498" t="s">
        <v>81</v>
      </c>
      <c r="M498" t="s">
        <v>82</v>
      </c>
      <c r="N498" t="s">
        <v>83</v>
      </c>
      <c r="O498" t="s">
        <v>83</v>
      </c>
      <c r="P498" t="s">
        <v>84</v>
      </c>
      <c r="Q498" t="s">
        <v>501</v>
      </c>
      <c r="R498">
        <v>3</v>
      </c>
      <c r="S498" t="s">
        <v>86</v>
      </c>
      <c r="T498" t="s">
        <v>87</v>
      </c>
      <c r="U498" t="s">
        <v>88</v>
      </c>
      <c r="V498">
        <v>1</v>
      </c>
      <c r="W498" t="s">
        <v>502</v>
      </c>
      <c r="X498" t="s">
        <v>83</v>
      </c>
      <c r="Y498" t="s">
        <v>90</v>
      </c>
      <c r="Z498">
        <v>4000</v>
      </c>
      <c r="AA498">
        <v>4000</v>
      </c>
      <c r="AC498">
        <v>256</v>
      </c>
      <c r="AD498" t="s">
        <v>91</v>
      </c>
      <c r="AE498">
        <v>0.15</v>
      </c>
      <c r="AF498" t="s">
        <v>92</v>
      </c>
      <c r="AG498">
        <v>180</v>
      </c>
      <c r="AH498">
        <v>60</v>
      </c>
      <c r="AI498">
        <v>120</v>
      </c>
      <c r="AJ498">
        <v>0.1065689526539359</v>
      </c>
      <c r="AK498">
        <v>10.4930905923626</v>
      </c>
      <c r="AL498">
        <v>0.72076835621077173</v>
      </c>
      <c r="AM498">
        <v>0.12527299987962179</v>
      </c>
      <c r="AN498">
        <v>14.06819862050474</v>
      </c>
      <c r="AO498">
        <v>0.6497890728151644</v>
      </c>
      <c r="AP498">
        <v>14.06819862050474</v>
      </c>
      <c r="AQ498">
        <v>14.06819862050474</v>
      </c>
      <c r="AR498">
        <v>0.6497890728151644</v>
      </c>
      <c r="AS498">
        <v>105.93799074368501</v>
      </c>
      <c r="AT498">
        <v>0.14204686496134819</v>
      </c>
      <c r="AU498">
        <v>0.8</v>
      </c>
      <c r="AV498" t="s">
        <v>93</v>
      </c>
      <c r="AW498">
        <v>9.9223026330108918E-2</v>
      </c>
      <c r="AX498">
        <v>0.27951253758457401</v>
      </c>
      <c r="AY498">
        <v>9.9223026330108918E-2</v>
      </c>
      <c r="AZ498">
        <v>9.9223026330108918E-2</v>
      </c>
      <c r="BA498">
        <v>0.27951253758457401</v>
      </c>
      <c r="BB498">
        <v>8.9419357733396418E-2</v>
      </c>
      <c r="BC498">
        <v>0.35069984733370041</v>
      </c>
      <c r="BD498">
        <v>7.8996412934740315E-2</v>
      </c>
      <c r="BE498">
        <v>0.72629430139384754</v>
      </c>
      <c r="BF498">
        <v>7.8996412934740315E-2</v>
      </c>
      <c r="BG498">
        <v>7.8996412934740315E-2</v>
      </c>
      <c r="BH498">
        <v>0.72629430139384754</v>
      </c>
      <c r="BI498">
        <v>0.1218369703915971</v>
      </c>
      <c r="BJ498">
        <v>0.57786091977824539</v>
      </c>
      <c r="BK498">
        <v>6.1566675487636398E-2</v>
      </c>
      <c r="BL498">
        <v>0.75282927157387136</v>
      </c>
      <c r="BM498">
        <v>6.1566675487636398E-2</v>
      </c>
      <c r="BN498">
        <v>6.1566675487636398E-2</v>
      </c>
      <c r="BO498">
        <v>0.75282927157387136</v>
      </c>
      <c r="BP498">
        <v>0.28787352136471339</v>
      </c>
      <c r="BQ498">
        <v>-0.15572113333616339</v>
      </c>
      <c r="BR498">
        <v>56.033008367266497</v>
      </c>
      <c r="BS498">
        <v>0.84052018070836465</v>
      </c>
      <c r="BT498">
        <v>56.033008367266497</v>
      </c>
      <c r="BU498">
        <v>56.033008367266497</v>
      </c>
      <c r="BV498">
        <v>0.84052018070836465</v>
      </c>
      <c r="BW498">
        <v>423.25283312525119</v>
      </c>
      <c r="BX498">
        <v>-0.2046521739303975</v>
      </c>
      <c r="BY498" t="str">
        <f t="shared" si="19"/>
        <v>[[sv,wv],[yr],[ya]]</v>
      </c>
      <c r="BZ498" t="str">
        <f>SUBSTITUTE(TRIM(MID(SUBSTITUTE(SUBSTITUTE(SUBSTITUTE(Tabla1[[#This Row],[map]],"[",""),"]",""),",",REPT(" ",100)),901,200))," ",", ")</f>
        <v>2, 4</v>
      </c>
      <c r="CA498" t="str">
        <f>SUBSTITUTE(TRIM(MID(SUBSTITUTE(SUBSTITUTE(SUBSTITUTE(Tabla1[[#This Row],[map]],"[",""),"]",""),",",REPT(" ",100)),1501,200))," ",", ")</f>
        <v>3, 2</v>
      </c>
      <c r="CB498" t="str">
        <f>SUBSTITUTE(TRIM(MID(SUBSTITUTE(SUBSTITUTE(SUBSTITUTE(Tabla1[[#This Row],[map]],"[",""),"]",""),",",REPT(" ",100)),601,300))," ",", ")</f>
        <v>0, 1, 3</v>
      </c>
      <c r="CC498" t="str">
        <f>SUBSTITUTE(TRIM(MID(SUBSTITUTE(SUBSTITUTE(SUBSTITUTE(Tabla1[[#This Row],[map]],"[",""),"]",""),",",REPT(" ",100)),1201,300))," ",", ")</f>
        <v>1, 4, 0</v>
      </c>
      <c r="CD498" t="str">
        <f>SUBSTITUTE(TRIM(MID(SUBSTITUTE(SUBSTITUTE(SUBSTITUTE(Tabla1[[#This Row],[map]],"[",""),"]",""),",",REPT(" ",100)),1,300))," ",", ")</f>
        <v>4, 2, 3</v>
      </c>
      <c r="CE498" t="str">
        <f>SUBSTITUTE(TRIM(MID(SUBSTITUTE(SUBSTITUTE(SUBSTITUTE(Tabla1[[#This Row],[map]],"[",""),"]",""),",",REPT(" ",100)),1,600))," ",", ")</f>
        <v>4, 2, 3, 0, 1, -1</v>
      </c>
      <c r="CF498" t="str">
        <f>SUBSTITUTE(TRIM(MID(SUBSTITUTE(SUBSTITUTE(SUBSTITUTE(Tabla1[[#This Row],[map]],"[",""),"]",""),",",REPT(" ",100)),601,600))," ",", ")</f>
        <v>0, 1, 3, 2, 4, -1</v>
      </c>
      <c r="CG498" t="str">
        <f>SUBSTITUTE(TRIM(MID(SUBSTITUTE(SUBSTITUTE(SUBSTITUTE(Tabla1[[#This Row],[map]],"[",""),"]",""),",",REPT(" ",100)),1201,600))," ",", ")</f>
        <v>1, 4, 0, 3, 2, -1</v>
      </c>
    </row>
    <row r="499" spans="1:85" x14ac:dyDescent="0.3">
      <c r="A499" s="1">
        <v>46112.322905092587</v>
      </c>
      <c r="B499" t="s">
        <v>754</v>
      </c>
      <c r="C499">
        <v>8</v>
      </c>
      <c r="D499" t="s">
        <v>77</v>
      </c>
      <c r="E499" t="s">
        <v>78</v>
      </c>
      <c r="F499">
        <v>16590</v>
      </c>
      <c r="G499">
        <v>4.5</v>
      </c>
      <c r="H499" t="s">
        <v>79</v>
      </c>
      <c r="I499" t="s">
        <v>80</v>
      </c>
      <c r="J499">
        <v>5</v>
      </c>
      <c r="K499">
        <v>5</v>
      </c>
      <c r="L499" t="s">
        <v>81</v>
      </c>
      <c r="M499" t="s">
        <v>82</v>
      </c>
      <c r="N499" t="s">
        <v>83</v>
      </c>
      <c r="O499" t="s">
        <v>83</v>
      </c>
      <c r="P499" t="s">
        <v>84</v>
      </c>
      <c r="Q499" t="s">
        <v>195</v>
      </c>
      <c r="R499">
        <v>3</v>
      </c>
      <c r="S499" t="s">
        <v>86</v>
      </c>
      <c r="T499" t="s">
        <v>87</v>
      </c>
      <c r="U499" t="s">
        <v>88</v>
      </c>
      <c r="V499">
        <v>1</v>
      </c>
      <c r="W499" t="s">
        <v>196</v>
      </c>
      <c r="X499" t="s">
        <v>83</v>
      </c>
      <c r="Y499" t="s">
        <v>90</v>
      </c>
      <c r="Z499">
        <v>4000</v>
      </c>
      <c r="AA499">
        <v>4000</v>
      </c>
      <c r="AC499">
        <v>256</v>
      </c>
      <c r="AD499" t="s">
        <v>91</v>
      </c>
      <c r="AE499">
        <v>0.15</v>
      </c>
      <c r="AF499" t="s">
        <v>92</v>
      </c>
      <c r="AG499">
        <v>180</v>
      </c>
      <c r="AH499">
        <v>60</v>
      </c>
      <c r="AI499">
        <v>120</v>
      </c>
      <c r="AJ499">
        <v>9.9827583587880922E-2</v>
      </c>
      <c r="AK499">
        <v>14.774890705980351</v>
      </c>
      <c r="AL499">
        <v>0.71235014110982398</v>
      </c>
      <c r="AM499">
        <v>0.34791587705742949</v>
      </c>
      <c r="AN499">
        <v>18.101213438820029</v>
      </c>
      <c r="AO499">
        <v>0.66660194229517877</v>
      </c>
      <c r="AP499">
        <v>18.101213438820029</v>
      </c>
      <c r="AQ499">
        <v>18.101213438820029</v>
      </c>
      <c r="AR499">
        <v>0.66660194229517877</v>
      </c>
      <c r="AS499">
        <v>68.720008140247316</v>
      </c>
      <c r="AT499">
        <v>0.3693962265725737</v>
      </c>
      <c r="AU499">
        <v>0.8</v>
      </c>
      <c r="AV499" t="s">
        <v>93</v>
      </c>
      <c r="AW499">
        <v>9.3721886559120449E-2</v>
      </c>
      <c r="AX499">
        <v>0.31945792506757348</v>
      </c>
      <c r="AY499">
        <v>9.3721886559120449E-2</v>
      </c>
      <c r="AZ499">
        <v>9.3721886559120449E-2</v>
      </c>
      <c r="BA499">
        <v>0.31945792506757348</v>
      </c>
      <c r="BB499">
        <v>0.1377747286041601</v>
      </c>
      <c r="BC499">
        <v>-4.2266667755996862E-4</v>
      </c>
      <c r="BD499">
        <v>7.6316734885043022E-2</v>
      </c>
      <c r="BE499">
        <v>0.73557881350502252</v>
      </c>
      <c r="BF499">
        <v>7.6316734885043022E-2</v>
      </c>
      <c r="BG499">
        <v>7.6316734885043022E-2</v>
      </c>
      <c r="BH499">
        <v>0.73557881350502252</v>
      </c>
      <c r="BI499">
        <v>0.1147214736692618</v>
      </c>
      <c r="BJ499">
        <v>0.60251459617903935</v>
      </c>
      <c r="BK499">
        <v>4.5623969315470969E-2</v>
      </c>
      <c r="BL499">
        <v>0.81683419414678493</v>
      </c>
      <c r="BM499">
        <v>4.5623969315470969E-2</v>
      </c>
      <c r="BN499">
        <v>4.5623969315470969E-2</v>
      </c>
      <c r="BO499">
        <v>0.81683419414678493</v>
      </c>
      <c r="BP499">
        <v>8.5464239672548237E-2</v>
      </c>
      <c r="BQ499">
        <v>0.65688811021652305</v>
      </c>
      <c r="BR499">
        <v>72.189191164520551</v>
      </c>
      <c r="BS499">
        <v>0.79453683646133511</v>
      </c>
      <c r="BT499">
        <v>72.189191164520551</v>
      </c>
      <c r="BU499">
        <v>72.189191164520551</v>
      </c>
      <c r="BV499">
        <v>0.79453683646133511</v>
      </c>
      <c r="BW499">
        <v>274.54207211904372</v>
      </c>
      <c r="BX499">
        <v>0.21860486657228981</v>
      </c>
      <c r="BY499" t="str">
        <f t="shared" si="19"/>
        <v>[[sv,wv],[yr],[ya]]</v>
      </c>
      <c r="BZ499" t="str">
        <f>SUBSTITUTE(TRIM(MID(SUBSTITUTE(SUBSTITUTE(SUBSTITUTE(Tabla1[[#This Row],[map]],"[",""),"]",""),",",REPT(" ",100)),901,200))," ",", ")</f>
        <v>2, 3</v>
      </c>
      <c r="CA499" t="str">
        <f>SUBSTITUTE(TRIM(MID(SUBSTITUTE(SUBSTITUTE(SUBSTITUTE(Tabla1[[#This Row],[map]],"[",""),"]",""),",",REPT(" ",100)),1501,200))," ",", ")</f>
        <v>3, 2</v>
      </c>
      <c r="CB499" t="str">
        <f>SUBSTITUTE(TRIM(MID(SUBSTITUTE(SUBSTITUTE(SUBSTITUTE(Tabla1[[#This Row],[map]],"[",""),"]",""),",",REPT(" ",100)),601,300))," ",", ")</f>
        <v>4, 0, 1</v>
      </c>
      <c r="CC499" t="str">
        <f>SUBSTITUTE(TRIM(MID(SUBSTITUTE(SUBSTITUTE(SUBSTITUTE(Tabla1[[#This Row],[map]],"[",""),"]",""),",",REPT(" ",100)),1201,300))," ",", ")</f>
        <v>0, 1, 4</v>
      </c>
      <c r="CD499" t="str">
        <f>SUBSTITUTE(TRIM(MID(SUBSTITUTE(SUBSTITUTE(SUBSTITUTE(Tabla1[[#This Row],[map]],"[",""),"]",""),",",REPT(" ",100)),1,300))," ",", ")</f>
        <v>4, 2, 3</v>
      </c>
      <c r="CE499" t="str">
        <f>SUBSTITUTE(TRIM(MID(SUBSTITUTE(SUBSTITUTE(SUBSTITUTE(Tabla1[[#This Row],[map]],"[",""),"]",""),",",REPT(" ",100)),1,600))," ",", ")</f>
        <v>4, 2, 3, 0, 1, -1</v>
      </c>
      <c r="CF499" t="str">
        <f>SUBSTITUTE(TRIM(MID(SUBSTITUTE(SUBSTITUTE(SUBSTITUTE(Tabla1[[#This Row],[map]],"[",""),"]",""),",",REPT(" ",100)),601,600))," ",", ")</f>
        <v>4, 0, 1, 2, 3, -1</v>
      </c>
      <c r="CG499" t="str">
        <f>SUBSTITUTE(TRIM(MID(SUBSTITUTE(SUBSTITUTE(SUBSTITUTE(Tabla1[[#This Row],[map]],"[",""),"]",""),",",REPT(" ",100)),1201,600))," ",", ")</f>
        <v>0, 1, 4, 3, 2, -1</v>
      </c>
    </row>
    <row r="500" spans="1:85" x14ac:dyDescent="0.3">
      <c r="A500" s="1">
        <v>46112.330347222232</v>
      </c>
      <c r="B500" t="s">
        <v>755</v>
      </c>
      <c r="C500">
        <v>6</v>
      </c>
      <c r="D500" t="s">
        <v>96</v>
      </c>
      <c r="E500" t="s">
        <v>78</v>
      </c>
      <c r="F500">
        <v>16590</v>
      </c>
      <c r="G500">
        <v>4.5</v>
      </c>
      <c r="H500" t="s">
        <v>79</v>
      </c>
      <c r="I500" t="s">
        <v>80</v>
      </c>
      <c r="J500">
        <v>5</v>
      </c>
      <c r="K500">
        <v>5</v>
      </c>
      <c r="L500" t="s">
        <v>81</v>
      </c>
      <c r="M500" t="s">
        <v>82</v>
      </c>
      <c r="N500" t="s">
        <v>83</v>
      </c>
      <c r="O500" t="s">
        <v>83</v>
      </c>
      <c r="P500" t="s">
        <v>84</v>
      </c>
      <c r="Q500" t="s">
        <v>231</v>
      </c>
      <c r="R500">
        <v>3</v>
      </c>
      <c r="S500" t="s">
        <v>86</v>
      </c>
      <c r="T500" t="s">
        <v>87</v>
      </c>
      <c r="U500" t="s">
        <v>88</v>
      </c>
      <c r="V500">
        <v>1</v>
      </c>
      <c r="W500" t="s">
        <v>232</v>
      </c>
      <c r="X500" t="s">
        <v>83</v>
      </c>
      <c r="Y500" t="s">
        <v>90</v>
      </c>
      <c r="Z500">
        <v>4000</v>
      </c>
      <c r="AA500">
        <v>4000</v>
      </c>
      <c r="AC500">
        <v>256</v>
      </c>
      <c r="AD500" t="s">
        <v>91</v>
      </c>
      <c r="AE500">
        <v>0.15</v>
      </c>
      <c r="AF500" t="s">
        <v>92</v>
      </c>
      <c r="AG500">
        <v>180</v>
      </c>
      <c r="AH500">
        <v>60</v>
      </c>
      <c r="AI500">
        <v>120</v>
      </c>
      <c r="AJ500">
        <v>0.12729338985755209</v>
      </c>
      <c r="AK500">
        <v>44.379022660203169</v>
      </c>
      <c r="AL500">
        <v>0.63293028436338705</v>
      </c>
      <c r="AM500">
        <v>0.3204895660570054</v>
      </c>
      <c r="AN500">
        <v>51.140913565680457</v>
      </c>
      <c r="AO500">
        <v>0.58764596120176493</v>
      </c>
      <c r="AP500">
        <v>51.140913565680457</v>
      </c>
      <c r="AQ500">
        <v>51.140913565680457</v>
      </c>
      <c r="AR500">
        <v>0.58764596120176493</v>
      </c>
      <c r="AS500">
        <v>101.9318926015784</v>
      </c>
      <c r="AT500">
        <v>0.35804119479369678</v>
      </c>
      <c r="AU500">
        <v>0.8</v>
      </c>
      <c r="AV500" t="s">
        <v>93</v>
      </c>
      <c r="AW500">
        <v>7.3456228903608409E-2</v>
      </c>
      <c r="AX500">
        <v>0.46661280230163887</v>
      </c>
      <c r="AY500">
        <v>7.3456228903608409E-2</v>
      </c>
      <c r="AZ500">
        <v>7.3456228903608409E-2</v>
      </c>
      <c r="BA500">
        <v>0.46661280230163887</v>
      </c>
      <c r="BB500">
        <v>9.0601766940949513E-2</v>
      </c>
      <c r="BC500">
        <v>0.34211402768078741</v>
      </c>
      <c r="BD500">
        <v>9.915110710520747E-2</v>
      </c>
      <c r="BE500">
        <v>0.6564625907732875</v>
      </c>
      <c r="BF500">
        <v>9.915110710520747E-2</v>
      </c>
      <c r="BG500">
        <v>9.915110710520747E-2</v>
      </c>
      <c r="BH500">
        <v>0.6564625907732875</v>
      </c>
      <c r="BI500">
        <v>9.4433415777179952E-2</v>
      </c>
      <c r="BJ500">
        <v>0.67280838361090245</v>
      </c>
      <c r="BK500">
        <v>4.7548934296941091E-2</v>
      </c>
      <c r="BL500">
        <v>0.80910606861627277</v>
      </c>
      <c r="BM500">
        <v>4.7548934296941091E-2</v>
      </c>
      <c r="BN500">
        <v>4.7548934296941091E-2</v>
      </c>
      <c r="BO500">
        <v>0.80910606861627277</v>
      </c>
      <c r="BP500">
        <v>0.1053930357650404</v>
      </c>
      <c r="BQ500">
        <v>0.5768802974213324</v>
      </c>
      <c r="BR500">
        <v>204.34349799241579</v>
      </c>
      <c r="BS500">
        <v>0.41840238311586281</v>
      </c>
      <c r="BT500">
        <v>204.34349799241579</v>
      </c>
      <c r="BU500">
        <v>204.34349799241579</v>
      </c>
      <c r="BV500">
        <v>0.41840238311586281</v>
      </c>
      <c r="BW500">
        <v>407.43714218783037</v>
      </c>
      <c r="BX500">
        <v>-0.1596379295382353</v>
      </c>
      <c r="BY500" t="str">
        <f t="shared" si="19"/>
        <v>[[sv,wv],[yr],[ya]]</v>
      </c>
      <c r="BZ500" t="str">
        <f>SUBSTITUTE(TRIM(MID(SUBSTITUTE(SUBSTITUTE(SUBSTITUTE(Tabla1[[#This Row],[map]],"[",""),"]",""),",",REPT(" ",100)),901,200))," ",", ")</f>
        <v>2, 3</v>
      </c>
      <c r="CA500" t="str">
        <f>SUBSTITUTE(TRIM(MID(SUBSTITUTE(SUBSTITUTE(SUBSTITUTE(Tabla1[[#This Row],[map]],"[",""),"]",""),",",REPT(" ",100)),1501,200))," ",", ")</f>
        <v>3, 2</v>
      </c>
      <c r="CB500" t="str">
        <f>SUBSTITUTE(TRIM(MID(SUBSTITUTE(SUBSTITUTE(SUBSTITUTE(Tabla1[[#This Row],[map]],"[",""),"]",""),",",REPT(" ",100)),601,300))," ",", ")</f>
        <v>4, 0, 1</v>
      </c>
      <c r="CC500" t="str">
        <f>SUBSTITUTE(TRIM(MID(SUBSTITUTE(SUBSTITUTE(SUBSTITUTE(Tabla1[[#This Row],[map]],"[",""),"]",""),",",REPT(" ",100)),1201,300))," ",", ")</f>
        <v>4, 0, 1</v>
      </c>
      <c r="CD500" t="str">
        <f>SUBSTITUTE(TRIM(MID(SUBSTITUTE(SUBSTITUTE(SUBSTITUTE(Tabla1[[#This Row],[map]],"[",""),"]",""),",",REPT(" ",100)),1,300))," ",", ")</f>
        <v>4, 2, 3</v>
      </c>
      <c r="CE500" t="str">
        <f>SUBSTITUTE(TRIM(MID(SUBSTITUTE(SUBSTITUTE(SUBSTITUTE(Tabla1[[#This Row],[map]],"[",""),"]",""),",",REPT(" ",100)),1,600))," ",", ")</f>
        <v>4, 2, 3, 0, 1, -1</v>
      </c>
      <c r="CF500" t="str">
        <f>SUBSTITUTE(TRIM(MID(SUBSTITUTE(SUBSTITUTE(SUBSTITUTE(Tabla1[[#This Row],[map]],"[",""),"]",""),",",REPT(" ",100)),601,600))," ",", ")</f>
        <v>4, 0, 1, 2, 3, -1</v>
      </c>
      <c r="CG500" t="str">
        <f>SUBSTITUTE(TRIM(MID(SUBSTITUTE(SUBSTITUTE(SUBSTITUTE(Tabla1[[#This Row],[map]],"[",""),"]",""),",",REPT(" ",100)),1201,600))," ",", ")</f>
        <v>4, 0, 1, 3, 2, -1</v>
      </c>
    </row>
    <row r="501" spans="1:85" x14ac:dyDescent="0.3">
      <c r="A501" s="1">
        <v>46112.338356481479</v>
      </c>
      <c r="B501" t="s">
        <v>756</v>
      </c>
      <c r="C501">
        <v>7</v>
      </c>
      <c r="D501" t="s">
        <v>77</v>
      </c>
      <c r="E501" t="s">
        <v>78</v>
      </c>
      <c r="F501">
        <v>16590</v>
      </c>
      <c r="G501">
        <v>4.5</v>
      </c>
      <c r="H501" t="s">
        <v>79</v>
      </c>
      <c r="I501" t="s">
        <v>80</v>
      </c>
      <c r="J501">
        <v>5</v>
      </c>
      <c r="K501">
        <v>5</v>
      </c>
      <c r="L501" t="s">
        <v>81</v>
      </c>
      <c r="M501" t="s">
        <v>82</v>
      </c>
      <c r="N501" t="s">
        <v>83</v>
      </c>
      <c r="O501" t="s">
        <v>83</v>
      </c>
      <c r="P501" t="s">
        <v>84</v>
      </c>
      <c r="Q501" t="s">
        <v>195</v>
      </c>
      <c r="R501">
        <v>3</v>
      </c>
      <c r="S501" t="s">
        <v>86</v>
      </c>
      <c r="T501" t="s">
        <v>87</v>
      </c>
      <c r="U501" t="s">
        <v>88</v>
      </c>
      <c r="V501">
        <v>1</v>
      </c>
      <c r="W501" t="s">
        <v>196</v>
      </c>
      <c r="X501" t="s">
        <v>83</v>
      </c>
      <c r="Y501" t="s">
        <v>90</v>
      </c>
      <c r="Z501">
        <v>4000</v>
      </c>
      <c r="AA501">
        <v>4000</v>
      </c>
      <c r="AC501">
        <v>256</v>
      </c>
      <c r="AD501" t="s">
        <v>91</v>
      </c>
      <c r="AE501">
        <v>0.15</v>
      </c>
      <c r="AF501" t="s">
        <v>92</v>
      </c>
      <c r="AG501">
        <v>180</v>
      </c>
      <c r="AH501">
        <v>60</v>
      </c>
      <c r="AI501">
        <v>120</v>
      </c>
      <c r="AJ501">
        <v>0.12333996490209551</v>
      </c>
      <c r="AK501">
        <v>15.879838031085789</v>
      </c>
      <c r="AL501">
        <v>0.63401567701687833</v>
      </c>
      <c r="AM501">
        <v>0.39254043130720478</v>
      </c>
      <c r="AN501">
        <v>21.939859872538609</v>
      </c>
      <c r="AO501">
        <v>0.57169096846037626</v>
      </c>
      <c r="AP501">
        <v>21.939859872538609</v>
      </c>
      <c r="AQ501">
        <v>21.939859872538609</v>
      </c>
      <c r="AR501">
        <v>0.57169096846037626</v>
      </c>
      <c r="AS501">
        <v>80.123503049641926</v>
      </c>
      <c r="AT501">
        <v>0.38207041698596861</v>
      </c>
      <c r="AU501">
        <v>0.8</v>
      </c>
      <c r="AV501" t="s">
        <v>93</v>
      </c>
      <c r="AW501">
        <v>0.1210120518876984</v>
      </c>
      <c r="AX501">
        <v>0.12129603972989469</v>
      </c>
      <c r="AY501">
        <v>0.1210120518876984</v>
      </c>
      <c r="AZ501">
        <v>0.1210120518876984</v>
      </c>
      <c r="BA501">
        <v>0.12129603972989469</v>
      </c>
      <c r="BB501">
        <v>0.12173683047028171</v>
      </c>
      <c r="BC501">
        <v>0.1160332101116848</v>
      </c>
      <c r="BD501">
        <v>0.1164147418250952</v>
      </c>
      <c r="BE501">
        <v>0.59664778367069404</v>
      </c>
      <c r="BF501">
        <v>0.1164147418250952</v>
      </c>
      <c r="BG501">
        <v>0.1164147418250952</v>
      </c>
      <c r="BH501">
        <v>0.59664778367069404</v>
      </c>
      <c r="BI501">
        <v>0.1056398972008413</v>
      </c>
      <c r="BJ501">
        <v>0.63398031898075269</v>
      </c>
      <c r="BK501">
        <v>4.5384907062226552E-2</v>
      </c>
      <c r="BL501">
        <v>0.81779395347771522</v>
      </c>
      <c r="BM501">
        <v>4.5384907062226552E-2</v>
      </c>
      <c r="BN501">
        <v>4.5384907062226552E-2</v>
      </c>
      <c r="BO501">
        <v>0.81779395347771522</v>
      </c>
      <c r="BP501">
        <v>7.7320319784950201E-2</v>
      </c>
      <c r="BQ501">
        <v>0.68958337262785585</v>
      </c>
      <c r="BR501">
        <v>87.476627789379194</v>
      </c>
      <c r="BS501">
        <v>0.7510260969632031</v>
      </c>
      <c r="BT501">
        <v>87.476627789379194</v>
      </c>
      <c r="BU501">
        <v>87.476627789379194</v>
      </c>
      <c r="BV501">
        <v>0.7510260969632031</v>
      </c>
      <c r="BW501">
        <v>320.18931515111188</v>
      </c>
      <c r="BX501">
        <v>8.8684766223575684E-2</v>
      </c>
      <c r="BY501" t="str">
        <f t="shared" si="19"/>
        <v>[[sv,wv],[yr],[ya]]</v>
      </c>
      <c r="BZ501" t="str">
        <f>SUBSTITUTE(TRIM(MID(SUBSTITUTE(SUBSTITUTE(SUBSTITUTE(Tabla1[[#This Row],[map]],"[",""),"]",""),",",REPT(" ",100)),901,200))," ",", ")</f>
        <v>2, 3</v>
      </c>
      <c r="CA501" t="str">
        <f>SUBSTITUTE(TRIM(MID(SUBSTITUTE(SUBSTITUTE(SUBSTITUTE(Tabla1[[#This Row],[map]],"[",""),"]",""),",",REPT(" ",100)),1501,200))," ",", ")</f>
        <v>3, 2</v>
      </c>
      <c r="CB501" t="str">
        <f>SUBSTITUTE(TRIM(MID(SUBSTITUTE(SUBSTITUTE(SUBSTITUTE(Tabla1[[#This Row],[map]],"[",""),"]",""),",",REPT(" ",100)),601,300))," ",", ")</f>
        <v>4, 0, 1</v>
      </c>
      <c r="CC501" t="str">
        <f>SUBSTITUTE(TRIM(MID(SUBSTITUTE(SUBSTITUTE(SUBSTITUTE(Tabla1[[#This Row],[map]],"[",""),"]",""),",",REPT(" ",100)),1201,300))," ",", ")</f>
        <v>0, 1, 4</v>
      </c>
      <c r="CD501" t="str">
        <f>SUBSTITUTE(TRIM(MID(SUBSTITUTE(SUBSTITUTE(SUBSTITUTE(Tabla1[[#This Row],[map]],"[",""),"]",""),",",REPT(" ",100)),1,300))," ",", ")</f>
        <v>4, 2, 3</v>
      </c>
      <c r="CE501" t="str">
        <f>SUBSTITUTE(TRIM(MID(SUBSTITUTE(SUBSTITUTE(SUBSTITUTE(Tabla1[[#This Row],[map]],"[",""),"]",""),",",REPT(" ",100)),1,600))," ",", ")</f>
        <v>4, 2, 3, 0, 1, -1</v>
      </c>
      <c r="CF501" t="str">
        <f>SUBSTITUTE(TRIM(MID(SUBSTITUTE(SUBSTITUTE(SUBSTITUTE(Tabla1[[#This Row],[map]],"[",""),"]",""),",",REPT(" ",100)),601,600))," ",", ")</f>
        <v>4, 0, 1, 2, 3, -1</v>
      </c>
      <c r="CG501" t="str">
        <f>SUBSTITUTE(TRIM(MID(SUBSTITUTE(SUBSTITUTE(SUBSTITUTE(Tabla1[[#This Row],[map]],"[",""),"]",""),",",REPT(" ",100)),1201,600))," ",", ")</f>
        <v>0, 1, 4, 3, 2, -1</v>
      </c>
    </row>
    <row r="502" spans="1:85" x14ac:dyDescent="0.3">
      <c r="A502" s="1">
        <v>46112.339872685188</v>
      </c>
      <c r="B502" t="s">
        <v>757</v>
      </c>
      <c r="C502">
        <v>9</v>
      </c>
      <c r="D502" t="s">
        <v>77</v>
      </c>
      <c r="E502" t="s">
        <v>78</v>
      </c>
      <c r="F502">
        <v>16590</v>
      </c>
      <c r="G502">
        <v>4.5</v>
      </c>
      <c r="H502" t="s">
        <v>79</v>
      </c>
      <c r="I502" t="s">
        <v>80</v>
      </c>
      <c r="J502">
        <v>5</v>
      </c>
      <c r="K502">
        <v>5</v>
      </c>
      <c r="L502" t="s">
        <v>81</v>
      </c>
      <c r="M502" t="s">
        <v>82</v>
      </c>
      <c r="N502" t="s">
        <v>83</v>
      </c>
      <c r="O502" t="s">
        <v>83</v>
      </c>
      <c r="P502" t="s">
        <v>84</v>
      </c>
      <c r="Q502" t="s">
        <v>177</v>
      </c>
      <c r="R502">
        <v>3</v>
      </c>
      <c r="S502" t="s">
        <v>86</v>
      </c>
      <c r="T502" t="s">
        <v>87</v>
      </c>
      <c r="U502" t="s">
        <v>88</v>
      </c>
      <c r="V502">
        <v>1</v>
      </c>
      <c r="W502" t="s">
        <v>178</v>
      </c>
      <c r="X502" t="s">
        <v>83</v>
      </c>
      <c r="Y502" t="s">
        <v>90</v>
      </c>
      <c r="Z502">
        <v>4000</v>
      </c>
      <c r="AA502">
        <v>4000</v>
      </c>
      <c r="AC502">
        <v>256</v>
      </c>
      <c r="AD502" t="s">
        <v>91</v>
      </c>
      <c r="AE502">
        <v>0.15</v>
      </c>
      <c r="AF502" t="s">
        <v>92</v>
      </c>
      <c r="AG502">
        <v>180</v>
      </c>
      <c r="AH502">
        <v>60</v>
      </c>
      <c r="AI502">
        <v>120</v>
      </c>
      <c r="AJ502">
        <v>0.1127286160144275</v>
      </c>
      <c r="AK502">
        <v>17.34483660683793</v>
      </c>
      <c r="AL502">
        <v>0.77030401483610023</v>
      </c>
      <c r="AM502">
        <v>-0.27860264215512659</v>
      </c>
      <c r="AN502">
        <v>19.282565494091571</v>
      </c>
      <c r="AO502">
        <v>0.71750192747989261</v>
      </c>
      <c r="AP502">
        <v>19.282565494091571</v>
      </c>
      <c r="AQ502">
        <v>19.282565494091571</v>
      </c>
      <c r="AR502">
        <v>0.71750192747989261</v>
      </c>
      <c r="AS502">
        <v>109.4540800983392</v>
      </c>
      <c r="AT502">
        <v>-0.2088157365114551</v>
      </c>
      <c r="AU502">
        <v>0.8</v>
      </c>
      <c r="AV502" t="s">
        <v>93</v>
      </c>
      <c r="AW502">
        <v>5.7193958510672542E-2</v>
      </c>
      <c r="AX502">
        <v>0.58469791179566832</v>
      </c>
      <c r="AY502">
        <v>5.7193958510672542E-2</v>
      </c>
      <c r="AZ502">
        <v>5.7193958510672542E-2</v>
      </c>
      <c r="BA502">
        <v>0.58469791179566832</v>
      </c>
      <c r="BB502">
        <v>0.17328597124473691</v>
      </c>
      <c r="BC502">
        <v>-0.25828020281243452</v>
      </c>
      <c r="BD502">
        <v>4.7339872123606928E-2</v>
      </c>
      <c r="BE502">
        <v>0.83597745403678247</v>
      </c>
      <c r="BF502">
        <v>4.7339872123606928E-2</v>
      </c>
      <c r="BG502">
        <v>4.7339872123606928E-2</v>
      </c>
      <c r="BH502">
        <v>0.83597745403678247</v>
      </c>
      <c r="BI502">
        <v>0.37720763589444001</v>
      </c>
      <c r="BJ502">
        <v>-0.30694389360886071</v>
      </c>
      <c r="BK502">
        <v>8.2615224006557339E-2</v>
      </c>
      <c r="BL502">
        <v>0.66832600696639444</v>
      </c>
      <c r="BM502">
        <v>8.2615224006557339E-2</v>
      </c>
      <c r="BN502">
        <v>8.2615224006557339E-2</v>
      </c>
      <c r="BO502">
        <v>0.66832600696639444</v>
      </c>
      <c r="BP502">
        <v>0.2556193315290336</v>
      </c>
      <c r="BQ502">
        <v>-2.62307632075931E-2</v>
      </c>
      <c r="BR502">
        <v>76.943112921725898</v>
      </c>
      <c r="BS502">
        <v>0.78100633712072531</v>
      </c>
      <c r="BT502">
        <v>76.943112921725898</v>
      </c>
      <c r="BU502">
        <v>76.943112921725898</v>
      </c>
      <c r="BV502">
        <v>0.78100633712072531</v>
      </c>
      <c r="BW502">
        <v>437.01020745468742</v>
      </c>
      <c r="BX502">
        <v>-0.24380808641693069</v>
      </c>
      <c r="BY502" t="str">
        <f t="shared" si="19"/>
        <v>[[sv,wv],[yr],[ya]]</v>
      </c>
      <c r="BZ502" t="str">
        <f>SUBSTITUTE(TRIM(MID(SUBSTITUTE(SUBSTITUTE(SUBSTITUTE(Tabla1[[#This Row],[map]],"[",""),"]",""),",",REPT(" ",100)),901,200))," ",", ")</f>
        <v>2, 4</v>
      </c>
      <c r="CA502" t="str">
        <f>SUBSTITUTE(TRIM(MID(SUBSTITUTE(SUBSTITUTE(SUBSTITUTE(Tabla1[[#This Row],[map]],"[",""),"]",""),",",REPT(" ",100)),1501,200))," ",", ")</f>
        <v>3, 4</v>
      </c>
      <c r="CB502" t="str">
        <f>SUBSTITUTE(TRIM(MID(SUBSTITUTE(SUBSTITUTE(SUBSTITUTE(Tabla1[[#This Row],[map]],"[",""),"]",""),",",REPT(" ",100)),601,300))," ",", ")</f>
        <v>3, 0, 1</v>
      </c>
      <c r="CC502" t="str">
        <f>SUBSTITUTE(TRIM(MID(SUBSTITUTE(SUBSTITUTE(SUBSTITUTE(Tabla1[[#This Row],[map]],"[",""),"]",""),",",REPT(" ",100)),1201,300))," ",", ")</f>
        <v>0, 1, 2</v>
      </c>
      <c r="CD502" t="str">
        <f>SUBSTITUTE(TRIM(MID(SUBSTITUTE(SUBSTITUTE(SUBSTITUTE(Tabla1[[#This Row],[map]],"[",""),"]",""),",",REPT(" ",100)),1,300))," ",", ")</f>
        <v>2, 3, 4</v>
      </c>
      <c r="CE502" t="str">
        <f>SUBSTITUTE(TRIM(MID(SUBSTITUTE(SUBSTITUTE(SUBSTITUTE(Tabla1[[#This Row],[map]],"[",""),"]",""),",",REPT(" ",100)),1,600))," ",", ")</f>
        <v>2, 3, 4, 0, 1, -1</v>
      </c>
      <c r="CF502" t="str">
        <f>SUBSTITUTE(TRIM(MID(SUBSTITUTE(SUBSTITUTE(SUBSTITUTE(Tabla1[[#This Row],[map]],"[",""),"]",""),",",REPT(" ",100)),601,600))," ",", ")</f>
        <v>3, 0, 1, 2, 4, -1</v>
      </c>
      <c r="CG502" t="str">
        <f>SUBSTITUTE(TRIM(MID(SUBSTITUTE(SUBSTITUTE(SUBSTITUTE(Tabla1[[#This Row],[map]],"[",""),"]",""),",",REPT(" ",100)),1201,600))," ",", ")</f>
        <v>0, 1, 2, 3, 4, -1</v>
      </c>
    </row>
    <row r="503" spans="1:85" x14ac:dyDescent="0.3">
      <c r="A503" s="1">
        <v>46112.354097222233</v>
      </c>
      <c r="B503" t="s">
        <v>758</v>
      </c>
      <c r="C503">
        <v>6</v>
      </c>
      <c r="D503" t="s">
        <v>96</v>
      </c>
      <c r="E503" t="s">
        <v>78</v>
      </c>
      <c r="F503">
        <v>16590</v>
      </c>
      <c r="G503">
        <v>4.5</v>
      </c>
      <c r="H503" t="s">
        <v>79</v>
      </c>
      <c r="I503" t="s">
        <v>80</v>
      </c>
      <c r="J503">
        <v>5</v>
      </c>
      <c r="K503">
        <v>5</v>
      </c>
      <c r="L503" t="s">
        <v>81</v>
      </c>
      <c r="M503" t="s">
        <v>82</v>
      </c>
      <c r="N503" t="s">
        <v>83</v>
      </c>
      <c r="O503" t="s">
        <v>83</v>
      </c>
      <c r="P503" t="s">
        <v>84</v>
      </c>
      <c r="Q503" t="s">
        <v>525</v>
      </c>
      <c r="R503">
        <v>3</v>
      </c>
      <c r="S503" t="s">
        <v>86</v>
      </c>
      <c r="T503" t="s">
        <v>87</v>
      </c>
      <c r="U503" t="s">
        <v>88</v>
      </c>
      <c r="V503">
        <v>1</v>
      </c>
      <c r="W503" t="s">
        <v>526</v>
      </c>
      <c r="X503" t="s">
        <v>83</v>
      </c>
      <c r="Y503" t="s">
        <v>90</v>
      </c>
      <c r="Z503">
        <v>4000</v>
      </c>
      <c r="AA503">
        <v>4000</v>
      </c>
      <c r="AC503">
        <v>256</v>
      </c>
      <c r="AD503" t="s">
        <v>91</v>
      </c>
      <c r="AE503">
        <v>0.15</v>
      </c>
      <c r="AF503" t="s">
        <v>92</v>
      </c>
      <c r="AG503">
        <v>180</v>
      </c>
      <c r="AH503">
        <v>60</v>
      </c>
      <c r="AI503">
        <v>120</v>
      </c>
      <c r="AJ503">
        <v>0.1206264657583043</v>
      </c>
      <c r="AK503">
        <v>16.137775176351141</v>
      </c>
      <c r="AL503">
        <v>0.69534578972835415</v>
      </c>
      <c r="AM503">
        <v>-3.4077824082753838E-4</v>
      </c>
      <c r="AN503">
        <v>17.315680345898748</v>
      </c>
      <c r="AO503">
        <v>0.66331226035337099</v>
      </c>
      <c r="AP503">
        <v>17.315680345898748</v>
      </c>
      <c r="AQ503">
        <v>17.315680345898748</v>
      </c>
      <c r="AR503">
        <v>0.66331226035337099</v>
      </c>
      <c r="AS503">
        <v>61.641497812309957</v>
      </c>
      <c r="AT503">
        <v>4.5133077818466927E-3</v>
      </c>
      <c r="AU503">
        <v>0.8</v>
      </c>
      <c r="AV503" t="s">
        <v>93</v>
      </c>
      <c r="AW503">
        <v>8.21373992261272E-2</v>
      </c>
      <c r="AX503">
        <v>0.40357628136688378</v>
      </c>
      <c r="AY503">
        <v>8.21373992261272E-2</v>
      </c>
      <c r="AZ503">
        <v>8.21373992261272E-2</v>
      </c>
      <c r="BA503">
        <v>0.40357628136688378</v>
      </c>
      <c r="BB503">
        <v>0.1736254305654871</v>
      </c>
      <c r="BC503">
        <v>-0.26074511638790732</v>
      </c>
      <c r="BD503">
        <v>9.8505674780569444E-2</v>
      </c>
      <c r="BE503">
        <v>0.65869887592542442</v>
      </c>
      <c r="BF503">
        <v>9.8505674780569444E-2</v>
      </c>
      <c r="BG503">
        <v>9.8505674780569444E-2</v>
      </c>
      <c r="BH503">
        <v>0.65869887592542442</v>
      </c>
      <c r="BI503">
        <v>0.12567207642157041</v>
      </c>
      <c r="BJ503">
        <v>0.56457309649404563</v>
      </c>
      <c r="BK503">
        <v>5.2944901704269041E-2</v>
      </c>
      <c r="BL503">
        <v>0.78744296623062049</v>
      </c>
      <c r="BM503">
        <v>5.2944901704269041E-2</v>
      </c>
      <c r="BN503">
        <v>5.2944901704269041E-2</v>
      </c>
      <c r="BO503">
        <v>0.78744296623062049</v>
      </c>
      <c r="BP503">
        <v>0.39504499326473919</v>
      </c>
      <c r="BQ503">
        <v>-0.58598069447406043</v>
      </c>
      <c r="BR503">
        <v>69.02913340788399</v>
      </c>
      <c r="BS503">
        <v>0.80353091789055808</v>
      </c>
      <c r="BT503">
        <v>69.02913340788399</v>
      </c>
      <c r="BU503">
        <v>69.02913340788399</v>
      </c>
      <c r="BV503">
        <v>0.80353091789055808</v>
      </c>
      <c r="BW503">
        <v>245.87164874898761</v>
      </c>
      <c r="BX503">
        <v>0.30020594549530399</v>
      </c>
      <c r="BY503" t="str">
        <f t="shared" si="19"/>
        <v>[[sv,wv],[yr],[ya]]</v>
      </c>
      <c r="BZ503" t="str">
        <f>SUBSTITUTE(TRIM(MID(SUBSTITUTE(SUBSTITUTE(SUBSTITUTE(Tabla1[[#This Row],[map]],"[",""),"]",""),",",REPT(" ",100)),901,200))," ",", ")</f>
        <v>2, 4</v>
      </c>
      <c r="CA503" t="str">
        <f>SUBSTITUTE(TRIM(MID(SUBSTITUTE(SUBSTITUTE(SUBSTITUTE(Tabla1[[#This Row],[map]],"[",""),"]",""),",",REPT(" ",100)),1501,200))," ",", ")</f>
        <v>3, 4</v>
      </c>
      <c r="CB503" t="str">
        <f>SUBSTITUTE(TRIM(MID(SUBSTITUTE(SUBSTITUTE(SUBSTITUTE(Tabla1[[#This Row],[map]],"[",""),"]",""),",",REPT(" ",100)),601,300))," ",", ")</f>
        <v>1, 3, 0</v>
      </c>
      <c r="CC503" t="str">
        <f>SUBSTITUTE(TRIM(MID(SUBSTITUTE(SUBSTITUTE(SUBSTITUTE(Tabla1[[#This Row],[map]],"[",""),"]",""),",",REPT(" ",100)),1201,300))," ",", ")</f>
        <v>0, 1, 2</v>
      </c>
      <c r="CD503" t="str">
        <f>SUBSTITUTE(TRIM(MID(SUBSTITUTE(SUBSTITUTE(SUBSTITUTE(Tabla1[[#This Row],[map]],"[",""),"]",""),",",REPT(" ",100)),1,300))," ",", ")</f>
        <v>4, 2, 3</v>
      </c>
      <c r="CE503" t="str">
        <f>SUBSTITUTE(TRIM(MID(SUBSTITUTE(SUBSTITUTE(SUBSTITUTE(Tabla1[[#This Row],[map]],"[",""),"]",""),",",REPT(" ",100)),1,600))," ",", ")</f>
        <v>4, 2, 3, 0, 1, -1</v>
      </c>
      <c r="CF503" t="str">
        <f>SUBSTITUTE(TRIM(MID(SUBSTITUTE(SUBSTITUTE(SUBSTITUTE(Tabla1[[#This Row],[map]],"[",""),"]",""),",",REPT(" ",100)),601,600))," ",", ")</f>
        <v>1, 3, 0, 2, 4, -1</v>
      </c>
      <c r="CG503" t="str">
        <f>SUBSTITUTE(TRIM(MID(SUBSTITUTE(SUBSTITUTE(SUBSTITUTE(Tabla1[[#This Row],[map]],"[",""),"]",""),",",REPT(" ",100)),1201,600))," ",", ")</f>
        <v>0, 1, 2, 3, 4, -1</v>
      </c>
    </row>
    <row r="504" spans="1:85" x14ac:dyDescent="0.3">
      <c r="A504" s="1">
        <v>46112.393692129634</v>
      </c>
      <c r="B504" t="s">
        <v>759</v>
      </c>
      <c r="C504">
        <v>9</v>
      </c>
      <c r="D504" t="s">
        <v>96</v>
      </c>
      <c r="E504" t="s">
        <v>78</v>
      </c>
      <c r="F504">
        <v>16590</v>
      </c>
      <c r="G504">
        <v>4.5</v>
      </c>
      <c r="H504" t="s">
        <v>79</v>
      </c>
      <c r="I504" t="s">
        <v>80</v>
      </c>
      <c r="J504">
        <v>5</v>
      </c>
      <c r="K504">
        <v>5</v>
      </c>
      <c r="L504" t="s">
        <v>81</v>
      </c>
      <c r="M504" t="s">
        <v>82</v>
      </c>
      <c r="N504" t="s">
        <v>83</v>
      </c>
      <c r="O504" t="s">
        <v>83</v>
      </c>
      <c r="P504" t="s">
        <v>84</v>
      </c>
      <c r="Q504" t="s">
        <v>501</v>
      </c>
      <c r="R504">
        <v>3</v>
      </c>
      <c r="S504" t="s">
        <v>86</v>
      </c>
      <c r="T504" t="s">
        <v>87</v>
      </c>
      <c r="U504" t="s">
        <v>88</v>
      </c>
      <c r="V504">
        <v>1</v>
      </c>
      <c r="W504" t="s">
        <v>502</v>
      </c>
      <c r="X504" t="s">
        <v>83</v>
      </c>
      <c r="Y504" t="s">
        <v>90</v>
      </c>
      <c r="Z504">
        <v>4000</v>
      </c>
      <c r="AA504">
        <v>4000</v>
      </c>
      <c r="AC504">
        <v>256</v>
      </c>
      <c r="AD504" t="s">
        <v>91</v>
      </c>
      <c r="AE504">
        <v>0.15</v>
      </c>
      <c r="AF504" t="s">
        <v>92</v>
      </c>
      <c r="AG504">
        <v>180</v>
      </c>
      <c r="AH504">
        <v>60</v>
      </c>
      <c r="AI504">
        <v>120</v>
      </c>
      <c r="AJ504">
        <v>0.1208587750556941</v>
      </c>
      <c r="AK504">
        <v>17.328808119481959</v>
      </c>
      <c r="AL504">
        <v>0.71748168033264548</v>
      </c>
      <c r="AM504">
        <v>0.33442651367394149</v>
      </c>
      <c r="AN504">
        <v>22.160514354504318</v>
      </c>
      <c r="AO504">
        <v>0.6683288399473879</v>
      </c>
      <c r="AP504">
        <v>22.160514354504318</v>
      </c>
      <c r="AQ504">
        <v>22.160514354504318</v>
      </c>
      <c r="AR504">
        <v>0.6683288399473879</v>
      </c>
      <c r="AS504">
        <v>102.2358635991512</v>
      </c>
      <c r="AT504">
        <v>0.26757034305996452</v>
      </c>
      <c r="AU504">
        <v>0.8</v>
      </c>
      <c r="AV504" t="s">
        <v>93</v>
      </c>
      <c r="AW504">
        <v>7.0968195843118906E-2</v>
      </c>
      <c r="AX504">
        <v>0.48467913924437561</v>
      </c>
      <c r="AY504">
        <v>7.0968195843118906E-2</v>
      </c>
      <c r="AZ504">
        <v>7.0968195843118906E-2</v>
      </c>
      <c r="BA504">
        <v>0.48467913924437561</v>
      </c>
      <c r="BB504">
        <v>7.6398921571377815E-2</v>
      </c>
      <c r="BC504">
        <v>0.44524504875403031</v>
      </c>
      <c r="BD504">
        <v>8.8620790590440909E-2</v>
      </c>
      <c r="BE504">
        <v>0.69294788841077759</v>
      </c>
      <c r="BF504">
        <v>8.8620790590440909E-2</v>
      </c>
      <c r="BG504">
        <v>8.8620790590440909E-2</v>
      </c>
      <c r="BH504">
        <v>0.69294788841077759</v>
      </c>
      <c r="BI504">
        <v>9.9794846436563389E-2</v>
      </c>
      <c r="BJ504">
        <v>0.65423217148127999</v>
      </c>
      <c r="BK504">
        <v>6.2932500052397228E-2</v>
      </c>
      <c r="BL504">
        <v>0.74734591795926808</v>
      </c>
      <c r="BM504">
        <v>6.2932500052397228E-2</v>
      </c>
      <c r="BN504">
        <v>6.2932500052397228E-2</v>
      </c>
      <c r="BO504">
        <v>0.74734591795926808</v>
      </c>
      <c r="BP504">
        <v>0.21580439441879501</v>
      </c>
      <c r="BQ504">
        <v>0.1336136157495659</v>
      </c>
      <c r="BR504">
        <v>88.41953593153147</v>
      </c>
      <c r="BS504">
        <v>0.74834241417513236</v>
      </c>
      <c r="BT504">
        <v>88.41953593153147</v>
      </c>
      <c r="BU504">
        <v>88.41953593153147</v>
      </c>
      <c r="BV504">
        <v>0.74834241417513236</v>
      </c>
      <c r="BW504">
        <v>408.55145623417798</v>
      </c>
      <c r="BX504">
        <v>-0.1628094637450164</v>
      </c>
      <c r="BY504" t="str">
        <f t="shared" si="19"/>
        <v>[[sv,wv],[yr],[ya]]</v>
      </c>
      <c r="BZ504" t="str">
        <f>SUBSTITUTE(TRIM(MID(SUBSTITUTE(SUBSTITUTE(SUBSTITUTE(Tabla1[[#This Row],[map]],"[",""),"]",""),",",REPT(" ",100)),901,200))," ",", ")</f>
        <v>2, 4</v>
      </c>
      <c r="CA504" t="str">
        <f>SUBSTITUTE(TRIM(MID(SUBSTITUTE(SUBSTITUTE(SUBSTITUTE(Tabla1[[#This Row],[map]],"[",""),"]",""),",",REPT(" ",100)),1501,200))," ",", ")</f>
        <v>3, 2</v>
      </c>
      <c r="CB504" t="str">
        <f>SUBSTITUTE(TRIM(MID(SUBSTITUTE(SUBSTITUTE(SUBSTITUTE(Tabla1[[#This Row],[map]],"[",""),"]",""),",",REPT(" ",100)),601,300))," ",", ")</f>
        <v>0, 1, 3</v>
      </c>
      <c r="CC504" t="str">
        <f>SUBSTITUTE(TRIM(MID(SUBSTITUTE(SUBSTITUTE(SUBSTITUTE(Tabla1[[#This Row],[map]],"[",""),"]",""),",",REPT(" ",100)),1201,300))," ",", ")</f>
        <v>1, 4, 0</v>
      </c>
      <c r="CD504" t="str">
        <f>SUBSTITUTE(TRIM(MID(SUBSTITUTE(SUBSTITUTE(SUBSTITUTE(Tabla1[[#This Row],[map]],"[",""),"]",""),",",REPT(" ",100)),1,300))," ",", ")</f>
        <v>4, 2, 3</v>
      </c>
      <c r="CE504" t="str">
        <f>SUBSTITUTE(TRIM(MID(SUBSTITUTE(SUBSTITUTE(SUBSTITUTE(Tabla1[[#This Row],[map]],"[",""),"]",""),",",REPT(" ",100)),1,600))," ",", ")</f>
        <v>4, 2, 3, 0, 1, -1</v>
      </c>
      <c r="CF504" t="str">
        <f>SUBSTITUTE(TRIM(MID(SUBSTITUTE(SUBSTITUTE(SUBSTITUTE(Tabla1[[#This Row],[map]],"[",""),"]",""),",",REPT(" ",100)),601,600))," ",", ")</f>
        <v>0, 1, 3, 2, 4, -1</v>
      </c>
      <c r="CG504" t="str">
        <f>SUBSTITUTE(TRIM(MID(SUBSTITUTE(SUBSTITUTE(SUBSTITUTE(Tabla1[[#This Row],[map]],"[",""),"]",""),",",REPT(" ",100)),1201,600))," ",", ")</f>
        <v>1, 4, 0, 3, 2, -1</v>
      </c>
    </row>
    <row r="505" spans="1:85" x14ac:dyDescent="0.3">
      <c r="A505" s="1">
        <v>46112.470405092587</v>
      </c>
      <c r="B505" t="s">
        <v>760</v>
      </c>
      <c r="C505">
        <v>7</v>
      </c>
      <c r="D505" t="s">
        <v>96</v>
      </c>
      <c r="E505" t="s">
        <v>78</v>
      </c>
      <c r="F505">
        <v>16590</v>
      </c>
      <c r="G505">
        <v>4.5</v>
      </c>
      <c r="H505" t="s">
        <v>79</v>
      </c>
      <c r="I505" t="s">
        <v>80</v>
      </c>
      <c r="J505">
        <v>5</v>
      </c>
      <c r="K505">
        <v>5</v>
      </c>
      <c r="L505" t="s">
        <v>81</v>
      </c>
      <c r="M505" t="s">
        <v>82</v>
      </c>
      <c r="N505" t="s">
        <v>83</v>
      </c>
      <c r="O505" t="s">
        <v>83</v>
      </c>
      <c r="P505" t="s">
        <v>84</v>
      </c>
      <c r="Q505" t="s">
        <v>509</v>
      </c>
      <c r="R505">
        <v>3</v>
      </c>
      <c r="S505" t="s">
        <v>86</v>
      </c>
      <c r="T505" t="s">
        <v>87</v>
      </c>
      <c r="U505" t="s">
        <v>88</v>
      </c>
      <c r="V505">
        <v>1</v>
      </c>
      <c r="W505" t="s">
        <v>510</v>
      </c>
      <c r="X505" t="s">
        <v>83</v>
      </c>
      <c r="Y505" t="s">
        <v>90</v>
      </c>
      <c r="Z505">
        <v>4000</v>
      </c>
      <c r="AA505">
        <v>4000</v>
      </c>
      <c r="AC505">
        <v>256</v>
      </c>
      <c r="AD505" t="s">
        <v>91</v>
      </c>
      <c r="AE505">
        <v>0.15</v>
      </c>
      <c r="AF505" t="s">
        <v>92</v>
      </c>
      <c r="AG505">
        <v>180</v>
      </c>
      <c r="AH505">
        <v>60</v>
      </c>
      <c r="AI505">
        <v>120</v>
      </c>
      <c r="AJ505">
        <v>0.11002938265176899</v>
      </c>
      <c r="AK505">
        <v>12.10907032303041</v>
      </c>
      <c r="AL505">
        <v>0.73436778241018452</v>
      </c>
      <c r="AM505">
        <v>0.26025219587323623</v>
      </c>
      <c r="AN505">
        <v>17.114505496048899</v>
      </c>
      <c r="AO505">
        <v>0.69054049538395046</v>
      </c>
      <c r="AP505">
        <v>17.114505496048899</v>
      </c>
      <c r="AQ505">
        <v>17.114505496048899</v>
      </c>
      <c r="AR505">
        <v>0.69054049538395046</v>
      </c>
      <c r="AS505">
        <v>96.412239936240226</v>
      </c>
      <c r="AT505">
        <v>0.26794084113262989</v>
      </c>
      <c r="AU505">
        <v>0.8</v>
      </c>
      <c r="AV505" t="s">
        <v>93</v>
      </c>
      <c r="AW505">
        <v>7.3152872746450145E-2</v>
      </c>
      <c r="AX505">
        <v>0.46881556022954068</v>
      </c>
      <c r="AY505">
        <v>7.3152872746450145E-2</v>
      </c>
      <c r="AZ505">
        <v>7.3152872746450145E-2</v>
      </c>
      <c r="BA505">
        <v>0.46881556022954068</v>
      </c>
      <c r="BB505">
        <v>9.2535054391852986E-2</v>
      </c>
      <c r="BC505">
        <v>0.32807586112671638</v>
      </c>
      <c r="BD505">
        <v>8.6227179118084307E-2</v>
      </c>
      <c r="BE505">
        <v>0.70124124093014184</v>
      </c>
      <c r="BF505">
        <v>8.6227179118084307E-2</v>
      </c>
      <c r="BG505">
        <v>8.6227179118084307E-2</v>
      </c>
      <c r="BH505">
        <v>0.70124124093014184</v>
      </c>
      <c r="BI505">
        <v>0.1282116948431575</v>
      </c>
      <c r="BJ505">
        <v>0.55577386108005533</v>
      </c>
      <c r="BK505">
        <v>5.3218716825804188E-2</v>
      </c>
      <c r="BL505">
        <v>0.78634368512590136</v>
      </c>
      <c r="BM505">
        <v>5.3218716825804188E-2</v>
      </c>
      <c r="BN505">
        <v>5.3218716825804188E-2</v>
      </c>
      <c r="BO505">
        <v>0.78634368512590136</v>
      </c>
      <c r="BP505">
        <v>0.17824493550805451</v>
      </c>
      <c r="BQ505">
        <v>0.2844029631477909</v>
      </c>
      <c r="BR505">
        <v>68.245423215505269</v>
      </c>
      <c r="BS505">
        <v>0.80576149525021645</v>
      </c>
      <c r="BT505">
        <v>68.245423215505269</v>
      </c>
      <c r="BU505">
        <v>68.245423215505269</v>
      </c>
      <c r="BV505">
        <v>0.80576149525021645</v>
      </c>
      <c r="BW505">
        <v>385.24996806021761</v>
      </c>
      <c r="BX505">
        <v>-9.6489320824039826E-2</v>
      </c>
      <c r="BY505" t="str">
        <f t="shared" si="19"/>
        <v>[[sv,wv],[yr],[ya]]</v>
      </c>
      <c r="BZ505" t="str">
        <f>SUBSTITUTE(TRIM(MID(SUBSTITUTE(SUBSTITUTE(SUBSTITUTE(Tabla1[[#This Row],[map]],"[",""),"]",""),",",REPT(" ",100)),901,200))," ",", ")</f>
        <v>2, 4</v>
      </c>
      <c r="CA505" t="str">
        <f>SUBSTITUTE(TRIM(MID(SUBSTITUTE(SUBSTITUTE(SUBSTITUTE(Tabla1[[#This Row],[map]],"[",""),"]",""),",",REPT(" ",100)),1501,200))," ",", ")</f>
        <v>3, 4</v>
      </c>
      <c r="CB505" t="str">
        <f>SUBSTITUTE(TRIM(MID(SUBSTITUTE(SUBSTITUTE(SUBSTITUTE(Tabla1[[#This Row],[map]],"[",""),"]",""),",",REPT(" ",100)),601,300))," ",", ")</f>
        <v>0, 1, 3</v>
      </c>
      <c r="CC505" t="str">
        <f>SUBSTITUTE(TRIM(MID(SUBSTITUTE(SUBSTITUTE(SUBSTITUTE(Tabla1[[#This Row],[map]],"[",""),"]",""),",",REPT(" ",100)),1201,300))," ",", ")</f>
        <v>1, 2, 0</v>
      </c>
      <c r="CD505" t="str">
        <f>SUBSTITUTE(TRIM(MID(SUBSTITUTE(SUBSTITUTE(SUBSTITUTE(Tabla1[[#This Row],[map]],"[",""),"]",""),",",REPT(" ",100)),1,300))," ",", ")</f>
        <v>4, 2, 3</v>
      </c>
      <c r="CE505" t="str">
        <f>SUBSTITUTE(TRIM(MID(SUBSTITUTE(SUBSTITUTE(SUBSTITUTE(Tabla1[[#This Row],[map]],"[",""),"]",""),",",REPT(" ",100)),1,600))," ",", ")</f>
        <v>4, 2, 3, 0, 1, -1</v>
      </c>
      <c r="CF505" t="str">
        <f>SUBSTITUTE(TRIM(MID(SUBSTITUTE(SUBSTITUTE(SUBSTITUTE(Tabla1[[#This Row],[map]],"[",""),"]",""),",",REPT(" ",100)),601,600))," ",", ")</f>
        <v>0, 1, 3, 2, 4, -1</v>
      </c>
      <c r="CG505" t="str">
        <f>SUBSTITUTE(TRIM(MID(SUBSTITUTE(SUBSTITUTE(SUBSTITUTE(Tabla1[[#This Row],[map]],"[",""),"]",""),",",REPT(" ",100)),1201,600))," ",", ")</f>
        <v>1, 2, 0, 3, 4, -1</v>
      </c>
    </row>
    <row r="506" spans="1:85" x14ac:dyDescent="0.3">
      <c r="A506" s="1">
        <v>46112.481099537043</v>
      </c>
      <c r="B506" t="s">
        <v>761</v>
      </c>
      <c r="C506">
        <v>8</v>
      </c>
      <c r="D506" t="s">
        <v>77</v>
      </c>
      <c r="E506" t="s">
        <v>78</v>
      </c>
      <c r="F506">
        <v>16590</v>
      </c>
      <c r="G506">
        <v>4.5</v>
      </c>
      <c r="H506" t="s">
        <v>79</v>
      </c>
      <c r="I506" t="s">
        <v>80</v>
      </c>
      <c r="J506">
        <v>5</v>
      </c>
      <c r="K506">
        <v>5</v>
      </c>
      <c r="L506" t="s">
        <v>81</v>
      </c>
      <c r="M506" t="s">
        <v>82</v>
      </c>
      <c r="N506" t="s">
        <v>83</v>
      </c>
      <c r="O506" t="s">
        <v>83</v>
      </c>
      <c r="P506" t="s">
        <v>84</v>
      </c>
      <c r="Q506" t="s">
        <v>271</v>
      </c>
      <c r="R506">
        <v>3</v>
      </c>
      <c r="S506" t="s">
        <v>86</v>
      </c>
      <c r="T506" t="s">
        <v>87</v>
      </c>
      <c r="U506" t="s">
        <v>88</v>
      </c>
      <c r="V506">
        <v>1</v>
      </c>
      <c r="W506" t="s">
        <v>272</v>
      </c>
      <c r="X506" t="s">
        <v>83</v>
      </c>
      <c r="Y506" t="s">
        <v>90</v>
      </c>
      <c r="Z506">
        <v>4000</v>
      </c>
      <c r="AA506">
        <v>4000</v>
      </c>
      <c r="AC506">
        <v>256</v>
      </c>
      <c r="AD506" t="s">
        <v>91</v>
      </c>
      <c r="AE506">
        <v>0.15</v>
      </c>
      <c r="AF506" t="s">
        <v>92</v>
      </c>
      <c r="AG506">
        <v>180</v>
      </c>
      <c r="AH506">
        <v>60</v>
      </c>
      <c r="AI506">
        <v>120</v>
      </c>
      <c r="AJ506">
        <v>0.12500991636488021</v>
      </c>
      <c r="AK506">
        <v>18.971350460037431</v>
      </c>
      <c r="AL506">
        <v>0.6366570027258629</v>
      </c>
      <c r="AM506">
        <v>7.5492341465846963E-2</v>
      </c>
      <c r="AN506">
        <v>18.20627732067333</v>
      </c>
      <c r="AO506">
        <v>0.60252775388986812</v>
      </c>
      <c r="AP506">
        <v>18.20627732067333</v>
      </c>
      <c r="AQ506">
        <v>18.20627732067333</v>
      </c>
      <c r="AR506">
        <v>0.60252775388986812</v>
      </c>
      <c r="AS506">
        <v>71.350524233470708</v>
      </c>
      <c r="AT506">
        <v>9.2783359592110537E-2</v>
      </c>
      <c r="AU506">
        <v>0.8</v>
      </c>
      <c r="AV506" t="s">
        <v>93</v>
      </c>
      <c r="AW506">
        <v>9.8004487749093053E-2</v>
      </c>
      <c r="AX506">
        <v>0.28836070320260859</v>
      </c>
      <c r="AY506">
        <v>9.8004487749093053E-2</v>
      </c>
      <c r="AZ506">
        <v>9.8004487749093053E-2</v>
      </c>
      <c r="BA506">
        <v>0.28836070320260859</v>
      </c>
      <c r="BB506">
        <v>0.15964193068925819</v>
      </c>
      <c r="BC506">
        <v>-0.15920682720096099</v>
      </c>
      <c r="BD506">
        <v>8.0304273471487955E-2</v>
      </c>
      <c r="BE506">
        <v>0.7217628439695003</v>
      </c>
      <c r="BF506">
        <v>8.0304273471487955E-2</v>
      </c>
      <c r="BG506">
        <v>8.0304273471487955E-2</v>
      </c>
      <c r="BH506">
        <v>0.7217628439695003</v>
      </c>
      <c r="BI506">
        <v>0.11481756752098519</v>
      </c>
      <c r="BJ506">
        <v>0.60218165150673553</v>
      </c>
      <c r="BK506">
        <v>9.802164944080774E-2</v>
      </c>
      <c r="BL506">
        <v>0.60647408192959074</v>
      </c>
      <c r="BM506">
        <v>9.802164944080774E-2</v>
      </c>
      <c r="BN506">
        <v>9.802164944080774E-2</v>
      </c>
      <c r="BO506">
        <v>0.60647408192959074</v>
      </c>
      <c r="BP506">
        <v>0.31414977818656348</v>
      </c>
      <c r="BQ506">
        <v>-0.26121199324580641</v>
      </c>
      <c r="BR506">
        <v>72.548778872032344</v>
      </c>
      <c r="BS506">
        <v>0.79351338645776581</v>
      </c>
      <c r="BT506">
        <v>72.548778872032344</v>
      </c>
      <c r="BU506">
        <v>72.548778872032344</v>
      </c>
      <c r="BV506">
        <v>0.79351338645776581</v>
      </c>
      <c r="BW506">
        <v>284.81348765748561</v>
      </c>
      <c r="BX506">
        <v>0.18937060730847821</v>
      </c>
      <c r="BY506" t="str">
        <f t="shared" si="19"/>
        <v>[[sv,wv],[yr],[ya]]</v>
      </c>
      <c r="BZ506" t="str">
        <f>SUBSTITUTE(TRIM(MID(SUBSTITUTE(SUBSTITUTE(SUBSTITUTE(Tabla1[[#This Row],[map]],"[",""),"]",""),",",REPT(" ",100)),901,200))," ",", ")</f>
        <v>2, 4</v>
      </c>
      <c r="CA506" t="str">
        <f>SUBSTITUTE(TRIM(MID(SUBSTITUTE(SUBSTITUTE(SUBSTITUTE(Tabla1[[#This Row],[map]],"[",""),"]",""),",",REPT(" ",100)),1501,200))," ",", ")</f>
        <v>3, 4</v>
      </c>
      <c r="CB506" t="str">
        <f>SUBSTITUTE(TRIM(MID(SUBSTITUTE(SUBSTITUTE(SUBSTITUTE(Tabla1[[#This Row],[map]],"[",""),"]",""),",",REPT(" ",100)),601,300))," ",", ")</f>
        <v>0, 1, 3</v>
      </c>
      <c r="CC506" t="str">
        <f>SUBSTITUTE(TRIM(MID(SUBSTITUTE(SUBSTITUTE(SUBSTITUTE(Tabla1[[#This Row],[map]],"[",""),"]",""),",",REPT(" ",100)),1201,300))," ",", ")</f>
        <v>0, 1, 2</v>
      </c>
      <c r="CD506" t="str">
        <f>SUBSTITUTE(TRIM(MID(SUBSTITUTE(SUBSTITUTE(SUBSTITUTE(Tabla1[[#This Row],[map]],"[",""),"]",""),",",REPT(" ",100)),1,300))," ",", ")</f>
        <v>4, 2, 3</v>
      </c>
      <c r="CE506" t="str">
        <f>SUBSTITUTE(TRIM(MID(SUBSTITUTE(SUBSTITUTE(SUBSTITUTE(Tabla1[[#This Row],[map]],"[",""),"]",""),",",REPT(" ",100)),1,600))," ",", ")</f>
        <v>4, 2, 3, 0, 1, -1</v>
      </c>
      <c r="CF506" t="str">
        <f>SUBSTITUTE(TRIM(MID(SUBSTITUTE(SUBSTITUTE(SUBSTITUTE(Tabla1[[#This Row],[map]],"[",""),"]",""),",",REPT(" ",100)),601,600))," ",", ")</f>
        <v>0, 1, 3, 2, 4, -1</v>
      </c>
      <c r="CG506" t="str">
        <f>SUBSTITUTE(TRIM(MID(SUBSTITUTE(SUBSTITUTE(SUBSTITUTE(Tabla1[[#This Row],[map]],"[",""),"]",""),",",REPT(" ",100)),1201,600))," ",", ")</f>
        <v>0, 1, 2, 3, 4, -1</v>
      </c>
    </row>
    <row r="507" spans="1:85" x14ac:dyDescent="0.3">
      <c r="A507" s="1">
        <v>46112.482418981483</v>
      </c>
      <c r="B507" t="s">
        <v>762</v>
      </c>
      <c r="C507">
        <v>8</v>
      </c>
      <c r="D507" t="s">
        <v>96</v>
      </c>
      <c r="E507" t="s">
        <v>78</v>
      </c>
      <c r="F507">
        <v>16590</v>
      </c>
      <c r="G507">
        <v>4.5</v>
      </c>
      <c r="H507" t="s">
        <v>79</v>
      </c>
      <c r="I507" t="s">
        <v>80</v>
      </c>
      <c r="J507">
        <v>5</v>
      </c>
      <c r="K507">
        <v>5</v>
      </c>
      <c r="L507" t="s">
        <v>81</v>
      </c>
      <c r="M507" t="s">
        <v>82</v>
      </c>
      <c r="N507" t="s">
        <v>83</v>
      </c>
      <c r="O507" t="s">
        <v>83</v>
      </c>
      <c r="P507" t="s">
        <v>84</v>
      </c>
      <c r="Q507" t="s">
        <v>207</v>
      </c>
      <c r="R507">
        <v>3</v>
      </c>
      <c r="S507" t="s">
        <v>86</v>
      </c>
      <c r="T507" t="s">
        <v>87</v>
      </c>
      <c r="U507" t="s">
        <v>88</v>
      </c>
      <c r="V507">
        <v>1</v>
      </c>
      <c r="W507" t="s">
        <v>208</v>
      </c>
      <c r="X507" t="s">
        <v>83</v>
      </c>
      <c r="Y507" t="s">
        <v>90</v>
      </c>
      <c r="Z507">
        <v>4000</v>
      </c>
      <c r="AA507">
        <v>4000</v>
      </c>
      <c r="AC507">
        <v>256</v>
      </c>
      <c r="AD507" t="s">
        <v>91</v>
      </c>
      <c r="AE507">
        <v>0.15</v>
      </c>
      <c r="AF507" t="s">
        <v>92</v>
      </c>
      <c r="AG507">
        <v>180</v>
      </c>
      <c r="AH507">
        <v>60</v>
      </c>
      <c r="AI507">
        <v>120</v>
      </c>
      <c r="AJ507">
        <v>0.1181589350268719</v>
      </c>
      <c r="AK507">
        <v>24.357905752590629</v>
      </c>
      <c r="AL507">
        <v>0.67416659613310781</v>
      </c>
      <c r="AM507">
        <v>-0.2330277272465871</v>
      </c>
      <c r="AN507">
        <v>25.31491805327062</v>
      </c>
      <c r="AO507">
        <v>0.60820305471651492</v>
      </c>
      <c r="AP507">
        <v>25.31491805327062</v>
      </c>
      <c r="AQ507">
        <v>25.31491805327062</v>
      </c>
      <c r="AR507">
        <v>0.60820305471651492</v>
      </c>
      <c r="AS507">
        <v>123.5009644549956</v>
      </c>
      <c r="AT507">
        <v>-0.18138151889160289</v>
      </c>
      <c r="AU507">
        <v>0.8</v>
      </c>
      <c r="AV507" t="s">
        <v>93</v>
      </c>
      <c r="AW507">
        <v>9.133363440617169E-2</v>
      </c>
      <c r="AX507">
        <v>0.33679972360898808</v>
      </c>
      <c r="AY507">
        <v>9.133363440617169E-2</v>
      </c>
      <c r="AZ507">
        <v>9.133363440617169E-2</v>
      </c>
      <c r="BA507">
        <v>0.33679972360898808</v>
      </c>
      <c r="BB507">
        <v>0.14964543748008399</v>
      </c>
      <c r="BC507">
        <v>-8.6619361451134136E-2</v>
      </c>
      <c r="BD507">
        <v>7.4818573374332398E-2</v>
      </c>
      <c r="BE507">
        <v>0.74076962315928685</v>
      </c>
      <c r="BF507">
        <v>7.4818573374332398E-2</v>
      </c>
      <c r="BG507">
        <v>7.4818573374332398E-2</v>
      </c>
      <c r="BH507">
        <v>0.74076962315928685</v>
      </c>
      <c r="BI507">
        <v>0.1218570080090417</v>
      </c>
      <c r="BJ507">
        <v>0.5777914937134746</v>
      </c>
      <c r="BK507">
        <v>8.8993421916177068E-2</v>
      </c>
      <c r="BL507">
        <v>0.6427195597954195</v>
      </c>
      <c r="BM507">
        <v>8.8993421916177068E-2</v>
      </c>
      <c r="BN507">
        <v>8.8993421916177068E-2</v>
      </c>
      <c r="BO507">
        <v>0.6427195597954195</v>
      </c>
      <c r="BP507">
        <v>0.451525985193097</v>
      </c>
      <c r="BQ507">
        <v>-0.81273401202108264</v>
      </c>
      <c r="BR507">
        <v>101.0045265833854</v>
      </c>
      <c r="BS507">
        <v>0.71252331230236776</v>
      </c>
      <c r="BT507">
        <v>101.0045265833854</v>
      </c>
      <c r="BU507">
        <v>101.0045265833854</v>
      </c>
      <c r="BV507">
        <v>0.71252331230236776</v>
      </c>
      <c r="BW507">
        <v>493.28082938930021</v>
      </c>
      <c r="BX507">
        <v>-0.40396419580766718</v>
      </c>
      <c r="BY507" t="str">
        <f t="shared" si="19"/>
        <v>[[sv,wv],[yr],[ya]]</v>
      </c>
      <c r="BZ507" t="str">
        <f>SUBSTITUTE(TRIM(MID(SUBSTITUTE(SUBSTITUTE(SUBSTITUTE(Tabla1[[#This Row],[map]],"[",""),"]",""),",",REPT(" ",100)),901,200))," ",", ")</f>
        <v>2, 4</v>
      </c>
      <c r="CA507" t="str">
        <f>SUBSTITUTE(TRIM(MID(SUBSTITUTE(SUBSTITUTE(SUBSTITUTE(Tabla1[[#This Row],[map]],"[",""),"]",""),",",REPT(" ",100)),1501,200))," ",", ")</f>
        <v>3, 2</v>
      </c>
      <c r="CB507" t="str">
        <f>SUBSTITUTE(TRIM(MID(SUBSTITUTE(SUBSTITUTE(SUBSTITUTE(Tabla1[[#This Row],[map]],"[",""),"]",""),",",REPT(" ",100)),601,300))," ",", ")</f>
        <v>3, 0, 1</v>
      </c>
      <c r="CC507" t="str">
        <f>SUBSTITUTE(TRIM(MID(SUBSTITUTE(SUBSTITUTE(SUBSTITUTE(Tabla1[[#This Row],[map]],"[",""),"]",""),",",REPT(" ",100)),1201,300))," ",", ")</f>
        <v>0, 1, 4</v>
      </c>
      <c r="CD507" t="str">
        <f>SUBSTITUTE(TRIM(MID(SUBSTITUTE(SUBSTITUTE(SUBSTITUTE(Tabla1[[#This Row],[map]],"[",""),"]",""),",",REPT(" ",100)),1,300))," ",", ")</f>
        <v>4, 2, 3</v>
      </c>
      <c r="CE507" t="str">
        <f>SUBSTITUTE(TRIM(MID(SUBSTITUTE(SUBSTITUTE(SUBSTITUTE(Tabla1[[#This Row],[map]],"[",""),"]",""),",",REPT(" ",100)),1,600))," ",", ")</f>
        <v>4, 2, 3, 0, 1, -1</v>
      </c>
      <c r="CF507" t="str">
        <f>SUBSTITUTE(TRIM(MID(SUBSTITUTE(SUBSTITUTE(SUBSTITUTE(Tabla1[[#This Row],[map]],"[",""),"]",""),",",REPT(" ",100)),601,600))," ",", ")</f>
        <v>3, 0, 1, 2, 4, -1</v>
      </c>
      <c r="CG507" t="str">
        <f>SUBSTITUTE(TRIM(MID(SUBSTITUTE(SUBSTITUTE(SUBSTITUTE(Tabla1[[#This Row],[map]],"[",""),"]",""),",",REPT(" ",100)),1201,600))," ",", ")</f>
        <v>0, 1, 4, 3, 2, -1</v>
      </c>
    </row>
    <row r="508" spans="1:85" x14ac:dyDescent="0.3">
      <c r="A508" s="1">
        <v>46112.489293981482</v>
      </c>
      <c r="B508" t="s">
        <v>763</v>
      </c>
      <c r="C508">
        <v>6</v>
      </c>
      <c r="D508" t="s">
        <v>96</v>
      </c>
      <c r="E508" t="s">
        <v>78</v>
      </c>
      <c r="F508">
        <v>16590</v>
      </c>
      <c r="G508">
        <v>4.5</v>
      </c>
      <c r="H508" t="s">
        <v>79</v>
      </c>
      <c r="I508" t="s">
        <v>80</v>
      </c>
      <c r="J508">
        <v>5</v>
      </c>
      <c r="K508">
        <v>5</v>
      </c>
      <c r="L508" t="s">
        <v>81</v>
      </c>
      <c r="M508" t="s">
        <v>82</v>
      </c>
      <c r="N508" t="s">
        <v>83</v>
      </c>
      <c r="O508" t="s">
        <v>83</v>
      </c>
      <c r="P508" t="s">
        <v>84</v>
      </c>
      <c r="Q508" t="s">
        <v>237</v>
      </c>
      <c r="R508">
        <v>3</v>
      </c>
      <c r="S508" t="s">
        <v>86</v>
      </c>
      <c r="T508" t="s">
        <v>87</v>
      </c>
      <c r="U508" t="s">
        <v>88</v>
      </c>
      <c r="V508">
        <v>1</v>
      </c>
      <c r="W508" t="s">
        <v>238</v>
      </c>
      <c r="X508" t="s">
        <v>83</v>
      </c>
      <c r="Y508" t="s">
        <v>90</v>
      </c>
      <c r="Z508">
        <v>4000</v>
      </c>
      <c r="AA508">
        <v>4000</v>
      </c>
      <c r="AC508">
        <v>256</v>
      </c>
      <c r="AD508" t="s">
        <v>91</v>
      </c>
      <c r="AE508">
        <v>0.15</v>
      </c>
      <c r="AF508" t="s">
        <v>92</v>
      </c>
      <c r="AG508">
        <v>180</v>
      </c>
      <c r="AH508">
        <v>60</v>
      </c>
      <c r="AI508">
        <v>120</v>
      </c>
      <c r="AJ508">
        <v>0.1142581522744683</v>
      </c>
      <c r="AK508">
        <v>17.790197598665799</v>
      </c>
      <c r="AL508">
        <v>0.68402484559717436</v>
      </c>
      <c r="AM508">
        <v>0.25466360035049962</v>
      </c>
      <c r="AN508">
        <v>19.003212120309129</v>
      </c>
      <c r="AO508">
        <v>0.63282554994028628</v>
      </c>
      <c r="AP508">
        <v>19.003212120309129</v>
      </c>
      <c r="AQ508">
        <v>19.003212120309129</v>
      </c>
      <c r="AR508">
        <v>0.63282554994028628</v>
      </c>
      <c r="AS508">
        <v>82.242096250877537</v>
      </c>
      <c r="AT508">
        <v>0.25411750378552178</v>
      </c>
      <c r="AU508">
        <v>0.8</v>
      </c>
      <c r="AV508" t="s">
        <v>93</v>
      </c>
      <c r="AW508">
        <v>8.2892610881122611E-2</v>
      </c>
      <c r="AX508">
        <v>0.39809246829426148</v>
      </c>
      <c r="AY508">
        <v>8.2892610881122611E-2</v>
      </c>
      <c r="AZ508">
        <v>8.2892610881122611E-2</v>
      </c>
      <c r="BA508">
        <v>0.39809246829426148</v>
      </c>
      <c r="BB508">
        <v>0.10318580440902179</v>
      </c>
      <c r="BC508">
        <v>0.25073764502392393</v>
      </c>
      <c r="BD508">
        <v>0.1123531953523859</v>
      </c>
      <c r="BE508">
        <v>0.61072017472536899</v>
      </c>
      <c r="BF508">
        <v>0.1123531953523859</v>
      </c>
      <c r="BG508">
        <v>0.1123531953523859</v>
      </c>
      <c r="BH508">
        <v>0.61072017472536899</v>
      </c>
      <c r="BI508">
        <v>0.1130196560546026</v>
      </c>
      <c r="BJ508">
        <v>0.60841103073620506</v>
      </c>
      <c r="BK508">
        <v>6.5236984180625707E-2</v>
      </c>
      <c r="BL508">
        <v>0.73809414309715016</v>
      </c>
      <c r="BM508">
        <v>6.5236984180625707E-2</v>
      </c>
      <c r="BN508">
        <v>6.5236984180625707E-2</v>
      </c>
      <c r="BO508">
        <v>0.73809414309715016</v>
      </c>
      <c r="BP508">
        <v>0.22607894771199161</v>
      </c>
      <c r="BQ508">
        <v>9.2364534138159593E-2</v>
      </c>
      <c r="BR508">
        <v>75.752365690822089</v>
      </c>
      <c r="BS508">
        <v>0.7843954136443676</v>
      </c>
      <c r="BT508">
        <v>75.752365690822089</v>
      </c>
      <c r="BU508">
        <v>75.752365690822089</v>
      </c>
      <c r="BV508">
        <v>0.7843954136443676</v>
      </c>
      <c r="BW508">
        <v>328.52610059533441</v>
      </c>
      <c r="BX508">
        <v>6.4956805243803983E-2</v>
      </c>
      <c r="BY508" t="str">
        <f t="shared" si="19"/>
        <v>[[sv,wv],[yr],[ya]]</v>
      </c>
      <c r="BZ508" t="str">
        <f>SUBSTITUTE(TRIM(MID(SUBSTITUTE(SUBSTITUTE(SUBSTITUTE(Tabla1[[#This Row],[map]],"[",""),"]",""),",",REPT(" ",100)),901,200))," ",", ")</f>
        <v>2, 3</v>
      </c>
      <c r="CA508" t="str">
        <f>SUBSTITUTE(TRIM(MID(SUBSTITUTE(SUBSTITUTE(SUBSTITUTE(Tabla1[[#This Row],[map]],"[",""),"]",""),",",REPT(" ",100)),1501,200))," ",", ")</f>
        <v>3, 4</v>
      </c>
      <c r="CB508" t="str">
        <f>SUBSTITUTE(TRIM(MID(SUBSTITUTE(SUBSTITUTE(SUBSTITUTE(Tabla1[[#This Row],[map]],"[",""),"]",""),",",REPT(" ",100)),601,300))," ",", ")</f>
        <v>4, 0, 1</v>
      </c>
      <c r="CC508" t="str">
        <f>SUBSTITUTE(TRIM(MID(SUBSTITUTE(SUBSTITUTE(SUBSTITUTE(Tabla1[[#This Row],[map]],"[",""),"]",""),",",REPT(" ",100)),1201,300))," ",", ")</f>
        <v>0, 1, 2</v>
      </c>
      <c r="CD508" t="str">
        <f>SUBSTITUTE(TRIM(MID(SUBSTITUTE(SUBSTITUTE(SUBSTITUTE(Tabla1[[#This Row],[map]],"[",""),"]",""),",",REPT(" ",100)),1,300))," ",", ")</f>
        <v>4, 2, 3</v>
      </c>
      <c r="CE508" t="str">
        <f>SUBSTITUTE(TRIM(MID(SUBSTITUTE(SUBSTITUTE(SUBSTITUTE(Tabla1[[#This Row],[map]],"[",""),"]",""),",",REPT(" ",100)),1,600))," ",", ")</f>
        <v>4, 2, 3, 0, 1, -1</v>
      </c>
      <c r="CF508" t="str">
        <f>SUBSTITUTE(TRIM(MID(SUBSTITUTE(SUBSTITUTE(SUBSTITUTE(Tabla1[[#This Row],[map]],"[",""),"]",""),",",REPT(" ",100)),601,600))," ",", ")</f>
        <v>4, 0, 1, 2, 3, -1</v>
      </c>
      <c r="CG508" t="str">
        <f>SUBSTITUTE(TRIM(MID(SUBSTITUTE(SUBSTITUTE(SUBSTITUTE(Tabla1[[#This Row],[map]],"[",""),"]",""),",",REPT(" ",100)),1201,600))," ",", ")</f>
        <v>0, 1, 2, 3, 4, -1</v>
      </c>
    </row>
    <row r="509" spans="1:85" x14ac:dyDescent="0.3">
      <c r="A509" s="1">
        <v>46112.499571759261</v>
      </c>
      <c r="B509" t="s">
        <v>764</v>
      </c>
      <c r="C509">
        <v>7</v>
      </c>
      <c r="D509" t="s">
        <v>96</v>
      </c>
      <c r="E509" t="s">
        <v>78</v>
      </c>
      <c r="F509">
        <v>16590</v>
      </c>
      <c r="G509">
        <v>4.5</v>
      </c>
      <c r="H509" t="s">
        <v>79</v>
      </c>
      <c r="I509" t="s">
        <v>80</v>
      </c>
      <c r="J509">
        <v>5</v>
      </c>
      <c r="K509">
        <v>5</v>
      </c>
      <c r="L509" t="s">
        <v>81</v>
      </c>
      <c r="M509" t="s">
        <v>82</v>
      </c>
      <c r="N509" t="s">
        <v>83</v>
      </c>
      <c r="O509" t="s">
        <v>83</v>
      </c>
      <c r="P509" t="s">
        <v>84</v>
      </c>
      <c r="Q509" t="s">
        <v>207</v>
      </c>
      <c r="R509">
        <v>3</v>
      </c>
      <c r="S509" t="s">
        <v>86</v>
      </c>
      <c r="T509" t="s">
        <v>87</v>
      </c>
      <c r="U509" t="s">
        <v>88</v>
      </c>
      <c r="V509">
        <v>1</v>
      </c>
      <c r="W509" t="s">
        <v>208</v>
      </c>
      <c r="X509" t="s">
        <v>83</v>
      </c>
      <c r="Y509" t="s">
        <v>90</v>
      </c>
      <c r="Z509">
        <v>4000</v>
      </c>
      <c r="AA509">
        <v>4000</v>
      </c>
      <c r="AC509">
        <v>256</v>
      </c>
      <c r="AD509" t="s">
        <v>91</v>
      </c>
      <c r="AE509">
        <v>0.15</v>
      </c>
      <c r="AF509" t="s">
        <v>92</v>
      </c>
      <c r="AG509">
        <v>180</v>
      </c>
      <c r="AH509">
        <v>60</v>
      </c>
      <c r="AI509">
        <v>120</v>
      </c>
      <c r="AJ509">
        <v>0.13262625173704831</v>
      </c>
      <c r="AK509">
        <v>20.01741413285778</v>
      </c>
      <c r="AL509">
        <v>0.69742174602765816</v>
      </c>
      <c r="AM509">
        <v>5.9932038662910393E-2</v>
      </c>
      <c r="AN509">
        <v>26.426628893571181</v>
      </c>
      <c r="AO509">
        <v>0.61333731004430803</v>
      </c>
      <c r="AP509">
        <v>26.426628893571181</v>
      </c>
      <c r="AQ509">
        <v>26.426628893571181</v>
      </c>
      <c r="AR509">
        <v>0.61333731004430803</v>
      </c>
      <c r="AS509">
        <v>129.19530903751991</v>
      </c>
      <c r="AT509">
        <v>5.1553110681968363E-2</v>
      </c>
      <c r="AU509">
        <v>0.8</v>
      </c>
      <c r="AV509" t="s">
        <v>93</v>
      </c>
      <c r="AW509">
        <v>7.3140096039916835E-2</v>
      </c>
      <c r="AX509">
        <v>0.46890833563872442</v>
      </c>
      <c r="AY509">
        <v>7.3140096039916835E-2</v>
      </c>
      <c r="AZ509">
        <v>7.3140096039916835E-2</v>
      </c>
      <c r="BA509">
        <v>0.46890833563872442</v>
      </c>
      <c r="BB509">
        <v>8.2936147966634663E-2</v>
      </c>
      <c r="BC509">
        <v>0.3977763327617978</v>
      </c>
      <c r="BD509">
        <v>8.4260131634746355E-2</v>
      </c>
      <c r="BE509">
        <v>0.70805664033395099</v>
      </c>
      <c r="BF509">
        <v>8.4260131634746355E-2</v>
      </c>
      <c r="BG509">
        <v>8.4260131634746355E-2</v>
      </c>
      <c r="BH509">
        <v>0.70805664033395099</v>
      </c>
      <c r="BI509">
        <v>0.13168679089507529</v>
      </c>
      <c r="BJ509">
        <v>0.5437333954781628</v>
      </c>
      <c r="BK509">
        <v>0.10548890503613791</v>
      </c>
      <c r="BL509">
        <v>0.57649541262150872</v>
      </c>
      <c r="BM509">
        <v>0.10548890503613791</v>
      </c>
      <c r="BN509">
        <v>0.10548890503613791</v>
      </c>
      <c r="BO509">
        <v>0.57649541262150872</v>
      </c>
      <c r="BP509">
        <v>0.31533122596780078</v>
      </c>
      <c r="BQ509">
        <v>-0.26595513239329072</v>
      </c>
      <c r="BR509">
        <v>105.4436264415742</v>
      </c>
      <c r="BS509">
        <v>0.69988885158304948</v>
      </c>
      <c r="BT509">
        <v>105.4436264415742</v>
      </c>
      <c r="BU509">
        <v>105.4436264415742</v>
      </c>
      <c r="BV509">
        <v>0.69988885158304948</v>
      </c>
      <c r="BW509">
        <v>516.25128198525056</v>
      </c>
      <c r="BX509">
        <v>-0.46934215311879529</v>
      </c>
      <c r="BY509" t="str">
        <f t="shared" si="19"/>
        <v>[[sv,wv],[yr],[ya]]</v>
      </c>
      <c r="BZ509" t="str">
        <f>SUBSTITUTE(TRIM(MID(SUBSTITUTE(SUBSTITUTE(SUBSTITUTE(Tabla1[[#This Row],[map]],"[",""),"]",""),",",REPT(" ",100)),901,200))," ",", ")</f>
        <v>2, 4</v>
      </c>
      <c r="CA509" t="str">
        <f>SUBSTITUTE(TRIM(MID(SUBSTITUTE(SUBSTITUTE(SUBSTITUTE(Tabla1[[#This Row],[map]],"[",""),"]",""),",",REPT(" ",100)),1501,200))," ",", ")</f>
        <v>3, 2</v>
      </c>
      <c r="CB509" t="str">
        <f>SUBSTITUTE(TRIM(MID(SUBSTITUTE(SUBSTITUTE(SUBSTITUTE(Tabla1[[#This Row],[map]],"[",""),"]",""),",",REPT(" ",100)),601,300))," ",", ")</f>
        <v>3, 0, 1</v>
      </c>
      <c r="CC509" t="str">
        <f>SUBSTITUTE(TRIM(MID(SUBSTITUTE(SUBSTITUTE(SUBSTITUTE(Tabla1[[#This Row],[map]],"[",""),"]",""),",",REPT(" ",100)),1201,300))," ",", ")</f>
        <v>0, 1, 4</v>
      </c>
      <c r="CD509" t="str">
        <f>SUBSTITUTE(TRIM(MID(SUBSTITUTE(SUBSTITUTE(SUBSTITUTE(Tabla1[[#This Row],[map]],"[",""),"]",""),",",REPT(" ",100)),1,300))," ",", ")</f>
        <v>4, 2, 3</v>
      </c>
      <c r="CE509" t="str">
        <f>SUBSTITUTE(TRIM(MID(SUBSTITUTE(SUBSTITUTE(SUBSTITUTE(Tabla1[[#This Row],[map]],"[",""),"]",""),",",REPT(" ",100)),1,600))," ",", ")</f>
        <v>4, 2, 3, 0, 1, -1</v>
      </c>
      <c r="CF509" t="str">
        <f>SUBSTITUTE(TRIM(MID(SUBSTITUTE(SUBSTITUTE(SUBSTITUTE(Tabla1[[#This Row],[map]],"[",""),"]",""),",",REPT(" ",100)),601,600))," ",", ")</f>
        <v>3, 0, 1, 2, 4, -1</v>
      </c>
      <c r="CG509" t="str">
        <f>SUBSTITUTE(TRIM(MID(SUBSTITUTE(SUBSTITUTE(SUBSTITUTE(Tabla1[[#This Row],[map]],"[",""),"]",""),",",REPT(" ",100)),1201,600))," ",", ")</f>
        <v>0, 1, 4, 3, 2, -1</v>
      </c>
    </row>
    <row r="510" spans="1:85" x14ac:dyDescent="0.3">
      <c r="A510" s="1">
        <v>46112.501967592587</v>
      </c>
      <c r="B510" t="s">
        <v>765</v>
      </c>
      <c r="C510">
        <v>9</v>
      </c>
      <c r="D510" t="s">
        <v>77</v>
      </c>
      <c r="E510" t="s">
        <v>78</v>
      </c>
      <c r="F510">
        <v>16590</v>
      </c>
      <c r="G510">
        <v>4.5</v>
      </c>
      <c r="H510" t="s">
        <v>79</v>
      </c>
      <c r="I510" t="s">
        <v>80</v>
      </c>
      <c r="J510">
        <v>5</v>
      </c>
      <c r="K510">
        <v>5</v>
      </c>
      <c r="L510" t="s">
        <v>81</v>
      </c>
      <c r="M510" t="s">
        <v>82</v>
      </c>
      <c r="N510" t="s">
        <v>83</v>
      </c>
      <c r="O510" t="s">
        <v>83</v>
      </c>
      <c r="P510" t="s">
        <v>84</v>
      </c>
      <c r="Q510" t="s">
        <v>183</v>
      </c>
      <c r="R510">
        <v>3</v>
      </c>
      <c r="S510" t="s">
        <v>86</v>
      </c>
      <c r="T510" t="s">
        <v>87</v>
      </c>
      <c r="U510" t="s">
        <v>88</v>
      </c>
      <c r="V510">
        <v>1</v>
      </c>
      <c r="W510" t="s">
        <v>184</v>
      </c>
      <c r="X510" t="s">
        <v>83</v>
      </c>
      <c r="Y510" t="s">
        <v>90</v>
      </c>
      <c r="Z510">
        <v>4000</v>
      </c>
      <c r="AA510">
        <v>4000</v>
      </c>
      <c r="AC510">
        <v>256</v>
      </c>
      <c r="AD510" t="s">
        <v>91</v>
      </c>
      <c r="AE510">
        <v>0.15</v>
      </c>
      <c r="AF510" t="s">
        <v>92</v>
      </c>
      <c r="AG510">
        <v>180</v>
      </c>
      <c r="AH510">
        <v>60</v>
      </c>
      <c r="AI510">
        <v>120</v>
      </c>
      <c r="AJ510">
        <v>0.10075658171094561</v>
      </c>
      <c r="AK510">
        <v>13.76762696548467</v>
      </c>
      <c r="AL510">
        <v>0.76549577954589698</v>
      </c>
      <c r="AM510">
        <v>-0.25017047112005358</v>
      </c>
      <c r="AN510">
        <v>17.178528561013849</v>
      </c>
      <c r="AO510">
        <v>0.69800700400878513</v>
      </c>
      <c r="AP510">
        <v>17.178528561013849</v>
      </c>
      <c r="AQ510">
        <v>17.178528561013849</v>
      </c>
      <c r="AR510">
        <v>0.69800700400878513</v>
      </c>
      <c r="AS510">
        <v>133.4917677668673</v>
      </c>
      <c r="AT510">
        <v>-0.25401406087940431</v>
      </c>
      <c r="AU510">
        <v>0.8</v>
      </c>
      <c r="AV510" t="s">
        <v>93</v>
      </c>
      <c r="AW510">
        <v>6.9453383952811087E-2</v>
      </c>
      <c r="AX510">
        <v>0.49567863215697378</v>
      </c>
      <c r="AY510">
        <v>6.9453383952811087E-2</v>
      </c>
      <c r="AZ510">
        <v>6.9453383952811087E-2</v>
      </c>
      <c r="BA510">
        <v>0.49567863215697378</v>
      </c>
      <c r="BB510">
        <v>0.1640806789392257</v>
      </c>
      <c r="BC510">
        <v>-0.19143787861316269</v>
      </c>
      <c r="BD510">
        <v>6.2167864139717588E-2</v>
      </c>
      <c r="BE510">
        <v>0.7846016286933104</v>
      </c>
      <c r="BF510">
        <v>6.2167864139717588E-2</v>
      </c>
      <c r="BG510">
        <v>6.2167864139717588E-2</v>
      </c>
      <c r="BH510">
        <v>0.7846016286933104</v>
      </c>
      <c r="BI510">
        <v>0.32510587248655509</v>
      </c>
      <c r="BJ510">
        <v>-0.12642241139993621</v>
      </c>
      <c r="BK510">
        <v>7.3047419906232619E-2</v>
      </c>
      <c r="BL510">
        <v>0.70673771411453612</v>
      </c>
      <c r="BM510">
        <v>7.3047419906232619E-2</v>
      </c>
      <c r="BN510">
        <v>7.3047419906232619E-2</v>
      </c>
      <c r="BO510">
        <v>0.70673771411453612</v>
      </c>
      <c r="BP510">
        <v>0.29408565189098951</v>
      </c>
      <c r="BQ510">
        <v>-0.18066087249044299</v>
      </c>
      <c r="BR510">
        <v>68.509445576056677</v>
      </c>
      <c r="BS510">
        <v>0.80501004107032115</v>
      </c>
      <c r="BT510">
        <v>68.509445576056677</v>
      </c>
      <c r="BU510">
        <v>68.509445576056677</v>
      </c>
      <c r="BV510">
        <v>0.80501004107032115</v>
      </c>
      <c r="BW510">
        <v>533.18379886415039</v>
      </c>
      <c r="BX510">
        <v>-0.5175350810140793</v>
      </c>
      <c r="BY510" t="str">
        <f t="shared" si="19"/>
        <v>[[sv,wv],[yr],[ya]]</v>
      </c>
      <c r="BZ510" t="str">
        <f>SUBSTITUTE(TRIM(MID(SUBSTITUTE(SUBSTITUTE(SUBSTITUTE(Tabla1[[#This Row],[map]],"[",""),"]",""),",",REPT(" ",100)),901,200))," ",", ")</f>
        <v>2, 4</v>
      </c>
      <c r="CA510" t="str">
        <f>SUBSTITUTE(TRIM(MID(SUBSTITUTE(SUBSTITUTE(SUBSTITUTE(Tabla1[[#This Row],[map]],"[",""),"]",""),",",REPT(" ",100)),1501,200))," ",", ")</f>
        <v>3, 4</v>
      </c>
      <c r="CB510" t="str">
        <f>SUBSTITUTE(TRIM(MID(SUBSTITUTE(SUBSTITUTE(SUBSTITUTE(Tabla1[[#This Row],[map]],"[",""),"]",""),",",REPT(" ",100)),601,300))," ",", ")</f>
        <v>3, 0, 1</v>
      </c>
      <c r="CC510" t="str">
        <f>SUBSTITUTE(TRIM(MID(SUBSTITUTE(SUBSTITUTE(SUBSTITUTE(Tabla1[[#This Row],[map]],"[",""),"]",""),",",REPT(" ",100)),1201,300))," ",", ")</f>
        <v>2, 0, 1</v>
      </c>
      <c r="CD510" t="str">
        <f>SUBSTITUTE(TRIM(MID(SUBSTITUTE(SUBSTITUTE(SUBSTITUTE(Tabla1[[#This Row],[map]],"[",""),"]",""),",",REPT(" ",100)),1,300))," ",", ")</f>
        <v>2, 3, 4</v>
      </c>
      <c r="CE510" t="str">
        <f>SUBSTITUTE(TRIM(MID(SUBSTITUTE(SUBSTITUTE(SUBSTITUTE(Tabla1[[#This Row],[map]],"[",""),"]",""),",",REPT(" ",100)),1,600))," ",", ")</f>
        <v>2, 3, 4, 0, 1, -1</v>
      </c>
      <c r="CF510" t="str">
        <f>SUBSTITUTE(TRIM(MID(SUBSTITUTE(SUBSTITUTE(SUBSTITUTE(Tabla1[[#This Row],[map]],"[",""),"]",""),",",REPT(" ",100)),601,600))," ",", ")</f>
        <v>3, 0, 1, 2, 4, -1</v>
      </c>
      <c r="CG510" t="str">
        <f>SUBSTITUTE(TRIM(MID(SUBSTITUTE(SUBSTITUTE(SUBSTITUTE(Tabla1[[#This Row],[map]],"[",""),"]",""),",",REPT(" ",100)),1201,600))," ",", ")</f>
        <v>2, 0, 1, 3, 4, -1</v>
      </c>
    </row>
    <row r="511" spans="1:85" x14ac:dyDescent="0.3">
      <c r="A511" s="1">
        <v>46112.514050925929</v>
      </c>
      <c r="B511" t="s">
        <v>766</v>
      </c>
      <c r="C511">
        <v>6</v>
      </c>
      <c r="D511" t="s">
        <v>77</v>
      </c>
      <c r="E511" t="s">
        <v>78</v>
      </c>
      <c r="F511">
        <v>16590</v>
      </c>
      <c r="G511">
        <v>4.5</v>
      </c>
      <c r="H511" t="s">
        <v>79</v>
      </c>
      <c r="I511" t="s">
        <v>80</v>
      </c>
      <c r="J511">
        <v>5</v>
      </c>
      <c r="K511">
        <v>5</v>
      </c>
      <c r="L511" t="s">
        <v>81</v>
      </c>
      <c r="M511" t="s">
        <v>82</v>
      </c>
      <c r="N511" t="s">
        <v>83</v>
      </c>
      <c r="O511" t="s">
        <v>83</v>
      </c>
      <c r="P511" t="s">
        <v>84</v>
      </c>
      <c r="Q511" t="s">
        <v>533</v>
      </c>
      <c r="R511">
        <v>3</v>
      </c>
      <c r="S511" t="s">
        <v>86</v>
      </c>
      <c r="T511" t="s">
        <v>87</v>
      </c>
      <c r="U511" t="s">
        <v>88</v>
      </c>
      <c r="V511">
        <v>1</v>
      </c>
      <c r="W511" t="s">
        <v>534</v>
      </c>
      <c r="X511" t="s">
        <v>83</v>
      </c>
      <c r="Y511" t="s">
        <v>90</v>
      </c>
      <c r="Z511">
        <v>4000</v>
      </c>
      <c r="AA511">
        <v>4000</v>
      </c>
      <c r="AC511">
        <v>256</v>
      </c>
      <c r="AD511" t="s">
        <v>91</v>
      </c>
      <c r="AE511">
        <v>0.15</v>
      </c>
      <c r="AF511" t="s">
        <v>92</v>
      </c>
      <c r="AG511">
        <v>180</v>
      </c>
      <c r="AH511">
        <v>60</v>
      </c>
      <c r="AI511">
        <v>120</v>
      </c>
      <c r="AJ511">
        <v>0.11885593523031331</v>
      </c>
      <c r="AK511">
        <v>18.077257549564571</v>
      </c>
      <c r="AL511">
        <v>0.69252299453932842</v>
      </c>
      <c r="AM511">
        <v>-1.995297169243784E-2</v>
      </c>
      <c r="AN511">
        <v>23.426048873751821</v>
      </c>
      <c r="AO511">
        <v>0.65957533981926741</v>
      </c>
      <c r="AP511">
        <v>23.426048873751821</v>
      </c>
      <c r="AQ511">
        <v>23.426048873751821</v>
      </c>
      <c r="AR511">
        <v>0.65957533981926741</v>
      </c>
      <c r="AS511">
        <v>97.37371524058824</v>
      </c>
      <c r="AT511">
        <v>3.2205690612807651E-3</v>
      </c>
      <c r="AU511">
        <v>0.8</v>
      </c>
      <c r="AV511" t="s">
        <v>93</v>
      </c>
      <c r="AW511">
        <v>8.1589835958203641E-2</v>
      </c>
      <c r="AX511">
        <v>0.40755229866860998</v>
      </c>
      <c r="AY511">
        <v>8.1589835958203641E-2</v>
      </c>
      <c r="AZ511">
        <v>8.1589835958203641E-2</v>
      </c>
      <c r="BA511">
        <v>0.40755229866860998</v>
      </c>
      <c r="BB511">
        <v>0.12583676509114719</v>
      </c>
      <c r="BC511">
        <v>8.6262383718736735E-2</v>
      </c>
      <c r="BD511">
        <v>8.7854580375992156E-2</v>
      </c>
      <c r="BE511">
        <v>0.69560264315512432</v>
      </c>
      <c r="BF511">
        <v>8.7854580375992156E-2</v>
      </c>
      <c r="BG511">
        <v>8.7854580375992156E-2</v>
      </c>
      <c r="BH511">
        <v>0.69560264315512432</v>
      </c>
      <c r="BI511">
        <v>0.12063714473417229</v>
      </c>
      <c r="BJ511">
        <v>0.5820180594200457</v>
      </c>
      <c r="BK511">
        <v>4.951277104932969E-2</v>
      </c>
      <c r="BL511">
        <v>0.80122188522073823</v>
      </c>
      <c r="BM511">
        <v>4.951277104932969E-2</v>
      </c>
      <c r="BN511">
        <v>4.951277104932969E-2</v>
      </c>
      <c r="BO511">
        <v>0.80122188522073823</v>
      </c>
      <c r="BP511">
        <v>0.3857406069818452</v>
      </c>
      <c r="BQ511">
        <v>-0.54862652654334543</v>
      </c>
      <c r="BR511">
        <v>93.485238307623746</v>
      </c>
      <c r="BS511">
        <v>0.73392453223259591</v>
      </c>
      <c r="BT511">
        <v>93.485238307623746</v>
      </c>
      <c r="BU511">
        <v>93.485238307623746</v>
      </c>
      <c r="BV511">
        <v>0.73392453223259591</v>
      </c>
      <c r="BW511">
        <v>388.86264644554433</v>
      </c>
      <c r="BX511">
        <v>-0.10677164035031519</v>
      </c>
      <c r="BY511" t="str">
        <f t="shared" si="19"/>
        <v>[[sv,wv],[yr],[ya]]</v>
      </c>
      <c r="BZ511" t="str">
        <f>SUBSTITUTE(TRIM(MID(SUBSTITUTE(SUBSTITUTE(SUBSTITUTE(Tabla1[[#This Row],[map]],"[",""),"]",""),",",REPT(" ",100)),901,200))," ",", ")</f>
        <v>2, 4</v>
      </c>
      <c r="CA511" t="str">
        <f>SUBSTITUTE(TRIM(MID(SUBSTITUTE(SUBSTITUTE(SUBSTITUTE(Tabla1[[#This Row],[map]],"[",""),"]",""),",",REPT(" ",100)),1501,200))," ",", ")</f>
        <v>3, 4</v>
      </c>
      <c r="CB511" t="str">
        <f>SUBSTITUTE(TRIM(MID(SUBSTITUTE(SUBSTITUTE(SUBSTITUTE(Tabla1[[#This Row],[map]],"[",""),"]",""),",",REPT(" ",100)),601,300))," ",", ")</f>
        <v>1, 3, 0</v>
      </c>
      <c r="CC511" t="str">
        <f>SUBSTITUTE(TRIM(MID(SUBSTITUTE(SUBSTITUTE(SUBSTITUTE(Tabla1[[#This Row],[map]],"[",""),"]",""),",",REPT(" ",100)),1201,300))," ",", ")</f>
        <v>1, 2, 0</v>
      </c>
      <c r="CD511" t="str">
        <f>SUBSTITUTE(TRIM(MID(SUBSTITUTE(SUBSTITUTE(SUBSTITUTE(Tabla1[[#This Row],[map]],"[",""),"]",""),",",REPT(" ",100)),1,300))," ",", ")</f>
        <v>4, 2, 3</v>
      </c>
      <c r="CE511" t="str">
        <f>SUBSTITUTE(TRIM(MID(SUBSTITUTE(SUBSTITUTE(SUBSTITUTE(Tabla1[[#This Row],[map]],"[",""),"]",""),",",REPT(" ",100)),1,600))," ",", ")</f>
        <v>4, 2, 3, 0, 1, -1</v>
      </c>
      <c r="CF511" t="str">
        <f>SUBSTITUTE(TRIM(MID(SUBSTITUTE(SUBSTITUTE(SUBSTITUTE(Tabla1[[#This Row],[map]],"[",""),"]",""),",",REPT(" ",100)),601,600))," ",", ")</f>
        <v>1, 3, 0, 2, 4, -1</v>
      </c>
      <c r="CG511" t="str">
        <f>SUBSTITUTE(TRIM(MID(SUBSTITUTE(SUBSTITUTE(SUBSTITUTE(Tabla1[[#This Row],[map]],"[",""),"]",""),",",REPT(" ",100)),1201,600))," ",", ")</f>
        <v>1, 2, 0, 3, 4, -1</v>
      </c>
    </row>
    <row r="512" spans="1:85" x14ac:dyDescent="0.3">
      <c r="A512" s="1">
        <v>46112.561921296299</v>
      </c>
      <c r="B512" t="s">
        <v>767</v>
      </c>
      <c r="C512">
        <v>9</v>
      </c>
      <c r="D512" t="s">
        <v>77</v>
      </c>
      <c r="E512" t="s">
        <v>78</v>
      </c>
      <c r="F512">
        <v>16590</v>
      </c>
      <c r="G512">
        <v>4.5</v>
      </c>
      <c r="H512" t="s">
        <v>79</v>
      </c>
      <c r="I512" t="s">
        <v>80</v>
      </c>
      <c r="J512">
        <v>5</v>
      </c>
      <c r="K512">
        <v>5</v>
      </c>
      <c r="L512" t="s">
        <v>81</v>
      </c>
      <c r="M512" t="s">
        <v>82</v>
      </c>
      <c r="N512" t="s">
        <v>83</v>
      </c>
      <c r="O512" t="s">
        <v>83</v>
      </c>
      <c r="P512" t="s">
        <v>84</v>
      </c>
      <c r="Q512" t="s">
        <v>271</v>
      </c>
      <c r="R512">
        <v>3</v>
      </c>
      <c r="S512" t="s">
        <v>86</v>
      </c>
      <c r="T512" t="s">
        <v>87</v>
      </c>
      <c r="U512" t="s">
        <v>88</v>
      </c>
      <c r="V512">
        <v>1</v>
      </c>
      <c r="W512" t="s">
        <v>272</v>
      </c>
      <c r="X512" t="s">
        <v>83</v>
      </c>
      <c r="Y512" t="s">
        <v>90</v>
      </c>
      <c r="Z512">
        <v>4000</v>
      </c>
      <c r="AA512">
        <v>4000</v>
      </c>
      <c r="AC512">
        <v>256</v>
      </c>
      <c r="AD512" t="s">
        <v>91</v>
      </c>
      <c r="AE512">
        <v>0.15</v>
      </c>
      <c r="AF512" t="s">
        <v>92</v>
      </c>
      <c r="AG512">
        <v>180</v>
      </c>
      <c r="AH512">
        <v>60</v>
      </c>
      <c r="AI512">
        <v>120</v>
      </c>
      <c r="AJ512">
        <v>0.12693681695131381</v>
      </c>
      <c r="AK512">
        <v>17.11480787438067</v>
      </c>
      <c r="AL512">
        <v>0.64835358453666614</v>
      </c>
      <c r="AM512">
        <v>2.8347888967454851E-2</v>
      </c>
      <c r="AN512">
        <v>19.410541120178351</v>
      </c>
      <c r="AO512">
        <v>0.600512895902369</v>
      </c>
      <c r="AP512">
        <v>19.410541120178351</v>
      </c>
      <c r="AQ512">
        <v>19.410541120178351</v>
      </c>
      <c r="AR512">
        <v>0.600512895902369</v>
      </c>
      <c r="AS512">
        <v>77.554611811049867</v>
      </c>
      <c r="AT512">
        <v>0.1027779696029377</v>
      </c>
      <c r="AU512">
        <v>0.8</v>
      </c>
      <c r="AV512" t="s">
        <v>93</v>
      </c>
      <c r="AW512">
        <v>0.1154119910006346</v>
      </c>
      <c r="AX512">
        <v>0.161959722416502</v>
      </c>
      <c r="AY512">
        <v>0.1154119910006346</v>
      </c>
      <c r="AZ512">
        <v>0.1154119910006346</v>
      </c>
      <c r="BA512">
        <v>0.161959722416502</v>
      </c>
      <c r="BB512">
        <v>0.21238363641504679</v>
      </c>
      <c r="BC512">
        <v>-0.5421798036087937</v>
      </c>
      <c r="BD512">
        <v>7.9539577312575369E-2</v>
      </c>
      <c r="BE512">
        <v>0.72441235283478911</v>
      </c>
      <c r="BF512">
        <v>7.9539577312575369E-2</v>
      </c>
      <c r="BG512">
        <v>7.9539577312575369E-2</v>
      </c>
      <c r="BH512">
        <v>0.72441235283478911</v>
      </c>
      <c r="BI512">
        <v>0.1234710268274416</v>
      </c>
      <c r="BJ512">
        <v>0.57219926323310344</v>
      </c>
      <c r="BK512">
        <v>6.5778354654575183E-2</v>
      </c>
      <c r="BL512">
        <v>0.73592071188075514</v>
      </c>
      <c r="BM512">
        <v>6.5778354654575183E-2</v>
      </c>
      <c r="BN512">
        <v>6.5778354654575183E-2</v>
      </c>
      <c r="BO512">
        <v>0.73592071188075514</v>
      </c>
      <c r="BP512">
        <v>0.1836881710011608</v>
      </c>
      <c r="BQ512">
        <v>0.26255009434872367</v>
      </c>
      <c r="BR512">
        <v>77.381434557745379</v>
      </c>
      <c r="BS512">
        <v>0.77975879647743485</v>
      </c>
      <c r="BT512">
        <v>77.381434557745379</v>
      </c>
      <c r="BU512">
        <v>77.381434557745379</v>
      </c>
      <c r="BV512">
        <v>0.77975879647743485</v>
      </c>
      <c r="BW512">
        <v>309.69890440995522</v>
      </c>
      <c r="BX512">
        <v>0.1185423244387088</v>
      </c>
      <c r="BY512" t="str">
        <f t="shared" si="19"/>
        <v>[[sv,wv],[yr],[ya]]</v>
      </c>
      <c r="BZ512" t="str">
        <f>SUBSTITUTE(TRIM(MID(SUBSTITUTE(SUBSTITUTE(SUBSTITUTE(Tabla1[[#This Row],[map]],"[",""),"]",""),",",REPT(" ",100)),901,200))," ",", ")</f>
        <v>2, 4</v>
      </c>
      <c r="CA512" t="str">
        <f>SUBSTITUTE(TRIM(MID(SUBSTITUTE(SUBSTITUTE(SUBSTITUTE(Tabla1[[#This Row],[map]],"[",""),"]",""),",",REPT(" ",100)),1501,200))," ",", ")</f>
        <v>3, 4</v>
      </c>
      <c r="CB512" t="str">
        <f>SUBSTITUTE(TRIM(MID(SUBSTITUTE(SUBSTITUTE(SUBSTITUTE(Tabla1[[#This Row],[map]],"[",""),"]",""),",",REPT(" ",100)),601,300))," ",", ")</f>
        <v>0, 1, 3</v>
      </c>
      <c r="CC512" t="str">
        <f>SUBSTITUTE(TRIM(MID(SUBSTITUTE(SUBSTITUTE(SUBSTITUTE(Tabla1[[#This Row],[map]],"[",""),"]",""),",",REPT(" ",100)),1201,300))," ",", ")</f>
        <v>0, 1, 2</v>
      </c>
      <c r="CD512" t="str">
        <f>SUBSTITUTE(TRIM(MID(SUBSTITUTE(SUBSTITUTE(SUBSTITUTE(Tabla1[[#This Row],[map]],"[",""),"]",""),",",REPT(" ",100)),1,300))," ",", ")</f>
        <v>4, 2, 3</v>
      </c>
      <c r="CE512" t="str">
        <f>SUBSTITUTE(TRIM(MID(SUBSTITUTE(SUBSTITUTE(SUBSTITUTE(Tabla1[[#This Row],[map]],"[",""),"]",""),",",REPT(" ",100)),1,600))," ",", ")</f>
        <v>4, 2, 3, 0, 1, -1</v>
      </c>
      <c r="CF512" t="str">
        <f>SUBSTITUTE(TRIM(MID(SUBSTITUTE(SUBSTITUTE(SUBSTITUTE(Tabla1[[#This Row],[map]],"[",""),"]",""),",",REPT(" ",100)),601,600))," ",", ")</f>
        <v>0, 1, 3, 2, 4, -1</v>
      </c>
      <c r="CG512" t="str">
        <f>SUBSTITUTE(TRIM(MID(SUBSTITUTE(SUBSTITUTE(SUBSTITUTE(Tabla1[[#This Row],[map]],"[",""),"]",""),",",REPT(" ",100)),1201,600))," ",", ")</f>
        <v>0, 1, 2, 3, 4, -1</v>
      </c>
    </row>
    <row r="513" spans="1:85" x14ac:dyDescent="0.3">
      <c r="A513" s="1">
        <v>46112.642766203702</v>
      </c>
      <c r="B513" t="s">
        <v>768</v>
      </c>
      <c r="C513">
        <v>7</v>
      </c>
      <c r="D513" t="s">
        <v>96</v>
      </c>
      <c r="E513" t="s">
        <v>78</v>
      </c>
      <c r="F513">
        <v>16590</v>
      </c>
      <c r="G513">
        <v>4.5</v>
      </c>
      <c r="H513" t="s">
        <v>79</v>
      </c>
      <c r="I513" t="s">
        <v>80</v>
      </c>
      <c r="J513">
        <v>5</v>
      </c>
      <c r="K513">
        <v>5</v>
      </c>
      <c r="L513" t="s">
        <v>81</v>
      </c>
      <c r="M513" t="s">
        <v>82</v>
      </c>
      <c r="N513" t="s">
        <v>83</v>
      </c>
      <c r="O513" t="s">
        <v>83</v>
      </c>
      <c r="P513" t="s">
        <v>84</v>
      </c>
      <c r="Q513" t="s">
        <v>517</v>
      </c>
      <c r="R513">
        <v>3</v>
      </c>
      <c r="S513" t="s">
        <v>86</v>
      </c>
      <c r="T513" t="s">
        <v>87</v>
      </c>
      <c r="U513" t="s">
        <v>88</v>
      </c>
      <c r="V513">
        <v>1</v>
      </c>
      <c r="W513" t="s">
        <v>518</v>
      </c>
      <c r="X513" t="s">
        <v>83</v>
      </c>
      <c r="Y513" t="s">
        <v>90</v>
      </c>
      <c r="Z513">
        <v>4000</v>
      </c>
      <c r="AA513">
        <v>4000</v>
      </c>
      <c r="AC513">
        <v>256</v>
      </c>
      <c r="AD513" t="s">
        <v>91</v>
      </c>
      <c r="AE513">
        <v>0.15</v>
      </c>
      <c r="AF513" t="s">
        <v>92</v>
      </c>
      <c r="AG513">
        <v>180</v>
      </c>
      <c r="AH513">
        <v>60</v>
      </c>
      <c r="AI513">
        <v>120</v>
      </c>
      <c r="AJ513">
        <v>0.10953009138396561</v>
      </c>
      <c r="AK513">
        <v>7.2193357631504549</v>
      </c>
      <c r="AL513">
        <v>0.75505924156346038</v>
      </c>
      <c r="AM513">
        <v>2.7920262987307039E-2</v>
      </c>
      <c r="AN513">
        <v>10.090075117097649</v>
      </c>
      <c r="AO513">
        <v>0.71322367628747185</v>
      </c>
      <c r="AP513">
        <v>10.090075117097649</v>
      </c>
      <c r="AQ513">
        <v>10.090075117097649</v>
      </c>
      <c r="AR513">
        <v>0.71322367628747185</v>
      </c>
      <c r="AS513">
        <v>117.7137957456145</v>
      </c>
      <c r="AT513">
        <v>1.3185239851903809E-2</v>
      </c>
      <c r="AU513">
        <v>0.8</v>
      </c>
      <c r="AV513" t="s">
        <v>93</v>
      </c>
      <c r="AW513">
        <v>8.0417259193069066E-2</v>
      </c>
      <c r="AX513">
        <v>0.41606672207662432</v>
      </c>
      <c r="AY513">
        <v>8.0417259193069066E-2</v>
      </c>
      <c r="AZ513">
        <v>8.0417259193069066E-2</v>
      </c>
      <c r="BA513">
        <v>0.41606672207662432</v>
      </c>
      <c r="BB513">
        <v>0.1019967194458113</v>
      </c>
      <c r="BC513">
        <v>0.25937193929438529</v>
      </c>
      <c r="BD513">
        <v>9.6946343446456112E-2</v>
      </c>
      <c r="BE513">
        <v>0.66410162595300526</v>
      </c>
      <c r="BF513">
        <v>9.6946343446456112E-2</v>
      </c>
      <c r="BG513">
        <v>9.6946343446456112E-2</v>
      </c>
      <c r="BH513">
        <v>0.66410162595300526</v>
      </c>
      <c r="BI513">
        <v>0.119037606702944</v>
      </c>
      <c r="BJ513">
        <v>0.58756011706570288</v>
      </c>
      <c r="BK513">
        <v>2.814319386373906E-2</v>
      </c>
      <c r="BL513">
        <v>0.88701397838291507</v>
      </c>
      <c r="BM513">
        <v>2.814319386373906E-2</v>
      </c>
      <c r="BN513">
        <v>2.814319386373906E-2</v>
      </c>
      <c r="BO513">
        <v>0.88701397838291507</v>
      </c>
      <c r="BP513">
        <v>0.36259777190609133</v>
      </c>
      <c r="BQ513">
        <v>-0.4557153638370115</v>
      </c>
      <c r="BR513">
        <v>40.154793671887283</v>
      </c>
      <c r="BS513">
        <v>0.88571237873734232</v>
      </c>
      <c r="BT513">
        <v>40.154793671887283</v>
      </c>
      <c r="BU513">
        <v>40.154793671887283</v>
      </c>
      <c r="BV513">
        <v>0.88571237873734232</v>
      </c>
      <c r="BW513">
        <v>470.27155088440418</v>
      </c>
      <c r="BX513">
        <v>-0.33847573311546258</v>
      </c>
      <c r="BY513" t="str">
        <f t="shared" si="19"/>
        <v>[[sv,wv],[yr],[ya]]</v>
      </c>
      <c r="BZ513" t="str">
        <f>SUBSTITUTE(TRIM(MID(SUBSTITUTE(SUBSTITUTE(SUBSTITUTE(Tabla1[[#This Row],[map]],"[",""),"]",""),",",REPT(" ",100)),901,200))," ",", ")</f>
        <v>2, 4</v>
      </c>
      <c r="CA513" t="str">
        <f>SUBSTITUTE(TRIM(MID(SUBSTITUTE(SUBSTITUTE(SUBSTITUTE(Tabla1[[#This Row],[map]],"[",""),"]",""),",",REPT(" ",100)),1501,200))," ",", ")</f>
        <v>3, 2</v>
      </c>
      <c r="CB513" t="str">
        <f>SUBSTITUTE(TRIM(MID(SUBSTITUTE(SUBSTITUTE(SUBSTITUTE(Tabla1[[#This Row],[map]],"[",""),"]",""),",",REPT(" ",100)),601,300))," ",", ")</f>
        <v>1, 3, 0</v>
      </c>
      <c r="CC513" t="str">
        <f>SUBSTITUTE(TRIM(MID(SUBSTITUTE(SUBSTITUTE(SUBSTITUTE(Tabla1[[#This Row],[map]],"[",""),"]",""),",",REPT(" ",100)),1201,300))," ",", ")</f>
        <v>1, 4, 0</v>
      </c>
      <c r="CD513" t="str">
        <f>SUBSTITUTE(TRIM(MID(SUBSTITUTE(SUBSTITUTE(SUBSTITUTE(Tabla1[[#This Row],[map]],"[",""),"]",""),",",REPT(" ",100)),1,300))," ",", ")</f>
        <v>4, 2, 3</v>
      </c>
      <c r="CE513" t="str">
        <f>SUBSTITUTE(TRIM(MID(SUBSTITUTE(SUBSTITUTE(SUBSTITUTE(Tabla1[[#This Row],[map]],"[",""),"]",""),",",REPT(" ",100)),1,600))," ",", ")</f>
        <v>4, 2, 3, 0, 1, -1</v>
      </c>
      <c r="CF513" t="str">
        <f>SUBSTITUTE(TRIM(MID(SUBSTITUTE(SUBSTITUTE(SUBSTITUTE(Tabla1[[#This Row],[map]],"[",""),"]",""),",",REPT(" ",100)),601,600))," ",", ")</f>
        <v>1, 3, 0, 2, 4, -1</v>
      </c>
      <c r="CG513" t="str">
        <f>SUBSTITUTE(TRIM(MID(SUBSTITUTE(SUBSTITUTE(SUBSTITUTE(Tabla1[[#This Row],[map]],"[",""),"]",""),",",REPT(" ",100)),1201,600))," ",", ")</f>
        <v>1, 4, 0, 3, 2, -1</v>
      </c>
    </row>
    <row r="514" spans="1:85" x14ac:dyDescent="0.3">
      <c r="A514" s="1">
        <v>46112.650011574071</v>
      </c>
      <c r="B514" t="s">
        <v>769</v>
      </c>
      <c r="C514">
        <v>8</v>
      </c>
      <c r="D514" t="s">
        <v>77</v>
      </c>
      <c r="E514" t="s">
        <v>78</v>
      </c>
      <c r="F514">
        <v>16590</v>
      </c>
      <c r="G514">
        <v>4.5</v>
      </c>
      <c r="H514" t="s">
        <v>79</v>
      </c>
      <c r="I514" t="s">
        <v>80</v>
      </c>
      <c r="J514">
        <v>5</v>
      </c>
      <c r="K514">
        <v>5</v>
      </c>
      <c r="L514" t="s">
        <v>81</v>
      </c>
      <c r="M514" t="s">
        <v>82</v>
      </c>
      <c r="N514" t="s">
        <v>83</v>
      </c>
      <c r="O514" t="s">
        <v>83</v>
      </c>
      <c r="P514" t="s">
        <v>84</v>
      </c>
      <c r="Q514" t="s">
        <v>509</v>
      </c>
      <c r="R514">
        <v>3</v>
      </c>
      <c r="S514" t="s">
        <v>86</v>
      </c>
      <c r="T514" t="s">
        <v>87</v>
      </c>
      <c r="U514" t="s">
        <v>88</v>
      </c>
      <c r="V514">
        <v>1</v>
      </c>
      <c r="W514" t="s">
        <v>510</v>
      </c>
      <c r="X514" t="s">
        <v>83</v>
      </c>
      <c r="Y514" t="s">
        <v>90</v>
      </c>
      <c r="Z514">
        <v>4000</v>
      </c>
      <c r="AA514">
        <v>4000</v>
      </c>
      <c r="AC514">
        <v>256</v>
      </c>
      <c r="AD514" t="s">
        <v>91</v>
      </c>
      <c r="AE514">
        <v>0.15</v>
      </c>
      <c r="AF514" t="s">
        <v>92</v>
      </c>
      <c r="AG514">
        <v>180</v>
      </c>
      <c r="AH514">
        <v>60</v>
      </c>
      <c r="AI514">
        <v>120</v>
      </c>
      <c r="AJ514">
        <v>0.1127434183768227</v>
      </c>
      <c r="AK514">
        <v>12.40865744883008</v>
      </c>
      <c r="AL514">
        <v>0.70684011937516078</v>
      </c>
      <c r="AM514">
        <v>0.13969365324436431</v>
      </c>
      <c r="AN514">
        <v>16.675992430746401</v>
      </c>
      <c r="AO514">
        <v>0.64063239170133435</v>
      </c>
      <c r="AP514">
        <v>16.675992430746401</v>
      </c>
      <c r="AQ514">
        <v>16.675992430746401</v>
      </c>
      <c r="AR514">
        <v>0.64063239170133435</v>
      </c>
      <c r="AS514">
        <v>108.81824757777331</v>
      </c>
      <c r="AT514">
        <v>0.16371726260363531</v>
      </c>
      <c r="AU514">
        <v>0.8</v>
      </c>
      <c r="AV514" t="s">
        <v>93</v>
      </c>
      <c r="AW514">
        <v>9.4019624646356062E-2</v>
      </c>
      <c r="AX514">
        <v>0.31729596159124163</v>
      </c>
      <c r="AY514">
        <v>9.4019624646356062E-2</v>
      </c>
      <c r="AZ514">
        <v>9.4019624646356062E-2</v>
      </c>
      <c r="BA514">
        <v>0.31729596159124163</v>
      </c>
      <c r="BB514">
        <v>7.7190448817000462E-2</v>
      </c>
      <c r="BC514">
        <v>0.43949753753890131</v>
      </c>
      <c r="BD514">
        <v>7.8434790407566221E-2</v>
      </c>
      <c r="BE514">
        <v>0.72824020349803709</v>
      </c>
      <c r="BF514">
        <v>7.8434790407566221E-2</v>
      </c>
      <c r="BG514">
        <v>7.8434790407566221E-2</v>
      </c>
      <c r="BH514">
        <v>0.72824020349803709</v>
      </c>
      <c r="BI514">
        <v>0.11980447933282851</v>
      </c>
      <c r="BJ514">
        <v>0.5849030671933515</v>
      </c>
      <c r="BK514">
        <v>7.319493273827532E-2</v>
      </c>
      <c r="BL514">
        <v>0.7061454967524744</v>
      </c>
      <c r="BM514">
        <v>7.319493273827532E-2</v>
      </c>
      <c r="BN514">
        <v>7.319493273827532E-2</v>
      </c>
      <c r="BO514">
        <v>0.7061454967524744</v>
      </c>
      <c r="BP514">
        <v>0.28197267966805228</v>
      </c>
      <c r="BQ514">
        <v>-0.13203112037153761</v>
      </c>
      <c r="BR514">
        <v>66.458320375193708</v>
      </c>
      <c r="BS514">
        <v>0.81084790496358372</v>
      </c>
      <c r="BT514">
        <v>66.458320375193708</v>
      </c>
      <c r="BU514">
        <v>66.458320375193708</v>
      </c>
      <c r="BV514">
        <v>0.81084790496358372</v>
      </c>
      <c r="BW514">
        <v>434.79402270327671</v>
      </c>
      <c r="BX514">
        <v>-0.23750043394617151</v>
      </c>
      <c r="BY514" t="str">
        <f t="shared" si="19"/>
        <v>[[sv,wv],[yr],[ya]]</v>
      </c>
      <c r="BZ514" t="str">
        <f>SUBSTITUTE(TRIM(MID(SUBSTITUTE(SUBSTITUTE(SUBSTITUTE(Tabla1[[#This Row],[map]],"[",""),"]",""),",",REPT(" ",100)),901,200))," ",", ")</f>
        <v>2, 4</v>
      </c>
      <c r="CA514" t="str">
        <f>SUBSTITUTE(TRIM(MID(SUBSTITUTE(SUBSTITUTE(SUBSTITUTE(Tabla1[[#This Row],[map]],"[",""),"]",""),",",REPT(" ",100)),1501,200))," ",", ")</f>
        <v>3, 4</v>
      </c>
      <c r="CB514" t="str">
        <f>SUBSTITUTE(TRIM(MID(SUBSTITUTE(SUBSTITUTE(SUBSTITUTE(Tabla1[[#This Row],[map]],"[",""),"]",""),",",REPT(" ",100)),601,300))," ",", ")</f>
        <v>0, 1, 3</v>
      </c>
      <c r="CC514" t="str">
        <f>SUBSTITUTE(TRIM(MID(SUBSTITUTE(SUBSTITUTE(SUBSTITUTE(Tabla1[[#This Row],[map]],"[",""),"]",""),",",REPT(" ",100)),1201,300))," ",", ")</f>
        <v>1, 2, 0</v>
      </c>
      <c r="CD514" t="str">
        <f>SUBSTITUTE(TRIM(MID(SUBSTITUTE(SUBSTITUTE(SUBSTITUTE(Tabla1[[#This Row],[map]],"[",""),"]",""),",",REPT(" ",100)),1,300))," ",", ")</f>
        <v>4, 2, 3</v>
      </c>
      <c r="CE514" t="str">
        <f>SUBSTITUTE(TRIM(MID(SUBSTITUTE(SUBSTITUTE(SUBSTITUTE(Tabla1[[#This Row],[map]],"[",""),"]",""),",",REPT(" ",100)),1,600))," ",", ")</f>
        <v>4, 2, 3, 0, 1, -1</v>
      </c>
      <c r="CF514" t="str">
        <f>SUBSTITUTE(TRIM(MID(SUBSTITUTE(SUBSTITUTE(SUBSTITUTE(Tabla1[[#This Row],[map]],"[",""),"]",""),",",REPT(" ",100)),601,600))," ",", ")</f>
        <v>0, 1, 3, 2, 4, -1</v>
      </c>
      <c r="CG514" t="str">
        <f>SUBSTITUTE(TRIM(MID(SUBSTITUTE(SUBSTITUTE(SUBSTITUTE(Tabla1[[#This Row],[map]],"[",""),"]",""),",",REPT(" ",100)),1201,600))," ",", ")</f>
        <v>1, 2, 0, 3, 4, -1</v>
      </c>
    </row>
    <row r="515" spans="1:85" x14ac:dyDescent="0.3">
      <c r="A515" s="1">
        <v>46112.654363425929</v>
      </c>
      <c r="B515" t="s">
        <v>770</v>
      </c>
      <c r="C515">
        <v>8</v>
      </c>
      <c r="D515" t="s">
        <v>96</v>
      </c>
      <c r="E515" t="s">
        <v>78</v>
      </c>
      <c r="F515">
        <v>16590</v>
      </c>
      <c r="G515">
        <v>4.5</v>
      </c>
      <c r="H515" t="s">
        <v>79</v>
      </c>
      <c r="I515" t="s">
        <v>80</v>
      </c>
      <c r="J515">
        <v>5</v>
      </c>
      <c r="K515">
        <v>5</v>
      </c>
      <c r="L515" t="s">
        <v>81</v>
      </c>
      <c r="M515" t="s">
        <v>82</v>
      </c>
      <c r="N515" t="s">
        <v>83</v>
      </c>
      <c r="O515" t="s">
        <v>83</v>
      </c>
      <c r="P515" t="s">
        <v>84</v>
      </c>
      <c r="Q515" t="s">
        <v>213</v>
      </c>
      <c r="R515">
        <v>3</v>
      </c>
      <c r="S515" t="s">
        <v>86</v>
      </c>
      <c r="T515" t="s">
        <v>87</v>
      </c>
      <c r="U515" t="s">
        <v>88</v>
      </c>
      <c r="V515">
        <v>1</v>
      </c>
      <c r="W515" t="s">
        <v>214</v>
      </c>
      <c r="X515" t="s">
        <v>83</v>
      </c>
      <c r="Y515" t="s">
        <v>90</v>
      </c>
      <c r="Z515">
        <v>4000</v>
      </c>
      <c r="AA515">
        <v>4000</v>
      </c>
      <c r="AC515">
        <v>256</v>
      </c>
      <c r="AD515" t="s">
        <v>91</v>
      </c>
      <c r="AE515">
        <v>0.15</v>
      </c>
      <c r="AF515" t="s">
        <v>92</v>
      </c>
      <c r="AG515">
        <v>180</v>
      </c>
      <c r="AH515">
        <v>60</v>
      </c>
      <c r="AI515">
        <v>120</v>
      </c>
      <c r="AJ515">
        <v>0.14368431411165031</v>
      </c>
      <c r="AK515">
        <v>33.510903400810868</v>
      </c>
      <c r="AL515">
        <v>0.57340321709201747</v>
      </c>
      <c r="AM515">
        <v>9.7008469029447181E-2</v>
      </c>
      <c r="AN515">
        <v>38.251440043337411</v>
      </c>
      <c r="AO515">
        <v>0.52871980860004231</v>
      </c>
      <c r="AP515">
        <v>38.251440043337411</v>
      </c>
      <c r="AQ515">
        <v>38.251440043337411</v>
      </c>
      <c r="AR515">
        <v>0.52871980860004231</v>
      </c>
      <c r="AS515">
        <v>107.5552508121884</v>
      </c>
      <c r="AT515">
        <v>4.7581701811595462E-2</v>
      </c>
      <c r="AU515">
        <v>0.8</v>
      </c>
      <c r="AV515" t="s">
        <v>93</v>
      </c>
      <c r="AW515">
        <v>0.1009452002898877</v>
      </c>
      <c r="AX515">
        <v>0.2670073279370585</v>
      </c>
      <c r="AY515">
        <v>0.1009452002898877</v>
      </c>
      <c r="AZ515">
        <v>0.1009452002898877</v>
      </c>
      <c r="BA515">
        <v>0.2670073279370585</v>
      </c>
      <c r="BB515">
        <v>0.12954963179211909</v>
      </c>
      <c r="BC515">
        <v>5.930217088698797E-2</v>
      </c>
      <c r="BD515">
        <v>7.9537441343737927E-2</v>
      </c>
      <c r="BE515">
        <v>0.72441975351060628</v>
      </c>
      <c r="BF515">
        <v>7.9537441343737927E-2</v>
      </c>
      <c r="BG515">
        <v>7.9537441343737927E-2</v>
      </c>
      <c r="BH515">
        <v>0.72441975351060628</v>
      </c>
      <c r="BI515">
        <v>0.13167325744389241</v>
      </c>
      <c r="BJ515">
        <v>0.54378028599600992</v>
      </c>
      <c r="BK515">
        <v>0.11006930485258171</v>
      </c>
      <c r="BL515">
        <v>0.55810655614767379</v>
      </c>
      <c r="BM515">
        <v>0.11006930485258171</v>
      </c>
      <c r="BN515">
        <v>0.11006930485258171</v>
      </c>
      <c r="BO515">
        <v>0.55810655614767379</v>
      </c>
      <c r="BP515">
        <v>0.29637648960449159</v>
      </c>
      <c r="BQ515">
        <v>-0.18985786131382151</v>
      </c>
      <c r="BR515">
        <v>152.71520822686321</v>
      </c>
      <c r="BS515">
        <v>0.56534559680482255</v>
      </c>
      <c r="BT515">
        <v>152.71520822686321</v>
      </c>
      <c r="BU515">
        <v>152.71520822686321</v>
      </c>
      <c r="BV515">
        <v>0.56534559680482255</v>
      </c>
      <c r="BW515">
        <v>429.66340386991249</v>
      </c>
      <c r="BX515">
        <v>-0.22289778832278981</v>
      </c>
      <c r="BY515" t="str">
        <f t="shared" si="19"/>
        <v>[[sv,wv],[yr],[ya]]</v>
      </c>
      <c r="BZ515" t="str">
        <f>SUBSTITUTE(TRIM(MID(SUBSTITUTE(SUBSTITUTE(SUBSTITUTE(Tabla1[[#This Row],[map]],"[",""),"]",""),",",REPT(" ",100)),901,200))," ",", ")</f>
        <v>2, 3</v>
      </c>
      <c r="CA515" t="str">
        <f>SUBSTITUTE(TRIM(MID(SUBSTITUTE(SUBSTITUTE(SUBSTITUTE(Tabla1[[#This Row],[map]],"[",""),"]",""),",",REPT(" ",100)),1501,200))," ",", ")</f>
        <v>3, 2</v>
      </c>
      <c r="CB515" t="str">
        <f>SUBSTITUTE(TRIM(MID(SUBSTITUTE(SUBSTITUTE(SUBSTITUTE(Tabla1[[#This Row],[map]],"[",""),"]",""),",",REPT(" ",100)),601,300))," ",", ")</f>
        <v>0, 1, 4</v>
      </c>
      <c r="CC515" t="str">
        <f>SUBSTITUTE(TRIM(MID(SUBSTITUTE(SUBSTITUTE(SUBSTITUTE(Tabla1[[#This Row],[map]],"[",""),"]",""),",",REPT(" ",100)),1201,300))," ",", ")</f>
        <v>4, 0, 1</v>
      </c>
      <c r="CD515" t="str">
        <f>SUBSTITUTE(TRIM(MID(SUBSTITUTE(SUBSTITUTE(SUBSTITUTE(Tabla1[[#This Row],[map]],"[",""),"]",""),",",REPT(" ",100)),1,300))," ",", ")</f>
        <v>4, 2, 3</v>
      </c>
      <c r="CE515" t="str">
        <f>SUBSTITUTE(TRIM(MID(SUBSTITUTE(SUBSTITUTE(SUBSTITUTE(Tabla1[[#This Row],[map]],"[",""),"]",""),",",REPT(" ",100)),1,600))," ",", ")</f>
        <v>4, 2, 3, 0, 1, -1</v>
      </c>
      <c r="CF515" t="str">
        <f>SUBSTITUTE(TRIM(MID(SUBSTITUTE(SUBSTITUTE(SUBSTITUTE(Tabla1[[#This Row],[map]],"[",""),"]",""),",",REPT(" ",100)),601,600))," ",", ")</f>
        <v>0, 1, 4, 2, 3, -1</v>
      </c>
      <c r="CG515" t="str">
        <f>SUBSTITUTE(TRIM(MID(SUBSTITUTE(SUBSTITUTE(SUBSTITUTE(Tabla1[[#This Row],[map]],"[",""),"]",""),",",REPT(" ",100)),1201,600))," ",", ")</f>
        <v>4, 0, 1, 3, 2, -1</v>
      </c>
    </row>
    <row r="516" spans="1:85" x14ac:dyDescent="0.3">
      <c r="A516" s="1">
        <v>46112.661678240736</v>
      </c>
      <c r="B516" t="s">
        <v>771</v>
      </c>
      <c r="C516">
        <v>6</v>
      </c>
      <c r="D516" t="s">
        <v>96</v>
      </c>
      <c r="E516" t="s">
        <v>78</v>
      </c>
      <c r="F516">
        <v>16590</v>
      </c>
      <c r="G516">
        <v>4.5</v>
      </c>
      <c r="H516" t="s">
        <v>79</v>
      </c>
      <c r="I516" t="s">
        <v>80</v>
      </c>
      <c r="J516">
        <v>5</v>
      </c>
      <c r="K516">
        <v>5</v>
      </c>
      <c r="L516" t="s">
        <v>81</v>
      </c>
      <c r="M516" t="s">
        <v>82</v>
      </c>
      <c r="N516" t="s">
        <v>83</v>
      </c>
      <c r="O516" t="s">
        <v>83</v>
      </c>
      <c r="P516" t="s">
        <v>84</v>
      </c>
      <c r="Q516" t="s">
        <v>243</v>
      </c>
      <c r="R516">
        <v>3</v>
      </c>
      <c r="S516" t="s">
        <v>86</v>
      </c>
      <c r="T516" t="s">
        <v>87</v>
      </c>
      <c r="U516" t="s">
        <v>88</v>
      </c>
      <c r="V516">
        <v>1</v>
      </c>
      <c r="W516" t="s">
        <v>244</v>
      </c>
      <c r="X516" t="s">
        <v>83</v>
      </c>
      <c r="Y516" t="s">
        <v>90</v>
      </c>
      <c r="Z516">
        <v>4000</v>
      </c>
      <c r="AA516">
        <v>4000</v>
      </c>
      <c r="AC516">
        <v>256</v>
      </c>
      <c r="AD516" t="s">
        <v>91</v>
      </c>
      <c r="AE516">
        <v>0.15</v>
      </c>
      <c r="AF516" t="s">
        <v>92</v>
      </c>
      <c r="AG516">
        <v>180</v>
      </c>
      <c r="AH516">
        <v>60</v>
      </c>
      <c r="AI516">
        <v>120</v>
      </c>
      <c r="AJ516">
        <v>0.1022058657675354</v>
      </c>
      <c r="AK516">
        <v>13.254233244983601</v>
      </c>
      <c r="AL516">
        <v>0.72658216039691315</v>
      </c>
      <c r="AM516">
        <v>0.44684728260271062</v>
      </c>
      <c r="AN516">
        <v>16.043249081615151</v>
      </c>
      <c r="AO516">
        <v>0.68790000635912651</v>
      </c>
      <c r="AP516">
        <v>16.043249081615151</v>
      </c>
      <c r="AQ516">
        <v>16.043249081615151</v>
      </c>
      <c r="AR516">
        <v>0.68790000635912651</v>
      </c>
      <c r="AS516">
        <v>74.406078007238079</v>
      </c>
      <c r="AT516">
        <v>0.45357795718678973</v>
      </c>
      <c r="AU516">
        <v>0.8</v>
      </c>
      <c r="AV516" t="s">
        <v>93</v>
      </c>
      <c r="AW516">
        <v>7.4240186251071538E-2</v>
      </c>
      <c r="AX516">
        <v>0.46092025833471262</v>
      </c>
      <c r="AY516">
        <v>7.4240186251071538E-2</v>
      </c>
      <c r="AZ516">
        <v>7.4240186251071538E-2</v>
      </c>
      <c r="BA516">
        <v>0.46092025833471262</v>
      </c>
      <c r="BB516">
        <v>0.10298638952251959</v>
      </c>
      <c r="BC516">
        <v>0.25218565493511008</v>
      </c>
      <c r="BD516">
        <v>9.8001244640636115E-2</v>
      </c>
      <c r="BE516">
        <v>0.66044661862308973</v>
      </c>
      <c r="BF516">
        <v>9.8001244640636115E-2</v>
      </c>
      <c r="BG516">
        <v>9.8001244640636115E-2</v>
      </c>
      <c r="BH516">
        <v>0.66044661862308973</v>
      </c>
      <c r="BI516">
        <v>8.9318005071516035E-2</v>
      </c>
      <c r="BJ516">
        <v>0.69053218914632319</v>
      </c>
      <c r="BK516">
        <v>4.6763962906887793E-2</v>
      </c>
      <c r="BL516">
        <v>0.81225748045939095</v>
      </c>
      <c r="BM516">
        <v>4.6763962906887793E-2</v>
      </c>
      <c r="BN516">
        <v>4.6763962906887793E-2</v>
      </c>
      <c r="BO516">
        <v>0.81225748045939095</v>
      </c>
      <c r="BP516">
        <v>7.0257603621218342E-2</v>
      </c>
      <c r="BQ516">
        <v>0.71793794407466338</v>
      </c>
      <c r="BR516">
        <v>63.953990932661767</v>
      </c>
      <c r="BS516">
        <v>0.81797566801931554</v>
      </c>
      <c r="BT516">
        <v>63.953990932661767</v>
      </c>
      <c r="BU516">
        <v>63.953990932661767</v>
      </c>
      <c r="BV516">
        <v>0.81797566801931554</v>
      </c>
      <c r="BW516">
        <v>297.36175003073657</v>
      </c>
      <c r="BX516">
        <v>0.153656040591065</v>
      </c>
      <c r="BY516" t="str">
        <f t="shared" si="19"/>
        <v>[[sv,wv],[yr],[ya]]</v>
      </c>
      <c r="BZ516" t="str">
        <f>SUBSTITUTE(TRIM(MID(SUBSTITUTE(SUBSTITUTE(SUBSTITUTE(Tabla1[[#This Row],[map]],"[",""),"]",""),",",REPT(" ",100)),901,200))," ",", ")</f>
        <v>2, 3</v>
      </c>
      <c r="CA516" t="str">
        <f>SUBSTITUTE(TRIM(MID(SUBSTITUTE(SUBSTITUTE(SUBSTITUTE(Tabla1[[#This Row],[map]],"[",""),"]",""),",",REPT(" ",100)),1501,200))," ",", ")</f>
        <v>3, 4</v>
      </c>
      <c r="CB516" t="str">
        <f>SUBSTITUTE(TRIM(MID(SUBSTITUTE(SUBSTITUTE(SUBSTITUTE(Tabla1[[#This Row],[map]],"[",""),"]",""),",",REPT(" ",100)),601,300))," ",", ")</f>
        <v>4, 0, 1</v>
      </c>
      <c r="CC516" t="str">
        <f>SUBSTITUTE(TRIM(MID(SUBSTITUTE(SUBSTITUTE(SUBSTITUTE(Tabla1[[#This Row],[map]],"[",""),"]",""),",",REPT(" ",100)),1201,300))," ",", ")</f>
        <v>2, 0, 1</v>
      </c>
      <c r="CD516" t="str">
        <f>SUBSTITUTE(TRIM(MID(SUBSTITUTE(SUBSTITUTE(SUBSTITUTE(Tabla1[[#This Row],[map]],"[",""),"]",""),",",REPT(" ",100)),1,300))," ",", ")</f>
        <v>4, 2, 3</v>
      </c>
      <c r="CE516" t="str">
        <f>SUBSTITUTE(TRIM(MID(SUBSTITUTE(SUBSTITUTE(SUBSTITUTE(Tabla1[[#This Row],[map]],"[",""),"]",""),",",REPT(" ",100)),1,600))," ",", ")</f>
        <v>4, 2, 3, 0, 1, -1</v>
      </c>
      <c r="CF516" t="str">
        <f>SUBSTITUTE(TRIM(MID(SUBSTITUTE(SUBSTITUTE(SUBSTITUTE(Tabla1[[#This Row],[map]],"[",""),"]",""),",",REPT(" ",100)),601,600))," ",", ")</f>
        <v>4, 0, 1, 2, 3, -1</v>
      </c>
      <c r="CG516" t="str">
        <f>SUBSTITUTE(TRIM(MID(SUBSTITUTE(SUBSTITUTE(SUBSTITUTE(Tabla1[[#This Row],[map]],"[",""),"]",""),",",REPT(" ",100)),1201,600))," ",", ")</f>
        <v>2, 0, 1, 3, 4, -1</v>
      </c>
    </row>
    <row r="517" spans="1:85" x14ac:dyDescent="0.3">
      <c r="A517" s="1">
        <v>46112.677476851852</v>
      </c>
      <c r="B517" t="s">
        <v>772</v>
      </c>
      <c r="C517">
        <v>9</v>
      </c>
      <c r="D517" t="s">
        <v>77</v>
      </c>
      <c r="E517" t="s">
        <v>78</v>
      </c>
      <c r="F517">
        <v>16590</v>
      </c>
      <c r="G517">
        <v>4.5</v>
      </c>
      <c r="H517" t="s">
        <v>79</v>
      </c>
      <c r="I517" t="s">
        <v>80</v>
      </c>
      <c r="J517">
        <v>5</v>
      </c>
      <c r="K517">
        <v>5</v>
      </c>
      <c r="L517" t="s">
        <v>81</v>
      </c>
      <c r="M517" t="s">
        <v>82</v>
      </c>
      <c r="N517" t="s">
        <v>83</v>
      </c>
      <c r="O517" t="s">
        <v>83</v>
      </c>
      <c r="P517" t="s">
        <v>84</v>
      </c>
      <c r="Q517" t="s">
        <v>195</v>
      </c>
      <c r="R517">
        <v>3</v>
      </c>
      <c r="S517" t="s">
        <v>86</v>
      </c>
      <c r="T517" t="s">
        <v>87</v>
      </c>
      <c r="U517" t="s">
        <v>88</v>
      </c>
      <c r="V517">
        <v>1</v>
      </c>
      <c r="W517" t="s">
        <v>196</v>
      </c>
      <c r="X517" t="s">
        <v>83</v>
      </c>
      <c r="Y517" t="s">
        <v>90</v>
      </c>
      <c r="Z517">
        <v>4000</v>
      </c>
      <c r="AA517">
        <v>4000</v>
      </c>
      <c r="AC517">
        <v>256</v>
      </c>
      <c r="AD517" t="s">
        <v>91</v>
      </c>
      <c r="AE517">
        <v>0.15</v>
      </c>
      <c r="AF517" t="s">
        <v>92</v>
      </c>
      <c r="AG517">
        <v>180</v>
      </c>
      <c r="AH517">
        <v>60</v>
      </c>
      <c r="AI517">
        <v>120</v>
      </c>
      <c r="AJ517">
        <v>0.1057834074157233</v>
      </c>
      <c r="AK517">
        <v>15.571702167525871</v>
      </c>
      <c r="AL517">
        <v>0.78096538275877125</v>
      </c>
      <c r="AM517">
        <v>0.48000514539551731</v>
      </c>
      <c r="AN517">
        <v>23.053080380153389</v>
      </c>
      <c r="AO517">
        <v>0.70064208426968522</v>
      </c>
      <c r="AP517">
        <v>23.053080380153389</v>
      </c>
      <c r="AQ517">
        <v>23.053080380153389</v>
      </c>
      <c r="AR517">
        <v>0.70064208426968522</v>
      </c>
      <c r="AS517">
        <v>78.837634927615966</v>
      </c>
      <c r="AT517">
        <v>0.43445808226904659</v>
      </c>
      <c r="AU517">
        <v>0.8</v>
      </c>
      <c r="AV517" t="s">
        <v>93</v>
      </c>
      <c r="AW517">
        <v>7.2111534219735651E-2</v>
      </c>
      <c r="AX517">
        <v>0.47637702434102469</v>
      </c>
      <c r="AY517">
        <v>7.2111534219735651E-2</v>
      </c>
      <c r="AZ517">
        <v>7.2111534219735651E-2</v>
      </c>
      <c r="BA517">
        <v>0.47637702434102469</v>
      </c>
      <c r="BB517">
        <v>6.9185777542043816E-2</v>
      </c>
      <c r="BC517">
        <v>0.49762180070313722</v>
      </c>
      <c r="BD517">
        <v>7.5902896147779925E-2</v>
      </c>
      <c r="BE517">
        <v>0.73701267634112944</v>
      </c>
      <c r="BF517">
        <v>7.5902896147779925E-2</v>
      </c>
      <c r="BG517">
        <v>7.5902896147779925E-2</v>
      </c>
      <c r="BH517">
        <v>0.73701267634112944</v>
      </c>
      <c r="BI517">
        <v>0.14412607688480639</v>
      </c>
      <c r="BJ517">
        <v>0.50063392633145942</v>
      </c>
      <c r="BK517">
        <v>3.7087772312018007E-2</v>
      </c>
      <c r="BL517">
        <v>0.85110432510027634</v>
      </c>
      <c r="BM517">
        <v>3.7087772312018007E-2</v>
      </c>
      <c r="BN517">
        <v>3.7087772312018007E-2</v>
      </c>
      <c r="BO517">
        <v>0.85110432510027634</v>
      </c>
      <c r="BP517">
        <v>9.0603693002848998E-2</v>
      </c>
      <c r="BQ517">
        <v>0.63625483071424371</v>
      </c>
      <c r="BR517">
        <v>92.027219317934026</v>
      </c>
      <c r="BS517">
        <v>0.73807431129631162</v>
      </c>
      <c r="BT517">
        <v>92.027219317934026</v>
      </c>
      <c r="BU517">
        <v>92.027219317934026</v>
      </c>
      <c r="BV517">
        <v>0.73807431129631162</v>
      </c>
      <c r="BW517">
        <v>315.0466241630333</v>
      </c>
      <c r="BX517">
        <v>0.1033217713273499</v>
      </c>
      <c r="BY517" t="str">
        <f t="shared" si="19"/>
        <v>[[sv,wv],[yr],[ya]]</v>
      </c>
      <c r="BZ517" t="str">
        <f>SUBSTITUTE(TRIM(MID(SUBSTITUTE(SUBSTITUTE(SUBSTITUTE(Tabla1[[#This Row],[map]],"[",""),"]",""),",",REPT(" ",100)),901,200))," ",", ")</f>
        <v>2, 3</v>
      </c>
      <c r="CA517" t="str">
        <f>SUBSTITUTE(TRIM(MID(SUBSTITUTE(SUBSTITUTE(SUBSTITUTE(Tabla1[[#This Row],[map]],"[",""),"]",""),",",REPT(" ",100)),1501,200))," ",", ")</f>
        <v>3, 2</v>
      </c>
      <c r="CB517" t="str">
        <f>SUBSTITUTE(TRIM(MID(SUBSTITUTE(SUBSTITUTE(SUBSTITUTE(Tabla1[[#This Row],[map]],"[",""),"]",""),",",REPT(" ",100)),601,300))," ",", ")</f>
        <v>4, 0, 1</v>
      </c>
      <c r="CC517" t="str">
        <f>SUBSTITUTE(TRIM(MID(SUBSTITUTE(SUBSTITUTE(SUBSTITUTE(Tabla1[[#This Row],[map]],"[",""),"]",""),",",REPT(" ",100)),1201,300))," ",", ")</f>
        <v>0, 1, 4</v>
      </c>
      <c r="CD517" t="str">
        <f>SUBSTITUTE(TRIM(MID(SUBSTITUTE(SUBSTITUTE(SUBSTITUTE(Tabla1[[#This Row],[map]],"[",""),"]",""),",",REPT(" ",100)),1,300))," ",", ")</f>
        <v>4, 2, 3</v>
      </c>
      <c r="CE517" t="str">
        <f>SUBSTITUTE(TRIM(MID(SUBSTITUTE(SUBSTITUTE(SUBSTITUTE(Tabla1[[#This Row],[map]],"[",""),"]",""),",",REPT(" ",100)),1,600))," ",", ")</f>
        <v>4, 2, 3, 0, 1, -1</v>
      </c>
      <c r="CF517" t="str">
        <f>SUBSTITUTE(TRIM(MID(SUBSTITUTE(SUBSTITUTE(SUBSTITUTE(Tabla1[[#This Row],[map]],"[",""),"]",""),",",REPT(" ",100)),601,600))," ",", ")</f>
        <v>4, 0, 1, 2, 3, -1</v>
      </c>
      <c r="CG517" t="str">
        <f>SUBSTITUTE(TRIM(MID(SUBSTITUTE(SUBSTITUTE(SUBSTITUTE(Tabla1[[#This Row],[map]],"[",""),"]",""),",",REPT(" ",100)),1201,600))," ",", ")</f>
        <v>0, 1, 4, 3, 2, -1</v>
      </c>
    </row>
    <row r="518" spans="1:85" x14ac:dyDescent="0.3">
      <c r="A518" s="1">
        <v>46112.675787037027</v>
      </c>
      <c r="B518" t="s">
        <v>773</v>
      </c>
      <c r="C518">
        <v>7</v>
      </c>
      <c r="D518" t="s">
        <v>96</v>
      </c>
      <c r="E518" t="s">
        <v>78</v>
      </c>
      <c r="F518">
        <v>16590</v>
      </c>
      <c r="G518">
        <v>4.5</v>
      </c>
      <c r="H518" t="s">
        <v>79</v>
      </c>
      <c r="I518" t="s">
        <v>80</v>
      </c>
      <c r="J518">
        <v>5</v>
      </c>
      <c r="K518">
        <v>5</v>
      </c>
      <c r="L518" t="s">
        <v>81</v>
      </c>
      <c r="M518" t="s">
        <v>82</v>
      </c>
      <c r="N518" t="s">
        <v>83</v>
      </c>
      <c r="O518" t="s">
        <v>83</v>
      </c>
      <c r="P518" t="s">
        <v>84</v>
      </c>
      <c r="Q518" t="s">
        <v>213</v>
      </c>
      <c r="R518">
        <v>3</v>
      </c>
      <c r="S518" t="s">
        <v>86</v>
      </c>
      <c r="T518" t="s">
        <v>87</v>
      </c>
      <c r="U518" t="s">
        <v>88</v>
      </c>
      <c r="V518">
        <v>1</v>
      </c>
      <c r="W518" t="s">
        <v>214</v>
      </c>
      <c r="X518" t="s">
        <v>83</v>
      </c>
      <c r="Y518" t="s">
        <v>90</v>
      </c>
      <c r="Z518">
        <v>4000</v>
      </c>
      <c r="AA518">
        <v>4000</v>
      </c>
      <c r="AC518">
        <v>256</v>
      </c>
      <c r="AD518" t="s">
        <v>91</v>
      </c>
      <c r="AE518">
        <v>0.15</v>
      </c>
      <c r="AF518" t="s">
        <v>92</v>
      </c>
      <c r="AG518">
        <v>180</v>
      </c>
      <c r="AH518">
        <v>60</v>
      </c>
      <c r="AI518">
        <v>120</v>
      </c>
      <c r="AJ518">
        <v>0.13779339736476129</v>
      </c>
      <c r="AK518">
        <v>30.80373674168321</v>
      </c>
      <c r="AL518">
        <v>0.55844208070609525</v>
      </c>
      <c r="AM518">
        <v>4.4650388027651089E-2</v>
      </c>
      <c r="AN518">
        <v>37.596644444220729</v>
      </c>
      <c r="AO518">
        <v>0.49331226196476807</v>
      </c>
      <c r="AP518">
        <v>37.596644444220729</v>
      </c>
      <c r="AQ518">
        <v>37.596644444220729</v>
      </c>
      <c r="AR518">
        <v>0.49331226196476807</v>
      </c>
      <c r="AS518">
        <v>114.6960572044311</v>
      </c>
      <c r="AT518">
        <v>-4.6276871607606462E-2</v>
      </c>
      <c r="AU518">
        <v>0.8</v>
      </c>
      <c r="AV518" t="s">
        <v>93</v>
      </c>
      <c r="AW518">
        <v>0.12509963304913199</v>
      </c>
      <c r="AX518">
        <v>9.1614915424932941E-2</v>
      </c>
      <c r="AY518">
        <v>0.12509963304913199</v>
      </c>
      <c r="AZ518">
        <v>0.12509963304913199</v>
      </c>
      <c r="BA518">
        <v>9.1614915424932941E-2</v>
      </c>
      <c r="BB518">
        <v>0.17384895166442721</v>
      </c>
      <c r="BC518">
        <v>-0.26236816856972461</v>
      </c>
      <c r="BD518">
        <v>0.1212664033423422</v>
      </c>
      <c r="BE518">
        <v>0.57983781274105595</v>
      </c>
      <c r="BF518">
        <v>0.1212664033423422</v>
      </c>
      <c r="BG518">
        <v>0.1212664033423422</v>
      </c>
      <c r="BH518">
        <v>0.57983781274105595</v>
      </c>
      <c r="BI518">
        <v>0.19730644179496201</v>
      </c>
      <c r="BJ518">
        <v>0.3163753202870444</v>
      </c>
      <c r="BK518">
        <v>6.7519726199882654E-2</v>
      </c>
      <c r="BL518">
        <v>0.72892965592548253</v>
      </c>
      <c r="BM518">
        <v>6.7519726199882654E-2</v>
      </c>
      <c r="BN518">
        <v>6.7519726199882654E-2</v>
      </c>
      <c r="BO518">
        <v>0.72892965592548253</v>
      </c>
      <c r="BP518">
        <v>0.23290829132808261</v>
      </c>
      <c r="BQ518">
        <v>6.4946879653948963E-2</v>
      </c>
      <c r="BR518">
        <v>150.07269201429199</v>
      </c>
      <c r="BS518">
        <v>0.57286666376759998</v>
      </c>
      <c r="BT518">
        <v>150.07269201429199</v>
      </c>
      <c r="BU518">
        <v>150.07269201429199</v>
      </c>
      <c r="BV518">
        <v>0.57286666376759998</v>
      </c>
      <c r="BW518">
        <v>458.18016513293821</v>
      </c>
      <c r="BX518">
        <v>-0.30406151780169499</v>
      </c>
      <c r="BY518" t="str">
        <f t="shared" si="19"/>
        <v>[[sv,wv],[yr],[ya]]</v>
      </c>
      <c r="BZ518" t="str">
        <f>SUBSTITUTE(TRIM(MID(SUBSTITUTE(SUBSTITUTE(SUBSTITUTE(Tabla1[[#This Row],[map]],"[",""),"]",""),",",REPT(" ",100)),901,200))," ",", ")</f>
        <v>2, 3</v>
      </c>
      <c r="CA518" t="str">
        <f>SUBSTITUTE(TRIM(MID(SUBSTITUTE(SUBSTITUTE(SUBSTITUTE(Tabla1[[#This Row],[map]],"[",""),"]",""),",",REPT(" ",100)),1501,200))," ",", ")</f>
        <v>3, 2</v>
      </c>
      <c r="CB518" t="str">
        <f>SUBSTITUTE(TRIM(MID(SUBSTITUTE(SUBSTITUTE(SUBSTITUTE(Tabla1[[#This Row],[map]],"[",""),"]",""),",",REPT(" ",100)),601,300))," ",", ")</f>
        <v>0, 1, 4</v>
      </c>
      <c r="CC518" t="str">
        <f>SUBSTITUTE(TRIM(MID(SUBSTITUTE(SUBSTITUTE(SUBSTITUTE(Tabla1[[#This Row],[map]],"[",""),"]",""),",",REPT(" ",100)),1201,300))," ",", ")</f>
        <v>4, 0, 1</v>
      </c>
      <c r="CD518" t="str">
        <f>SUBSTITUTE(TRIM(MID(SUBSTITUTE(SUBSTITUTE(SUBSTITUTE(Tabla1[[#This Row],[map]],"[",""),"]",""),",",REPT(" ",100)),1,300))," ",", ")</f>
        <v>4, 2, 3</v>
      </c>
      <c r="CE518" t="str">
        <f>SUBSTITUTE(TRIM(MID(SUBSTITUTE(SUBSTITUTE(SUBSTITUTE(Tabla1[[#This Row],[map]],"[",""),"]",""),",",REPT(" ",100)),1,600))," ",", ")</f>
        <v>4, 2, 3, 0, 1, -1</v>
      </c>
      <c r="CF518" t="str">
        <f>SUBSTITUTE(TRIM(MID(SUBSTITUTE(SUBSTITUTE(SUBSTITUTE(Tabla1[[#This Row],[map]],"[",""),"]",""),",",REPT(" ",100)),601,600))," ",", ")</f>
        <v>0, 1, 4, 2, 3, -1</v>
      </c>
      <c r="CG518" t="str">
        <f>SUBSTITUTE(TRIM(MID(SUBSTITUTE(SUBSTITUTE(SUBSTITUTE(Tabla1[[#This Row],[map]],"[",""),"]",""),",",REPT(" ",100)),1201,600))," ",", ")</f>
        <v>4, 0, 1, 3, 2, -1</v>
      </c>
    </row>
    <row r="519" spans="1:85" x14ac:dyDescent="0.3">
      <c r="A519" s="1">
        <v>46112.737534722219</v>
      </c>
      <c r="B519" t="s">
        <v>774</v>
      </c>
      <c r="C519">
        <v>9</v>
      </c>
      <c r="D519" t="s">
        <v>96</v>
      </c>
      <c r="E519" t="s">
        <v>78</v>
      </c>
      <c r="F519">
        <v>16590</v>
      </c>
      <c r="G519">
        <v>4.5</v>
      </c>
      <c r="H519" t="s">
        <v>79</v>
      </c>
      <c r="I519" t="s">
        <v>80</v>
      </c>
      <c r="J519">
        <v>5</v>
      </c>
      <c r="K519">
        <v>5</v>
      </c>
      <c r="L519" t="s">
        <v>81</v>
      </c>
      <c r="M519" t="s">
        <v>82</v>
      </c>
      <c r="N519" t="s">
        <v>83</v>
      </c>
      <c r="O519" t="s">
        <v>83</v>
      </c>
      <c r="P519" t="s">
        <v>84</v>
      </c>
      <c r="Q519" t="s">
        <v>509</v>
      </c>
      <c r="R519">
        <v>3</v>
      </c>
      <c r="S519" t="s">
        <v>86</v>
      </c>
      <c r="T519" t="s">
        <v>87</v>
      </c>
      <c r="U519" t="s">
        <v>88</v>
      </c>
      <c r="V519">
        <v>1</v>
      </c>
      <c r="W519" t="s">
        <v>510</v>
      </c>
      <c r="X519" t="s">
        <v>83</v>
      </c>
      <c r="Y519" t="s">
        <v>90</v>
      </c>
      <c r="Z519">
        <v>4000</v>
      </c>
      <c r="AA519">
        <v>4000</v>
      </c>
      <c r="AC519">
        <v>256</v>
      </c>
      <c r="AD519" t="s">
        <v>91</v>
      </c>
      <c r="AE519">
        <v>0.15</v>
      </c>
      <c r="AF519" t="s">
        <v>92</v>
      </c>
      <c r="AG519">
        <v>180</v>
      </c>
      <c r="AH519">
        <v>60</v>
      </c>
      <c r="AI519">
        <v>120</v>
      </c>
      <c r="AJ519">
        <v>0.1208288530779747</v>
      </c>
      <c r="AK519">
        <v>16.678023202504949</v>
      </c>
      <c r="AL519">
        <v>0.7148148830905392</v>
      </c>
      <c r="AM519">
        <v>0.3122969053715855</v>
      </c>
      <c r="AN519">
        <v>22.313641347061331</v>
      </c>
      <c r="AO519">
        <v>0.64487188688740971</v>
      </c>
      <c r="AP519">
        <v>22.313641347061331</v>
      </c>
      <c r="AQ519">
        <v>22.313641347061331</v>
      </c>
      <c r="AR519">
        <v>0.64487188688740971</v>
      </c>
      <c r="AS519">
        <v>89.685643161232434</v>
      </c>
      <c r="AT519">
        <v>0.27383886338500091</v>
      </c>
      <c r="AU519">
        <v>0.8</v>
      </c>
      <c r="AV519" t="s">
        <v>93</v>
      </c>
      <c r="AW519">
        <v>7.8552717143840281E-2</v>
      </c>
      <c r="AX519">
        <v>0.42960570812958299</v>
      </c>
      <c r="AY519">
        <v>7.8552717143840281E-2</v>
      </c>
      <c r="AZ519">
        <v>7.8552717143840281E-2</v>
      </c>
      <c r="BA519">
        <v>0.42960570812958299</v>
      </c>
      <c r="BB519">
        <v>7.858786758234157E-2</v>
      </c>
      <c r="BC519">
        <v>0.42935047049800418</v>
      </c>
      <c r="BD519">
        <v>9.9468356923058096E-2</v>
      </c>
      <c r="BE519">
        <v>0.65536338791328896</v>
      </c>
      <c r="BF519">
        <v>9.9468356923058096E-2</v>
      </c>
      <c r="BG519">
        <v>9.9468356923058096E-2</v>
      </c>
      <c r="BH519">
        <v>0.65536338791328896</v>
      </c>
      <c r="BI519">
        <v>0.10510940601908041</v>
      </c>
      <c r="BJ519">
        <v>0.63581835762218097</v>
      </c>
      <c r="BK519">
        <v>6.28026433334056E-2</v>
      </c>
      <c r="BL519">
        <v>0.74786725161209189</v>
      </c>
      <c r="BM519">
        <v>6.28026433334056E-2</v>
      </c>
      <c r="BN519">
        <v>6.28026433334056E-2</v>
      </c>
      <c r="BO519">
        <v>0.74786725161209189</v>
      </c>
      <c r="BP519">
        <v>0.23662264572850181</v>
      </c>
      <c r="BQ519">
        <v>5.0034921593637982E-2</v>
      </c>
      <c r="BR519">
        <v>89.013741670845093</v>
      </c>
      <c r="BS519">
        <v>0.74665119989467355</v>
      </c>
      <c r="BT519">
        <v>89.013741670845093</v>
      </c>
      <c r="BU519">
        <v>89.013741670845093</v>
      </c>
      <c r="BV519">
        <v>0.74665119989467355</v>
      </c>
      <c r="BW519">
        <v>358.32225272559901</v>
      </c>
      <c r="BX519">
        <v>-1.984829617382133E-2</v>
      </c>
      <c r="BY519" t="str">
        <f t="shared" si="19"/>
        <v>[[sv,wv],[yr],[ya]]</v>
      </c>
      <c r="BZ519" t="str">
        <f>SUBSTITUTE(TRIM(MID(SUBSTITUTE(SUBSTITUTE(SUBSTITUTE(Tabla1[[#This Row],[map]],"[",""),"]",""),",",REPT(" ",100)),901,200))," ",", ")</f>
        <v>2, 4</v>
      </c>
      <c r="CA519" t="str">
        <f>SUBSTITUTE(TRIM(MID(SUBSTITUTE(SUBSTITUTE(SUBSTITUTE(Tabla1[[#This Row],[map]],"[",""),"]",""),",",REPT(" ",100)),1501,200))," ",", ")</f>
        <v>3, 4</v>
      </c>
      <c r="CB519" t="str">
        <f>SUBSTITUTE(TRIM(MID(SUBSTITUTE(SUBSTITUTE(SUBSTITUTE(Tabla1[[#This Row],[map]],"[",""),"]",""),",",REPT(" ",100)),601,300))," ",", ")</f>
        <v>0, 1, 3</v>
      </c>
      <c r="CC519" t="str">
        <f>SUBSTITUTE(TRIM(MID(SUBSTITUTE(SUBSTITUTE(SUBSTITUTE(Tabla1[[#This Row],[map]],"[",""),"]",""),",",REPT(" ",100)),1201,300))," ",", ")</f>
        <v>1, 2, 0</v>
      </c>
      <c r="CD519" t="str">
        <f>SUBSTITUTE(TRIM(MID(SUBSTITUTE(SUBSTITUTE(SUBSTITUTE(Tabla1[[#This Row],[map]],"[",""),"]",""),",",REPT(" ",100)),1,300))," ",", ")</f>
        <v>4, 2, 3</v>
      </c>
      <c r="CE519" t="str">
        <f>SUBSTITUTE(TRIM(MID(SUBSTITUTE(SUBSTITUTE(SUBSTITUTE(Tabla1[[#This Row],[map]],"[",""),"]",""),",",REPT(" ",100)),1,600))," ",", ")</f>
        <v>4, 2, 3, 0, 1, -1</v>
      </c>
      <c r="CF519" t="str">
        <f>SUBSTITUTE(TRIM(MID(SUBSTITUTE(SUBSTITUTE(SUBSTITUTE(Tabla1[[#This Row],[map]],"[",""),"]",""),",",REPT(" ",100)),601,600))," ",", ")</f>
        <v>0, 1, 3, 2, 4, -1</v>
      </c>
      <c r="CG519" t="str">
        <f>SUBSTITUTE(TRIM(MID(SUBSTITUTE(SUBSTITUTE(SUBSTITUTE(Tabla1[[#This Row],[map]],"[",""),"]",""),",",REPT(" ",100)),1201,600))," ",", ")</f>
        <v>1, 2, 0, 3, 4, -1</v>
      </c>
    </row>
    <row r="520" spans="1:85" x14ac:dyDescent="0.3">
      <c r="A520" s="1">
        <v>46112.801759259259</v>
      </c>
      <c r="B520" t="s">
        <v>775</v>
      </c>
      <c r="C520">
        <v>7</v>
      </c>
      <c r="D520" t="s">
        <v>96</v>
      </c>
      <c r="E520" t="s">
        <v>78</v>
      </c>
      <c r="F520">
        <v>16590</v>
      </c>
      <c r="G520">
        <v>4.5</v>
      </c>
      <c r="H520" t="s">
        <v>79</v>
      </c>
      <c r="I520" t="s">
        <v>80</v>
      </c>
      <c r="J520">
        <v>5</v>
      </c>
      <c r="K520">
        <v>5</v>
      </c>
      <c r="L520" t="s">
        <v>81</v>
      </c>
      <c r="M520" t="s">
        <v>82</v>
      </c>
      <c r="N520" t="s">
        <v>83</v>
      </c>
      <c r="O520" t="s">
        <v>83</v>
      </c>
      <c r="P520" t="s">
        <v>84</v>
      </c>
      <c r="Q520" t="s">
        <v>525</v>
      </c>
      <c r="R520">
        <v>3</v>
      </c>
      <c r="S520" t="s">
        <v>86</v>
      </c>
      <c r="T520" t="s">
        <v>87</v>
      </c>
      <c r="U520" t="s">
        <v>88</v>
      </c>
      <c r="V520">
        <v>1</v>
      </c>
      <c r="W520" t="s">
        <v>526</v>
      </c>
      <c r="X520" t="s">
        <v>83</v>
      </c>
      <c r="Y520" t="s">
        <v>90</v>
      </c>
      <c r="Z520">
        <v>4000</v>
      </c>
      <c r="AA520">
        <v>4000</v>
      </c>
      <c r="AC520">
        <v>256</v>
      </c>
      <c r="AD520" t="s">
        <v>91</v>
      </c>
      <c r="AE520">
        <v>0.15</v>
      </c>
      <c r="AF520" t="s">
        <v>92</v>
      </c>
      <c r="AG520">
        <v>180</v>
      </c>
      <c r="AH520">
        <v>60</v>
      </c>
      <c r="AI520">
        <v>120</v>
      </c>
      <c r="AJ520">
        <v>0.12960313593791281</v>
      </c>
      <c r="AK520">
        <v>13.699303445280981</v>
      </c>
      <c r="AL520">
        <v>0.64515236275329568</v>
      </c>
      <c r="AM520">
        <v>9.6643276879139428E-2</v>
      </c>
      <c r="AN520">
        <v>19.347796363777949</v>
      </c>
      <c r="AO520">
        <v>0.62021633101697138</v>
      </c>
      <c r="AP520">
        <v>19.347796363777949</v>
      </c>
      <c r="AQ520">
        <v>19.347796363777949</v>
      </c>
      <c r="AR520">
        <v>0.62021633101697138</v>
      </c>
      <c r="AS520">
        <v>72.767437249438345</v>
      </c>
      <c r="AT520">
        <v>9.9363569944553781E-2</v>
      </c>
      <c r="AU520">
        <v>0.8</v>
      </c>
      <c r="AV520" t="s">
        <v>93</v>
      </c>
      <c r="AW520">
        <v>0.110347910820769</v>
      </c>
      <c r="AX520">
        <v>0.19873149216802019</v>
      </c>
      <c r="AY520">
        <v>0.110347910820769</v>
      </c>
      <c r="AZ520">
        <v>0.110347910820769</v>
      </c>
      <c r="BA520">
        <v>0.19873149216802019</v>
      </c>
      <c r="BB520">
        <v>0.1312433464766955</v>
      </c>
      <c r="BC520">
        <v>4.7003612374104782E-2</v>
      </c>
      <c r="BD520">
        <v>0.11318302243354671</v>
      </c>
      <c r="BE520">
        <v>0.60784500112528361</v>
      </c>
      <c r="BF520">
        <v>0.11318302243354671</v>
      </c>
      <c r="BG520">
        <v>0.11318302243354671</v>
      </c>
      <c r="BH520">
        <v>0.60784500112528361</v>
      </c>
      <c r="BI520">
        <v>0.16347887070116901</v>
      </c>
      <c r="BJ520">
        <v>0.43358062916638163</v>
      </c>
      <c r="BK520">
        <v>2.6441355312430161E-2</v>
      </c>
      <c r="BL520">
        <v>0.89384632187164481</v>
      </c>
      <c r="BM520">
        <v>2.6441355312430161E-2</v>
      </c>
      <c r="BN520">
        <v>2.6441355312430161E-2</v>
      </c>
      <c r="BO520">
        <v>0.89384632187164481</v>
      </c>
      <c r="BP520">
        <v>0.31295708537575551</v>
      </c>
      <c r="BQ520">
        <v>-0.2564237088614203</v>
      </c>
      <c r="BR520">
        <v>77.141213166545057</v>
      </c>
      <c r="BS520">
        <v>0.78044250890293065</v>
      </c>
      <c r="BT520">
        <v>77.141213166545057</v>
      </c>
      <c r="BU520">
        <v>77.141213166545057</v>
      </c>
      <c r="BV520">
        <v>0.78044250890293065</v>
      </c>
      <c r="BW520">
        <v>290.46206969519938</v>
      </c>
      <c r="BX520">
        <v>0.17329374709915149</v>
      </c>
      <c r="BY520" t="str">
        <f t="shared" si="19"/>
        <v>[[sv,wv],[yr],[ya]]</v>
      </c>
      <c r="BZ520" t="str">
        <f>SUBSTITUTE(TRIM(MID(SUBSTITUTE(SUBSTITUTE(SUBSTITUTE(Tabla1[[#This Row],[map]],"[",""),"]",""),",",REPT(" ",100)),901,200))," ",", ")</f>
        <v>2, 4</v>
      </c>
      <c r="CA520" t="str">
        <f>SUBSTITUTE(TRIM(MID(SUBSTITUTE(SUBSTITUTE(SUBSTITUTE(Tabla1[[#This Row],[map]],"[",""),"]",""),",",REPT(" ",100)),1501,200))," ",", ")</f>
        <v>3, 4</v>
      </c>
      <c r="CB520" t="str">
        <f>SUBSTITUTE(TRIM(MID(SUBSTITUTE(SUBSTITUTE(SUBSTITUTE(Tabla1[[#This Row],[map]],"[",""),"]",""),",",REPT(" ",100)),601,300))," ",", ")</f>
        <v>1, 3, 0</v>
      </c>
      <c r="CC520" t="str">
        <f>SUBSTITUTE(TRIM(MID(SUBSTITUTE(SUBSTITUTE(SUBSTITUTE(Tabla1[[#This Row],[map]],"[",""),"]",""),",",REPT(" ",100)),1201,300))," ",", ")</f>
        <v>0, 1, 2</v>
      </c>
      <c r="CD520" t="str">
        <f>SUBSTITUTE(TRIM(MID(SUBSTITUTE(SUBSTITUTE(SUBSTITUTE(Tabla1[[#This Row],[map]],"[",""),"]",""),",",REPT(" ",100)),1,300))," ",", ")</f>
        <v>4, 2, 3</v>
      </c>
      <c r="CE520" t="str">
        <f>SUBSTITUTE(TRIM(MID(SUBSTITUTE(SUBSTITUTE(SUBSTITUTE(Tabla1[[#This Row],[map]],"[",""),"]",""),",",REPT(" ",100)),1,600))," ",", ")</f>
        <v>4, 2, 3, 0, 1, -1</v>
      </c>
      <c r="CF520" t="str">
        <f>SUBSTITUTE(TRIM(MID(SUBSTITUTE(SUBSTITUTE(SUBSTITUTE(Tabla1[[#This Row],[map]],"[",""),"]",""),",",REPT(" ",100)),601,600))," ",", ")</f>
        <v>1, 3, 0, 2, 4, -1</v>
      </c>
      <c r="CG520" t="str">
        <f>SUBSTITUTE(TRIM(MID(SUBSTITUTE(SUBSTITUTE(SUBSTITUTE(Tabla1[[#This Row],[map]],"[",""),"]",""),",",REPT(" ",100)),1201,600))," ",", ")</f>
        <v>0, 1, 2, 3, 4, -1</v>
      </c>
    </row>
    <row r="521" spans="1:85" x14ac:dyDescent="0.3">
      <c r="A521" s="1">
        <v>46112.808657407397</v>
      </c>
      <c r="B521" t="s">
        <v>776</v>
      </c>
      <c r="C521">
        <v>8</v>
      </c>
      <c r="D521" t="s">
        <v>77</v>
      </c>
      <c r="E521" t="s">
        <v>78</v>
      </c>
      <c r="F521">
        <v>16590</v>
      </c>
      <c r="G521">
        <v>4.5</v>
      </c>
      <c r="H521" t="s">
        <v>79</v>
      </c>
      <c r="I521" t="s">
        <v>80</v>
      </c>
      <c r="J521">
        <v>5</v>
      </c>
      <c r="K521">
        <v>5</v>
      </c>
      <c r="L521" t="s">
        <v>81</v>
      </c>
      <c r="M521" t="s">
        <v>82</v>
      </c>
      <c r="N521" t="s">
        <v>83</v>
      </c>
      <c r="O521" t="s">
        <v>83</v>
      </c>
      <c r="P521" t="s">
        <v>84</v>
      </c>
      <c r="Q521" t="s">
        <v>517</v>
      </c>
      <c r="R521">
        <v>3</v>
      </c>
      <c r="S521" t="s">
        <v>86</v>
      </c>
      <c r="T521" t="s">
        <v>87</v>
      </c>
      <c r="U521" t="s">
        <v>88</v>
      </c>
      <c r="V521">
        <v>1</v>
      </c>
      <c r="W521" t="s">
        <v>518</v>
      </c>
      <c r="X521" t="s">
        <v>83</v>
      </c>
      <c r="Y521" t="s">
        <v>90</v>
      </c>
      <c r="Z521">
        <v>4000</v>
      </c>
      <c r="AA521">
        <v>4000</v>
      </c>
      <c r="AC521">
        <v>256</v>
      </c>
      <c r="AD521" t="s">
        <v>91</v>
      </c>
      <c r="AE521">
        <v>0.15</v>
      </c>
      <c r="AF521" t="s">
        <v>92</v>
      </c>
      <c r="AG521">
        <v>180</v>
      </c>
      <c r="AH521">
        <v>60</v>
      </c>
      <c r="AI521">
        <v>120</v>
      </c>
      <c r="AJ521">
        <v>0.1064231078709432</v>
      </c>
      <c r="AK521">
        <v>10.205936861383099</v>
      </c>
      <c r="AL521">
        <v>0.6981617633593209</v>
      </c>
      <c r="AM521">
        <v>0.187685957327592</v>
      </c>
      <c r="AN521">
        <v>13.358447021956779</v>
      </c>
      <c r="AO521">
        <v>0.66194358045937118</v>
      </c>
      <c r="AP521">
        <v>13.358447021956779</v>
      </c>
      <c r="AQ521">
        <v>13.358447021956779</v>
      </c>
      <c r="AR521">
        <v>0.66194358045937118</v>
      </c>
      <c r="AS521">
        <v>72.800656976587874</v>
      </c>
      <c r="AT521">
        <v>0.15139541930804101</v>
      </c>
      <c r="AU521">
        <v>0.8</v>
      </c>
      <c r="AV521" t="s">
        <v>93</v>
      </c>
      <c r="AW521">
        <v>0.1046697350951124</v>
      </c>
      <c r="AX521">
        <v>0.2399623895820594</v>
      </c>
      <c r="AY521">
        <v>0.1046697350951124</v>
      </c>
      <c r="AZ521">
        <v>0.1046697350951124</v>
      </c>
      <c r="BA521">
        <v>0.2399623895820594</v>
      </c>
      <c r="BB521">
        <v>0.14624019433442029</v>
      </c>
      <c r="BC521">
        <v>-6.1892893375423919E-2</v>
      </c>
      <c r="BD521">
        <v>7.6130493643837407E-2</v>
      </c>
      <c r="BE521">
        <v>0.73622409962802116</v>
      </c>
      <c r="BF521">
        <v>7.6130493643837407E-2</v>
      </c>
      <c r="BG521">
        <v>7.6130493643837407E-2</v>
      </c>
      <c r="BH521">
        <v>0.73622409962802116</v>
      </c>
      <c r="BI521">
        <v>0.1317881296681343</v>
      </c>
      <c r="BJ521">
        <v>0.54338227827365215</v>
      </c>
      <c r="BK521">
        <v>4.4080742439493982E-2</v>
      </c>
      <c r="BL521">
        <v>0.82302976192823207</v>
      </c>
      <c r="BM521">
        <v>4.4080742439493982E-2</v>
      </c>
      <c r="BN521">
        <v>4.4080742439493982E-2</v>
      </c>
      <c r="BO521">
        <v>0.82302976192823207</v>
      </c>
      <c r="BP521">
        <v>0.26119826824331788</v>
      </c>
      <c r="BQ521">
        <v>-4.8628429487134861E-2</v>
      </c>
      <c r="BR521">
        <v>53.208907116648817</v>
      </c>
      <c r="BS521">
        <v>0.84855807069916689</v>
      </c>
      <c r="BT521">
        <v>53.208907116648817</v>
      </c>
      <c r="BU521">
        <v>53.208907116648817</v>
      </c>
      <c r="BV521">
        <v>0.84855807069916689</v>
      </c>
      <c r="BW521">
        <v>290.66340131410527</v>
      </c>
      <c r="BX521">
        <v>0.1727207218210802</v>
      </c>
      <c r="BY521" t="str">
        <f t="shared" si="19"/>
        <v>[[sv,wv],[yr],[ya]]</v>
      </c>
      <c r="BZ521" t="str">
        <f>SUBSTITUTE(TRIM(MID(SUBSTITUTE(SUBSTITUTE(SUBSTITUTE(Tabla1[[#This Row],[map]],"[",""),"]",""),",",REPT(" ",100)),901,200))," ",", ")</f>
        <v>2, 4</v>
      </c>
      <c r="CA521" t="str">
        <f>SUBSTITUTE(TRIM(MID(SUBSTITUTE(SUBSTITUTE(SUBSTITUTE(Tabla1[[#This Row],[map]],"[",""),"]",""),",",REPT(" ",100)),1501,200))," ",", ")</f>
        <v>3, 2</v>
      </c>
      <c r="CB521" t="str">
        <f>SUBSTITUTE(TRIM(MID(SUBSTITUTE(SUBSTITUTE(SUBSTITUTE(Tabla1[[#This Row],[map]],"[",""),"]",""),",",REPT(" ",100)),601,300))," ",", ")</f>
        <v>1, 3, 0</v>
      </c>
      <c r="CC521" t="str">
        <f>SUBSTITUTE(TRIM(MID(SUBSTITUTE(SUBSTITUTE(SUBSTITUTE(Tabla1[[#This Row],[map]],"[",""),"]",""),",",REPT(" ",100)),1201,300))," ",", ")</f>
        <v>1, 4, 0</v>
      </c>
      <c r="CD521" t="str">
        <f>SUBSTITUTE(TRIM(MID(SUBSTITUTE(SUBSTITUTE(SUBSTITUTE(Tabla1[[#This Row],[map]],"[",""),"]",""),",",REPT(" ",100)),1,300))," ",", ")</f>
        <v>4, 2, 3</v>
      </c>
      <c r="CE521" t="str">
        <f>SUBSTITUTE(TRIM(MID(SUBSTITUTE(SUBSTITUTE(SUBSTITUTE(Tabla1[[#This Row],[map]],"[",""),"]",""),",",REPT(" ",100)),1,600))," ",", ")</f>
        <v>4, 2, 3, 0, 1, -1</v>
      </c>
      <c r="CF521" t="str">
        <f>SUBSTITUTE(TRIM(MID(SUBSTITUTE(SUBSTITUTE(SUBSTITUTE(Tabla1[[#This Row],[map]],"[",""),"]",""),",",REPT(" ",100)),601,600))," ",", ")</f>
        <v>1, 3, 0, 2, 4, -1</v>
      </c>
      <c r="CG521" t="str">
        <f>SUBSTITUTE(TRIM(MID(SUBSTITUTE(SUBSTITUTE(SUBSTITUTE(Tabla1[[#This Row],[map]],"[",""),"]",""),",",REPT(" ",100)),1201,600))," ",", ")</f>
        <v>1, 4, 0, 3, 2, -1</v>
      </c>
    </row>
    <row r="522" spans="1:85" x14ac:dyDescent="0.3">
      <c r="A522" s="1">
        <v>46112.810717592591</v>
      </c>
      <c r="B522" t="s">
        <v>777</v>
      </c>
      <c r="C522">
        <v>8</v>
      </c>
      <c r="D522" t="s">
        <v>77</v>
      </c>
      <c r="E522" t="s">
        <v>78</v>
      </c>
      <c r="F522">
        <v>16590</v>
      </c>
      <c r="G522">
        <v>4.5</v>
      </c>
      <c r="H522" t="s">
        <v>79</v>
      </c>
      <c r="I522" t="s">
        <v>80</v>
      </c>
      <c r="J522">
        <v>5</v>
      </c>
      <c r="K522">
        <v>5</v>
      </c>
      <c r="L522" t="s">
        <v>81</v>
      </c>
      <c r="M522" t="s">
        <v>82</v>
      </c>
      <c r="N522" t="s">
        <v>83</v>
      </c>
      <c r="O522" t="s">
        <v>83</v>
      </c>
      <c r="P522" t="s">
        <v>84</v>
      </c>
      <c r="Q522" t="s">
        <v>225</v>
      </c>
      <c r="R522">
        <v>3</v>
      </c>
      <c r="S522" t="s">
        <v>86</v>
      </c>
      <c r="T522" t="s">
        <v>87</v>
      </c>
      <c r="U522" t="s">
        <v>88</v>
      </c>
      <c r="V522">
        <v>1</v>
      </c>
      <c r="W522" t="s">
        <v>226</v>
      </c>
      <c r="X522" t="s">
        <v>83</v>
      </c>
      <c r="Y522" t="s">
        <v>90</v>
      </c>
      <c r="Z522">
        <v>4000</v>
      </c>
      <c r="AA522">
        <v>4000</v>
      </c>
      <c r="AC522">
        <v>256</v>
      </c>
      <c r="AD522" t="s">
        <v>91</v>
      </c>
      <c r="AE522">
        <v>0.15</v>
      </c>
      <c r="AF522" t="s">
        <v>92</v>
      </c>
      <c r="AG522">
        <v>180</v>
      </c>
      <c r="AH522">
        <v>60</v>
      </c>
      <c r="AI522">
        <v>120</v>
      </c>
      <c r="AJ522">
        <v>0.1350722924499278</v>
      </c>
      <c r="AK522">
        <v>12.298875407606101</v>
      </c>
      <c r="AL522">
        <v>0.58818118978867995</v>
      </c>
      <c r="AM522">
        <v>0.25988932288077099</v>
      </c>
      <c r="AN522">
        <v>15.961809115690039</v>
      </c>
      <c r="AO522">
        <v>0.52562500793019873</v>
      </c>
      <c r="AP522">
        <v>15.961809115690039</v>
      </c>
      <c r="AQ522">
        <v>15.961809115690039</v>
      </c>
      <c r="AR522">
        <v>0.52562500793019873</v>
      </c>
      <c r="AS522">
        <v>66.905571972723095</v>
      </c>
      <c r="AT522">
        <v>0.26528041700168131</v>
      </c>
      <c r="AU522">
        <v>0.8</v>
      </c>
      <c r="AV522" t="s">
        <v>93</v>
      </c>
      <c r="AW522">
        <v>0.12419839956364261</v>
      </c>
      <c r="AX522">
        <v>9.8159035787113824E-2</v>
      </c>
      <c r="AY522">
        <v>0.12419839956364261</v>
      </c>
      <c r="AZ522">
        <v>0.12419839956364261</v>
      </c>
      <c r="BA522">
        <v>9.8159035787113824E-2</v>
      </c>
      <c r="BB522">
        <v>0.1149335227134721</v>
      </c>
      <c r="BC522">
        <v>0.16543402082095751</v>
      </c>
      <c r="BD522">
        <v>8.7190841508416411E-2</v>
      </c>
      <c r="BE522">
        <v>0.69790235656859223</v>
      </c>
      <c r="BF522">
        <v>8.7190841508416411E-2</v>
      </c>
      <c r="BG522">
        <v>8.7190841508416411E-2</v>
      </c>
      <c r="BH522">
        <v>0.69790235656859223</v>
      </c>
      <c r="BI522">
        <v>0.13060227009084169</v>
      </c>
      <c r="BJ522">
        <v>0.54749102843069797</v>
      </c>
      <c r="BK522">
        <v>0.12773262101253041</v>
      </c>
      <c r="BL522">
        <v>0.48719392870602729</v>
      </c>
      <c r="BM522">
        <v>0.12773262101253041</v>
      </c>
      <c r="BN522">
        <v>0.12773262101253041</v>
      </c>
      <c r="BO522">
        <v>0.48719392870602729</v>
      </c>
      <c r="BP522">
        <v>0.22204339204987389</v>
      </c>
      <c r="BQ522">
        <v>0.1085660136676191</v>
      </c>
      <c r="BR522">
        <v>63.508114600675754</v>
      </c>
      <c r="BS522">
        <v>0.8192447106590659</v>
      </c>
      <c r="BT522">
        <v>63.508114600675754</v>
      </c>
      <c r="BU522">
        <v>63.508114600675754</v>
      </c>
      <c r="BV522">
        <v>0.8192447106590659</v>
      </c>
      <c r="BW522">
        <v>267.15470870603809</v>
      </c>
      <c r="BX522">
        <v>0.2396306050874473</v>
      </c>
      <c r="BY522" t="str">
        <f t="shared" si="19"/>
        <v>[[sv,wv],[yr],[ya]]</v>
      </c>
      <c r="BZ522" t="str">
        <f>SUBSTITUTE(TRIM(MID(SUBSTITUTE(SUBSTITUTE(SUBSTITUTE(Tabla1[[#This Row],[map]],"[",""),"]",""),",",REPT(" ",100)),901,200))," ",", ")</f>
        <v>2, 3</v>
      </c>
      <c r="CA522" t="str">
        <f>SUBSTITUTE(TRIM(MID(SUBSTITUTE(SUBSTITUTE(SUBSTITUTE(Tabla1[[#This Row],[map]],"[",""),"]",""),",",REPT(" ",100)),1501,200))," ",", ")</f>
        <v>3, 4</v>
      </c>
      <c r="CB522" t="str">
        <f>SUBSTITUTE(TRIM(MID(SUBSTITUTE(SUBSTITUTE(SUBSTITUTE(Tabla1[[#This Row],[map]],"[",""),"]",""),",",REPT(" ",100)),601,300))," ",", ")</f>
        <v>0, 1, 4</v>
      </c>
      <c r="CC522" t="str">
        <f>SUBSTITUTE(TRIM(MID(SUBSTITUTE(SUBSTITUTE(SUBSTITUTE(Tabla1[[#This Row],[map]],"[",""),"]",""),",",REPT(" ",100)),1201,300))," ",", ")</f>
        <v>2, 0, 1</v>
      </c>
      <c r="CD522" t="str">
        <f>SUBSTITUTE(TRIM(MID(SUBSTITUTE(SUBSTITUTE(SUBSTITUTE(Tabla1[[#This Row],[map]],"[",""),"]",""),",",REPT(" ",100)),1,300))," ",", ")</f>
        <v>4, 2, 3</v>
      </c>
      <c r="CE522" t="str">
        <f>SUBSTITUTE(TRIM(MID(SUBSTITUTE(SUBSTITUTE(SUBSTITUTE(Tabla1[[#This Row],[map]],"[",""),"]",""),",",REPT(" ",100)),1,600))," ",", ")</f>
        <v>4, 2, 3, 0, 1, -1</v>
      </c>
      <c r="CF522" t="str">
        <f>SUBSTITUTE(TRIM(MID(SUBSTITUTE(SUBSTITUTE(SUBSTITUTE(Tabla1[[#This Row],[map]],"[",""),"]",""),",",REPT(" ",100)),601,600))," ",", ")</f>
        <v>0, 1, 4, 2, 3, -1</v>
      </c>
      <c r="CG522" t="str">
        <f>SUBSTITUTE(TRIM(MID(SUBSTITUTE(SUBSTITUTE(SUBSTITUTE(Tabla1[[#This Row],[map]],"[",""),"]",""),",",REPT(" ",100)),1201,600))," ",", ")</f>
        <v>2, 0, 1, 3, 4, -1</v>
      </c>
    </row>
    <row r="523" spans="1:85" x14ac:dyDescent="0.3">
      <c r="A523" s="1">
        <v>46112.819085648152</v>
      </c>
      <c r="B523" t="s">
        <v>778</v>
      </c>
      <c r="C523">
        <v>6</v>
      </c>
      <c r="D523" t="s">
        <v>77</v>
      </c>
      <c r="E523" t="s">
        <v>78</v>
      </c>
      <c r="F523">
        <v>16590</v>
      </c>
      <c r="G523">
        <v>4.5</v>
      </c>
      <c r="H523" t="s">
        <v>79</v>
      </c>
      <c r="I523" t="s">
        <v>80</v>
      </c>
      <c r="J523">
        <v>5</v>
      </c>
      <c r="K523">
        <v>5</v>
      </c>
      <c r="L523" t="s">
        <v>81</v>
      </c>
      <c r="M523" t="s">
        <v>82</v>
      </c>
      <c r="N523" t="s">
        <v>83</v>
      </c>
      <c r="O523" t="s">
        <v>83</v>
      </c>
      <c r="P523" t="s">
        <v>84</v>
      </c>
      <c r="Q523" t="s">
        <v>265</v>
      </c>
      <c r="R523">
        <v>3</v>
      </c>
      <c r="S523" t="s">
        <v>86</v>
      </c>
      <c r="T523" t="s">
        <v>87</v>
      </c>
      <c r="U523" t="s">
        <v>88</v>
      </c>
      <c r="V523">
        <v>1</v>
      </c>
      <c r="W523" t="s">
        <v>266</v>
      </c>
      <c r="X523" t="s">
        <v>83</v>
      </c>
      <c r="Y523" t="s">
        <v>90</v>
      </c>
      <c r="Z523">
        <v>4000</v>
      </c>
      <c r="AA523">
        <v>4000</v>
      </c>
      <c r="AC523">
        <v>256</v>
      </c>
      <c r="AD523" t="s">
        <v>91</v>
      </c>
      <c r="AE523">
        <v>0.15</v>
      </c>
      <c r="AF523" t="s">
        <v>92</v>
      </c>
      <c r="AG523">
        <v>180</v>
      </c>
      <c r="AH523">
        <v>60</v>
      </c>
      <c r="AI523">
        <v>120</v>
      </c>
      <c r="AJ523">
        <v>0.13855200719561139</v>
      </c>
      <c r="AK523">
        <v>43.091493546142217</v>
      </c>
      <c r="AL523">
        <v>0.60686395699691709</v>
      </c>
      <c r="AM523">
        <v>0.23834974151234059</v>
      </c>
      <c r="AN523">
        <v>49.911890968364773</v>
      </c>
      <c r="AO523">
        <v>0.55463652183455481</v>
      </c>
      <c r="AP523">
        <v>49.911890968364773</v>
      </c>
      <c r="AQ523">
        <v>49.911890968364773</v>
      </c>
      <c r="AR523">
        <v>0.55463652183455481</v>
      </c>
      <c r="AS523">
        <v>98.481751090308265</v>
      </c>
      <c r="AT523">
        <v>0.2137374861978947</v>
      </c>
      <c r="AU523">
        <v>0.8</v>
      </c>
      <c r="AV523" t="s">
        <v>93</v>
      </c>
      <c r="AW523">
        <v>8.2277385819154711E-2</v>
      </c>
      <c r="AX523">
        <v>0.40255979770464378</v>
      </c>
      <c r="AY523">
        <v>8.2277385819154711E-2</v>
      </c>
      <c r="AZ523">
        <v>8.2277385819154711E-2</v>
      </c>
      <c r="BA523">
        <v>0.40255979770464378</v>
      </c>
      <c r="BB523">
        <v>0.1486588637997715</v>
      </c>
      <c r="BC523">
        <v>-7.9455560933203939E-2</v>
      </c>
      <c r="BD523">
        <v>0.1020237196222786</v>
      </c>
      <c r="BE523">
        <v>0.64650960193999363</v>
      </c>
      <c r="BF523">
        <v>0.1020237196222786</v>
      </c>
      <c r="BG523">
        <v>0.1020237196222786</v>
      </c>
      <c r="BH523">
        <v>0.64650960193999363</v>
      </c>
      <c r="BI523">
        <v>0.1024575635727238</v>
      </c>
      <c r="BJ523">
        <v>0.64500642531296459</v>
      </c>
      <c r="BK523">
        <v>6.5510057106719546E-2</v>
      </c>
      <c r="BL523">
        <v>0.73699784167237015</v>
      </c>
      <c r="BM523">
        <v>6.5510057106719546E-2</v>
      </c>
      <c r="BN523">
        <v>6.5510057106719546E-2</v>
      </c>
      <c r="BO523">
        <v>0.73699784167237015</v>
      </c>
      <c r="BP523">
        <v>0.1470971698820443</v>
      </c>
      <c r="BQ523">
        <v>0.40945139003862258</v>
      </c>
      <c r="BR523">
        <v>199.39775271091011</v>
      </c>
      <c r="BS523">
        <v>0.43247884602121239</v>
      </c>
      <c r="BT523">
        <v>199.39775271091011</v>
      </c>
      <c r="BU523">
        <v>199.39775271091011</v>
      </c>
      <c r="BV523">
        <v>0.43247884602121239</v>
      </c>
      <c r="BW523">
        <v>393.52879076397829</v>
      </c>
      <c r="BX523">
        <v>-0.12005230962680689</v>
      </c>
      <c r="BY523" t="str">
        <f t="shared" si="19"/>
        <v>[[sv,wv],[yr],[ya]]</v>
      </c>
      <c r="BZ523" t="str">
        <f>SUBSTITUTE(TRIM(MID(SUBSTITUTE(SUBSTITUTE(SUBSTITUTE(Tabla1[[#This Row],[map]],"[",""),"]",""),",",REPT(" ",100)),901,200))," ",", ")</f>
        <v>2, 4</v>
      </c>
      <c r="CA523" t="str">
        <f>SUBSTITUTE(TRIM(MID(SUBSTITUTE(SUBSTITUTE(SUBSTITUTE(Tabla1[[#This Row],[map]],"[",""),"]",""),",",REPT(" ",100)),1501,200))," ",", ")</f>
        <v>3, 2</v>
      </c>
      <c r="CB523" t="str">
        <f>SUBSTITUTE(TRIM(MID(SUBSTITUTE(SUBSTITUTE(SUBSTITUTE(Tabla1[[#This Row],[map]],"[",""),"]",""),",",REPT(" ",100)),601,300))," ",", ")</f>
        <v>0, 1, 3</v>
      </c>
      <c r="CC523" t="str">
        <f>SUBSTITUTE(TRIM(MID(SUBSTITUTE(SUBSTITUTE(SUBSTITUTE(Tabla1[[#This Row],[map]],"[",""),"]",""),",",REPT(" ",100)),1201,300))," ",", ")</f>
        <v>4, 0, 1</v>
      </c>
      <c r="CD523" t="str">
        <f>SUBSTITUTE(TRIM(MID(SUBSTITUTE(SUBSTITUTE(SUBSTITUTE(Tabla1[[#This Row],[map]],"[",""),"]",""),",",REPT(" ",100)),1,300))," ",", ")</f>
        <v>4, 2, 3</v>
      </c>
      <c r="CE523" t="str">
        <f>SUBSTITUTE(TRIM(MID(SUBSTITUTE(SUBSTITUTE(SUBSTITUTE(Tabla1[[#This Row],[map]],"[",""),"]",""),",",REPT(" ",100)),1,600))," ",", ")</f>
        <v>4, 2, 3, 0, 1, -1</v>
      </c>
      <c r="CF523" t="str">
        <f>SUBSTITUTE(TRIM(MID(SUBSTITUTE(SUBSTITUTE(SUBSTITUTE(Tabla1[[#This Row],[map]],"[",""),"]",""),",",REPT(" ",100)),601,600))," ",", ")</f>
        <v>0, 1, 3, 2, 4, -1</v>
      </c>
      <c r="CG523" t="str">
        <f>SUBSTITUTE(TRIM(MID(SUBSTITUTE(SUBSTITUTE(SUBSTITUTE(Tabla1[[#This Row],[map]],"[",""),"]",""),",",REPT(" ",100)),1201,600))," ",", ")</f>
        <v>4, 0, 1, 3, 2, -1</v>
      </c>
    </row>
    <row r="524" spans="1:85" x14ac:dyDescent="0.3">
      <c r="A524" s="1">
        <v>46112.831435185188</v>
      </c>
      <c r="B524" t="s">
        <v>779</v>
      </c>
      <c r="C524">
        <v>9</v>
      </c>
      <c r="D524" t="s">
        <v>96</v>
      </c>
      <c r="E524" t="s">
        <v>78</v>
      </c>
      <c r="F524">
        <v>16590</v>
      </c>
      <c r="G524">
        <v>4.5</v>
      </c>
      <c r="H524" t="s">
        <v>79</v>
      </c>
      <c r="I524" t="s">
        <v>80</v>
      </c>
      <c r="J524">
        <v>5</v>
      </c>
      <c r="K524">
        <v>5</v>
      </c>
      <c r="L524" t="s">
        <v>81</v>
      </c>
      <c r="M524" t="s">
        <v>82</v>
      </c>
      <c r="N524" t="s">
        <v>83</v>
      </c>
      <c r="O524" t="s">
        <v>83</v>
      </c>
      <c r="P524" t="s">
        <v>84</v>
      </c>
      <c r="Q524" t="s">
        <v>207</v>
      </c>
      <c r="R524">
        <v>3</v>
      </c>
      <c r="S524" t="s">
        <v>86</v>
      </c>
      <c r="T524" t="s">
        <v>87</v>
      </c>
      <c r="U524" t="s">
        <v>88</v>
      </c>
      <c r="V524">
        <v>1</v>
      </c>
      <c r="W524" t="s">
        <v>208</v>
      </c>
      <c r="X524" t="s">
        <v>83</v>
      </c>
      <c r="Y524" t="s">
        <v>90</v>
      </c>
      <c r="Z524">
        <v>4000</v>
      </c>
      <c r="AA524">
        <v>4000</v>
      </c>
      <c r="AC524">
        <v>256</v>
      </c>
      <c r="AD524" t="s">
        <v>91</v>
      </c>
      <c r="AE524">
        <v>0.15</v>
      </c>
      <c r="AF524" t="s">
        <v>92</v>
      </c>
      <c r="AG524">
        <v>180</v>
      </c>
      <c r="AH524">
        <v>60</v>
      </c>
      <c r="AI524">
        <v>120</v>
      </c>
      <c r="AJ524">
        <v>0.1183843171093957</v>
      </c>
      <c r="AK524">
        <v>14.75276055024209</v>
      </c>
      <c r="AL524">
        <v>0.73251757372568749</v>
      </c>
      <c r="AM524">
        <v>0.28724573851708601</v>
      </c>
      <c r="AN524">
        <v>23.197682491475579</v>
      </c>
      <c r="AO524">
        <v>0.64606218972760088</v>
      </c>
      <c r="AP524">
        <v>23.197682491475579</v>
      </c>
      <c r="AQ524">
        <v>23.197682491475579</v>
      </c>
      <c r="AR524">
        <v>0.64606218972760088</v>
      </c>
      <c r="AS524">
        <v>84.147488728692295</v>
      </c>
      <c r="AT524">
        <v>0.18206833176077339</v>
      </c>
      <c r="AU524">
        <v>0.8</v>
      </c>
      <c r="AV524" t="s">
        <v>93</v>
      </c>
      <c r="AW524">
        <v>7.5225732394497577E-2</v>
      </c>
      <c r="AX524">
        <v>0.45376391906314112</v>
      </c>
      <c r="AY524">
        <v>7.5225732394497577E-2</v>
      </c>
      <c r="AZ524">
        <v>7.5225732394497577E-2</v>
      </c>
      <c r="BA524">
        <v>0.45376391906314112</v>
      </c>
      <c r="BB524">
        <v>7.3227923384403815E-2</v>
      </c>
      <c r="BC524">
        <v>0.46827059556063411</v>
      </c>
      <c r="BD524">
        <v>7.9258054231167885E-2</v>
      </c>
      <c r="BE524">
        <v>0.72538777018360023</v>
      </c>
      <c r="BF524">
        <v>7.9258054231167885E-2</v>
      </c>
      <c r="BG524">
        <v>7.9258054231167885E-2</v>
      </c>
      <c r="BH524">
        <v>0.72538777018360023</v>
      </c>
      <c r="BI524">
        <v>0.15893534407225721</v>
      </c>
      <c r="BJ524">
        <v>0.44932297852000741</v>
      </c>
      <c r="BK524">
        <v>8.2566614930191476E-2</v>
      </c>
      <c r="BL524">
        <v>0.66852115703285997</v>
      </c>
      <c r="BM524">
        <v>8.2566614930191476E-2</v>
      </c>
      <c r="BN524">
        <v>8.2566614930191476E-2</v>
      </c>
      <c r="BO524">
        <v>0.66852115703285997</v>
      </c>
      <c r="BP524">
        <v>0.30708787987561442</v>
      </c>
      <c r="BQ524">
        <v>-0.23286070521923369</v>
      </c>
      <c r="BR524">
        <v>92.553679564346709</v>
      </c>
      <c r="BS524">
        <v>0.7365759126307998</v>
      </c>
      <c r="BT524">
        <v>92.553679564346709</v>
      </c>
      <c r="BU524">
        <v>92.553679564346709</v>
      </c>
      <c r="BV524">
        <v>0.7365759126307998</v>
      </c>
      <c r="BW524">
        <v>336.0507037674368</v>
      </c>
      <c r="BX524">
        <v>4.3540458181681951E-2</v>
      </c>
      <c r="BY524" t="str">
        <f t="shared" si="19"/>
        <v>[[sv,wv],[yr],[ya]]</v>
      </c>
      <c r="BZ524" t="str">
        <f>SUBSTITUTE(TRIM(MID(SUBSTITUTE(SUBSTITUTE(SUBSTITUTE(Tabla1[[#This Row],[map]],"[",""),"]",""),",",REPT(" ",100)),901,200))," ",", ")</f>
        <v>2, 4</v>
      </c>
      <c r="CA524" t="str">
        <f>SUBSTITUTE(TRIM(MID(SUBSTITUTE(SUBSTITUTE(SUBSTITUTE(Tabla1[[#This Row],[map]],"[",""),"]",""),",",REPT(" ",100)),1501,200))," ",", ")</f>
        <v>3, 2</v>
      </c>
      <c r="CB524" t="str">
        <f>SUBSTITUTE(TRIM(MID(SUBSTITUTE(SUBSTITUTE(SUBSTITUTE(Tabla1[[#This Row],[map]],"[",""),"]",""),",",REPT(" ",100)),601,300))," ",", ")</f>
        <v>3, 0, 1</v>
      </c>
      <c r="CC524" t="str">
        <f>SUBSTITUTE(TRIM(MID(SUBSTITUTE(SUBSTITUTE(SUBSTITUTE(Tabla1[[#This Row],[map]],"[",""),"]",""),",",REPT(" ",100)),1201,300))," ",", ")</f>
        <v>0, 1, 4</v>
      </c>
      <c r="CD524" t="str">
        <f>SUBSTITUTE(TRIM(MID(SUBSTITUTE(SUBSTITUTE(SUBSTITUTE(Tabla1[[#This Row],[map]],"[",""),"]",""),",",REPT(" ",100)),1,300))," ",", ")</f>
        <v>4, 2, 3</v>
      </c>
      <c r="CE524" t="str">
        <f>SUBSTITUTE(TRIM(MID(SUBSTITUTE(SUBSTITUTE(SUBSTITUTE(Tabla1[[#This Row],[map]],"[",""),"]",""),",",REPT(" ",100)),1,600))," ",", ")</f>
        <v>4, 2, 3, 0, 1, -1</v>
      </c>
      <c r="CF524" t="str">
        <f>SUBSTITUTE(TRIM(MID(SUBSTITUTE(SUBSTITUTE(SUBSTITUTE(Tabla1[[#This Row],[map]],"[",""),"]",""),",",REPT(" ",100)),601,600))," ",", ")</f>
        <v>3, 0, 1, 2, 4, -1</v>
      </c>
      <c r="CG524" t="str">
        <f>SUBSTITUTE(TRIM(MID(SUBSTITUTE(SUBSTITUTE(SUBSTITUTE(Tabla1[[#This Row],[map]],"[",""),"]",""),",",REPT(" ",100)),1201,600))," ",", ")</f>
        <v>0, 1, 4, 3, 2, -1</v>
      </c>
    </row>
    <row r="525" spans="1:85" x14ac:dyDescent="0.3">
      <c r="A525" s="1">
        <v>46112.83184027778</v>
      </c>
      <c r="B525" t="s">
        <v>780</v>
      </c>
      <c r="C525">
        <v>7</v>
      </c>
      <c r="D525" t="s">
        <v>96</v>
      </c>
      <c r="E525" t="s">
        <v>78</v>
      </c>
      <c r="F525">
        <v>16590</v>
      </c>
      <c r="G525">
        <v>4.5</v>
      </c>
      <c r="H525" t="s">
        <v>79</v>
      </c>
      <c r="I525" t="s">
        <v>80</v>
      </c>
      <c r="J525">
        <v>5</v>
      </c>
      <c r="K525">
        <v>5</v>
      </c>
      <c r="L525" t="s">
        <v>81</v>
      </c>
      <c r="M525" t="s">
        <v>82</v>
      </c>
      <c r="N525" t="s">
        <v>83</v>
      </c>
      <c r="O525" t="s">
        <v>83</v>
      </c>
      <c r="P525" t="s">
        <v>84</v>
      </c>
      <c r="Q525" t="s">
        <v>225</v>
      </c>
      <c r="R525">
        <v>3</v>
      </c>
      <c r="S525" t="s">
        <v>86</v>
      </c>
      <c r="T525" t="s">
        <v>87</v>
      </c>
      <c r="U525" t="s">
        <v>88</v>
      </c>
      <c r="V525">
        <v>1</v>
      </c>
      <c r="W525" t="s">
        <v>226</v>
      </c>
      <c r="X525" t="s">
        <v>83</v>
      </c>
      <c r="Y525" t="s">
        <v>90</v>
      </c>
      <c r="Z525">
        <v>4000</v>
      </c>
      <c r="AA525">
        <v>4000</v>
      </c>
      <c r="AC525">
        <v>256</v>
      </c>
      <c r="AD525" t="s">
        <v>91</v>
      </c>
      <c r="AE525">
        <v>0.15</v>
      </c>
      <c r="AF525" t="s">
        <v>92</v>
      </c>
      <c r="AG525">
        <v>180</v>
      </c>
      <c r="AH525">
        <v>60</v>
      </c>
      <c r="AI525">
        <v>120</v>
      </c>
      <c r="AJ525">
        <v>0.1190646138984206</v>
      </c>
      <c r="AK525">
        <v>12.91549464653677</v>
      </c>
      <c r="AL525">
        <v>0.69927421595032502</v>
      </c>
      <c r="AM525">
        <v>0.31147332655867982</v>
      </c>
      <c r="AN525">
        <v>16.986722899832341</v>
      </c>
      <c r="AO525">
        <v>0.64798867611243427</v>
      </c>
      <c r="AP525">
        <v>16.986722899832341</v>
      </c>
      <c r="AQ525">
        <v>16.986722899832341</v>
      </c>
      <c r="AR525">
        <v>0.64798867611243427</v>
      </c>
      <c r="AS525">
        <v>101.3655089794413</v>
      </c>
      <c r="AT525">
        <v>0.15765647167338609</v>
      </c>
      <c r="AU525">
        <v>0.8</v>
      </c>
      <c r="AV525" t="s">
        <v>93</v>
      </c>
      <c r="AW525">
        <v>8.2012046498512153E-2</v>
      </c>
      <c r="AX525">
        <v>0.40448650424524818</v>
      </c>
      <c r="AY525">
        <v>8.2012046498512153E-2</v>
      </c>
      <c r="AZ525">
        <v>8.2012046498512153E-2</v>
      </c>
      <c r="BA525">
        <v>0.40448650424524818</v>
      </c>
      <c r="BB525">
        <v>9.1808866094608893E-2</v>
      </c>
      <c r="BC525">
        <v>0.33334892709606601</v>
      </c>
      <c r="BD525">
        <v>0.1011852715631797</v>
      </c>
      <c r="BE525">
        <v>0.64941464538734872</v>
      </c>
      <c r="BF525">
        <v>0.1011852715631797</v>
      </c>
      <c r="BG525">
        <v>0.1011852715631797</v>
      </c>
      <c r="BH525">
        <v>0.64941464538734872</v>
      </c>
      <c r="BI525">
        <v>0.2049394129278076</v>
      </c>
      <c r="BJ525">
        <v>0.28992870557705758</v>
      </c>
      <c r="BK525">
        <v>6.7071267077921812E-2</v>
      </c>
      <c r="BL525">
        <v>0.73073007745168073</v>
      </c>
      <c r="BM525">
        <v>6.7071267077921812E-2</v>
      </c>
      <c r="BN525">
        <v>6.7071267077921812E-2</v>
      </c>
      <c r="BO525">
        <v>0.73073007745168073</v>
      </c>
      <c r="BP525">
        <v>0.2092507262332623</v>
      </c>
      <c r="BQ525">
        <v>0.15992452057674891</v>
      </c>
      <c r="BR525">
        <v>67.696623014189655</v>
      </c>
      <c r="BS525">
        <v>0.80732347736546117</v>
      </c>
      <c r="BT525">
        <v>67.696623014189655</v>
      </c>
      <c r="BU525">
        <v>67.696623014189655</v>
      </c>
      <c r="BV525">
        <v>0.80732347736546117</v>
      </c>
      <c r="BW525">
        <v>404.95603691250972</v>
      </c>
      <c r="BX525">
        <v>-0.15257626655633419</v>
      </c>
      <c r="BY525" t="str">
        <f t="shared" si="19"/>
        <v>[[sv,wv],[yr],[ya]]</v>
      </c>
      <c r="BZ525" t="str">
        <f>SUBSTITUTE(TRIM(MID(SUBSTITUTE(SUBSTITUTE(SUBSTITUTE(Tabla1[[#This Row],[map]],"[",""),"]",""),",",REPT(" ",100)),901,200))," ",", ")</f>
        <v>2, 3</v>
      </c>
      <c r="CA525" t="str">
        <f>SUBSTITUTE(TRIM(MID(SUBSTITUTE(SUBSTITUTE(SUBSTITUTE(Tabla1[[#This Row],[map]],"[",""),"]",""),",",REPT(" ",100)),1501,200))," ",", ")</f>
        <v>3, 4</v>
      </c>
      <c r="CB525" t="str">
        <f>SUBSTITUTE(TRIM(MID(SUBSTITUTE(SUBSTITUTE(SUBSTITUTE(Tabla1[[#This Row],[map]],"[",""),"]",""),",",REPT(" ",100)),601,300))," ",", ")</f>
        <v>0, 1, 4</v>
      </c>
      <c r="CC525" t="str">
        <f>SUBSTITUTE(TRIM(MID(SUBSTITUTE(SUBSTITUTE(SUBSTITUTE(Tabla1[[#This Row],[map]],"[",""),"]",""),",",REPT(" ",100)),1201,300))," ",", ")</f>
        <v>2, 0, 1</v>
      </c>
      <c r="CD525" t="str">
        <f>SUBSTITUTE(TRIM(MID(SUBSTITUTE(SUBSTITUTE(SUBSTITUTE(Tabla1[[#This Row],[map]],"[",""),"]",""),",",REPT(" ",100)),1,300))," ",", ")</f>
        <v>4, 2, 3</v>
      </c>
      <c r="CE525" t="str">
        <f>SUBSTITUTE(TRIM(MID(SUBSTITUTE(SUBSTITUTE(SUBSTITUTE(Tabla1[[#This Row],[map]],"[",""),"]",""),",",REPT(" ",100)),1,600))," ",", ")</f>
        <v>4, 2, 3, 0, 1, -1</v>
      </c>
      <c r="CF525" t="str">
        <f>SUBSTITUTE(TRIM(MID(SUBSTITUTE(SUBSTITUTE(SUBSTITUTE(Tabla1[[#This Row],[map]],"[",""),"]",""),",",REPT(" ",100)),601,600))," ",", ")</f>
        <v>0, 1, 4, 2, 3, -1</v>
      </c>
      <c r="CG525" t="str">
        <f>SUBSTITUTE(TRIM(MID(SUBSTITUTE(SUBSTITUTE(SUBSTITUTE(Tabla1[[#This Row],[map]],"[",""),"]",""),",",REPT(" ",100)),1201,600))," ",", ")</f>
        <v>2, 0, 1, 3, 4, -1</v>
      </c>
    </row>
    <row r="526" spans="1:85" x14ac:dyDescent="0.3">
      <c r="A526" s="1">
        <v>46112.889178240737</v>
      </c>
      <c r="B526" t="s">
        <v>781</v>
      </c>
      <c r="C526">
        <v>9</v>
      </c>
      <c r="D526" t="s">
        <v>77</v>
      </c>
      <c r="E526" t="s">
        <v>78</v>
      </c>
      <c r="F526">
        <v>16590</v>
      </c>
      <c r="G526">
        <v>4.5</v>
      </c>
      <c r="H526" t="s">
        <v>79</v>
      </c>
      <c r="I526" t="s">
        <v>80</v>
      </c>
      <c r="J526">
        <v>5</v>
      </c>
      <c r="K526">
        <v>5</v>
      </c>
      <c r="L526" t="s">
        <v>81</v>
      </c>
      <c r="M526" t="s">
        <v>82</v>
      </c>
      <c r="N526" t="s">
        <v>83</v>
      </c>
      <c r="O526" t="s">
        <v>83</v>
      </c>
      <c r="P526" t="s">
        <v>84</v>
      </c>
      <c r="Q526" t="s">
        <v>517</v>
      </c>
      <c r="R526">
        <v>3</v>
      </c>
      <c r="S526" t="s">
        <v>86</v>
      </c>
      <c r="T526" t="s">
        <v>87</v>
      </c>
      <c r="U526" t="s">
        <v>88</v>
      </c>
      <c r="V526">
        <v>1</v>
      </c>
      <c r="W526" t="s">
        <v>518</v>
      </c>
      <c r="X526" t="s">
        <v>83</v>
      </c>
      <c r="Y526" t="s">
        <v>90</v>
      </c>
      <c r="Z526">
        <v>4000</v>
      </c>
      <c r="AA526">
        <v>4000</v>
      </c>
      <c r="AC526">
        <v>256</v>
      </c>
      <c r="AD526" t="s">
        <v>91</v>
      </c>
      <c r="AE526">
        <v>0.15</v>
      </c>
      <c r="AF526" t="s">
        <v>92</v>
      </c>
      <c r="AG526">
        <v>180</v>
      </c>
      <c r="AH526">
        <v>60</v>
      </c>
      <c r="AI526">
        <v>120</v>
      </c>
      <c r="AJ526">
        <v>0.1133917298251395</v>
      </c>
      <c r="AK526">
        <v>17.301909062841659</v>
      </c>
      <c r="AL526">
        <v>0.75386491385799292</v>
      </c>
      <c r="AM526">
        <v>9.9666596170323529E-2</v>
      </c>
      <c r="AN526">
        <v>22.551083694916962</v>
      </c>
      <c r="AO526">
        <v>0.70086295906950147</v>
      </c>
      <c r="AP526">
        <v>22.551083694916962</v>
      </c>
      <c r="AQ526">
        <v>22.551083694916962</v>
      </c>
      <c r="AR526">
        <v>0.70086295906950147</v>
      </c>
      <c r="AS526">
        <v>125.25144069603751</v>
      </c>
      <c r="AT526">
        <v>0.1230481498936002</v>
      </c>
      <c r="AU526">
        <v>0.8</v>
      </c>
      <c r="AV526" t="s">
        <v>93</v>
      </c>
      <c r="AW526">
        <v>7.0825502072429741E-2</v>
      </c>
      <c r="AX526">
        <v>0.48571528051670759</v>
      </c>
      <c r="AY526">
        <v>7.0825502072429741E-2</v>
      </c>
      <c r="AZ526">
        <v>7.0825502072429741E-2</v>
      </c>
      <c r="BA526">
        <v>0.48571528051670759</v>
      </c>
      <c r="BB526">
        <v>6.5310952164206973E-2</v>
      </c>
      <c r="BC526">
        <v>0.52575804293477957</v>
      </c>
      <c r="BD526">
        <v>8.1001206120866309E-2</v>
      </c>
      <c r="BE526">
        <v>0.71934812119168101</v>
      </c>
      <c r="BF526">
        <v>8.1001206120866309E-2</v>
      </c>
      <c r="BG526">
        <v>8.1001206120866309E-2</v>
      </c>
      <c r="BH526">
        <v>0.71934812119168101</v>
      </c>
      <c r="BI526">
        <v>0.12030272580870741</v>
      </c>
      <c r="BJ526">
        <v>0.58317674957091503</v>
      </c>
      <c r="BK526">
        <v>3.6219376344470249E-2</v>
      </c>
      <c r="BL526">
        <v>0.85459066023468189</v>
      </c>
      <c r="BM526">
        <v>3.6219376344470249E-2</v>
      </c>
      <c r="BN526">
        <v>3.6219376344470249E-2</v>
      </c>
      <c r="BO526">
        <v>0.85459066023468189</v>
      </c>
      <c r="BP526">
        <v>0.29695114961727848</v>
      </c>
      <c r="BQ526">
        <v>-0.19216493949910429</v>
      </c>
      <c r="BR526">
        <v>90.016288695129944</v>
      </c>
      <c r="BS526">
        <v>0.74379777433493299</v>
      </c>
      <c r="BT526">
        <v>90.016288695129944</v>
      </c>
      <c r="BU526">
        <v>90.016288695129944</v>
      </c>
      <c r="BV526">
        <v>0.74379777433493299</v>
      </c>
      <c r="BW526">
        <v>500.52319795655688</v>
      </c>
      <c r="BX526">
        <v>-0.42457725343218428</v>
      </c>
      <c r="BY526" t="str">
        <f t="shared" si="19"/>
        <v>[[sv,wv],[yr],[ya]]</v>
      </c>
      <c r="BZ526" t="str">
        <f>SUBSTITUTE(TRIM(MID(SUBSTITUTE(SUBSTITUTE(SUBSTITUTE(Tabla1[[#This Row],[map]],"[",""),"]",""),",",REPT(" ",100)),901,200))," ",", ")</f>
        <v>2, 4</v>
      </c>
      <c r="CA526" t="str">
        <f>SUBSTITUTE(TRIM(MID(SUBSTITUTE(SUBSTITUTE(SUBSTITUTE(Tabla1[[#This Row],[map]],"[",""),"]",""),",",REPT(" ",100)),1501,200))," ",", ")</f>
        <v>3, 2</v>
      </c>
      <c r="CB526" t="str">
        <f>SUBSTITUTE(TRIM(MID(SUBSTITUTE(SUBSTITUTE(SUBSTITUTE(Tabla1[[#This Row],[map]],"[",""),"]",""),",",REPT(" ",100)),601,300))," ",", ")</f>
        <v>1, 3, 0</v>
      </c>
      <c r="CC526" t="str">
        <f>SUBSTITUTE(TRIM(MID(SUBSTITUTE(SUBSTITUTE(SUBSTITUTE(Tabla1[[#This Row],[map]],"[",""),"]",""),",",REPT(" ",100)),1201,300))," ",", ")</f>
        <v>1, 4, 0</v>
      </c>
      <c r="CD526" t="str">
        <f>SUBSTITUTE(TRIM(MID(SUBSTITUTE(SUBSTITUTE(SUBSTITUTE(Tabla1[[#This Row],[map]],"[",""),"]",""),",",REPT(" ",100)),1,300))," ",", ")</f>
        <v>4, 2, 3</v>
      </c>
      <c r="CE526" t="str">
        <f>SUBSTITUTE(TRIM(MID(SUBSTITUTE(SUBSTITUTE(SUBSTITUTE(Tabla1[[#This Row],[map]],"[",""),"]",""),",",REPT(" ",100)),1,600))," ",", ")</f>
        <v>4, 2, 3, 0, 1, -1</v>
      </c>
      <c r="CF526" t="str">
        <f>SUBSTITUTE(TRIM(MID(SUBSTITUTE(SUBSTITUTE(SUBSTITUTE(Tabla1[[#This Row],[map]],"[",""),"]",""),",",REPT(" ",100)),601,600))," ",", ")</f>
        <v>1, 3, 0, 2, 4, -1</v>
      </c>
      <c r="CG526" t="str">
        <f>SUBSTITUTE(TRIM(MID(SUBSTITUTE(SUBSTITUTE(SUBSTITUTE(Tabla1[[#This Row],[map]],"[",""),"]",""),",",REPT(" ",100)),1201,600))," ",", ")</f>
        <v>1, 4, 0, 3, 2, -1</v>
      </c>
    </row>
    <row r="527" spans="1:85" x14ac:dyDescent="0.3">
      <c r="A527" s="1">
        <v>46112.952557870369</v>
      </c>
      <c r="B527" t="s">
        <v>782</v>
      </c>
      <c r="C527">
        <v>7</v>
      </c>
      <c r="D527" t="s">
        <v>77</v>
      </c>
      <c r="E527" t="s">
        <v>78</v>
      </c>
      <c r="F527">
        <v>16590</v>
      </c>
      <c r="G527">
        <v>4.5</v>
      </c>
      <c r="H527" t="s">
        <v>79</v>
      </c>
      <c r="I527" t="s">
        <v>80</v>
      </c>
      <c r="J527">
        <v>5</v>
      </c>
      <c r="K527">
        <v>5</v>
      </c>
      <c r="L527" t="s">
        <v>81</v>
      </c>
      <c r="M527" t="s">
        <v>82</v>
      </c>
      <c r="N527" t="s">
        <v>83</v>
      </c>
      <c r="O527" t="s">
        <v>83</v>
      </c>
      <c r="P527" t="s">
        <v>84</v>
      </c>
      <c r="Q527" t="s">
        <v>533</v>
      </c>
      <c r="R527">
        <v>3</v>
      </c>
      <c r="S527" t="s">
        <v>86</v>
      </c>
      <c r="T527" t="s">
        <v>87</v>
      </c>
      <c r="U527" t="s">
        <v>88</v>
      </c>
      <c r="V527">
        <v>1</v>
      </c>
      <c r="W527" t="s">
        <v>534</v>
      </c>
      <c r="X527" t="s">
        <v>83</v>
      </c>
      <c r="Y527" t="s">
        <v>90</v>
      </c>
      <c r="Z527">
        <v>4000</v>
      </c>
      <c r="AA527">
        <v>4000</v>
      </c>
      <c r="AC527">
        <v>256</v>
      </c>
      <c r="AD527" t="s">
        <v>91</v>
      </c>
      <c r="AE527">
        <v>0.15</v>
      </c>
      <c r="AF527" t="s">
        <v>92</v>
      </c>
      <c r="AG527">
        <v>180</v>
      </c>
      <c r="AH527">
        <v>60</v>
      </c>
      <c r="AI527">
        <v>120</v>
      </c>
      <c r="AJ527">
        <v>0.1095461024853915</v>
      </c>
      <c r="AK527">
        <v>11.72964106341775</v>
      </c>
      <c r="AL527">
        <v>0.75136575198177269</v>
      </c>
      <c r="AM527">
        <v>1.0631867442794121E-2</v>
      </c>
      <c r="AN527">
        <v>16.883234486822911</v>
      </c>
      <c r="AO527">
        <v>0.70568677529539947</v>
      </c>
      <c r="AP527">
        <v>16.883234486822911</v>
      </c>
      <c r="AQ527">
        <v>16.883234486822911</v>
      </c>
      <c r="AR527">
        <v>0.70568677529539947</v>
      </c>
      <c r="AS527">
        <v>117.31694510864691</v>
      </c>
      <c r="AT527">
        <v>5.5770484120623576E-3</v>
      </c>
      <c r="AU527">
        <v>0.8</v>
      </c>
      <c r="AV527" t="s">
        <v>93</v>
      </c>
      <c r="AW527">
        <v>7.4646244997352715E-2</v>
      </c>
      <c r="AX527">
        <v>0.45797174681958919</v>
      </c>
      <c r="AY527">
        <v>7.4646244997352715E-2</v>
      </c>
      <c r="AZ527">
        <v>7.4646244997352715E-2</v>
      </c>
      <c r="BA527">
        <v>0.45797174681958919</v>
      </c>
      <c r="BB527">
        <v>0.1061817072557248</v>
      </c>
      <c r="BC527">
        <v>0.22898351677870249</v>
      </c>
      <c r="BD527">
        <v>9.6025117338536192E-2</v>
      </c>
      <c r="BE527">
        <v>0.6672934776596231</v>
      </c>
      <c r="BF527">
        <v>9.6025117338536192E-2</v>
      </c>
      <c r="BG527">
        <v>9.6025117338536192E-2</v>
      </c>
      <c r="BH527">
        <v>0.6672934776596231</v>
      </c>
      <c r="BI527">
        <v>0.1497805568161269</v>
      </c>
      <c r="BJ527">
        <v>0.48104236106462789</v>
      </c>
      <c r="BK527">
        <v>2.7616581528647849E-2</v>
      </c>
      <c r="BL527">
        <v>0.88912816033982156</v>
      </c>
      <c r="BM527">
        <v>2.7616581528647849E-2</v>
      </c>
      <c r="BN527">
        <v>2.7616581528647849E-2</v>
      </c>
      <c r="BO527">
        <v>0.88912816033982156</v>
      </c>
      <c r="BP527">
        <v>0.33720891364423172</v>
      </c>
      <c r="BQ527">
        <v>-0.35378712845987531</v>
      </c>
      <c r="BR527">
        <v>67.334650003427328</v>
      </c>
      <c r="BS527">
        <v>0.80835371636256181</v>
      </c>
      <c r="BT527">
        <v>67.334650003427328</v>
      </c>
      <c r="BU527">
        <v>67.334650003427328</v>
      </c>
      <c r="BV527">
        <v>0.80835371636256181</v>
      </c>
      <c r="BW527">
        <v>468.67460925686993</v>
      </c>
      <c r="BX527">
        <v>-0.3339305557352088</v>
      </c>
      <c r="BY527" t="str">
        <f t="shared" si="19"/>
        <v>[[sv,wv],[yr],[ya]]</v>
      </c>
      <c r="BZ527" t="str">
        <f>SUBSTITUTE(TRIM(MID(SUBSTITUTE(SUBSTITUTE(SUBSTITUTE(Tabla1[[#This Row],[map]],"[",""),"]",""),",",REPT(" ",100)),901,200))," ",", ")</f>
        <v>2, 4</v>
      </c>
      <c r="CA527" t="str">
        <f>SUBSTITUTE(TRIM(MID(SUBSTITUTE(SUBSTITUTE(SUBSTITUTE(Tabla1[[#This Row],[map]],"[",""),"]",""),",",REPT(" ",100)),1501,200))," ",", ")</f>
        <v>3, 4</v>
      </c>
      <c r="CB527" t="str">
        <f>SUBSTITUTE(TRIM(MID(SUBSTITUTE(SUBSTITUTE(SUBSTITUTE(Tabla1[[#This Row],[map]],"[",""),"]",""),",",REPT(" ",100)),601,300))," ",", ")</f>
        <v>1, 3, 0</v>
      </c>
      <c r="CC527" t="str">
        <f>SUBSTITUTE(TRIM(MID(SUBSTITUTE(SUBSTITUTE(SUBSTITUTE(Tabla1[[#This Row],[map]],"[",""),"]",""),",",REPT(" ",100)),1201,300))," ",", ")</f>
        <v>1, 2, 0</v>
      </c>
      <c r="CD527" t="str">
        <f>SUBSTITUTE(TRIM(MID(SUBSTITUTE(SUBSTITUTE(SUBSTITUTE(Tabla1[[#This Row],[map]],"[",""),"]",""),",",REPT(" ",100)),1,300))," ",", ")</f>
        <v>4, 2, 3</v>
      </c>
      <c r="CE527" t="str">
        <f>SUBSTITUTE(TRIM(MID(SUBSTITUTE(SUBSTITUTE(SUBSTITUTE(Tabla1[[#This Row],[map]],"[",""),"]",""),",",REPT(" ",100)),1,600))," ",", ")</f>
        <v>4, 2, 3, 0, 1, -1</v>
      </c>
      <c r="CF527" t="str">
        <f>SUBSTITUTE(TRIM(MID(SUBSTITUTE(SUBSTITUTE(SUBSTITUTE(Tabla1[[#This Row],[map]],"[",""),"]",""),",",REPT(" ",100)),601,600))," ",", ")</f>
        <v>1, 3, 0, 2, 4, -1</v>
      </c>
      <c r="CG527" t="str">
        <f>SUBSTITUTE(TRIM(MID(SUBSTITUTE(SUBSTITUTE(SUBSTITUTE(Tabla1[[#This Row],[map]],"[",""),"]",""),",",REPT(" ",100)),1201,600))," ",", ")</f>
        <v>1, 2, 0, 3, 4, -1</v>
      </c>
    </row>
    <row r="528" spans="1:85" x14ac:dyDescent="0.3">
      <c r="A528" s="1">
        <v>46112.958761574067</v>
      </c>
      <c r="B528" t="s">
        <v>783</v>
      </c>
      <c r="C528">
        <v>8</v>
      </c>
      <c r="D528" t="s">
        <v>77</v>
      </c>
      <c r="E528" t="s">
        <v>78</v>
      </c>
      <c r="F528">
        <v>16590</v>
      </c>
      <c r="G528">
        <v>4.5</v>
      </c>
      <c r="H528" t="s">
        <v>79</v>
      </c>
      <c r="I528" t="s">
        <v>80</v>
      </c>
      <c r="J528">
        <v>5</v>
      </c>
      <c r="K528">
        <v>5</v>
      </c>
      <c r="L528" t="s">
        <v>81</v>
      </c>
      <c r="M528" t="s">
        <v>82</v>
      </c>
      <c r="N528" t="s">
        <v>83</v>
      </c>
      <c r="O528" t="s">
        <v>83</v>
      </c>
      <c r="P528" t="s">
        <v>84</v>
      </c>
      <c r="Q528" t="s">
        <v>231</v>
      </c>
      <c r="R528">
        <v>3</v>
      </c>
      <c r="S528" t="s">
        <v>86</v>
      </c>
      <c r="T528" t="s">
        <v>87</v>
      </c>
      <c r="U528" t="s">
        <v>88</v>
      </c>
      <c r="V528">
        <v>1</v>
      </c>
      <c r="W528" t="s">
        <v>232</v>
      </c>
      <c r="X528" t="s">
        <v>83</v>
      </c>
      <c r="Y528" t="s">
        <v>90</v>
      </c>
      <c r="Z528">
        <v>4000</v>
      </c>
      <c r="AA528">
        <v>4000</v>
      </c>
      <c r="AC528">
        <v>256</v>
      </c>
      <c r="AD528" t="s">
        <v>91</v>
      </c>
      <c r="AE528">
        <v>0.15</v>
      </c>
      <c r="AF528" t="s">
        <v>92</v>
      </c>
      <c r="AG528">
        <v>180</v>
      </c>
      <c r="AH528">
        <v>60</v>
      </c>
      <c r="AI528">
        <v>120</v>
      </c>
      <c r="AJ528">
        <v>0.1166828634121848</v>
      </c>
      <c r="AK528">
        <v>34.62176339517675</v>
      </c>
      <c r="AL528">
        <v>0.66425008568754407</v>
      </c>
      <c r="AM528">
        <v>0.2489013313034979</v>
      </c>
      <c r="AN528">
        <v>39.617315871451993</v>
      </c>
      <c r="AO528">
        <v>0.61870057225627206</v>
      </c>
      <c r="AP528">
        <v>39.617315871451993</v>
      </c>
      <c r="AQ528">
        <v>39.617315871451993</v>
      </c>
      <c r="AR528">
        <v>0.61870057225627206</v>
      </c>
      <c r="AS528">
        <v>102.3235027112554</v>
      </c>
      <c r="AT528">
        <v>0.27789899943280449</v>
      </c>
      <c r="AU528">
        <v>0.8</v>
      </c>
      <c r="AV528" t="s">
        <v>93</v>
      </c>
      <c r="AW528">
        <v>8.5086914223233057E-2</v>
      </c>
      <c r="AX528">
        <v>0.3821589888873036</v>
      </c>
      <c r="AY528">
        <v>8.5086914223233057E-2</v>
      </c>
      <c r="AZ528">
        <v>8.5086914223233057E-2</v>
      </c>
      <c r="BA528">
        <v>0.3821589888873036</v>
      </c>
      <c r="BB528">
        <v>0.14179861949212039</v>
      </c>
      <c r="BC528">
        <v>-2.9641317248222391E-2</v>
      </c>
      <c r="BD528">
        <v>7.4858064091566798E-2</v>
      </c>
      <c r="BE528">
        <v>0.74063279625857636</v>
      </c>
      <c r="BF528">
        <v>7.4858064091566798E-2</v>
      </c>
      <c r="BG528">
        <v>7.4858064091566798E-2</v>
      </c>
      <c r="BH528">
        <v>0.74063279625857636</v>
      </c>
      <c r="BI528">
        <v>0.1204719509376722</v>
      </c>
      <c r="BJ528">
        <v>0.58259042064249544</v>
      </c>
      <c r="BK528">
        <v>4.9207692950106047E-2</v>
      </c>
      <c r="BL528">
        <v>0.8024466772923371</v>
      </c>
      <c r="BM528">
        <v>4.9207692950106047E-2</v>
      </c>
      <c r="BN528">
        <v>4.9207692950106047E-2</v>
      </c>
      <c r="BO528">
        <v>0.8024466772923371</v>
      </c>
      <c r="BP528">
        <v>6.9089704497625332E-2</v>
      </c>
      <c r="BQ528">
        <v>0.7226266896471718</v>
      </c>
      <c r="BR528">
        <v>158.26011081454209</v>
      </c>
      <c r="BS528">
        <v>0.54956382658687097</v>
      </c>
      <c r="BT528">
        <v>158.26011081454209</v>
      </c>
      <c r="BU528">
        <v>158.26011081454209</v>
      </c>
      <c r="BV528">
        <v>0.54956382658687097</v>
      </c>
      <c r="BW528">
        <v>408.96265057009259</v>
      </c>
      <c r="BX528">
        <v>-0.163979795310218</v>
      </c>
      <c r="BY528" t="str">
        <f t="shared" si="19"/>
        <v>[[sv,wv],[yr],[ya]]</v>
      </c>
      <c r="BZ528" t="str">
        <f>SUBSTITUTE(TRIM(MID(SUBSTITUTE(SUBSTITUTE(SUBSTITUTE(Tabla1[[#This Row],[map]],"[",""),"]",""),",",REPT(" ",100)),901,200))," ",", ")</f>
        <v>2, 3</v>
      </c>
      <c r="CA528" t="str">
        <f>SUBSTITUTE(TRIM(MID(SUBSTITUTE(SUBSTITUTE(SUBSTITUTE(Tabla1[[#This Row],[map]],"[",""),"]",""),",",REPT(" ",100)),1501,200))," ",", ")</f>
        <v>3, 2</v>
      </c>
      <c r="CB528" t="str">
        <f>SUBSTITUTE(TRIM(MID(SUBSTITUTE(SUBSTITUTE(SUBSTITUTE(Tabla1[[#This Row],[map]],"[",""),"]",""),",",REPT(" ",100)),601,300))," ",", ")</f>
        <v>4, 0, 1</v>
      </c>
      <c r="CC528" t="str">
        <f>SUBSTITUTE(TRIM(MID(SUBSTITUTE(SUBSTITUTE(SUBSTITUTE(Tabla1[[#This Row],[map]],"[",""),"]",""),",",REPT(" ",100)),1201,300))," ",", ")</f>
        <v>4, 0, 1</v>
      </c>
      <c r="CD528" t="str">
        <f>SUBSTITUTE(TRIM(MID(SUBSTITUTE(SUBSTITUTE(SUBSTITUTE(Tabla1[[#This Row],[map]],"[",""),"]",""),",",REPT(" ",100)),1,300))," ",", ")</f>
        <v>4, 2, 3</v>
      </c>
      <c r="CE528" t="str">
        <f>SUBSTITUTE(TRIM(MID(SUBSTITUTE(SUBSTITUTE(SUBSTITUTE(Tabla1[[#This Row],[map]],"[",""),"]",""),",",REPT(" ",100)),1,600))," ",", ")</f>
        <v>4, 2, 3, 0, 1, -1</v>
      </c>
      <c r="CF528" t="str">
        <f>SUBSTITUTE(TRIM(MID(SUBSTITUTE(SUBSTITUTE(SUBSTITUTE(Tabla1[[#This Row],[map]],"[",""),"]",""),",",REPT(" ",100)),601,600))," ",", ")</f>
        <v>4, 0, 1, 2, 3, -1</v>
      </c>
      <c r="CG528" t="str">
        <f>SUBSTITUTE(TRIM(MID(SUBSTITUTE(SUBSTITUTE(SUBSTITUTE(Tabla1[[#This Row],[map]],"[",""),"]",""),",",REPT(" ",100)),1201,600))," ",", ")</f>
        <v>4, 0, 1, 3, 2, -1</v>
      </c>
    </row>
    <row r="529" spans="1:85" x14ac:dyDescent="0.3">
      <c r="A529" s="1">
        <v>46112.958425925928</v>
      </c>
      <c r="B529" t="s">
        <v>784</v>
      </c>
      <c r="C529">
        <v>8</v>
      </c>
      <c r="D529" t="s">
        <v>96</v>
      </c>
      <c r="E529" t="s">
        <v>78</v>
      </c>
      <c r="F529">
        <v>16590</v>
      </c>
      <c r="G529">
        <v>4.5</v>
      </c>
      <c r="H529" t="s">
        <v>79</v>
      </c>
      <c r="I529" t="s">
        <v>80</v>
      </c>
      <c r="J529">
        <v>5</v>
      </c>
      <c r="K529">
        <v>5</v>
      </c>
      <c r="L529" t="s">
        <v>81</v>
      </c>
      <c r="M529" t="s">
        <v>82</v>
      </c>
      <c r="N529" t="s">
        <v>83</v>
      </c>
      <c r="O529" t="s">
        <v>83</v>
      </c>
      <c r="P529" t="s">
        <v>84</v>
      </c>
      <c r="Q529" t="s">
        <v>525</v>
      </c>
      <c r="R529">
        <v>3</v>
      </c>
      <c r="S529" t="s">
        <v>86</v>
      </c>
      <c r="T529" t="s">
        <v>87</v>
      </c>
      <c r="U529" t="s">
        <v>88</v>
      </c>
      <c r="V529">
        <v>1</v>
      </c>
      <c r="W529" t="s">
        <v>526</v>
      </c>
      <c r="X529" t="s">
        <v>83</v>
      </c>
      <c r="Y529" t="s">
        <v>90</v>
      </c>
      <c r="Z529">
        <v>4000</v>
      </c>
      <c r="AA529">
        <v>4000</v>
      </c>
      <c r="AC529">
        <v>256</v>
      </c>
      <c r="AD529" t="s">
        <v>91</v>
      </c>
      <c r="AE529">
        <v>0.15</v>
      </c>
      <c r="AF529" t="s">
        <v>92</v>
      </c>
      <c r="AG529">
        <v>180</v>
      </c>
      <c r="AH529">
        <v>60</v>
      </c>
      <c r="AI529">
        <v>120</v>
      </c>
      <c r="AJ529">
        <v>0.1062470493174512</v>
      </c>
      <c r="AK529">
        <v>26.12691778089809</v>
      </c>
      <c r="AL529">
        <v>0.68020957258504244</v>
      </c>
      <c r="AM529">
        <v>-8.0413554122460068E-2</v>
      </c>
      <c r="AN529">
        <v>24.1529182881761</v>
      </c>
      <c r="AO529">
        <v>0.65002864422124507</v>
      </c>
      <c r="AP529">
        <v>24.1529182881761</v>
      </c>
      <c r="AQ529">
        <v>24.1529182881761</v>
      </c>
      <c r="AR529">
        <v>0.65002864422124507</v>
      </c>
      <c r="AS529">
        <v>84.998300549464489</v>
      </c>
      <c r="AT529">
        <v>-5.365501574688622E-2</v>
      </c>
      <c r="AU529">
        <v>0.8</v>
      </c>
      <c r="AV529" t="s">
        <v>93</v>
      </c>
      <c r="AW529">
        <v>9.1317655459702926E-2</v>
      </c>
      <c r="AX529">
        <v>0.33691575142046659</v>
      </c>
      <c r="AY529">
        <v>9.1317655459702926E-2</v>
      </c>
      <c r="AZ529">
        <v>9.1317655459702926E-2</v>
      </c>
      <c r="BA529">
        <v>0.33691575142046659</v>
      </c>
      <c r="BB529">
        <v>0.11733203237028859</v>
      </c>
      <c r="BC529">
        <v>0.14801773953893621</v>
      </c>
      <c r="BD529">
        <v>7.6138408376527147E-2</v>
      </c>
      <c r="BE529">
        <v>0.73619667676969569</v>
      </c>
      <c r="BF529">
        <v>7.6138408376527147E-2</v>
      </c>
      <c r="BG529">
        <v>7.6138408376527147E-2</v>
      </c>
      <c r="BH529">
        <v>0.73619667676969569</v>
      </c>
      <c r="BI529">
        <v>0.1193430195396723</v>
      </c>
      <c r="BJ529">
        <v>0.58650192681712698</v>
      </c>
      <c r="BK529">
        <v>4.9478725705925597E-2</v>
      </c>
      <c r="BL529">
        <v>0.80135856650589865</v>
      </c>
      <c r="BM529">
        <v>4.9478725705925597E-2</v>
      </c>
      <c r="BN529">
        <v>4.9478725705925597E-2</v>
      </c>
      <c r="BO529">
        <v>0.80135856650589865</v>
      </c>
      <c r="BP529">
        <v>0.4940710460357427</v>
      </c>
      <c r="BQ529">
        <v>-0.98353897422051895</v>
      </c>
      <c r="BR529">
        <v>96.394738363161963</v>
      </c>
      <c r="BS529">
        <v>0.72564358218891956</v>
      </c>
      <c r="BT529">
        <v>96.394738363161963</v>
      </c>
      <c r="BU529">
        <v>96.394738363161963</v>
      </c>
      <c r="BV529">
        <v>0.72564358218891956</v>
      </c>
      <c r="BW529">
        <v>339.26245609991281</v>
      </c>
      <c r="BX529">
        <v>3.4399244876918922E-2</v>
      </c>
      <c r="BY529" t="str">
        <f t="shared" ref="BY529:BY547" si="20">_xlfn.LET(_xlpm.TextoConfig, Q529,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529" t="str">
        <f>SUBSTITUTE(TRIM(MID(SUBSTITUTE(SUBSTITUTE(SUBSTITUTE(Tabla1[[#This Row],[map]],"[",""),"]",""),",",REPT(" ",100)),901,200))," ",", ")</f>
        <v>2, 4</v>
      </c>
      <c r="CA529" t="str">
        <f>SUBSTITUTE(TRIM(MID(SUBSTITUTE(SUBSTITUTE(SUBSTITUTE(Tabla1[[#This Row],[map]],"[",""),"]",""),",",REPT(" ",100)),1501,200))," ",", ")</f>
        <v>3, 4</v>
      </c>
      <c r="CB529" t="str">
        <f>SUBSTITUTE(TRIM(MID(SUBSTITUTE(SUBSTITUTE(SUBSTITUTE(Tabla1[[#This Row],[map]],"[",""),"]",""),",",REPT(" ",100)),601,300))," ",", ")</f>
        <v>1, 3, 0</v>
      </c>
      <c r="CC529" t="str">
        <f>SUBSTITUTE(TRIM(MID(SUBSTITUTE(SUBSTITUTE(SUBSTITUTE(Tabla1[[#This Row],[map]],"[",""),"]",""),",",REPT(" ",100)),1201,300))," ",", ")</f>
        <v>0, 1, 2</v>
      </c>
      <c r="CD529" t="str">
        <f>SUBSTITUTE(TRIM(MID(SUBSTITUTE(SUBSTITUTE(SUBSTITUTE(Tabla1[[#This Row],[map]],"[",""),"]",""),",",REPT(" ",100)),1,300))," ",", ")</f>
        <v>4, 2, 3</v>
      </c>
      <c r="CE529" t="str">
        <f>SUBSTITUTE(TRIM(MID(SUBSTITUTE(SUBSTITUTE(SUBSTITUTE(Tabla1[[#This Row],[map]],"[",""),"]",""),",",REPT(" ",100)),1,600))," ",", ")</f>
        <v>4, 2, 3, 0, 1, -1</v>
      </c>
      <c r="CF529" t="str">
        <f>SUBSTITUTE(TRIM(MID(SUBSTITUTE(SUBSTITUTE(SUBSTITUTE(Tabla1[[#This Row],[map]],"[",""),"]",""),",",REPT(" ",100)),601,600))," ",", ")</f>
        <v>1, 3, 0, 2, 4, -1</v>
      </c>
      <c r="CG529" t="str">
        <f>SUBSTITUTE(TRIM(MID(SUBSTITUTE(SUBSTITUTE(SUBSTITUTE(Tabla1[[#This Row],[map]],"[",""),"]",""),",",REPT(" ",100)),1201,600))," ",", ")</f>
        <v>0, 1, 2, 3, 4, -1</v>
      </c>
    </row>
    <row r="530" spans="1:85" x14ac:dyDescent="0.3">
      <c r="A530" s="1">
        <v>46112.970092592594</v>
      </c>
      <c r="B530" t="s">
        <v>785</v>
      </c>
      <c r="C530">
        <v>6</v>
      </c>
      <c r="D530" t="s">
        <v>77</v>
      </c>
      <c r="E530" t="s">
        <v>78</v>
      </c>
      <c r="F530">
        <v>16590</v>
      </c>
      <c r="G530">
        <v>4.5</v>
      </c>
      <c r="H530" t="s">
        <v>79</v>
      </c>
      <c r="I530" t="s">
        <v>80</v>
      </c>
      <c r="J530">
        <v>5</v>
      </c>
      <c r="K530">
        <v>5</v>
      </c>
      <c r="L530" t="s">
        <v>81</v>
      </c>
      <c r="M530" t="s">
        <v>82</v>
      </c>
      <c r="N530" t="s">
        <v>83</v>
      </c>
      <c r="O530" t="s">
        <v>83</v>
      </c>
      <c r="P530" t="s">
        <v>84</v>
      </c>
      <c r="Q530" t="s">
        <v>279</v>
      </c>
      <c r="R530">
        <v>3</v>
      </c>
      <c r="S530" t="s">
        <v>86</v>
      </c>
      <c r="T530" t="s">
        <v>87</v>
      </c>
      <c r="U530" t="s">
        <v>88</v>
      </c>
      <c r="V530">
        <v>1</v>
      </c>
      <c r="W530" t="s">
        <v>280</v>
      </c>
      <c r="X530" t="s">
        <v>83</v>
      </c>
      <c r="Y530" t="s">
        <v>90</v>
      </c>
      <c r="Z530">
        <v>4000</v>
      </c>
      <c r="AA530">
        <v>4000</v>
      </c>
      <c r="AC530">
        <v>256</v>
      </c>
      <c r="AD530" t="s">
        <v>91</v>
      </c>
      <c r="AE530">
        <v>0.15</v>
      </c>
      <c r="AF530" t="s">
        <v>92</v>
      </c>
      <c r="AG530">
        <v>180</v>
      </c>
      <c r="AH530">
        <v>60</v>
      </c>
      <c r="AI530">
        <v>120</v>
      </c>
      <c r="AJ530">
        <v>0.1160708203326571</v>
      </c>
      <c r="AK530">
        <v>13.721889291527461</v>
      </c>
      <c r="AL530">
        <v>0.69467996199155224</v>
      </c>
      <c r="AM530">
        <v>0.11316101178863849</v>
      </c>
      <c r="AN530">
        <v>16.914547593831649</v>
      </c>
      <c r="AO530">
        <v>0.65112080313298404</v>
      </c>
      <c r="AP530">
        <v>16.914547593831649</v>
      </c>
      <c r="AQ530">
        <v>16.914547593831649</v>
      </c>
      <c r="AR530">
        <v>0.65112080313298404</v>
      </c>
      <c r="AS530">
        <v>95.433988809079594</v>
      </c>
      <c r="AT530">
        <v>0.13813384419010821</v>
      </c>
      <c r="AU530">
        <v>0.8</v>
      </c>
      <c r="AV530" t="s">
        <v>93</v>
      </c>
      <c r="AW530">
        <v>8.3109966888441245E-2</v>
      </c>
      <c r="AX530">
        <v>0.39651418264882332</v>
      </c>
      <c r="AY530">
        <v>8.3109966888441245E-2</v>
      </c>
      <c r="AZ530">
        <v>8.3109966888441245E-2</v>
      </c>
      <c r="BA530">
        <v>0.39651418264882332</v>
      </c>
      <c r="BB530">
        <v>0.13768805230618211</v>
      </c>
      <c r="BC530">
        <v>2.067153146194656E-4</v>
      </c>
      <c r="BD530">
        <v>9.8962525168186835E-2</v>
      </c>
      <c r="BE530">
        <v>0.65711598690735462</v>
      </c>
      <c r="BF530">
        <v>9.8962525168186835E-2</v>
      </c>
      <c r="BG530">
        <v>9.8962525168186835E-2</v>
      </c>
      <c r="BH530">
        <v>0.65711598690735462</v>
      </c>
      <c r="BI530">
        <v>0.1109367747044693</v>
      </c>
      <c r="BJ530">
        <v>0.61562776974842992</v>
      </c>
      <c r="BK530">
        <v>6.4084856244755822E-2</v>
      </c>
      <c r="BL530">
        <v>0.74271957233940711</v>
      </c>
      <c r="BM530">
        <v>6.4084856244755822E-2</v>
      </c>
      <c r="BN530">
        <v>6.4084856244755822E-2</v>
      </c>
      <c r="BO530">
        <v>0.74271957233940711</v>
      </c>
      <c r="BP530">
        <v>0.24365865072897991</v>
      </c>
      <c r="BQ530">
        <v>2.178758701850236E-2</v>
      </c>
      <c r="BR530">
        <v>67.412033027025188</v>
      </c>
      <c r="BS530">
        <v>0.80813347063635099</v>
      </c>
      <c r="BT530">
        <v>67.412033027025188</v>
      </c>
      <c r="BU530">
        <v>67.412033027025188</v>
      </c>
      <c r="BV530">
        <v>0.80813347063635099</v>
      </c>
      <c r="BW530">
        <v>381.24367175857981</v>
      </c>
      <c r="BX530">
        <v>-8.5086695321119565E-2</v>
      </c>
      <c r="BY530" t="str">
        <f t="shared" si="20"/>
        <v>[[sv,wv],[yr],[ya]]</v>
      </c>
      <c r="BZ530" t="str">
        <f>SUBSTITUTE(TRIM(MID(SUBSTITUTE(SUBSTITUTE(SUBSTITUTE(Tabla1[[#This Row],[map]],"[",""),"]",""),",",REPT(" ",100)),901,200))," ",", ")</f>
        <v>2, 4</v>
      </c>
      <c r="CA530" t="str">
        <f>SUBSTITUTE(TRIM(MID(SUBSTITUTE(SUBSTITUTE(SUBSTITUTE(Tabla1[[#This Row],[map]],"[",""),"]",""),",",REPT(" ",100)),1501,200))," ",", ")</f>
        <v>3, 4</v>
      </c>
      <c r="CB530" t="str">
        <f>SUBSTITUTE(TRIM(MID(SUBSTITUTE(SUBSTITUTE(SUBSTITUTE(Tabla1[[#This Row],[map]],"[",""),"]",""),",",REPT(" ",100)),601,300))," ",", ")</f>
        <v>0, 1, 3</v>
      </c>
      <c r="CC530" t="str">
        <f>SUBSTITUTE(TRIM(MID(SUBSTITUTE(SUBSTITUTE(SUBSTITUTE(Tabla1[[#This Row],[map]],"[",""),"]",""),",",REPT(" ",100)),1201,300))," ",", ")</f>
        <v>2, 0, 1</v>
      </c>
      <c r="CD530" t="str">
        <f>SUBSTITUTE(TRIM(MID(SUBSTITUTE(SUBSTITUTE(SUBSTITUTE(Tabla1[[#This Row],[map]],"[",""),"]",""),",",REPT(" ",100)),1,300))," ",", ")</f>
        <v>4, 2, 3</v>
      </c>
      <c r="CE530" t="str">
        <f>SUBSTITUTE(TRIM(MID(SUBSTITUTE(SUBSTITUTE(SUBSTITUTE(Tabla1[[#This Row],[map]],"[",""),"]",""),",",REPT(" ",100)),1,600))," ",", ")</f>
        <v>4, 2, 3, 0, 1, -1</v>
      </c>
      <c r="CF530" t="str">
        <f>SUBSTITUTE(TRIM(MID(SUBSTITUTE(SUBSTITUTE(SUBSTITUTE(Tabla1[[#This Row],[map]],"[",""),"]",""),",",REPT(" ",100)),601,600))," ",", ")</f>
        <v>0, 1, 3, 2, 4, -1</v>
      </c>
      <c r="CG530" t="str">
        <f>SUBSTITUTE(TRIM(MID(SUBSTITUTE(SUBSTITUTE(SUBSTITUTE(Tabla1[[#This Row],[map]],"[",""),"]",""),",",REPT(" ",100)),1201,600))," ",", ")</f>
        <v>2, 0, 1, 3, 4, -1</v>
      </c>
    </row>
    <row r="531" spans="1:85" x14ac:dyDescent="0.3">
      <c r="A531" s="1">
        <v>46112.979490740741</v>
      </c>
      <c r="B531" t="s">
        <v>786</v>
      </c>
      <c r="C531">
        <v>9</v>
      </c>
      <c r="D531" t="s">
        <v>77</v>
      </c>
      <c r="E531" t="s">
        <v>78</v>
      </c>
      <c r="F531">
        <v>16590</v>
      </c>
      <c r="G531">
        <v>4.5</v>
      </c>
      <c r="H531" t="s">
        <v>79</v>
      </c>
      <c r="I531" t="s">
        <v>80</v>
      </c>
      <c r="J531">
        <v>5</v>
      </c>
      <c r="K531">
        <v>5</v>
      </c>
      <c r="L531" t="s">
        <v>81</v>
      </c>
      <c r="M531" t="s">
        <v>82</v>
      </c>
      <c r="N531" t="s">
        <v>83</v>
      </c>
      <c r="O531" t="s">
        <v>83</v>
      </c>
      <c r="P531" t="s">
        <v>84</v>
      </c>
      <c r="Q531" t="s">
        <v>213</v>
      </c>
      <c r="R531">
        <v>3</v>
      </c>
      <c r="S531" t="s">
        <v>86</v>
      </c>
      <c r="T531" t="s">
        <v>87</v>
      </c>
      <c r="U531" t="s">
        <v>88</v>
      </c>
      <c r="V531">
        <v>1</v>
      </c>
      <c r="W531" t="s">
        <v>214</v>
      </c>
      <c r="X531" t="s">
        <v>83</v>
      </c>
      <c r="Y531" t="s">
        <v>90</v>
      </c>
      <c r="Z531">
        <v>4000</v>
      </c>
      <c r="AA531">
        <v>4000</v>
      </c>
      <c r="AC531">
        <v>256</v>
      </c>
      <c r="AD531" t="s">
        <v>91</v>
      </c>
      <c r="AE531">
        <v>0.15</v>
      </c>
      <c r="AF531" t="s">
        <v>92</v>
      </c>
      <c r="AG531">
        <v>180</v>
      </c>
      <c r="AH531">
        <v>60</v>
      </c>
      <c r="AI531">
        <v>120</v>
      </c>
      <c r="AJ531">
        <v>0.13329298752492469</v>
      </c>
      <c r="AK531">
        <v>47.201029454645372</v>
      </c>
      <c r="AL531">
        <v>0.6373688539922675</v>
      </c>
      <c r="AM531">
        <v>0.21400371471186211</v>
      </c>
      <c r="AN531">
        <v>49.826739948989413</v>
      </c>
      <c r="AO531">
        <v>0.57666898833406188</v>
      </c>
      <c r="AP531">
        <v>49.826739948989413</v>
      </c>
      <c r="AQ531">
        <v>49.826739948989413</v>
      </c>
      <c r="AR531">
        <v>0.57666898833406188</v>
      </c>
      <c r="AS531">
        <v>104.9021351557821</v>
      </c>
      <c r="AT531">
        <v>0.19059154378932031</v>
      </c>
      <c r="AU531">
        <v>0.8</v>
      </c>
      <c r="AV531" t="s">
        <v>93</v>
      </c>
      <c r="AW531">
        <v>6.9772172822805553E-2</v>
      </c>
      <c r="AX531">
        <v>0.4933638127800235</v>
      </c>
      <c r="AY531">
        <v>6.9772172822805553E-2</v>
      </c>
      <c r="AZ531">
        <v>6.9772172822805553E-2</v>
      </c>
      <c r="BA531">
        <v>0.4933638127800235</v>
      </c>
      <c r="BB531">
        <v>7.148402922729713E-2</v>
      </c>
      <c r="BC531">
        <v>0.48093352192406452</v>
      </c>
      <c r="BD531">
        <v>8.0601401713788157E-2</v>
      </c>
      <c r="BE531">
        <v>0.72073335807117755</v>
      </c>
      <c r="BF531">
        <v>8.0601401713788157E-2</v>
      </c>
      <c r="BG531">
        <v>8.0601401713788157E-2</v>
      </c>
      <c r="BH531">
        <v>0.72073335807117755</v>
      </c>
      <c r="BI531">
        <v>0.2227628000990203</v>
      </c>
      <c r="BJ531">
        <v>0.22817447578367719</v>
      </c>
      <c r="BK531">
        <v>8.489537874501614E-2</v>
      </c>
      <c r="BL531">
        <v>0.65917190690876948</v>
      </c>
      <c r="BM531">
        <v>8.489537874501614E-2</v>
      </c>
      <c r="BN531">
        <v>8.489537874501614E-2</v>
      </c>
      <c r="BO531">
        <v>0.65917190690876948</v>
      </c>
      <c r="BP531">
        <v>0.18776917603102769</v>
      </c>
      <c r="BQ531">
        <v>0.24616614998347289</v>
      </c>
      <c r="BR531">
        <v>199.0716908426769</v>
      </c>
      <c r="BS531">
        <v>0.43340687557627211</v>
      </c>
      <c r="BT531">
        <v>199.0716908426769</v>
      </c>
      <c r="BU531">
        <v>199.0716908426769</v>
      </c>
      <c r="BV531">
        <v>0.43340687557627211</v>
      </c>
      <c r="BW531">
        <v>419.12652461776958</v>
      </c>
      <c r="BX531">
        <v>-0.19290797253393779</v>
      </c>
      <c r="BY531" t="str">
        <f t="shared" si="20"/>
        <v>[[sv,wv],[yr],[ya]]</v>
      </c>
      <c r="BZ531" t="str">
        <f>SUBSTITUTE(TRIM(MID(SUBSTITUTE(SUBSTITUTE(SUBSTITUTE(Tabla1[[#This Row],[map]],"[",""),"]",""),",",REPT(" ",100)),901,200))," ",", ")</f>
        <v>2, 3</v>
      </c>
      <c r="CA531" t="str">
        <f>SUBSTITUTE(TRIM(MID(SUBSTITUTE(SUBSTITUTE(SUBSTITUTE(Tabla1[[#This Row],[map]],"[",""),"]",""),",",REPT(" ",100)),1501,200))," ",", ")</f>
        <v>3, 2</v>
      </c>
      <c r="CB531" t="str">
        <f>SUBSTITUTE(TRIM(MID(SUBSTITUTE(SUBSTITUTE(SUBSTITUTE(Tabla1[[#This Row],[map]],"[",""),"]",""),",",REPT(" ",100)),601,300))," ",", ")</f>
        <v>0, 1, 4</v>
      </c>
      <c r="CC531" t="str">
        <f>SUBSTITUTE(TRIM(MID(SUBSTITUTE(SUBSTITUTE(SUBSTITUTE(Tabla1[[#This Row],[map]],"[",""),"]",""),",",REPT(" ",100)),1201,300))," ",", ")</f>
        <v>4, 0, 1</v>
      </c>
      <c r="CD531" t="str">
        <f>SUBSTITUTE(TRIM(MID(SUBSTITUTE(SUBSTITUTE(SUBSTITUTE(Tabla1[[#This Row],[map]],"[",""),"]",""),",",REPT(" ",100)),1,300))," ",", ")</f>
        <v>4, 2, 3</v>
      </c>
      <c r="CE531" t="str">
        <f>SUBSTITUTE(TRIM(MID(SUBSTITUTE(SUBSTITUTE(SUBSTITUTE(Tabla1[[#This Row],[map]],"[",""),"]",""),",",REPT(" ",100)),1,600))," ",", ")</f>
        <v>4, 2, 3, 0, 1, -1</v>
      </c>
      <c r="CF531" t="str">
        <f>SUBSTITUTE(TRIM(MID(SUBSTITUTE(SUBSTITUTE(SUBSTITUTE(Tabla1[[#This Row],[map]],"[",""),"]",""),",",REPT(" ",100)),601,600))," ",", ")</f>
        <v>0, 1, 4, 2, 3, -1</v>
      </c>
      <c r="CG531" t="str">
        <f>SUBSTITUTE(TRIM(MID(SUBSTITUTE(SUBSTITUTE(SUBSTITUTE(Tabla1[[#This Row],[map]],"[",""),"]",""),",",REPT(" ",100)),1201,600))," ",", ")</f>
        <v>4, 0, 1, 3, 2, -1</v>
      </c>
    </row>
    <row r="532" spans="1:85" x14ac:dyDescent="0.3">
      <c r="A532" s="1">
        <v>46112.982094907413</v>
      </c>
      <c r="B532" t="s">
        <v>787</v>
      </c>
      <c r="C532">
        <v>7</v>
      </c>
      <c r="D532" t="s">
        <v>77</v>
      </c>
      <c r="E532" t="s">
        <v>78</v>
      </c>
      <c r="F532">
        <v>16590</v>
      </c>
      <c r="G532">
        <v>4.5</v>
      </c>
      <c r="H532" t="s">
        <v>79</v>
      </c>
      <c r="I532" t="s">
        <v>80</v>
      </c>
      <c r="J532">
        <v>5</v>
      </c>
      <c r="K532">
        <v>5</v>
      </c>
      <c r="L532" t="s">
        <v>81</v>
      </c>
      <c r="M532" t="s">
        <v>82</v>
      </c>
      <c r="N532" t="s">
        <v>83</v>
      </c>
      <c r="O532" t="s">
        <v>83</v>
      </c>
      <c r="P532" t="s">
        <v>84</v>
      </c>
      <c r="Q532" t="s">
        <v>231</v>
      </c>
      <c r="R532">
        <v>3</v>
      </c>
      <c r="S532" t="s">
        <v>86</v>
      </c>
      <c r="T532" t="s">
        <v>87</v>
      </c>
      <c r="U532" t="s">
        <v>88</v>
      </c>
      <c r="V532">
        <v>1</v>
      </c>
      <c r="W532" t="s">
        <v>232</v>
      </c>
      <c r="X532" t="s">
        <v>83</v>
      </c>
      <c r="Y532" t="s">
        <v>90</v>
      </c>
      <c r="Z532">
        <v>4000</v>
      </c>
      <c r="AA532">
        <v>4000</v>
      </c>
      <c r="AC532">
        <v>256</v>
      </c>
      <c r="AD532" t="s">
        <v>91</v>
      </c>
      <c r="AE532">
        <v>0.15</v>
      </c>
      <c r="AF532" t="s">
        <v>92</v>
      </c>
      <c r="AG532">
        <v>180</v>
      </c>
      <c r="AH532">
        <v>60</v>
      </c>
      <c r="AI532">
        <v>120</v>
      </c>
      <c r="AJ532">
        <v>0.12989723732303901</v>
      </c>
      <c r="AK532">
        <v>30.299477005271552</v>
      </c>
      <c r="AL532">
        <v>0.56943132542307495</v>
      </c>
      <c r="AM532">
        <v>0.25021918503706941</v>
      </c>
      <c r="AN532">
        <v>36.236305842420798</v>
      </c>
      <c r="AO532">
        <v>0.52058863122403631</v>
      </c>
      <c r="AP532">
        <v>36.236305842420798</v>
      </c>
      <c r="AQ532">
        <v>36.236305842420798</v>
      </c>
      <c r="AR532">
        <v>0.52058863122403631</v>
      </c>
      <c r="AS532">
        <v>119.1517614698988</v>
      </c>
      <c r="AT532">
        <v>0.24773338085265309</v>
      </c>
      <c r="AU532">
        <v>0.8</v>
      </c>
      <c r="AV532" t="s">
        <v>93</v>
      </c>
      <c r="AW532">
        <v>0.12505847472828849</v>
      </c>
      <c r="AX532">
        <v>9.1913778050259465E-2</v>
      </c>
      <c r="AY532">
        <v>0.12505847472828849</v>
      </c>
      <c r="AZ532">
        <v>0.12505847472828849</v>
      </c>
      <c r="BA532">
        <v>9.1913778050259465E-2</v>
      </c>
      <c r="BB532">
        <v>0.14339663055215501</v>
      </c>
      <c r="BC532">
        <v>-4.1244943706113757E-2</v>
      </c>
      <c r="BD532">
        <v>0.1181265987766404</v>
      </c>
      <c r="BE532">
        <v>0.59071656495543978</v>
      </c>
      <c r="BF532">
        <v>0.1181265987766404</v>
      </c>
      <c r="BG532">
        <v>0.1181265987766404</v>
      </c>
      <c r="BH532">
        <v>0.59071656495543978</v>
      </c>
      <c r="BI532">
        <v>0.10035917013920991</v>
      </c>
      <c r="BJ532">
        <v>0.652276910381001</v>
      </c>
      <c r="BK532">
        <v>4.6968080853512867E-2</v>
      </c>
      <c r="BL532">
        <v>0.81143801146658645</v>
      </c>
      <c r="BM532">
        <v>4.6968080853512867E-2</v>
      </c>
      <c r="BN532">
        <v>4.6968080853512867E-2</v>
      </c>
      <c r="BO532">
        <v>0.81143801146658645</v>
      </c>
      <c r="BP532">
        <v>6.5876183946774608E-2</v>
      </c>
      <c r="BQ532">
        <v>0.73552795821616601</v>
      </c>
      <c r="BR532">
        <v>144.65507021532491</v>
      </c>
      <c r="BS532">
        <v>0.58828617042386611</v>
      </c>
      <c r="BT532">
        <v>144.65507021532491</v>
      </c>
      <c r="BU532">
        <v>144.65507021532491</v>
      </c>
      <c r="BV532">
        <v>0.58828617042386611</v>
      </c>
      <c r="BW532">
        <v>476.29741389495661</v>
      </c>
      <c r="BX532">
        <v>-0.35562640148044089</v>
      </c>
      <c r="BY532" t="str">
        <f t="shared" si="20"/>
        <v>[[sv,wv],[yr],[ya]]</v>
      </c>
      <c r="BZ532" t="str">
        <f>SUBSTITUTE(TRIM(MID(SUBSTITUTE(SUBSTITUTE(SUBSTITUTE(Tabla1[[#This Row],[map]],"[",""),"]",""),",",REPT(" ",100)),901,200))," ",", ")</f>
        <v>2, 3</v>
      </c>
      <c r="CA532" t="str">
        <f>SUBSTITUTE(TRIM(MID(SUBSTITUTE(SUBSTITUTE(SUBSTITUTE(Tabla1[[#This Row],[map]],"[",""),"]",""),",",REPT(" ",100)),1501,200))," ",", ")</f>
        <v>3, 2</v>
      </c>
      <c r="CB532" t="str">
        <f>SUBSTITUTE(TRIM(MID(SUBSTITUTE(SUBSTITUTE(SUBSTITUTE(Tabla1[[#This Row],[map]],"[",""),"]",""),",",REPT(" ",100)),601,300))," ",", ")</f>
        <v>4, 0, 1</v>
      </c>
      <c r="CC532" t="str">
        <f>SUBSTITUTE(TRIM(MID(SUBSTITUTE(SUBSTITUTE(SUBSTITUTE(Tabla1[[#This Row],[map]],"[",""),"]",""),",",REPT(" ",100)),1201,300))," ",", ")</f>
        <v>4, 0, 1</v>
      </c>
      <c r="CD532" t="str">
        <f>SUBSTITUTE(TRIM(MID(SUBSTITUTE(SUBSTITUTE(SUBSTITUTE(Tabla1[[#This Row],[map]],"[",""),"]",""),",",REPT(" ",100)),1,300))," ",", ")</f>
        <v>4, 2, 3</v>
      </c>
      <c r="CE532" t="str">
        <f>SUBSTITUTE(TRIM(MID(SUBSTITUTE(SUBSTITUTE(SUBSTITUTE(Tabla1[[#This Row],[map]],"[",""),"]",""),",",REPT(" ",100)),1,600))," ",", ")</f>
        <v>4, 2, 3, 0, 1, -1</v>
      </c>
      <c r="CF532" t="str">
        <f>SUBSTITUTE(TRIM(MID(SUBSTITUTE(SUBSTITUTE(SUBSTITUTE(Tabla1[[#This Row],[map]],"[",""),"]",""),",",REPT(" ",100)),601,600))," ",", ")</f>
        <v>4, 0, 1, 2, 3, -1</v>
      </c>
      <c r="CG532" t="str">
        <f>SUBSTITUTE(TRIM(MID(SUBSTITUTE(SUBSTITUTE(SUBSTITUTE(Tabla1[[#This Row],[map]],"[",""),"]",""),",",REPT(" ",100)),1201,600))," ",", ")</f>
        <v>4, 0, 1, 3, 2, -1</v>
      </c>
    </row>
    <row r="533" spans="1:85" x14ac:dyDescent="0.3">
      <c r="A533" s="1">
        <v>46113.041932870372</v>
      </c>
      <c r="B533" t="s">
        <v>788</v>
      </c>
      <c r="C533">
        <v>9</v>
      </c>
      <c r="D533" t="s">
        <v>96</v>
      </c>
      <c r="E533" t="s">
        <v>78</v>
      </c>
      <c r="F533">
        <v>16590</v>
      </c>
      <c r="G533">
        <v>4.5</v>
      </c>
      <c r="H533" t="s">
        <v>79</v>
      </c>
      <c r="I533" t="s">
        <v>80</v>
      </c>
      <c r="J533">
        <v>5</v>
      </c>
      <c r="K533">
        <v>5</v>
      </c>
      <c r="L533" t="s">
        <v>81</v>
      </c>
      <c r="M533" t="s">
        <v>82</v>
      </c>
      <c r="N533" t="s">
        <v>83</v>
      </c>
      <c r="O533" t="s">
        <v>83</v>
      </c>
      <c r="P533" t="s">
        <v>84</v>
      </c>
      <c r="Q533" t="s">
        <v>525</v>
      </c>
      <c r="R533">
        <v>3</v>
      </c>
      <c r="S533" t="s">
        <v>86</v>
      </c>
      <c r="T533" t="s">
        <v>87</v>
      </c>
      <c r="U533" t="s">
        <v>88</v>
      </c>
      <c r="V533">
        <v>1</v>
      </c>
      <c r="W533" t="s">
        <v>526</v>
      </c>
      <c r="X533" t="s">
        <v>83</v>
      </c>
      <c r="Y533" t="s">
        <v>90</v>
      </c>
      <c r="Z533">
        <v>4000</v>
      </c>
      <c r="AA533">
        <v>4000</v>
      </c>
      <c r="AC533">
        <v>256</v>
      </c>
      <c r="AD533" t="s">
        <v>91</v>
      </c>
      <c r="AE533">
        <v>0.15</v>
      </c>
      <c r="AF533" t="s">
        <v>92</v>
      </c>
      <c r="AG533">
        <v>180</v>
      </c>
      <c r="AH533">
        <v>60</v>
      </c>
      <c r="AI533">
        <v>120</v>
      </c>
      <c r="AJ533">
        <v>0.11415326122011531</v>
      </c>
      <c r="AK533">
        <v>16.05081864867574</v>
      </c>
      <c r="AL533">
        <v>0.72967138855770264</v>
      </c>
      <c r="AM533">
        <v>0.26567600887038623</v>
      </c>
      <c r="AN533">
        <v>18.428904238929029</v>
      </c>
      <c r="AO533">
        <v>0.68171508776475709</v>
      </c>
      <c r="AP533">
        <v>18.428904238929029</v>
      </c>
      <c r="AQ533">
        <v>18.428904238929029</v>
      </c>
      <c r="AR533">
        <v>0.68171508776475709</v>
      </c>
      <c r="AS533">
        <v>66.229271089390039</v>
      </c>
      <c r="AT533">
        <v>0.2862705187218566</v>
      </c>
      <c r="AU533">
        <v>0.8</v>
      </c>
      <c r="AV533" t="s">
        <v>93</v>
      </c>
      <c r="AW533">
        <v>7.8920542978156968E-2</v>
      </c>
      <c r="AX533">
        <v>0.4269348169888918</v>
      </c>
      <c r="AY533">
        <v>7.8920542978156968E-2</v>
      </c>
      <c r="AZ533">
        <v>7.8920542978156968E-2</v>
      </c>
      <c r="BA533">
        <v>0.4269348169888918</v>
      </c>
      <c r="BB533">
        <v>8.1076405152046463E-2</v>
      </c>
      <c r="BC533">
        <v>0.4112804701660544</v>
      </c>
      <c r="BD533">
        <v>8.5366108573464494E-2</v>
      </c>
      <c r="BE533">
        <v>0.70422466645807114</v>
      </c>
      <c r="BF533">
        <v>8.5366108573464494E-2</v>
      </c>
      <c r="BG533">
        <v>8.5366108573464494E-2</v>
      </c>
      <c r="BH533">
        <v>0.70422466645807114</v>
      </c>
      <c r="BI533">
        <v>0.112450230465825</v>
      </c>
      <c r="BJ533">
        <v>0.6103839687822572</v>
      </c>
      <c r="BK533">
        <v>4.8595956262012963E-2</v>
      </c>
      <c r="BL533">
        <v>0.80490260660155122</v>
      </c>
      <c r="BM533">
        <v>4.8595956262012963E-2</v>
      </c>
      <c r="BN533">
        <v>4.8595956262012963E-2</v>
      </c>
      <c r="BO533">
        <v>0.80490260660155122</v>
      </c>
      <c r="BP533">
        <v>0.2799546211191582</v>
      </c>
      <c r="BQ533">
        <v>-0.12392925361349109</v>
      </c>
      <c r="BR533">
        <v>73.502734347902305</v>
      </c>
      <c r="BS533">
        <v>0.79079826101051465</v>
      </c>
      <c r="BT533">
        <v>73.502734347902305</v>
      </c>
      <c r="BU533">
        <v>73.502734347902305</v>
      </c>
      <c r="BV533">
        <v>0.79079826101051465</v>
      </c>
      <c r="BW533">
        <v>264.4436031008234</v>
      </c>
      <c r="BX533">
        <v>0.24734688955260109</v>
      </c>
      <c r="BY533" t="str">
        <f t="shared" si="20"/>
        <v>[[sv,wv],[yr],[ya]]</v>
      </c>
      <c r="BZ533" t="str">
        <f>SUBSTITUTE(TRIM(MID(SUBSTITUTE(SUBSTITUTE(SUBSTITUTE(Tabla1[[#This Row],[map]],"[",""),"]",""),",",REPT(" ",100)),901,200))," ",", ")</f>
        <v>2, 4</v>
      </c>
      <c r="CA533" t="str">
        <f>SUBSTITUTE(TRIM(MID(SUBSTITUTE(SUBSTITUTE(SUBSTITUTE(Tabla1[[#This Row],[map]],"[",""),"]",""),",",REPT(" ",100)),1501,200))," ",", ")</f>
        <v>3, 4</v>
      </c>
      <c r="CB533" t="str">
        <f>SUBSTITUTE(TRIM(MID(SUBSTITUTE(SUBSTITUTE(SUBSTITUTE(Tabla1[[#This Row],[map]],"[",""),"]",""),",",REPT(" ",100)),601,300))," ",", ")</f>
        <v>1, 3, 0</v>
      </c>
      <c r="CC533" t="str">
        <f>SUBSTITUTE(TRIM(MID(SUBSTITUTE(SUBSTITUTE(SUBSTITUTE(Tabla1[[#This Row],[map]],"[",""),"]",""),",",REPT(" ",100)),1201,300))," ",", ")</f>
        <v>0, 1, 2</v>
      </c>
      <c r="CD533" t="str">
        <f>SUBSTITUTE(TRIM(MID(SUBSTITUTE(SUBSTITUTE(SUBSTITUTE(Tabla1[[#This Row],[map]],"[",""),"]",""),",",REPT(" ",100)),1,300))," ",", ")</f>
        <v>4, 2, 3</v>
      </c>
      <c r="CE533" t="str">
        <f>SUBSTITUTE(TRIM(MID(SUBSTITUTE(SUBSTITUTE(SUBSTITUTE(Tabla1[[#This Row],[map]],"[",""),"]",""),",",REPT(" ",100)),1,600))," ",", ")</f>
        <v>4, 2, 3, 0, 1, -1</v>
      </c>
      <c r="CF533" t="str">
        <f>SUBSTITUTE(TRIM(MID(SUBSTITUTE(SUBSTITUTE(SUBSTITUTE(Tabla1[[#This Row],[map]],"[",""),"]",""),",",REPT(" ",100)),601,600))," ",", ")</f>
        <v>1, 3, 0, 2, 4, -1</v>
      </c>
      <c r="CG533" t="str">
        <f>SUBSTITUTE(TRIM(MID(SUBSTITUTE(SUBSTITUTE(SUBSTITUTE(Tabla1[[#This Row],[map]],"[",""),"]",""),",",REPT(" ",100)),1201,600))," ",", ")</f>
        <v>0, 1, 2, 3, 4, -1</v>
      </c>
    </row>
    <row r="534" spans="1:85" x14ac:dyDescent="0.3">
      <c r="A534" s="1">
        <v>46113.109189814822</v>
      </c>
      <c r="B534" t="s">
        <v>789</v>
      </c>
      <c r="C534">
        <v>8</v>
      </c>
      <c r="D534" t="s">
        <v>96</v>
      </c>
      <c r="E534" t="s">
        <v>78</v>
      </c>
      <c r="F534">
        <v>16590</v>
      </c>
      <c r="G534">
        <v>4.5</v>
      </c>
      <c r="H534" t="s">
        <v>79</v>
      </c>
      <c r="I534" t="s">
        <v>80</v>
      </c>
      <c r="J534">
        <v>5</v>
      </c>
      <c r="K534">
        <v>5</v>
      </c>
      <c r="L534" t="s">
        <v>81</v>
      </c>
      <c r="M534" t="s">
        <v>82</v>
      </c>
      <c r="N534" t="s">
        <v>83</v>
      </c>
      <c r="O534" t="s">
        <v>83</v>
      </c>
      <c r="P534" t="s">
        <v>84</v>
      </c>
      <c r="Q534" t="s">
        <v>533</v>
      </c>
      <c r="R534">
        <v>3</v>
      </c>
      <c r="S534" t="s">
        <v>86</v>
      </c>
      <c r="T534" t="s">
        <v>87</v>
      </c>
      <c r="U534" t="s">
        <v>88</v>
      </c>
      <c r="V534">
        <v>1</v>
      </c>
      <c r="W534" t="s">
        <v>534</v>
      </c>
      <c r="X534" t="s">
        <v>83</v>
      </c>
      <c r="Y534" t="s">
        <v>90</v>
      </c>
      <c r="Z534">
        <v>4000</v>
      </c>
      <c r="AA534">
        <v>4000</v>
      </c>
      <c r="AC534">
        <v>256</v>
      </c>
      <c r="AD534" t="s">
        <v>91</v>
      </c>
      <c r="AE534">
        <v>0.15</v>
      </c>
      <c r="AF534" t="s">
        <v>92</v>
      </c>
      <c r="AG534">
        <v>180</v>
      </c>
      <c r="AH534">
        <v>60</v>
      </c>
      <c r="AI534">
        <v>120</v>
      </c>
      <c r="AJ534">
        <v>0.1097976554547368</v>
      </c>
      <c r="AK534">
        <v>12.848241250113089</v>
      </c>
      <c r="AL534">
        <v>0.70489258829017332</v>
      </c>
      <c r="AM534">
        <v>5.1734529903095489E-2</v>
      </c>
      <c r="AN534">
        <v>17.035055465734459</v>
      </c>
      <c r="AO534">
        <v>0.66234860052264233</v>
      </c>
      <c r="AP534">
        <v>17.035055465734459</v>
      </c>
      <c r="AQ534">
        <v>17.035055465734459</v>
      </c>
      <c r="AR534">
        <v>0.66234860052264233</v>
      </c>
      <c r="AS534">
        <v>103.40620658842499</v>
      </c>
      <c r="AT534">
        <v>4.271824249215142E-2</v>
      </c>
      <c r="AU534">
        <v>0.8</v>
      </c>
      <c r="AV534" t="s">
        <v>93</v>
      </c>
      <c r="AW534">
        <v>9.655004855163099E-2</v>
      </c>
      <c r="AX534">
        <v>0.29892181230575832</v>
      </c>
      <c r="AY534">
        <v>9.655004855163099E-2</v>
      </c>
      <c r="AZ534">
        <v>9.655004855163099E-2</v>
      </c>
      <c r="BA534">
        <v>0.29892181230575832</v>
      </c>
      <c r="BB534">
        <v>0.11587202168062009</v>
      </c>
      <c r="BC534">
        <v>0.15861930487921311</v>
      </c>
      <c r="BD534">
        <v>7.5203587723605594E-2</v>
      </c>
      <c r="BE534">
        <v>0.739435630671194</v>
      </c>
      <c r="BF534">
        <v>7.5203587723605594E-2</v>
      </c>
      <c r="BG534">
        <v>7.5203587723605594E-2</v>
      </c>
      <c r="BH534">
        <v>0.739435630671194</v>
      </c>
      <c r="BI534">
        <v>0.128245270768994</v>
      </c>
      <c r="BJ534">
        <v>0.55565752766824583</v>
      </c>
      <c r="BK534">
        <v>4.8733977334129687E-2</v>
      </c>
      <c r="BL534">
        <v>0.80434849565333055</v>
      </c>
      <c r="BM534">
        <v>4.8733977334129687E-2</v>
      </c>
      <c r="BN534">
        <v>4.8733977334129687E-2</v>
      </c>
      <c r="BO534">
        <v>0.80434849565333055</v>
      </c>
      <c r="BP534">
        <v>0.34070410044185778</v>
      </c>
      <c r="BQ534">
        <v>-0.36781919791810203</v>
      </c>
      <c r="BR534">
        <v>67.919734249328584</v>
      </c>
      <c r="BS534">
        <v>0.80668846346028811</v>
      </c>
      <c r="BT534">
        <v>67.919734249328584</v>
      </c>
      <c r="BU534">
        <v>67.919734249328584</v>
      </c>
      <c r="BV534">
        <v>0.80668846346028811</v>
      </c>
      <c r="BW534">
        <v>413.0400049608088</v>
      </c>
      <c r="BX534">
        <v>-0.17558466466074951</v>
      </c>
      <c r="BY534" t="str">
        <f t="shared" si="20"/>
        <v>[[sv,wv],[yr],[ya]]</v>
      </c>
      <c r="BZ534" t="str">
        <f>SUBSTITUTE(TRIM(MID(SUBSTITUTE(SUBSTITUTE(SUBSTITUTE(Tabla1[[#This Row],[map]],"[",""),"]",""),",",REPT(" ",100)),901,200))," ",", ")</f>
        <v>2, 4</v>
      </c>
      <c r="CA534" t="str">
        <f>SUBSTITUTE(TRIM(MID(SUBSTITUTE(SUBSTITUTE(SUBSTITUTE(Tabla1[[#This Row],[map]],"[",""),"]",""),",",REPT(" ",100)),1501,200))," ",", ")</f>
        <v>3, 4</v>
      </c>
      <c r="CB534" t="str">
        <f>SUBSTITUTE(TRIM(MID(SUBSTITUTE(SUBSTITUTE(SUBSTITUTE(Tabla1[[#This Row],[map]],"[",""),"]",""),",",REPT(" ",100)),601,300))," ",", ")</f>
        <v>1, 3, 0</v>
      </c>
      <c r="CC534" t="str">
        <f>SUBSTITUTE(TRIM(MID(SUBSTITUTE(SUBSTITUTE(SUBSTITUTE(Tabla1[[#This Row],[map]],"[",""),"]",""),",",REPT(" ",100)),1201,300))," ",", ")</f>
        <v>1, 2, 0</v>
      </c>
      <c r="CD534" t="str">
        <f>SUBSTITUTE(TRIM(MID(SUBSTITUTE(SUBSTITUTE(SUBSTITUTE(Tabla1[[#This Row],[map]],"[",""),"]",""),",",REPT(" ",100)),1,300))," ",", ")</f>
        <v>4, 2, 3</v>
      </c>
      <c r="CE534" t="str">
        <f>SUBSTITUTE(TRIM(MID(SUBSTITUTE(SUBSTITUTE(SUBSTITUTE(Tabla1[[#This Row],[map]],"[",""),"]",""),",",REPT(" ",100)),1,600))," ",", ")</f>
        <v>4, 2, 3, 0, 1, -1</v>
      </c>
      <c r="CF534" t="str">
        <f>SUBSTITUTE(TRIM(MID(SUBSTITUTE(SUBSTITUTE(SUBSTITUTE(Tabla1[[#This Row],[map]],"[",""),"]",""),",",REPT(" ",100)),601,600))," ",", ")</f>
        <v>1, 3, 0, 2, 4, -1</v>
      </c>
      <c r="CG534" t="str">
        <f>SUBSTITUTE(TRIM(MID(SUBSTITUTE(SUBSTITUTE(SUBSTITUTE(Tabla1[[#This Row],[map]],"[",""),"]",""),",",REPT(" ",100)),1201,600))," ",", ")</f>
        <v>1, 2, 0, 3, 4, -1</v>
      </c>
    </row>
    <row r="535" spans="1:85" x14ac:dyDescent="0.3">
      <c r="A535" s="1">
        <v>46113.108703703707</v>
      </c>
      <c r="B535" t="s">
        <v>790</v>
      </c>
      <c r="C535">
        <v>8</v>
      </c>
      <c r="D535" t="s">
        <v>96</v>
      </c>
      <c r="E535" t="s">
        <v>78</v>
      </c>
      <c r="F535">
        <v>16590</v>
      </c>
      <c r="G535">
        <v>4.5</v>
      </c>
      <c r="H535" t="s">
        <v>79</v>
      </c>
      <c r="I535" t="s">
        <v>80</v>
      </c>
      <c r="J535">
        <v>5</v>
      </c>
      <c r="K535">
        <v>5</v>
      </c>
      <c r="L535" t="s">
        <v>81</v>
      </c>
      <c r="M535" t="s">
        <v>82</v>
      </c>
      <c r="N535" t="s">
        <v>83</v>
      </c>
      <c r="O535" t="s">
        <v>83</v>
      </c>
      <c r="P535" t="s">
        <v>84</v>
      </c>
      <c r="Q535" t="s">
        <v>237</v>
      </c>
      <c r="R535">
        <v>3</v>
      </c>
      <c r="S535" t="s">
        <v>86</v>
      </c>
      <c r="T535" t="s">
        <v>87</v>
      </c>
      <c r="U535" t="s">
        <v>88</v>
      </c>
      <c r="V535">
        <v>1</v>
      </c>
      <c r="W535" t="s">
        <v>238</v>
      </c>
      <c r="X535" t="s">
        <v>83</v>
      </c>
      <c r="Y535" t="s">
        <v>90</v>
      </c>
      <c r="Z535">
        <v>4000</v>
      </c>
      <c r="AA535">
        <v>4000</v>
      </c>
      <c r="AC535">
        <v>256</v>
      </c>
      <c r="AD535" t="s">
        <v>91</v>
      </c>
      <c r="AE535">
        <v>0.15</v>
      </c>
      <c r="AF535" t="s">
        <v>92</v>
      </c>
      <c r="AG535">
        <v>180</v>
      </c>
      <c r="AH535">
        <v>60</v>
      </c>
      <c r="AI535">
        <v>120</v>
      </c>
      <c r="AJ535">
        <v>9.9960617219634673E-2</v>
      </c>
      <c r="AK535">
        <v>16.15291675164163</v>
      </c>
      <c r="AL535">
        <v>0.70302878214877462</v>
      </c>
      <c r="AM535">
        <v>0.34215046774601721</v>
      </c>
      <c r="AN535">
        <v>16.874104262750851</v>
      </c>
      <c r="AO535">
        <v>0.6651680828248876</v>
      </c>
      <c r="AP535">
        <v>16.874104262750851</v>
      </c>
      <c r="AQ535">
        <v>16.874104262750851</v>
      </c>
      <c r="AR535">
        <v>0.6651680828248876</v>
      </c>
      <c r="AS535">
        <v>67.687482777846711</v>
      </c>
      <c r="AT535">
        <v>0.37004186825596908</v>
      </c>
      <c r="AU535">
        <v>0.8</v>
      </c>
      <c r="AV535" t="s">
        <v>93</v>
      </c>
      <c r="AW535">
        <v>9.611621251121312E-2</v>
      </c>
      <c r="AX535">
        <v>0.30207202289120361</v>
      </c>
      <c r="AY535">
        <v>9.611621251121312E-2</v>
      </c>
      <c r="AZ535">
        <v>9.611621251121312E-2</v>
      </c>
      <c r="BA535">
        <v>0.30207202289120361</v>
      </c>
      <c r="BB535">
        <v>0.1382584041155111</v>
      </c>
      <c r="BC535">
        <v>-3.9347762623493931E-3</v>
      </c>
      <c r="BD535">
        <v>7.7297927955387244E-2</v>
      </c>
      <c r="BE535">
        <v>0.73217918908146862</v>
      </c>
      <c r="BF535">
        <v>7.7297927955387244E-2</v>
      </c>
      <c r="BG535">
        <v>7.7297927955387244E-2</v>
      </c>
      <c r="BH535">
        <v>0.73217918908146862</v>
      </c>
      <c r="BI535">
        <v>0.1177875874817701</v>
      </c>
      <c r="BJ535">
        <v>0.59189116668545139</v>
      </c>
      <c r="BK535">
        <v>4.5357207445639772E-2</v>
      </c>
      <c r="BL535">
        <v>0.81790515867686964</v>
      </c>
      <c r="BM535">
        <v>4.5357207445639772E-2</v>
      </c>
      <c r="BN535">
        <v>4.5357207445639772E-2</v>
      </c>
      <c r="BO535">
        <v>0.81790515867686964</v>
      </c>
      <c r="BP535">
        <v>8.4229641890234574E-2</v>
      </c>
      <c r="BQ535">
        <v>0.66184462980688208</v>
      </c>
      <c r="BR535">
        <v>67.277645703090826</v>
      </c>
      <c r="BS535">
        <v>0.80851596065001696</v>
      </c>
      <c r="BT535">
        <v>67.277645703090826</v>
      </c>
      <c r="BU535">
        <v>67.277645703090826</v>
      </c>
      <c r="BV535">
        <v>0.80851596065001696</v>
      </c>
      <c r="BW535">
        <v>270.40965547789932</v>
      </c>
      <c r="BX535">
        <v>0.2303664527938937</v>
      </c>
      <c r="BY535" t="str">
        <f t="shared" si="20"/>
        <v>[[sv,wv],[yr],[ya]]</v>
      </c>
      <c r="BZ535" t="str">
        <f>SUBSTITUTE(TRIM(MID(SUBSTITUTE(SUBSTITUTE(SUBSTITUTE(Tabla1[[#This Row],[map]],"[",""),"]",""),",",REPT(" ",100)),901,200))," ",", ")</f>
        <v>2, 3</v>
      </c>
      <c r="CA535" t="str">
        <f>SUBSTITUTE(TRIM(MID(SUBSTITUTE(SUBSTITUTE(SUBSTITUTE(Tabla1[[#This Row],[map]],"[",""),"]",""),",",REPT(" ",100)),1501,200))," ",", ")</f>
        <v>3, 4</v>
      </c>
      <c r="CB535" t="str">
        <f>SUBSTITUTE(TRIM(MID(SUBSTITUTE(SUBSTITUTE(SUBSTITUTE(Tabla1[[#This Row],[map]],"[",""),"]",""),",",REPT(" ",100)),601,300))," ",", ")</f>
        <v>4, 0, 1</v>
      </c>
      <c r="CC535" t="str">
        <f>SUBSTITUTE(TRIM(MID(SUBSTITUTE(SUBSTITUTE(SUBSTITUTE(Tabla1[[#This Row],[map]],"[",""),"]",""),",",REPT(" ",100)),1201,300))," ",", ")</f>
        <v>0, 1, 2</v>
      </c>
      <c r="CD535" t="str">
        <f>SUBSTITUTE(TRIM(MID(SUBSTITUTE(SUBSTITUTE(SUBSTITUTE(Tabla1[[#This Row],[map]],"[",""),"]",""),",",REPT(" ",100)),1,300))," ",", ")</f>
        <v>4, 2, 3</v>
      </c>
      <c r="CE535" t="str">
        <f>SUBSTITUTE(TRIM(MID(SUBSTITUTE(SUBSTITUTE(SUBSTITUTE(Tabla1[[#This Row],[map]],"[",""),"]",""),",",REPT(" ",100)),1,600))," ",", ")</f>
        <v>4, 2, 3, 0, 1, -1</v>
      </c>
      <c r="CF535" t="str">
        <f>SUBSTITUTE(TRIM(MID(SUBSTITUTE(SUBSTITUTE(SUBSTITUTE(Tabla1[[#This Row],[map]],"[",""),"]",""),",",REPT(" ",100)),601,600))," ",", ")</f>
        <v>4, 0, 1, 2, 3, -1</v>
      </c>
      <c r="CG535" t="str">
        <f>SUBSTITUTE(TRIM(MID(SUBSTITUTE(SUBSTITUTE(SUBSTITUTE(Tabla1[[#This Row],[map]],"[",""),"]",""),",",REPT(" ",100)),1201,600))," ",", ")</f>
        <v>0, 1, 2, 3, 4, -1</v>
      </c>
    </row>
    <row r="536" spans="1:85" x14ac:dyDescent="0.3">
      <c r="A536" s="1">
        <v>46113.120405092603</v>
      </c>
      <c r="B536" t="s">
        <v>791</v>
      </c>
      <c r="C536">
        <v>6</v>
      </c>
      <c r="D536" t="s">
        <v>96</v>
      </c>
      <c r="E536" t="s">
        <v>78</v>
      </c>
      <c r="F536">
        <v>16590</v>
      </c>
      <c r="G536">
        <v>4.5</v>
      </c>
      <c r="H536" t="s">
        <v>79</v>
      </c>
      <c r="I536" t="s">
        <v>80</v>
      </c>
      <c r="J536">
        <v>5</v>
      </c>
      <c r="K536">
        <v>5</v>
      </c>
      <c r="L536" t="s">
        <v>81</v>
      </c>
      <c r="M536" t="s">
        <v>82</v>
      </c>
      <c r="N536" t="s">
        <v>83</v>
      </c>
      <c r="O536" t="s">
        <v>83</v>
      </c>
      <c r="P536" t="s">
        <v>84</v>
      </c>
      <c r="Q536" t="s">
        <v>287</v>
      </c>
      <c r="R536">
        <v>3</v>
      </c>
      <c r="S536" t="s">
        <v>86</v>
      </c>
      <c r="T536" t="s">
        <v>87</v>
      </c>
      <c r="U536" t="s">
        <v>88</v>
      </c>
      <c r="V536">
        <v>1</v>
      </c>
      <c r="W536" t="s">
        <v>288</v>
      </c>
      <c r="X536" t="s">
        <v>83</v>
      </c>
      <c r="Y536" t="s">
        <v>90</v>
      </c>
      <c r="Z536">
        <v>4000</v>
      </c>
      <c r="AA536">
        <v>4000</v>
      </c>
      <c r="AC536">
        <v>256</v>
      </c>
      <c r="AD536" t="s">
        <v>91</v>
      </c>
      <c r="AE536">
        <v>0.15</v>
      </c>
      <c r="AF536" t="s">
        <v>92</v>
      </c>
      <c r="AG536">
        <v>180</v>
      </c>
      <c r="AH536">
        <v>60</v>
      </c>
      <c r="AI536">
        <v>120</v>
      </c>
      <c r="AJ536">
        <v>0.15368443825457059</v>
      </c>
      <c r="AK536">
        <v>44.054750300413971</v>
      </c>
      <c r="AL536">
        <v>0.54952960719650679</v>
      </c>
      <c r="AM536">
        <v>-0.25602658631038849</v>
      </c>
      <c r="AN536">
        <v>49.636331076586778</v>
      </c>
      <c r="AO536">
        <v>0.48380750307968629</v>
      </c>
      <c r="AP536">
        <v>49.636331076586778</v>
      </c>
      <c r="AQ536">
        <v>49.636331076586778</v>
      </c>
      <c r="AR536">
        <v>0.48380750307968629</v>
      </c>
      <c r="AS536">
        <v>102.7012778130442</v>
      </c>
      <c r="AT536">
        <v>-0.23156651054314109</v>
      </c>
      <c r="AU536">
        <v>0.8</v>
      </c>
      <c r="AV536" t="s">
        <v>93</v>
      </c>
      <c r="AW536">
        <v>8.4583670031448441E-2</v>
      </c>
      <c r="AX536">
        <v>0.38581319239353318</v>
      </c>
      <c r="AY536">
        <v>8.4583670031448441E-2</v>
      </c>
      <c r="AZ536">
        <v>8.4583670031448441E-2</v>
      </c>
      <c r="BA536">
        <v>0.38581319239353318</v>
      </c>
      <c r="BB536">
        <v>0.19160045096613779</v>
      </c>
      <c r="BC536">
        <v>-0.39126700545268828</v>
      </c>
      <c r="BD536">
        <v>9.5000738785386174E-2</v>
      </c>
      <c r="BE536">
        <v>0.67084273055745669</v>
      </c>
      <c r="BF536">
        <v>9.5000738785386174E-2</v>
      </c>
      <c r="BG536">
        <v>9.5000738785386174E-2</v>
      </c>
      <c r="BH536">
        <v>0.67084273055745669</v>
      </c>
      <c r="BI536">
        <v>0.12855784289178371</v>
      </c>
      <c r="BJ536">
        <v>0.55457453202256191</v>
      </c>
      <c r="BK536">
        <v>0.1387997504921851</v>
      </c>
      <c r="BL536">
        <v>0.44276290439934912</v>
      </c>
      <c r="BM536">
        <v>0.1387997504921851</v>
      </c>
      <c r="BN536">
        <v>0.1387997504921851</v>
      </c>
      <c r="BO536">
        <v>0.44276290439934912</v>
      </c>
      <c r="BP536">
        <v>0.47889801669110832</v>
      </c>
      <c r="BQ536">
        <v>-0.92262406065989566</v>
      </c>
      <c r="BR536">
        <v>198.2269401470368</v>
      </c>
      <c r="BS536">
        <v>0.43581118496841009</v>
      </c>
      <c r="BT536">
        <v>198.2269401470368</v>
      </c>
      <c r="BU536">
        <v>198.2269401470368</v>
      </c>
      <c r="BV536">
        <v>0.43581118496841009</v>
      </c>
      <c r="BW536">
        <v>410.00605494162693</v>
      </c>
      <c r="BX536">
        <v>-0.16694950808254869</v>
      </c>
      <c r="BY536" t="str">
        <f t="shared" si="20"/>
        <v>[[sv,wv],[yr],[ya]]</v>
      </c>
      <c r="BZ536" t="str">
        <f>SUBSTITUTE(TRIM(MID(SUBSTITUTE(SUBSTITUTE(SUBSTITUTE(Tabla1[[#This Row],[map]],"[",""),"]",""),",",REPT(" ",100)),901,200))," ",", ")</f>
        <v>2, 4</v>
      </c>
      <c r="CA536" t="str">
        <f>SUBSTITUTE(TRIM(MID(SUBSTITUTE(SUBSTITUTE(SUBSTITUTE(Tabla1[[#This Row],[map]],"[",""),"]",""),",",REPT(" ",100)),1501,200))," ",", ")</f>
        <v>3, 2</v>
      </c>
      <c r="CB536" t="str">
        <f>SUBSTITUTE(TRIM(MID(SUBSTITUTE(SUBSTITUTE(SUBSTITUTE(Tabla1[[#This Row],[map]],"[",""),"]",""),",",REPT(" ",100)),601,300))," ",", ")</f>
        <v>3, 0, 1</v>
      </c>
      <c r="CC536" t="str">
        <f>SUBSTITUTE(TRIM(MID(SUBSTITUTE(SUBSTITUTE(SUBSTITUTE(Tabla1[[#This Row],[map]],"[",""),"]",""),",",REPT(" ",100)),1201,300))," ",", ")</f>
        <v>4, 0, 1</v>
      </c>
      <c r="CD536" t="str">
        <f>SUBSTITUTE(TRIM(MID(SUBSTITUTE(SUBSTITUTE(SUBSTITUTE(Tabla1[[#This Row],[map]],"[",""),"]",""),",",REPT(" ",100)),1,300))," ",", ")</f>
        <v>4, 2, 3</v>
      </c>
      <c r="CE536" t="str">
        <f>SUBSTITUTE(TRIM(MID(SUBSTITUTE(SUBSTITUTE(SUBSTITUTE(Tabla1[[#This Row],[map]],"[",""),"]",""),",",REPT(" ",100)),1,600))," ",", ")</f>
        <v>4, 2, 3, 0, 1, -1</v>
      </c>
      <c r="CF536" t="str">
        <f>SUBSTITUTE(TRIM(MID(SUBSTITUTE(SUBSTITUTE(SUBSTITUTE(Tabla1[[#This Row],[map]],"[",""),"]",""),",",REPT(" ",100)),601,600))," ",", ")</f>
        <v>3, 0, 1, 2, 4, -1</v>
      </c>
      <c r="CG536" t="str">
        <f>SUBSTITUTE(TRIM(MID(SUBSTITUTE(SUBSTITUTE(SUBSTITUTE(Tabla1[[#This Row],[map]],"[",""),"]",""),",",REPT(" ",100)),1201,600))," ",", ")</f>
        <v>4, 0, 1, 3, 2, -1</v>
      </c>
    </row>
    <row r="537" spans="1:85" x14ac:dyDescent="0.3">
      <c r="A537" s="1">
        <v>46113.128344907411</v>
      </c>
      <c r="B537" t="s">
        <v>792</v>
      </c>
      <c r="C537">
        <v>9</v>
      </c>
      <c r="D537" t="s">
        <v>77</v>
      </c>
      <c r="E537" t="s">
        <v>78</v>
      </c>
      <c r="F537">
        <v>16590</v>
      </c>
      <c r="G537">
        <v>4.5</v>
      </c>
      <c r="H537" t="s">
        <v>79</v>
      </c>
      <c r="I537" t="s">
        <v>80</v>
      </c>
      <c r="J537">
        <v>5</v>
      </c>
      <c r="K537">
        <v>5</v>
      </c>
      <c r="L537" t="s">
        <v>81</v>
      </c>
      <c r="M537" t="s">
        <v>82</v>
      </c>
      <c r="N537" t="s">
        <v>83</v>
      </c>
      <c r="O537" t="s">
        <v>83</v>
      </c>
      <c r="P537" t="s">
        <v>84</v>
      </c>
      <c r="Q537" t="s">
        <v>225</v>
      </c>
      <c r="R537">
        <v>3</v>
      </c>
      <c r="S537" t="s">
        <v>86</v>
      </c>
      <c r="T537" t="s">
        <v>87</v>
      </c>
      <c r="U537" t="s">
        <v>88</v>
      </c>
      <c r="V537">
        <v>1</v>
      </c>
      <c r="W537" t="s">
        <v>226</v>
      </c>
      <c r="X537" t="s">
        <v>83</v>
      </c>
      <c r="Y537" t="s">
        <v>90</v>
      </c>
      <c r="Z537">
        <v>4000</v>
      </c>
      <c r="AA537">
        <v>4000</v>
      </c>
      <c r="AC537">
        <v>256</v>
      </c>
      <c r="AD537" t="s">
        <v>91</v>
      </c>
      <c r="AE537">
        <v>0.15</v>
      </c>
      <c r="AF537" t="s">
        <v>92</v>
      </c>
      <c r="AG537">
        <v>180</v>
      </c>
      <c r="AH537">
        <v>60</v>
      </c>
      <c r="AI537">
        <v>120</v>
      </c>
      <c r="AJ537">
        <v>0.1149652238016127</v>
      </c>
      <c r="AK537">
        <v>13.5246445928233</v>
      </c>
      <c r="AL537">
        <v>0.73549240184056175</v>
      </c>
      <c r="AM537">
        <v>0.52032518597779387</v>
      </c>
      <c r="AN537">
        <v>17.060878923105101</v>
      </c>
      <c r="AO537">
        <v>0.66708779928637219</v>
      </c>
      <c r="AP537">
        <v>17.060878923105101</v>
      </c>
      <c r="AQ537">
        <v>17.060878923105101</v>
      </c>
      <c r="AR537">
        <v>0.66708779928637219</v>
      </c>
      <c r="AS537">
        <v>59.536550607618928</v>
      </c>
      <c r="AT537">
        <v>0.47411223746775438</v>
      </c>
      <c r="AU537">
        <v>0.8</v>
      </c>
      <c r="AV537" t="s">
        <v>93</v>
      </c>
      <c r="AW537">
        <v>8.0654755756014523E-2</v>
      </c>
      <c r="AX537">
        <v>0.41434218995643202</v>
      </c>
      <c r="AY537">
        <v>8.0654755756014523E-2</v>
      </c>
      <c r="AZ537">
        <v>8.0654755756014523E-2</v>
      </c>
      <c r="BA537">
        <v>0.41434218995643202</v>
      </c>
      <c r="BB537">
        <v>8.4211971266295371E-2</v>
      </c>
      <c r="BC537">
        <v>0.38851220601963571</v>
      </c>
      <c r="BD537">
        <v>8.4879867133693124E-2</v>
      </c>
      <c r="BE537">
        <v>0.70590938919445456</v>
      </c>
      <c r="BF537">
        <v>8.4879867133693124E-2</v>
      </c>
      <c r="BG537">
        <v>8.4879867133693124E-2</v>
      </c>
      <c r="BH537">
        <v>0.70590938919445456</v>
      </c>
      <c r="BI537">
        <v>0.11988312602312071</v>
      </c>
      <c r="BJ537">
        <v>0.58463057320900713</v>
      </c>
      <c r="BK537">
        <v>6.4344192833332883E-2</v>
      </c>
      <c r="BL537">
        <v>0.74167841796492717</v>
      </c>
      <c r="BM537">
        <v>6.4344192833332883E-2</v>
      </c>
      <c r="BN537">
        <v>6.4344192833332883E-2</v>
      </c>
      <c r="BO537">
        <v>0.74167841796492717</v>
      </c>
      <c r="BP537">
        <v>9.9572489007035817E-2</v>
      </c>
      <c r="BQ537">
        <v>0.60024795160469391</v>
      </c>
      <c r="BR537">
        <v>68.013636876697049</v>
      </c>
      <c r="BS537">
        <v>0.80642120002967643</v>
      </c>
      <c r="BT537">
        <v>68.013636876697049</v>
      </c>
      <c r="BU537">
        <v>68.013636876697049</v>
      </c>
      <c r="BV537">
        <v>0.80642120002967643</v>
      </c>
      <c r="BW537">
        <v>237.84253484417809</v>
      </c>
      <c r="BX537">
        <v>0.32305821903767928</v>
      </c>
      <c r="BY537" t="str">
        <f t="shared" si="20"/>
        <v>[[sv,wv],[yr],[ya]]</v>
      </c>
      <c r="BZ537" t="str">
        <f>SUBSTITUTE(TRIM(MID(SUBSTITUTE(SUBSTITUTE(SUBSTITUTE(Tabla1[[#This Row],[map]],"[",""),"]",""),",",REPT(" ",100)),901,200))," ",", ")</f>
        <v>2, 3</v>
      </c>
      <c r="CA537" t="str">
        <f>SUBSTITUTE(TRIM(MID(SUBSTITUTE(SUBSTITUTE(SUBSTITUTE(Tabla1[[#This Row],[map]],"[",""),"]",""),",",REPT(" ",100)),1501,200))," ",", ")</f>
        <v>3, 4</v>
      </c>
      <c r="CB537" t="str">
        <f>SUBSTITUTE(TRIM(MID(SUBSTITUTE(SUBSTITUTE(SUBSTITUTE(Tabla1[[#This Row],[map]],"[",""),"]",""),",",REPT(" ",100)),601,300))," ",", ")</f>
        <v>0, 1, 4</v>
      </c>
      <c r="CC537" t="str">
        <f>SUBSTITUTE(TRIM(MID(SUBSTITUTE(SUBSTITUTE(SUBSTITUTE(Tabla1[[#This Row],[map]],"[",""),"]",""),",",REPT(" ",100)),1201,300))," ",", ")</f>
        <v>2, 0, 1</v>
      </c>
      <c r="CD537" t="str">
        <f>SUBSTITUTE(TRIM(MID(SUBSTITUTE(SUBSTITUTE(SUBSTITUTE(Tabla1[[#This Row],[map]],"[",""),"]",""),",",REPT(" ",100)),1,300))," ",", ")</f>
        <v>4, 2, 3</v>
      </c>
      <c r="CE537" t="str">
        <f>SUBSTITUTE(TRIM(MID(SUBSTITUTE(SUBSTITUTE(SUBSTITUTE(Tabla1[[#This Row],[map]],"[",""),"]",""),",",REPT(" ",100)),1,600))," ",", ")</f>
        <v>4, 2, 3, 0, 1, -1</v>
      </c>
      <c r="CF537" t="str">
        <f>SUBSTITUTE(TRIM(MID(SUBSTITUTE(SUBSTITUTE(SUBSTITUTE(Tabla1[[#This Row],[map]],"[",""),"]",""),",",REPT(" ",100)),601,600))," ",", ")</f>
        <v>0, 1, 4, 2, 3, -1</v>
      </c>
      <c r="CG537" t="str">
        <f>SUBSTITUTE(TRIM(MID(SUBSTITUTE(SUBSTITUTE(SUBSTITUTE(Tabla1[[#This Row],[map]],"[",""),"]",""),",",REPT(" ",100)),1201,600))," ",", ")</f>
        <v>2, 0, 1, 3, 4, -1</v>
      </c>
    </row>
    <row r="538" spans="1:85" x14ac:dyDescent="0.3">
      <c r="A538" s="1">
        <v>46113.131631944438</v>
      </c>
      <c r="B538" t="s">
        <v>793</v>
      </c>
      <c r="C538">
        <v>7</v>
      </c>
      <c r="D538" t="s">
        <v>96</v>
      </c>
      <c r="E538" t="s">
        <v>78</v>
      </c>
      <c r="F538">
        <v>16590</v>
      </c>
      <c r="G538">
        <v>4.5</v>
      </c>
      <c r="H538" t="s">
        <v>79</v>
      </c>
      <c r="I538" t="s">
        <v>80</v>
      </c>
      <c r="J538">
        <v>5</v>
      </c>
      <c r="K538">
        <v>5</v>
      </c>
      <c r="L538" t="s">
        <v>81</v>
      </c>
      <c r="M538" t="s">
        <v>82</v>
      </c>
      <c r="N538" t="s">
        <v>83</v>
      </c>
      <c r="O538" t="s">
        <v>83</v>
      </c>
      <c r="P538" t="s">
        <v>84</v>
      </c>
      <c r="Q538" t="s">
        <v>237</v>
      </c>
      <c r="R538">
        <v>3</v>
      </c>
      <c r="S538" t="s">
        <v>86</v>
      </c>
      <c r="T538" t="s">
        <v>87</v>
      </c>
      <c r="U538" t="s">
        <v>88</v>
      </c>
      <c r="V538">
        <v>1</v>
      </c>
      <c r="W538" t="s">
        <v>238</v>
      </c>
      <c r="X538" t="s">
        <v>83</v>
      </c>
      <c r="Y538" t="s">
        <v>90</v>
      </c>
      <c r="Z538">
        <v>4000</v>
      </c>
      <c r="AA538">
        <v>4000</v>
      </c>
      <c r="AC538">
        <v>256</v>
      </c>
      <c r="AD538" t="s">
        <v>91</v>
      </c>
      <c r="AE538">
        <v>0.15</v>
      </c>
      <c r="AF538" t="s">
        <v>92</v>
      </c>
      <c r="AG538">
        <v>180</v>
      </c>
      <c r="AH538">
        <v>60</v>
      </c>
      <c r="AI538">
        <v>120</v>
      </c>
      <c r="AJ538">
        <v>0.1222286252791031</v>
      </c>
      <c r="AK538">
        <v>15.53823059952069</v>
      </c>
      <c r="AL538">
        <v>0.63407054285524644</v>
      </c>
      <c r="AM538">
        <v>0.43357379637601029</v>
      </c>
      <c r="AN538">
        <v>20.111900521373439</v>
      </c>
      <c r="AO538">
        <v>0.57754407524034534</v>
      </c>
      <c r="AP538">
        <v>20.111900521373439</v>
      </c>
      <c r="AQ538">
        <v>20.111900521373439</v>
      </c>
      <c r="AR538">
        <v>0.57754407524034534</v>
      </c>
      <c r="AS538">
        <v>52.157688432038157</v>
      </c>
      <c r="AT538">
        <v>0.46191293355634061</v>
      </c>
      <c r="AU538">
        <v>0.8</v>
      </c>
      <c r="AV538" t="s">
        <v>93</v>
      </c>
      <c r="AW538">
        <v>0.1166886366203804</v>
      </c>
      <c r="AX538">
        <v>0.15268962456729651</v>
      </c>
      <c r="AY538">
        <v>0.1166886366203804</v>
      </c>
      <c r="AZ538">
        <v>0.1166886366203804</v>
      </c>
      <c r="BA538">
        <v>0.15268962456729651</v>
      </c>
      <c r="BB538">
        <v>0.1249467101814286</v>
      </c>
      <c r="BC538">
        <v>9.2725333167386736E-2</v>
      </c>
      <c r="BD538">
        <v>0.1236795857985758</v>
      </c>
      <c r="BE538">
        <v>0.57147665094256805</v>
      </c>
      <c r="BF538">
        <v>0.1236795857985758</v>
      </c>
      <c r="BG538">
        <v>0.1236795857985758</v>
      </c>
      <c r="BH538">
        <v>0.57147665094256805</v>
      </c>
      <c r="BI538">
        <v>0.103135898548657</v>
      </c>
      <c r="BJ538">
        <v>0.64265613950150402</v>
      </c>
      <c r="BK538">
        <v>4.6289523706341158E-2</v>
      </c>
      <c r="BL538">
        <v>0.81416220378356274</v>
      </c>
      <c r="BM538">
        <v>4.6289523706341158E-2</v>
      </c>
      <c r="BN538">
        <v>4.6289523706341158E-2</v>
      </c>
      <c r="BO538">
        <v>0.81416220378356274</v>
      </c>
      <c r="BP538">
        <v>7.3427450062097749E-2</v>
      </c>
      <c r="BQ538">
        <v>0.70521201324299976</v>
      </c>
      <c r="BR538">
        <v>80.160944339368498</v>
      </c>
      <c r="BS538">
        <v>0.77184782166795907</v>
      </c>
      <c r="BT538">
        <v>80.160944339368498</v>
      </c>
      <c r="BU538">
        <v>80.160944339368498</v>
      </c>
      <c r="BV538">
        <v>0.77184782166795907</v>
      </c>
      <c r="BW538">
        <v>208.3292436693612</v>
      </c>
      <c r="BX538">
        <v>0.4070582483134737</v>
      </c>
      <c r="BY538" t="str">
        <f t="shared" si="20"/>
        <v>[[sv,wv],[yr],[ya]]</v>
      </c>
      <c r="BZ538" t="str">
        <f>SUBSTITUTE(TRIM(MID(SUBSTITUTE(SUBSTITUTE(SUBSTITUTE(Tabla1[[#This Row],[map]],"[",""),"]",""),",",REPT(" ",100)),901,200))," ",", ")</f>
        <v>2, 3</v>
      </c>
      <c r="CA538" t="str">
        <f>SUBSTITUTE(TRIM(MID(SUBSTITUTE(SUBSTITUTE(SUBSTITUTE(Tabla1[[#This Row],[map]],"[",""),"]",""),",",REPT(" ",100)),1501,200))," ",", ")</f>
        <v>3, 4</v>
      </c>
      <c r="CB538" t="str">
        <f>SUBSTITUTE(TRIM(MID(SUBSTITUTE(SUBSTITUTE(SUBSTITUTE(Tabla1[[#This Row],[map]],"[",""),"]",""),",",REPT(" ",100)),601,300))," ",", ")</f>
        <v>4, 0, 1</v>
      </c>
      <c r="CC538" t="str">
        <f>SUBSTITUTE(TRIM(MID(SUBSTITUTE(SUBSTITUTE(SUBSTITUTE(Tabla1[[#This Row],[map]],"[",""),"]",""),",",REPT(" ",100)),1201,300))," ",", ")</f>
        <v>0, 1, 2</v>
      </c>
      <c r="CD538" t="str">
        <f>SUBSTITUTE(TRIM(MID(SUBSTITUTE(SUBSTITUTE(SUBSTITUTE(Tabla1[[#This Row],[map]],"[",""),"]",""),",",REPT(" ",100)),1,300))," ",", ")</f>
        <v>4, 2, 3</v>
      </c>
      <c r="CE538" t="str">
        <f>SUBSTITUTE(TRIM(MID(SUBSTITUTE(SUBSTITUTE(SUBSTITUTE(Tabla1[[#This Row],[map]],"[",""),"]",""),",",REPT(" ",100)),1,600))," ",", ")</f>
        <v>4, 2, 3, 0, 1, -1</v>
      </c>
      <c r="CF538" t="str">
        <f>SUBSTITUTE(TRIM(MID(SUBSTITUTE(SUBSTITUTE(SUBSTITUTE(Tabla1[[#This Row],[map]],"[",""),"]",""),",",REPT(" ",100)),601,600))," ",", ")</f>
        <v>4, 0, 1, 2, 3, -1</v>
      </c>
      <c r="CG538" t="str">
        <f>SUBSTITUTE(TRIM(MID(SUBSTITUTE(SUBSTITUTE(SUBSTITUTE(Tabla1[[#This Row],[map]],"[",""),"]",""),",",REPT(" ",100)),1201,600))," ",", ")</f>
        <v>0, 1, 2, 3, 4, -1</v>
      </c>
    </row>
    <row r="539" spans="1:85" x14ac:dyDescent="0.3">
      <c r="A539" s="1">
        <v>46113.187175925923</v>
      </c>
      <c r="B539" t="s">
        <v>794</v>
      </c>
      <c r="C539">
        <v>9</v>
      </c>
      <c r="D539" t="s">
        <v>96</v>
      </c>
      <c r="E539" t="s">
        <v>78</v>
      </c>
      <c r="F539">
        <v>16590</v>
      </c>
      <c r="G539">
        <v>4.5</v>
      </c>
      <c r="H539" t="s">
        <v>79</v>
      </c>
      <c r="I539" t="s">
        <v>80</v>
      </c>
      <c r="J539">
        <v>5</v>
      </c>
      <c r="K539">
        <v>5</v>
      </c>
      <c r="L539" t="s">
        <v>81</v>
      </c>
      <c r="M539" t="s">
        <v>82</v>
      </c>
      <c r="N539" t="s">
        <v>83</v>
      </c>
      <c r="O539" t="s">
        <v>83</v>
      </c>
      <c r="P539" t="s">
        <v>84</v>
      </c>
      <c r="Q539" t="s">
        <v>533</v>
      </c>
      <c r="R539">
        <v>3</v>
      </c>
      <c r="S539" t="s">
        <v>86</v>
      </c>
      <c r="T539" t="s">
        <v>87</v>
      </c>
      <c r="U539" t="s">
        <v>88</v>
      </c>
      <c r="V539">
        <v>1</v>
      </c>
      <c r="W539" t="s">
        <v>534</v>
      </c>
      <c r="X539" t="s">
        <v>83</v>
      </c>
      <c r="Y539" t="s">
        <v>90</v>
      </c>
      <c r="Z539">
        <v>4000</v>
      </c>
      <c r="AA539">
        <v>4000</v>
      </c>
      <c r="AC539">
        <v>256</v>
      </c>
      <c r="AD539" t="s">
        <v>91</v>
      </c>
      <c r="AE539">
        <v>0.15</v>
      </c>
      <c r="AF539" t="s">
        <v>92</v>
      </c>
      <c r="AG539">
        <v>180</v>
      </c>
      <c r="AH539">
        <v>60</v>
      </c>
      <c r="AI539">
        <v>120</v>
      </c>
      <c r="AJ539">
        <v>0.1176813943623513</v>
      </c>
      <c r="AK539">
        <v>19.886937863160799</v>
      </c>
      <c r="AL539">
        <v>0.73349421791293379</v>
      </c>
      <c r="AM539">
        <v>0.1982253789691715</v>
      </c>
      <c r="AN539">
        <v>25.444679727738269</v>
      </c>
      <c r="AO539">
        <v>0.66735215712868257</v>
      </c>
      <c r="AP539">
        <v>25.444679727738269</v>
      </c>
      <c r="AQ539">
        <v>25.444679727738269</v>
      </c>
      <c r="AR539">
        <v>0.66735215712868257</v>
      </c>
      <c r="AS539">
        <v>86.109406231475617</v>
      </c>
      <c r="AT539">
        <v>0.17341727000439139</v>
      </c>
      <c r="AU539">
        <v>0.8</v>
      </c>
      <c r="AV539" t="s">
        <v>93</v>
      </c>
      <c r="AW539">
        <v>7.6324283953630001E-2</v>
      </c>
      <c r="AX539">
        <v>0.44578701436222429</v>
      </c>
      <c r="AY539">
        <v>7.6324283953630001E-2</v>
      </c>
      <c r="AZ539">
        <v>7.6324283953630001E-2</v>
      </c>
      <c r="BA539">
        <v>0.44578701436222429</v>
      </c>
      <c r="BB539">
        <v>7.2377386212827105E-2</v>
      </c>
      <c r="BC539">
        <v>0.47444659513557702</v>
      </c>
      <c r="BD539">
        <v>9.8211927061903473E-2</v>
      </c>
      <c r="BE539">
        <v>0.65971664903137361</v>
      </c>
      <c r="BF539">
        <v>9.8211927061903473E-2</v>
      </c>
      <c r="BG539">
        <v>9.8211927061903473E-2</v>
      </c>
      <c r="BH539">
        <v>0.65971664903137361</v>
      </c>
      <c r="BI539">
        <v>0.1074692762423651</v>
      </c>
      <c r="BJ539">
        <v>0.62764191132432701</v>
      </c>
      <c r="BK539">
        <v>3.6619533908710103E-2</v>
      </c>
      <c r="BL539">
        <v>0.85298415418485862</v>
      </c>
      <c r="BM539">
        <v>3.6619533908710103E-2</v>
      </c>
      <c r="BN539">
        <v>3.6619533908710103E-2</v>
      </c>
      <c r="BO539">
        <v>0.85298415418485862</v>
      </c>
      <c r="BP539">
        <v>0.35609645109001381</v>
      </c>
      <c r="BQ539">
        <v>-0.4296146171406181</v>
      </c>
      <c r="BR539">
        <v>101.56756316602851</v>
      </c>
      <c r="BS539">
        <v>0.71092081093628101</v>
      </c>
      <c r="BT539">
        <v>101.56756316602851</v>
      </c>
      <c r="BU539">
        <v>101.56756316602851</v>
      </c>
      <c r="BV539">
        <v>0.71092081093628101</v>
      </c>
      <c r="BW539">
        <v>343.9016818123568</v>
      </c>
      <c r="BX539">
        <v>2.1195190698277019E-2</v>
      </c>
      <c r="BY539" t="str">
        <f t="shared" si="20"/>
        <v>[[sv,wv],[yr],[ya]]</v>
      </c>
      <c r="BZ539" t="str">
        <f>SUBSTITUTE(TRIM(MID(SUBSTITUTE(SUBSTITUTE(SUBSTITUTE(Tabla1[[#This Row],[map]],"[",""),"]",""),",",REPT(" ",100)),901,200))," ",", ")</f>
        <v>2, 4</v>
      </c>
      <c r="CA539" t="str">
        <f>SUBSTITUTE(TRIM(MID(SUBSTITUTE(SUBSTITUTE(SUBSTITUTE(Tabla1[[#This Row],[map]],"[",""),"]",""),",",REPT(" ",100)),1501,200))," ",", ")</f>
        <v>3, 4</v>
      </c>
      <c r="CB539" t="str">
        <f>SUBSTITUTE(TRIM(MID(SUBSTITUTE(SUBSTITUTE(SUBSTITUTE(Tabla1[[#This Row],[map]],"[",""),"]",""),",",REPT(" ",100)),601,300))," ",", ")</f>
        <v>1, 3, 0</v>
      </c>
      <c r="CC539" t="str">
        <f>SUBSTITUTE(TRIM(MID(SUBSTITUTE(SUBSTITUTE(SUBSTITUTE(Tabla1[[#This Row],[map]],"[",""),"]",""),",",REPT(" ",100)),1201,300))," ",", ")</f>
        <v>1, 2, 0</v>
      </c>
      <c r="CD539" t="str">
        <f>SUBSTITUTE(TRIM(MID(SUBSTITUTE(SUBSTITUTE(SUBSTITUTE(Tabla1[[#This Row],[map]],"[",""),"]",""),",",REPT(" ",100)),1,300))," ",", ")</f>
        <v>4, 2, 3</v>
      </c>
      <c r="CE539" t="str">
        <f>SUBSTITUTE(TRIM(MID(SUBSTITUTE(SUBSTITUTE(SUBSTITUTE(Tabla1[[#This Row],[map]],"[",""),"]",""),",",REPT(" ",100)),1,600))," ",", ")</f>
        <v>4, 2, 3, 0, 1, -1</v>
      </c>
      <c r="CF539" t="str">
        <f>SUBSTITUTE(TRIM(MID(SUBSTITUTE(SUBSTITUTE(SUBSTITUTE(Tabla1[[#This Row],[map]],"[",""),"]",""),",",REPT(" ",100)),601,600))," ",", ")</f>
        <v>1, 3, 0, 2, 4, -1</v>
      </c>
      <c r="CG539" t="str">
        <f>SUBSTITUTE(TRIM(MID(SUBSTITUTE(SUBSTITUTE(SUBSTITUTE(Tabla1[[#This Row],[map]],"[",""),"]",""),",",REPT(" ",100)),1201,600))," ",", ")</f>
        <v>1, 2, 0, 3, 4, -1</v>
      </c>
    </row>
    <row r="540" spans="1:85" x14ac:dyDescent="0.3">
      <c r="A540" s="1">
        <v>46113.241863425923</v>
      </c>
      <c r="B540" t="s">
        <v>795</v>
      </c>
      <c r="C540">
        <v>8</v>
      </c>
      <c r="D540" t="s">
        <v>77</v>
      </c>
      <c r="E540" t="s">
        <v>78</v>
      </c>
      <c r="F540">
        <v>16590</v>
      </c>
      <c r="G540">
        <v>4.5</v>
      </c>
      <c r="H540" t="s">
        <v>79</v>
      </c>
      <c r="I540" t="s">
        <v>80</v>
      </c>
      <c r="J540">
        <v>5</v>
      </c>
      <c r="K540">
        <v>5</v>
      </c>
      <c r="L540" t="s">
        <v>81</v>
      </c>
      <c r="M540" t="s">
        <v>82</v>
      </c>
      <c r="N540" t="s">
        <v>83</v>
      </c>
      <c r="O540" t="s">
        <v>83</v>
      </c>
      <c r="P540" t="s">
        <v>84</v>
      </c>
      <c r="Q540" t="s">
        <v>243</v>
      </c>
      <c r="R540">
        <v>3</v>
      </c>
      <c r="S540" t="s">
        <v>86</v>
      </c>
      <c r="T540" t="s">
        <v>87</v>
      </c>
      <c r="U540" t="s">
        <v>88</v>
      </c>
      <c r="V540">
        <v>1</v>
      </c>
      <c r="W540" t="s">
        <v>244</v>
      </c>
      <c r="X540" t="s">
        <v>83</v>
      </c>
      <c r="Y540" t="s">
        <v>90</v>
      </c>
      <c r="Z540">
        <v>4000</v>
      </c>
      <c r="AA540">
        <v>4000</v>
      </c>
      <c r="AC540">
        <v>256</v>
      </c>
      <c r="AD540" t="s">
        <v>91</v>
      </c>
      <c r="AE540">
        <v>0.15</v>
      </c>
      <c r="AF540" t="s">
        <v>92</v>
      </c>
      <c r="AG540">
        <v>180</v>
      </c>
      <c r="AH540">
        <v>60</v>
      </c>
      <c r="AI540">
        <v>120</v>
      </c>
      <c r="AJ540">
        <v>0.1109904706721084</v>
      </c>
      <c r="AK540">
        <v>13.689914842520549</v>
      </c>
      <c r="AL540">
        <v>0.67204395087444901</v>
      </c>
      <c r="AM540">
        <v>0.36781833715602258</v>
      </c>
      <c r="AN540">
        <v>17.857463631996499</v>
      </c>
      <c r="AO540">
        <v>0.63432607272047825</v>
      </c>
      <c r="AP540">
        <v>17.857463631996499</v>
      </c>
      <c r="AQ540">
        <v>17.857463631996499</v>
      </c>
      <c r="AR540">
        <v>0.63432607272047825</v>
      </c>
      <c r="AS540">
        <v>68.705843288506443</v>
      </c>
      <c r="AT540">
        <v>0.36304591854259682</v>
      </c>
      <c r="AU540">
        <v>0.8</v>
      </c>
      <c r="AV540" t="s">
        <v>93</v>
      </c>
      <c r="AW540">
        <v>0.1100702387778513</v>
      </c>
      <c r="AX540">
        <v>0.2007477502180415</v>
      </c>
      <c r="AY540">
        <v>0.1100702387778513</v>
      </c>
      <c r="AZ540">
        <v>0.1100702387778513</v>
      </c>
      <c r="BA540">
        <v>0.2007477502180415</v>
      </c>
      <c r="BB540">
        <v>0.1371991212124978</v>
      </c>
      <c r="BC540">
        <v>3.756987222398811E-3</v>
      </c>
      <c r="BD540">
        <v>7.920228398400557E-2</v>
      </c>
      <c r="BE540">
        <v>0.72558100217849608</v>
      </c>
      <c r="BF540">
        <v>7.920228398400557E-2</v>
      </c>
      <c r="BG540">
        <v>7.920228398400557E-2</v>
      </c>
      <c r="BH540">
        <v>0.72558100217849608</v>
      </c>
      <c r="BI540">
        <v>0.13590756880080651</v>
      </c>
      <c r="BJ540">
        <v>0.5291093015170365</v>
      </c>
      <c r="BK540">
        <v>4.6427903884678469E-2</v>
      </c>
      <c r="BL540">
        <v>0.81360665113745245</v>
      </c>
      <c r="BM540">
        <v>4.6427903884678469E-2</v>
      </c>
      <c r="BN540">
        <v>4.6427903884678469E-2</v>
      </c>
      <c r="BO540">
        <v>0.81360665113745245</v>
      </c>
      <c r="BP540">
        <v>7.4595283822868327E-2</v>
      </c>
      <c r="BQ540">
        <v>0.70052353008154911</v>
      </c>
      <c r="BR540">
        <v>71.194154101339663</v>
      </c>
      <c r="BS540">
        <v>0.79736888734792055</v>
      </c>
      <c r="BT540">
        <v>71.194154101339663</v>
      </c>
      <c r="BU540">
        <v>71.194154101339663</v>
      </c>
      <c r="BV540">
        <v>0.79736888734792055</v>
      </c>
      <c r="BW540">
        <v>274.47567118018918</v>
      </c>
      <c r="BX540">
        <v>0.21879385534940321</v>
      </c>
      <c r="BY540" t="str">
        <f t="shared" si="20"/>
        <v>[[sv,wv],[yr],[ya]]</v>
      </c>
      <c r="BZ540" t="str">
        <f>SUBSTITUTE(TRIM(MID(SUBSTITUTE(SUBSTITUTE(SUBSTITUTE(Tabla1[[#This Row],[map]],"[",""),"]",""),",",REPT(" ",100)),901,200))," ",", ")</f>
        <v>2, 3</v>
      </c>
      <c r="CA540" t="str">
        <f>SUBSTITUTE(TRIM(MID(SUBSTITUTE(SUBSTITUTE(SUBSTITUTE(Tabla1[[#This Row],[map]],"[",""),"]",""),",",REPT(" ",100)),1501,200))," ",", ")</f>
        <v>3, 4</v>
      </c>
      <c r="CB540" t="str">
        <f>SUBSTITUTE(TRIM(MID(SUBSTITUTE(SUBSTITUTE(SUBSTITUTE(Tabla1[[#This Row],[map]],"[",""),"]",""),",",REPT(" ",100)),601,300))," ",", ")</f>
        <v>4, 0, 1</v>
      </c>
      <c r="CC540" t="str">
        <f>SUBSTITUTE(TRIM(MID(SUBSTITUTE(SUBSTITUTE(SUBSTITUTE(Tabla1[[#This Row],[map]],"[",""),"]",""),",",REPT(" ",100)),1201,300))," ",", ")</f>
        <v>2, 0, 1</v>
      </c>
      <c r="CD540" t="str">
        <f>SUBSTITUTE(TRIM(MID(SUBSTITUTE(SUBSTITUTE(SUBSTITUTE(Tabla1[[#This Row],[map]],"[",""),"]",""),",",REPT(" ",100)),1,300))," ",", ")</f>
        <v>4, 2, 3</v>
      </c>
      <c r="CE540" t="str">
        <f>SUBSTITUTE(TRIM(MID(SUBSTITUTE(SUBSTITUTE(SUBSTITUTE(Tabla1[[#This Row],[map]],"[",""),"]",""),",",REPT(" ",100)),1,600))," ",", ")</f>
        <v>4, 2, 3, 0, 1, -1</v>
      </c>
      <c r="CF540" t="str">
        <f>SUBSTITUTE(TRIM(MID(SUBSTITUTE(SUBSTITUTE(SUBSTITUTE(Tabla1[[#This Row],[map]],"[",""),"]",""),",",REPT(" ",100)),601,600))," ",", ")</f>
        <v>4, 0, 1, 2, 3, -1</v>
      </c>
      <c r="CG540" t="str">
        <f>SUBSTITUTE(TRIM(MID(SUBSTITUTE(SUBSTITUTE(SUBSTITUTE(Tabla1[[#This Row],[map]],"[",""),"]",""),",",REPT(" ",100)),1201,600))," ",", ")</f>
        <v>2, 0, 1, 3, 4, -1</v>
      </c>
    </row>
    <row r="541" spans="1:85" x14ac:dyDescent="0.3">
      <c r="A541" s="1">
        <v>46113.251481481479</v>
      </c>
      <c r="B541" t="s">
        <v>796</v>
      </c>
      <c r="C541">
        <v>6</v>
      </c>
      <c r="D541" t="s">
        <v>96</v>
      </c>
      <c r="E541" t="s">
        <v>78</v>
      </c>
      <c r="F541">
        <v>16590</v>
      </c>
      <c r="G541">
        <v>4.5</v>
      </c>
      <c r="H541" t="s">
        <v>79</v>
      </c>
      <c r="I541" t="s">
        <v>80</v>
      </c>
      <c r="J541">
        <v>5</v>
      </c>
      <c r="K541">
        <v>5</v>
      </c>
      <c r="L541" t="s">
        <v>81</v>
      </c>
      <c r="M541" t="s">
        <v>82</v>
      </c>
      <c r="N541" t="s">
        <v>83</v>
      </c>
      <c r="O541" t="s">
        <v>83</v>
      </c>
      <c r="P541" t="s">
        <v>84</v>
      </c>
      <c r="Q541" t="s">
        <v>295</v>
      </c>
      <c r="R541">
        <v>3</v>
      </c>
      <c r="S541" t="s">
        <v>86</v>
      </c>
      <c r="T541" t="s">
        <v>87</v>
      </c>
      <c r="U541" t="s">
        <v>88</v>
      </c>
      <c r="V541">
        <v>1</v>
      </c>
      <c r="W541" t="s">
        <v>296</v>
      </c>
      <c r="X541" t="s">
        <v>83</v>
      </c>
      <c r="Y541" t="s">
        <v>90</v>
      </c>
      <c r="Z541">
        <v>4000</v>
      </c>
      <c r="AA541">
        <v>4000</v>
      </c>
      <c r="AC541">
        <v>256</v>
      </c>
      <c r="AD541" t="s">
        <v>91</v>
      </c>
      <c r="AE541">
        <v>0.15</v>
      </c>
      <c r="AF541" t="s">
        <v>92</v>
      </c>
      <c r="AG541">
        <v>180</v>
      </c>
      <c r="AH541">
        <v>60</v>
      </c>
      <c r="AI541">
        <v>120</v>
      </c>
      <c r="AJ541">
        <v>0.129547144291494</v>
      </c>
      <c r="AK541">
        <v>15.6616411874862</v>
      </c>
      <c r="AL541">
        <v>0.67936184574747893</v>
      </c>
      <c r="AM541">
        <v>0.12594104678956131</v>
      </c>
      <c r="AN541">
        <v>17.02423568190309</v>
      </c>
      <c r="AO541">
        <v>0.60892062494001686</v>
      </c>
      <c r="AP541">
        <v>17.02423568190309</v>
      </c>
      <c r="AQ541">
        <v>17.02423568190309</v>
      </c>
      <c r="AR541">
        <v>0.60892062494001686</v>
      </c>
      <c r="AS541">
        <v>66.861276695732926</v>
      </c>
      <c r="AT541">
        <v>5.3641279224987432E-2</v>
      </c>
      <c r="AU541">
        <v>0.8</v>
      </c>
      <c r="AV541" t="s">
        <v>93</v>
      </c>
      <c r="AW541">
        <v>7.955223817769877E-2</v>
      </c>
      <c r="AX541">
        <v>0.42234789308451798</v>
      </c>
      <c r="AY541">
        <v>7.955223817769877E-2</v>
      </c>
      <c r="AZ541">
        <v>7.955223817769877E-2</v>
      </c>
      <c r="BA541">
        <v>0.42234789308451798</v>
      </c>
      <c r="BB541">
        <v>0.15109375987125179</v>
      </c>
      <c r="BC541">
        <v>-9.7136054631810076E-2</v>
      </c>
      <c r="BD541">
        <v>0.1003780046220403</v>
      </c>
      <c r="BE541">
        <v>0.65221165292070027</v>
      </c>
      <c r="BF541">
        <v>0.1003780046220403</v>
      </c>
      <c r="BG541">
        <v>0.1003780046220403</v>
      </c>
      <c r="BH541">
        <v>0.65221165292070027</v>
      </c>
      <c r="BI541">
        <v>0.13397084079604771</v>
      </c>
      <c r="BJ541">
        <v>0.53581965040326418</v>
      </c>
      <c r="BK541">
        <v>0.11106463158193949</v>
      </c>
      <c r="BL541">
        <v>0.55411063415304285</v>
      </c>
      <c r="BM541">
        <v>0.11106463158193949</v>
      </c>
      <c r="BN541">
        <v>0.11106463158193949</v>
      </c>
      <c r="BO541">
        <v>0.55411063415304285</v>
      </c>
      <c r="BP541">
        <v>0.36485373497454809</v>
      </c>
      <c r="BQ541">
        <v>-0.46477234199144962</v>
      </c>
      <c r="BR541">
        <v>67.805947853230819</v>
      </c>
      <c r="BS541">
        <v>0.80701231960180708</v>
      </c>
      <c r="BT541">
        <v>67.805947853230819</v>
      </c>
      <c r="BU541">
        <v>67.805947853230819</v>
      </c>
      <c r="BV541">
        <v>0.80701231960180708</v>
      </c>
      <c r="BW541">
        <v>266.79518844729012</v>
      </c>
      <c r="BX541">
        <v>0.24065386311994499</v>
      </c>
      <c r="BY541" t="str">
        <f t="shared" si="20"/>
        <v>[[sv,wv],[yr],[ya]]</v>
      </c>
      <c r="BZ541" t="str">
        <f>SUBSTITUTE(TRIM(MID(SUBSTITUTE(SUBSTITUTE(SUBSTITUTE(Tabla1[[#This Row],[map]],"[",""),"]",""),",",REPT(" ",100)),901,200))," ",", ")</f>
        <v>2, 4</v>
      </c>
      <c r="CA541" t="str">
        <f>SUBSTITUTE(TRIM(MID(SUBSTITUTE(SUBSTITUTE(SUBSTITUTE(Tabla1[[#This Row],[map]],"[",""),"]",""),",",REPT(" ",100)),1501,200))," ",", ")</f>
        <v>3, 4</v>
      </c>
      <c r="CB541" t="str">
        <f>SUBSTITUTE(TRIM(MID(SUBSTITUTE(SUBSTITUTE(SUBSTITUTE(Tabla1[[#This Row],[map]],"[",""),"]",""),",",REPT(" ",100)),601,300))," ",", ")</f>
        <v>3, 0, 1</v>
      </c>
      <c r="CC541" t="str">
        <f>SUBSTITUTE(TRIM(MID(SUBSTITUTE(SUBSTITUTE(SUBSTITUTE(Tabla1[[#This Row],[map]],"[",""),"]",""),",",REPT(" ",100)),1201,300))," ",", ")</f>
        <v>0, 1, 2</v>
      </c>
      <c r="CD541" t="str">
        <f>SUBSTITUTE(TRIM(MID(SUBSTITUTE(SUBSTITUTE(SUBSTITUTE(Tabla1[[#This Row],[map]],"[",""),"]",""),",",REPT(" ",100)),1,300))," ",", ")</f>
        <v>4, 2, 3</v>
      </c>
      <c r="CE541" t="str">
        <f>SUBSTITUTE(TRIM(MID(SUBSTITUTE(SUBSTITUTE(SUBSTITUTE(Tabla1[[#This Row],[map]],"[",""),"]",""),",",REPT(" ",100)),1,600))," ",", ")</f>
        <v>4, 2, 3, 0, 1, -1</v>
      </c>
      <c r="CF541" t="str">
        <f>SUBSTITUTE(TRIM(MID(SUBSTITUTE(SUBSTITUTE(SUBSTITUTE(Tabla1[[#This Row],[map]],"[",""),"]",""),",",REPT(" ",100)),601,600))," ",", ")</f>
        <v>3, 0, 1, 2, 4, -1</v>
      </c>
      <c r="CG541" t="str">
        <f>SUBSTITUTE(TRIM(MID(SUBSTITUTE(SUBSTITUTE(SUBSTITUTE(Tabla1[[#This Row],[map]],"[",""),"]",""),",",REPT(" ",100)),1201,600))," ",", ")</f>
        <v>0, 1, 2, 3, 4, -1</v>
      </c>
    </row>
    <row r="542" spans="1:85" x14ac:dyDescent="0.3">
      <c r="A542" s="1">
        <v>46113.258518518523</v>
      </c>
      <c r="B542" t="s">
        <v>797</v>
      </c>
      <c r="C542">
        <v>9</v>
      </c>
      <c r="D542" t="s">
        <v>96</v>
      </c>
      <c r="E542" t="s">
        <v>78</v>
      </c>
      <c r="F542">
        <v>16590</v>
      </c>
      <c r="G542">
        <v>4.5</v>
      </c>
      <c r="H542" t="s">
        <v>79</v>
      </c>
      <c r="I542" t="s">
        <v>80</v>
      </c>
      <c r="J542">
        <v>5</v>
      </c>
      <c r="K542">
        <v>5</v>
      </c>
      <c r="L542" t="s">
        <v>81</v>
      </c>
      <c r="M542" t="s">
        <v>82</v>
      </c>
      <c r="N542" t="s">
        <v>83</v>
      </c>
      <c r="O542" t="s">
        <v>83</v>
      </c>
      <c r="P542" t="s">
        <v>84</v>
      </c>
      <c r="Q542" t="s">
        <v>231</v>
      </c>
      <c r="R542">
        <v>3</v>
      </c>
      <c r="S542" t="s">
        <v>86</v>
      </c>
      <c r="T542" t="s">
        <v>87</v>
      </c>
      <c r="U542" t="s">
        <v>88</v>
      </c>
      <c r="V542">
        <v>1</v>
      </c>
      <c r="W542" t="s">
        <v>232</v>
      </c>
      <c r="X542" t="s">
        <v>83</v>
      </c>
      <c r="Y542" t="s">
        <v>90</v>
      </c>
      <c r="Z542">
        <v>4000</v>
      </c>
      <c r="AA542">
        <v>4000</v>
      </c>
      <c r="AC542">
        <v>256</v>
      </c>
      <c r="AD542" t="s">
        <v>91</v>
      </c>
      <c r="AE542">
        <v>0.15</v>
      </c>
      <c r="AF542" t="s">
        <v>92</v>
      </c>
      <c r="AG542">
        <v>180</v>
      </c>
      <c r="AH542">
        <v>60</v>
      </c>
      <c r="AI542">
        <v>120</v>
      </c>
      <c r="AJ542">
        <v>0.12783771519733619</v>
      </c>
      <c r="AK542">
        <v>50.037781347410721</v>
      </c>
      <c r="AL542">
        <v>0.66200227492493358</v>
      </c>
      <c r="AM542">
        <v>0.2588078819515276</v>
      </c>
      <c r="AN542">
        <v>52.645149401678488</v>
      </c>
      <c r="AO542">
        <v>0.60681987374201141</v>
      </c>
      <c r="AP542">
        <v>52.645149401678488</v>
      </c>
      <c r="AQ542">
        <v>52.645149401678488</v>
      </c>
      <c r="AR542">
        <v>0.60681987374201141</v>
      </c>
      <c r="AS542">
        <v>96.829955623870106</v>
      </c>
      <c r="AT542">
        <v>0.23499229952965511</v>
      </c>
      <c r="AU542">
        <v>0.8</v>
      </c>
      <c r="AV542" t="s">
        <v>93</v>
      </c>
      <c r="AW542">
        <v>6.9199603984115982E-2</v>
      </c>
      <c r="AX542">
        <v>0.49752140285667712</v>
      </c>
      <c r="AY542">
        <v>6.9199603984115982E-2</v>
      </c>
      <c r="AZ542">
        <v>6.9199603984115982E-2</v>
      </c>
      <c r="BA542">
        <v>0.49752140285667712</v>
      </c>
      <c r="BB542">
        <v>5.7459130004570383E-2</v>
      </c>
      <c r="BC542">
        <v>0.58277242389422357</v>
      </c>
      <c r="BD542">
        <v>7.4539729826822318E-2</v>
      </c>
      <c r="BE542">
        <v>0.74173575649544365</v>
      </c>
      <c r="BF542">
        <v>7.4539729826822318E-2</v>
      </c>
      <c r="BG542">
        <v>7.4539729826822318E-2</v>
      </c>
      <c r="BH542">
        <v>0.74173575649544365</v>
      </c>
      <c r="BI542">
        <v>0.14791984725289151</v>
      </c>
      <c r="BJ542">
        <v>0.48748932228714842</v>
      </c>
      <c r="BK542">
        <v>5.3102167983594302E-2</v>
      </c>
      <c r="BL542">
        <v>0.78681159186275329</v>
      </c>
      <c r="BM542">
        <v>5.3102167983594302E-2</v>
      </c>
      <c r="BN542">
        <v>5.3102167983594302E-2</v>
      </c>
      <c r="BO542">
        <v>0.78681159186275329</v>
      </c>
      <c r="BP542">
        <v>0.25636546740076749</v>
      </c>
      <c r="BQ542">
        <v>-2.922626272840723E-2</v>
      </c>
      <c r="BR542">
        <v>210.3837561049202</v>
      </c>
      <c r="BS542">
        <v>0.40121074375316568</v>
      </c>
      <c r="BT542">
        <v>210.3837561049202</v>
      </c>
      <c r="BU542">
        <v>210.3837561049202</v>
      </c>
      <c r="BV542">
        <v>0.40121074375316568</v>
      </c>
      <c r="BW542">
        <v>386.85807805082447</v>
      </c>
      <c r="BX542">
        <v>-0.10106628533435311</v>
      </c>
      <c r="BY542" t="str">
        <f t="shared" si="20"/>
        <v>[[sv,wv],[yr],[ya]]</v>
      </c>
      <c r="BZ542" t="str">
        <f>SUBSTITUTE(TRIM(MID(SUBSTITUTE(SUBSTITUTE(SUBSTITUTE(Tabla1[[#This Row],[map]],"[",""),"]",""),",",REPT(" ",100)),901,200))," ",", ")</f>
        <v>2, 3</v>
      </c>
      <c r="CA542" t="str">
        <f>SUBSTITUTE(TRIM(MID(SUBSTITUTE(SUBSTITUTE(SUBSTITUTE(Tabla1[[#This Row],[map]],"[",""),"]",""),",",REPT(" ",100)),1501,200))," ",", ")</f>
        <v>3, 2</v>
      </c>
      <c r="CB542" t="str">
        <f>SUBSTITUTE(TRIM(MID(SUBSTITUTE(SUBSTITUTE(SUBSTITUTE(Tabla1[[#This Row],[map]],"[",""),"]",""),",",REPT(" ",100)),601,300))," ",", ")</f>
        <v>4, 0, 1</v>
      </c>
      <c r="CC542" t="str">
        <f>SUBSTITUTE(TRIM(MID(SUBSTITUTE(SUBSTITUTE(SUBSTITUTE(Tabla1[[#This Row],[map]],"[",""),"]",""),",",REPT(" ",100)),1201,300))," ",", ")</f>
        <v>4, 0, 1</v>
      </c>
      <c r="CD542" t="str">
        <f>SUBSTITUTE(TRIM(MID(SUBSTITUTE(SUBSTITUTE(SUBSTITUTE(Tabla1[[#This Row],[map]],"[",""),"]",""),",",REPT(" ",100)),1,300))," ",", ")</f>
        <v>4, 2, 3</v>
      </c>
      <c r="CE542" t="str">
        <f>SUBSTITUTE(TRIM(MID(SUBSTITUTE(SUBSTITUTE(SUBSTITUTE(Tabla1[[#This Row],[map]],"[",""),"]",""),",",REPT(" ",100)),1,600))," ",", ")</f>
        <v>4, 2, 3, 0, 1, -1</v>
      </c>
      <c r="CF542" t="str">
        <f>SUBSTITUTE(TRIM(MID(SUBSTITUTE(SUBSTITUTE(SUBSTITUTE(Tabla1[[#This Row],[map]],"[",""),"]",""),",",REPT(" ",100)),601,600))," ",", ")</f>
        <v>4, 0, 1, 2, 3, -1</v>
      </c>
      <c r="CG542" t="str">
        <f>SUBSTITUTE(TRIM(MID(SUBSTITUTE(SUBSTITUTE(SUBSTITUTE(Tabla1[[#This Row],[map]],"[",""),"]",""),",",REPT(" ",100)),1201,600))," ",", ")</f>
        <v>4, 0, 1, 3, 2, -1</v>
      </c>
    </row>
    <row r="543" spans="1:85" x14ac:dyDescent="0.3">
      <c r="A543" s="1">
        <v>46113.260451388887</v>
      </c>
      <c r="B543" t="s">
        <v>798</v>
      </c>
      <c r="C543">
        <v>7</v>
      </c>
      <c r="D543" t="s">
        <v>96</v>
      </c>
      <c r="E543" t="s">
        <v>78</v>
      </c>
      <c r="F543">
        <v>16590</v>
      </c>
      <c r="G543">
        <v>4.5</v>
      </c>
      <c r="H543" t="s">
        <v>79</v>
      </c>
      <c r="I543" t="s">
        <v>80</v>
      </c>
      <c r="J543">
        <v>5</v>
      </c>
      <c r="K543">
        <v>5</v>
      </c>
      <c r="L543" t="s">
        <v>81</v>
      </c>
      <c r="M543" t="s">
        <v>82</v>
      </c>
      <c r="N543" t="s">
        <v>83</v>
      </c>
      <c r="O543" t="s">
        <v>83</v>
      </c>
      <c r="P543" t="s">
        <v>84</v>
      </c>
      <c r="Q543" t="s">
        <v>243</v>
      </c>
      <c r="R543">
        <v>3</v>
      </c>
      <c r="S543" t="s">
        <v>86</v>
      </c>
      <c r="T543" t="s">
        <v>87</v>
      </c>
      <c r="U543" t="s">
        <v>88</v>
      </c>
      <c r="V543">
        <v>1</v>
      </c>
      <c r="W543" t="s">
        <v>244</v>
      </c>
      <c r="X543" t="s">
        <v>83</v>
      </c>
      <c r="Y543" t="s">
        <v>90</v>
      </c>
      <c r="Z543">
        <v>4000</v>
      </c>
      <c r="AA543">
        <v>4000</v>
      </c>
      <c r="AC543">
        <v>256</v>
      </c>
      <c r="AD543" t="s">
        <v>91</v>
      </c>
      <c r="AE543">
        <v>0.15</v>
      </c>
      <c r="AF543" t="s">
        <v>92</v>
      </c>
      <c r="AG543">
        <v>180</v>
      </c>
      <c r="AH543">
        <v>60</v>
      </c>
      <c r="AI543">
        <v>120</v>
      </c>
      <c r="AJ543">
        <v>0.11831329865725219</v>
      </c>
      <c r="AK543">
        <v>13.304979700380761</v>
      </c>
      <c r="AL543">
        <v>0.67147607644667939</v>
      </c>
      <c r="AM543">
        <v>0.35368260678133068</v>
      </c>
      <c r="AN543">
        <v>16.725972756888691</v>
      </c>
      <c r="AO543">
        <v>0.62784618599326769</v>
      </c>
      <c r="AP543">
        <v>16.725972756888691</v>
      </c>
      <c r="AQ543">
        <v>16.725972756888691</v>
      </c>
      <c r="AR543">
        <v>0.62784618599326769</v>
      </c>
      <c r="AS543">
        <v>84.25703494727027</v>
      </c>
      <c r="AT543">
        <v>0.33681297885404238</v>
      </c>
      <c r="AU543">
        <v>0.8</v>
      </c>
      <c r="AV543" t="s">
        <v>93</v>
      </c>
      <c r="AW543">
        <v>9.5477061049234951E-2</v>
      </c>
      <c r="AX543">
        <v>0.30671308890150351</v>
      </c>
      <c r="AY543">
        <v>9.5477061049234951E-2</v>
      </c>
      <c r="AZ543">
        <v>9.5477061049234951E-2</v>
      </c>
      <c r="BA543">
        <v>0.30671308890150351</v>
      </c>
      <c r="BB543">
        <v>0.12586982397238169</v>
      </c>
      <c r="BC543">
        <v>8.6022333497212E-2</v>
      </c>
      <c r="BD543">
        <v>0.12046743510627229</v>
      </c>
      <c r="BE543">
        <v>0.58260606703379558</v>
      </c>
      <c r="BF543">
        <v>0.12046743510627229</v>
      </c>
      <c r="BG543">
        <v>0.12046743510627229</v>
      </c>
      <c r="BH543">
        <v>0.58260606703379558</v>
      </c>
      <c r="BI543">
        <v>0.14115434160174239</v>
      </c>
      <c r="BJ543">
        <v>0.51093035437807899</v>
      </c>
      <c r="BK543">
        <v>4.6893414646987937E-2</v>
      </c>
      <c r="BL543">
        <v>0.81173777266872083</v>
      </c>
      <c r="BM543">
        <v>4.6893414646987937E-2</v>
      </c>
      <c r="BN543">
        <v>4.6893414646987937E-2</v>
      </c>
      <c r="BO543">
        <v>0.81173777266872083</v>
      </c>
      <c r="BP543">
        <v>7.258999689885165E-2</v>
      </c>
      <c r="BQ543">
        <v>0.70857412280540211</v>
      </c>
      <c r="BR543">
        <v>66.641053116752104</v>
      </c>
      <c r="BS543">
        <v>0.81032781536904719</v>
      </c>
      <c r="BT543">
        <v>66.641053116752104</v>
      </c>
      <c r="BU543">
        <v>66.641053116752104</v>
      </c>
      <c r="BV543">
        <v>0.81032781536904719</v>
      </c>
      <c r="BW543">
        <v>336.68852562660749</v>
      </c>
      <c r="BX543">
        <v>4.1725104735476193E-2</v>
      </c>
      <c r="BY543" t="str">
        <f t="shared" si="20"/>
        <v>[[sv,wv],[yr],[ya]]</v>
      </c>
      <c r="BZ543" t="str">
        <f>SUBSTITUTE(TRIM(MID(SUBSTITUTE(SUBSTITUTE(SUBSTITUTE(Tabla1[[#This Row],[map]],"[",""),"]",""),",",REPT(" ",100)),901,200))," ",", ")</f>
        <v>2, 3</v>
      </c>
      <c r="CA543" t="str">
        <f>SUBSTITUTE(TRIM(MID(SUBSTITUTE(SUBSTITUTE(SUBSTITUTE(Tabla1[[#This Row],[map]],"[",""),"]",""),",",REPT(" ",100)),1501,200))," ",", ")</f>
        <v>3, 4</v>
      </c>
      <c r="CB543" t="str">
        <f>SUBSTITUTE(TRIM(MID(SUBSTITUTE(SUBSTITUTE(SUBSTITUTE(Tabla1[[#This Row],[map]],"[",""),"]",""),",",REPT(" ",100)),601,300))," ",", ")</f>
        <v>4, 0, 1</v>
      </c>
      <c r="CC543" t="str">
        <f>SUBSTITUTE(TRIM(MID(SUBSTITUTE(SUBSTITUTE(SUBSTITUTE(Tabla1[[#This Row],[map]],"[",""),"]",""),",",REPT(" ",100)),1201,300))," ",", ")</f>
        <v>2, 0, 1</v>
      </c>
      <c r="CD543" t="str">
        <f>SUBSTITUTE(TRIM(MID(SUBSTITUTE(SUBSTITUTE(SUBSTITUTE(Tabla1[[#This Row],[map]],"[",""),"]",""),",",REPT(" ",100)),1,300))," ",", ")</f>
        <v>4, 2, 3</v>
      </c>
      <c r="CE543" t="str">
        <f>SUBSTITUTE(TRIM(MID(SUBSTITUTE(SUBSTITUTE(SUBSTITUTE(Tabla1[[#This Row],[map]],"[",""),"]",""),",",REPT(" ",100)),1,600))," ",", ")</f>
        <v>4, 2, 3, 0, 1, -1</v>
      </c>
      <c r="CF543" t="str">
        <f>SUBSTITUTE(TRIM(MID(SUBSTITUTE(SUBSTITUTE(SUBSTITUTE(Tabla1[[#This Row],[map]],"[",""),"]",""),",",REPT(" ",100)),601,600))," ",", ")</f>
        <v>4, 0, 1, 2, 3, -1</v>
      </c>
      <c r="CG543" t="str">
        <f>SUBSTITUTE(TRIM(MID(SUBSTITUTE(SUBSTITUTE(SUBSTITUTE(Tabla1[[#This Row],[map]],"[",""),"]",""),",",REPT(" ",100)),1201,600))," ",", ")</f>
        <v>2, 0, 1, 3, 4, -1</v>
      </c>
    </row>
    <row r="544" spans="1:85" x14ac:dyDescent="0.3">
      <c r="A544" s="1">
        <v>46113.360659722217</v>
      </c>
      <c r="B544" t="s">
        <v>799</v>
      </c>
      <c r="C544">
        <v>8</v>
      </c>
      <c r="D544" t="s">
        <v>77</v>
      </c>
      <c r="E544" t="s">
        <v>78</v>
      </c>
      <c r="F544">
        <v>16590</v>
      </c>
      <c r="G544">
        <v>4.5</v>
      </c>
      <c r="H544" t="s">
        <v>79</v>
      </c>
      <c r="I544" t="s">
        <v>80</v>
      </c>
      <c r="J544">
        <v>5</v>
      </c>
      <c r="K544">
        <v>5</v>
      </c>
      <c r="L544" t="s">
        <v>81</v>
      </c>
      <c r="M544" t="s">
        <v>82</v>
      </c>
      <c r="N544" t="s">
        <v>83</v>
      </c>
      <c r="O544" t="s">
        <v>83</v>
      </c>
      <c r="P544" t="s">
        <v>84</v>
      </c>
      <c r="Q544" t="s">
        <v>265</v>
      </c>
      <c r="R544">
        <v>3</v>
      </c>
      <c r="S544" t="s">
        <v>86</v>
      </c>
      <c r="T544" t="s">
        <v>87</v>
      </c>
      <c r="U544" t="s">
        <v>88</v>
      </c>
      <c r="V544">
        <v>1</v>
      </c>
      <c r="W544" t="s">
        <v>266</v>
      </c>
      <c r="X544" t="s">
        <v>83</v>
      </c>
      <c r="Y544" t="s">
        <v>90</v>
      </c>
      <c r="Z544">
        <v>4000</v>
      </c>
      <c r="AA544">
        <v>4000</v>
      </c>
      <c r="AC544">
        <v>256</v>
      </c>
      <c r="AD544" t="s">
        <v>91</v>
      </c>
      <c r="AE544">
        <v>0.15</v>
      </c>
      <c r="AF544" t="s">
        <v>92</v>
      </c>
      <c r="AG544">
        <v>180</v>
      </c>
      <c r="AH544">
        <v>60</v>
      </c>
      <c r="AI544">
        <v>120</v>
      </c>
      <c r="AJ544">
        <v>0.1240213636830782</v>
      </c>
      <c r="AK544">
        <v>34.091281005168703</v>
      </c>
      <c r="AL544">
        <v>0.64296977032988101</v>
      </c>
      <c r="AM544">
        <v>-6.2739086343477996E-2</v>
      </c>
      <c r="AN544">
        <v>39.079088837905779</v>
      </c>
      <c r="AO544">
        <v>0.59394436338373846</v>
      </c>
      <c r="AP544">
        <v>39.079088837905779</v>
      </c>
      <c r="AQ544">
        <v>39.079088837905779</v>
      </c>
      <c r="AR544">
        <v>0.59394436338373846</v>
      </c>
      <c r="AS544">
        <v>101.3489844608294</v>
      </c>
      <c r="AT544">
        <v>-2.4080260948015051E-2</v>
      </c>
      <c r="AU544">
        <v>0.8</v>
      </c>
      <c r="AV544" t="s">
        <v>93</v>
      </c>
      <c r="AW544">
        <v>8.6436678009804216E-2</v>
      </c>
      <c r="AX544">
        <v>0.37235795860818788</v>
      </c>
      <c r="AY544">
        <v>8.6436678009804216E-2</v>
      </c>
      <c r="AZ544">
        <v>8.6436678009804216E-2</v>
      </c>
      <c r="BA544">
        <v>0.37235795860818788</v>
      </c>
      <c r="BB544">
        <v>0.1748352065703464</v>
      </c>
      <c r="BC544">
        <v>-0.2695296543733976</v>
      </c>
      <c r="BD544">
        <v>7.8218967612343412E-2</v>
      </c>
      <c r="BE544">
        <v>0.72898798338761761</v>
      </c>
      <c r="BF544">
        <v>7.8218967612343412E-2</v>
      </c>
      <c r="BG544">
        <v>7.8218967612343412E-2</v>
      </c>
      <c r="BH544">
        <v>0.72898798338761761</v>
      </c>
      <c r="BI544">
        <v>0.1105319208584936</v>
      </c>
      <c r="BJ544">
        <v>0.61703050185523722</v>
      </c>
      <c r="BK544">
        <v>7.0075924860822231E-2</v>
      </c>
      <c r="BL544">
        <v>0.71866732683231582</v>
      </c>
      <c r="BM544">
        <v>7.0075924860822231E-2</v>
      </c>
      <c r="BN544">
        <v>7.0075924860822231E-2</v>
      </c>
      <c r="BO544">
        <v>0.71866732683231582</v>
      </c>
      <c r="BP544">
        <v>0.32174927006711002</v>
      </c>
      <c r="BQ544">
        <v>-0.29172154941244322</v>
      </c>
      <c r="BR544">
        <v>156.08162378113971</v>
      </c>
      <c r="BS544">
        <v>0.55576418470683864</v>
      </c>
      <c r="BT544">
        <v>156.08162378113971</v>
      </c>
      <c r="BU544">
        <v>156.08162378113971</v>
      </c>
      <c r="BV544">
        <v>0.55576418470683864</v>
      </c>
      <c r="BW544">
        <v>404.78882144582138</v>
      </c>
      <c r="BX544">
        <v>-0.15210034186145749</v>
      </c>
      <c r="BY544" t="str">
        <f t="shared" si="20"/>
        <v>[[sv,wv],[yr],[ya]]</v>
      </c>
      <c r="BZ544" t="str">
        <f>SUBSTITUTE(TRIM(MID(SUBSTITUTE(SUBSTITUTE(SUBSTITUTE(Tabla1[[#This Row],[map]],"[",""),"]",""),",",REPT(" ",100)),901,200))," ",", ")</f>
        <v>2, 4</v>
      </c>
      <c r="CA544" t="str">
        <f>SUBSTITUTE(TRIM(MID(SUBSTITUTE(SUBSTITUTE(SUBSTITUTE(Tabla1[[#This Row],[map]],"[",""),"]",""),",",REPT(" ",100)),1501,200))," ",", ")</f>
        <v>3, 2</v>
      </c>
      <c r="CB544" t="str">
        <f>SUBSTITUTE(TRIM(MID(SUBSTITUTE(SUBSTITUTE(SUBSTITUTE(Tabla1[[#This Row],[map]],"[",""),"]",""),",",REPT(" ",100)),601,300))," ",", ")</f>
        <v>0, 1, 3</v>
      </c>
      <c r="CC544" t="str">
        <f>SUBSTITUTE(TRIM(MID(SUBSTITUTE(SUBSTITUTE(SUBSTITUTE(Tabla1[[#This Row],[map]],"[",""),"]",""),",",REPT(" ",100)),1201,300))," ",", ")</f>
        <v>4, 0, 1</v>
      </c>
      <c r="CD544" t="str">
        <f>SUBSTITUTE(TRIM(MID(SUBSTITUTE(SUBSTITUTE(SUBSTITUTE(Tabla1[[#This Row],[map]],"[",""),"]",""),",",REPT(" ",100)),1,300))," ",", ")</f>
        <v>4, 2, 3</v>
      </c>
      <c r="CE544" t="str">
        <f>SUBSTITUTE(TRIM(MID(SUBSTITUTE(SUBSTITUTE(SUBSTITUTE(Tabla1[[#This Row],[map]],"[",""),"]",""),",",REPT(" ",100)),1,600))," ",", ")</f>
        <v>4, 2, 3, 0, 1, -1</v>
      </c>
      <c r="CF544" t="str">
        <f>SUBSTITUTE(TRIM(MID(SUBSTITUTE(SUBSTITUTE(SUBSTITUTE(Tabla1[[#This Row],[map]],"[",""),"]",""),",",REPT(" ",100)),601,600))," ",", ")</f>
        <v>0, 1, 3, 2, 4, -1</v>
      </c>
      <c r="CG544" t="str">
        <f>SUBSTITUTE(TRIM(MID(SUBSTITUTE(SUBSTITUTE(SUBSTITUTE(Tabla1[[#This Row],[map]],"[",""),"]",""),",",REPT(" ",100)),1201,600))," ",", ")</f>
        <v>4, 0, 1, 3, 2, -1</v>
      </c>
    </row>
    <row r="545" spans="1:85" x14ac:dyDescent="0.3">
      <c r="A545" s="1">
        <v>46113.368958333333</v>
      </c>
      <c r="B545" t="s">
        <v>800</v>
      </c>
      <c r="C545">
        <v>6</v>
      </c>
      <c r="D545" t="s">
        <v>96</v>
      </c>
      <c r="E545" t="s">
        <v>78</v>
      </c>
      <c r="F545">
        <v>16590</v>
      </c>
      <c r="G545">
        <v>4.5</v>
      </c>
      <c r="H545" t="s">
        <v>79</v>
      </c>
      <c r="I545" t="s">
        <v>80</v>
      </c>
      <c r="J545">
        <v>5</v>
      </c>
      <c r="K545">
        <v>5</v>
      </c>
      <c r="L545" t="s">
        <v>81</v>
      </c>
      <c r="M545" t="s">
        <v>82</v>
      </c>
      <c r="N545" t="s">
        <v>83</v>
      </c>
      <c r="O545" t="s">
        <v>83</v>
      </c>
      <c r="P545" t="s">
        <v>84</v>
      </c>
      <c r="Q545" t="s">
        <v>303</v>
      </c>
      <c r="R545">
        <v>3</v>
      </c>
      <c r="S545" t="s">
        <v>86</v>
      </c>
      <c r="T545" t="s">
        <v>87</v>
      </c>
      <c r="U545" t="s">
        <v>88</v>
      </c>
      <c r="V545">
        <v>1</v>
      </c>
      <c r="W545" t="s">
        <v>304</v>
      </c>
      <c r="X545" t="s">
        <v>83</v>
      </c>
      <c r="Y545" t="s">
        <v>90</v>
      </c>
      <c r="Z545">
        <v>4000</v>
      </c>
      <c r="AA545">
        <v>4000</v>
      </c>
      <c r="AC545">
        <v>256</v>
      </c>
      <c r="AD545" t="s">
        <v>91</v>
      </c>
      <c r="AE545">
        <v>0.15</v>
      </c>
      <c r="AF545" t="s">
        <v>92</v>
      </c>
      <c r="AG545">
        <v>180</v>
      </c>
      <c r="AH545">
        <v>60</v>
      </c>
      <c r="AI545">
        <v>120</v>
      </c>
      <c r="AJ545">
        <v>0.13154940841786819</v>
      </c>
      <c r="AK545">
        <v>23.821734440770559</v>
      </c>
      <c r="AL545">
        <v>0.62580468457255622</v>
      </c>
      <c r="AM545">
        <v>-3.4813362616476051E-2</v>
      </c>
      <c r="AN545">
        <v>29.687141754656171</v>
      </c>
      <c r="AO545">
        <v>0.5593618811168799</v>
      </c>
      <c r="AP545">
        <v>29.687141754656171</v>
      </c>
      <c r="AQ545">
        <v>29.687141754656171</v>
      </c>
      <c r="AR545">
        <v>0.5593618811168799</v>
      </c>
      <c r="AS545">
        <v>115.2921172655102</v>
      </c>
      <c r="AT545">
        <v>-0.13190245581872481</v>
      </c>
      <c r="AU545">
        <v>0.8</v>
      </c>
      <c r="AV545" t="s">
        <v>93</v>
      </c>
      <c r="AW545">
        <v>8.114040787802021E-2</v>
      </c>
      <c r="AX545">
        <v>0.4108157276226142</v>
      </c>
      <c r="AY545">
        <v>8.114040787802021E-2</v>
      </c>
      <c r="AZ545">
        <v>8.114040787802021E-2</v>
      </c>
      <c r="BA545">
        <v>0.4108157276226142</v>
      </c>
      <c r="BB545">
        <v>0.15729588374424119</v>
      </c>
      <c r="BC545">
        <v>-0.14217149303871429</v>
      </c>
      <c r="BD545">
        <v>9.6418037646484225E-2</v>
      </c>
      <c r="BE545">
        <v>0.66593209271329279</v>
      </c>
      <c r="BF545">
        <v>9.6418037646484225E-2</v>
      </c>
      <c r="BG545">
        <v>9.6418037646484225E-2</v>
      </c>
      <c r="BH545">
        <v>0.66593209271329279</v>
      </c>
      <c r="BI545">
        <v>0.10938424635854931</v>
      </c>
      <c r="BJ545">
        <v>0.62100694887491659</v>
      </c>
      <c r="BK545">
        <v>0.1250863977132991</v>
      </c>
      <c r="BL545">
        <v>0.49781767824697037</v>
      </c>
      <c r="BM545">
        <v>0.1250863977132991</v>
      </c>
      <c r="BN545">
        <v>0.1250863977132991</v>
      </c>
      <c r="BO545">
        <v>0.49781767824697037</v>
      </c>
      <c r="BP545">
        <v>0.42240931518176378</v>
      </c>
      <c r="BQ545">
        <v>-0.69583979158376685</v>
      </c>
      <c r="BR545">
        <v>118.445922175387</v>
      </c>
      <c r="BS545">
        <v>0.66288202588464151</v>
      </c>
      <c r="BT545">
        <v>118.445922175387</v>
      </c>
      <c r="BU545">
        <v>118.445922175387</v>
      </c>
      <c r="BV545">
        <v>0.66288202588464151</v>
      </c>
      <c r="BW545">
        <v>460.47937961675552</v>
      </c>
      <c r="BX545">
        <v>-0.3106054875273343</v>
      </c>
      <c r="BY545" t="str">
        <f t="shared" si="20"/>
        <v>[[sv,wv],[yr],[ya]]</v>
      </c>
      <c r="BZ545" t="str">
        <f>SUBSTITUTE(TRIM(MID(SUBSTITUTE(SUBSTITUTE(SUBSTITUTE(Tabla1[[#This Row],[map]],"[",""),"]",""),",",REPT(" ",100)),901,200))," ",", ")</f>
        <v>2, 4</v>
      </c>
      <c r="CA545" t="str">
        <f>SUBSTITUTE(TRIM(MID(SUBSTITUTE(SUBSTITUTE(SUBSTITUTE(Tabla1[[#This Row],[map]],"[",""),"]",""),",",REPT(" ",100)),1501,200))," ",", ")</f>
        <v>3, 4</v>
      </c>
      <c r="CB545" t="str">
        <f>SUBSTITUTE(TRIM(MID(SUBSTITUTE(SUBSTITUTE(SUBSTITUTE(Tabla1[[#This Row],[map]],"[",""),"]",""),",",REPT(" ",100)),601,300))," ",", ")</f>
        <v>3, 0, 1</v>
      </c>
      <c r="CC545" t="str">
        <f>SUBSTITUTE(TRIM(MID(SUBSTITUTE(SUBSTITUTE(SUBSTITUTE(Tabla1[[#This Row],[map]],"[",""),"]",""),",",REPT(" ",100)),1201,300))," ",", ")</f>
        <v>2, 0, 1</v>
      </c>
      <c r="CD545" t="str">
        <f>SUBSTITUTE(TRIM(MID(SUBSTITUTE(SUBSTITUTE(SUBSTITUTE(Tabla1[[#This Row],[map]],"[",""),"]",""),",",REPT(" ",100)),1,300))," ",", ")</f>
        <v>4, 2, 3</v>
      </c>
      <c r="CE545" t="str">
        <f>SUBSTITUTE(TRIM(MID(SUBSTITUTE(SUBSTITUTE(SUBSTITUTE(Tabla1[[#This Row],[map]],"[",""),"]",""),",",REPT(" ",100)),1,600))," ",", ")</f>
        <v>4, 2, 3, 0, 1, -1</v>
      </c>
      <c r="CF545" t="str">
        <f>SUBSTITUTE(TRIM(MID(SUBSTITUTE(SUBSTITUTE(SUBSTITUTE(Tabla1[[#This Row],[map]],"[",""),"]",""),",",REPT(" ",100)),601,600))," ",", ")</f>
        <v>3, 0, 1, 2, 4, -1</v>
      </c>
      <c r="CG545" t="str">
        <f>SUBSTITUTE(TRIM(MID(SUBSTITUTE(SUBSTITUTE(SUBSTITUTE(Tabla1[[#This Row],[map]],"[",""),"]",""),",",REPT(" ",100)),1201,600))," ",", ")</f>
        <v>2, 0, 1, 3, 4, -1</v>
      </c>
    </row>
    <row r="546" spans="1:85" x14ac:dyDescent="0.3">
      <c r="A546" s="1">
        <v>46113.375462962962</v>
      </c>
      <c r="B546" t="s">
        <v>801</v>
      </c>
      <c r="C546">
        <v>9</v>
      </c>
      <c r="D546" t="s">
        <v>77</v>
      </c>
      <c r="E546" t="s">
        <v>78</v>
      </c>
      <c r="F546">
        <v>16590</v>
      </c>
      <c r="G546">
        <v>4.5</v>
      </c>
      <c r="H546" t="s">
        <v>79</v>
      </c>
      <c r="I546" t="s">
        <v>80</v>
      </c>
      <c r="J546">
        <v>5</v>
      </c>
      <c r="K546">
        <v>5</v>
      </c>
      <c r="L546" t="s">
        <v>81</v>
      </c>
      <c r="M546" t="s">
        <v>82</v>
      </c>
      <c r="N546" t="s">
        <v>83</v>
      </c>
      <c r="O546" t="s">
        <v>83</v>
      </c>
      <c r="P546" t="s">
        <v>84</v>
      </c>
      <c r="Q546" t="s">
        <v>237</v>
      </c>
      <c r="R546">
        <v>3</v>
      </c>
      <c r="S546" t="s">
        <v>86</v>
      </c>
      <c r="T546" t="s">
        <v>87</v>
      </c>
      <c r="U546" t="s">
        <v>88</v>
      </c>
      <c r="V546">
        <v>1</v>
      </c>
      <c r="W546" t="s">
        <v>238</v>
      </c>
      <c r="X546" t="s">
        <v>83</v>
      </c>
      <c r="Y546" t="s">
        <v>90</v>
      </c>
      <c r="Z546">
        <v>4000</v>
      </c>
      <c r="AA546">
        <v>4000</v>
      </c>
      <c r="AC546">
        <v>256</v>
      </c>
      <c r="AD546" t="s">
        <v>91</v>
      </c>
      <c r="AE546">
        <v>0.15</v>
      </c>
      <c r="AF546" t="s">
        <v>92</v>
      </c>
      <c r="AG546">
        <v>180</v>
      </c>
      <c r="AH546">
        <v>60</v>
      </c>
      <c r="AI546">
        <v>120</v>
      </c>
      <c r="AJ546">
        <v>0.1106358932883479</v>
      </c>
      <c r="AK546">
        <v>18.523688194077032</v>
      </c>
      <c r="AL546">
        <v>0.76850371191902456</v>
      </c>
      <c r="AM546">
        <v>0.47871021373267503</v>
      </c>
      <c r="AN546">
        <v>20.20800709478895</v>
      </c>
      <c r="AO546">
        <v>0.70669296642205448</v>
      </c>
      <c r="AP546">
        <v>20.20800709478895</v>
      </c>
      <c r="AQ546">
        <v>20.20800709478895</v>
      </c>
      <c r="AR546">
        <v>0.70669296642205448</v>
      </c>
      <c r="AS546">
        <v>75.926211151827729</v>
      </c>
      <c r="AT546">
        <v>0.44481086523178698</v>
      </c>
      <c r="AU546">
        <v>0.8</v>
      </c>
      <c r="AV546" t="s">
        <v>93</v>
      </c>
      <c r="AW546">
        <v>7.3081803993185895E-2</v>
      </c>
      <c r="AX546">
        <v>0.46933161126719042</v>
      </c>
      <c r="AY546">
        <v>7.3081803993185895E-2</v>
      </c>
      <c r="AZ546">
        <v>7.3081803993185895E-2</v>
      </c>
      <c r="BA546">
        <v>0.46933161126719042</v>
      </c>
      <c r="BB546">
        <v>7.3568856177265607E-2</v>
      </c>
      <c r="BC546">
        <v>0.46579498267249292</v>
      </c>
      <c r="BD546">
        <v>7.5801234516100963E-2</v>
      </c>
      <c r="BE546">
        <v>0.73736491218180134</v>
      </c>
      <c r="BF546">
        <v>7.5801234516100963E-2</v>
      </c>
      <c r="BG546">
        <v>7.5801234516100963E-2</v>
      </c>
      <c r="BH546">
        <v>0.73736491218180134</v>
      </c>
      <c r="BI546">
        <v>0.1371380635746024</v>
      </c>
      <c r="BJ546">
        <v>0.52484589993738195</v>
      </c>
      <c r="BK546">
        <v>3.7460690396475149E-2</v>
      </c>
      <c r="BL546">
        <v>0.84960717694588128</v>
      </c>
      <c r="BM546">
        <v>3.7460690396475149E-2</v>
      </c>
      <c r="BN546">
        <v>3.7460690396475149E-2</v>
      </c>
      <c r="BO546">
        <v>0.84960717694588128</v>
      </c>
      <c r="BP546">
        <v>8.6643490444772694E-2</v>
      </c>
      <c r="BQ546">
        <v>0.65215379136530749</v>
      </c>
      <c r="BR546">
        <v>80.645684650250075</v>
      </c>
      <c r="BS546">
        <v>0.77046816529334383</v>
      </c>
      <c r="BT546">
        <v>80.645684650250075</v>
      </c>
      <c r="BU546">
        <v>80.645684650250075</v>
      </c>
      <c r="BV546">
        <v>0.77046816529334383</v>
      </c>
      <c r="BW546">
        <v>303.40749419711341</v>
      </c>
      <c r="BX546">
        <v>0.13644878695196741</v>
      </c>
      <c r="BY546" t="str">
        <f t="shared" si="20"/>
        <v>[[sv,wv],[yr],[ya]]</v>
      </c>
      <c r="BZ546" t="str">
        <f>SUBSTITUTE(TRIM(MID(SUBSTITUTE(SUBSTITUTE(SUBSTITUTE(Tabla1[[#This Row],[map]],"[",""),"]",""),",",REPT(" ",100)),901,200))," ",", ")</f>
        <v>2, 3</v>
      </c>
      <c r="CA546" t="str">
        <f>SUBSTITUTE(TRIM(MID(SUBSTITUTE(SUBSTITUTE(SUBSTITUTE(Tabla1[[#This Row],[map]],"[",""),"]",""),",",REPT(" ",100)),1501,200))," ",", ")</f>
        <v>3, 4</v>
      </c>
      <c r="CB546" t="str">
        <f>SUBSTITUTE(TRIM(MID(SUBSTITUTE(SUBSTITUTE(SUBSTITUTE(Tabla1[[#This Row],[map]],"[",""),"]",""),",",REPT(" ",100)),601,300))," ",", ")</f>
        <v>4, 0, 1</v>
      </c>
      <c r="CC546" t="str">
        <f>SUBSTITUTE(TRIM(MID(SUBSTITUTE(SUBSTITUTE(SUBSTITUTE(Tabla1[[#This Row],[map]],"[",""),"]",""),",",REPT(" ",100)),1201,300))," ",", ")</f>
        <v>0, 1, 2</v>
      </c>
      <c r="CD546" t="str">
        <f>SUBSTITUTE(TRIM(MID(SUBSTITUTE(SUBSTITUTE(SUBSTITUTE(Tabla1[[#This Row],[map]],"[",""),"]",""),",",REPT(" ",100)),1,300))," ",", ")</f>
        <v>4, 2, 3</v>
      </c>
      <c r="CE546" t="str">
        <f>SUBSTITUTE(TRIM(MID(SUBSTITUTE(SUBSTITUTE(SUBSTITUTE(Tabla1[[#This Row],[map]],"[",""),"]",""),",",REPT(" ",100)),1,600))," ",", ")</f>
        <v>4, 2, 3, 0, 1, -1</v>
      </c>
      <c r="CF546" t="str">
        <f>SUBSTITUTE(TRIM(MID(SUBSTITUTE(SUBSTITUTE(SUBSTITUTE(Tabla1[[#This Row],[map]],"[",""),"]",""),",",REPT(" ",100)),601,600))," ",", ")</f>
        <v>4, 0, 1, 2, 3, -1</v>
      </c>
      <c r="CG546" t="str">
        <f>SUBSTITUTE(TRIM(MID(SUBSTITUTE(SUBSTITUTE(SUBSTITUTE(Tabla1[[#This Row],[map]],"[",""),"]",""),",",REPT(" ",100)),1201,600))," ",", ")</f>
        <v>0, 1, 2, 3, 4, -1</v>
      </c>
    </row>
    <row r="547" spans="1:85" x14ac:dyDescent="0.3">
      <c r="A547" s="1">
        <v>46113.376550925917</v>
      </c>
      <c r="B547" t="s">
        <v>802</v>
      </c>
      <c r="C547">
        <v>7</v>
      </c>
      <c r="D547" t="s">
        <v>77</v>
      </c>
      <c r="E547" t="s">
        <v>78</v>
      </c>
      <c r="F547">
        <v>16590</v>
      </c>
      <c r="G547">
        <v>4.5</v>
      </c>
      <c r="H547" t="s">
        <v>79</v>
      </c>
      <c r="I547" t="s">
        <v>80</v>
      </c>
      <c r="J547">
        <v>5</v>
      </c>
      <c r="K547">
        <v>5</v>
      </c>
      <c r="L547" t="s">
        <v>81</v>
      </c>
      <c r="M547" t="s">
        <v>82</v>
      </c>
      <c r="N547" t="s">
        <v>83</v>
      </c>
      <c r="O547" t="s">
        <v>83</v>
      </c>
      <c r="P547" t="s">
        <v>84</v>
      </c>
      <c r="Q547" t="s">
        <v>265</v>
      </c>
      <c r="R547">
        <v>3</v>
      </c>
      <c r="S547" t="s">
        <v>86</v>
      </c>
      <c r="T547" t="s">
        <v>87</v>
      </c>
      <c r="U547" t="s">
        <v>88</v>
      </c>
      <c r="V547">
        <v>1</v>
      </c>
      <c r="W547" t="s">
        <v>266</v>
      </c>
      <c r="X547" t="s">
        <v>83</v>
      </c>
      <c r="Y547" t="s">
        <v>90</v>
      </c>
      <c r="Z547">
        <v>4000</v>
      </c>
      <c r="AA547">
        <v>4000</v>
      </c>
      <c r="AC547">
        <v>256</v>
      </c>
      <c r="AD547" t="s">
        <v>91</v>
      </c>
      <c r="AE547">
        <v>0.15</v>
      </c>
      <c r="AF547" t="s">
        <v>92</v>
      </c>
      <c r="AG547">
        <v>180</v>
      </c>
      <c r="AH547">
        <v>60</v>
      </c>
      <c r="AI547">
        <v>120</v>
      </c>
      <c r="AJ547">
        <v>0.13251151279918469</v>
      </c>
      <c r="AK547">
        <v>30.166313480822271</v>
      </c>
      <c r="AL547">
        <v>0.55872654220748352</v>
      </c>
      <c r="AM547">
        <v>0.21204093576420999</v>
      </c>
      <c r="AN547">
        <v>36.46201200450983</v>
      </c>
      <c r="AO547">
        <v>0.5068912210554366</v>
      </c>
      <c r="AP547">
        <v>36.46201200450983</v>
      </c>
      <c r="AQ547">
        <v>36.46201200450983</v>
      </c>
      <c r="AR547">
        <v>0.5068912210554366</v>
      </c>
      <c r="AS547">
        <v>104.223232061277</v>
      </c>
      <c r="AT547">
        <v>0.2076478380969273</v>
      </c>
      <c r="AU547">
        <v>0.8</v>
      </c>
      <c r="AV547" t="s">
        <v>93</v>
      </c>
      <c r="AW547">
        <v>0.1188725707389018</v>
      </c>
      <c r="AX547">
        <v>0.13683143913057111</v>
      </c>
      <c r="AY547">
        <v>0.1188725707389018</v>
      </c>
      <c r="AZ547">
        <v>0.1188725707389018</v>
      </c>
      <c r="BA547">
        <v>0.13683143913057111</v>
      </c>
      <c r="BB547">
        <v>0.12931081120706159</v>
      </c>
      <c r="BC547">
        <v>6.1036317119619883E-2</v>
      </c>
      <c r="BD547">
        <v>0.1321147820445385</v>
      </c>
      <c r="BE547">
        <v>0.54225049755648302</v>
      </c>
      <c r="BF547">
        <v>0.1321147820445385</v>
      </c>
      <c r="BG547">
        <v>0.1321147820445385</v>
      </c>
      <c r="BH547">
        <v>0.54225049755648302</v>
      </c>
      <c r="BI547">
        <v>0.14755865310596161</v>
      </c>
      <c r="BJ547">
        <v>0.48874078286168843</v>
      </c>
      <c r="BK547">
        <v>5.9105621981326732E-2</v>
      </c>
      <c r="BL547">
        <v>0.7627096229657927</v>
      </c>
      <c r="BM547">
        <v>5.9105621981326732E-2</v>
      </c>
      <c r="BN547">
        <v>5.9105621981326732E-2</v>
      </c>
      <c r="BO547">
        <v>0.7627096229657927</v>
      </c>
      <c r="BP547">
        <v>0.13296226491602789</v>
      </c>
      <c r="BQ547">
        <v>0.46619856257981279</v>
      </c>
      <c r="BR547">
        <v>145.53795504327451</v>
      </c>
      <c r="BS547">
        <v>0.5857733245689043</v>
      </c>
      <c r="BT547">
        <v>145.53795504327451</v>
      </c>
      <c r="BU547">
        <v>145.53795504327451</v>
      </c>
      <c r="BV547">
        <v>0.5857733245689043</v>
      </c>
      <c r="BW547">
        <v>416.48309651587812</v>
      </c>
      <c r="BX547">
        <v>-0.1853843101734072</v>
      </c>
      <c r="BY547" t="str">
        <f t="shared" si="20"/>
        <v>[[sv,wv],[yr],[ya]]</v>
      </c>
      <c r="BZ547" t="str">
        <f>SUBSTITUTE(TRIM(MID(SUBSTITUTE(SUBSTITUTE(SUBSTITUTE(Tabla1[[#This Row],[map]],"[",""),"]",""),",",REPT(" ",100)),901,200))," ",", ")</f>
        <v>2, 4</v>
      </c>
      <c r="CA547" t="str">
        <f>SUBSTITUTE(TRIM(MID(SUBSTITUTE(SUBSTITUTE(SUBSTITUTE(Tabla1[[#This Row],[map]],"[",""),"]",""),",",REPT(" ",100)),1501,200))," ",", ")</f>
        <v>3, 2</v>
      </c>
      <c r="CB547" t="str">
        <f>SUBSTITUTE(TRIM(MID(SUBSTITUTE(SUBSTITUTE(SUBSTITUTE(Tabla1[[#This Row],[map]],"[",""),"]",""),",",REPT(" ",100)),601,300))," ",", ")</f>
        <v>0, 1, 3</v>
      </c>
      <c r="CC547" t="str">
        <f>SUBSTITUTE(TRIM(MID(SUBSTITUTE(SUBSTITUTE(SUBSTITUTE(Tabla1[[#This Row],[map]],"[",""),"]",""),",",REPT(" ",100)),1201,300))," ",", ")</f>
        <v>4, 0, 1</v>
      </c>
      <c r="CD547" t="str">
        <f>SUBSTITUTE(TRIM(MID(SUBSTITUTE(SUBSTITUTE(SUBSTITUTE(Tabla1[[#This Row],[map]],"[",""),"]",""),",",REPT(" ",100)),1,300))," ",", ")</f>
        <v>4, 2, 3</v>
      </c>
      <c r="CE547" t="str">
        <f>SUBSTITUTE(TRIM(MID(SUBSTITUTE(SUBSTITUTE(SUBSTITUTE(Tabla1[[#This Row],[map]],"[",""),"]",""),",",REPT(" ",100)),1,600))," ",", ")</f>
        <v>4, 2, 3, 0, 1, -1</v>
      </c>
      <c r="CF547" t="str">
        <f>SUBSTITUTE(TRIM(MID(SUBSTITUTE(SUBSTITUTE(SUBSTITUTE(Tabla1[[#This Row],[map]],"[",""),"]",""),",",REPT(" ",100)),601,600))," ",", ")</f>
        <v>0, 1, 3, 2, 4, -1</v>
      </c>
      <c r="CG547" t="str">
        <f>SUBSTITUTE(TRIM(MID(SUBSTITUTE(SUBSTITUTE(SUBSTITUTE(Tabla1[[#This Row],[map]],"[",""),"]",""),",",REPT(" ",100)),1201,600))," ",", ")</f>
        <v>4, 0, 1, 3, 2, -1</v>
      </c>
    </row>
    <row r="548" spans="1:85" x14ac:dyDescent="0.3">
      <c r="A548" s="1">
        <v>46113.48128472222</v>
      </c>
      <c r="B548" t="s">
        <v>803</v>
      </c>
      <c r="C548">
        <v>8</v>
      </c>
      <c r="D548" t="s">
        <v>96</v>
      </c>
      <c r="E548" t="s">
        <v>78</v>
      </c>
      <c r="F548">
        <v>16590</v>
      </c>
      <c r="G548">
        <v>4.5</v>
      </c>
      <c r="H548" t="s">
        <v>79</v>
      </c>
      <c r="I548" t="s">
        <v>80</v>
      </c>
      <c r="J548">
        <v>5</v>
      </c>
      <c r="K548">
        <v>5</v>
      </c>
      <c r="L548" t="s">
        <v>81</v>
      </c>
      <c r="M548" t="s">
        <v>82</v>
      </c>
      <c r="N548" t="s">
        <v>83</v>
      </c>
      <c r="O548" t="s">
        <v>83</v>
      </c>
      <c r="P548" t="s">
        <v>84</v>
      </c>
      <c r="Q548" t="s">
        <v>279</v>
      </c>
      <c r="R548">
        <v>3</v>
      </c>
      <c r="S548" t="s">
        <v>86</v>
      </c>
      <c r="T548" t="s">
        <v>87</v>
      </c>
      <c r="U548" t="s">
        <v>88</v>
      </c>
      <c r="V548">
        <v>1</v>
      </c>
      <c r="W548" t="s">
        <v>280</v>
      </c>
      <c r="X548" t="s">
        <v>83</v>
      </c>
      <c r="Y548" t="s">
        <v>90</v>
      </c>
      <c r="Z548">
        <v>4000</v>
      </c>
      <c r="AA548">
        <v>4000</v>
      </c>
      <c r="AC548">
        <v>256</v>
      </c>
      <c r="AD548" t="s">
        <v>91</v>
      </c>
      <c r="AE548">
        <v>0.15</v>
      </c>
      <c r="AF548" t="s">
        <v>92</v>
      </c>
      <c r="AG548">
        <v>180</v>
      </c>
      <c r="AH548">
        <v>60</v>
      </c>
      <c r="AI548">
        <v>120</v>
      </c>
      <c r="AJ548">
        <v>0.13187822815140171</v>
      </c>
      <c r="AK548">
        <v>12.0594006788307</v>
      </c>
      <c r="AL548">
        <v>0.60780649650412444</v>
      </c>
      <c r="AM548">
        <v>-0.2103652477690979</v>
      </c>
      <c r="AN548">
        <v>15.850753816883151</v>
      </c>
      <c r="AO548">
        <v>0.57156306690905834</v>
      </c>
      <c r="AP548">
        <v>15.850753816883151</v>
      </c>
      <c r="AQ548">
        <v>15.850753816883151</v>
      </c>
      <c r="AR548">
        <v>0.57156306690905834</v>
      </c>
      <c r="AS548">
        <v>170.28470457748509</v>
      </c>
      <c r="AT548">
        <v>-0.176051445219187</v>
      </c>
      <c r="AU548">
        <v>0.8</v>
      </c>
      <c r="AV548" t="s">
        <v>93</v>
      </c>
      <c r="AW548">
        <v>0.1210478360608146</v>
      </c>
      <c r="AX548">
        <v>0.1210362003656187</v>
      </c>
      <c r="AY548">
        <v>0.1210478360608146</v>
      </c>
      <c r="AZ548">
        <v>0.1210478360608146</v>
      </c>
      <c r="BA548">
        <v>0.1210362003656187</v>
      </c>
      <c r="BB548">
        <v>0.15280662579431589</v>
      </c>
      <c r="BC548">
        <v>-0.1095736758978714</v>
      </c>
      <c r="BD548">
        <v>8.5004431315330573E-2</v>
      </c>
      <c r="BE548">
        <v>0.7054778009097491</v>
      </c>
      <c r="BF548">
        <v>8.5004431315330573E-2</v>
      </c>
      <c r="BG548">
        <v>8.5004431315330573E-2</v>
      </c>
      <c r="BH548">
        <v>0.7054778009097491</v>
      </c>
      <c r="BI548">
        <v>0.1185896255090127</v>
      </c>
      <c r="BJ548">
        <v>0.5891122762219505</v>
      </c>
      <c r="BK548">
        <v>8.9832161607551295E-2</v>
      </c>
      <c r="BL548">
        <v>0.63935228522951404</v>
      </c>
      <c r="BM548">
        <v>8.9832161607551295E-2</v>
      </c>
      <c r="BN548">
        <v>8.9832161607551295E-2</v>
      </c>
      <c r="BO548">
        <v>0.63935228522951404</v>
      </c>
      <c r="BP548">
        <v>0.3105498834847864</v>
      </c>
      <c r="BQ548">
        <v>-0.24675955467172289</v>
      </c>
      <c r="BR548">
        <v>63.107130838548713</v>
      </c>
      <c r="BS548">
        <v>0.82038598113135164</v>
      </c>
      <c r="BT548">
        <v>63.107130838548713</v>
      </c>
      <c r="BU548">
        <v>63.107130838548713</v>
      </c>
      <c r="BV548">
        <v>0.82038598113135164</v>
      </c>
      <c r="BW548">
        <v>680.55687217515128</v>
      </c>
      <c r="BX548">
        <v>-0.93698482652910697</v>
      </c>
      <c r="BY548" s="5" t="str">
        <f t="shared" ref="BY548:BY561" si="21">_xlfn.LET(_xlpm.TextoConfig, Q548,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548" t="str">
        <f>SUBSTITUTE(TRIM(MID(SUBSTITUTE(SUBSTITUTE(SUBSTITUTE(Tabla1[[#This Row],[map]],"[",""),"]",""),",",REPT(" ",100)),901,200))," ",", ")</f>
        <v>2, 4</v>
      </c>
      <c r="CA548" s="5" t="str">
        <f>SUBSTITUTE(TRIM(MID(SUBSTITUTE(SUBSTITUTE(SUBSTITUTE(Tabla1[[#This Row],[map]],"[",""),"]",""),",",REPT(" ",100)),1501,200))," ",", ")</f>
        <v>3, 4</v>
      </c>
      <c r="CB548" s="5" t="str">
        <f>SUBSTITUTE(TRIM(MID(SUBSTITUTE(SUBSTITUTE(SUBSTITUTE(Tabla1[[#This Row],[map]],"[",""),"]",""),",",REPT(" ",100)),601,300))," ",", ")</f>
        <v>0, 1, 3</v>
      </c>
      <c r="CC548" s="5" t="str">
        <f>SUBSTITUTE(TRIM(MID(SUBSTITUTE(SUBSTITUTE(SUBSTITUTE(Tabla1[[#This Row],[map]],"[",""),"]",""),",",REPT(" ",100)),1201,300))," ",", ")</f>
        <v>2, 0, 1</v>
      </c>
      <c r="CD548" s="5" t="str">
        <f>SUBSTITUTE(TRIM(MID(SUBSTITUTE(SUBSTITUTE(SUBSTITUTE(Tabla1[[#This Row],[map]],"[",""),"]",""),",",REPT(" ",100)),1,300))," ",", ")</f>
        <v>4, 2, 3</v>
      </c>
      <c r="CE548" s="5" t="str">
        <f>SUBSTITUTE(TRIM(MID(SUBSTITUTE(SUBSTITUTE(SUBSTITUTE(Tabla1[[#This Row],[map]],"[",""),"]",""),",",REPT(" ",100)),1,600))," ",", ")</f>
        <v>4, 2, 3, 0, 1, -1</v>
      </c>
      <c r="CF548" s="5" t="str">
        <f>SUBSTITUTE(TRIM(MID(SUBSTITUTE(SUBSTITUTE(SUBSTITUTE(Tabla1[[#This Row],[map]],"[",""),"]",""),",",REPT(" ",100)),601,600))," ",", ")</f>
        <v>0, 1, 3, 2, 4, -1</v>
      </c>
      <c r="CG548" s="5" t="str">
        <f>SUBSTITUTE(TRIM(MID(SUBSTITUTE(SUBSTITUTE(SUBSTITUTE(Tabla1[[#This Row],[map]],"[",""),"]",""),",",REPT(" ",100)),1201,600))," ",", ")</f>
        <v>2, 0, 1, 3, 4, -1</v>
      </c>
    </row>
    <row r="549" spans="1:85" x14ac:dyDescent="0.3">
      <c r="A549" s="1">
        <v>46113.495393518519</v>
      </c>
      <c r="B549" t="s">
        <v>804</v>
      </c>
      <c r="C549">
        <v>7</v>
      </c>
      <c r="D549" t="s">
        <v>96</v>
      </c>
      <c r="E549" t="s">
        <v>78</v>
      </c>
      <c r="F549">
        <v>16590</v>
      </c>
      <c r="G549">
        <v>4.5</v>
      </c>
      <c r="H549" t="s">
        <v>79</v>
      </c>
      <c r="I549" t="s">
        <v>80</v>
      </c>
      <c r="J549">
        <v>5</v>
      </c>
      <c r="K549">
        <v>5</v>
      </c>
      <c r="L549" t="s">
        <v>81</v>
      </c>
      <c r="M549" t="s">
        <v>82</v>
      </c>
      <c r="N549" t="s">
        <v>83</v>
      </c>
      <c r="O549" t="s">
        <v>83</v>
      </c>
      <c r="P549" t="s">
        <v>84</v>
      </c>
      <c r="Q549" t="s">
        <v>279</v>
      </c>
      <c r="R549">
        <v>3</v>
      </c>
      <c r="S549" t="s">
        <v>86</v>
      </c>
      <c r="T549" t="s">
        <v>87</v>
      </c>
      <c r="U549" t="s">
        <v>88</v>
      </c>
      <c r="V549">
        <v>1</v>
      </c>
      <c r="W549" t="s">
        <v>280</v>
      </c>
      <c r="X549" t="s">
        <v>83</v>
      </c>
      <c r="Y549" t="s">
        <v>90</v>
      </c>
      <c r="Z549">
        <v>4000</v>
      </c>
      <c r="AA549">
        <v>4000</v>
      </c>
      <c r="AC549">
        <v>256</v>
      </c>
      <c r="AD549" t="s">
        <v>91</v>
      </c>
      <c r="AE549">
        <v>0.15</v>
      </c>
      <c r="AF549" t="s">
        <v>92</v>
      </c>
      <c r="AG549">
        <v>180</v>
      </c>
      <c r="AH549">
        <v>60</v>
      </c>
      <c r="AI549">
        <v>120</v>
      </c>
      <c r="AJ549">
        <v>0.1148561142096115</v>
      </c>
      <c r="AK549">
        <v>12.255091425326141</v>
      </c>
      <c r="AL549">
        <v>0.71767914159000201</v>
      </c>
      <c r="AM549">
        <v>0.2103659874694469</v>
      </c>
      <c r="AN549">
        <v>15.288534435230821</v>
      </c>
      <c r="AO549">
        <v>0.67396478985539321</v>
      </c>
      <c r="AP549">
        <v>15.288534435230821</v>
      </c>
      <c r="AQ549">
        <v>15.288534435230821</v>
      </c>
      <c r="AR549">
        <v>0.67396478985539321</v>
      </c>
      <c r="AS549">
        <v>120.78194420891781</v>
      </c>
      <c r="AT549">
        <v>0.104141121368936</v>
      </c>
      <c r="AU549">
        <v>0.8</v>
      </c>
      <c r="AV549" t="s">
        <v>93</v>
      </c>
      <c r="AW549">
        <v>8.2572474230447321E-2</v>
      </c>
      <c r="AX549">
        <v>0.40041707430157919</v>
      </c>
      <c r="AY549">
        <v>8.2572474230447321E-2</v>
      </c>
      <c r="AZ549">
        <v>8.2572474230447321E-2</v>
      </c>
      <c r="BA549">
        <v>0.40041707430157919</v>
      </c>
      <c r="BB549">
        <v>9.2670394734719927E-2</v>
      </c>
      <c r="BC549">
        <v>0.32709311524805101</v>
      </c>
      <c r="BD549">
        <v>8.7787615274808092E-2</v>
      </c>
      <c r="BE549">
        <v>0.69583466292818608</v>
      </c>
      <c r="BF549">
        <v>8.7787615274808092E-2</v>
      </c>
      <c r="BG549">
        <v>8.7787615274808092E-2</v>
      </c>
      <c r="BH549">
        <v>0.69583466292818608</v>
      </c>
      <c r="BI549">
        <v>0.13124250419838759</v>
      </c>
      <c r="BJ549">
        <v>0.54527275399053954</v>
      </c>
      <c r="BK549">
        <v>5.6538181115420187E-2</v>
      </c>
      <c r="BL549">
        <v>0.77301708595597107</v>
      </c>
      <c r="BM549">
        <v>5.6538181115420187E-2</v>
      </c>
      <c r="BN549">
        <v>5.6538181115420187E-2</v>
      </c>
      <c r="BO549">
        <v>0.77301708595597107</v>
      </c>
      <c r="BP549">
        <v>0.2695452781925014</v>
      </c>
      <c r="BQ549">
        <v>-8.2139034257959764E-2</v>
      </c>
      <c r="BR549">
        <v>60.927239470302787</v>
      </c>
      <c r="BS549">
        <v>0.82659033623583944</v>
      </c>
      <c r="BT549">
        <v>60.927239470302787</v>
      </c>
      <c r="BU549">
        <v>60.927239470302787</v>
      </c>
      <c r="BV549">
        <v>0.82659033623583944</v>
      </c>
      <c r="BW549">
        <v>482.63431865854528</v>
      </c>
      <c r="BX549">
        <v>-0.3736623495048883</v>
      </c>
      <c r="BY549" s="5" t="str">
        <f t="shared" si="21"/>
        <v>[[sv,wv],[yr],[ya]]</v>
      </c>
      <c r="BZ549" t="str">
        <f>SUBSTITUTE(TRIM(MID(SUBSTITUTE(SUBSTITUTE(SUBSTITUTE(Tabla1[[#This Row],[map]],"[",""),"]",""),",",REPT(" ",100)),901,200))," ",", ")</f>
        <v>2, 4</v>
      </c>
      <c r="CA549" s="5" t="str">
        <f>SUBSTITUTE(TRIM(MID(SUBSTITUTE(SUBSTITUTE(SUBSTITUTE(Tabla1[[#This Row],[map]],"[",""),"]",""),",",REPT(" ",100)),1501,200))," ",", ")</f>
        <v>3, 4</v>
      </c>
      <c r="CB549" s="5" t="str">
        <f>SUBSTITUTE(TRIM(MID(SUBSTITUTE(SUBSTITUTE(SUBSTITUTE(Tabla1[[#This Row],[map]],"[",""),"]",""),",",REPT(" ",100)),601,300))," ",", ")</f>
        <v>0, 1, 3</v>
      </c>
      <c r="CC549" s="5" t="str">
        <f>SUBSTITUTE(TRIM(MID(SUBSTITUTE(SUBSTITUTE(SUBSTITUTE(Tabla1[[#This Row],[map]],"[",""),"]",""),",",REPT(" ",100)),1201,300))," ",", ")</f>
        <v>2, 0, 1</v>
      </c>
      <c r="CD549" s="5" t="str">
        <f>SUBSTITUTE(TRIM(MID(SUBSTITUTE(SUBSTITUTE(SUBSTITUTE(Tabla1[[#This Row],[map]],"[",""),"]",""),",",REPT(" ",100)),1,300))," ",", ")</f>
        <v>4, 2, 3</v>
      </c>
      <c r="CE549" s="5" t="str">
        <f>SUBSTITUTE(TRIM(MID(SUBSTITUTE(SUBSTITUTE(SUBSTITUTE(Tabla1[[#This Row],[map]],"[",""),"]",""),",",REPT(" ",100)),1,600))," ",", ")</f>
        <v>4, 2, 3, 0, 1, -1</v>
      </c>
      <c r="CF549" s="5" t="str">
        <f>SUBSTITUTE(TRIM(MID(SUBSTITUTE(SUBSTITUTE(SUBSTITUTE(Tabla1[[#This Row],[map]],"[",""),"]",""),",",REPT(" ",100)),601,600))," ",", ")</f>
        <v>0, 1, 3, 2, 4, -1</v>
      </c>
      <c r="CG549" s="5" t="str">
        <f>SUBSTITUTE(TRIM(MID(SUBSTITUTE(SUBSTITUTE(SUBSTITUTE(Tabla1[[#This Row],[map]],"[",""),"]",""),",",REPT(" ",100)),1201,600))," ",", ")</f>
        <v>2, 0, 1, 3, 4, -1</v>
      </c>
    </row>
    <row r="550" spans="1:85" x14ac:dyDescent="0.3">
      <c r="A550" s="1">
        <v>46113.49496527778</v>
      </c>
      <c r="B550" t="s">
        <v>805</v>
      </c>
      <c r="C550">
        <v>9</v>
      </c>
      <c r="D550" t="s">
        <v>96</v>
      </c>
      <c r="E550" t="s">
        <v>78</v>
      </c>
      <c r="F550">
        <v>16590</v>
      </c>
      <c r="G550">
        <v>4.5</v>
      </c>
      <c r="H550" t="s">
        <v>79</v>
      </c>
      <c r="I550" t="s">
        <v>80</v>
      </c>
      <c r="J550">
        <v>5</v>
      </c>
      <c r="K550">
        <v>5</v>
      </c>
      <c r="L550" t="s">
        <v>81</v>
      </c>
      <c r="M550" t="s">
        <v>82</v>
      </c>
      <c r="N550" t="s">
        <v>83</v>
      </c>
      <c r="O550" t="s">
        <v>83</v>
      </c>
      <c r="P550" t="s">
        <v>84</v>
      </c>
      <c r="Q550" t="s">
        <v>243</v>
      </c>
      <c r="R550">
        <v>3</v>
      </c>
      <c r="S550" t="s">
        <v>86</v>
      </c>
      <c r="T550" t="s">
        <v>87</v>
      </c>
      <c r="U550" t="s">
        <v>88</v>
      </c>
      <c r="V550">
        <v>1</v>
      </c>
      <c r="W550" t="s">
        <v>244</v>
      </c>
      <c r="X550" t="s">
        <v>83</v>
      </c>
      <c r="Y550" t="s">
        <v>90</v>
      </c>
      <c r="Z550">
        <v>4000</v>
      </c>
      <c r="AA550">
        <v>4000</v>
      </c>
      <c r="AC550">
        <v>256</v>
      </c>
      <c r="AD550" t="s">
        <v>91</v>
      </c>
      <c r="AE550">
        <v>0.15</v>
      </c>
      <c r="AF550" t="s">
        <v>92</v>
      </c>
      <c r="AG550">
        <v>180</v>
      </c>
      <c r="AH550">
        <v>60</v>
      </c>
      <c r="AI550">
        <v>120</v>
      </c>
      <c r="AJ550">
        <v>0.10440940565851591</v>
      </c>
      <c r="AK550">
        <v>12.57268624435762</v>
      </c>
      <c r="AL550">
        <v>0.77120796449324214</v>
      </c>
      <c r="AM550">
        <v>0.25351424865552802</v>
      </c>
      <c r="AN550">
        <v>15.96830002735947</v>
      </c>
      <c r="AO550">
        <v>0.71497027491799092</v>
      </c>
      <c r="AP550">
        <v>15.96830002735947</v>
      </c>
      <c r="AQ550">
        <v>15.96830002735947</v>
      </c>
      <c r="AR550">
        <v>0.71497027491799092</v>
      </c>
      <c r="AS550">
        <v>133.03055684729401</v>
      </c>
      <c r="AT550">
        <v>0.2053759355451793</v>
      </c>
      <c r="AU550">
        <v>0.8</v>
      </c>
      <c r="AV550" t="s">
        <v>93</v>
      </c>
      <c r="AW550">
        <v>6.9318744985110536E-2</v>
      </c>
      <c r="AX550">
        <v>0.49665628514508242</v>
      </c>
      <c r="AY550">
        <v>6.9318744985110536E-2</v>
      </c>
      <c r="AZ550">
        <v>6.9318744985110536E-2</v>
      </c>
      <c r="BA550">
        <v>0.49665628514508242</v>
      </c>
      <c r="BB550">
        <v>6.0000617263328851E-2</v>
      </c>
      <c r="BC550">
        <v>0.56431794035799243</v>
      </c>
      <c r="BD550">
        <v>7.5551545713434184E-2</v>
      </c>
      <c r="BE550">
        <v>0.73823003055400505</v>
      </c>
      <c r="BF550">
        <v>7.5551545713434184E-2</v>
      </c>
      <c r="BG550">
        <v>7.5551545713434184E-2</v>
      </c>
      <c r="BH550">
        <v>0.73823003055400505</v>
      </c>
      <c r="BI550">
        <v>0.1194132696329154</v>
      </c>
      <c r="BJ550">
        <v>0.58625852524819588</v>
      </c>
      <c r="BK550">
        <v>4.8262960377442772E-2</v>
      </c>
      <c r="BL550">
        <v>0.80623947975086796</v>
      </c>
      <c r="BM550">
        <v>4.8262960377442772E-2</v>
      </c>
      <c r="BN550">
        <v>4.8262960377442772E-2</v>
      </c>
      <c r="BO550">
        <v>0.80623947975086796</v>
      </c>
      <c r="BP550">
        <v>0.20316618035489811</v>
      </c>
      <c r="BQ550">
        <v>0.1843520477249295</v>
      </c>
      <c r="BR550">
        <v>63.680066858361847</v>
      </c>
      <c r="BS550">
        <v>0.81875530422200971</v>
      </c>
      <c r="BT550">
        <v>63.680066858361847</v>
      </c>
      <c r="BU550">
        <v>63.680066858361847</v>
      </c>
      <c r="BV550">
        <v>0.81875530422200971</v>
      </c>
      <c r="BW550">
        <v>531.73964732192269</v>
      </c>
      <c r="BX550">
        <v>-0.51342477115038898</v>
      </c>
      <c r="BY550" s="5" t="str">
        <f t="shared" si="21"/>
        <v>[[sv,wv],[yr],[ya]]</v>
      </c>
      <c r="BZ550" t="str">
        <f>SUBSTITUTE(TRIM(MID(SUBSTITUTE(SUBSTITUTE(SUBSTITUTE(Tabla1[[#This Row],[map]],"[",""),"]",""),",",REPT(" ",100)),901,200))," ",", ")</f>
        <v>2, 3</v>
      </c>
      <c r="CA550" s="5" t="str">
        <f>SUBSTITUTE(TRIM(MID(SUBSTITUTE(SUBSTITUTE(SUBSTITUTE(Tabla1[[#This Row],[map]],"[",""),"]",""),",",REPT(" ",100)),1501,200))," ",", ")</f>
        <v>3, 4</v>
      </c>
      <c r="CB550" s="5" t="str">
        <f>SUBSTITUTE(TRIM(MID(SUBSTITUTE(SUBSTITUTE(SUBSTITUTE(Tabla1[[#This Row],[map]],"[",""),"]",""),",",REPT(" ",100)),601,300))," ",", ")</f>
        <v>4, 0, 1</v>
      </c>
      <c r="CC550" s="5" t="str">
        <f>SUBSTITUTE(TRIM(MID(SUBSTITUTE(SUBSTITUTE(SUBSTITUTE(Tabla1[[#This Row],[map]],"[",""),"]",""),",",REPT(" ",100)),1201,300))," ",", ")</f>
        <v>2, 0, 1</v>
      </c>
      <c r="CD550" s="5" t="str">
        <f>SUBSTITUTE(TRIM(MID(SUBSTITUTE(SUBSTITUTE(SUBSTITUTE(Tabla1[[#This Row],[map]],"[",""),"]",""),",",REPT(" ",100)),1,300))," ",", ")</f>
        <v>4, 2, 3</v>
      </c>
      <c r="CE550" s="5" t="str">
        <f>SUBSTITUTE(TRIM(MID(SUBSTITUTE(SUBSTITUTE(SUBSTITUTE(Tabla1[[#This Row],[map]],"[",""),"]",""),",",REPT(" ",100)),1,600))," ",", ")</f>
        <v>4, 2, 3, 0, 1, -1</v>
      </c>
      <c r="CF550" s="5" t="str">
        <f>SUBSTITUTE(TRIM(MID(SUBSTITUTE(SUBSTITUTE(SUBSTITUTE(Tabla1[[#This Row],[map]],"[",""),"]",""),",",REPT(" ",100)),601,600))," ",", ")</f>
        <v>4, 0, 1, 2, 3, -1</v>
      </c>
      <c r="CG550" s="5" t="str">
        <f>SUBSTITUTE(TRIM(MID(SUBSTITUTE(SUBSTITUTE(SUBSTITUTE(Tabla1[[#This Row],[map]],"[",""),"]",""),",",REPT(" ",100)),1201,600))," ",", ")</f>
        <v>2, 0, 1, 3, 4, -1</v>
      </c>
    </row>
    <row r="551" spans="1:85" x14ac:dyDescent="0.3">
      <c r="A551" s="1">
        <v>46113.606805555559</v>
      </c>
      <c r="B551" t="s">
        <v>806</v>
      </c>
      <c r="C551">
        <v>8</v>
      </c>
      <c r="D551" t="s">
        <v>77</v>
      </c>
      <c r="E551" t="s">
        <v>78</v>
      </c>
      <c r="F551">
        <v>16590</v>
      </c>
      <c r="G551">
        <v>4.5</v>
      </c>
      <c r="H551" t="s">
        <v>79</v>
      </c>
      <c r="I551" t="s">
        <v>80</v>
      </c>
      <c r="J551">
        <v>5</v>
      </c>
      <c r="K551">
        <v>5</v>
      </c>
      <c r="L551" t="s">
        <v>81</v>
      </c>
      <c r="M551" t="s">
        <v>82</v>
      </c>
      <c r="N551" t="s">
        <v>83</v>
      </c>
      <c r="O551" t="s">
        <v>83</v>
      </c>
      <c r="P551" t="s">
        <v>84</v>
      </c>
      <c r="Q551" t="s">
        <v>287</v>
      </c>
      <c r="R551">
        <v>3</v>
      </c>
      <c r="S551" t="s">
        <v>86</v>
      </c>
      <c r="T551" t="s">
        <v>87</v>
      </c>
      <c r="U551" t="s">
        <v>88</v>
      </c>
      <c r="V551">
        <v>1</v>
      </c>
      <c r="W551" t="s">
        <v>288</v>
      </c>
      <c r="X551" t="s">
        <v>83</v>
      </c>
      <c r="Y551" t="s">
        <v>90</v>
      </c>
      <c r="Z551">
        <v>4000</v>
      </c>
      <c r="AA551">
        <v>4000</v>
      </c>
      <c r="AC551">
        <v>256</v>
      </c>
      <c r="AD551" t="s">
        <v>91</v>
      </c>
      <c r="AE551">
        <v>0.15</v>
      </c>
      <c r="AF551" t="s">
        <v>92</v>
      </c>
      <c r="AG551">
        <v>180</v>
      </c>
      <c r="AH551">
        <v>60</v>
      </c>
      <c r="AI551">
        <v>120</v>
      </c>
      <c r="AJ551">
        <v>0.12864341708707491</v>
      </c>
      <c r="AK551">
        <v>33.355848073307442</v>
      </c>
      <c r="AL551">
        <v>0.65199916625439958</v>
      </c>
      <c r="AM551">
        <v>1.8432285375471619E-2</v>
      </c>
      <c r="AN551">
        <v>37.673137540465923</v>
      </c>
      <c r="AO551">
        <v>0.57979213631962079</v>
      </c>
      <c r="AP551">
        <v>37.673137540465923</v>
      </c>
      <c r="AQ551">
        <v>37.673137540465923</v>
      </c>
      <c r="AR551">
        <v>0.57979213631962079</v>
      </c>
      <c r="AS551">
        <v>106.1098600887949</v>
      </c>
      <c r="AT551">
        <v>-2.5312354423917941E-2</v>
      </c>
      <c r="AU551">
        <v>0.8</v>
      </c>
      <c r="AV551" t="s">
        <v>93</v>
      </c>
      <c r="AW551">
        <v>8.5857692255545959E-2</v>
      </c>
      <c r="AX551">
        <v>0.37656214378867581</v>
      </c>
      <c r="AY551">
        <v>8.5857692255545959E-2</v>
      </c>
      <c r="AZ551">
        <v>8.5857692255545959E-2</v>
      </c>
      <c r="BA551">
        <v>0.37656214378867581</v>
      </c>
      <c r="BB551">
        <v>0.14866187760596031</v>
      </c>
      <c r="BC551">
        <v>-7.947744506286103E-2</v>
      </c>
      <c r="BD551">
        <v>7.8612490501854482E-2</v>
      </c>
      <c r="BE551">
        <v>0.72762451062487177</v>
      </c>
      <c r="BF551">
        <v>7.8612490501854482E-2</v>
      </c>
      <c r="BG551">
        <v>7.8612490501854482E-2</v>
      </c>
      <c r="BH551">
        <v>0.72762451062487177</v>
      </c>
      <c r="BI551">
        <v>0.1157624601656785</v>
      </c>
      <c r="BJ551">
        <v>0.59890780030494462</v>
      </c>
      <c r="BK551">
        <v>8.8884122684459776E-2</v>
      </c>
      <c r="BL551">
        <v>0.64315836163920925</v>
      </c>
      <c r="BM551">
        <v>8.8884122684459776E-2</v>
      </c>
      <c r="BN551">
        <v>8.8884122684459776E-2</v>
      </c>
      <c r="BO551">
        <v>0.64315836163920925</v>
      </c>
      <c r="BP551">
        <v>0.35230811224243941</v>
      </c>
      <c r="BQ551">
        <v>-0.41440563492640048</v>
      </c>
      <c r="BR551">
        <v>150.43919585642161</v>
      </c>
      <c r="BS551">
        <v>0.57182352922573476</v>
      </c>
      <c r="BT551">
        <v>150.43919585642161</v>
      </c>
      <c r="BU551">
        <v>150.43919585642161</v>
      </c>
      <c r="BV551">
        <v>0.57182352922573476</v>
      </c>
      <c r="BW551">
        <v>423.82270790516361</v>
      </c>
      <c r="BX551">
        <v>-0.20627413801134781</v>
      </c>
      <c r="BY551" s="5" t="str">
        <f t="shared" si="21"/>
        <v>[[sv,wv],[yr],[ya]]</v>
      </c>
      <c r="BZ551" t="str">
        <f>SUBSTITUTE(TRIM(MID(SUBSTITUTE(SUBSTITUTE(SUBSTITUTE(Tabla1[[#This Row],[map]],"[",""),"]",""),",",REPT(" ",100)),901,200))," ",", ")</f>
        <v>2, 4</v>
      </c>
      <c r="CA551" s="5" t="str">
        <f>SUBSTITUTE(TRIM(MID(SUBSTITUTE(SUBSTITUTE(SUBSTITUTE(Tabla1[[#This Row],[map]],"[",""),"]",""),",",REPT(" ",100)),1501,200))," ",", ")</f>
        <v>3, 2</v>
      </c>
      <c r="CB551" s="5" t="str">
        <f>SUBSTITUTE(TRIM(MID(SUBSTITUTE(SUBSTITUTE(SUBSTITUTE(Tabla1[[#This Row],[map]],"[",""),"]",""),",",REPT(" ",100)),601,300))," ",", ")</f>
        <v>3, 0, 1</v>
      </c>
      <c r="CC551" s="5" t="str">
        <f>SUBSTITUTE(TRIM(MID(SUBSTITUTE(SUBSTITUTE(SUBSTITUTE(Tabla1[[#This Row],[map]],"[",""),"]",""),",",REPT(" ",100)),1201,300))," ",", ")</f>
        <v>4, 0, 1</v>
      </c>
      <c r="CD551" s="5" t="str">
        <f>SUBSTITUTE(TRIM(MID(SUBSTITUTE(SUBSTITUTE(SUBSTITUTE(Tabla1[[#This Row],[map]],"[",""),"]",""),",",REPT(" ",100)),1,300))," ",", ")</f>
        <v>4, 2, 3</v>
      </c>
      <c r="CE551" s="5" t="str">
        <f>SUBSTITUTE(TRIM(MID(SUBSTITUTE(SUBSTITUTE(SUBSTITUTE(Tabla1[[#This Row],[map]],"[",""),"]",""),",",REPT(" ",100)),1,600))," ",", ")</f>
        <v>4, 2, 3, 0, 1, -1</v>
      </c>
      <c r="CF551" s="5" t="str">
        <f>SUBSTITUTE(TRIM(MID(SUBSTITUTE(SUBSTITUTE(SUBSTITUTE(Tabla1[[#This Row],[map]],"[",""),"]",""),",",REPT(" ",100)),601,600))," ",", ")</f>
        <v>3, 0, 1, 2, 4, -1</v>
      </c>
      <c r="CG551" s="5" t="str">
        <f>SUBSTITUTE(TRIM(MID(SUBSTITUTE(SUBSTITUTE(SUBSTITUTE(Tabla1[[#This Row],[map]],"[",""),"]",""),",",REPT(" ",100)),1201,600))," ",", ")</f>
        <v>4, 0, 1, 3, 2, -1</v>
      </c>
    </row>
    <row r="552" spans="1:85" x14ac:dyDescent="0.3">
      <c r="A552" s="1">
        <v>46113.623888888891</v>
      </c>
      <c r="B552" t="s">
        <v>807</v>
      </c>
      <c r="C552">
        <v>7</v>
      </c>
      <c r="D552" t="s">
        <v>77</v>
      </c>
      <c r="E552" t="s">
        <v>78</v>
      </c>
      <c r="F552">
        <v>16590</v>
      </c>
      <c r="G552">
        <v>4.5</v>
      </c>
      <c r="H552" t="s">
        <v>79</v>
      </c>
      <c r="I552" t="s">
        <v>80</v>
      </c>
      <c r="J552">
        <v>5</v>
      </c>
      <c r="K552">
        <v>5</v>
      </c>
      <c r="L552" t="s">
        <v>81</v>
      </c>
      <c r="M552" t="s">
        <v>82</v>
      </c>
      <c r="N552" t="s">
        <v>83</v>
      </c>
      <c r="O552" t="s">
        <v>83</v>
      </c>
      <c r="P552" t="s">
        <v>84</v>
      </c>
      <c r="Q552" t="s">
        <v>287</v>
      </c>
      <c r="R552">
        <v>3</v>
      </c>
      <c r="S552" t="s">
        <v>86</v>
      </c>
      <c r="T552" t="s">
        <v>87</v>
      </c>
      <c r="U552" t="s">
        <v>88</v>
      </c>
      <c r="V552">
        <v>1</v>
      </c>
      <c r="W552" t="s">
        <v>288</v>
      </c>
      <c r="X552" t="s">
        <v>83</v>
      </c>
      <c r="Y552" t="s">
        <v>90</v>
      </c>
      <c r="Z552">
        <v>4000</v>
      </c>
      <c r="AA552">
        <v>4000</v>
      </c>
      <c r="AC552">
        <v>256</v>
      </c>
      <c r="AD552" t="s">
        <v>91</v>
      </c>
      <c r="AE552">
        <v>0.15</v>
      </c>
      <c r="AF552" t="s">
        <v>92</v>
      </c>
      <c r="AG552">
        <v>180</v>
      </c>
      <c r="AH552">
        <v>60</v>
      </c>
      <c r="AI552">
        <v>120</v>
      </c>
      <c r="AJ552">
        <v>0.13893798694984269</v>
      </c>
      <c r="AK552">
        <v>29.1418997182328</v>
      </c>
      <c r="AL552">
        <v>0.6531661398995483</v>
      </c>
      <c r="AM552">
        <v>0.1623217494909189</v>
      </c>
      <c r="AN552">
        <v>36.616834804666951</v>
      </c>
      <c r="AO552">
        <v>0.56207450280703064</v>
      </c>
      <c r="AP552">
        <v>36.616834804666951</v>
      </c>
      <c r="AQ552">
        <v>36.616834804666951</v>
      </c>
      <c r="AR552">
        <v>0.56207450280703064</v>
      </c>
      <c r="AS552">
        <v>94.155385428661134</v>
      </c>
      <c r="AT552">
        <v>0.15562136055000891</v>
      </c>
      <c r="AU552">
        <v>0.8</v>
      </c>
      <c r="AV552" t="s">
        <v>93</v>
      </c>
      <c r="AW552">
        <v>7.7564716624158189E-2</v>
      </c>
      <c r="AX552">
        <v>0.43677986934618029</v>
      </c>
      <c r="AY552">
        <v>7.7564716624158189E-2</v>
      </c>
      <c r="AZ552">
        <v>7.7564716624158189E-2</v>
      </c>
      <c r="BA552">
        <v>0.43677986934618029</v>
      </c>
      <c r="BB552">
        <v>9.5886151558008323E-2</v>
      </c>
      <c r="BC552">
        <v>0.30374256287074358</v>
      </c>
      <c r="BD552">
        <v>8.2477392899329885E-2</v>
      </c>
      <c r="BE552">
        <v>0.71423344929124521</v>
      </c>
      <c r="BF552">
        <v>8.2477392899329885E-2</v>
      </c>
      <c r="BG552">
        <v>8.2477392899329885E-2</v>
      </c>
      <c r="BH552">
        <v>0.71423344929124521</v>
      </c>
      <c r="BI552">
        <v>9.8552555573033579E-2</v>
      </c>
      <c r="BJ552">
        <v>0.65853644399243016</v>
      </c>
      <c r="BK552">
        <v>0.1212160129105443</v>
      </c>
      <c r="BL552">
        <v>0.51335604901994536</v>
      </c>
      <c r="BM552">
        <v>0.1212160129105443</v>
      </c>
      <c r="BN552">
        <v>0.1212160129105443</v>
      </c>
      <c r="BO552">
        <v>0.51335604901994536</v>
      </c>
      <c r="BP552">
        <v>0.31616825611036498</v>
      </c>
      <c r="BQ552">
        <v>-0.2693155436614576</v>
      </c>
      <c r="BR552">
        <v>146.18608109623349</v>
      </c>
      <c r="BS552">
        <v>0.58392864357075758</v>
      </c>
      <c r="BT552">
        <v>146.18608109623349</v>
      </c>
      <c r="BU552">
        <v>146.18608109623349</v>
      </c>
      <c r="BV552">
        <v>0.58392864357075758</v>
      </c>
      <c r="BW552">
        <v>376.11093475140342</v>
      </c>
      <c r="BX552">
        <v>-7.0478021001677105E-2</v>
      </c>
      <c r="BY552" s="5" t="str">
        <f t="shared" si="21"/>
        <v>[[sv,wv],[yr],[ya]]</v>
      </c>
      <c r="BZ552" t="str">
        <f>SUBSTITUTE(TRIM(MID(SUBSTITUTE(SUBSTITUTE(SUBSTITUTE(Tabla1[[#This Row],[map]],"[",""),"]",""),",",REPT(" ",100)),901,200))," ",", ")</f>
        <v>2, 4</v>
      </c>
      <c r="CA552" s="5" t="str">
        <f>SUBSTITUTE(TRIM(MID(SUBSTITUTE(SUBSTITUTE(SUBSTITUTE(Tabla1[[#This Row],[map]],"[",""),"]",""),",",REPT(" ",100)),1501,200))," ",", ")</f>
        <v>3, 2</v>
      </c>
      <c r="CB552" s="5" t="str">
        <f>SUBSTITUTE(TRIM(MID(SUBSTITUTE(SUBSTITUTE(SUBSTITUTE(Tabla1[[#This Row],[map]],"[",""),"]",""),",",REPT(" ",100)),601,300))," ",", ")</f>
        <v>3, 0, 1</v>
      </c>
      <c r="CC552" s="5" t="str">
        <f>SUBSTITUTE(TRIM(MID(SUBSTITUTE(SUBSTITUTE(SUBSTITUTE(Tabla1[[#This Row],[map]],"[",""),"]",""),",",REPT(" ",100)),1201,300))," ",", ")</f>
        <v>4, 0, 1</v>
      </c>
      <c r="CD552" s="5" t="str">
        <f>SUBSTITUTE(TRIM(MID(SUBSTITUTE(SUBSTITUTE(SUBSTITUTE(Tabla1[[#This Row],[map]],"[",""),"]",""),",",REPT(" ",100)),1,300))," ",", ")</f>
        <v>4, 2, 3</v>
      </c>
      <c r="CE552" s="5" t="str">
        <f>SUBSTITUTE(TRIM(MID(SUBSTITUTE(SUBSTITUTE(SUBSTITUTE(Tabla1[[#This Row],[map]],"[",""),"]",""),",",REPT(" ",100)),1,600))," ",", ")</f>
        <v>4, 2, 3, 0, 1, -1</v>
      </c>
      <c r="CF552" s="5" t="str">
        <f>SUBSTITUTE(TRIM(MID(SUBSTITUTE(SUBSTITUTE(SUBSTITUTE(Tabla1[[#This Row],[map]],"[",""),"]",""),",",REPT(" ",100)),601,600))," ",", ")</f>
        <v>3, 0, 1, 2, 4, -1</v>
      </c>
      <c r="CG552" s="5" t="str">
        <f>SUBSTITUTE(TRIM(MID(SUBSTITUTE(SUBSTITUTE(SUBSTITUTE(Tabla1[[#This Row],[map]],"[",""),"]",""),",",REPT(" ",100)),1201,600))," ",", ")</f>
        <v>4, 0, 1, 3, 2, -1</v>
      </c>
    </row>
    <row r="553" spans="1:85" x14ac:dyDescent="0.3">
      <c r="A553" s="1">
        <v>46113.625393518523</v>
      </c>
      <c r="B553" t="s">
        <v>808</v>
      </c>
      <c r="C553">
        <v>9</v>
      </c>
      <c r="D553" t="s">
        <v>77</v>
      </c>
      <c r="E553" t="s">
        <v>78</v>
      </c>
      <c r="F553">
        <v>16590</v>
      </c>
      <c r="G553">
        <v>4.5</v>
      </c>
      <c r="H553" t="s">
        <v>79</v>
      </c>
      <c r="I553" t="s">
        <v>80</v>
      </c>
      <c r="J553">
        <v>5</v>
      </c>
      <c r="K553">
        <v>5</v>
      </c>
      <c r="L553" t="s">
        <v>81</v>
      </c>
      <c r="M553" t="s">
        <v>82</v>
      </c>
      <c r="N553" t="s">
        <v>83</v>
      </c>
      <c r="O553" t="s">
        <v>83</v>
      </c>
      <c r="P553" t="s">
        <v>84</v>
      </c>
      <c r="Q553" t="s">
        <v>265</v>
      </c>
      <c r="R553">
        <v>3</v>
      </c>
      <c r="S553" t="s">
        <v>86</v>
      </c>
      <c r="T553" t="s">
        <v>87</v>
      </c>
      <c r="U553" t="s">
        <v>88</v>
      </c>
      <c r="V553">
        <v>1</v>
      </c>
      <c r="W553" t="s">
        <v>266</v>
      </c>
      <c r="X553" t="s">
        <v>83</v>
      </c>
      <c r="Y553" t="s">
        <v>90</v>
      </c>
      <c r="Z553">
        <v>4000</v>
      </c>
      <c r="AA553">
        <v>4000</v>
      </c>
      <c r="AC553">
        <v>256</v>
      </c>
      <c r="AD553" t="s">
        <v>91</v>
      </c>
      <c r="AE553">
        <v>0.15</v>
      </c>
      <c r="AF553" t="s">
        <v>92</v>
      </c>
      <c r="AG553">
        <v>180</v>
      </c>
      <c r="AH553">
        <v>60</v>
      </c>
      <c r="AI553">
        <v>120</v>
      </c>
      <c r="AJ553">
        <v>0.150818213315835</v>
      </c>
      <c r="AK553">
        <v>48.980509283775191</v>
      </c>
      <c r="AL553">
        <v>0.57172095194514028</v>
      </c>
      <c r="AM553">
        <v>-1.734686174394354E-2</v>
      </c>
      <c r="AN553">
        <v>51.84937404662238</v>
      </c>
      <c r="AO553">
        <v>0.52322351978646986</v>
      </c>
      <c r="AP553">
        <v>51.84937404662238</v>
      </c>
      <c r="AQ553">
        <v>51.84937404662238</v>
      </c>
      <c r="AR553">
        <v>0.52322351978646986</v>
      </c>
      <c r="AS553">
        <v>92.231250477682678</v>
      </c>
      <c r="AT553">
        <v>8.0058657641091546E-2</v>
      </c>
      <c r="AU553">
        <v>0.8</v>
      </c>
      <c r="AV553" t="s">
        <v>93</v>
      </c>
      <c r="AW553">
        <v>0.10441021682322529</v>
      </c>
      <c r="AX553">
        <v>0.24184682778232491</v>
      </c>
      <c r="AY553">
        <v>0.10441021682322529</v>
      </c>
      <c r="AZ553">
        <v>0.10441021682322529</v>
      </c>
      <c r="BA553">
        <v>0.24184682778232491</v>
      </c>
      <c r="BB553">
        <v>0.15486356893624689</v>
      </c>
      <c r="BC553">
        <v>-0.12450974265048349</v>
      </c>
      <c r="BD553">
        <v>8.291443263297818E-2</v>
      </c>
      <c r="BE553">
        <v>0.71271919995797894</v>
      </c>
      <c r="BF553">
        <v>8.291443263297818E-2</v>
      </c>
      <c r="BG553">
        <v>8.291443263297818E-2</v>
      </c>
      <c r="BH553">
        <v>0.71271919995797894</v>
      </c>
      <c r="BI553">
        <v>0.11999949991160259</v>
      </c>
      <c r="BJ553">
        <v>0.58422736254078633</v>
      </c>
      <c r="BK553">
        <v>6.7778236777416456E-2</v>
      </c>
      <c r="BL553">
        <v>0.72789181772407241</v>
      </c>
      <c r="BM553">
        <v>6.7778236777416456E-2</v>
      </c>
      <c r="BN553">
        <v>6.7778236777416456E-2</v>
      </c>
      <c r="BO553">
        <v>0.72789181772407241</v>
      </c>
      <c r="BP553">
        <v>0.271755698664428</v>
      </c>
      <c r="BQ553">
        <v>-9.101317329253944E-2</v>
      </c>
      <c r="BR553">
        <v>207.14239330025529</v>
      </c>
      <c r="BS553">
        <v>0.41043623368150162</v>
      </c>
      <c r="BT553">
        <v>207.14239330025529</v>
      </c>
      <c r="BU553">
        <v>207.14239330025529</v>
      </c>
      <c r="BV553">
        <v>0.41043623368150162</v>
      </c>
      <c r="BW553">
        <v>368.37838314321829</v>
      </c>
      <c r="BX553">
        <v>-4.8469816033389179E-2</v>
      </c>
      <c r="BY553" s="5" t="str">
        <f t="shared" si="21"/>
        <v>[[sv,wv],[yr],[ya]]</v>
      </c>
      <c r="BZ553" t="str">
        <f>SUBSTITUTE(TRIM(MID(SUBSTITUTE(SUBSTITUTE(SUBSTITUTE(Tabla1[[#This Row],[map]],"[",""),"]",""),",",REPT(" ",100)),901,200))," ",", ")</f>
        <v>2, 4</v>
      </c>
      <c r="CA553" s="5" t="str">
        <f>SUBSTITUTE(TRIM(MID(SUBSTITUTE(SUBSTITUTE(SUBSTITUTE(Tabla1[[#This Row],[map]],"[",""),"]",""),",",REPT(" ",100)),1501,200))," ",", ")</f>
        <v>3, 2</v>
      </c>
      <c r="CB553" s="5" t="str">
        <f>SUBSTITUTE(TRIM(MID(SUBSTITUTE(SUBSTITUTE(SUBSTITUTE(Tabla1[[#This Row],[map]],"[",""),"]",""),",",REPT(" ",100)),601,300))," ",", ")</f>
        <v>0, 1, 3</v>
      </c>
      <c r="CC553" s="5" t="str">
        <f>SUBSTITUTE(TRIM(MID(SUBSTITUTE(SUBSTITUTE(SUBSTITUTE(Tabla1[[#This Row],[map]],"[",""),"]",""),",",REPT(" ",100)),1201,300))," ",", ")</f>
        <v>4, 0, 1</v>
      </c>
      <c r="CD553" s="5" t="str">
        <f>SUBSTITUTE(TRIM(MID(SUBSTITUTE(SUBSTITUTE(SUBSTITUTE(Tabla1[[#This Row],[map]],"[",""),"]",""),",",REPT(" ",100)),1,300))," ",", ")</f>
        <v>4, 2, 3</v>
      </c>
      <c r="CE553" s="5" t="str">
        <f>SUBSTITUTE(TRIM(MID(SUBSTITUTE(SUBSTITUTE(SUBSTITUTE(Tabla1[[#This Row],[map]],"[",""),"]",""),",",REPT(" ",100)),1,600))," ",", ")</f>
        <v>4, 2, 3, 0, 1, -1</v>
      </c>
      <c r="CF553" s="5" t="str">
        <f>SUBSTITUTE(TRIM(MID(SUBSTITUTE(SUBSTITUTE(SUBSTITUTE(Tabla1[[#This Row],[map]],"[",""),"]",""),",",REPT(" ",100)),601,600))," ",", ")</f>
        <v>0, 1, 3, 2, 4, -1</v>
      </c>
      <c r="CG553" s="5" t="str">
        <f>SUBSTITUTE(TRIM(MID(SUBSTITUTE(SUBSTITUTE(SUBSTITUTE(Tabla1[[#This Row],[map]],"[",""),"]",""),",",REPT(" ",100)),1201,600))," ",", ")</f>
        <v>4, 0, 1, 3, 2, -1</v>
      </c>
    </row>
    <row r="554" spans="1:85" x14ac:dyDescent="0.3">
      <c r="A554" s="1">
        <v>46113.760740740741</v>
      </c>
      <c r="B554" t="s">
        <v>809</v>
      </c>
      <c r="C554">
        <v>8</v>
      </c>
      <c r="D554" t="s">
        <v>96</v>
      </c>
      <c r="E554" t="s">
        <v>78</v>
      </c>
      <c r="F554">
        <v>16590</v>
      </c>
      <c r="G554">
        <v>4.5</v>
      </c>
      <c r="H554" t="s">
        <v>79</v>
      </c>
      <c r="I554" t="s">
        <v>80</v>
      </c>
      <c r="J554">
        <v>5</v>
      </c>
      <c r="K554">
        <v>5</v>
      </c>
      <c r="L554" t="s">
        <v>81</v>
      </c>
      <c r="M554" t="s">
        <v>82</v>
      </c>
      <c r="N554" t="s">
        <v>83</v>
      </c>
      <c r="O554" t="s">
        <v>83</v>
      </c>
      <c r="P554" t="s">
        <v>84</v>
      </c>
      <c r="Q554" t="s">
        <v>295</v>
      </c>
      <c r="R554">
        <v>3</v>
      </c>
      <c r="S554" t="s">
        <v>86</v>
      </c>
      <c r="T554" t="s">
        <v>87</v>
      </c>
      <c r="U554" t="s">
        <v>88</v>
      </c>
      <c r="V554">
        <v>1</v>
      </c>
      <c r="W554" t="s">
        <v>296</v>
      </c>
      <c r="X554" t="s">
        <v>83</v>
      </c>
      <c r="Y554" t="s">
        <v>90</v>
      </c>
      <c r="Z554">
        <v>4000</v>
      </c>
      <c r="AA554">
        <v>4000</v>
      </c>
      <c r="AC554">
        <v>256</v>
      </c>
      <c r="AD554" t="s">
        <v>91</v>
      </c>
      <c r="AE554">
        <v>0.15</v>
      </c>
      <c r="AF554" t="s">
        <v>92</v>
      </c>
      <c r="AG554">
        <v>180</v>
      </c>
      <c r="AH554">
        <v>60</v>
      </c>
      <c r="AI554">
        <v>120</v>
      </c>
      <c r="AJ554">
        <v>0.11563133276812849</v>
      </c>
      <c r="AK554">
        <v>22.469418257118519</v>
      </c>
      <c r="AL554">
        <v>0.68058779202190278</v>
      </c>
      <c r="AM554">
        <v>-5.2966709874397389E-2</v>
      </c>
      <c r="AN554">
        <v>20.84778355299412</v>
      </c>
      <c r="AO554">
        <v>0.62443142200593327</v>
      </c>
      <c r="AP554">
        <v>20.84778355299412</v>
      </c>
      <c r="AQ554">
        <v>20.84778355299412</v>
      </c>
      <c r="AR554">
        <v>0.62443142200593327</v>
      </c>
      <c r="AS554">
        <v>82.380400735330426</v>
      </c>
      <c r="AT554">
        <v>-9.9796486469939938E-3</v>
      </c>
      <c r="AU554">
        <v>0.8</v>
      </c>
      <c r="AV554" t="s">
        <v>93</v>
      </c>
      <c r="AW554">
        <v>9.0439138482623208E-2</v>
      </c>
      <c r="AX554">
        <v>0.34329492056008959</v>
      </c>
      <c r="AY554">
        <v>9.0439138482623208E-2</v>
      </c>
      <c r="AZ554">
        <v>9.0439138482623208E-2</v>
      </c>
      <c r="BA554">
        <v>0.34329492056008959</v>
      </c>
      <c r="BB554">
        <v>0.15594941787621999</v>
      </c>
      <c r="BC554">
        <v>-0.132394409912344</v>
      </c>
      <c r="BD554">
        <v>7.5584530204201181E-2</v>
      </c>
      <c r="BE554">
        <v>0.73811574633839139</v>
      </c>
      <c r="BF554">
        <v>7.5584530204201181E-2</v>
      </c>
      <c r="BG554">
        <v>7.5584530204201181E-2</v>
      </c>
      <c r="BH554">
        <v>0.73811574633839139</v>
      </c>
      <c r="BI554">
        <v>0.11477341659004769</v>
      </c>
      <c r="BJ554">
        <v>0.60233462505258961</v>
      </c>
      <c r="BK554">
        <v>8.6447081042128393E-2</v>
      </c>
      <c r="BL554">
        <v>0.65294231299225602</v>
      </c>
      <c r="BM554">
        <v>8.6447081042128393E-2</v>
      </c>
      <c r="BN554">
        <v>8.6447081042128393E-2</v>
      </c>
      <c r="BO554">
        <v>0.65294231299225602</v>
      </c>
      <c r="BP554">
        <v>0.39202803108701728</v>
      </c>
      <c r="BQ554">
        <v>-0.57386854560139033</v>
      </c>
      <c r="BR554">
        <v>83.138663462247678</v>
      </c>
      <c r="BS554">
        <v>0.76337270813299785</v>
      </c>
      <c r="BT554">
        <v>83.138663462247678</v>
      </c>
      <c r="BU554">
        <v>83.138663462247678</v>
      </c>
      <c r="BV554">
        <v>0.76337270813299785</v>
      </c>
      <c r="BW554">
        <v>328.85885207576939</v>
      </c>
      <c r="BX554">
        <v>6.4009735873175599E-2</v>
      </c>
      <c r="BY554" s="5" t="str">
        <f t="shared" si="21"/>
        <v>[[sv,wv],[yr],[ya]]</v>
      </c>
      <c r="BZ554" t="str">
        <f>SUBSTITUTE(TRIM(MID(SUBSTITUTE(SUBSTITUTE(SUBSTITUTE(Tabla1[[#This Row],[map]],"[",""),"]",""),",",REPT(" ",100)),901,200))," ",", ")</f>
        <v>2, 4</v>
      </c>
      <c r="CA554" s="5" t="str">
        <f>SUBSTITUTE(TRIM(MID(SUBSTITUTE(SUBSTITUTE(SUBSTITUTE(Tabla1[[#This Row],[map]],"[",""),"]",""),",",REPT(" ",100)),1501,200))," ",", ")</f>
        <v>3, 4</v>
      </c>
      <c r="CB554" s="5" t="str">
        <f>SUBSTITUTE(TRIM(MID(SUBSTITUTE(SUBSTITUTE(SUBSTITUTE(Tabla1[[#This Row],[map]],"[",""),"]",""),",",REPT(" ",100)),601,300))," ",", ")</f>
        <v>3, 0, 1</v>
      </c>
      <c r="CC554" s="5" t="str">
        <f>SUBSTITUTE(TRIM(MID(SUBSTITUTE(SUBSTITUTE(SUBSTITUTE(Tabla1[[#This Row],[map]],"[",""),"]",""),",",REPT(" ",100)),1201,300))," ",", ")</f>
        <v>0, 1, 2</v>
      </c>
      <c r="CD554" s="5" t="str">
        <f>SUBSTITUTE(TRIM(MID(SUBSTITUTE(SUBSTITUTE(SUBSTITUTE(Tabla1[[#This Row],[map]],"[",""),"]",""),",",REPT(" ",100)),1,300))," ",", ")</f>
        <v>4, 2, 3</v>
      </c>
      <c r="CE554" s="5" t="str">
        <f>SUBSTITUTE(TRIM(MID(SUBSTITUTE(SUBSTITUTE(SUBSTITUTE(Tabla1[[#This Row],[map]],"[",""),"]",""),",",REPT(" ",100)),1,600))," ",", ")</f>
        <v>4, 2, 3, 0, 1, -1</v>
      </c>
      <c r="CF554" s="5" t="str">
        <f>SUBSTITUTE(TRIM(MID(SUBSTITUTE(SUBSTITUTE(SUBSTITUTE(Tabla1[[#This Row],[map]],"[",""),"]",""),",",REPT(" ",100)),601,600))," ",", ")</f>
        <v>3, 0, 1, 2, 4, -1</v>
      </c>
      <c r="CG554" s="5" t="str">
        <f>SUBSTITUTE(TRIM(MID(SUBSTITUTE(SUBSTITUTE(SUBSTITUTE(Tabla1[[#This Row],[map]],"[",""),"]",""),",",REPT(" ",100)),1201,600))," ",", ")</f>
        <v>0, 1, 2, 3, 4, -1</v>
      </c>
    </row>
    <row r="555" spans="1:85" x14ac:dyDescent="0.3">
      <c r="A555" s="1">
        <v>46113.774583333332</v>
      </c>
      <c r="B555" t="s">
        <v>810</v>
      </c>
      <c r="C555">
        <v>7</v>
      </c>
      <c r="D555" t="s">
        <v>96</v>
      </c>
      <c r="E555" t="s">
        <v>78</v>
      </c>
      <c r="F555">
        <v>16590</v>
      </c>
      <c r="G555">
        <v>4.5</v>
      </c>
      <c r="H555" t="s">
        <v>79</v>
      </c>
      <c r="I555" t="s">
        <v>80</v>
      </c>
      <c r="J555">
        <v>5</v>
      </c>
      <c r="K555">
        <v>5</v>
      </c>
      <c r="L555" t="s">
        <v>81</v>
      </c>
      <c r="M555" t="s">
        <v>82</v>
      </c>
      <c r="N555" t="s">
        <v>83</v>
      </c>
      <c r="O555" t="s">
        <v>83</v>
      </c>
      <c r="P555" t="s">
        <v>84</v>
      </c>
      <c r="Q555" t="s">
        <v>295</v>
      </c>
      <c r="R555">
        <v>3</v>
      </c>
      <c r="S555" t="s">
        <v>86</v>
      </c>
      <c r="T555" t="s">
        <v>87</v>
      </c>
      <c r="U555" t="s">
        <v>88</v>
      </c>
      <c r="V555">
        <v>1</v>
      </c>
      <c r="W555" t="s">
        <v>296</v>
      </c>
      <c r="X555" t="s">
        <v>83</v>
      </c>
      <c r="Y555" t="s">
        <v>90</v>
      </c>
      <c r="Z555">
        <v>4000</v>
      </c>
      <c r="AA555">
        <v>4000</v>
      </c>
      <c r="AC555">
        <v>256</v>
      </c>
      <c r="AD555" t="s">
        <v>91</v>
      </c>
      <c r="AE555">
        <v>0.15</v>
      </c>
      <c r="AF555" t="s">
        <v>92</v>
      </c>
      <c r="AG555">
        <v>180</v>
      </c>
      <c r="AH555">
        <v>60</v>
      </c>
      <c r="AI555">
        <v>120</v>
      </c>
      <c r="AJ555">
        <v>0.12858891274030579</v>
      </c>
      <c r="AK555">
        <v>14.5735036289873</v>
      </c>
      <c r="AL555">
        <v>0.71552683303808828</v>
      </c>
      <c r="AM555">
        <v>0.25159515209183297</v>
      </c>
      <c r="AN555">
        <v>20.258064830701819</v>
      </c>
      <c r="AO555">
        <v>0.6306610898049918</v>
      </c>
      <c r="AP555">
        <v>20.258064830701819</v>
      </c>
      <c r="AQ555">
        <v>20.258064830701819</v>
      </c>
      <c r="AR555">
        <v>0.6306610898049918</v>
      </c>
      <c r="AS555">
        <v>66.401704592720307</v>
      </c>
      <c r="AT555">
        <v>0.188290092564772</v>
      </c>
      <c r="AU555">
        <v>0.8</v>
      </c>
      <c r="AV555" t="s">
        <v>93</v>
      </c>
      <c r="AW555">
        <v>7.1360063844386271E-2</v>
      </c>
      <c r="AX555">
        <v>0.4818336708860973</v>
      </c>
      <c r="AY555">
        <v>7.1360063844386271E-2</v>
      </c>
      <c r="AZ555">
        <v>7.1360063844386271E-2</v>
      </c>
      <c r="BA555">
        <v>0.4818336708860973</v>
      </c>
      <c r="BB555">
        <v>8.0169520004237535E-2</v>
      </c>
      <c r="BC555">
        <v>0.41786562890404</v>
      </c>
      <c r="BD555">
        <v>8.4018394645860667E-2</v>
      </c>
      <c r="BE555">
        <v>0.70889420736976771</v>
      </c>
      <c r="BF555">
        <v>8.4018394645860667E-2</v>
      </c>
      <c r="BG555">
        <v>8.4018394645860667E-2</v>
      </c>
      <c r="BH555">
        <v>0.70889420736976771</v>
      </c>
      <c r="BI555">
        <v>0.15351749936412981</v>
      </c>
      <c r="BJ555">
        <v>0.46809465327950173</v>
      </c>
      <c r="BK555">
        <v>0.1091503972350939</v>
      </c>
      <c r="BL555">
        <v>0.5617956795796577</v>
      </c>
      <c r="BM555">
        <v>0.1091503972350939</v>
      </c>
      <c r="BN555">
        <v>0.1091503972350939</v>
      </c>
      <c r="BO555">
        <v>0.5617956795796577</v>
      </c>
      <c r="BP555">
        <v>0.34335916963937912</v>
      </c>
      <c r="BQ555">
        <v>-0.37847846094270537</v>
      </c>
      <c r="BR555">
        <v>80.767730467081719</v>
      </c>
      <c r="BS555">
        <v>0.77012080138444872</v>
      </c>
      <c r="BT555">
        <v>80.767730467081719</v>
      </c>
      <c r="BU555">
        <v>80.767730467081719</v>
      </c>
      <c r="BV555">
        <v>0.77012080138444872</v>
      </c>
      <c r="BW555">
        <v>265.029772181873</v>
      </c>
      <c r="BX555">
        <v>0.24567854901826089</v>
      </c>
      <c r="BY555" s="5" t="str">
        <f t="shared" si="21"/>
        <v>[[sv,wv],[yr],[ya]]</v>
      </c>
      <c r="BZ555" t="str">
        <f>SUBSTITUTE(TRIM(MID(SUBSTITUTE(SUBSTITUTE(SUBSTITUTE(Tabla1[[#This Row],[map]],"[",""),"]",""),",",REPT(" ",100)),901,200))," ",", ")</f>
        <v>2, 4</v>
      </c>
      <c r="CA555" s="5" t="str">
        <f>SUBSTITUTE(TRIM(MID(SUBSTITUTE(SUBSTITUTE(SUBSTITUTE(Tabla1[[#This Row],[map]],"[",""),"]",""),",",REPT(" ",100)),1501,200))," ",", ")</f>
        <v>3, 4</v>
      </c>
      <c r="CB555" s="5" t="str">
        <f>SUBSTITUTE(TRIM(MID(SUBSTITUTE(SUBSTITUTE(SUBSTITUTE(Tabla1[[#This Row],[map]],"[",""),"]",""),",",REPT(" ",100)),601,300))," ",", ")</f>
        <v>3, 0, 1</v>
      </c>
      <c r="CC555" s="5" t="str">
        <f>SUBSTITUTE(TRIM(MID(SUBSTITUTE(SUBSTITUTE(SUBSTITUTE(Tabla1[[#This Row],[map]],"[",""),"]",""),",",REPT(" ",100)),1201,300))," ",", ")</f>
        <v>0, 1, 2</v>
      </c>
      <c r="CD555" s="5" t="str">
        <f>SUBSTITUTE(TRIM(MID(SUBSTITUTE(SUBSTITUTE(SUBSTITUTE(Tabla1[[#This Row],[map]],"[",""),"]",""),",",REPT(" ",100)),1,300))," ",", ")</f>
        <v>4, 2, 3</v>
      </c>
      <c r="CE555" s="5" t="str">
        <f>SUBSTITUTE(TRIM(MID(SUBSTITUTE(SUBSTITUTE(SUBSTITUTE(Tabla1[[#This Row],[map]],"[",""),"]",""),",",REPT(" ",100)),1,600))," ",", ")</f>
        <v>4, 2, 3, 0, 1, -1</v>
      </c>
      <c r="CF555" s="5" t="str">
        <f>SUBSTITUTE(TRIM(MID(SUBSTITUTE(SUBSTITUTE(SUBSTITUTE(Tabla1[[#This Row],[map]],"[",""),"]",""),",",REPT(" ",100)),601,600))," ",", ")</f>
        <v>3, 0, 1, 2, 4, -1</v>
      </c>
      <c r="CG555" s="5" t="str">
        <f>SUBSTITUTE(TRIM(MID(SUBSTITUTE(SUBSTITUTE(SUBSTITUTE(Tabla1[[#This Row],[map]],"[",""),"]",""),",",REPT(" ",100)),1201,600))," ",", ")</f>
        <v>0, 1, 2, 3, 4, -1</v>
      </c>
    </row>
    <row r="556" spans="1:85" x14ac:dyDescent="0.3">
      <c r="A556" s="1">
        <v>46113.776446759257</v>
      </c>
      <c r="B556" t="s">
        <v>811</v>
      </c>
      <c r="C556">
        <v>9</v>
      </c>
      <c r="D556" t="s">
        <v>77</v>
      </c>
      <c r="E556" t="s">
        <v>78</v>
      </c>
      <c r="F556">
        <v>16590</v>
      </c>
      <c r="G556">
        <v>4.5</v>
      </c>
      <c r="H556" t="s">
        <v>79</v>
      </c>
      <c r="I556" t="s">
        <v>80</v>
      </c>
      <c r="J556">
        <v>5</v>
      </c>
      <c r="K556">
        <v>5</v>
      </c>
      <c r="L556" t="s">
        <v>81</v>
      </c>
      <c r="M556" t="s">
        <v>82</v>
      </c>
      <c r="N556" t="s">
        <v>83</v>
      </c>
      <c r="O556" t="s">
        <v>83</v>
      </c>
      <c r="P556" t="s">
        <v>84</v>
      </c>
      <c r="Q556" t="s">
        <v>279</v>
      </c>
      <c r="R556">
        <v>3</v>
      </c>
      <c r="S556" t="s">
        <v>86</v>
      </c>
      <c r="T556" t="s">
        <v>87</v>
      </c>
      <c r="U556" t="s">
        <v>88</v>
      </c>
      <c r="V556">
        <v>1</v>
      </c>
      <c r="W556" t="s">
        <v>280</v>
      </c>
      <c r="X556" t="s">
        <v>83</v>
      </c>
      <c r="Y556" t="s">
        <v>90</v>
      </c>
      <c r="Z556">
        <v>4000</v>
      </c>
      <c r="AA556">
        <v>4000</v>
      </c>
      <c r="AC556">
        <v>256</v>
      </c>
      <c r="AD556" t="s">
        <v>91</v>
      </c>
      <c r="AE556">
        <v>0.15</v>
      </c>
      <c r="AF556" t="s">
        <v>92</v>
      </c>
      <c r="AG556">
        <v>180</v>
      </c>
      <c r="AH556">
        <v>60</v>
      </c>
      <c r="AI556">
        <v>120</v>
      </c>
      <c r="AJ556">
        <v>0.12310069611231909</v>
      </c>
      <c r="AK556">
        <v>12.8600097845558</v>
      </c>
      <c r="AL556">
        <v>0.670329282026766</v>
      </c>
      <c r="AM556">
        <v>-0.1608415283849271</v>
      </c>
      <c r="AN556">
        <v>16.227728117554221</v>
      </c>
      <c r="AO556">
        <v>0.62254929520752345</v>
      </c>
      <c r="AP556">
        <v>16.227728117554221</v>
      </c>
      <c r="AQ556">
        <v>16.227728117554221</v>
      </c>
      <c r="AR556">
        <v>0.62254929520752345</v>
      </c>
      <c r="AS556">
        <v>126.0276974575751</v>
      </c>
      <c r="AT556">
        <v>-2.380017602004858E-2</v>
      </c>
      <c r="AU556">
        <v>0.8</v>
      </c>
      <c r="AV556" t="s">
        <v>93</v>
      </c>
      <c r="AW556">
        <v>0.1150478430858025</v>
      </c>
      <c r="AX556">
        <v>0.16460390710633779</v>
      </c>
      <c r="AY556">
        <v>0.1150478430858025</v>
      </c>
      <c r="AZ556">
        <v>0.1150478430858025</v>
      </c>
      <c r="BA556">
        <v>0.16460390710633779</v>
      </c>
      <c r="BB556">
        <v>0.1819532065225502</v>
      </c>
      <c r="BC556">
        <v>-0.32121553730519281</v>
      </c>
      <c r="BD556">
        <v>8.0823711011229996E-2</v>
      </c>
      <c r="BE556">
        <v>0.71996310383680839</v>
      </c>
      <c r="BF556">
        <v>8.0823711011229996E-2</v>
      </c>
      <c r="BG556">
        <v>8.0823711011229996E-2</v>
      </c>
      <c r="BH556">
        <v>0.71996310383680839</v>
      </c>
      <c r="BI556">
        <v>0.13289314457145859</v>
      </c>
      <c r="BJ556">
        <v>0.5395536376449388</v>
      </c>
      <c r="BK556">
        <v>5.2389812543233549E-2</v>
      </c>
      <c r="BL556">
        <v>0.78967147363641899</v>
      </c>
      <c r="BM556">
        <v>5.2389812543233549E-2</v>
      </c>
      <c r="BN556">
        <v>5.2389812543233549E-2</v>
      </c>
      <c r="BO556">
        <v>0.78967147363641899</v>
      </c>
      <c r="BP556">
        <v>0.21926280302444301</v>
      </c>
      <c r="BQ556">
        <v>0.1197291990991188</v>
      </c>
      <c r="BR556">
        <v>64.662651103576621</v>
      </c>
      <c r="BS556">
        <v>0.81595869625053397</v>
      </c>
      <c r="BT556">
        <v>64.662651103576621</v>
      </c>
      <c r="BU556">
        <v>64.662651103576621</v>
      </c>
      <c r="BV556">
        <v>0.81595869625053397</v>
      </c>
      <c r="BW556">
        <v>503.57668067618209</v>
      </c>
      <c r="BX556">
        <v>-0.43326800351906442</v>
      </c>
      <c r="BY556" s="5" t="str">
        <f t="shared" si="21"/>
        <v>[[sv,wv],[yr],[ya]]</v>
      </c>
      <c r="BZ556" t="str">
        <f>SUBSTITUTE(TRIM(MID(SUBSTITUTE(SUBSTITUTE(SUBSTITUTE(Tabla1[[#This Row],[map]],"[",""),"]",""),",",REPT(" ",100)),901,200))," ",", ")</f>
        <v>2, 4</v>
      </c>
      <c r="CA556" s="5" t="str">
        <f>SUBSTITUTE(TRIM(MID(SUBSTITUTE(SUBSTITUTE(SUBSTITUTE(Tabla1[[#This Row],[map]],"[",""),"]",""),",",REPT(" ",100)),1501,200))," ",", ")</f>
        <v>3, 4</v>
      </c>
      <c r="CB556" s="5" t="str">
        <f>SUBSTITUTE(TRIM(MID(SUBSTITUTE(SUBSTITUTE(SUBSTITUTE(Tabla1[[#This Row],[map]],"[",""),"]",""),",",REPT(" ",100)),601,300))," ",", ")</f>
        <v>0, 1, 3</v>
      </c>
      <c r="CC556" s="5" t="str">
        <f>SUBSTITUTE(TRIM(MID(SUBSTITUTE(SUBSTITUTE(SUBSTITUTE(Tabla1[[#This Row],[map]],"[",""),"]",""),",",REPT(" ",100)),1201,300))," ",", ")</f>
        <v>2, 0, 1</v>
      </c>
      <c r="CD556" s="5" t="str">
        <f>SUBSTITUTE(TRIM(MID(SUBSTITUTE(SUBSTITUTE(SUBSTITUTE(Tabla1[[#This Row],[map]],"[",""),"]",""),",",REPT(" ",100)),1,300))," ",", ")</f>
        <v>4, 2, 3</v>
      </c>
      <c r="CE556" s="5" t="str">
        <f>SUBSTITUTE(TRIM(MID(SUBSTITUTE(SUBSTITUTE(SUBSTITUTE(Tabla1[[#This Row],[map]],"[",""),"]",""),",",REPT(" ",100)),1,600))," ",", ")</f>
        <v>4, 2, 3, 0, 1, -1</v>
      </c>
      <c r="CF556" s="5" t="str">
        <f>SUBSTITUTE(TRIM(MID(SUBSTITUTE(SUBSTITUTE(SUBSTITUTE(Tabla1[[#This Row],[map]],"[",""),"]",""),",",REPT(" ",100)),601,600))," ",", ")</f>
        <v>0, 1, 3, 2, 4, -1</v>
      </c>
      <c r="CG556" s="5" t="str">
        <f>SUBSTITUTE(TRIM(MID(SUBSTITUTE(SUBSTITUTE(SUBSTITUTE(Tabla1[[#This Row],[map]],"[",""),"]",""),",",REPT(" ",100)),1201,600))," ",", ")</f>
        <v>2, 0, 1, 3, 4, -1</v>
      </c>
    </row>
    <row r="557" spans="1:85" x14ac:dyDescent="0.3">
      <c r="A557" s="1">
        <v>46113.899652777778</v>
      </c>
      <c r="B557" t="s">
        <v>812</v>
      </c>
      <c r="C557">
        <v>8</v>
      </c>
      <c r="D557" t="s">
        <v>77</v>
      </c>
      <c r="E557" t="s">
        <v>78</v>
      </c>
      <c r="F557">
        <v>16590</v>
      </c>
      <c r="G557">
        <v>4.5</v>
      </c>
      <c r="H557" t="s">
        <v>79</v>
      </c>
      <c r="I557" t="s">
        <v>80</v>
      </c>
      <c r="J557">
        <v>5</v>
      </c>
      <c r="K557">
        <v>5</v>
      </c>
      <c r="L557" t="s">
        <v>81</v>
      </c>
      <c r="M557" t="s">
        <v>82</v>
      </c>
      <c r="N557" t="s">
        <v>83</v>
      </c>
      <c r="O557" t="s">
        <v>83</v>
      </c>
      <c r="P557" t="s">
        <v>84</v>
      </c>
      <c r="Q557" t="s">
        <v>303</v>
      </c>
      <c r="R557">
        <v>3</v>
      </c>
      <c r="S557" t="s">
        <v>86</v>
      </c>
      <c r="T557" t="s">
        <v>87</v>
      </c>
      <c r="U557" t="s">
        <v>88</v>
      </c>
      <c r="V557">
        <v>1</v>
      </c>
      <c r="W557" t="s">
        <v>304</v>
      </c>
      <c r="X557" t="s">
        <v>83</v>
      </c>
      <c r="Y557" t="s">
        <v>90</v>
      </c>
      <c r="Z557">
        <v>4000</v>
      </c>
      <c r="AA557">
        <v>4000</v>
      </c>
      <c r="AC557">
        <v>256</v>
      </c>
      <c r="AD557" t="s">
        <v>91</v>
      </c>
      <c r="AE557">
        <v>0.15</v>
      </c>
      <c r="AF557" t="s">
        <v>92</v>
      </c>
      <c r="AG557">
        <v>180</v>
      </c>
      <c r="AH557">
        <v>60</v>
      </c>
      <c r="AI557">
        <v>120</v>
      </c>
      <c r="AJ557">
        <v>0.12100910234437751</v>
      </c>
      <c r="AK557">
        <v>12.004434683170039</v>
      </c>
      <c r="AL557">
        <v>0.66529300323129603</v>
      </c>
      <c r="AM557">
        <v>2.527989236303008E-2</v>
      </c>
      <c r="AN557">
        <v>15.38020564584863</v>
      </c>
      <c r="AO557">
        <v>0.59954073660371943</v>
      </c>
      <c r="AP557">
        <v>15.38020564584863</v>
      </c>
      <c r="AQ557">
        <v>15.38020564584863</v>
      </c>
      <c r="AR557">
        <v>0.59954073660371943</v>
      </c>
      <c r="AS557">
        <v>130.51434038789179</v>
      </c>
      <c r="AT557">
        <v>4.2840818087789563E-2</v>
      </c>
      <c r="AU557">
        <v>0.8</v>
      </c>
      <c r="AV557" t="s">
        <v>93</v>
      </c>
      <c r="AW557">
        <v>0.1093554537213819</v>
      </c>
      <c r="AX557">
        <v>0.20593801391544889</v>
      </c>
      <c r="AY557">
        <v>0.1093554537213819</v>
      </c>
      <c r="AZ557">
        <v>0.1093554537213819</v>
      </c>
      <c r="BA557">
        <v>0.20593801391544889</v>
      </c>
      <c r="BB557">
        <v>0.13272969290542239</v>
      </c>
      <c r="BC557">
        <v>3.6210815517245698E-2</v>
      </c>
      <c r="BD557">
        <v>8.3867598179885983E-2</v>
      </c>
      <c r="BE557">
        <v>0.70941668491695764</v>
      </c>
      <c r="BF557">
        <v>8.3867598179885983E-2</v>
      </c>
      <c r="BG557">
        <v>8.3867598179885983E-2</v>
      </c>
      <c r="BH557">
        <v>0.70941668491695764</v>
      </c>
      <c r="BI557">
        <v>0.12092289943649739</v>
      </c>
      <c r="BJ557">
        <v>0.5810279804085533</v>
      </c>
      <c r="BK557">
        <v>8.5407893884205235E-2</v>
      </c>
      <c r="BL557">
        <v>0.65711432073444009</v>
      </c>
      <c r="BM557">
        <v>8.5407893884205235E-2</v>
      </c>
      <c r="BN557">
        <v>8.5407893884205235E-2</v>
      </c>
      <c r="BO557">
        <v>0.65711432073444009</v>
      </c>
      <c r="BP557">
        <v>0.2394738518905235</v>
      </c>
      <c r="BQ557">
        <v>3.8588230695060677E-2</v>
      </c>
      <c r="BR557">
        <v>61.242191637608812</v>
      </c>
      <c r="BS557">
        <v>0.82569392684803267</v>
      </c>
      <c r="BT557">
        <v>61.242191637608812</v>
      </c>
      <c r="BU557">
        <v>61.242191637608812</v>
      </c>
      <c r="BV557">
        <v>0.82569392684803267</v>
      </c>
      <c r="BW557">
        <v>521.56423510733543</v>
      </c>
      <c r="BX557">
        <v>-0.48446375426969862</v>
      </c>
      <c r="BY557" s="5" t="str">
        <f t="shared" si="21"/>
        <v>[[sv,wv],[yr],[ya]]</v>
      </c>
      <c r="BZ557" t="str">
        <f>SUBSTITUTE(TRIM(MID(SUBSTITUTE(SUBSTITUTE(SUBSTITUTE(Tabla1[[#This Row],[map]],"[",""),"]",""),",",REPT(" ",100)),901,200))," ",", ")</f>
        <v>2, 4</v>
      </c>
      <c r="CA557" s="5" t="str">
        <f>SUBSTITUTE(TRIM(MID(SUBSTITUTE(SUBSTITUTE(SUBSTITUTE(Tabla1[[#This Row],[map]],"[",""),"]",""),",",REPT(" ",100)),1501,200))," ",", ")</f>
        <v>3, 4</v>
      </c>
      <c r="CB557" s="5" t="str">
        <f>SUBSTITUTE(TRIM(MID(SUBSTITUTE(SUBSTITUTE(SUBSTITUTE(Tabla1[[#This Row],[map]],"[",""),"]",""),",",REPT(" ",100)),601,300))," ",", ")</f>
        <v>3, 0, 1</v>
      </c>
      <c r="CC557" s="5" t="str">
        <f>SUBSTITUTE(TRIM(MID(SUBSTITUTE(SUBSTITUTE(SUBSTITUTE(Tabla1[[#This Row],[map]],"[",""),"]",""),",",REPT(" ",100)),1201,300))," ",", ")</f>
        <v>2, 0, 1</v>
      </c>
      <c r="CD557" s="5" t="str">
        <f>SUBSTITUTE(TRIM(MID(SUBSTITUTE(SUBSTITUTE(SUBSTITUTE(Tabla1[[#This Row],[map]],"[",""),"]",""),",",REPT(" ",100)),1,300))," ",", ")</f>
        <v>4, 2, 3</v>
      </c>
      <c r="CE557" s="5" t="str">
        <f>SUBSTITUTE(TRIM(MID(SUBSTITUTE(SUBSTITUTE(SUBSTITUTE(Tabla1[[#This Row],[map]],"[",""),"]",""),",",REPT(" ",100)),1,600))," ",", ")</f>
        <v>4, 2, 3, 0, 1, -1</v>
      </c>
      <c r="CF557" s="5" t="str">
        <f>SUBSTITUTE(TRIM(MID(SUBSTITUTE(SUBSTITUTE(SUBSTITUTE(Tabla1[[#This Row],[map]],"[",""),"]",""),",",REPT(" ",100)),601,600))," ",", ")</f>
        <v>3, 0, 1, 2, 4, -1</v>
      </c>
      <c r="CG557" s="5" t="str">
        <f>SUBSTITUTE(TRIM(MID(SUBSTITUTE(SUBSTITUTE(SUBSTITUTE(Tabla1[[#This Row],[map]],"[",""),"]",""),",",REPT(" ",100)),1201,600))," ",", ")</f>
        <v>2, 0, 1, 3, 4, -1</v>
      </c>
    </row>
    <row r="558" spans="1:85" x14ac:dyDescent="0.3">
      <c r="A558" s="1">
        <v>46113.912407407413</v>
      </c>
      <c r="B558" t="s">
        <v>813</v>
      </c>
      <c r="C558">
        <v>9</v>
      </c>
      <c r="D558" t="s">
        <v>96</v>
      </c>
      <c r="E558" t="s">
        <v>78</v>
      </c>
      <c r="F558">
        <v>16590</v>
      </c>
      <c r="G558">
        <v>4.5</v>
      </c>
      <c r="H558" t="s">
        <v>79</v>
      </c>
      <c r="I558" t="s">
        <v>80</v>
      </c>
      <c r="J558">
        <v>5</v>
      </c>
      <c r="K558">
        <v>5</v>
      </c>
      <c r="L558" t="s">
        <v>81</v>
      </c>
      <c r="M558" t="s">
        <v>82</v>
      </c>
      <c r="N558" t="s">
        <v>83</v>
      </c>
      <c r="O558" t="s">
        <v>83</v>
      </c>
      <c r="P558" t="s">
        <v>84</v>
      </c>
      <c r="Q558" t="s">
        <v>287</v>
      </c>
      <c r="R558">
        <v>3</v>
      </c>
      <c r="S558" t="s">
        <v>86</v>
      </c>
      <c r="T558" t="s">
        <v>87</v>
      </c>
      <c r="U558" t="s">
        <v>88</v>
      </c>
      <c r="V558">
        <v>1</v>
      </c>
      <c r="W558" t="s">
        <v>288</v>
      </c>
      <c r="X558" t="s">
        <v>83</v>
      </c>
      <c r="Y558" t="s">
        <v>90</v>
      </c>
      <c r="Z558">
        <v>4000</v>
      </c>
      <c r="AA558">
        <v>4000</v>
      </c>
      <c r="AC558">
        <v>256</v>
      </c>
      <c r="AD558" t="s">
        <v>91</v>
      </c>
      <c r="AE558">
        <v>0.15</v>
      </c>
      <c r="AF558" t="s">
        <v>92</v>
      </c>
      <c r="AG558">
        <v>180</v>
      </c>
      <c r="AH558">
        <v>60</v>
      </c>
      <c r="AI558">
        <v>120</v>
      </c>
      <c r="AJ558">
        <v>0.14223989134394399</v>
      </c>
      <c r="AK558">
        <v>46.448212289415657</v>
      </c>
      <c r="AL558">
        <v>0.61283766071958379</v>
      </c>
      <c r="AM558">
        <v>0.34337785324910219</v>
      </c>
      <c r="AN558">
        <v>48.993737231020049</v>
      </c>
      <c r="AO558">
        <v>0.56001518267769101</v>
      </c>
      <c r="AP558">
        <v>48.993737231020049</v>
      </c>
      <c r="AQ558">
        <v>48.993737231020049</v>
      </c>
      <c r="AR558">
        <v>0.56001518267769101</v>
      </c>
      <c r="AS558">
        <v>91.19213293936906</v>
      </c>
      <c r="AT558">
        <v>0.29185720050677783</v>
      </c>
      <c r="AU558">
        <v>0.8</v>
      </c>
      <c r="AV558" t="s">
        <v>93</v>
      </c>
      <c r="AW558">
        <v>7.1522469384169049E-2</v>
      </c>
      <c r="AX558">
        <v>0.4806543966836454</v>
      </c>
      <c r="AY558">
        <v>7.1522469384169049E-2</v>
      </c>
      <c r="AZ558">
        <v>7.1522469384169049E-2</v>
      </c>
      <c r="BA558">
        <v>0.4806543966836454</v>
      </c>
      <c r="BB558">
        <v>7.6656921116257604E-2</v>
      </c>
      <c r="BC558">
        <v>0.4433716384754891</v>
      </c>
      <c r="BD558">
        <v>8.004366842255238E-2</v>
      </c>
      <c r="BE558">
        <v>0.72266578480351162</v>
      </c>
      <c r="BF558">
        <v>8.004366842255238E-2</v>
      </c>
      <c r="BG558">
        <v>8.004366842255238E-2</v>
      </c>
      <c r="BH558">
        <v>0.72266578480351162</v>
      </c>
      <c r="BI558">
        <v>0.1002957521468774</v>
      </c>
      <c r="BJ558">
        <v>0.65249664017949083</v>
      </c>
      <c r="BK558">
        <v>0.1011784703354742</v>
      </c>
      <c r="BL558">
        <v>0.59380044454596703</v>
      </c>
      <c r="BM558">
        <v>0.1011784703354742</v>
      </c>
      <c r="BN558">
        <v>0.1011784703354742</v>
      </c>
      <c r="BO558">
        <v>0.59380044454596703</v>
      </c>
      <c r="BP558">
        <v>0.2220298224041119</v>
      </c>
      <c r="BQ558">
        <v>0.10862049150324871</v>
      </c>
      <c r="BR558">
        <v>195.72220431593809</v>
      </c>
      <c r="BS558">
        <v>0.442940104677641</v>
      </c>
      <c r="BT558">
        <v>195.72220431593809</v>
      </c>
      <c r="BU558">
        <v>195.72220431593809</v>
      </c>
      <c r="BV558">
        <v>0.442940104677641</v>
      </c>
      <c r="BW558">
        <v>364.36954926180732</v>
      </c>
      <c r="BX558">
        <v>-3.7059968131110337E-2</v>
      </c>
      <c r="BY558" s="5" t="str">
        <f t="shared" si="21"/>
        <v>[[sv,wv],[yr],[ya]]</v>
      </c>
      <c r="BZ558" t="str">
        <f>SUBSTITUTE(TRIM(MID(SUBSTITUTE(SUBSTITUTE(SUBSTITUTE(Tabla1[[#This Row],[map]],"[",""),"]",""),",",REPT(" ",100)),901,200))," ",", ")</f>
        <v>2, 4</v>
      </c>
      <c r="CA558" s="5" t="str">
        <f>SUBSTITUTE(TRIM(MID(SUBSTITUTE(SUBSTITUTE(SUBSTITUTE(Tabla1[[#This Row],[map]],"[",""),"]",""),",",REPT(" ",100)),1501,200))," ",", ")</f>
        <v>3, 2</v>
      </c>
      <c r="CB558" s="5" t="str">
        <f>SUBSTITUTE(TRIM(MID(SUBSTITUTE(SUBSTITUTE(SUBSTITUTE(Tabla1[[#This Row],[map]],"[",""),"]",""),",",REPT(" ",100)),601,300))," ",", ")</f>
        <v>3, 0, 1</v>
      </c>
      <c r="CC558" s="5" t="str">
        <f>SUBSTITUTE(TRIM(MID(SUBSTITUTE(SUBSTITUTE(SUBSTITUTE(Tabla1[[#This Row],[map]],"[",""),"]",""),",",REPT(" ",100)),1201,300))," ",", ")</f>
        <v>4, 0, 1</v>
      </c>
      <c r="CD558" s="5" t="str">
        <f>SUBSTITUTE(TRIM(MID(SUBSTITUTE(SUBSTITUTE(SUBSTITUTE(Tabla1[[#This Row],[map]],"[",""),"]",""),",",REPT(" ",100)),1,300))," ",", ")</f>
        <v>4, 2, 3</v>
      </c>
      <c r="CE558" s="5" t="str">
        <f>SUBSTITUTE(TRIM(MID(SUBSTITUTE(SUBSTITUTE(SUBSTITUTE(Tabla1[[#This Row],[map]],"[",""),"]",""),",",REPT(" ",100)),1,600))," ",", ")</f>
        <v>4, 2, 3, 0, 1, -1</v>
      </c>
      <c r="CF558" s="5" t="str">
        <f>SUBSTITUTE(TRIM(MID(SUBSTITUTE(SUBSTITUTE(SUBSTITUTE(Tabla1[[#This Row],[map]],"[",""),"]",""),",",REPT(" ",100)),601,600))," ",", ")</f>
        <v>3, 0, 1, 2, 4, -1</v>
      </c>
      <c r="CG558" s="5" t="str">
        <f>SUBSTITUTE(TRIM(MID(SUBSTITUTE(SUBSTITUTE(SUBSTITUTE(Tabla1[[#This Row],[map]],"[",""),"]",""),",",REPT(" ",100)),1201,600))," ",", ")</f>
        <v>4, 0, 1, 3, 2, -1</v>
      </c>
    </row>
    <row r="559" spans="1:85" x14ac:dyDescent="0.3">
      <c r="A559" s="1">
        <v>46113.912199074082</v>
      </c>
      <c r="B559" t="s">
        <v>814</v>
      </c>
      <c r="C559">
        <v>7</v>
      </c>
      <c r="D559" t="s">
        <v>96</v>
      </c>
      <c r="E559" t="s">
        <v>78</v>
      </c>
      <c r="F559">
        <v>16590</v>
      </c>
      <c r="G559">
        <v>4.5</v>
      </c>
      <c r="H559" t="s">
        <v>79</v>
      </c>
      <c r="I559" t="s">
        <v>80</v>
      </c>
      <c r="J559">
        <v>5</v>
      </c>
      <c r="K559">
        <v>5</v>
      </c>
      <c r="L559" t="s">
        <v>81</v>
      </c>
      <c r="M559" t="s">
        <v>82</v>
      </c>
      <c r="N559" t="s">
        <v>83</v>
      </c>
      <c r="O559" t="s">
        <v>83</v>
      </c>
      <c r="P559" t="s">
        <v>84</v>
      </c>
      <c r="Q559" t="s">
        <v>303</v>
      </c>
      <c r="R559">
        <v>3</v>
      </c>
      <c r="S559" t="s">
        <v>86</v>
      </c>
      <c r="T559" t="s">
        <v>87</v>
      </c>
      <c r="U559" t="s">
        <v>88</v>
      </c>
      <c r="V559">
        <v>1</v>
      </c>
      <c r="W559" t="s">
        <v>304</v>
      </c>
      <c r="X559" t="s">
        <v>83</v>
      </c>
      <c r="Y559" t="s">
        <v>90</v>
      </c>
      <c r="Z559">
        <v>4000</v>
      </c>
      <c r="AA559">
        <v>4000</v>
      </c>
      <c r="AC559">
        <v>256</v>
      </c>
      <c r="AD559" t="s">
        <v>91</v>
      </c>
      <c r="AE559">
        <v>0.15</v>
      </c>
      <c r="AF559" t="s">
        <v>92</v>
      </c>
      <c r="AG559">
        <v>180</v>
      </c>
      <c r="AH559">
        <v>60</v>
      </c>
      <c r="AI559">
        <v>120</v>
      </c>
      <c r="AJ559">
        <v>0.1237071292467086</v>
      </c>
      <c r="AK559">
        <v>12.312502111549581</v>
      </c>
      <c r="AL559">
        <v>0.72826829603039878</v>
      </c>
      <c r="AM559">
        <v>0.24043986117375729</v>
      </c>
      <c r="AN559">
        <v>16.291742282296319</v>
      </c>
      <c r="AO559">
        <v>0.64032431468978701</v>
      </c>
      <c r="AP559">
        <v>16.291742282296319</v>
      </c>
      <c r="AQ559">
        <v>16.291742282296319</v>
      </c>
      <c r="AR559">
        <v>0.64032431468978701</v>
      </c>
      <c r="AS559">
        <v>99.164738496956744</v>
      </c>
      <c r="AT559">
        <v>0.25198079292392422</v>
      </c>
      <c r="AU559">
        <v>0.8</v>
      </c>
      <c r="AV559" t="s">
        <v>93</v>
      </c>
      <c r="AW559">
        <v>7.156016758906715E-2</v>
      </c>
      <c r="AX559">
        <v>0.48038065897386939</v>
      </c>
      <c r="AY559">
        <v>7.156016758906715E-2</v>
      </c>
      <c r="AZ559">
        <v>7.156016758906715E-2</v>
      </c>
      <c r="BA559">
        <v>0.48038065897386939</v>
      </c>
      <c r="BB559">
        <v>7.4124739468915388E-2</v>
      </c>
      <c r="BC559">
        <v>0.46175855124106868</v>
      </c>
      <c r="BD559">
        <v>7.8670829446375684E-2</v>
      </c>
      <c r="BE559">
        <v>0.7274223786422549</v>
      </c>
      <c r="BF559">
        <v>7.8670829446375684E-2</v>
      </c>
      <c r="BG559">
        <v>7.8670829446375684E-2</v>
      </c>
      <c r="BH559">
        <v>0.7274223786422549</v>
      </c>
      <c r="BI559">
        <v>9.1231009409780989E-2</v>
      </c>
      <c r="BJ559">
        <v>0.68390403769754848</v>
      </c>
      <c r="BK559">
        <v>0.1150237711513864</v>
      </c>
      <c r="BL559">
        <v>0.53821594106510084</v>
      </c>
      <c r="BM559">
        <v>0.1150237711513864</v>
      </c>
      <c r="BN559">
        <v>0.1150237711513864</v>
      </c>
      <c r="BO559">
        <v>0.53821594106510084</v>
      </c>
      <c r="BP559">
        <v>0.25156770118906302</v>
      </c>
      <c r="BQ559">
        <v>-9.9647489310055182E-3</v>
      </c>
      <c r="BR559">
        <v>64.901714360998469</v>
      </c>
      <c r="BS559">
        <v>0.81527828007792713</v>
      </c>
      <c r="BT559">
        <v>64.901714360998469</v>
      </c>
      <c r="BU559">
        <v>64.901714360998469</v>
      </c>
      <c r="BV559">
        <v>0.81527828007792713</v>
      </c>
      <c r="BW559">
        <v>396.24203053775739</v>
      </c>
      <c r="BX559">
        <v>-0.1277746683119054</v>
      </c>
      <c r="BY559" s="5" t="str">
        <f t="shared" si="21"/>
        <v>[[sv,wv],[yr],[ya]]</v>
      </c>
      <c r="BZ559" t="str">
        <f>SUBSTITUTE(TRIM(MID(SUBSTITUTE(SUBSTITUTE(SUBSTITUTE(Tabla1[[#This Row],[map]],"[",""),"]",""),",",REPT(" ",100)),901,200))," ",", ")</f>
        <v>2, 4</v>
      </c>
      <c r="CA559" s="5" t="str">
        <f>SUBSTITUTE(TRIM(MID(SUBSTITUTE(SUBSTITUTE(SUBSTITUTE(Tabla1[[#This Row],[map]],"[",""),"]",""),",",REPT(" ",100)),1501,200))," ",", ")</f>
        <v>3, 4</v>
      </c>
      <c r="CB559" s="5" t="str">
        <f>SUBSTITUTE(TRIM(MID(SUBSTITUTE(SUBSTITUTE(SUBSTITUTE(Tabla1[[#This Row],[map]],"[",""),"]",""),",",REPT(" ",100)),601,300))," ",", ")</f>
        <v>3, 0, 1</v>
      </c>
      <c r="CC559" s="5" t="str">
        <f>SUBSTITUTE(TRIM(MID(SUBSTITUTE(SUBSTITUTE(SUBSTITUTE(Tabla1[[#This Row],[map]],"[",""),"]",""),",",REPT(" ",100)),1201,300))," ",", ")</f>
        <v>2, 0, 1</v>
      </c>
      <c r="CD559" s="5" t="str">
        <f>SUBSTITUTE(TRIM(MID(SUBSTITUTE(SUBSTITUTE(SUBSTITUTE(Tabla1[[#This Row],[map]],"[",""),"]",""),",",REPT(" ",100)),1,300))," ",", ")</f>
        <v>4, 2, 3</v>
      </c>
      <c r="CE559" s="5" t="str">
        <f>SUBSTITUTE(TRIM(MID(SUBSTITUTE(SUBSTITUTE(SUBSTITUTE(Tabla1[[#This Row],[map]],"[",""),"]",""),",",REPT(" ",100)),1,600))," ",", ")</f>
        <v>4, 2, 3, 0, 1, -1</v>
      </c>
      <c r="CF559" s="5" t="str">
        <f>SUBSTITUTE(TRIM(MID(SUBSTITUTE(SUBSTITUTE(SUBSTITUTE(Tabla1[[#This Row],[map]],"[",""),"]",""),",",REPT(" ",100)),601,600))," ",", ")</f>
        <v>3, 0, 1, 2, 4, -1</v>
      </c>
      <c r="CG559" s="5" t="str">
        <f>SUBSTITUTE(TRIM(MID(SUBSTITUTE(SUBSTITUTE(SUBSTITUTE(Tabla1[[#This Row],[map]],"[",""),"]",""),",",REPT(" ",100)),1201,600))," ",", ")</f>
        <v>2, 0, 1, 3, 4, -1</v>
      </c>
    </row>
    <row r="560" spans="1:85" x14ac:dyDescent="0.3">
      <c r="A560" s="1">
        <v>46114.046689814822</v>
      </c>
      <c r="B560" t="s">
        <v>815</v>
      </c>
      <c r="C560">
        <v>9</v>
      </c>
      <c r="D560" t="s">
        <v>77</v>
      </c>
      <c r="E560" t="s">
        <v>78</v>
      </c>
      <c r="F560">
        <v>16590</v>
      </c>
      <c r="G560">
        <v>4.5</v>
      </c>
      <c r="H560" t="s">
        <v>79</v>
      </c>
      <c r="I560" t="s">
        <v>80</v>
      </c>
      <c r="J560">
        <v>5</v>
      </c>
      <c r="K560">
        <v>5</v>
      </c>
      <c r="L560" t="s">
        <v>81</v>
      </c>
      <c r="M560" t="s">
        <v>82</v>
      </c>
      <c r="N560" t="s">
        <v>83</v>
      </c>
      <c r="O560" t="s">
        <v>83</v>
      </c>
      <c r="P560" t="s">
        <v>84</v>
      </c>
      <c r="Q560" t="s">
        <v>295</v>
      </c>
      <c r="R560">
        <v>3</v>
      </c>
      <c r="S560" t="s">
        <v>86</v>
      </c>
      <c r="T560" t="s">
        <v>87</v>
      </c>
      <c r="U560" t="s">
        <v>88</v>
      </c>
      <c r="V560">
        <v>1</v>
      </c>
      <c r="W560" t="s">
        <v>296</v>
      </c>
      <c r="X560" t="s">
        <v>83</v>
      </c>
      <c r="Y560" t="s">
        <v>90</v>
      </c>
      <c r="Z560">
        <v>4000</v>
      </c>
      <c r="AA560">
        <v>4000</v>
      </c>
      <c r="AC560">
        <v>256</v>
      </c>
      <c r="AD560" t="s">
        <v>91</v>
      </c>
      <c r="AE560">
        <v>0.15</v>
      </c>
      <c r="AF560" t="s">
        <v>92</v>
      </c>
      <c r="AG560">
        <v>180</v>
      </c>
      <c r="AH560">
        <v>60</v>
      </c>
      <c r="AI560">
        <v>120</v>
      </c>
      <c r="AJ560">
        <v>0.12465527706009789</v>
      </c>
      <c r="AK560">
        <v>19.259348235353571</v>
      </c>
      <c r="AL560">
        <v>0.71822582456338901</v>
      </c>
      <c r="AM560">
        <v>0.26101565536645371</v>
      </c>
      <c r="AN560">
        <v>21.307941376814121</v>
      </c>
      <c r="AO560">
        <v>0.65048368077482288</v>
      </c>
      <c r="AP560">
        <v>21.307941376814121</v>
      </c>
      <c r="AQ560">
        <v>21.307941376814121</v>
      </c>
      <c r="AR560">
        <v>0.65048368077482288</v>
      </c>
      <c r="AS560">
        <v>73.725736773109958</v>
      </c>
      <c r="AT560">
        <v>0.245942037339102</v>
      </c>
      <c r="AU560">
        <v>0.8</v>
      </c>
      <c r="AV560" t="s">
        <v>93</v>
      </c>
      <c r="AW560">
        <v>7.7470002473414942E-2</v>
      </c>
      <c r="AX560">
        <v>0.43746761654204591</v>
      </c>
      <c r="AY560">
        <v>7.7470002473414942E-2</v>
      </c>
      <c r="AZ560">
        <v>7.7470002473414942E-2</v>
      </c>
      <c r="BA560">
        <v>0.43746761654204591</v>
      </c>
      <c r="BB560">
        <v>7.6134698355236508E-2</v>
      </c>
      <c r="BC560">
        <v>0.4471636509328788</v>
      </c>
      <c r="BD560">
        <v>7.8991527026523095E-2</v>
      </c>
      <c r="BE560">
        <v>0.72631123002227804</v>
      </c>
      <c r="BF560">
        <v>7.8991527026523095E-2</v>
      </c>
      <c r="BG560">
        <v>7.8991527026523095E-2</v>
      </c>
      <c r="BH560">
        <v>0.72631123002227804</v>
      </c>
      <c r="BI560">
        <v>0.1481362758388042</v>
      </c>
      <c r="BJ560">
        <v>0.48673944346221348</v>
      </c>
      <c r="BK560">
        <v>7.969036870564257E-2</v>
      </c>
      <c r="BL560">
        <v>0.68006837586226421</v>
      </c>
      <c r="BM560">
        <v>7.969036870564257E-2</v>
      </c>
      <c r="BN560">
        <v>7.969036870564257E-2</v>
      </c>
      <c r="BO560">
        <v>0.68006837586226421</v>
      </c>
      <c r="BP560">
        <v>0.27703701381531121</v>
      </c>
      <c r="BQ560">
        <v>-0.11221598313329301</v>
      </c>
      <c r="BR560">
        <v>84.995613609050594</v>
      </c>
      <c r="BS560">
        <v>0.75808750067269826</v>
      </c>
      <c r="BT560">
        <v>84.995613609050594</v>
      </c>
      <c r="BU560">
        <v>84.995613609050594</v>
      </c>
      <c r="BV560">
        <v>0.75808750067269826</v>
      </c>
      <c r="BW560">
        <v>294.40163910443113</v>
      </c>
      <c r="BX560">
        <v>0.16208103809461111</v>
      </c>
      <c r="BY560" s="5" t="str">
        <f t="shared" si="21"/>
        <v>[[sv,wv],[yr],[ya]]</v>
      </c>
      <c r="BZ560" t="str">
        <f>SUBSTITUTE(TRIM(MID(SUBSTITUTE(SUBSTITUTE(SUBSTITUTE(Tabla1[[#This Row],[map]],"[",""),"]",""),",",REPT(" ",100)),901,200))," ",", ")</f>
        <v>2, 4</v>
      </c>
      <c r="CA560" s="5" t="str">
        <f>SUBSTITUTE(TRIM(MID(SUBSTITUTE(SUBSTITUTE(SUBSTITUTE(Tabla1[[#This Row],[map]],"[",""),"]",""),",",REPT(" ",100)),1501,200))," ",", ")</f>
        <v>3, 4</v>
      </c>
      <c r="CB560" s="5" t="str">
        <f>SUBSTITUTE(TRIM(MID(SUBSTITUTE(SUBSTITUTE(SUBSTITUTE(Tabla1[[#This Row],[map]],"[",""),"]",""),",",REPT(" ",100)),601,300))," ",", ")</f>
        <v>3, 0, 1</v>
      </c>
      <c r="CC560" s="5" t="str">
        <f>SUBSTITUTE(TRIM(MID(SUBSTITUTE(SUBSTITUTE(SUBSTITUTE(Tabla1[[#This Row],[map]],"[",""),"]",""),",",REPT(" ",100)),1201,300))," ",", ")</f>
        <v>0, 1, 2</v>
      </c>
      <c r="CD560" s="5" t="str">
        <f>SUBSTITUTE(TRIM(MID(SUBSTITUTE(SUBSTITUTE(SUBSTITUTE(Tabla1[[#This Row],[map]],"[",""),"]",""),",",REPT(" ",100)),1,300))," ",", ")</f>
        <v>4, 2, 3</v>
      </c>
      <c r="CE560" s="5" t="str">
        <f>SUBSTITUTE(TRIM(MID(SUBSTITUTE(SUBSTITUTE(SUBSTITUTE(Tabla1[[#This Row],[map]],"[",""),"]",""),",",REPT(" ",100)),1,600))," ",", ")</f>
        <v>4, 2, 3, 0, 1, -1</v>
      </c>
      <c r="CF560" s="5" t="str">
        <f>SUBSTITUTE(TRIM(MID(SUBSTITUTE(SUBSTITUTE(SUBSTITUTE(Tabla1[[#This Row],[map]],"[",""),"]",""),",",REPT(" ",100)),601,600))," ",", ")</f>
        <v>3, 0, 1, 2, 4, -1</v>
      </c>
      <c r="CG560" s="5" t="str">
        <f>SUBSTITUTE(TRIM(MID(SUBSTITUTE(SUBSTITUTE(SUBSTITUTE(Tabla1[[#This Row],[map]],"[",""),"]",""),",",REPT(" ",100)),1201,600))," ",", ")</f>
        <v>0, 1, 2, 3, 4, -1</v>
      </c>
    </row>
    <row r="561" spans="1:85" x14ac:dyDescent="0.3">
      <c r="A561" s="1">
        <v>46114.161145833343</v>
      </c>
      <c r="B561" t="s">
        <v>816</v>
      </c>
      <c r="C561">
        <v>9</v>
      </c>
      <c r="D561" t="s">
        <v>77</v>
      </c>
      <c r="E561" t="s">
        <v>78</v>
      </c>
      <c r="F561">
        <v>16590</v>
      </c>
      <c r="G561">
        <v>4.5</v>
      </c>
      <c r="H561" t="s">
        <v>79</v>
      </c>
      <c r="I561" t="s">
        <v>80</v>
      </c>
      <c r="J561">
        <v>5</v>
      </c>
      <c r="K561">
        <v>5</v>
      </c>
      <c r="L561" t="s">
        <v>81</v>
      </c>
      <c r="M561" t="s">
        <v>82</v>
      </c>
      <c r="N561" t="s">
        <v>83</v>
      </c>
      <c r="O561" t="s">
        <v>83</v>
      </c>
      <c r="P561" t="s">
        <v>84</v>
      </c>
      <c r="Q561" t="s">
        <v>303</v>
      </c>
      <c r="R561">
        <v>3</v>
      </c>
      <c r="S561" t="s">
        <v>86</v>
      </c>
      <c r="T561" t="s">
        <v>87</v>
      </c>
      <c r="U561" t="s">
        <v>88</v>
      </c>
      <c r="V561">
        <v>1</v>
      </c>
      <c r="W561" t="s">
        <v>304</v>
      </c>
      <c r="X561" t="s">
        <v>83</v>
      </c>
      <c r="Y561" t="s">
        <v>90</v>
      </c>
      <c r="Z561">
        <v>4000</v>
      </c>
      <c r="AA561">
        <v>4000</v>
      </c>
      <c r="AC561">
        <v>256</v>
      </c>
      <c r="AD561" t="s">
        <v>91</v>
      </c>
      <c r="AE561">
        <v>0.15</v>
      </c>
      <c r="AF561" t="s">
        <v>92</v>
      </c>
      <c r="AG561">
        <v>180</v>
      </c>
      <c r="AH561">
        <v>60</v>
      </c>
      <c r="AI561">
        <v>120</v>
      </c>
      <c r="AJ561">
        <v>0.10764233283140739</v>
      </c>
      <c r="AK561">
        <v>13.23936743649142</v>
      </c>
      <c r="AL561">
        <v>0.74726452625359507</v>
      </c>
      <c r="AM561">
        <v>0.14702675275256791</v>
      </c>
      <c r="AN561">
        <v>16.631687670153038</v>
      </c>
      <c r="AO561">
        <v>0.66709084679186825</v>
      </c>
      <c r="AP561">
        <v>16.631687670153038</v>
      </c>
      <c r="AQ561">
        <v>16.631687670153038</v>
      </c>
      <c r="AR561">
        <v>0.66709084679186825</v>
      </c>
      <c r="AS561">
        <v>124.9175041213625</v>
      </c>
      <c r="AT561">
        <v>0.14313478123099349</v>
      </c>
      <c r="AU561">
        <v>0.8</v>
      </c>
      <c r="AV561" t="s">
        <v>93</v>
      </c>
      <c r="AW561">
        <v>7.796049474017519E-2</v>
      </c>
      <c r="AX561">
        <v>0.43390600849920352</v>
      </c>
      <c r="AY561">
        <v>7.796049474017519E-2</v>
      </c>
      <c r="AZ561">
        <v>7.796049474017519E-2</v>
      </c>
      <c r="BA561">
        <v>0.43390600849920352</v>
      </c>
      <c r="BB561">
        <v>7.5180886690308035E-2</v>
      </c>
      <c r="BC561">
        <v>0.45408955685919311</v>
      </c>
      <c r="BD561">
        <v>7.9931251501585893E-2</v>
      </c>
      <c r="BE561">
        <v>0.72305528542442854</v>
      </c>
      <c r="BF561">
        <v>7.9931251501585893E-2</v>
      </c>
      <c r="BG561">
        <v>7.9931251501585893E-2</v>
      </c>
      <c r="BH561">
        <v>0.72305528542442854</v>
      </c>
      <c r="BI561">
        <v>0.13303545248739451</v>
      </c>
      <c r="BJ561">
        <v>0.53906057111063177</v>
      </c>
      <c r="BK561">
        <v>7.4704031038357516E-2</v>
      </c>
      <c r="BL561">
        <v>0.70008694440831132</v>
      </c>
      <c r="BM561">
        <v>7.4704031038357516E-2</v>
      </c>
      <c r="BN561">
        <v>7.4704031038357516E-2</v>
      </c>
      <c r="BO561">
        <v>0.70008694440831132</v>
      </c>
      <c r="BP561">
        <v>0.24902670396094251</v>
      </c>
      <c r="BQ561">
        <v>2.365512176349949E-4</v>
      </c>
      <c r="BR561">
        <v>66.29415490333227</v>
      </c>
      <c r="BS561">
        <v>0.81131514883553124</v>
      </c>
      <c r="BT561">
        <v>66.29415490333227</v>
      </c>
      <c r="BU561">
        <v>66.29415490333227</v>
      </c>
      <c r="BV561">
        <v>0.81131514883553124</v>
      </c>
      <c r="BW561">
        <v>499.21277344231112</v>
      </c>
      <c r="BX561">
        <v>-0.42084755426348258</v>
      </c>
      <c r="BY561" s="5" t="str">
        <f t="shared" si="21"/>
        <v>[[sv,wv],[yr],[ya]]</v>
      </c>
      <c r="BZ561" t="str">
        <f>SUBSTITUTE(TRIM(MID(SUBSTITUTE(SUBSTITUTE(SUBSTITUTE(Tabla1[[#This Row],[map]],"[",""),"]",""),",",REPT(" ",100)),901,200))," ",", ")</f>
        <v>2, 4</v>
      </c>
      <c r="CA561" s="5" t="str">
        <f>SUBSTITUTE(TRIM(MID(SUBSTITUTE(SUBSTITUTE(SUBSTITUTE(Tabla1[[#This Row],[map]],"[",""),"]",""),",",REPT(" ",100)),1501,200))," ",", ")</f>
        <v>3, 4</v>
      </c>
      <c r="CB561" s="5" t="str">
        <f>SUBSTITUTE(TRIM(MID(SUBSTITUTE(SUBSTITUTE(SUBSTITUTE(Tabla1[[#This Row],[map]],"[",""),"]",""),",",REPT(" ",100)),601,300))," ",", ")</f>
        <v>3, 0, 1</v>
      </c>
      <c r="CC561" s="5" t="str">
        <f>SUBSTITUTE(TRIM(MID(SUBSTITUTE(SUBSTITUTE(SUBSTITUTE(Tabla1[[#This Row],[map]],"[",""),"]",""),",",REPT(" ",100)),1201,300))," ",", ")</f>
        <v>2, 0, 1</v>
      </c>
      <c r="CD561" s="5" t="str">
        <f>SUBSTITUTE(TRIM(MID(SUBSTITUTE(SUBSTITUTE(SUBSTITUTE(Tabla1[[#This Row],[map]],"[",""),"]",""),",",REPT(" ",100)),1,300))," ",", ")</f>
        <v>4, 2, 3</v>
      </c>
      <c r="CE561" s="5" t="str">
        <f>SUBSTITUTE(TRIM(MID(SUBSTITUTE(SUBSTITUTE(SUBSTITUTE(Tabla1[[#This Row],[map]],"[",""),"]",""),",",REPT(" ",100)),1,600))," ",", ")</f>
        <v>4, 2, 3, 0, 1, -1</v>
      </c>
      <c r="CF561" s="5" t="str">
        <f>SUBSTITUTE(TRIM(MID(SUBSTITUTE(SUBSTITUTE(SUBSTITUTE(Tabla1[[#This Row],[map]],"[",""),"]",""),",",REPT(" ",100)),601,600))," ",", ")</f>
        <v>3, 0, 1, 2, 4, -1</v>
      </c>
      <c r="CG561" s="5" t="str">
        <f>SUBSTITUTE(TRIM(MID(SUBSTITUTE(SUBSTITUTE(SUBSTITUTE(Tabla1[[#This Row],[map]],"[",""),"]",""),",",REPT(" ",100)),1201,600))," ",", ")</f>
        <v>2, 0, 1, 3, 4, -1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0FF5-4181-4D05-8E7E-FE7BAD5E213C}">
  <dimension ref="A3:N60"/>
  <sheetViews>
    <sheetView tabSelected="1" topLeftCell="H1" zoomScale="69" workbookViewId="0">
      <selection activeCell="U43" sqref="U43"/>
    </sheetView>
  </sheetViews>
  <sheetFormatPr baseColWidth="10" defaultRowHeight="14.4" x14ac:dyDescent="0.3"/>
  <cols>
    <col min="1" max="1" width="61.5546875" bestFit="1" customWidth="1"/>
    <col min="2" max="2" width="38.77734375" bestFit="1" customWidth="1"/>
    <col min="3" max="3" width="33.5546875" bestFit="1" customWidth="1"/>
    <col min="4" max="4" width="40.44140625" bestFit="1" customWidth="1"/>
    <col min="5" max="5" width="35.44140625" bestFit="1" customWidth="1"/>
    <col min="6" max="6" width="51.5546875" bestFit="1" customWidth="1"/>
    <col min="7" max="7" width="50.44140625" bestFit="1" customWidth="1"/>
    <col min="8" max="8" width="45.44140625" bestFit="1" customWidth="1"/>
    <col min="9" max="9" width="46.6640625" bestFit="1" customWidth="1"/>
    <col min="10" max="10" width="53.33203125" bestFit="1" customWidth="1"/>
    <col min="11" max="11" width="52.44140625" bestFit="1" customWidth="1"/>
    <col min="12" max="12" width="47.21875" bestFit="1" customWidth="1"/>
    <col min="13" max="13" width="48.44140625" bestFit="1" customWidth="1"/>
    <col min="14" max="14" width="24" bestFit="1" customWidth="1"/>
  </cols>
  <sheetData>
    <row r="3" spans="1:14" x14ac:dyDescent="0.3">
      <c r="A3" s="3" t="s">
        <v>248</v>
      </c>
      <c r="B3" t="s">
        <v>250</v>
      </c>
      <c r="C3" t="s">
        <v>251</v>
      </c>
      <c r="D3" t="s">
        <v>252</v>
      </c>
      <c r="E3" t="s">
        <v>253</v>
      </c>
      <c r="F3" t="s">
        <v>254</v>
      </c>
      <c r="G3" t="s">
        <v>255</v>
      </c>
      <c r="H3" t="s">
        <v>256</v>
      </c>
      <c r="I3" t="s">
        <v>257</v>
      </c>
      <c r="J3" t="s">
        <v>258</v>
      </c>
      <c r="K3" t="s">
        <v>259</v>
      </c>
      <c r="L3" t="s">
        <v>260</v>
      </c>
      <c r="M3" t="s">
        <v>261</v>
      </c>
      <c r="N3" t="s">
        <v>262</v>
      </c>
    </row>
    <row r="4" spans="1:14" x14ac:dyDescent="0.3">
      <c r="A4" s="4" t="s">
        <v>398</v>
      </c>
      <c r="B4" s="5">
        <v>0.78641792870098171</v>
      </c>
      <c r="C4" s="5">
        <v>0.73104699295924058</v>
      </c>
      <c r="D4" s="5">
        <v>-8.6183264849731309E-2</v>
      </c>
      <c r="E4" s="5">
        <v>-0.10592697130980903</v>
      </c>
      <c r="F4" s="5">
        <v>0.50156858817819061</v>
      </c>
      <c r="G4" s="5">
        <v>0.76853914887179575</v>
      </c>
      <c r="H4" s="5">
        <v>0.84881291276526427</v>
      </c>
      <c r="I4" s="5">
        <v>0.80526732202171303</v>
      </c>
      <c r="J4" s="5">
        <v>-0.37455514272574997</v>
      </c>
      <c r="K4" s="5">
        <v>0.27756851484928841</v>
      </c>
      <c r="L4" s="5">
        <v>0.13016064356819934</v>
      </c>
      <c r="M4" s="5">
        <v>-0.4568819009309758</v>
      </c>
      <c r="N4" s="5">
        <v>10</v>
      </c>
    </row>
    <row r="5" spans="1:14" x14ac:dyDescent="0.3">
      <c r="A5" s="4" t="s">
        <v>423</v>
      </c>
      <c r="B5" s="5">
        <v>0.78272702581846476</v>
      </c>
      <c r="C5" s="5">
        <v>0.72890473177064974</v>
      </c>
      <c r="D5" s="5">
        <v>-0.26200207339639842</v>
      </c>
      <c r="E5" s="5">
        <v>-0.21951128867606942</v>
      </c>
      <c r="F5" s="5">
        <v>0.51344151174861774</v>
      </c>
      <c r="G5" s="5">
        <v>0.77931608032119104</v>
      </c>
      <c r="H5" s="5">
        <v>0.82730302128654443</v>
      </c>
      <c r="I5" s="5">
        <v>0.79555831372624586</v>
      </c>
      <c r="J5" s="5">
        <v>-0.29814040636202044</v>
      </c>
      <c r="K5" s="5">
        <v>2.4546920859545372E-2</v>
      </c>
      <c r="L5" s="5">
        <v>-6.1259686783113089E-2</v>
      </c>
      <c r="M5" s="5">
        <v>-0.54319198241869071</v>
      </c>
      <c r="N5" s="5">
        <v>10</v>
      </c>
    </row>
    <row r="6" spans="1:14" x14ac:dyDescent="0.3">
      <c r="A6" s="4" t="s">
        <v>402</v>
      </c>
      <c r="B6" s="5">
        <v>0.76739405783061476</v>
      </c>
      <c r="C6" s="5">
        <v>0.7166188720619765</v>
      </c>
      <c r="D6" s="5">
        <v>0.11913636701154266</v>
      </c>
      <c r="E6" s="5">
        <v>6.4651750102292845E-3</v>
      </c>
      <c r="F6" s="5">
        <v>0.49548609835061896</v>
      </c>
      <c r="G6" s="5">
        <v>0.77970532271171322</v>
      </c>
      <c r="H6" s="5">
        <v>0.86193815509150062</v>
      </c>
      <c r="I6" s="5">
        <v>0.7293459120940744</v>
      </c>
      <c r="J6" s="5">
        <v>-0.30590216202012727</v>
      </c>
      <c r="K6" s="5">
        <v>0.19218592434774728</v>
      </c>
      <c r="L6" s="5">
        <v>0.15288122001200752</v>
      </c>
      <c r="M6" s="5">
        <v>-1.3304282298710715E-2</v>
      </c>
      <c r="N6" s="5">
        <v>10</v>
      </c>
    </row>
    <row r="7" spans="1:14" x14ac:dyDescent="0.3">
      <c r="A7" s="4" t="s">
        <v>409</v>
      </c>
      <c r="B7" s="5">
        <v>0.77398553047532936</v>
      </c>
      <c r="C7" s="5">
        <v>0.71582283922512524</v>
      </c>
      <c r="D7" s="5">
        <v>-9.5092428426962666E-2</v>
      </c>
      <c r="E7" s="5">
        <v>-0.11774029101901502</v>
      </c>
      <c r="F7" s="5">
        <v>0.5071393032914191</v>
      </c>
      <c r="G7" s="5">
        <v>0.76192378205653033</v>
      </c>
      <c r="H7" s="5">
        <v>0.84973439340554413</v>
      </c>
      <c r="I7" s="5">
        <v>0.74449387814700907</v>
      </c>
      <c r="J7" s="5">
        <v>-0.31288336961855778</v>
      </c>
      <c r="K7" s="5">
        <v>9.8686178509033828E-2</v>
      </c>
      <c r="L7" s="5">
        <v>-1.7578367958764118E-2</v>
      </c>
      <c r="M7" s="5">
        <v>-0.23918560500777036</v>
      </c>
      <c r="N7" s="5">
        <v>10</v>
      </c>
    </row>
    <row r="8" spans="1:14" x14ac:dyDescent="0.3">
      <c r="A8" s="4" t="s">
        <v>385</v>
      </c>
      <c r="B8" s="5">
        <v>0.77581650237530442</v>
      </c>
      <c r="C8" s="5">
        <v>0.71507327948806854</v>
      </c>
      <c r="D8" s="5">
        <v>0.11201062158555612</v>
      </c>
      <c r="E8" s="5">
        <v>4.4127772953268175E-2</v>
      </c>
      <c r="F8" s="5">
        <v>0.49276289558927633</v>
      </c>
      <c r="G8" s="5">
        <v>0.78181411905379883</v>
      </c>
      <c r="H8" s="5">
        <v>0.8620735662332164</v>
      </c>
      <c r="I8" s="5">
        <v>0.72364253707598336</v>
      </c>
      <c r="J8" s="5">
        <v>-0.14274299767212037</v>
      </c>
      <c r="K8" s="5">
        <v>0.25498671135544948</v>
      </c>
      <c r="L8" s="5">
        <v>0.15725962033242097</v>
      </c>
      <c r="M8" s="5">
        <v>-9.299224220267846E-2</v>
      </c>
      <c r="N8" s="5">
        <v>10</v>
      </c>
    </row>
    <row r="9" spans="1:14" x14ac:dyDescent="0.3">
      <c r="A9" s="4" t="s">
        <v>436</v>
      </c>
      <c r="B9" s="5">
        <v>0.77130683169219649</v>
      </c>
      <c r="C9" s="5">
        <v>0.71434298653314898</v>
      </c>
      <c r="D9" s="5">
        <v>-0.23414118511534004</v>
      </c>
      <c r="E9" s="5">
        <v>-0.21676506723351219</v>
      </c>
      <c r="F9" s="5">
        <v>0.51825251599390543</v>
      </c>
      <c r="G9" s="5">
        <v>0.77786865072652589</v>
      </c>
      <c r="H9" s="5">
        <v>0.82307190024790544</v>
      </c>
      <c r="I9" s="5">
        <v>0.73817887916426073</v>
      </c>
      <c r="J9" s="5">
        <v>-0.22687414732407207</v>
      </c>
      <c r="K9" s="5">
        <v>-0.14718702683214838</v>
      </c>
      <c r="L9" s="5">
        <v>-0.21204837159061302</v>
      </c>
      <c r="M9" s="5">
        <v>-0.2809507231872212</v>
      </c>
      <c r="N9" s="5">
        <v>10</v>
      </c>
    </row>
    <row r="10" spans="1:14" x14ac:dyDescent="0.3">
      <c r="A10" s="4" t="s">
        <v>413</v>
      </c>
      <c r="B10" s="5">
        <v>0.76809958281206148</v>
      </c>
      <c r="C10" s="5">
        <v>0.71428798675810823</v>
      </c>
      <c r="D10" s="5">
        <v>-3.798819388968571E-2</v>
      </c>
      <c r="E10" s="5">
        <v>-8.1234976236766912E-2</v>
      </c>
      <c r="F10" s="5">
        <v>0.51750690387197074</v>
      </c>
      <c r="G10" s="5">
        <v>0.79239091414497365</v>
      </c>
      <c r="H10" s="5">
        <v>0.74043188628725598</v>
      </c>
      <c r="I10" s="5">
        <v>0.80682224272823433</v>
      </c>
      <c r="J10" s="5">
        <v>-0.34646796836194499</v>
      </c>
      <c r="K10" s="5">
        <v>0.13394575223147254</v>
      </c>
      <c r="L10" s="5">
        <v>0.26536819176403742</v>
      </c>
      <c r="M10" s="5">
        <v>-0.37778588058063206</v>
      </c>
      <c r="N10" s="5">
        <v>10</v>
      </c>
    </row>
    <row r="11" spans="1:14" x14ac:dyDescent="0.3">
      <c r="A11" s="4" t="s">
        <v>142</v>
      </c>
      <c r="B11" s="5">
        <v>0.75391898930950985</v>
      </c>
      <c r="C11" s="5">
        <v>0.7105500293624506</v>
      </c>
      <c r="D11" s="5">
        <v>0.12622860094116031</v>
      </c>
      <c r="E11" s="5">
        <v>0.12309024591390041</v>
      </c>
      <c r="F11" s="5">
        <v>0.51891871384505284</v>
      </c>
      <c r="G11" s="5">
        <v>0.79751394466843539</v>
      </c>
      <c r="H11" s="5">
        <v>0.80019162182121961</v>
      </c>
      <c r="I11" s="5">
        <v>0.72557583711509577</v>
      </c>
      <c r="J11" s="5">
        <v>-0.2496615850783715</v>
      </c>
      <c r="K11" s="5">
        <v>0.28707427311962402</v>
      </c>
      <c r="L11" s="5">
        <v>0.42277101353338242</v>
      </c>
      <c r="M11" s="5">
        <v>3.2177282080968123E-2</v>
      </c>
      <c r="N11" s="5">
        <v>10</v>
      </c>
    </row>
    <row r="12" spans="1:14" x14ac:dyDescent="0.3">
      <c r="A12" s="4" t="s">
        <v>148</v>
      </c>
      <c r="B12" s="5">
        <v>0.76364565786205241</v>
      </c>
      <c r="C12" s="5">
        <v>0.70983146568423261</v>
      </c>
      <c r="D12" s="5">
        <v>3.9473173036302558E-2</v>
      </c>
      <c r="E12" s="5">
        <v>6.4229933203712883E-2</v>
      </c>
      <c r="F12" s="5">
        <v>0.49365868875196606</v>
      </c>
      <c r="G12" s="5">
        <v>0.78560926163095735</v>
      </c>
      <c r="H12" s="5">
        <v>0.79219260584349882</v>
      </c>
      <c r="I12" s="5">
        <v>0.76786530651050888</v>
      </c>
      <c r="J12" s="5">
        <v>-0.15223551966599552</v>
      </c>
      <c r="K12" s="5">
        <v>0.10815069582536692</v>
      </c>
      <c r="L12" s="5">
        <v>0.43531476300220034</v>
      </c>
      <c r="M12" s="5">
        <v>-0.13431020634671792</v>
      </c>
      <c r="N12" s="5">
        <v>10</v>
      </c>
    </row>
    <row r="13" spans="1:14" x14ac:dyDescent="0.3">
      <c r="A13" s="4" t="s">
        <v>100</v>
      </c>
      <c r="B13" s="5">
        <v>0.7630016846109926</v>
      </c>
      <c r="C13" s="5">
        <v>0.70966784711702102</v>
      </c>
      <c r="D13" s="5">
        <v>0.12519509070546417</v>
      </c>
      <c r="E13" s="5">
        <v>0.15143730604928635</v>
      </c>
      <c r="F13" s="5">
        <v>0.51600400275716263</v>
      </c>
      <c r="G13" s="5">
        <v>0.79491878664656701</v>
      </c>
      <c r="H13" s="5">
        <v>0.79858634680160656</v>
      </c>
      <c r="I13" s="5">
        <v>0.72916225226274878</v>
      </c>
      <c r="J13" s="5">
        <v>-0.21912631768155788</v>
      </c>
      <c r="K13" s="5">
        <v>0.31898142833704035</v>
      </c>
      <c r="L13" s="5">
        <v>0.43243889324528861</v>
      </c>
      <c r="M13" s="5">
        <v>7.3455220296373303E-2</v>
      </c>
      <c r="N13" s="5">
        <v>10</v>
      </c>
    </row>
    <row r="14" spans="1:14" x14ac:dyDescent="0.3">
      <c r="A14" s="4" t="s">
        <v>430</v>
      </c>
      <c r="B14" s="5">
        <v>0.76073567075913684</v>
      </c>
      <c r="C14" s="5">
        <v>0.70936827585131357</v>
      </c>
      <c r="D14" s="5">
        <v>-0.3092680774884079</v>
      </c>
      <c r="E14" s="5">
        <v>-0.30682402582240853</v>
      </c>
      <c r="F14" s="5">
        <v>0.4937032433543006</v>
      </c>
      <c r="G14" s="5">
        <v>0.78789625203447078</v>
      </c>
      <c r="H14" s="5">
        <v>0.8205326652099455</v>
      </c>
      <c r="I14" s="5">
        <v>0.73534094280653961</v>
      </c>
      <c r="J14" s="5">
        <v>-0.15979324619890589</v>
      </c>
      <c r="K14" s="5">
        <v>-0.29106959293924567</v>
      </c>
      <c r="L14" s="5">
        <v>-0.42141900561926721</v>
      </c>
      <c r="M14" s="5">
        <v>-0.35501425853221963</v>
      </c>
      <c r="N14" s="5">
        <v>10</v>
      </c>
    </row>
    <row r="15" spans="1:14" x14ac:dyDescent="0.3">
      <c r="A15" s="4" t="s">
        <v>417</v>
      </c>
      <c r="B15" s="5">
        <v>0.75811298334572785</v>
      </c>
      <c r="C15" s="5">
        <v>0.70031593557522098</v>
      </c>
      <c r="D15" s="5">
        <v>7.3637060228340892E-2</v>
      </c>
      <c r="E15" s="5">
        <v>4.4889539981637097E-2</v>
      </c>
      <c r="F15" s="5">
        <v>0.52016772179458792</v>
      </c>
      <c r="G15" s="5">
        <v>0.78724202954192291</v>
      </c>
      <c r="H15" s="5">
        <v>0.74229479178308833</v>
      </c>
      <c r="I15" s="5">
        <v>0.75155919918128433</v>
      </c>
      <c r="J15" s="5">
        <v>-0.26227398920611839</v>
      </c>
      <c r="K15" s="5">
        <v>0.23761191218842762</v>
      </c>
      <c r="L15" s="5">
        <v>0.28289849363662167</v>
      </c>
      <c r="M15" s="5">
        <v>-7.867825669238307E-2</v>
      </c>
      <c r="N15" s="5">
        <v>10</v>
      </c>
    </row>
    <row r="16" spans="1:14" x14ac:dyDescent="0.3">
      <c r="A16" s="4" t="s">
        <v>388</v>
      </c>
      <c r="B16" s="5">
        <v>0.76123719728591088</v>
      </c>
      <c r="C16" s="5">
        <v>0.69963094788948332</v>
      </c>
      <c r="D16" s="5">
        <v>-0.26498707135566257</v>
      </c>
      <c r="E16" s="5">
        <v>-0.26000723544766552</v>
      </c>
      <c r="F16" s="5">
        <v>0.49142879303433806</v>
      </c>
      <c r="G16" s="5">
        <v>0.78495559116412972</v>
      </c>
      <c r="H16" s="5">
        <v>0.81189731480982963</v>
      </c>
      <c r="I16" s="5">
        <v>0.71024209254963799</v>
      </c>
      <c r="J16" s="5">
        <v>-0.18620572901061633</v>
      </c>
      <c r="K16" s="5">
        <v>-0.15555119255432875</v>
      </c>
      <c r="L16" s="5">
        <v>-0.34102203016196314</v>
      </c>
      <c r="M16" s="5">
        <v>-0.35724999006375585</v>
      </c>
      <c r="N16" s="5">
        <v>10</v>
      </c>
    </row>
    <row r="17" spans="1:14" x14ac:dyDescent="0.3">
      <c r="A17" s="4" t="s">
        <v>166</v>
      </c>
      <c r="B17" s="5">
        <v>0.75196808943317073</v>
      </c>
      <c r="C17" s="5">
        <v>0.69749489051200664</v>
      </c>
      <c r="D17" s="5">
        <v>7.2431892444826344E-3</v>
      </c>
      <c r="E17" s="5">
        <v>-3.5432780554454743E-2</v>
      </c>
      <c r="F17" s="5">
        <v>0.49128940795113951</v>
      </c>
      <c r="G17" s="5">
        <v>0.78854559729853657</v>
      </c>
      <c r="H17" s="5">
        <v>0.75174359330804186</v>
      </c>
      <c r="I17" s="5">
        <v>0.75840096349030917</v>
      </c>
      <c r="J17" s="5">
        <v>-0.27714687102322466</v>
      </c>
      <c r="K17" s="5">
        <v>0.15544372820671748</v>
      </c>
      <c r="L17" s="5">
        <v>0.29842232172522359</v>
      </c>
      <c r="M17" s="5">
        <v>-0.31845030112653505</v>
      </c>
      <c r="N17" s="5">
        <v>10</v>
      </c>
    </row>
    <row r="18" spans="1:14" x14ac:dyDescent="0.3">
      <c r="A18" s="4" t="s">
        <v>160</v>
      </c>
      <c r="B18" s="5">
        <v>0.7434063373342068</v>
      </c>
      <c r="C18" s="5">
        <v>0.69708699986129763</v>
      </c>
      <c r="D18" s="5">
        <v>9.5290921253138261E-2</v>
      </c>
      <c r="E18" s="5">
        <v>6.5905769054306049E-2</v>
      </c>
      <c r="F18" s="5">
        <v>0.50607268668175054</v>
      </c>
      <c r="G18" s="5">
        <v>0.79354955133400407</v>
      </c>
      <c r="H18" s="5">
        <v>0.73439711295280419</v>
      </c>
      <c r="I18" s="5">
        <v>0.75432864847663339</v>
      </c>
      <c r="J18" s="5">
        <v>-0.22110559680989192</v>
      </c>
      <c r="K18" s="5">
        <v>0.22075734348688919</v>
      </c>
      <c r="L18" s="5">
        <v>0.26483991581698074</v>
      </c>
      <c r="M18" s="5">
        <v>-8.6858627675358573E-4</v>
      </c>
      <c r="N18" s="5">
        <v>10</v>
      </c>
    </row>
    <row r="19" spans="1:14" x14ac:dyDescent="0.3">
      <c r="A19" s="4" t="s">
        <v>478</v>
      </c>
      <c r="B19" s="5">
        <v>0.73939021897824642</v>
      </c>
      <c r="C19" s="5">
        <v>0.69564840714931964</v>
      </c>
      <c r="D19" s="5">
        <v>9.881419434129865E-2</v>
      </c>
      <c r="E19" s="5">
        <v>7.9570758244502965E-2</v>
      </c>
      <c r="F19" s="5">
        <v>0.42997680839036817</v>
      </c>
      <c r="G19" s="5">
        <v>0.69334609432608152</v>
      </c>
      <c r="H19" s="5">
        <v>0.8442934181934868</v>
      </c>
      <c r="I19" s="5">
        <v>0.81497730768734278</v>
      </c>
      <c r="J19" s="5">
        <v>0.18904109470840019</v>
      </c>
      <c r="K19" s="5">
        <v>0.51405682328822055</v>
      </c>
      <c r="L19" s="5">
        <v>-0.22117736936878707</v>
      </c>
      <c r="M19" s="5">
        <v>-0.16363751564981863</v>
      </c>
      <c r="N19" s="5">
        <v>10</v>
      </c>
    </row>
    <row r="20" spans="1:14" x14ac:dyDescent="0.3">
      <c r="A20" s="4" t="s">
        <v>106</v>
      </c>
      <c r="B20" s="5">
        <v>0.74429570938916956</v>
      </c>
      <c r="C20" s="5">
        <v>0.68816018518064115</v>
      </c>
      <c r="D20" s="5">
        <v>0.10347313546023448</v>
      </c>
      <c r="E20" s="5">
        <v>5.9844611020487881E-2</v>
      </c>
      <c r="F20" s="5">
        <v>0.50497168251398672</v>
      </c>
      <c r="G20" s="5">
        <v>0.79129121342497566</v>
      </c>
      <c r="H20" s="5">
        <v>0.73374589909596299</v>
      </c>
      <c r="I20" s="5">
        <v>0.72263194568764</v>
      </c>
      <c r="J20" s="5">
        <v>-0.21365703578121537</v>
      </c>
      <c r="K20" s="5">
        <v>0.23241728765719266</v>
      </c>
      <c r="L20" s="5">
        <v>0.2776836188048426</v>
      </c>
      <c r="M20" s="5">
        <v>-5.7065426598870504E-2</v>
      </c>
      <c r="N20" s="5">
        <v>10</v>
      </c>
    </row>
    <row r="21" spans="1:14" x14ac:dyDescent="0.3">
      <c r="A21" s="4" t="s">
        <v>518</v>
      </c>
      <c r="B21" s="5">
        <v>0.72595560639487444</v>
      </c>
      <c r="C21" s="5">
        <v>0.68471422852679198</v>
      </c>
      <c r="D21" s="5">
        <v>0.13517377873993719</v>
      </c>
      <c r="E21" s="5">
        <v>0.1150315812750969</v>
      </c>
      <c r="F21" s="5">
        <v>0.41685625798078013</v>
      </c>
      <c r="G21" s="5">
        <v>0.6926029810675628</v>
      </c>
      <c r="H21" s="5">
        <v>0.8241938718472227</v>
      </c>
      <c r="I21" s="5">
        <v>0.80520380321160245</v>
      </c>
      <c r="J21" s="5">
        <v>0.11905275360924543</v>
      </c>
      <c r="K21" s="5">
        <v>0.52066484342874109</v>
      </c>
      <c r="L21" s="5">
        <v>-4.4273254491692865E-2</v>
      </c>
      <c r="M21" s="5">
        <v>-0.13531801744590333</v>
      </c>
      <c r="N21" s="5">
        <v>10</v>
      </c>
    </row>
    <row r="22" spans="1:14" x14ac:dyDescent="0.3">
      <c r="A22" s="4" t="s">
        <v>486</v>
      </c>
      <c r="B22" s="5">
        <v>0.7153939663333968</v>
      </c>
      <c r="C22" s="5">
        <v>0.67715687949195935</v>
      </c>
      <c r="D22" s="5">
        <v>0.22321746278265725</v>
      </c>
      <c r="E22" s="5">
        <v>0.18923361866008043</v>
      </c>
      <c r="F22" s="5">
        <v>0.43045468124238856</v>
      </c>
      <c r="G22" s="5">
        <v>0.68889883675033059</v>
      </c>
      <c r="H22" s="5">
        <v>0.8599972493263337</v>
      </c>
      <c r="I22" s="5">
        <v>0.72927675064878594</v>
      </c>
      <c r="J22" s="5">
        <v>0.12891972310695868</v>
      </c>
      <c r="K22" s="5">
        <v>0.50823943404902594</v>
      </c>
      <c r="L22" s="5">
        <v>6.8493344732641265E-2</v>
      </c>
      <c r="M22" s="5">
        <v>5.1281972751697581E-2</v>
      </c>
      <c r="N22" s="5">
        <v>10</v>
      </c>
    </row>
    <row r="23" spans="1:14" x14ac:dyDescent="0.3">
      <c r="A23" s="4" t="s">
        <v>442</v>
      </c>
      <c r="B23" s="5">
        <v>0.72389669064977114</v>
      </c>
      <c r="C23" s="5">
        <v>0.67616438061083373</v>
      </c>
      <c r="D23" s="5">
        <v>0.17045219083584867</v>
      </c>
      <c r="E23" s="5">
        <v>0.14849157159926787</v>
      </c>
      <c r="F23" s="5">
        <v>0.4297592583348635</v>
      </c>
      <c r="G23" s="5">
        <v>0.69288569837476</v>
      </c>
      <c r="H23" s="5">
        <v>0.86198290542957035</v>
      </c>
      <c r="I23" s="5">
        <v>0.72002966030414162</v>
      </c>
      <c r="J23" s="5">
        <v>0.12180739265998546</v>
      </c>
      <c r="K23" s="5">
        <v>0.50069527870047692</v>
      </c>
      <c r="L23" s="5">
        <v>5.4364562055575917E-2</v>
      </c>
      <c r="M23" s="5">
        <v>-8.2900947018967525E-2</v>
      </c>
      <c r="N23" s="5">
        <v>10</v>
      </c>
    </row>
    <row r="24" spans="1:14" x14ac:dyDescent="0.3">
      <c r="A24" s="4" t="s">
        <v>494</v>
      </c>
      <c r="B24" s="5">
        <v>0.72123549632414463</v>
      </c>
      <c r="C24" s="5">
        <v>0.67443270421435186</v>
      </c>
      <c r="D24" s="5">
        <v>2.8331541405989324E-2</v>
      </c>
      <c r="E24" s="5">
        <v>2.1696418120734189E-2</v>
      </c>
      <c r="F24" s="5">
        <v>0.43409897283462689</v>
      </c>
      <c r="G24" s="5">
        <v>0.68971561376055912</v>
      </c>
      <c r="H24" s="5">
        <v>0.83991761792188746</v>
      </c>
      <c r="I24" s="5">
        <v>0.73399861234033503</v>
      </c>
      <c r="J24" s="5">
        <v>0.17925742803429529</v>
      </c>
      <c r="K24" s="5">
        <v>0.50018484152249398</v>
      </c>
      <c r="L24" s="5">
        <v>-0.33567345980866498</v>
      </c>
      <c r="M24" s="5">
        <v>-0.25698313726518729</v>
      </c>
      <c r="N24" s="5">
        <v>10</v>
      </c>
    </row>
    <row r="25" spans="1:14" x14ac:dyDescent="0.3">
      <c r="A25" s="4" t="s">
        <v>124</v>
      </c>
      <c r="B25" s="5">
        <v>0.72286895157746356</v>
      </c>
      <c r="C25" s="5">
        <v>0.67231188673211828</v>
      </c>
      <c r="D25" s="5">
        <v>-0.60976075917133565</v>
      </c>
      <c r="E25" s="5">
        <v>-0.60176867723329064</v>
      </c>
      <c r="F25" s="5">
        <v>0.52631791011765183</v>
      </c>
      <c r="G25" s="5">
        <v>0.78219304966662695</v>
      </c>
      <c r="H25" s="5">
        <v>0.62272416293810384</v>
      </c>
      <c r="I25" s="5">
        <v>0.75801242420609205</v>
      </c>
      <c r="J25" s="5">
        <v>-0.41842392907858406</v>
      </c>
      <c r="K25" s="5">
        <v>-0.81668547273495573</v>
      </c>
      <c r="L25" s="5">
        <v>-0.64575801038083813</v>
      </c>
      <c r="M25" s="5">
        <v>-0.52620729673879296</v>
      </c>
      <c r="N25" s="5">
        <v>10</v>
      </c>
    </row>
    <row r="26" spans="1:14" x14ac:dyDescent="0.3">
      <c r="A26" s="4" t="s">
        <v>178</v>
      </c>
      <c r="B26" s="5">
        <v>0.73695663110465459</v>
      </c>
      <c r="C26" s="5">
        <v>0.66943819356446266</v>
      </c>
      <c r="D26" s="5">
        <v>-0.30052232981857802</v>
      </c>
      <c r="E26" s="5">
        <v>-0.26423914483926486</v>
      </c>
      <c r="F26" s="5">
        <v>0.50960427056460733</v>
      </c>
      <c r="G26" s="5">
        <v>0.78204355477875354</v>
      </c>
      <c r="H26" s="5">
        <v>0.63641176115373654</v>
      </c>
      <c r="I26" s="5">
        <v>0.74969318776075322</v>
      </c>
      <c r="J26" s="5">
        <v>-0.26588465715338938</v>
      </c>
      <c r="K26" s="5">
        <v>-0.24874279164681154</v>
      </c>
      <c r="L26" s="5">
        <v>-0.27218121641142701</v>
      </c>
      <c r="M26" s="5">
        <v>-0.27014791414543377</v>
      </c>
      <c r="N26" s="5">
        <v>10</v>
      </c>
    </row>
    <row r="27" spans="1:14" x14ac:dyDescent="0.3">
      <c r="A27" s="4" t="s">
        <v>130</v>
      </c>
      <c r="B27" s="5">
        <v>0.7274796629720639</v>
      </c>
      <c r="C27" s="5">
        <v>0.66855422200354364</v>
      </c>
      <c r="D27" s="5">
        <v>-0.608170863484361</v>
      </c>
      <c r="E27" s="5">
        <v>-0.53777057075161872</v>
      </c>
      <c r="F27" s="5">
        <v>0.51648757399679635</v>
      </c>
      <c r="G27" s="5">
        <v>0.79021121073509826</v>
      </c>
      <c r="H27" s="5">
        <v>0.63359096260281167</v>
      </c>
      <c r="I27" s="5">
        <v>0.73392714067946829</v>
      </c>
      <c r="J27" s="5">
        <v>-0.32209115240634956</v>
      </c>
      <c r="K27" s="5">
        <v>-0.71815843877516028</v>
      </c>
      <c r="L27" s="5">
        <v>-0.52346662001406485</v>
      </c>
      <c r="M27" s="5">
        <v>-0.58736607181090439</v>
      </c>
      <c r="N27" s="5">
        <v>10</v>
      </c>
    </row>
    <row r="28" spans="1:14" x14ac:dyDescent="0.3">
      <c r="A28" s="4" t="s">
        <v>534</v>
      </c>
      <c r="B28" s="5">
        <v>0.71002450860940347</v>
      </c>
      <c r="C28" s="5">
        <v>0.66573299302589928</v>
      </c>
      <c r="D28" s="5">
        <v>4.3094259952401362E-2</v>
      </c>
      <c r="E28" s="5">
        <v>3.9019096363473907E-2</v>
      </c>
      <c r="F28" s="5">
        <v>0.42033241859541615</v>
      </c>
      <c r="G28" s="5">
        <v>0.6856961077517536</v>
      </c>
      <c r="H28" s="5">
        <v>0.82155442943334056</v>
      </c>
      <c r="I28" s="5">
        <v>0.73534901632308736</v>
      </c>
      <c r="J28" s="5">
        <v>6.4015736856579172E-2</v>
      </c>
      <c r="K28" s="5">
        <v>0.51871642096752646</v>
      </c>
      <c r="L28" s="5">
        <v>-0.31430145038065754</v>
      </c>
      <c r="M28" s="5">
        <v>-0.11235432198955186</v>
      </c>
      <c r="N28" s="5">
        <v>10</v>
      </c>
    </row>
    <row r="29" spans="1:14" x14ac:dyDescent="0.3">
      <c r="A29" s="4" t="s">
        <v>391</v>
      </c>
      <c r="B29" s="5">
        <v>0.72475545489895821</v>
      </c>
      <c r="C29" s="5">
        <v>0.66506918443245167</v>
      </c>
      <c r="D29" s="5">
        <v>-0.63793785735187891</v>
      </c>
      <c r="E29" s="5">
        <v>-0.60300523633637826</v>
      </c>
      <c r="F29" s="5">
        <v>0.47862766126022194</v>
      </c>
      <c r="G29" s="5">
        <v>0.77252391868794112</v>
      </c>
      <c r="H29" s="5">
        <v>0.60466652775957308</v>
      </c>
      <c r="I29" s="5">
        <v>0.80445863002207108</v>
      </c>
      <c r="J29" s="5">
        <v>-0.22525695153676378</v>
      </c>
      <c r="K29" s="5">
        <v>-0.80608709156107083</v>
      </c>
      <c r="L29" s="5">
        <v>-0.80120564722125098</v>
      </c>
      <c r="M29" s="5">
        <v>-0.57947125502643382</v>
      </c>
      <c r="N29" s="5">
        <v>10</v>
      </c>
    </row>
    <row r="30" spans="1:14" x14ac:dyDescent="0.3">
      <c r="A30" s="4" t="s">
        <v>502</v>
      </c>
      <c r="B30" s="5">
        <v>0.71431671301853683</v>
      </c>
      <c r="C30" s="5">
        <v>0.66446449222235882</v>
      </c>
      <c r="D30" s="5">
        <v>0.1213869184330942</v>
      </c>
      <c r="E30" s="5">
        <v>0.10571312251699468</v>
      </c>
      <c r="F30" s="5">
        <v>0.41730569869494899</v>
      </c>
      <c r="G30" s="5">
        <v>0.68309912362838221</v>
      </c>
      <c r="H30" s="5">
        <v>0.74062197094814963</v>
      </c>
      <c r="I30" s="5">
        <v>0.8168311756179556</v>
      </c>
      <c r="J30" s="5">
        <v>0.10769386037372559</v>
      </c>
      <c r="K30" s="5">
        <v>0.40076927342169377</v>
      </c>
      <c r="L30" s="5">
        <v>2.5614356396100359E-2</v>
      </c>
      <c r="M30" s="5">
        <v>-0.11122500012354131</v>
      </c>
      <c r="N30" s="5">
        <v>10</v>
      </c>
    </row>
    <row r="31" spans="1:14" x14ac:dyDescent="0.3">
      <c r="A31" s="4" t="s">
        <v>89</v>
      </c>
      <c r="B31" s="5">
        <v>0.7217808480023431</v>
      </c>
      <c r="C31" s="5">
        <v>0.66193870269555233</v>
      </c>
      <c r="D31" s="5">
        <v>-0.65901345200976524</v>
      </c>
      <c r="E31" s="5">
        <v>-0.60973821460311961</v>
      </c>
      <c r="F31" s="5">
        <v>0.52496808891985214</v>
      </c>
      <c r="G31" s="5">
        <v>0.78197394184589231</v>
      </c>
      <c r="H31" s="5">
        <v>0.61652386597431108</v>
      </c>
      <c r="I31" s="5">
        <v>0.72428891404215456</v>
      </c>
      <c r="J31" s="5">
        <v>-0.3300382125497005</v>
      </c>
      <c r="K31" s="5">
        <v>-0.72429708689178118</v>
      </c>
      <c r="L31" s="5">
        <v>-0.66873657604027581</v>
      </c>
      <c r="M31" s="5">
        <v>-0.71588098293072888</v>
      </c>
      <c r="N31" s="5">
        <v>10</v>
      </c>
    </row>
    <row r="32" spans="1:14" x14ac:dyDescent="0.3">
      <c r="A32" s="4" t="s">
        <v>112</v>
      </c>
      <c r="B32" s="5">
        <v>0.73746058912934587</v>
      </c>
      <c r="C32" s="5">
        <v>0.66179043007943394</v>
      </c>
      <c r="D32" s="5">
        <v>-0.1855001427084623</v>
      </c>
      <c r="E32" s="5">
        <v>-0.2014467835613111</v>
      </c>
      <c r="F32" s="5">
        <v>0.50861724426109889</v>
      </c>
      <c r="G32" s="5">
        <v>0.78150066606620561</v>
      </c>
      <c r="H32" s="5">
        <v>0.63881803196719389</v>
      </c>
      <c r="I32" s="5">
        <v>0.71822577802323839</v>
      </c>
      <c r="J32" s="5">
        <v>-0.29492889093373958</v>
      </c>
      <c r="K32" s="5">
        <v>-0.10103567814117623</v>
      </c>
      <c r="L32" s="5">
        <v>-0.20453239786147184</v>
      </c>
      <c r="M32" s="5">
        <v>-0.20529016730885807</v>
      </c>
      <c r="N32" s="5">
        <v>10</v>
      </c>
    </row>
    <row r="33" spans="1:14" x14ac:dyDescent="0.3">
      <c r="A33" s="4" t="s">
        <v>244</v>
      </c>
      <c r="B33" s="5">
        <v>0.70222821499404908</v>
      </c>
      <c r="C33" s="5">
        <v>0.6595896699437338</v>
      </c>
      <c r="D33" s="5">
        <v>0.2415634088187108</v>
      </c>
      <c r="E33" s="5">
        <v>0.23813848193552895</v>
      </c>
      <c r="F33" s="5">
        <v>0.38665054176204949</v>
      </c>
      <c r="G33" s="5">
        <v>0.67483814106545681</v>
      </c>
      <c r="H33" s="5">
        <v>0.79067380810421739</v>
      </c>
      <c r="I33" s="5">
        <v>0.78619618884321196</v>
      </c>
      <c r="J33" s="5">
        <v>0.14271892437746608</v>
      </c>
      <c r="K33" s="5">
        <v>0.47440263365666391</v>
      </c>
      <c r="L33" s="5">
        <v>0.45841281940499129</v>
      </c>
      <c r="M33" s="5">
        <v>-0.12298044969700636</v>
      </c>
      <c r="N33" s="5">
        <v>10</v>
      </c>
    </row>
    <row r="34" spans="1:14" x14ac:dyDescent="0.3">
      <c r="A34" s="4" t="s">
        <v>526</v>
      </c>
      <c r="B34" s="5">
        <v>0.69545697318334643</v>
      </c>
      <c r="C34" s="5">
        <v>0.65887696767855253</v>
      </c>
      <c r="D34" s="5">
        <v>0.10358367660004908</v>
      </c>
      <c r="E34" s="5">
        <v>7.8787646195318847E-2</v>
      </c>
      <c r="F34" s="5">
        <v>0.40090643361565192</v>
      </c>
      <c r="G34" s="5">
        <v>0.68276786606458428</v>
      </c>
      <c r="H34" s="5">
        <v>0.81713016653970794</v>
      </c>
      <c r="I34" s="5">
        <v>0.73470340449426585</v>
      </c>
      <c r="J34" s="5">
        <v>8.2994981558739869E-2</v>
      </c>
      <c r="K34" s="5">
        <v>0.49171771961333677</v>
      </c>
      <c r="L34" s="5">
        <v>-0.33741848322931378</v>
      </c>
      <c r="M34" s="5">
        <v>7.7856366838513089E-2</v>
      </c>
      <c r="N34" s="5">
        <v>10</v>
      </c>
    </row>
    <row r="35" spans="1:14" x14ac:dyDescent="0.3">
      <c r="A35" s="4" t="s">
        <v>238</v>
      </c>
      <c r="B35" s="5">
        <v>0.69064733638044196</v>
      </c>
      <c r="C35" s="5">
        <v>0.64931938239828191</v>
      </c>
      <c r="D35" s="5">
        <v>0.31012441944646257</v>
      </c>
      <c r="E35" s="5">
        <v>0.30240324652777378</v>
      </c>
      <c r="F35" s="5">
        <v>0.39219510357611248</v>
      </c>
      <c r="G35" s="5">
        <v>0.67129784223274336</v>
      </c>
      <c r="H35" s="5">
        <v>0.79574284583769672</v>
      </c>
      <c r="I35" s="5">
        <v>0.73804173794657602</v>
      </c>
      <c r="J35" s="5">
        <v>0.14304170762198765</v>
      </c>
      <c r="K35" s="5">
        <v>0.46465171135199201</v>
      </c>
      <c r="L35" s="5">
        <v>0.52894197633804363</v>
      </c>
      <c r="M35" s="5">
        <v>7.2977590799072165E-2</v>
      </c>
      <c r="N35" s="5">
        <v>10</v>
      </c>
    </row>
    <row r="36" spans="1:14" x14ac:dyDescent="0.3">
      <c r="A36" s="4" t="s">
        <v>450</v>
      </c>
      <c r="B36" s="5">
        <v>0.69366545127001356</v>
      </c>
      <c r="C36" s="5">
        <v>0.64807918185401236</v>
      </c>
      <c r="D36" s="5">
        <v>-8.4845898298976843E-3</v>
      </c>
      <c r="E36" s="5">
        <v>-1.1003222450123163E-2</v>
      </c>
      <c r="F36" s="5">
        <v>0.39598112751977077</v>
      </c>
      <c r="G36" s="5">
        <v>0.68216725807435385</v>
      </c>
      <c r="H36" s="5">
        <v>0.79308079945283616</v>
      </c>
      <c r="I36" s="5">
        <v>0.7210875423690879</v>
      </c>
      <c r="J36" s="5">
        <v>6.7227095651213029E-2</v>
      </c>
      <c r="K36" s="5">
        <v>0.49942994666050911</v>
      </c>
      <c r="L36" s="5">
        <v>-0.47677322851808962</v>
      </c>
      <c r="M36" s="5">
        <v>-0.13389670359412298</v>
      </c>
      <c r="N36" s="5">
        <v>10</v>
      </c>
    </row>
    <row r="37" spans="1:14" x14ac:dyDescent="0.3">
      <c r="A37" s="4" t="s">
        <v>394</v>
      </c>
      <c r="B37" s="5">
        <v>0.71184388870126725</v>
      </c>
      <c r="C37" s="5">
        <v>0.64791779312410058</v>
      </c>
      <c r="D37" s="5">
        <v>-0.51088321233034417</v>
      </c>
      <c r="E37" s="5">
        <v>-0.46181886690756446</v>
      </c>
      <c r="F37" s="5">
        <v>0.48183263137509913</v>
      </c>
      <c r="G37" s="5">
        <v>0.76895840596577014</v>
      </c>
      <c r="H37" s="5">
        <v>0.60007722835487065</v>
      </c>
      <c r="I37" s="5">
        <v>0.7408029068006623</v>
      </c>
      <c r="J37" s="5">
        <v>-0.25819909415305609</v>
      </c>
      <c r="K37" s="5">
        <v>-0.56042426820423963</v>
      </c>
      <c r="L37" s="5">
        <v>-0.57619820411412737</v>
      </c>
      <c r="M37" s="5">
        <v>-0.45245390115883533</v>
      </c>
      <c r="N37" s="5">
        <v>10</v>
      </c>
    </row>
    <row r="38" spans="1:14" x14ac:dyDescent="0.3">
      <c r="A38" s="4" t="s">
        <v>184</v>
      </c>
      <c r="B38" s="5">
        <v>0.71973529040834749</v>
      </c>
      <c r="C38" s="5">
        <v>0.64604777170714267</v>
      </c>
      <c r="D38" s="5">
        <v>-0.26259428393471912</v>
      </c>
      <c r="E38" s="5">
        <v>-0.24454688060645252</v>
      </c>
      <c r="F38" s="5">
        <v>0.46735368666672217</v>
      </c>
      <c r="G38" s="5">
        <v>0.77768238618894359</v>
      </c>
      <c r="H38" s="5">
        <v>0.61584467732789439</v>
      </c>
      <c r="I38" s="5">
        <v>0.72331033664501265</v>
      </c>
      <c r="J38" s="5">
        <v>-0.32409528969392698</v>
      </c>
      <c r="K38" s="5">
        <v>-0.14092973008191151</v>
      </c>
      <c r="L38" s="5">
        <v>-0.15171886714861277</v>
      </c>
      <c r="M38" s="5">
        <v>-0.36144363550135605</v>
      </c>
      <c r="N38" s="5">
        <v>10</v>
      </c>
    </row>
    <row r="39" spans="1:14" x14ac:dyDescent="0.3">
      <c r="A39" s="4" t="s">
        <v>196</v>
      </c>
      <c r="B39" s="5">
        <v>0.69843032855234977</v>
      </c>
      <c r="C39" s="5">
        <v>0.6459849485431437</v>
      </c>
      <c r="D39" s="5">
        <v>0.3155535935133828</v>
      </c>
      <c r="E39" s="5">
        <v>0.30100730831908107</v>
      </c>
      <c r="F39" s="5">
        <v>0.39301053974650457</v>
      </c>
      <c r="G39" s="5">
        <v>0.67405088005849556</v>
      </c>
      <c r="H39" s="5">
        <v>0.78593786171276159</v>
      </c>
      <c r="I39" s="5">
        <v>0.73094051265481441</v>
      </c>
      <c r="J39" s="5">
        <v>0.13698003502364745</v>
      </c>
      <c r="K39" s="5">
        <v>0.4708075706558964</v>
      </c>
      <c r="L39" s="5">
        <v>0.53189701523201138</v>
      </c>
      <c r="M39" s="5">
        <v>6.4344612364769335E-2</v>
      </c>
      <c r="N39" s="5">
        <v>10</v>
      </c>
    </row>
    <row r="40" spans="1:14" x14ac:dyDescent="0.3">
      <c r="A40" s="4" t="s">
        <v>510</v>
      </c>
      <c r="B40" s="5">
        <v>0.69793572500240453</v>
      </c>
      <c r="C40" s="5">
        <v>0.64386299500547339</v>
      </c>
      <c r="D40" s="5">
        <v>0.11073196014056137</v>
      </c>
      <c r="E40" s="5">
        <v>0.12241522704730438</v>
      </c>
      <c r="F40" s="5">
        <v>0.41537914820308303</v>
      </c>
      <c r="G40" s="5">
        <v>0.67441965717414176</v>
      </c>
      <c r="H40" s="5">
        <v>0.74068377001562724</v>
      </c>
      <c r="I40" s="5">
        <v>0.74496940462904149</v>
      </c>
      <c r="J40" s="5">
        <v>0.13756117608624935</v>
      </c>
      <c r="K40" s="5">
        <v>0.42619106304815091</v>
      </c>
      <c r="L40" s="5">
        <v>8.3701129872296928E-2</v>
      </c>
      <c r="M40" s="5">
        <v>-0.1577924608174795</v>
      </c>
      <c r="N40" s="5">
        <v>10</v>
      </c>
    </row>
    <row r="41" spans="1:14" x14ac:dyDescent="0.3">
      <c r="A41" s="4" t="s">
        <v>272</v>
      </c>
      <c r="B41" s="5">
        <v>0.6817153752256504</v>
      </c>
      <c r="C41" s="5">
        <v>0.6383872700812544</v>
      </c>
      <c r="D41" s="5">
        <v>0.16162978527196695</v>
      </c>
      <c r="E41" s="5">
        <v>0.14418783902368379</v>
      </c>
      <c r="F41" s="5">
        <v>0.38785302458428467</v>
      </c>
      <c r="G41" s="5">
        <v>0.68660114962486529</v>
      </c>
      <c r="H41" s="5">
        <v>0.72495171900326627</v>
      </c>
      <c r="I41" s="5">
        <v>0.75414318711259987</v>
      </c>
      <c r="J41" s="5">
        <v>-7.3626759952414467E-2</v>
      </c>
      <c r="K41" s="5">
        <v>0.4615949220487125</v>
      </c>
      <c r="L41" s="5">
        <v>0.14707355341921038</v>
      </c>
      <c r="M41" s="5">
        <v>4.1709640579225236E-2</v>
      </c>
      <c r="N41" s="5">
        <v>10</v>
      </c>
    </row>
    <row r="42" spans="1:14" x14ac:dyDescent="0.3">
      <c r="A42" s="4" t="s">
        <v>136</v>
      </c>
      <c r="B42" s="5">
        <v>0.68352520698547958</v>
      </c>
      <c r="C42" s="5">
        <v>0.63348373915228606</v>
      </c>
      <c r="D42" s="5">
        <v>-5.5920836856715471E-2</v>
      </c>
      <c r="E42" s="5">
        <v>-4.6745177958911525E-2</v>
      </c>
      <c r="F42" s="5">
        <v>0.50812810727945568</v>
      </c>
      <c r="G42" s="5">
        <v>0.7874785790529012</v>
      </c>
      <c r="H42" s="5">
        <v>0.78976430766845307</v>
      </c>
      <c r="I42" s="5">
        <v>0.44856396260833542</v>
      </c>
      <c r="J42" s="5">
        <v>-0.23803134182919633</v>
      </c>
      <c r="K42" s="5">
        <v>3.9571025474231497E-2</v>
      </c>
      <c r="L42" s="5">
        <v>0.22510036248975501</v>
      </c>
      <c r="M42" s="5">
        <v>-0.21362075797043314</v>
      </c>
      <c r="N42" s="5">
        <v>10</v>
      </c>
    </row>
    <row r="43" spans="1:14" x14ac:dyDescent="0.3">
      <c r="A43" s="4" t="s">
        <v>280</v>
      </c>
      <c r="B43" s="5">
        <v>0.67208931121975313</v>
      </c>
      <c r="C43" s="5">
        <v>0.62892852745809769</v>
      </c>
      <c r="D43" s="5">
        <v>6.9469063758497637E-2</v>
      </c>
      <c r="E43" s="5">
        <v>6.4644814503745068E-2</v>
      </c>
      <c r="F43" s="5">
        <v>0.35539519967305166</v>
      </c>
      <c r="G43" s="5">
        <v>0.67606641157650582</v>
      </c>
      <c r="H43" s="5">
        <v>0.73328538162573587</v>
      </c>
      <c r="I43" s="5">
        <v>0.75096711695709717</v>
      </c>
      <c r="J43" s="5">
        <v>2.8618549391013159E-3</v>
      </c>
      <c r="K43" s="5">
        <v>0.48961139944432619</v>
      </c>
      <c r="L43" s="5">
        <v>8.34672348585071E-2</v>
      </c>
      <c r="M43" s="5">
        <v>-0.31736123122695559</v>
      </c>
      <c r="N43" s="5">
        <v>10</v>
      </c>
    </row>
    <row r="44" spans="1:14" x14ac:dyDescent="0.3">
      <c r="A44" s="4" t="s">
        <v>202</v>
      </c>
      <c r="B44" s="5">
        <v>0.68195162183707214</v>
      </c>
      <c r="C44" s="5">
        <v>0.62824166209324861</v>
      </c>
      <c r="D44" s="5">
        <v>0.1384477735187041</v>
      </c>
      <c r="E44" s="5">
        <v>0.11957581877663417</v>
      </c>
      <c r="F44" s="5">
        <v>0.38954704302062548</v>
      </c>
      <c r="G44" s="5">
        <v>0.68695886963614128</v>
      </c>
      <c r="H44" s="5">
        <v>0.71662970384157276</v>
      </c>
      <c r="I44" s="5">
        <v>0.71983103187465569</v>
      </c>
      <c r="J44" s="5">
        <v>-7.5466068036008568E-2</v>
      </c>
      <c r="K44" s="5">
        <v>0.47133275807269098</v>
      </c>
      <c r="L44" s="5">
        <v>0.17108147002102908</v>
      </c>
      <c r="M44" s="5">
        <v>-8.8644884951173036E-2</v>
      </c>
      <c r="N44" s="5">
        <v>10</v>
      </c>
    </row>
    <row r="45" spans="1:14" x14ac:dyDescent="0.3">
      <c r="A45" s="4" t="s">
        <v>462</v>
      </c>
      <c r="B45" s="5">
        <v>0.6800212427971094</v>
      </c>
      <c r="C45" s="5">
        <v>0.62474934544225258</v>
      </c>
      <c r="D45" s="5">
        <v>6.788122278575795E-2</v>
      </c>
      <c r="E45" s="5">
        <v>7.6669363137233035E-2</v>
      </c>
      <c r="F45" s="5">
        <v>0.41179734994507894</v>
      </c>
      <c r="G45" s="5">
        <v>0.68119744578675312</v>
      </c>
      <c r="H45" s="5">
        <v>0.59123401594884029</v>
      </c>
      <c r="I45" s="5">
        <v>0.81476857008833858</v>
      </c>
      <c r="J45" s="5">
        <v>0.11615265916168246</v>
      </c>
      <c r="K45" s="5">
        <v>0.33507661422741303</v>
      </c>
      <c r="L45" s="5">
        <v>-9.3752600559526503E-3</v>
      </c>
      <c r="M45" s="5">
        <v>-0.13517656078421353</v>
      </c>
      <c r="N45" s="5">
        <v>10</v>
      </c>
    </row>
    <row r="46" spans="1:14" x14ac:dyDescent="0.3">
      <c r="A46" s="4" t="s">
        <v>154</v>
      </c>
      <c r="B46" s="5">
        <v>0.67688080847183074</v>
      </c>
      <c r="C46" s="5">
        <v>0.6204881050518295</v>
      </c>
      <c r="D46" s="5">
        <v>9.396511206185236E-2</v>
      </c>
      <c r="E46" s="5">
        <v>4.3605262061379622E-2</v>
      </c>
      <c r="F46" s="5">
        <v>0.49453227797928384</v>
      </c>
      <c r="G46" s="5">
        <v>0.78975841989941442</v>
      </c>
      <c r="H46" s="5">
        <v>0.7338955036223479</v>
      </c>
      <c r="I46" s="5">
        <v>0.46376621870627205</v>
      </c>
      <c r="J46" s="5">
        <v>-0.21836228619103171</v>
      </c>
      <c r="K46" s="5">
        <v>0.19622549802492481</v>
      </c>
      <c r="L46" s="5">
        <v>0.35200907978290197</v>
      </c>
      <c r="M46" s="5">
        <v>-0.15545124337127406</v>
      </c>
      <c r="N46" s="5">
        <v>10</v>
      </c>
    </row>
    <row r="47" spans="1:14" x14ac:dyDescent="0.3">
      <c r="A47" s="4" t="s">
        <v>296</v>
      </c>
      <c r="B47" s="5">
        <v>0.67992832894789168</v>
      </c>
      <c r="C47" s="5">
        <v>0.61835374339687732</v>
      </c>
      <c r="D47" s="5">
        <v>6.3043652760405841E-2</v>
      </c>
      <c r="E47" s="5">
        <v>2.3650658609457888E-2</v>
      </c>
      <c r="F47" s="5">
        <v>0.43958369278469006</v>
      </c>
      <c r="G47" s="5">
        <v>0.69739852291242577</v>
      </c>
      <c r="H47" s="5">
        <v>0.59692829675855785</v>
      </c>
      <c r="I47" s="5">
        <v>0.73950446113183665</v>
      </c>
      <c r="J47" s="5">
        <v>0.12766831812173579</v>
      </c>
      <c r="K47" s="5">
        <v>0.44307062873689673</v>
      </c>
      <c r="L47" s="5">
        <v>-0.47041188587224508</v>
      </c>
      <c r="M47" s="5">
        <v>-5.7244265485576016E-3</v>
      </c>
      <c r="N47" s="5">
        <v>10</v>
      </c>
    </row>
    <row r="48" spans="1:14" x14ac:dyDescent="0.3">
      <c r="A48" s="4" t="s">
        <v>208</v>
      </c>
      <c r="B48" s="5">
        <v>0.68257338983010718</v>
      </c>
      <c r="C48" s="5">
        <v>0.61219675604425239</v>
      </c>
      <c r="D48" s="5">
        <v>4.3963395881097961E-3</v>
      </c>
      <c r="E48" s="5">
        <v>-1.7834942287521922E-2</v>
      </c>
      <c r="F48" s="5">
        <v>0.43768633004844332</v>
      </c>
      <c r="G48" s="5">
        <v>0.69725812006208876</v>
      </c>
      <c r="H48" s="5">
        <v>0.60356345885683904</v>
      </c>
      <c r="I48" s="5">
        <v>0.71027911520963782</v>
      </c>
      <c r="J48" s="5">
        <v>0.17995577981668109</v>
      </c>
      <c r="K48" s="5">
        <v>0.36693757420924505</v>
      </c>
      <c r="L48" s="5">
        <v>-0.48089844107820651</v>
      </c>
      <c r="M48" s="5">
        <v>-0.13733468209780741</v>
      </c>
      <c r="N48" s="5">
        <v>10</v>
      </c>
    </row>
    <row r="49" spans="1:14" x14ac:dyDescent="0.3">
      <c r="A49" s="4" t="s">
        <v>304</v>
      </c>
      <c r="B49" s="5">
        <v>0.67581410249265494</v>
      </c>
      <c r="C49" s="5">
        <v>0.60960020843600804</v>
      </c>
      <c r="D49" s="5">
        <v>7.1829988558295227E-2</v>
      </c>
      <c r="E49" s="5">
        <v>5.7274909625700365E-2</v>
      </c>
      <c r="F49" s="5">
        <v>0.40809772965205376</v>
      </c>
      <c r="G49" s="5">
        <v>0.69507452698144279</v>
      </c>
      <c r="H49" s="5">
        <v>0.60372157903442614</v>
      </c>
      <c r="I49" s="5">
        <v>0.73150699807610953</v>
      </c>
      <c r="J49" s="5">
        <v>0.15996585598659091</v>
      </c>
      <c r="K49" s="5">
        <v>0.51576661398753298</v>
      </c>
      <c r="L49" s="5">
        <v>-0.15003779937389447</v>
      </c>
      <c r="M49" s="5">
        <v>-0.29659503209742699</v>
      </c>
      <c r="N49" s="5">
        <v>10</v>
      </c>
    </row>
    <row r="50" spans="1:14" x14ac:dyDescent="0.3">
      <c r="A50" s="4" t="s">
        <v>470</v>
      </c>
      <c r="B50" s="5">
        <v>0.66675773365454383</v>
      </c>
      <c r="C50" s="5">
        <v>0.60855880460749134</v>
      </c>
      <c r="D50" s="5">
        <v>2.9142747895336919E-2</v>
      </c>
      <c r="E50" s="5">
        <v>5.472781230751661E-2</v>
      </c>
      <c r="F50" s="5">
        <v>0.41988916640723772</v>
      </c>
      <c r="G50" s="5">
        <v>0.67908489569702879</v>
      </c>
      <c r="H50" s="5">
        <v>0.58962561668711255</v>
      </c>
      <c r="I50" s="5">
        <v>0.74563553963858764</v>
      </c>
      <c r="J50" s="5">
        <v>0.20224917113865745</v>
      </c>
      <c r="K50" s="5">
        <v>0.3044928313772749</v>
      </c>
      <c r="L50" s="5">
        <v>-4.4074802271008809E-2</v>
      </c>
      <c r="M50" s="5">
        <v>-0.24375595101485778</v>
      </c>
      <c r="N50" s="5">
        <v>10</v>
      </c>
    </row>
    <row r="51" spans="1:14" x14ac:dyDescent="0.3">
      <c r="A51" s="4" t="s">
        <v>220</v>
      </c>
      <c r="B51" s="5">
        <v>0.65289838147724955</v>
      </c>
      <c r="C51" s="5">
        <v>0.60775814591691069</v>
      </c>
      <c r="D51" s="5">
        <v>9.6037359735498415E-2</v>
      </c>
      <c r="E51" s="5">
        <v>9.1168763965983432E-2</v>
      </c>
      <c r="F51" s="5">
        <v>0.40303888052510156</v>
      </c>
      <c r="G51" s="5">
        <v>0.68315158795184305</v>
      </c>
      <c r="H51" s="5">
        <v>0.59039553223061725</v>
      </c>
      <c r="I51" s="5">
        <v>0.75444658296008038</v>
      </c>
      <c r="J51" s="5">
        <v>0.10080990418806315</v>
      </c>
      <c r="K51" s="5">
        <v>0.31835581449499756</v>
      </c>
      <c r="L51" s="5">
        <v>5.6126218047118683E-2</v>
      </c>
      <c r="M51" s="5">
        <v>-0.11061688086624308</v>
      </c>
      <c r="N51" s="5">
        <v>10</v>
      </c>
    </row>
    <row r="52" spans="1:14" x14ac:dyDescent="0.3">
      <c r="A52" s="4" t="s">
        <v>190</v>
      </c>
      <c r="B52" s="5">
        <v>0.65356718732425112</v>
      </c>
      <c r="C52" s="5">
        <v>0.59803211089246877</v>
      </c>
      <c r="D52" s="5">
        <v>9.0271178876411867E-2</v>
      </c>
      <c r="E52" s="5">
        <v>9.4741105723890079E-2</v>
      </c>
      <c r="F52" s="5">
        <v>0.40477959823700527</v>
      </c>
      <c r="G52" s="5">
        <v>0.67805325982486686</v>
      </c>
      <c r="H52" s="5">
        <v>0.59401167246640696</v>
      </c>
      <c r="I52" s="5">
        <v>0.715283913041597</v>
      </c>
      <c r="J52" s="5">
        <v>0.10864959341848923</v>
      </c>
      <c r="K52" s="5">
        <v>0.36600415047591006</v>
      </c>
      <c r="L52" s="5">
        <v>0.12470615154413259</v>
      </c>
      <c r="M52" s="5">
        <v>-0.2203954725429691</v>
      </c>
      <c r="N52" s="5">
        <v>10</v>
      </c>
    </row>
    <row r="53" spans="1:14" x14ac:dyDescent="0.3">
      <c r="A53" s="4" t="s">
        <v>226</v>
      </c>
      <c r="B53" s="5">
        <v>0.64830157379706144</v>
      </c>
      <c r="C53" s="5">
        <v>0.59677181859449513</v>
      </c>
      <c r="D53" s="5">
        <v>0.20475915378076595</v>
      </c>
      <c r="E53" s="5">
        <v>0.1878767217560007</v>
      </c>
      <c r="F53" s="5">
        <v>0.38403109459747597</v>
      </c>
      <c r="G53" s="5">
        <v>0.66646920496066253</v>
      </c>
      <c r="H53" s="5">
        <v>0.61345251102192311</v>
      </c>
      <c r="I53" s="5">
        <v>0.72313446379792057</v>
      </c>
      <c r="J53" s="5">
        <v>9.0526367455056628E-2</v>
      </c>
      <c r="K53" s="5">
        <v>0.45544666072932893</v>
      </c>
      <c r="L53" s="5">
        <v>0.16977706901618289</v>
      </c>
      <c r="M53" s="5">
        <v>3.5756789823433888E-2</v>
      </c>
      <c r="N53" s="5">
        <v>10</v>
      </c>
    </row>
    <row r="54" spans="1:14" x14ac:dyDescent="0.3">
      <c r="A54" s="4" t="s">
        <v>232</v>
      </c>
      <c r="B54" s="5">
        <v>0.63016810499473108</v>
      </c>
      <c r="C54" s="5">
        <v>0.58617669705187025</v>
      </c>
      <c r="D54" s="5">
        <v>0.18460513736566334</v>
      </c>
      <c r="E54" s="5">
        <v>0.19436670126939831</v>
      </c>
      <c r="F54" s="5">
        <v>0.40558959982543952</v>
      </c>
      <c r="G54" s="5">
        <v>0.68130016361694468</v>
      </c>
      <c r="H54" s="5">
        <v>0.79096511177984796</v>
      </c>
      <c r="I54" s="5">
        <v>0.46685191298524897</v>
      </c>
      <c r="J54" s="5">
        <v>0.13658944216295574</v>
      </c>
      <c r="K54" s="5">
        <v>0.48765730350519509</v>
      </c>
      <c r="L54" s="5">
        <v>0.35295427967259252</v>
      </c>
      <c r="M54" s="5">
        <v>-0.19973422026315049</v>
      </c>
      <c r="N54" s="5">
        <v>10</v>
      </c>
    </row>
    <row r="55" spans="1:14" x14ac:dyDescent="0.3">
      <c r="A55" s="4" t="s">
        <v>172</v>
      </c>
      <c r="B55" s="5">
        <v>0.65371106613394325</v>
      </c>
      <c r="C55" s="5">
        <v>0.58078840957574251</v>
      </c>
      <c r="D55" s="5">
        <v>-0.39092505226756913</v>
      </c>
      <c r="E55" s="5">
        <v>-0.37149819549554514</v>
      </c>
      <c r="F55" s="5">
        <v>0.48447311035896606</v>
      </c>
      <c r="G55" s="5">
        <v>0.7742713662935452</v>
      </c>
      <c r="H55" s="5">
        <v>0.60215271519851843</v>
      </c>
      <c r="I55" s="5">
        <v>0.46225644645194075</v>
      </c>
      <c r="J55" s="5">
        <v>-0.17772015369939895</v>
      </c>
      <c r="K55" s="5">
        <v>-0.5294864870103293</v>
      </c>
      <c r="L55" s="5">
        <v>-0.59040680074120366</v>
      </c>
      <c r="M55" s="5">
        <v>-0.1883793405312483</v>
      </c>
      <c r="N55" s="5">
        <v>10</v>
      </c>
    </row>
    <row r="56" spans="1:14" x14ac:dyDescent="0.3">
      <c r="A56" s="4" t="s">
        <v>118</v>
      </c>
      <c r="B56" s="5">
        <v>0.6384465547705237</v>
      </c>
      <c r="C56" s="5">
        <v>0.57937980009256729</v>
      </c>
      <c r="D56" s="5">
        <v>-0.61225708604791007</v>
      </c>
      <c r="E56" s="5">
        <v>-0.59826568111187439</v>
      </c>
      <c r="F56" s="5">
        <v>0.46502032475780275</v>
      </c>
      <c r="G56" s="5">
        <v>0.77099474098935628</v>
      </c>
      <c r="H56" s="5">
        <v>0.62099170947421578</v>
      </c>
      <c r="I56" s="5">
        <v>0.46051242514889551</v>
      </c>
      <c r="J56" s="5">
        <v>-9.8625076786957117E-2</v>
      </c>
      <c r="K56" s="5">
        <v>-0.9818969806984631</v>
      </c>
      <c r="L56" s="5">
        <v>-0.94158430885465949</v>
      </c>
      <c r="M56" s="5">
        <v>-0.3709563581074295</v>
      </c>
      <c r="N56" s="5">
        <v>10</v>
      </c>
    </row>
    <row r="57" spans="1:14" x14ac:dyDescent="0.3">
      <c r="A57" s="4" t="s">
        <v>266</v>
      </c>
      <c r="B57" s="5">
        <v>0.60345352862585389</v>
      </c>
      <c r="C57" s="5">
        <v>0.55662401564267072</v>
      </c>
      <c r="D57" s="5">
        <v>8.2356826473219347E-2</v>
      </c>
      <c r="E57" s="5">
        <v>9.1989679582336017E-2</v>
      </c>
      <c r="F57" s="5">
        <v>0.37959964586901274</v>
      </c>
      <c r="G57" s="5">
        <v>0.65852729179990666</v>
      </c>
      <c r="H57" s="5">
        <v>0.7292004498887199</v>
      </c>
      <c r="I57" s="5">
        <v>0.45916867501304431</v>
      </c>
      <c r="J57" s="5">
        <v>-9.3531111478017098E-2</v>
      </c>
      <c r="K57" s="5">
        <v>0.50344290282207349</v>
      </c>
      <c r="L57" s="5">
        <v>8.2358668191120768E-2</v>
      </c>
      <c r="M57" s="5">
        <v>-0.12431174120583147</v>
      </c>
      <c r="N57" s="5">
        <v>10</v>
      </c>
    </row>
    <row r="58" spans="1:14" x14ac:dyDescent="0.3">
      <c r="A58" s="4" t="s">
        <v>288</v>
      </c>
      <c r="B58" s="5">
        <v>0.60497215145709349</v>
      </c>
      <c r="C58" s="5">
        <v>0.54093462569861495</v>
      </c>
      <c r="D58" s="5">
        <v>6.4573685429904718E-3</v>
      </c>
      <c r="E58" s="5">
        <v>5.5267036293270063E-3</v>
      </c>
      <c r="F58" s="5">
        <v>0.42724682899833361</v>
      </c>
      <c r="G58" s="5">
        <v>0.68836869006307033</v>
      </c>
      <c r="H58" s="5">
        <v>0.58186371491261202</v>
      </c>
      <c r="I58" s="5">
        <v>0.46625926882044572</v>
      </c>
      <c r="J58" s="5">
        <v>4.4500308200883909E-2</v>
      </c>
      <c r="K58" s="5">
        <v>0.5388536276515461</v>
      </c>
      <c r="L58" s="5">
        <v>-0.40369574552712884</v>
      </c>
      <c r="M58" s="5">
        <v>-0.15755137580799089</v>
      </c>
      <c r="N58" s="5">
        <v>10</v>
      </c>
    </row>
    <row r="59" spans="1:14" x14ac:dyDescent="0.3">
      <c r="A59" s="4" t="s">
        <v>214</v>
      </c>
      <c r="B59" s="5">
        <v>0.58148088448886859</v>
      </c>
      <c r="C59" s="5">
        <v>0.53386254507225295</v>
      </c>
      <c r="D59" s="5">
        <v>7.692674047554901E-2</v>
      </c>
      <c r="E59" s="5">
        <v>4.0566070763742065E-2</v>
      </c>
      <c r="F59" s="5">
        <v>0.39537750980051356</v>
      </c>
      <c r="G59" s="5">
        <v>0.66266512425252078</v>
      </c>
      <c r="H59" s="5">
        <v>0.62020295512835444</v>
      </c>
      <c r="I59" s="5">
        <v>0.45720459110762074</v>
      </c>
      <c r="J59" s="5">
        <v>-3.7380763795116762E-2</v>
      </c>
      <c r="K59" s="5">
        <v>0.39109546852059152</v>
      </c>
      <c r="L59" s="5">
        <v>4.5168313996276847E-2</v>
      </c>
      <c r="M59" s="5">
        <v>-0.2366187356667821</v>
      </c>
      <c r="N59" s="5">
        <v>10</v>
      </c>
    </row>
    <row r="60" spans="1:14" x14ac:dyDescent="0.3">
      <c r="A60" s="4" t="s">
        <v>249</v>
      </c>
      <c r="B60" s="5">
        <v>0.70903187285807001</v>
      </c>
      <c r="C60" s="5">
        <v>0.65533242877026199</v>
      </c>
      <c r="D60" s="5">
        <v>-3.5476745435858686E-2</v>
      </c>
      <c r="E60" s="5">
        <v>-4.1447385280618934E-2</v>
      </c>
      <c r="F60" s="5">
        <v>0.45465634517340631</v>
      </c>
      <c r="G60" s="5">
        <v>0.73243985447995119</v>
      </c>
      <c r="H60" s="5">
        <v>0.72696877990951658</v>
      </c>
      <c r="I60" s="5">
        <v>0.7072647355181767</v>
      </c>
      <c r="J60" s="5">
        <v>-8.0539154634924129E-2</v>
      </c>
      <c r="K60" s="5">
        <v>0.16599764619767482</v>
      </c>
      <c r="L60" s="5">
        <v>-5.4213231970814298E-2</v>
      </c>
      <c r="M60" s="5">
        <v>-0.19703480071441304</v>
      </c>
      <c r="N60" s="5">
        <v>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9DF4-7DEA-48A0-BA1D-4CB3321804AE}">
  <dimension ref="A1:P6"/>
  <sheetViews>
    <sheetView zoomScale="106" workbookViewId="0">
      <selection activeCell="D16" sqref="D16"/>
    </sheetView>
  </sheetViews>
  <sheetFormatPr baseColWidth="10" defaultRowHeight="14.4" x14ac:dyDescent="0.3"/>
  <cols>
    <col min="1" max="1" width="17.44140625" bestFit="1" customWidth="1"/>
    <col min="2" max="2" width="40.6640625" bestFit="1" customWidth="1"/>
    <col min="3" max="3" width="40.21875" bestFit="1" customWidth="1"/>
    <col min="4" max="4" width="41.6640625" bestFit="1" customWidth="1"/>
    <col min="5" max="5" width="41.21875" bestFit="1" customWidth="1"/>
    <col min="6" max="6" width="26.6640625" bestFit="1" customWidth="1"/>
    <col min="7" max="7" width="27.77734375" bestFit="1" customWidth="1"/>
    <col min="12" max="12" width="17.44140625" bestFit="1" customWidth="1"/>
    <col min="13" max="13" width="40.6640625" bestFit="1" customWidth="1"/>
    <col min="14" max="14" width="40.21875" bestFit="1" customWidth="1"/>
    <col min="15" max="15" width="41.6640625" bestFit="1" customWidth="1"/>
    <col min="16" max="16" width="41.21875" bestFit="1" customWidth="1"/>
  </cols>
  <sheetData>
    <row r="1" spans="1:16" x14ac:dyDescent="0.3">
      <c r="A1" s="3" t="s">
        <v>248</v>
      </c>
      <c r="B1" t="s">
        <v>254</v>
      </c>
      <c r="C1" t="s">
        <v>255</v>
      </c>
      <c r="D1" t="s">
        <v>258</v>
      </c>
      <c r="E1" t="s">
        <v>259</v>
      </c>
      <c r="F1" t="s">
        <v>251</v>
      </c>
      <c r="G1" t="s">
        <v>253</v>
      </c>
    </row>
    <row r="2" spans="1:16" x14ac:dyDescent="0.3">
      <c r="A2" s="4" t="s">
        <v>353</v>
      </c>
      <c r="B2" s="5">
        <v>0.50172627304449458</v>
      </c>
      <c r="C2" s="5">
        <v>0.7825953744928914</v>
      </c>
      <c r="D2" s="5">
        <v>-0.25430104001973519</v>
      </c>
      <c r="E2" s="5">
        <v>-0.12297852298566678</v>
      </c>
      <c r="F2" s="5">
        <v>0.68090758943004304</v>
      </c>
      <c r="G2" s="5">
        <v>-0.18859608751631507</v>
      </c>
    </row>
    <row r="3" spans="1:16" x14ac:dyDescent="0.3">
      <c r="A3" s="4" t="s">
        <v>354</v>
      </c>
      <c r="B3" s="5">
        <v>0.40758641730231832</v>
      </c>
      <c r="C3" s="5">
        <v>0.68228433446701009</v>
      </c>
      <c r="D3" s="5">
        <v>9.3222730749886892E-2</v>
      </c>
      <c r="E3" s="5">
        <v>0.45497381538101656</v>
      </c>
      <c r="F3" s="5">
        <v>0.62975726811048094</v>
      </c>
      <c r="G3" s="5">
        <v>0.10570131695507719</v>
      </c>
      <c r="L3" s="3" t="s">
        <v>248</v>
      </c>
      <c r="M3" t="s">
        <v>254</v>
      </c>
      <c r="N3" t="s">
        <v>255</v>
      </c>
      <c r="O3" t="s">
        <v>258</v>
      </c>
      <c r="P3" t="s">
        <v>259</v>
      </c>
    </row>
    <row r="4" spans="1:16" x14ac:dyDescent="0.3">
      <c r="A4" s="4" t="s">
        <v>249</v>
      </c>
      <c r="B4" s="5">
        <v>0.45465634517340636</v>
      </c>
      <c r="C4" s="5">
        <v>0.73243985447994997</v>
      </c>
      <c r="D4" s="5">
        <v>-8.0539154634924143E-2</v>
      </c>
      <c r="E4" s="5">
        <v>0.1659976461976749</v>
      </c>
      <c r="F4" s="5">
        <v>0.65533242877026221</v>
      </c>
      <c r="G4" s="5">
        <v>-4.1447385280618913E-2</v>
      </c>
      <c r="L4" s="4" t="s">
        <v>687</v>
      </c>
      <c r="M4" s="5">
        <v>0.50172627304449458</v>
      </c>
      <c r="N4" s="5">
        <v>0.7825953744928914</v>
      </c>
      <c r="O4" s="5">
        <v>-0.25430104001973519</v>
      </c>
      <c r="P4" s="5">
        <v>-0.12297852298566678</v>
      </c>
    </row>
    <row r="5" spans="1:16" x14ac:dyDescent="0.3">
      <c r="L5" s="4" t="s">
        <v>688</v>
      </c>
      <c r="M5" s="5">
        <v>0.40758641730231832</v>
      </c>
      <c r="N5" s="5">
        <v>0.68228433446701009</v>
      </c>
      <c r="O5" s="5">
        <v>9.3222730749886892E-2</v>
      </c>
      <c r="P5" s="5">
        <v>0.45497381538101656</v>
      </c>
    </row>
    <row r="6" spans="1:16" x14ac:dyDescent="0.3">
      <c r="L6" s="4" t="s">
        <v>249</v>
      </c>
      <c r="M6" s="5">
        <v>0.45465634517340636</v>
      </c>
      <c r="N6" s="5">
        <v>0.73243985447994997</v>
      </c>
      <c r="O6" s="5">
        <v>-8.0539154634924143E-2</v>
      </c>
      <c r="P6" s="5">
        <v>0.1659976461976749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164B-EFCF-4A06-8CFA-CC927938CE29}">
  <dimension ref="A1:O8"/>
  <sheetViews>
    <sheetView workbookViewId="0">
      <selection activeCell="M5" sqref="M5"/>
    </sheetView>
  </sheetViews>
  <sheetFormatPr baseColWidth="10" defaultRowHeight="14.4" x14ac:dyDescent="0.3"/>
  <cols>
    <col min="1" max="1" width="17.109375" bestFit="1" customWidth="1"/>
    <col min="2" max="2" width="34.44140625" bestFit="1" customWidth="1"/>
    <col min="3" max="3" width="35.6640625" bestFit="1" customWidth="1"/>
    <col min="4" max="4" width="25.44140625" bestFit="1" customWidth="1"/>
    <col min="5" max="5" width="26.6640625" bestFit="1" customWidth="1"/>
    <col min="7" max="7" width="17.109375" bestFit="1" customWidth="1"/>
    <col min="8" max="8" width="34.44140625" bestFit="1" customWidth="1"/>
    <col min="9" max="9" width="35.6640625" bestFit="1" customWidth="1"/>
    <col min="10" max="10" width="25.44140625" bestFit="1" customWidth="1"/>
    <col min="11" max="11" width="26.6640625" bestFit="1" customWidth="1"/>
    <col min="13" max="13" width="17.109375" bestFit="1" customWidth="1"/>
    <col min="14" max="14" width="34.44140625" bestFit="1" customWidth="1"/>
    <col min="15" max="15" width="35.6640625" bestFit="1" customWidth="1"/>
  </cols>
  <sheetData>
    <row r="1" spans="1:15" x14ac:dyDescent="0.3">
      <c r="A1" s="3" t="s">
        <v>248</v>
      </c>
      <c r="B1" t="s">
        <v>256</v>
      </c>
      <c r="C1" t="s">
        <v>260</v>
      </c>
      <c r="D1" t="s">
        <v>251</v>
      </c>
      <c r="E1" t="s">
        <v>253</v>
      </c>
      <c r="G1" s="3" t="s">
        <v>248</v>
      </c>
      <c r="H1" t="s">
        <v>256</v>
      </c>
      <c r="I1" t="s">
        <v>260</v>
      </c>
      <c r="J1" t="s">
        <v>251</v>
      </c>
      <c r="K1" t="s">
        <v>253</v>
      </c>
      <c r="M1" s="3" t="s">
        <v>248</v>
      </c>
      <c r="N1" t="s">
        <v>256</v>
      </c>
      <c r="O1" t="s">
        <v>260</v>
      </c>
    </row>
    <row r="2" spans="1:15" x14ac:dyDescent="0.3">
      <c r="A2" s="4" t="s">
        <v>356</v>
      </c>
      <c r="B2" s="5">
        <v>0.72285536380034598</v>
      </c>
      <c r="C2" s="5">
        <v>-9.2781451089286648E-2</v>
      </c>
      <c r="D2" s="5">
        <v>0.65454083989552059</v>
      </c>
      <c r="E2" s="5">
        <v>-3.7438652283721896E-2</v>
      </c>
      <c r="G2" s="4" t="s">
        <v>357</v>
      </c>
      <c r="H2" s="5">
        <v>0.73515681519771447</v>
      </c>
      <c r="I2" s="5">
        <v>0.1945431695240728</v>
      </c>
      <c r="J2" s="5">
        <v>0.65652858878685072</v>
      </c>
      <c r="K2" s="5">
        <v>6.2175327231440591E-2</v>
      </c>
      <c r="M2" s="4" t="s">
        <v>689</v>
      </c>
      <c r="N2" s="5">
        <v>0.73515681519771447</v>
      </c>
      <c r="O2" s="5">
        <v>0.1945431695240728</v>
      </c>
    </row>
    <row r="3" spans="1:15" x14ac:dyDescent="0.3">
      <c r="A3" s="4" t="s">
        <v>355</v>
      </c>
      <c r="B3" s="5">
        <v>0.73108219601868729</v>
      </c>
      <c r="C3" s="5">
        <v>-1.5645012852341794E-2</v>
      </c>
      <c r="D3" s="5">
        <v>0.65612401764500383</v>
      </c>
      <c r="E3" s="5">
        <v>-4.5456118277516194E-2</v>
      </c>
      <c r="G3" s="4" t="s">
        <v>358</v>
      </c>
      <c r="H3" s="5">
        <v>0.60812473004892864</v>
      </c>
      <c r="I3" s="5">
        <v>-0.31788513969570575</v>
      </c>
      <c r="J3" s="5">
        <v>0.62207536330051716</v>
      </c>
      <c r="K3" s="5">
        <v>-0.23888478410745656</v>
      </c>
      <c r="M3" s="4" t="s">
        <v>690</v>
      </c>
      <c r="N3" s="5">
        <v>0.60812473004892864</v>
      </c>
      <c r="O3" s="5">
        <v>-0.31788513969570575</v>
      </c>
    </row>
    <row r="4" spans="1:15" x14ac:dyDescent="0.3">
      <c r="A4" s="4" t="s">
        <v>249</v>
      </c>
      <c r="B4" s="5">
        <v>0.72696877990951725</v>
      </c>
      <c r="C4" s="5">
        <v>-5.4213231970814318E-2</v>
      </c>
      <c r="D4" s="5">
        <v>0.6553324287702621</v>
      </c>
      <c r="E4" s="5">
        <v>-4.1447385280618969E-2</v>
      </c>
      <c r="G4" s="4" t="s">
        <v>359</v>
      </c>
      <c r="H4" s="5">
        <v>0.60991302940122261</v>
      </c>
      <c r="I4" s="5">
        <v>-0.3404853942517736</v>
      </c>
      <c r="J4" s="5">
        <v>0.6173937673128167</v>
      </c>
      <c r="K4" s="5">
        <v>-0.12663920936570136</v>
      </c>
      <c r="M4" s="4" t="s">
        <v>691</v>
      </c>
      <c r="N4" s="5">
        <v>0.81734552110341663</v>
      </c>
      <c r="O4" s="5">
        <v>-0.27606443884683873</v>
      </c>
    </row>
    <row r="5" spans="1:15" x14ac:dyDescent="0.3">
      <c r="G5" s="4" t="s">
        <v>360</v>
      </c>
      <c r="H5" s="5">
        <v>0.79300681369616277</v>
      </c>
      <c r="I5" s="5">
        <v>0.42347889036478314</v>
      </c>
      <c r="J5" s="5">
        <v>0.66307547240662768</v>
      </c>
      <c r="K5" s="5">
        <v>0.16599100565747127</v>
      </c>
      <c r="M5" s="4" t="s">
        <v>692</v>
      </c>
      <c r="N5" s="5">
        <v>0.85359377729585051</v>
      </c>
      <c r="O5" s="5">
        <v>-1.4087258044214017E-3</v>
      </c>
    </row>
    <row r="6" spans="1:15" x14ac:dyDescent="0.3">
      <c r="G6" s="4" t="s">
        <v>404</v>
      </c>
      <c r="H6" s="5">
        <v>0.85359377729585051</v>
      </c>
      <c r="I6" s="5">
        <v>-1.4087258044214017E-3</v>
      </c>
      <c r="J6" s="5">
        <v>0.70024554440010944</v>
      </c>
      <c r="K6" s="5">
        <v>3.3239756532407357E-2</v>
      </c>
      <c r="M6" s="4" t="s">
        <v>693</v>
      </c>
      <c r="N6" s="5">
        <v>0.60991302940122261</v>
      </c>
      <c r="O6" s="5">
        <v>-0.3404853942517736</v>
      </c>
    </row>
    <row r="7" spans="1:15" x14ac:dyDescent="0.3">
      <c r="G7" s="4" t="s">
        <v>405</v>
      </c>
      <c r="H7" s="5">
        <v>0.81734552110341663</v>
      </c>
      <c r="I7" s="5">
        <v>-0.27606443884683873</v>
      </c>
      <c r="J7" s="5">
        <v>0.68870628914123155</v>
      </c>
      <c r="K7" s="5">
        <v>-9.7659064474486162E-2</v>
      </c>
      <c r="M7" s="4" t="s">
        <v>694</v>
      </c>
      <c r="N7" s="5">
        <v>0.79300681369616277</v>
      </c>
      <c r="O7" s="5">
        <v>0.42347889036478314</v>
      </c>
    </row>
    <row r="8" spans="1:15" x14ac:dyDescent="0.3">
      <c r="G8" s="4" t="s">
        <v>249</v>
      </c>
      <c r="H8" s="5">
        <v>0.7269687799095168</v>
      </c>
      <c r="I8" s="5">
        <v>-5.4213231970814214E-2</v>
      </c>
      <c r="J8" s="5">
        <v>0.65533242877026243</v>
      </c>
      <c r="K8" s="5">
        <v>-4.144738528061901E-2</v>
      </c>
      <c r="M8" s="4" t="s">
        <v>249</v>
      </c>
      <c r="N8" s="5">
        <v>0.72696877990951703</v>
      </c>
      <c r="O8" s="5">
        <v>-5.4213231970814318E-2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1CFE-E8D9-417A-870D-4AB2E64DD660}">
  <dimension ref="A1:O8"/>
  <sheetViews>
    <sheetView topLeftCell="I1" workbookViewId="0">
      <selection activeCell="G13" sqref="G13"/>
    </sheetView>
  </sheetViews>
  <sheetFormatPr baseColWidth="10" defaultRowHeight="14.4" x14ac:dyDescent="0.3"/>
  <cols>
    <col min="1" max="1" width="17.109375" bestFit="1" customWidth="1"/>
    <col min="2" max="2" width="35.6640625" bestFit="1" customWidth="1"/>
    <col min="3" max="3" width="36.77734375" bestFit="1" customWidth="1"/>
    <col min="4" max="4" width="25.44140625" bestFit="1" customWidth="1"/>
    <col min="5" max="5" width="26.6640625" bestFit="1" customWidth="1"/>
    <col min="7" max="7" width="17.109375" bestFit="1" customWidth="1"/>
    <col min="8" max="8" width="35.6640625" bestFit="1" customWidth="1"/>
    <col min="9" max="9" width="36.77734375" bestFit="1" customWidth="1"/>
    <col min="10" max="10" width="25.44140625" bestFit="1" customWidth="1"/>
    <col min="11" max="11" width="26.6640625" bestFit="1" customWidth="1"/>
    <col min="13" max="13" width="17.109375" bestFit="1" customWidth="1"/>
    <col min="14" max="14" width="35.6640625" bestFit="1" customWidth="1"/>
    <col min="15" max="15" width="36.77734375" bestFit="1" customWidth="1"/>
  </cols>
  <sheetData>
    <row r="1" spans="1:15" x14ac:dyDescent="0.3">
      <c r="A1" s="3" t="s">
        <v>248</v>
      </c>
      <c r="B1" t="s">
        <v>257</v>
      </c>
      <c r="C1" t="s">
        <v>261</v>
      </c>
      <c r="D1" t="s">
        <v>251</v>
      </c>
      <c r="E1" t="s">
        <v>253</v>
      </c>
      <c r="G1" s="3" t="s">
        <v>248</v>
      </c>
      <c r="H1" t="s">
        <v>257</v>
      </c>
      <c r="I1" t="s">
        <v>261</v>
      </c>
      <c r="J1" t="s">
        <v>251</v>
      </c>
      <c r="K1" t="s">
        <v>253</v>
      </c>
      <c r="M1" s="3" t="s">
        <v>248</v>
      </c>
      <c r="N1" t="s">
        <v>257</v>
      </c>
      <c r="O1" t="s">
        <v>261</v>
      </c>
    </row>
    <row r="2" spans="1:15" x14ac:dyDescent="0.3">
      <c r="A2" s="4" t="s">
        <v>362</v>
      </c>
      <c r="B2" s="5">
        <v>0.74331103671347309</v>
      </c>
      <c r="C2" s="5">
        <v>-0.17609947455264238</v>
      </c>
      <c r="D2" s="5">
        <v>0.66475115257312578</v>
      </c>
      <c r="E2" s="5">
        <v>-3.0967870970053366E-2</v>
      </c>
      <c r="G2" s="4" t="s">
        <v>363</v>
      </c>
      <c r="H2" s="5">
        <v>0.74186775639611113</v>
      </c>
      <c r="I2" s="5">
        <v>-8.3823399363102985E-2</v>
      </c>
      <c r="J2" s="5">
        <v>0.668768887199788</v>
      </c>
      <c r="K2" s="5">
        <v>-1.2328240411185853E-2</v>
      </c>
      <c r="M2" s="4" t="s">
        <v>695</v>
      </c>
      <c r="N2" s="5">
        <v>0.74186775639611113</v>
      </c>
      <c r="O2" s="5">
        <v>-8.3823399363102985E-2</v>
      </c>
    </row>
    <row r="3" spans="1:15" x14ac:dyDescent="0.3">
      <c r="A3" s="4" t="s">
        <v>361</v>
      </c>
      <c r="B3" s="5">
        <v>0.6712184343228802</v>
      </c>
      <c r="C3" s="5">
        <v>-0.2179701268761835</v>
      </c>
      <c r="D3" s="5">
        <v>0.64591370496739864</v>
      </c>
      <c r="E3" s="5">
        <v>-5.1926899591184662E-2</v>
      </c>
      <c r="G3" s="4" t="s">
        <v>358</v>
      </c>
      <c r="H3" s="5">
        <v>0.72047044125794468</v>
      </c>
      <c r="I3" s="5">
        <v>-0.16282097222073239</v>
      </c>
      <c r="J3" s="5">
        <v>0.66208003604068011</v>
      </c>
      <c r="K3" s="5">
        <v>-1.5067075325652149E-2</v>
      </c>
      <c r="M3" s="4" t="s">
        <v>696</v>
      </c>
      <c r="N3" s="5">
        <v>0.72047044125794468</v>
      </c>
      <c r="O3" s="5">
        <v>-0.16282097222073239</v>
      </c>
    </row>
    <row r="4" spans="1:15" x14ac:dyDescent="0.3">
      <c r="A4" s="4" t="s">
        <v>249</v>
      </c>
      <c r="B4" s="5">
        <v>0.70726473551817715</v>
      </c>
      <c r="C4" s="5">
        <v>-0.19703480071441287</v>
      </c>
      <c r="D4" s="5">
        <v>0.6553324287702621</v>
      </c>
      <c r="E4" s="5">
        <v>-4.1447385280618976E-2</v>
      </c>
      <c r="G4" s="4" t="s">
        <v>364</v>
      </c>
      <c r="H4" s="5">
        <v>0.7469135643749546</v>
      </c>
      <c r="I4" s="5">
        <v>-0.26284376724793346</v>
      </c>
      <c r="J4" s="5">
        <v>0.65210232179240735</v>
      </c>
      <c r="K4" s="5">
        <v>-2.5698171360979793E-2</v>
      </c>
      <c r="M4" s="4" t="s">
        <v>697</v>
      </c>
      <c r="N4" s="5">
        <v>0.74187342952803348</v>
      </c>
      <c r="O4" s="5">
        <v>-0.22776929464166082</v>
      </c>
    </row>
    <row r="5" spans="1:15" x14ac:dyDescent="0.3">
      <c r="G5" s="4" t="s">
        <v>360</v>
      </c>
      <c r="H5" s="5">
        <v>0.46057293760522533</v>
      </c>
      <c r="I5" s="5">
        <v>-0.20582797161551758</v>
      </c>
      <c r="J5" s="5">
        <v>0.57896724216722917</v>
      </c>
      <c r="K5" s="5">
        <v>-8.005682965751855E-2</v>
      </c>
      <c r="M5" s="4" t="s">
        <v>698</v>
      </c>
      <c r="N5" s="5">
        <v>0.80798592063793839</v>
      </c>
      <c r="O5" s="5">
        <v>-0.3128360141200261</v>
      </c>
    </row>
    <row r="6" spans="1:15" x14ac:dyDescent="0.3">
      <c r="G6" s="4" t="s">
        <v>404</v>
      </c>
      <c r="H6" s="5">
        <v>0.80798592063793839</v>
      </c>
      <c r="I6" s="5">
        <v>-0.3128360141200261</v>
      </c>
      <c r="J6" s="5">
        <v>0.68861067115764674</v>
      </c>
      <c r="K6" s="5">
        <v>-7.9086705923149467E-2</v>
      </c>
      <c r="M6" s="4" t="s">
        <v>699</v>
      </c>
      <c r="N6" s="5">
        <v>0.7469135643749546</v>
      </c>
      <c r="O6" s="5">
        <v>-0.26284376724793346</v>
      </c>
    </row>
    <row r="7" spans="1:15" x14ac:dyDescent="0.3">
      <c r="G7" s="4" t="s">
        <v>406</v>
      </c>
      <c r="H7" s="5">
        <v>0.74187342952803348</v>
      </c>
      <c r="I7" s="5">
        <v>-0.22776929464166082</v>
      </c>
      <c r="J7" s="5">
        <v>0.6713733814138515</v>
      </c>
      <c r="K7" s="5">
        <v>-6.4197016417428213E-2</v>
      </c>
      <c r="M7" s="4" t="s">
        <v>700</v>
      </c>
      <c r="N7" s="5">
        <v>0.46057293760522533</v>
      </c>
      <c r="O7" s="5">
        <v>-0.20582797161551758</v>
      </c>
    </row>
    <row r="8" spans="1:15" x14ac:dyDescent="0.3">
      <c r="G8" s="4" t="s">
        <v>249</v>
      </c>
      <c r="H8" s="5">
        <v>0.70726473551817592</v>
      </c>
      <c r="I8" s="5">
        <v>-0.19703480071441293</v>
      </c>
      <c r="J8" s="5">
        <v>0.65533242877026265</v>
      </c>
      <c r="K8" s="5">
        <v>-4.1447385280619052E-2</v>
      </c>
      <c r="M8" s="4" t="s">
        <v>249</v>
      </c>
      <c r="N8" s="5">
        <v>0.70726473551817615</v>
      </c>
      <c r="O8" s="5">
        <v>-0.19703480071441296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general analysis</vt:lpstr>
      <vt:lpstr>surge and sway</vt:lpstr>
      <vt:lpstr>yaw rate</vt:lpstr>
      <vt:lpstr>yaw angle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2026-03-16T06:49:13Z</dcterms:created>
  <dcterms:modified xsi:type="dcterms:W3CDTF">2026-04-13T11:25:59Z</dcterms:modified>
</cp:coreProperties>
</file>