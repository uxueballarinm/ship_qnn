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https://mgep-my.sharepoint.com/personal/uxue_ballarin_alumni_mondragon_edu/Documents/Semestre 8-Erasmus/Simula/ship_qnn/logs/"/>
    </mc:Choice>
  </mc:AlternateContent>
  <xr:revisionPtr revIDLastSave="19" documentId="11_AD4D2F04E46CFB4ACB3E20D455D6CCDA693EDF1F" xr6:coauthVersionLast="47" xr6:coauthVersionMax="47" xr10:uidLastSave="{F60F838C-2516-430F-922F-4AFFF942AE03}"/>
  <bookViews>
    <workbookView xWindow="28680" yWindow="-5580" windowWidth="51840" windowHeight="21120" xr2:uid="{00000000-000D-0000-FFFF-FFFF00000000}"/>
  </bookViews>
  <sheets>
    <sheet name="Hoja2" sheetId="2" r:id="rId1"/>
    <sheet name="Hoja1" sheetId="1" r:id="rId2"/>
  </sheets>
  <calcPr calcId="162913"/>
  <pivotCaches>
    <pivotCache cacheId="28" r:id="rId3"/>
  </pivotCaches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<sst xmlns="http://schemas.openxmlformats.org/spreadsheetml/2006/main" count="146" uniqueCount="104">
  <si>
    <t>date</t>
  </si>
  <si>
    <t>model_id</t>
  </si>
  <si>
    <t>run</t>
  </si>
  <si>
    <t>weight_selection</t>
  </si>
  <si>
    <t>data</t>
  </si>
  <si>
    <t>data_n</t>
  </si>
  <si>
    <t>data_dt</t>
  </si>
  <si>
    <t>features</t>
  </si>
  <si>
    <t>targets</t>
  </si>
  <si>
    <t>window_size</t>
  </si>
  <si>
    <t>horizon</t>
  </si>
  <si>
    <t>predict</t>
  </si>
  <si>
    <t>norm</t>
  </si>
  <si>
    <t>reconstruct_train</t>
  </si>
  <si>
    <t>reconstruct_val</t>
  </si>
  <si>
    <t>model</t>
  </si>
  <si>
    <t>heads_config</t>
  </si>
  <si>
    <t>head_number</t>
  </si>
  <si>
    <t>encoding</t>
  </si>
  <si>
    <t>ansatz</t>
  </si>
  <si>
    <t>entangle</t>
  </si>
  <si>
    <t>reps</t>
  </si>
  <si>
    <t>map</t>
  </si>
  <si>
    <t>reorder</t>
  </si>
  <si>
    <t>optimizer</t>
  </si>
  <si>
    <t>maxiter</t>
  </si>
  <si>
    <t>iterations</t>
  </si>
  <si>
    <t>tolerance</t>
  </si>
  <si>
    <t>batch_size</t>
  </si>
  <si>
    <t>learning_rate</t>
  </si>
  <si>
    <t>perturbation</t>
  </si>
  <si>
    <t>weights</t>
  </si>
  <si>
    <t>total params</t>
  </si>
  <si>
    <t>q params</t>
  </si>
  <si>
    <t>c params</t>
  </si>
  <si>
    <t>final val loss</t>
  </si>
  <si>
    <t>Val Global Open MSE</t>
  </si>
  <si>
    <t>Val Global Open R2</t>
  </si>
  <si>
    <t>Val Global Closed R2</t>
  </si>
  <si>
    <t>step MSE</t>
  </si>
  <si>
    <t>step R2</t>
  </si>
  <si>
    <t>local MSE</t>
  </si>
  <si>
    <t>global open MSE</t>
  </si>
  <si>
    <t>global open R2</t>
  </si>
  <si>
    <t>global closed MSE</t>
  </si>
  <si>
    <t>global closed R2</t>
  </si>
  <si>
    <t>recursivity</t>
  </si>
  <si>
    <t>initialization</t>
  </si>
  <si>
    <t>Surge Velocity Step MSE</t>
  </si>
  <si>
    <t>Surge Velocity Step R2</t>
  </si>
  <si>
    <t>Surge Velocity Local MSE</t>
  </si>
  <si>
    <t>Surge Velocity Global open MSE</t>
  </si>
  <si>
    <t>Surge Velocity Global open R2</t>
  </si>
  <si>
    <t>Surge Velocity Global closed MSE</t>
  </si>
  <si>
    <t>Surge Velocity Global closed R2</t>
  </si>
  <si>
    <t>Sway Velocity Step MSE</t>
  </si>
  <si>
    <t>Sway Velocity Step R2</t>
  </si>
  <si>
    <t>Sway Velocity Local MSE</t>
  </si>
  <si>
    <t>Sway Velocity Global open MSE</t>
  </si>
  <si>
    <t>Sway Velocity Global open R2</t>
  </si>
  <si>
    <t>Sway Velocity Global closed MSE</t>
  </si>
  <si>
    <t>Sway Velocity Global closed R2</t>
  </si>
  <si>
    <t>Yaw Rate Step MSE</t>
  </si>
  <si>
    <t>Yaw Rate Step R2</t>
  </si>
  <si>
    <t>Yaw Rate Local MSE</t>
  </si>
  <si>
    <t>Yaw Rate Global open MSE</t>
  </si>
  <si>
    <t>Yaw Rate Global open R2</t>
  </si>
  <si>
    <t>Yaw Rate Global closed MSE</t>
  </si>
  <si>
    <t>Yaw Rate Global closed R2</t>
  </si>
  <si>
    <t>Yaw Angle Step MSE</t>
  </si>
  <si>
    <t>Yaw Angle Step R2</t>
  </si>
  <si>
    <t>Yaw Angle Local MSE</t>
  </si>
  <si>
    <t>Yaw Angle Global open MSE</t>
  </si>
  <si>
    <t>Yaw Angle Global open R2</t>
  </si>
  <si>
    <t>Yaw Angle Global closed MSE</t>
  </si>
  <si>
    <t>Yaw Angle Global closed R2</t>
  </si>
  <si>
    <t>Final (Last Iteration)</t>
  </si>
  <si>
    <t>data/reduce_row_number_absolutes</t>
  </si>
  <si>
    <t>['Surge Velocity', 'Sway Velocity', 'Yaw Rate', 'Yaw Angle']</t>
  </si>
  <si>
    <t>motion</t>
  </si>
  <si>
    <t>true</t>
  </si>
  <si>
    <t>false</t>
  </si>
  <si>
    <t>multihead</t>
  </si>
  <si>
    <t>serial</t>
  </si>
  <si>
    <t>effsu2</t>
  </si>
  <si>
    <t>lin</t>
  </si>
  <si>
    <t>[0, 1, -1]</t>
  </si>
  <si>
    <t>ridge</t>
  </si>
  <si>
    <t>[1.0, 1.0, 1.0, 1.0]</t>
  </si>
  <si>
    <t>uniform</t>
  </si>
  <si>
    <t>04-16_15-57-16_multihead_4heads_run0_ridge_serial_f5_w5_h5_effsu2_lin_r1.pkl</t>
  </si>
  <si>
    <t>Ridge Optimal</t>
  </si>
  <si>
    <t>[['sv', 'yr'], ['wv', 'rarad'], ['yr', 'rarad'], ['ya', 'yr']]</t>
  </si>
  <si>
    <t>[{'features': ['sv', 'yr'], 'output_dim': 1, 'reps': 1, 'encoding': 'serial', 'ansatz': 'effsu2', 'entangle': 'lin', 'map': [0, 1, -1]}, {'features': ['wv', 'rarad'], 'output_dim': 1, 'reps': 1, 'encoding': 'serial', 'ansatz': 'effsu2', 'entangle': 'lin', 'map': [0, 1, -1]}, {'features': ['yr', 'rarad'], 'output_dim': 1, 'reps': 1, 'encoding': 'serial', 'ansatz': 'effsu2', 'entangle': 'lin', 'map': [0, 1, -1]}, {'features': ['ya', 'yr'], 'output_dim': 1, 'reps': 1, 'encoding': 'serial', 'ansatz': 'effsu2', 'entangle': 'lin', 'map': [0, 1, -1]}]</t>
  </si>
  <si>
    <t>04-16_16-18-09_multihead_4heads_run0_spsa_serial_f5_w5_h5_effsu2_lin_r1.pkl</t>
  </si>
  <si>
    <t>Best (Lowest Val Loss)</t>
  </si>
  <si>
    <t>spsa</t>
  </si>
  <si>
    <t>04-14_14-12-50_multihead_4heads_run0_spsa_serial_f5_w5_h5_effsu2_lin_r1.pkl</t>
  </si>
  <si>
    <t>[0.1, 0.001]</t>
  </si>
  <si>
    <t>identity</t>
  </si>
  <si>
    <t>Etiquetas de fila</t>
  </si>
  <si>
    <t>Total general</t>
  </si>
  <si>
    <t>Freeze</t>
  </si>
  <si>
    <t>Promedio de global open R2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</si>
</sst>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rgb="FF0061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164" fontId="0" fillId="0" borderId="0" xfId="0" applyNumberFormat="1"/>
    <xf numFmtId="0" fontId="1" fillId="0" borderId="1" xfId="0" applyFont="1" applyBorder="1" applyAlignment="1">
      <alignment horizontal="center" vertical="top"/>
    </xf>
    <xf numFmtId="22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" fillId="2" borderId="0" xfId="0" applyFont="1" applyFill="1"/>
  </cellXfs>
  <cellStyles count="1">
    <cellStyle name="Normal" xfId="0" builtinId="0"/>
  </cellStyles>
  <dxfs count="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5"/>
          <bgColor rgb="FFC6EFCE"/>
        </patternFill>
      </fill>
    </dxf>
    <dxf>
      <numFmt numFmtId="164" formatCode="yyyy\-mm\-dd\ hh:mm:ss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xue Ballarin" refreshedDate="46132.590041898147" createdVersion="8" refreshedVersion="8" minRefreshableVersion="3" recordCount="3" xr:uid="{783CF706-8891-4175-9B02-E5D53BAE0C9D}">
  <cacheSource type="worksheet">
    <worksheetSource name="Tabla1"/>
  </cacheSource>
  <cacheFields count="77">
    <cacheField name="date" numFmtId="0">
      <sharedItems containsSemiMixedTypes="0" containsNonDate="0" containsDate="1" containsString="0" minDate="2026-04-14T14:12:50" maxDate="2026-04-16T16:18:09"/>
    </cacheField>
    <cacheField name="model_id" numFmtId="0">
      <sharedItems/>
    </cacheField>
    <cacheField name="run" numFmtId="0">
      <sharedItems containsSemiMixedTypes="0" containsString="0" containsNumber="1" containsInteger="1" minValue="0" maxValue="0"/>
    </cacheField>
    <cacheField name="weight_selection" numFmtId="0">
      <sharedItems/>
    </cacheField>
    <cacheField name="data" numFmtId="0">
      <sharedItems/>
    </cacheField>
    <cacheField name="data_n" numFmtId="0">
      <sharedItems containsSemiMixedTypes="0" containsString="0" containsNumber="1" containsInteger="1" minValue="16590" maxValue="16590"/>
    </cacheField>
    <cacheField name="data_dt" numFmtId="0">
      <sharedItems containsSemiMixedTypes="0" containsString="0" containsNumber="1" minValue="4.5" maxValue="4.5"/>
    </cacheField>
    <cacheField name="features" numFmtId="0">
      <sharedItems/>
    </cacheField>
    <cacheField name="targets" numFmtId="0">
      <sharedItems/>
    </cacheField>
    <cacheField name="window_size" numFmtId="0">
      <sharedItems containsSemiMixedTypes="0" containsString="0" containsNumber="1" containsInteger="1" minValue="5" maxValue="5"/>
    </cacheField>
    <cacheField name="horizon" numFmtId="0">
      <sharedItems containsSemiMixedTypes="0" containsString="0" containsNumber="1" containsInteger="1" minValue="5" maxValue="5"/>
    </cacheField>
    <cacheField name="predict" numFmtId="0">
      <sharedItems/>
    </cacheField>
    <cacheField name="norm" numFmtId="0">
      <sharedItems/>
    </cacheField>
    <cacheField name="reconstruct_train" numFmtId="0">
      <sharedItems/>
    </cacheField>
    <cacheField name="reconstruct_val" numFmtId="0">
      <sharedItems/>
    </cacheField>
    <cacheField name="model" numFmtId="0">
      <sharedItems/>
    </cacheField>
    <cacheField name="heads_config" numFmtId="0">
      <sharedItems longText="1"/>
    </cacheField>
    <cacheField name="head_number" numFmtId="0">
      <sharedItems containsSemiMixedTypes="0" containsString="0" containsNumber="1" containsInteger="1" minValue="4" maxValue="4"/>
    </cacheField>
    <cacheField name="encoding" numFmtId="0">
      <sharedItems/>
    </cacheField>
    <cacheField name="ansatz" numFmtId="0">
      <sharedItems/>
    </cacheField>
    <cacheField name="entangle" numFmtId="0">
      <sharedItems/>
    </cacheField>
    <cacheField name="reps" numFmtId="0">
      <sharedItems containsSemiMixedTypes="0" containsString="0" containsNumber="1" containsInteger="1" minValue="1" maxValue="1"/>
    </cacheField>
    <cacheField name="map" numFmtId="0">
      <sharedItems/>
    </cacheField>
    <cacheField name="reorder" numFmtId="0">
      <sharedItems/>
    </cacheField>
    <cacheField name="optimizer" numFmtId="0">
      <sharedItems count="2">
        <s v="ridge"/>
        <s v="spsa"/>
      </sharedItems>
    </cacheField>
    <cacheField name="maxiter" numFmtId="0">
      <sharedItems containsSemiMixedTypes="0" containsString="0" containsNumber="1" containsInteger="1" minValue="4000" maxValue="4000"/>
    </cacheField>
    <cacheField name="iterations" numFmtId="0">
      <sharedItems containsSemiMixedTypes="0" containsString="0" containsNumber="1" containsInteger="1" minValue="1" maxValue="4000"/>
    </cacheField>
    <cacheField name="tolerance" numFmtId="0">
      <sharedItems containsNonDate="0" containsString="0" containsBlank="1"/>
    </cacheField>
    <cacheField name="batch_size" numFmtId="0">
      <sharedItems containsSemiMixedTypes="0" containsString="0" containsNumber="1" containsInteger="1" minValue="32" maxValue="256"/>
    </cacheField>
    <cacheField name="learning_rate" numFmtId="0">
      <sharedItems containsMixedTypes="1" containsNumber="1" minValue="0.1" maxValue="0.1"/>
    </cacheField>
    <cacheField name="perturbation" numFmtId="0">
      <sharedItems containsSemiMixedTypes="0" containsString="0" containsNumber="1" minValue="0.1" maxValue="0.15"/>
    </cacheField>
    <cacheField name="weights" numFmtId="0">
      <sharedItems/>
    </cacheField>
    <cacheField name="total params" numFmtId="0">
      <sharedItems containsSemiMixedTypes="0" containsString="0" containsNumber="1" containsInteger="1" minValue="160" maxValue="160"/>
    </cacheField>
    <cacheField name="q params" numFmtId="0">
      <sharedItems containsSemiMixedTypes="0" containsString="0" containsNumber="1" containsInteger="1" minValue="40" maxValue="40"/>
    </cacheField>
    <cacheField name="c params" numFmtId="0">
      <sharedItems containsSemiMixedTypes="0" containsString="0" containsNumber="1" containsInteger="1" minValue="120" maxValue="120"/>
    </cacheField>
    <cacheField name="final val loss" numFmtId="0">
      <sharedItems containsSemiMixedTypes="0" containsString="0" containsNumber="1" minValue="1.1127128272915799E-2" maxValue="8.1139539675200198E-2"/>
    </cacheField>
    <cacheField name="Val Global Open MSE" numFmtId="0">
      <sharedItems containsSemiMixedTypes="0" containsString="0" containsNumber="1" minValue="2.7985361850269559" maxValue="7.8848309566712684"/>
    </cacheField>
    <cacheField name="Val Global Open R2" numFmtId="0">
      <sharedItems containsSemiMixedTypes="0" containsString="0" containsNumber="1" minValue="0.91285133346878955" maxValue="0.95436266072956299"/>
    </cacheField>
    <cacheField name="Val Global Closed R2" numFmtId="0">
      <sharedItems containsSemiMixedTypes="0" containsString="0" containsNumber="1" minValue="-0.37285627127127929" maxValue="0.45010307334183131"/>
    </cacheField>
    <cacheField name="step MSE" numFmtId="0">
      <sharedItems containsSemiMixedTypes="0" containsString="0" containsNumber="1" minValue="3.3853989894199299" maxValue="9.2980210104897552"/>
    </cacheField>
    <cacheField name="step R2" numFmtId="0">
      <sharedItems containsSemiMixedTypes="0" containsString="0" containsNumber="1" minValue="0.92138488338957347" maxValue="0.95829499275603336"/>
    </cacheField>
    <cacheField name="local MSE" numFmtId="0">
      <sharedItems containsSemiMixedTypes="0" containsString="0" containsNumber="1" minValue="3.3853989894199299" maxValue="9.2980210104897552"/>
    </cacheField>
    <cacheField name="global open MSE" numFmtId="0">
      <sharedItems containsSemiMixedTypes="0" containsString="0" containsNumber="1" minValue="3.3853989894199299" maxValue="9.2980210104897552"/>
    </cacheField>
    <cacheField name="global open R2" numFmtId="0">
      <sharedItems containsSemiMixedTypes="0" containsString="0" containsNumber="1" minValue="0.92138488338957347" maxValue="0.95829499275603336"/>
    </cacheField>
    <cacheField name="global closed MSE" numFmtId="0">
      <sharedItems containsSemiMixedTypes="0" containsString="0" containsNumber="1" minValue="180.11789388007779" maxValue="379.92343270284852"/>
    </cacheField>
    <cacheField name="global closed R2" numFmtId="0">
      <sharedItems containsSemiMixedTypes="0" containsString="0" containsNumber="1" minValue="-0.47229665852848368" maxValue="0.28929883403943568"/>
    </cacheField>
    <cacheField name="recursivity" numFmtId="0">
      <sharedItems containsSemiMixedTypes="0" containsString="0" containsNumber="1" minValue="0.8" maxValue="0.8"/>
    </cacheField>
    <cacheField name="initialization" numFmtId="0">
      <sharedItems/>
    </cacheField>
    <cacheField name="Surge Velocity Step MSE" numFmtId="0">
      <sharedItems containsSemiMixedTypes="0" containsString="0" containsNumber="1" minValue="4.5041151217698463E-3" maxValue="1.0609490376860981E-2"/>
    </cacheField>
    <cacheField name="Surge Velocity Step R2" numFmtId="0">
      <sharedItems containsSemiMixedTypes="0" containsString="0" containsNumber="1" minValue="0.92296138223284663" maxValue="0.96729430058185828"/>
    </cacheField>
    <cacheField name="Surge Velocity Local MSE" numFmtId="0">
      <sharedItems containsSemiMixedTypes="0" containsString="0" containsNumber="1" minValue="4.5041151217698463E-3" maxValue="1.0609490376860981E-2"/>
    </cacheField>
    <cacheField name="Surge Velocity Global open MSE" numFmtId="0">
      <sharedItems containsSemiMixedTypes="0" containsString="0" containsNumber="1" minValue="4.5041151217698463E-3" maxValue="1.0609490376860981E-2"/>
    </cacheField>
    <cacheField name="Surge Velocity Global open R2" numFmtId="0">
      <sharedItems containsSemiMixedTypes="0" containsString="0" containsNumber="1" minValue="0.92296138223284663" maxValue="0.96729430058185828"/>
    </cacheField>
    <cacheField name="Surge Velocity Global closed MSE" numFmtId="0">
      <sharedItems containsSemiMixedTypes="0" containsString="0" containsNumber="1" minValue="8.2777423215102258E-2" maxValue="0.14600003650172691"/>
    </cacheField>
    <cacheField name="Surge Velocity Global closed R2" numFmtId="0">
      <sharedItems containsSemiMixedTypes="0" containsString="0" containsNumber="1" minValue="-6.0149036995950499E-2" maxValue="0.39892887968244528"/>
    </cacheField>
    <cacheField name="Sway Velocity Step MSE" numFmtId="0">
      <sharedItems containsSemiMixedTypes="0" containsString="0" containsNumber="1" minValue="1.0151162083541901E-2" maxValue="1.542134169211614E-2"/>
    </cacheField>
    <cacheField name="Sway Velocity Step R2" numFmtId="0">
      <sharedItems containsSemiMixedTypes="0" containsString="0" containsNumber="1" minValue="0.94656834475798579" maxValue="0.96482839148613719"/>
    </cacheField>
    <cacheField name="Sway Velocity Local MSE" numFmtId="0">
      <sharedItems containsSemiMixedTypes="0" containsString="0" containsNumber="1" minValue="1.0151162083541901E-2" maxValue="1.542134169211614E-2"/>
    </cacheField>
    <cacheField name="Sway Velocity Global open MSE" numFmtId="0">
      <sharedItems containsSemiMixedTypes="0" containsString="0" containsNumber="1" minValue="1.0151162083541901E-2" maxValue="1.542134169211614E-2"/>
    </cacheField>
    <cacheField name="Sway Velocity Global open R2" numFmtId="0">
      <sharedItems containsSemiMixedTypes="0" containsString="0" containsNumber="1" minValue="0.94656834475798579" maxValue="0.96482839148613719"/>
    </cacheField>
    <cacheField name="Sway Velocity Global closed MSE" numFmtId="0">
      <sharedItems containsSemiMixedTypes="0" containsString="0" containsNumber="1" minValue="3.6541326163812372E-2" maxValue="0.1530612262291601"/>
    </cacheField>
    <cacheField name="Sway Velocity Global closed R2" numFmtId="0">
      <sharedItems containsSemiMixedTypes="0" containsString="0" containsNumber="1" minValue="0.46967554224043789" maxValue="0.87339210941231049"/>
    </cacheField>
    <cacheField name="Yaw Rate Step MSE" numFmtId="0">
      <sharedItems containsSemiMixedTypes="0" containsString="0" containsNumber="1" minValue="1.44096155598205E-2" maxValue="1.9494571740137849E-2"/>
    </cacheField>
    <cacheField name="Yaw Rate Step R2" numFmtId="0">
      <sharedItems containsSemiMixedTypes="0" containsString="0" containsNumber="1" minValue="0.92173546063352196" maxValue="0.9421499513161703"/>
    </cacheField>
    <cacheField name="Yaw Rate Local MSE" numFmtId="0">
      <sharedItems containsSemiMixedTypes="0" containsString="0" containsNumber="1" minValue="1.44096155598205E-2" maxValue="1.9494571740137849E-2"/>
    </cacheField>
    <cacheField name="Yaw Rate Global open MSE" numFmtId="0">
      <sharedItems containsSemiMixedTypes="0" containsString="0" containsNumber="1" minValue="1.44096155598205E-2" maxValue="1.9494571740137849E-2"/>
    </cacheField>
    <cacheField name="Yaw Rate Global open R2" numFmtId="0">
      <sharedItems containsSemiMixedTypes="0" containsString="0" containsNumber="1" minValue="0.92173546063352196" maxValue="0.9421499513161703"/>
    </cacheField>
    <cacheField name="Yaw Rate Global closed MSE" numFmtId="0">
      <sharedItems containsSemiMixedTypes="0" containsString="0" containsNumber="1" minValue="1.6171180009051961E-2" maxValue="3.7120136937231159E-2"/>
    </cacheField>
    <cacheField name="Yaw Rate Global closed R2" numFmtId="0">
      <sharedItems containsSemiMixedTypes="0" containsString="0" containsNumber="1" minValue="0.85097439136703812" maxValue="0.93507782723869681"/>
    </cacheField>
    <cacheField name="Yaw Angle Step MSE" numFmtId="0">
      <sharedItems containsSemiMixedTypes="0" containsString="0" containsNumber="1" minValue="13.5117703276455" maxValue="37.146558638150083"/>
    </cacheField>
    <cacheField name="Yaw Angle Step R2" numFmtId="0">
      <sharedItems containsSemiMixedTypes="0" containsString="0" containsNumber="1" minValue="0.89427434593393917" maxValue="0.96154311979754759"/>
    </cacheField>
    <cacheField name="Yaw Angle Local MSE" numFmtId="0">
      <sharedItems containsSemiMixedTypes="0" containsString="0" containsNumber="1" minValue="13.5117703276455" maxValue="37.146558638150083"/>
    </cacheField>
    <cacheField name="Yaw Angle Global open MSE" numFmtId="0">
      <sharedItems containsSemiMixedTypes="0" containsString="0" containsNumber="1" minValue="13.5117703276455" maxValue="37.146558638150083"/>
    </cacheField>
    <cacheField name="Yaw Angle Global open R2" numFmtId="0">
      <sharedItems containsSemiMixedTypes="0" containsString="0" containsNumber="1" minValue="0.89427434593393917" maxValue="0.96154311979754759"/>
    </cacheField>
    <cacheField name="Yaw Angle Global closed MSE" numFmtId="0">
      <sharedItems containsSemiMixedTypes="0" containsString="0" containsNumber="1" minValue="720.33608559092829" maxValue="1519.381614048684"/>
    </cacheField>
    <cacheField name="Yaw Angle Global closed R2" numFmtId="0">
      <sharedItems containsSemiMixedTypes="0" containsString="0" containsNumber="1" minValue="-3.3244279096224831" maxValue="-1.050203480175723"/>
    </cacheField>
    <cacheField name="Freeze" numFmtId="0">
      <sharedItems count="2">
        <s v="true"/>
        <s v="false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">
  <r>
    <d v="2026-04-16T15:57:16"/>
    <s v="04-16_15-57-16_multihead_4heads_run0_ridge_serial_f5_w5_h5_effsu2_lin_r1.pkl"/>
    <n v="0"/>
    <s v="Ridge Optimal"/>
    <s v="data/reduce_row_number_absolutes"/>
    <n v="16590"/>
    <n v="4.5"/>
    <s v="[['sv', 'yr'], ['wv', 'rarad'], ['yr', 'rarad'], ['ya', 'yr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lin', 'map': [0, 1, -1]}, {'features': ['wv', 'rarad'], 'output_dim': 1, 'reps': 1, 'encoding': 'serial', 'ansatz': 'effsu2', 'entangle': 'lin', 'map': [0, 1, -1]}, {'features': ['yr', 'rarad'], 'output_dim': 1, 'reps': 1, 'encoding': 'serial', 'ansatz': 'effsu2', 'entangle': 'lin', 'map': [0, 1, -1]}, {'features': ['ya', 'yr'], 'output_dim': 1, 'reps': 1, 'encoding': 'serial', 'ansatz': 'effsu2', 'entangle': 'lin', 'map': [0, 1, -1]}]"/>
    <n v="4"/>
    <s v="serial"/>
    <s v="effsu2"/>
    <s v="lin"/>
    <n v="1"/>
    <s v="[0, 1, -1]"/>
    <s v="false"/>
    <x v="0"/>
    <n v="4000"/>
    <n v="1"/>
    <m/>
    <n v="32"/>
    <n v="0.1"/>
    <n v="0.1"/>
    <s v="[1.0, 1.0, 1.0, 1.0]"/>
    <n v="160"/>
    <n v="40"/>
    <n v="120"/>
    <n v="1.1127128272915799E-2"/>
    <n v="2.7985361850269559"/>
    <n v="0.95436266072956299"/>
    <n v="0.45010307334183131"/>
    <n v="3.3853989894199299"/>
    <n v="0.95829499275603336"/>
    <n v="3.3853989894199299"/>
    <n v="3.3853989894199299"/>
    <n v="0.95829499275603336"/>
    <n v="180.11789388007779"/>
    <n v="0.28929883403943568"/>
    <n v="0.8"/>
    <s v="uniform"/>
    <n v="4.5041151217698463E-3"/>
    <n v="0.96729430058185828"/>
    <n v="4.5041151217698463E-3"/>
    <n v="4.5041151217698463E-3"/>
    <n v="0.96729430058185828"/>
    <n v="8.2777423215102258E-2"/>
    <n v="0.39892887968244528"/>
    <n v="1.091189935262587E-2"/>
    <n v="0.96219259932855705"/>
    <n v="1.091189935262587E-2"/>
    <n v="1.091189935262587E-2"/>
    <n v="0.96219259932855705"/>
    <n v="3.6541326163812372E-2"/>
    <n v="0.87339210941231049"/>
    <n v="1.44096155598205E-2"/>
    <n v="0.9421499513161703"/>
    <n v="1.44096155598205E-2"/>
    <n v="1.44096155598205E-2"/>
    <n v="0.9421499513161703"/>
    <n v="1.6171180009051961E-2"/>
    <n v="0.93507782723869681"/>
    <n v="13.5117703276455"/>
    <n v="0.96154311979754759"/>
    <n v="13.5117703276455"/>
    <n v="13.5117703276455"/>
    <n v="0.96154311979754759"/>
    <n v="720.33608559092829"/>
    <n v="-1.050203480175723"/>
    <x v="0"/>
  </r>
  <r>
    <d v="2026-04-16T16:18:09"/>
    <s v="04-16_16-18-09_multihead_4heads_run0_spsa_serial_f5_w5_h5_effsu2_lin_r1.pkl"/>
    <n v="0"/>
    <s v="Best (Lowest Val Loss)"/>
    <s v="data/reduce_row_number_absolutes"/>
    <n v="16590"/>
    <n v="4.5"/>
    <s v="[['sv', 'yr'], ['wv', 'rarad'], ['yr', 'rarad'], ['ya', 'yr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lin', 'map': [0, 1, -1]}, {'features': ['wv', 'rarad'], 'output_dim': 1, 'reps': 1, 'encoding': 'serial', 'ansatz': 'effsu2', 'entangle': 'lin', 'map': [0, 1, -1]}, {'features': ['yr', 'rarad'], 'output_dim': 1, 'reps': 1, 'encoding': 'serial', 'ansatz': 'effsu2', 'entangle': 'lin', 'map': [0, 1, -1]}, {'features': ['ya', 'yr'], 'output_dim': 1, 'reps': 1, 'encoding': 'serial', 'ansatz': 'effsu2', 'entangle': 'lin', 'map': [0, 1, -1]}]"/>
    <n v="4"/>
    <s v="serial"/>
    <s v="effsu2"/>
    <s v="lin"/>
    <n v="1"/>
    <s v="[0, 1, -1]"/>
    <s v="false"/>
    <x v="1"/>
    <n v="4000"/>
    <n v="4000"/>
    <m/>
    <n v="32"/>
    <n v="0.1"/>
    <n v="0.1"/>
    <s v="[1.0, 1.0, 1.0, 1.0]"/>
    <n v="160"/>
    <n v="40"/>
    <n v="120"/>
    <n v="4.40298906713903E-2"/>
    <n v="7.8848309566712684"/>
    <n v="0.91285133346878955"/>
    <n v="-0.25294907668034061"/>
    <n v="9.2980210104897552"/>
    <n v="0.92138488338957347"/>
    <n v="9.2980210104897552"/>
    <n v="9.2980210104897552"/>
    <n v="0.92138488338957347"/>
    <n v="379.92343270284852"/>
    <n v="-0.47229665852848368"/>
    <n v="0.8"/>
    <s v="uniform"/>
    <n v="1.0609490376860981E-2"/>
    <n v="0.92296138223284663"/>
    <n v="1.0609490376860981E-2"/>
    <n v="1.0609490376860981E-2"/>
    <n v="0.92296138223284663"/>
    <n v="0.12193539954315161"/>
    <n v="0.1145913419010717"/>
    <n v="1.542134169211614E-2"/>
    <n v="0.94656834475798579"/>
    <n v="1.542134169211614E-2"/>
    <n v="1.542134169211614E-2"/>
    <n v="0.94656834475798579"/>
    <n v="0.1530612262291601"/>
    <n v="0.46967554224043789"/>
    <n v="1.9494571740137849E-2"/>
    <n v="0.92173546063352196"/>
    <n v="1.9494571740137849E-2"/>
    <n v="1.9494571740137849E-2"/>
    <n v="0.92173546063352196"/>
    <n v="3.7120136937231159E-2"/>
    <n v="0.85097439136703812"/>
    <n v="37.146558638150083"/>
    <n v="0.89427434593393917"/>
    <n v="37.146558638150083"/>
    <n v="37.146558638150083"/>
    <n v="0.89427434593393917"/>
    <n v="1519.381614048684"/>
    <n v="-3.3244279096224831"/>
    <x v="0"/>
  </r>
  <r>
    <d v="2026-04-14T14:12:50"/>
    <s v="04-14_14-12-50_multihead_4heads_run0_spsa_serial_f5_w5_h5_effsu2_lin_r1.pkl"/>
    <n v="0"/>
    <s v="Final (Last Iteration)"/>
    <s v="data/reduce_row_number_absolutes"/>
    <n v="16590"/>
    <n v="4.5"/>
    <s v="[['sv', 'yr'], ['wv', 'rarad'], ['yr', 'rarad'], ['ya', 'yr']]"/>
    <s v="['Surge Velocity', 'Sway Velocity', 'Yaw Rate', 'Yaw Angle']"/>
    <n v="5"/>
    <n v="5"/>
    <s v="motion"/>
    <s v="true"/>
    <s v="false"/>
    <s v="false"/>
    <s v="multihead"/>
    <s v="[{'features': ['sv', 'yr'], 'output_dim': 1, 'reps': 1, 'encoding': 'serial', 'ansatz': 'effsu2', 'entangle': 'lin', 'map': [0, 1, -1]}, {'features': ['wv', 'rarad'], 'output_dim': 1, 'reps': 1, 'encoding': 'serial', 'ansatz': 'effsu2', 'entangle': 'lin', 'map': [0, 1, -1]}, {'features': ['yr', 'rarad'], 'output_dim': 1, 'reps': 1, 'encoding': 'serial', 'ansatz': 'effsu2', 'entangle': 'lin', 'map': [0, 1, -1]}, {'features': ['ya', 'yr'], 'output_dim': 1, 'reps': 1, 'encoding': 'serial', 'ansatz': 'effsu2', 'entangle': 'lin', 'map': [0, 1, -1]}]"/>
    <n v="4"/>
    <s v="serial"/>
    <s v="effsu2"/>
    <s v="lin"/>
    <n v="1"/>
    <s v="[0, 1, -1]"/>
    <s v="false"/>
    <x v="1"/>
    <n v="4000"/>
    <n v="4000"/>
    <m/>
    <n v="256"/>
    <s v="[0.1, 0.001]"/>
    <n v="0.15"/>
    <s v="[1.0, 1.0, 1.0, 1.0]"/>
    <n v="160"/>
    <n v="40"/>
    <n v="120"/>
    <n v="8.1139539675200198E-2"/>
    <n v="3.3783572157266439"/>
    <n v="0.9377448424911784"/>
    <n v="-0.37285627127127929"/>
    <n v="4.1397381184782516"/>
    <n v="0.94861374287176725"/>
    <n v="4.1397381184782516"/>
    <n v="4.1397381184782516"/>
    <n v="0.94861374287176725"/>
    <n v="190.4971730616532"/>
    <n v="0.11344945647887859"/>
    <n v="0.8"/>
    <s v="identity"/>
    <n v="8.4109296538784004E-3"/>
    <n v="0.93892577572955305"/>
    <n v="8.4109296538784004E-3"/>
    <n v="8.4109296538784004E-3"/>
    <n v="0.93892577572955305"/>
    <n v="0.14600003650172691"/>
    <n v="-6.0149036995950499E-2"/>
    <n v="1.0151162083541901E-2"/>
    <n v="0.96482839148613719"/>
    <n v="1.0151162083541901E-2"/>
    <n v="1.0151162083541901E-2"/>
    <n v="0.96482839148613719"/>
    <n v="5.80289340211168E-2"/>
    <n v="0.79894213755324439"/>
    <n v="1.5509683188459199E-2"/>
    <n v="0.93773352774067242"/>
    <n v="1.5509683188459199E-2"/>
    <n v="1.5509683188459199E-2"/>
    <n v="0.93773352774067242"/>
    <n v="2.91192839188011E-2"/>
    <n v="0.8830952855509846"/>
    <n v="16.524880698987069"/>
    <n v="0.95296727653070601"/>
    <n v="16.524880698987069"/>
    <n v="16.524880698987069"/>
    <n v="0.95296727653070601"/>
    <n v="761.75554399217094"/>
    <n v="-1.168090560192766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3E57890-AB65-4105-A176-0F2FEB5C278F}" name="TablaDinámica1" cacheId="2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9" firstHeaderRow="1" firstDataRow="1" firstDataCol="1"/>
  <pivotFields count="77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">
        <item x="1"/>
        <item x="0"/>
        <item t="default"/>
      </items>
    </pivotField>
  </pivotFields>
  <rowFields count="2">
    <field x="76"/>
    <field x="24"/>
  </rowFields>
  <rowItems count="6">
    <i>
      <x/>
    </i>
    <i r="1">
      <x v="1"/>
    </i>
    <i>
      <x v="1"/>
    </i>
    <i r="1">
      <x/>
    </i>
    <i r="1">
      <x v="1"/>
    </i>
    <i t="grand">
      <x/>
    </i>
  </rowItems>
  <colItems count="1">
    <i/>
  </colItems>
  <dataFields count="1">
    <dataField name="Promedio de global open R2" fld="43" subtotal="average" baseField="76" baseItem="0"/>
  </dataFields>
  <formats count="1">
    <format dxfId="0">
      <pivotArea collapsedLevelsAreSubtotals="1" fieldPosition="0">
        <references count="2">
          <reference field="24" count="1">
            <x v="0"/>
          </reference>
          <reference field="76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D2EA6A-82E7-4A4C-AC53-848F33DE1BB1}" name="Tabla1" displayName="Tabla1" ref="A1:BY4" totalsRowShown="0" headerRowDxfId="4" headerRowBorderDxfId="3" tableBorderDxfId="2">
  <autoFilter ref="A1:BY4" xr:uid="{91D2EA6A-82E7-4A4C-AC53-848F33DE1BB1}"/>
  <tableColumns count="77">
    <tableColumn id="1" xr3:uid="{CCCD9240-091F-45BA-93CC-2BB7C6F07F15}" name="date" dataDxfId="1"/>
    <tableColumn id="2" xr3:uid="{5CC75F91-B8A8-42A0-BC38-2DB7CDC2EDED}" name="model_id"/>
    <tableColumn id="3" xr3:uid="{C8BEA7C6-C18A-41B5-8909-F758EB20F6C2}" name="run"/>
    <tableColumn id="4" xr3:uid="{3D26E3B8-2FE9-4E72-AB65-5402942BDD05}" name="weight_selection"/>
    <tableColumn id="5" xr3:uid="{EF2ADFFD-3C67-4372-AF97-A17CFF45A0B4}" name="data"/>
    <tableColumn id="6" xr3:uid="{8D1B8AB6-6610-4A4D-B1A7-3502DB5DF999}" name="data_n"/>
    <tableColumn id="7" xr3:uid="{3F36350A-0EEC-408C-B863-8D4A55E716C3}" name="data_dt"/>
    <tableColumn id="8" xr3:uid="{B2E019DE-EE73-4ABB-9C10-2C44B64CA381}" name="features"/>
    <tableColumn id="9" xr3:uid="{34D4AE3A-632C-4E18-A9E8-A558AF15FC81}" name="targets"/>
    <tableColumn id="10" xr3:uid="{344C0105-07F0-4095-8E8F-625FF87C151D}" name="window_size"/>
    <tableColumn id="11" xr3:uid="{4DA79765-F82F-461B-BBAF-0B8264BB83FD}" name="horizon"/>
    <tableColumn id="12" xr3:uid="{9175DEE4-08A1-4DAC-A12D-915EC515435E}" name="predict"/>
    <tableColumn id="13" xr3:uid="{0D59E330-24C5-4881-B188-32A58669E887}" name="norm"/>
    <tableColumn id="14" xr3:uid="{FEAF5756-2450-448F-A1D8-2162B807BD6B}" name="reconstruct_train"/>
    <tableColumn id="15" xr3:uid="{A284D641-C119-4A9F-98B4-B55B28BE99F3}" name="reconstruct_val"/>
    <tableColumn id="16" xr3:uid="{36AAF185-63C3-4DE3-A2E7-560F3B22E381}" name="model"/>
    <tableColumn id="17" xr3:uid="{6C3B442B-72FE-49AB-A014-DA72F9AC8F15}" name="heads_config"/>
    <tableColumn id="18" xr3:uid="{5CD445C5-66B3-4B65-86E7-792C8DAD49AD}" name="head_number"/>
    <tableColumn id="19" xr3:uid="{A758607B-BD34-42B7-85D3-6EFF8710116D}" name="encoding"/>
    <tableColumn id="20" xr3:uid="{4CFE1EEA-C48A-498B-ADB9-AEC2C5337FDC}" name="ansatz"/>
    <tableColumn id="21" xr3:uid="{4E8B8261-0E9E-4219-937A-8466FE2741C8}" name="entangle"/>
    <tableColumn id="22" xr3:uid="{76407502-4C30-4C7F-A79E-96025879E6DC}" name="reps"/>
    <tableColumn id="23" xr3:uid="{FEACDF88-DA5E-44A0-8824-8FD0FC88B1E7}" name="map"/>
    <tableColumn id="24" xr3:uid="{41221268-2275-4B64-B2E0-84B66DA8D2D8}" name="reorder"/>
    <tableColumn id="25" xr3:uid="{318A5338-80E5-48C4-A75D-93D5782A571B}" name="optimizer"/>
    <tableColumn id="26" xr3:uid="{3B28098C-D752-444A-9952-BBA445AD07D9}" name="maxiter"/>
    <tableColumn id="27" xr3:uid="{73A66215-A1E8-4F24-927C-5D0927630EEF}" name="iterations"/>
    <tableColumn id="28" xr3:uid="{640397EA-3C03-49F4-B272-273CCB7973C5}" name="tolerance"/>
    <tableColumn id="29" xr3:uid="{96DA5E09-17E7-4B4A-99A3-C524A3164CEF}" name="batch_size"/>
    <tableColumn id="30" xr3:uid="{861FE8F7-EB77-4F9F-ABBA-0F05C43DE834}" name="learning_rate"/>
    <tableColumn id="31" xr3:uid="{223A89F1-3652-492E-AE54-33686D0A7919}" name="perturbation"/>
    <tableColumn id="32" xr3:uid="{7B082690-AB12-4EA5-93AD-89BB27D38AE2}" name="weights"/>
    <tableColumn id="33" xr3:uid="{7074875F-614B-4691-AA52-17F3E6122496}" name="total params"/>
    <tableColumn id="34" xr3:uid="{232627E1-6ED9-4472-BD07-865B35C91537}" name="q params"/>
    <tableColumn id="35" xr3:uid="{5244483C-C878-42B0-A5A2-F5AFCE8B7675}" name="c params"/>
    <tableColumn id="36" xr3:uid="{7A619E62-5A71-4B45-8457-F1D508F14899}" name="final val loss"/>
    <tableColumn id="37" xr3:uid="{CD056058-9EDB-4082-B716-8DC6525F1CA9}" name="Val Global Open MSE"/>
    <tableColumn id="38" xr3:uid="{B64F436A-4606-4F72-BEEA-0C3DAC66C034}" name="Val Global Open R2"/>
    <tableColumn id="39" xr3:uid="{F7579672-EFCF-49EF-875F-27505A2C1BBA}" name="Val Global Closed R2"/>
    <tableColumn id="40" xr3:uid="{68D3CE93-35A3-4924-B6F3-275CD5E749A7}" name="step MSE"/>
    <tableColumn id="41" xr3:uid="{BB66470A-DF0D-47C9-AF2C-4E3F0A80E691}" name="step R2"/>
    <tableColumn id="42" xr3:uid="{0BB378F1-4CD5-4394-87F5-859849099108}" name="local MSE"/>
    <tableColumn id="43" xr3:uid="{D8083FD5-C841-49B9-B17A-4345814E7D16}" name="global open MSE"/>
    <tableColumn id="44" xr3:uid="{17433D2F-E4C5-4162-945C-1EA03F5B5655}" name="global open R2"/>
    <tableColumn id="45" xr3:uid="{B6C76220-057B-4D89-AC63-EAFF03C1DE4C}" name="global closed MSE"/>
    <tableColumn id="46" xr3:uid="{1A92B9F2-AD2F-4B06-AA4A-8E600809A277}" name="global closed R2"/>
    <tableColumn id="47" xr3:uid="{1FA0B3D8-380A-4D8F-B448-E366523DCA07}" name="recursivity"/>
    <tableColumn id="48" xr3:uid="{57FC80FD-3437-4D01-B402-5A8A37E8C686}" name="initialization"/>
    <tableColumn id="49" xr3:uid="{926C9310-B4B9-41B3-83CD-4BBDACF75C00}" name="Surge Velocity Step MSE"/>
    <tableColumn id="50" xr3:uid="{C419E09D-809D-42B9-B0E3-11BFFFE61B00}" name="Surge Velocity Step R2"/>
    <tableColumn id="51" xr3:uid="{BB19C519-9ED2-4F00-AF2B-6234D6F2102B}" name="Surge Velocity Local MSE"/>
    <tableColumn id="52" xr3:uid="{6F4289D4-98DE-4EA5-9D6B-375547809412}" name="Surge Velocity Global open MSE"/>
    <tableColumn id="53" xr3:uid="{84F3CFA7-BB38-4BF2-8A6A-2FCCD73F8417}" name="Surge Velocity Global open R2"/>
    <tableColumn id="54" xr3:uid="{6BD244FE-E459-4F95-B453-B264CE75F880}" name="Surge Velocity Global closed MSE"/>
    <tableColumn id="55" xr3:uid="{6C1A57A4-70D9-47E8-A5FC-3C3FC5218804}" name="Surge Velocity Global closed R2"/>
    <tableColumn id="56" xr3:uid="{AB0968F2-47E0-4BFB-9BCB-4A382CF6114C}" name="Sway Velocity Step MSE"/>
    <tableColumn id="57" xr3:uid="{4A57B274-B52C-42F6-B49D-4DFBA9A9C5A3}" name="Sway Velocity Step R2"/>
    <tableColumn id="58" xr3:uid="{CFF37A32-C718-467F-B078-DBB136989623}" name="Sway Velocity Local MSE"/>
    <tableColumn id="59" xr3:uid="{5D20C574-924E-4B27-AE6C-C0C0CDC9CA3D}" name="Sway Velocity Global open MSE"/>
    <tableColumn id="60" xr3:uid="{6B13D9F5-AC10-45F9-9AF8-B28928614F09}" name="Sway Velocity Global open R2"/>
    <tableColumn id="61" xr3:uid="{284DCE48-5A46-43C5-91E8-C164F80648AC}" name="Sway Velocity Global closed MSE"/>
    <tableColumn id="62" xr3:uid="{87989F5D-5BC2-439B-8BAB-AD077E2130E9}" name="Sway Velocity Global closed R2"/>
    <tableColumn id="63" xr3:uid="{20DB5DAE-538A-4786-80EC-6CB7D077DB9A}" name="Yaw Rate Step MSE"/>
    <tableColumn id="64" xr3:uid="{19F67D9B-CB2B-4024-829A-9E971CDB2107}" name="Yaw Rate Step R2"/>
    <tableColumn id="65" xr3:uid="{073C06B2-B1D5-49D3-9FBE-9C4303D19062}" name="Yaw Rate Local MSE"/>
    <tableColumn id="66" xr3:uid="{CCB767CA-8C85-444C-ABC9-BDCE041D00FA}" name="Yaw Rate Global open MSE"/>
    <tableColumn id="67" xr3:uid="{BB7C0E46-D5CE-4ED1-A7C7-853FADAA2D7A}" name="Yaw Rate Global open R2"/>
    <tableColumn id="68" xr3:uid="{8700D177-73DB-4A25-A7F8-126351286D2D}" name="Yaw Rate Global closed MSE"/>
    <tableColumn id="69" xr3:uid="{0433E2DE-66D2-4EDF-A694-A70918297156}" name="Yaw Rate Global closed R2"/>
    <tableColumn id="70" xr3:uid="{DED6EC8F-1A98-4C32-8DD6-9EEC0CE7734B}" name="Yaw Angle Step MSE"/>
    <tableColumn id="71" xr3:uid="{08DE6514-2997-4E7A-8443-DB838B87702F}" name="Yaw Angle Step R2"/>
    <tableColumn id="72" xr3:uid="{EBF1E4D7-C6E2-443B-8FE4-E0DE513AFF10}" name="Yaw Angle Local MSE"/>
    <tableColumn id="73" xr3:uid="{F954FCBB-ED8D-4F36-805D-AF83BA5E47A1}" name="Yaw Angle Global open MSE"/>
    <tableColumn id="74" xr3:uid="{8E95EC00-DC98-4DC1-BA9B-0744F28C08F8}" name="Yaw Angle Global open R2"/>
    <tableColumn id="75" xr3:uid="{A06C0483-9A83-4157-BF5C-4335D5F8D9FA}" name="Yaw Angle Global closed MSE"/>
    <tableColumn id="76" xr3:uid="{5E79A8E2-72ED-4679-873F-AD56F73E03FB}" name="Yaw Angle Global closed R2"/>
    <tableColumn id="77" xr3:uid="{095697A7-4BFB-4CD0-AB74-4EF1F50D8426}" name="Freez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73BFB-DF0C-4ADD-BC1C-07B224BAC20D}">
  <dimension ref="A3:B9"/>
  <sheetViews>
    <sheetView tabSelected="1" workbookViewId="0">
      <selection activeCell="F16" sqref="F16"/>
    </sheetView>
  </sheetViews>
  <sheetFormatPr baseColWidth="10" defaultRowHeight="14.4" x14ac:dyDescent="0.3"/>
  <cols>
    <col min="1" max="1" width="17.109375" bestFit="1" customWidth="1"/>
    <col min="2" max="2" width="25.44140625" bestFit="1" customWidth="1"/>
  </cols>
  <sheetData>
    <row r="3" spans="1:2" x14ac:dyDescent="0.3">
      <c r="A3" s="4" t="s">
        <v>100</v>
      </c>
      <c r="B3" t="s">
        <v>103</v>
      </c>
    </row>
    <row r="4" spans="1:2" x14ac:dyDescent="0.3">
      <c r="A4" s="5" t="s">
        <v>81</v>
      </c>
      <c r="B4">
        <v>0.94861374287176725</v>
      </c>
    </row>
    <row r="5" spans="1:2" x14ac:dyDescent="0.3">
      <c r="A5" s="6" t="s">
        <v>96</v>
      </c>
      <c r="B5">
        <v>0.94861374287176725</v>
      </c>
    </row>
    <row r="6" spans="1:2" x14ac:dyDescent="0.3">
      <c r="A6" s="5" t="s">
        <v>80</v>
      </c>
      <c r="B6">
        <v>0.93983993807280342</v>
      </c>
    </row>
    <row r="7" spans="1:2" x14ac:dyDescent="0.3">
      <c r="A7" s="6" t="s">
        <v>87</v>
      </c>
      <c r="B7" s="7">
        <v>0.95829499275603336</v>
      </c>
    </row>
    <row r="8" spans="1:2" x14ac:dyDescent="0.3">
      <c r="A8" s="6" t="s">
        <v>96</v>
      </c>
      <c r="B8">
        <v>0.92138488338957347</v>
      </c>
    </row>
    <row r="9" spans="1:2" x14ac:dyDescent="0.3">
      <c r="A9" s="5" t="s">
        <v>101</v>
      </c>
      <c r="B9">
        <v>0.94276453967245788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Y4"/>
  <sheetViews>
    <sheetView topLeftCell="BB1" workbookViewId="0">
      <selection activeCell="BX15" sqref="BX15"/>
    </sheetView>
  </sheetViews>
  <sheetFormatPr baseColWidth="10" defaultColWidth="8.88671875" defaultRowHeight="14.4" x14ac:dyDescent="0.3"/>
  <cols>
    <col min="1" max="1" width="15.5546875" bestFit="1" customWidth="1"/>
    <col min="2" max="2" width="11.109375" customWidth="1"/>
    <col min="4" max="4" width="17.77734375" customWidth="1"/>
    <col min="7" max="7" width="9.44140625" customWidth="1"/>
    <col min="8" max="8" width="10.109375" customWidth="1"/>
    <col min="10" max="10" width="14.21875" customWidth="1"/>
    <col min="11" max="11" width="9.44140625" customWidth="1"/>
    <col min="12" max="12" width="9" customWidth="1"/>
    <col min="14" max="14" width="17.6640625" customWidth="1"/>
    <col min="15" max="15" width="16.109375" customWidth="1"/>
    <col min="17" max="17" width="14.33203125" customWidth="1"/>
    <col min="18" max="18" width="15" customWidth="1"/>
    <col min="19" max="19" width="10.88671875" customWidth="1"/>
    <col min="21" max="21" width="10.5546875" customWidth="1"/>
    <col min="24" max="24" width="9.44140625" customWidth="1"/>
    <col min="25" max="25" width="11.21875" customWidth="1"/>
    <col min="26" max="26" width="9.5546875" customWidth="1"/>
    <col min="27" max="27" width="11.21875" customWidth="1"/>
    <col min="28" max="28" width="11.109375" customWidth="1"/>
    <col min="29" max="29" width="12" customWidth="1"/>
    <col min="30" max="30" width="14.44140625" customWidth="1"/>
    <col min="31" max="31" width="13.88671875" customWidth="1"/>
    <col min="32" max="32" width="9.77734375" customWidth="1"/>
    <col min="33" max="33" width="13.6640625" customWidth="1"/>
    <col min="34" max="34" width="10.6640625" customWidth="1"/>
    <col min="35" max="35" width="10.44140625" customWidth="1"/>
    <col min="36" max="36" width="13.44140625" customWidth="1"/>
    <col min="37" max="37" width="21.109375" customWidth="1"/>
    <col min="38" max="38" width="19.44140625" customWidth="1"/>
    <col min="39" max="39" width="20.5546875" customWidth="1"/>
    <col min="40" max="40" width="10.88671875" customWidth="1"/>
    <col min="41" max="41" width="9.21875" customWidth="1"/>
    <col min="42" max="42" width="11.109375" customWidth="1"/>
    <col min="43" max="43" width="17.21875" customWidth="1"/>
    <col min="44" max="44" width="15.5546875" customWidth="1"/>
    <col min="45" max="45" width="18.33203125" customWidth="1"/>
    <col min="46" max="46" width="16.6640625" customWidth="1"/>
    <col min="47" max="47" width="12" customWidth="1"/>
    <col min="48" max="48" width="13.77734375" customWidth="1"/>
    <col min="49" max="49" width="23.77734375" customWidth="1"/>
    <col min="50" max="50" width="22.109375" customWidth="1"/>
    <col min="51" max="51" width="24.21875" customWidth="1"/>
    <col min="52" max="52" width="30.44140625" customWidth="1"/>
    <col min="53" max="53" width="28.77734375" customWidth="1"/>
    <col min="54" max="54" width="31.5546875" customWidth="1"/>
    <col min="55" max="55" width="29.88671875" customWidth="1"/>
    <col min="56" max="56" width="23.33203125" customWidth="1"/>
    <col min="57" max="57" width="21.6640625" customWidth="1"/>
    <col min="58" max="58" width="23.77734375" customWidth="1"/>
    <col min="59" max="59" width="30" customWidth="1"/>
    <col min="60" max="60" width="28.33203125" customWidth="1"/>
    <col min="61" max="61" width="31.109375" customWidth="1"/>
    <col min="62" max="62" width="29.44140625" customWidth="1"/>
    <col min="63" max="63" width="19.33203125" customWidth="1"/>
    <col min="64" max="64" width="17.6640625" customWidth="1"/>
    <col min="65" max="65" width="19.77734375" customWidth="1"/>
    <col min="66" max="66" width="26" customWidth="1"/>
    <col min="67" max="67" width="24.33203125" customWidth="1"/>
    <col min="68" max="68" width="27.109375" customWidth="1"/>
    <col min="69" max="69" width="25.44140625" customWidth="1"/>
    <col min="70" max="70" width="20.44140625" customWidth="1"/>
    <col min="71" max="71" width="18.77734375" customWidth="1"/>
    <col min="72" max="72" width="20.88671875" customWidth="1"/>
    <col min="73" max="73" width="27.109375" customWidth="1"/>
    <col min="74" max="74" width="25.44140625" customWidth="1"/>
    <col min="75" max="75" width="28.21875" customWidth="1"/>
    <col min="76" max="76" width="26.5546875" customWidth="1"/>
  </cols>
  <sheetData>
    <row r="1" spans="1:77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2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2" t="s">
        <v>43</v>
      </c>
      <c r="AS1" s="2" t="s">
        <v>44</v>
      </c>
      <c r="AT1" s="2" t="s">
        <v>45</v>
      </c>
      <c r="AU1" s="2" t="s">
        <v>46</v>
      </c>
      <c r="AV1" s="2" t="s">
        <v>47</v>
      </c>
      <c r="AW1" s="2" t="s">
        <v>48</v>
      </c>
      <c r="AX1" s="2" t="s">
        <v>49</v>
      </c>
      <c r="AY1" s="2" t="s">
        <v>50</v>
      </c>
      <c r="AZ1" s="2" t="s">
        <v>51</v>
      </c>
      <c r="BA1" s="2" t="s">
        <v>52</v>
      </c>
      <c r="BB1" s="2" t="s">
        <v>53</v>
      </c>
      <c r="BC1" s="2" t="s">
        <v>54</v>
      </c>
      <c r="BD1" s="2" t="s">
        <v>55</v>
      </c>
      <c r="BE1" s="2" t="s">
        <v>56</v>
      </c>
      <c r="BF1" s="2" t="s">
        <v>57</v>
      </c>
      <c r="BG1" s="2" t="s">
        <v>58</v>
      </c>
      <c r="BH1" s="2" t="s">
        <v>59</v>
      </c>
      <c r="BI1" s="2" t="s">
        <v>60</v>
      </c>
      <c r="BJ1" s="2" t="s">
        <v>61</v>
      </c>
      <c r="BK1" s="2" t="s">
        <v>62</v>
      </c>
      <c r="BL1" s="2" t="s">
        <v>63</v>
      </c>
      <c r="BM1" s="2" t="s">
        <v>64</v>
      </c>
      <c r="BN1" s="2" t="s">
        <v>65</v>
      </c>
      <c r="BO1" s="2" t="s">
        <v>66</v>
      </c>
      <c r="BP1" s="2" t="s">
        <v>67</v>
      </c>
      <c r="BQ1" s="2" t="s">
        <v>68</v>
      </c>
      <c r="BR1" s="2" t="s">
        <v>69</v>
      </c>
      <c r="BS1" s="2" t="s">
        <v>70</v>
      </c>
      <c r="BT1" s="2" t="s">
        <v>71</v>
      </c>
      <c r="BU1" s="2" t="s">
        <v>72</v>
      </c>
      <c r="BV1" s="2" t="s">
        <v>73</v>
      </c>
      <c r="BW1" s="2" t="s">
        <v>74</v>
      </c>
      <c r="BX1" s="2" t="s">
        <v>75</v>
      </c>
      <c r="BY1" s="2" t="s">
        <v>102</v>
      </c>
    </row>
    <row r="2" spans="1:77" x14ac:dyDescent="0.3">
      <c r="A2" s="1">
        <v>46128.664768518523</v>
      </c>
      <c r="B2" t="s">
        <v>90</v>
      </c>
      <c r="C2">
        <v>0</v>
      </c>
      <c r="D2" t="s">
        <v>91</v>
      </c>
      <c r="E2" t="s">
        <v>77</v>
      </c>
      <c r="F2">
        <v>16590</v>
      </c>
      <c r="G2">
        <v>4.5</v>
      </c>
      <c r="H2" t="s">
        <v>92</v>
      </c>
      <c r="I2" t="s">
        <v>78</v>
      </c>
      <c r="J2">
        <v>5</v>
      </c>
      <c r="K2">
        <v>5</v>
      </c>
      <c r="L2" t="s">
        <v>79</v>
      </c>
      <c r="M2" t="s">
        <v>80</v>
      </c>
      <c r="N2" t="s">
        <v>81</v>
      </c>
      <c r="O2" t="s">
        <v>81</v>
      </c>
      <c r="P2" t="s">
        <v>82</v>
      </c>
      <c r="Q2" t="s">
        <v>93</v>
      </c>
      <c r="R2">
        <v>4</v>
      </c>
      <c r="S2" t="s">
        <v>83</v>
      </c>
      <c r="T2" t="s">
        <v>84</v>
      </c>
      <c r="U2" t="s">
        <v>85</v>
      </c>
      <c r="V2">
        <v>1</v>
      </c>
      <c r="W2" t="s">
        <v>86</v>
      </c>
      <c r="X2" t="s">
        <v>81</v>
      </c>
      <c r="Y2" t="s">
        <v>87</v>
      </c>
      <c r="Z2">
        <v>4000</v>
      </c>
      <c r="AA2">
        <v>1</v>
      </c>
      <c r="AC2">
        <v>32</v>
      </c>
      <c r="AD2">
        <v>0.1</v>
      </c>
      <c r="AE2">
        <v>0.1</v>
      </c>
      <c r="AF2" t="s">
        <v>88</v>
      </c>
      <c r="AG2">
        <v>160</v>
      </c>
      <c r="AH2">
        <v>40</v>
      </c>
      <c r="AI2">
        <v>120</v>
      </c>
      <c r="AJ2">
        <v>1.1127128272915799E-2</v>
      </c>
      <c r="AK2">
        <v>2.7985361850269559</v>
      </c>
      <c r="AL2">
        <v>0.95436266072956299</v>
      </c>
      <c r="AM2">
        <v>0.45010307334183131</v>
      </c>
      <c r="AN2">
        <v>3.3853989894199299</v>
      </c>
      <c r="AO2">
        <v>0.95829499275603336</v>
      </c>
      <c r="AP2">
        <v>3.3853989894199299</v>
      </c>
      <c r="AQ2">
        <v>3.3853989894199299</v>
      </c>
      <c r="AR2">
        <v>0.95829499275603336</v>
      </c>
      <c r="AS2">
        <v>180.11789388007779</v>
      </c>
      <c r="AT2">
        <v>0.28929883403943568</v>
      </c>
      <c r="AU2">
        <v>0.8</v>
      </c>
      <c r="AV2" t="s">
        <v>89</v>
      </c>
      <c r="AW2">
        <v>4.5041151217698463E-3</v>
      </c>
      <c r="AX2">
        <v>0.96729430058185828</v>
      </c>
      <c r="AY2">
        <v>4.5041151217698463E-3</v>
      </c>
      <c r="AZ2">
        <v>4.5041151217698463E-3</v>
      </c>
      <c r="BA2">
        <v>0.96729430058185828</v>
      </c>
      <c r="BB2">
        <v>8.2777423215102258E-2</v>
      </c>
      <c r="BC2">
        <v>0.39892887968244528</v>
      </c>
      <c r="BD2">
        <v>1.091189935262587E-2</v>
      </c>
      <c r="BE2">
        <v>0.96219259932855705</v>
      </c>
      <c r="BF2">
        <v>1.091189935262587E-2</v>
      </c>
      <c r="BG2">
        <v>1.091189935262587E-2</v>
      </c>
      <c r="BH2">
        <v>0.96219259932855705</v>
      </c>
      <c r="BI2">
        <v>3.6541326163812372E-2</v>
      </c>
      <c r="BJ2">
        <v>0.87339210941231049</v>
      </c>
      <c r="BK2">
        <v>1.44096155598205E-2</v>
      </c>
      <c r="BL2">
        <v>0.9421499513161703</v>
      </c>
      <c r="BM2">
        <v>1.44096155598205E-2</v>
      </c>
      <c r="BN2">
        <v>1.44096155598205E-2</v>
      </c>
      <c r="BO2">
        <v>0.9421499513161703</v>
      </c>
      <c r="BP2">
        <v>1.6171180009051961E-2</v>
      </c>
      <c r="BQ2">
        <v>0.93507782723869681</v>
      </c>
      <c r="BR2">
        <v>13.5117703276455</v>
      </c>
      <c r="BS2">
        <v>0.96154311979754759</v>
      </c>
      <c r="BT2">
        <v>13.5117703276455</v>
      </c>
      <c r="BU2">
        <v>13.5117703276455</v>
      </c>
      <c r="BV2">
        <v>0.96154311979754759</v>
      </c>
      <c r="BW2">
        <v>720.33608559092829</v>
      </c>
      <c r="BX2">
        <v>-1.050203480175723</v>
      </c>
      <c r="BY2" t="s">
        <v>80</v>
      </c>
    </row>
    <row r="3" spans="1:77" x14ac:dyDescent="0.3">
      <c r="A3" s="1">
        <v>46128.679270833331</v>
      </c>
      <c r="B3" t="s">
        <v>94</v>
      </c>
      <c r="C3">
        <v>0</v>
      </c>
      <c r="D3" t="s">
        <v>95</v>
      </c>
      <c r="E3" t="s">
        <v>77</v>
      </c>
      <c r="F3">
        <v>16590</v>
      </c>
      <c r="G3">
        <v>4.5</v>
      </c>
      <c r="H3" t="s">
        <v>92</v>
      </c>
      <c r="I3" t="s">
        <v>78</v>
      </c>
      <c r="J3">
        <v>5</v>
      </c>
      <c r="K3">
        <v>5</v>
      </c>
      <c r="L3" t="s">
        <v>79</v>
      </c>
      <c r="M3" t="s">
        <v>80</v>
      </c>
      <c r="N3" t="s">
        <v>81</v>
      </c>
      <c r="O3" t="s">
        <v>81</v>
      </c>
      <c r="P3" t="s">
        <v>82</v>
      </c>
      <c r="Q3" t="s">
        <v>93</v>
      </c>
      <c r="R3">
        <v>4</v>
      </c>
      <c r="S3" t="s">
        <v>83</v>
      </c>
      <c r="T3" t="s">
        <v>84</v>
      </c>
      <c r="U3" t="s">
        <v>85</v>
      </c>
      <c r="V3">
        <v>1</v>
      </c>
      <c r="W3" t="s">
        <v>86</v>
      </c>
      <c r="X3" t="s">
        <v>81</v>
      </c>
      <c r="Y3" t="s">
        <v>96</v>
      </c>
      <c r="Z3">
        <v>4000</v>
      </c>
      <c r="AA3">
        <v>4000</v>
      </c>
      <c r="AC3">
        <v>32</v>
      </c>
      <c r="AD3">
        <v>0.1</v>
      </c>
      <c r="AE3">
        <v>0.1</v>
      </c>
      <c r="AF3" t="s">
        <v>88</v>
      </c>
      <c r="AG3">
        <v>160</v>
      </c>
      <c r="AH3">
        <v>40</v>
      </c>
      <c r="AI3">
        <v>120</v>
      </c>
      <c r="AJ3">
        <v>4.40298906713903E-2</v>
      </c>
      <c r="AK3">
        <v>7.8848309566712684</v>
      </c>
      <c r="AL3">
        <v>0.91285133346878955</v>
      </c>
      <c r="AM3">
        <v>-0.25294907668034061</v>
      </c>
      <c r="AN3">
        <v>9.2980210104897552</v>
      </c>
      <c r="AO3">
        <v>0.92138488338957347</v>
      </c>
      <c r="AP3">
        <v>9.2980210104897552</v>
      </c>
      <c r="AQ3">
        <v>9.2980210104897552</v>
      </c>
      <c r="AR3">
        <v>0.92138488338957347</v>
      </c>
      <c r="AS3">
        <v>379.92343270284852</v>
      </c>
      <c r="AT3">
        <v>-0.47229665852848368</v>
      </c>
      <c r="AU3">
        <v>0.8</v>
      </c>
      <c r="AV3" t="s">
        <v>89</v>
      </c>
      <c r="AW3">
        <v>1.0609490376860981E-2</v>
      </c>
      <c r="AX3">
        <v>0.92296138223284663</v>
      </c>
      <c r="AY3">
        <v>1.0609490376860981E-2</v>
      </c>
      <c r="AZ3">
        <v>1.0609490376860981E-2</v>
      </c>
      <c r="BA3">
        <v>0.92296138223284663</v>
      </c>
      <c r="BB3">
        <v>0.12193539954315161</v>
      </c>
      <c r="BC3">
        <v>0.1145913419010717</v>
      </c>
      <c r="BD3">
        <v>1.542134169211614E-2</v>
      </c>
      <c r="BE3">
        <v>0.94656834475798579</v>
      </c>
      <c r="BF3">
        <v>1.542134169211614E-2</v>
      </c>
      <c r="BG3">
        <v>1.542134169211614E-2</v>
      </c>
      <c r="BH3">
        <v>0.94656834475798579</v>
      </c>
      <c r="BI3">
        <v>0.1530612262291601</v>
      </c>
      <c r="BJ3">
        <v>0.46967554224043789</v>
      </c>
      <c r="BK3">
        <v>1.9494571740137849E-2</v>
      </c>
      <c r="BL3">
        <v>0.92173546063352196</v>
      </c>
      <c r="BM3">
        <v>1.9494571740137849E-2</v>
      </c>
      <c r="BN3">
        <v>1.9494571740137849E-2</v>
      </c>
      <c r="BO3">
        <v>0.92173546063352196</v>
      </c>
      <c r="BP3">
        <v>3.7120136937231159E-2</v>
      </c>
      <c r="BQ3">
        <v>0.85097439136703812</v>
      </c>
      <c r="BR3">
        <v>37.146558638150083</v>
      </c>
      <c r="BS3">
        <v>0.89427434593393917</v>
      </c>
      <c r="BT3">
        <v>37.146558638150083</v>
      </c>
      <c r="BU3">
        <v>37.146558638150083</v>
      </c>
      <c r="BV3">
        <v>0.89427434593393917</v>
      </c>
      <c r="BW3">
        <v>1519.381614048684</v>
      </c>
      <c r="BX3">
        <v>-3.3244279096224831</v>
      </c>
      <c r="BY3" t="s">
        <v>80</v>
      </c>
    </row>
    <row r="4" spans="1:77" x14ac:dyDescent="0.3">
      <c r="A4" s="3">
        <v>46126.592245370368</v>
      </c>
      <c r="B4" t="s">
        <v>97</v>
      </c>
      <c r="C4">
        <v>0</v>
      </c>
      <c r="D4" t="s">
        <v>76</v>
      </c>
      <c r="E4" t="s">
        <v>77</v>
      </c>
      <c r="F4">
        <v>16590</v>
      </c>
      <c r="G4">
        <v>4.5</v>
      </c>
      <c r="H4" t="s">
        <v>92</v>
      </c>
      <c r="I4" t="s">
        <v>78</v>
      </c>
      <c r="J4">
        <v>5</v>
      </c>
      <c r="K4">
        <v>5</v>
      </c>
      <c r="L4" t="s">
        <v>79</v>
      </c>
      <c r="M4" t="s">
        <v>80</v>
      </c>
      <c r="N4" t="s">
        <v>81</v>
      </c>
      <c r="O4" t="s">
        <v>81</v>
      </c>
      <c r="P4" t="s">
        <v>82</v>
      </c>
      <c r="Q4" t="s">
        <v>93</v>
      </c>
      <c r="R4">
        <v>4</v>
      </c>
      <c r="S4" t="s">
        <v>83</v>
      </c>
      <c r="T4" t="s">
        <v>84</v>
      </c>
      <c r="U4" t="s">
        <v>85</v>
      </c>
      <c r="V4">
        <v>1</v>
      </c>
      <c r="W4" t="s">
        <v>86</v>
      </c>
      <c r="X4" t="s">
        <v>81</v>
      </c>
      <c r="Y4" t="s">
        <v>96</v>
      </c>
      <c r="Z4">
        <v>4000</v>
      </c>
      <c r="AA4">
        <v>4000</v>
      </c>
      <c r="AC4">
        <v>256</v>
      </c>
      <c r="AD4" t="s">
        <v>98</v>
      </c>
      <c r="AE4">
        <v>0.15</v>
      </c>
      <c r="AF4" t="s">
        <v>88</v>
      </c>
      <c r="AG4">
        <v>160</v>
      </c>
      <c r="AH4">
        <v>40</v>
      </c>
      <c r="AI4">
        <v>120</v>
      </c>
      <c r="AJ4">
        <v>8.1139539675200198E-2</v>
      </c>
      <c r="AK4">
        <v>3.3783572157266439</v>
      </c>
      <c r="AL4">
        <v>0.9377448424911784</v>
      </c>
      <c r="AM4">
        <v>-0.37285627127127929</v>
      </c>
      <c r="AN4">
        <v>4.1397381184782516</v>
      </c>
      <c r="AO4">
        <v>0.94861374287176725</v>
      </c>
      <c r="AP4">
        <v>4.1397381184782516</v>
      </c>
      <c r="AQ4">
        <v>4.1397381184782516</v>
      </c>
      <c r="AR4">
        <v>0.94861374287176725</v>
      </c>
      <c r="AS4">
        <v>190.4971730616532</v>
      </c>
      <c r="AT4">
        <v>0.11344945647887859</v>
      </c>
      <c r="AU4">
        <v>0.8</v>
      </c>
      <c r="AV4" t="s">
        <v>99</v>
      </c>
      <c r="AW4">
        <v>8.4109296538784004E-3</v>
      </c>
      <c r="AX4">
        <v>0.93892577572955305</v>
      </c>
      <c r="AY4">
        <v>8.4109296538784004E-3</v>
      </c>
      <c r="AZ4">
        <v>8.4109296538784004E-3</v>
      </c>
      <c r="BA4">
        <v>0.93892577572955305</v>
      </c>
      <c r="BB4">
        <v>0.14600003650172691</v>
      </c>
      <c r="BC4">
        <v>-6.0149036995950499E-2</v>
      </c>
      <c r="BD4">
        <v>1.0151162083541901E-2</v>
      </c>
      <c r="BE4">
        <v>0.96482839148613719</v>
      </c>
      <c r="BF4">
        <v>1.0151162083541901E-2</v>
      </c>
      <c r="BG4">
        <v>1.0151162083541901E-2</v>
      </c>
      <c r="BH4">
        <v>0.96482839148613719</v>
      </c>
      <c r="BI4">
        <v>5.80289340211168E-2</v>
      </c>
      <c r="BJ4">
        <v>0.79894213755324439</v>
      </c>
      <c r="BK4">
        <v>1.5509683188459199E-2</v>
      </c>
      <c r="BL4">
        <v>0.93773352774067242</v>
      </c>
      <c r="BM4">
        <v>1.5509683188459199E-2</v>
      </c>
      <c r="BN4">
        <v>1.5509683188459199E-2</v>
      </c>
      <c r="BO4">
        <v>0.93773352774067242</v>
      </c>
      <c r="BP4">
        <v>2.91192839188011E-2</v>
      </c>
      <c r="BQ4">
        <v>0.8830952855509846</v>
      </c>
      <c r="BR4">
        <v>16.524880698987069</v>
      </c>
      <c r="BS4">
        <v>0.95296727653070601</v>
      </c>
      <c r="BT4">
        <v>16.524880698987069</v>
      </c>
      <c r="BU4">
        <v>16.524880698987069</v>
      </c>
      <c r="BV4">
        <v>0.95296727653070601</v>
      </c>
      <c r="BW4">
        <v>761.75554399217094</v>
      </c>
      <c r="BX4">
        <v>-1.168090560192766</v>
      </c>
      <c r="BY4" t="s">
        <v>81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Hoja2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Uxue Ballarin</dc:creator>
  <cp:lastModifiedBy>Uxue Ballarin Manso</cp:lastModifiedBy>
  <dcterms:created xsi:type="dcterms:W3CDTF">2015-06-05T18:19:34Z</dcterms:created>
  <dcterms:modified xsi:type="dcterms:W3CDTF">2026-04-20T12:23:42Z</dcterms:modified>
</cp:coreProperties>
</file>