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mgep-my.sharepoint.com/personal/uxue_ballarin_alumni_mondragon_edu/Documents/Semestre 8-Erasmus/Simula/ship_qnn/logs/feature_importance_analysis/surge/"/>
    </mc:Choice>
  </mc:AlternateContent>
  <xr:revisionPtr revIDLastSave="15" documentId="11_7631B2A9D390532603383311595ED87656CFD6A3" xr6:coauthVersionLast="47" xr6:coauthVersionMax="47" xr10:uidLastSave="{C9737957-10EB-4CA3-896F-133D5B99518E}"/>
  <bookViews>
    <workbookView xWindow="28680" yWindow="-5580" windowWidth="51840" windowHeight="21120" xr2:uid="{00000000-000D-0000-FFFF-FFFF00000000}"/>
  </bookViews>
  <sheets>
    <sheet name="Sheet1" sheetId="1" r:id="rId1"/>
    <sheet name="Hoja1" sheetId="2" r:id="rId2"/>
  </sheets>
  <calcPr calcId="191029"/>
  <pivotCaches>
    <pivotCache cacheId="4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<sst xmlns="http://schemas.openxmlformats.org/spreadsheetml/2006/main" count="936" uniqueCount="192">
  <si>
    <t>date</t>
  </si>
  <si>
    <t>model_id</t>
  </si>
  <si>
    <t>run</t>
  </si>
  <si>
    <t>weight_selection</t>
  </si>
  <si>
    <t>data</t>
  </si>
  <si>
    <t>data_n</t>
  </si>
  <si>
    <t>data_dt</t>
  </si>
  <si>
    <t>features</t>
  </si>
  <si>
    <t>targets</t>
  </si>
  <si>
    <t>window_size</t>
  </si>
  <si>
    <t>horizon</t>
  </si>
  <si>
    <t>predict</t>
  </si>
  <si>
    <t>norm</t>
  </si>
  <si>
    <t>reconstruct_train</t>
  </si>
  <si>
    <t>reconstruct_val</t>
  </si>
  <si>
    <t>model</t>
  </si>
  <si>
    <t>heads_config</t>
  </si>
  <si>
    <t>head_number</t>
  </si>
  <si>
    <t>encoding</t>
  </si>
  <si>
    <t>ansatz</t>
  </si>
  <si>
    <t>entangle</t>
  </si>
  <si>
    <t>reps</t>
  </si>
  <si>
    <t>map</t>
  </si>
  <si>
    <t>reorder</t>
  </si>
  <si>
    <t>optimizer</t>
  </si>
  <si>
    <t>maxiter</t>
  </si>
  <si>
    <t>iterations</t>
  </si>
  <si>
    <t>tolerance</t>
  </si>
  <si>
    <t>batch_size</t>
  </si>
  <si>
    <t>learning_rate</t>
  </si>
  <si>
    <t>perturbation</t>
  </si>
  <si>
    <t>weights</t>
  </si>
  <si>
    <t>total params</t>
  </si>
  <si>
    <t>q params</t>
  </si>
  <si>
    <t>c params</t>
  </si>
  <si>
    <t>final val loss</t>
  </si>
  <si>
    <t>Val Global Open MSE</t>
  </si>
  <si>
    <t>Val Global Open R2</t>
  </si>
  <si>
    <t>Val Global Closed R2</t>
  </si>
  <si>
    <t>step MSE</t>
  </si>
  <si>
    <t>step R2</t>
  </si>
  <si>
    <t>local MSE</t>
  </si>
  <si>
    <t>global open MSE</t>
  </si>
  <si>
    <t>global open R2</t>
  </si>
  <si>
    <t>global closed MSE</t>
  </si>
  <si>
    <t>global closed R2</t>
  </si>
  <si>
    <t>recursivity</t>
  </si>
  <si>
    <t>initialization</t>
  </si>
  <si>
    <t>Surge Velocity Step MSE</t>
  </si>
  <si>
    <t>Surge Velocity Step R2</t>
  </si>
  <si>
    <t>Surge Velocity Local MSE</t>
  </si>
  <si>
    <t>Surge Velocity Global open MSE</t>
  </si>
  <si>
    <t>Surge Velocity Global open R2</t>
  </si>
  <si>
    <t>Surge Velocity Global closed MSE</t>
  </si>
  <si>
    <t>Surge Velocity Global closed R2</t>
  </si>
  <si>
    <t>Sway Velocity Step MSE</t>
  </si>
  <si>
    <t>Sway Velocity Step R2</t>
  </si>
  <si>
    <t>Sway Velocity Local MSE</t>
  </si>
  <si>
    <t>Sway Velocity Global open MSE</t>
  </si>
  <si>
    <t>Sway Velocity Global open R2</t>
  </si>
  <si>
    <t>Sway Velocity Global closed MSE</t>
  </si>
  <si>
    <t>Sway Velocity Global closed R2</t>
  </si>
  <si>
    <t>Yaw Rate Step MSE</t>
  </si>
  <si>
    <t>Yaw Rate Step R2</t>
  </si>
  <si>
    <t>Yaw Rate Local MSE</t>
  </si>
  <si>
    <t>Yaw Rate Global open MSE</t>
  </si>
  <si>
    <t>Yaw Rate Global open R2</t>
  </si>
  <si>
    <t>Yaw Rate Global closed MSE</t>
  </si>
  <si>
    <t>Yaw Rate Global closed R2</t>
  </si>
  <si>
    <t>Yaw Angle Step MSE</t>
  </si>
  <si>
    <t>Yaw Angle Step R2</t>
  </si>
  <si>
    <t>Yaw Angle Local MSE</t>
  </si>
  <si>
    <t>Yaw Angle Global open MSE</t>
  </si>
  <si>
    <t>Yaw Angle Global open R2</t>
  </si>
  <si>
    <t>Yaw Angle Global closed MSE</t>
  </si>
  <si>
    <t>Yaw Angle Global closed R2</t>
  </si>
  <si>
    <t>13/04/2026 10:41:49</t>
  </si>
  <si>
    <t>04-13_10-41-49_multihead_1heads_run0_spsa_serial_f5_w5_h5_effsu2_lin_r1.pkl</t>
  </si>
  <si>
    <t>Best (Lowest Val Loss)</t>
  </si>
  <si>
    <t>data/reduce_row_number_absolutes</t>
  </si>
  <si>
    <t>['sv']</t>
  </si>
  <si>
    <t>['Surge Velocity']</t>
  </si>
  <si>
    <t>custom</t>
  </si>
  <si>
    <t>multihead</t>
  </si>
  <si>
    <t>[{'features': ['sv'], 'output_dim': 1, 'reps': 1, 'encoding': 'serial', 'ansatz': 'effsu2', 'entangle': 'lin', 'map': [0, -1, -1]}]</t>
  </si>
  <si>
    <t>serial</t>
  </si>
  <si>
    <t>effsu2</t>
  </si>
  <si>
    <t>lin</t>
  </si>
  <si>
    <t>[0, -1, -1]</t>
  </si>
  <si>
    <t>spsa</t>
  </si>
  <si>
    <t>[0.1, 0.001]</t>
  </si>
  <si>
    <t>[1.0, 1.0, 1.0, 1.0]</t>
  </si>
  <si>
    <t>identity</t>
  </si>
  <si>
    <t>04-13_10-41-49_multihead_1heads_run1_spsa_serial_f5_w5_h5_effsu2_lin_r1.pkl</t>
  </si>
  <si>
    <t>Final (Last Iteration)</t>
  </si>
  <si>
    <t>04-13_10-41-49_multihead_1heads_run2_spsa_serial_f5_w5_h5_effsu2_lin_r1.pkl</t>
  </si>
  <si>
    <t>04-13_10-41-49_multihead_1heads_run3_spsa_serial_f5_w5_h5_effsu2_lin_r1.pkl</t>
  </si>
  <si>
    <t>04-13_10-41-49_multihead_1heads_run4_spsa_serial_f5_w5_h5_effsu2_lin_r1.pkl</t>
  </si>
  <si>
    <t>04-13_10-41-49_multihead_1heads_run5_spsa_serial_f5_w5_h5_effsu2_lin_r1.pkl</t>
  </si>
  <si>
    <t>04-13_10-41-49_multihead_1heads_run6_spsa_serial_f5_w5_h5_effsu2_lin_r1.pkl</t>
  </si>
  <si>
    <t>04-13_10-41-49_multihead_1heads_run7_spsa_serial_f5_w5_h5_effsu2_lin_r1.pkl</t>
  </si>
  <si>
    <t>04-13_10-41-49_multihead_1heads_run8_spsa_serial_f5_w5_h5_effsu2_lin_r1.pkl</t>
  </si>
  <si>
    <t>04-13_10-41-49_multihead_1heads_run9_spsa_serial_f5_w5_h5_effsu2_lin_r1.pkl</t>
  </si>
  <si>
    <t>13/04/2026 11:22:50</t>
  </si>
  <si>
    <t>04-13_11-22-50_multihead_1heads_run0_spsa_serial_f5_w5_h5_effsu2_lin_r1.pkl</t>
  </si>
  <si>
    <t>['sv', 'rarad']</t>
  </si>
  <si>
    <t>[{'features': ['sv', 'rarad'], 'output_dim': 1, 'reps': 1, 'encoding': 'serial', 'ansatz': 'effsu2', 'entangle': 'lin', 'map': [0, 1, -1]}]</t>
  </si>
  <si>
    <t>[0, 1, -1]</t>
  </si>
  <si>
    <t>13/04/2026 11:22:51</t>
  </si>
  <si>
    <t>04-13_11-22-51_multihead_1heads_run1_spsa_serial_f5_w5_h5_effsu2_lin_r1.pkl</t>
  </si>
  <si>
    <t>13/04/2026 11:22:52</t>
  </si>
  <si>
    <t>04-13_11-22-52_multihead_1heads_run2_spsa_serial_f5_w5_h5_effsu2_lin_r1.pkl</t>
  </si>
  <si>
    <t>13/04/2026 11:22:53</t>
  </si>
  <si>
    <t>04-13_11-22-53_multihead_1heads_run3_spsa_serial_f5_w5_h5_effsu2_lin_r1.pkl</t>
  </si>
  <si>
    <t>13/04/2026 11:22:58</t>
  </si>
  <si>
    <t>04-13_11-22-58_multihead_1heads_run4_spsa_serial_f5_w5_h5_effsu2_lin_r1.pkl</t>
  </si>
  <si>
    <t>13/04/2026 11:22:59</t>
  </si>
  <si>
    <t>04-13_11-22-59_multihead_1heads_run5_spsa_serial_f5_w5_h5_effsu2_lin_r1.pkl</t>
  </si>
  <si>
    <t>13/04/2026 11:23:00</t>
  </si>
  <si>
    <t>04-13_11-23-00_multihead_1heads_run6_spsa_serial_f5_w5_h5_effsu2_lin_r1.pkl</t>
  </si>
  <si>
    <t>04-13_11-23-00_multihead_1heads_run7_spsa_serial_f5_w5_h5_effsu2_lin_r1.pkl</t>
  </si>
  <si>
    <t>13/04/2026 11:23:03</t>
  </si>
  <si>
    <t>04-13_11-23-03_multihead_1heads_run8_spsa_serial_f5_w5_h5_effsu2_lin_r1.pkl</t>
  </si>
  <si>
    <t>04-13_11-23-03_multihead_1heads_run9_spsa_serial_f5_w5_h5_effsu2_lin_r1.pkl</t>
  </si>
  <si>
    <t>13/04/2026 12:04:08</t>
  </si>
  <si>
    <t>04-13_12-04-08_multihead_1heads_run0_spsa_serial_f5_w5_h5_effsu2_lin_r1.pkl</t>
  </si>
  <si>
    <t>['sv', 'wv']</t>
  </si>
  <si>
    <t>[{'features': ['sv', 'wv'], 'output_dim': 1, 'reps': 1, 'encoding': 'serial', 'ansatz': 'effsu2', 'entangle': 'lin', 'map': [0, 1, -1]}]</t>
  </si>
  <si>
    <t>13/04/2026 12:04:12</t>
  </si>
  <si>
    <t>04-13_12-04-12_multihead_1heads_run1_spsa_serial_f5_w5_h5_effsu2_lin_r1.pkl</t>
  </si>
  <si>
    <t>13/04/2026 12:04:13</t>
  </si>
  <si>
    <t>04-13_12-04-13_multihead_1heads_run2_spsa_serial_f5_w5_h5_effsu2_lin_r1.pkl</t>
  </si>
  <si>
    <t>13/04/2026 12:04:21</t>
  </si>
  <si>
    <t>04-13_12-04-21_multihead_1heads_run3_spsa_serial_f5_w5_h5_effsu2_lin_r1.pkl</t>
  </si>
  <si>
    <t>04-13_12-04-21_multihead_1heads_run4_spsa_serial_f5_w5_h5_effsu2_lin_r1.pkl</t>
  </si>
  <si>
    <t>13/04/2026 12:04:22</t>
  </si>
  <si>
    <t>04-13_12-04-22_multihead_1heads_run5_spsa_serial_f5_w5_h5_effsu2_lin_r1.pkl</t>
  </si>
  <si>
    <t>13/04/2026 12:04:27</t>
  </si>
  <si>
    <t>04-13_12-04-27_multihead_1heads_run6_spsa_serial_f5_w5_h5_effsu2_lin_r1.pkl</t>
  </si>
  <si>
    <t>13/04/2026 12:04:30</t>
  </si>
  <si>
    <t>04-13_12-04-30_multihead_1heads_run7_spsa_serial_f5_w5_h5_effsu2_lin_r1.pkl</t>
  </si>
  <si>
    <t>13/04/2026 12:04:32</t>
  </si>
  <si>
    <t>04-13_12-04-32_multihead_1heads_run8_spsa_serial_f5_w5_h5_effsu2_lin_r1.pkl</t>
  </si>
  <si>
    <t>13/04/2026 12:04:36</t>
  </si>
  <si>
    <t>04-13_12-04-36_multihead_1heads_run9_spsa_serial_f5_w5_h5_effsu2_lin_r1.pkl</t>
  </si>
  <si>
    <t>13/04/2026 12:37:40</t>
  </si>
  <si>
    <t>04-13_12-37-40_multihead_1heads_run0_spsa_serial_f5_w5_h5_effsu2_lin_r1.pkl</t>
  </si>
  <si>
    <t>['sv', 'yr']</t>
  </si>
  <si>
    <t>[{'features': ['sv', 'yr'], 'output_dim': 1, 'reps': 1, 'encoding': 'serial', 'ansatz': 'effsu2', 'entangle': 'lin', 'map': [0, 1, -1]}]</t>
  </si>
  <si>
    <t>13/04/2026 12:37:47</t>
  </si>
  <si>
    <t>04-13_12-37-47_multihead_1heads_run1_spsa_serial_f5_w5_h5_effsu2_lin_r1.pkl</t>
  </si>
  <si>
    <t>13/04/2026 12:37:55</t>
  </si>
  <si>
    <t>04-13_12-37-55_multihead_1heads_run2_spsa_serial_f5_w5_h5_effsu2_lin_r1.pkl</t>
  </si>
  <si>
    <t>13/04/2026 12:44:13</t>
  </si>
  <si>
    <t>04-13_12-44-13_multihead_1heads_run3_spsa_serial_f5_w5_h5_effsu2_lin_r1.pkl</t>
  </si>
  <si>
    <t>04-13_12-44-13_multihead_1heads_run4_spsa_serial_f5_w5_h5_effsu2_lin_r1.pkl</t>
  </si>
  <si>
    <t>13/04/2026 12:44:20</t>
  </si>
  <si>
    <t>04-13_12-44-20_multihead_1heads_run5_spsa_serial_f5_w5_h5_effsu2_lin_r1.pkl</t>
  </si>
  <si>
    <t>13/04/2026 12:44:24</t>
  </si>
  <si>
    <t>04-13_12-44-24_multihead_1heads_run6_spsa_serial_f5_w5_h5_effsu2_lin_r1.pkl</t>
  </si>
  <si>
    <t>13/04/2026 12:44:25</t>
  </si>
  <si>
    <t>04-13_12-44-25_multihead_1heads_run7_spsa_serial_f5_w5_h5_effsu2_lin_r1.pkl</t>
  </si>
  <si>
    <t>13/04/2026 12:44:32</t>
  </si>
  <si>
    <t>04-13_12-44-32_multihead_1heads_run8_spsa_serial_f5_w5_h5_effsu2_lin_r1.pkl</t>
  </si>
  <si>
    <t>13/04/2026 12:44:33</t>
  </si>
  <si>
    <t>04-13_12-44-33_multihead_1heads_run9_spsa_serial_f5_w5_h5_effsu2_lin_r1.pkl</t>
  </si>
  <si>
    <t>13/04/2026 13:12:26</t>
  </si>
  <si>
    <t>04-13_13-12-26_multihead_1heads_run0_spsa_serial_f5_w5_h5_effsu2_lin_r1.pkl</t>
  </si>
  <si>
    <t>['sv', 'ya']</t>
  </si>
  <si>
    <t>[{'features': ['sv', 'ya'], 'output_dim': 1, 'reps': 1, 'encoding': 'serial', 'ansatz': 'effsu2', 'entangle': 'lin', 'map': [0, 1, -1]}]</t>
  </si>
  <si>
    <t>13/04/2026 13:12:48</t>
  </si>
  <si>
    <t>04-13_13-12-48_multihead_1heads_run1_spsa_serial_f5_w5_h5_effsu2_lin_r1.pkl</t>
  </si>
  <si>
    <t>13/04/2026 13:12:59</t>
  </si>
  <si>
    <t>04-13_13-12-59_multihead_1heads_run2_spsa_serial_f5_w5_h5_effsu2_lin_r1.pkl</t>
  </si>
  <si>
    <t>13/04/2026 13:26:44</t>
  </si>
  <si>
    <t>04-13_13-26-44_multihead_1heads_run3_spsa_serial_f5_w5_h5_effsu2_lin_r1.pkl</t>
  </si>
  <si>
    <t>04-13_13-26-44_multihead_1heads_run4_spsa_serial_f5_w5_h5_effsu2_lin_r1.pkl</t>
  </si>
  <si>
    <t>13/04/2026 13:26:51</t>
  </si>
  <si>
    <t>04-13_13-26-51_multihead_1heads_run5_spsa_serial_f5_w5_h5_effsu2_lin_r1.pkl</t>
  </si>
  <si>
    <t>13/04/2026 13:26:53</t>
  </si>
  <si>
    <t>04-13_13-26-53_multihead_1heads_run6_spsa_serial_f5_w5_h5_effsu2_lin_r1.pkl</t>
  </si>
  <si>
    <t>13/04/2026 13:26:54</t>
  </si>
  <si>
    <t>04-13_13-26-54_multihead_1heads_run7_spsa_serial_f5_w5_h5_effsu2_lin_r1.pkl</t>
  </si>
  <si>
    <t>13/04/2026 13:26:55</t>
  </si>
  <si>
    <t>04-13_13-26-55_multihead_1heads_run8_spsa_serial_f5_w5_h5_effsu2_lin_r1.pkl</t>
  </si>
  <si>
    <t>13/04/2026 13:27:03</t>
  </si>
  <si>
    <t>04-13_13-27-03_multihead_1heads_run9_spsa_serial_f5_w5_h5_effsu2_lin_r1.pkl</t>
  </si>
  <si>
    <t>Etiquetas de fila</t>
  </si>
  <si>
    <t>Total general</t>
  </si>
  <si>
    <t>Cuenta de model_id</t>
  </si>
  <si>
    <t>Promedio de global open R2</t>
  </si>
  <si>
    <t>Promedio de global closed R2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</si>
</sst>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3"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xue Ballarin" refreshedDate="46125.603103703703" createdVersion="8" refreshedVersion="8" minRefreshableVersion="3" recordCount="50" xr:uid="{A07A839D-3B62-479C-812E-08E9EA420ADF}">
  <cacheSource type="worksheet">
    <worksheetSource name="Tabla1"/>
  </cacheSource>
  <cacheFields count="76">
    <cacheField name="date" numFmtId="0">
      <sharedItems/>
    </cacheField>
    <cacheField name="model_id" numFmtId="0">
      <sharedItems/>
    </cacheField>
    <cacheField name="run" numFmtId="0">
      <sharedItems containsSemiMixedTypes="0" containsString="0" containsNumber="1" containsInteger="1" minValue="0" maxValue="9" count="10">
        <n v="0"/>
        <n v="1"/>
        <n v="2"/>
        <n v="3"/>
        <n v="4"/>
        <n v="5"/>
        <n v="6"/>
        <n v="7"/>
        <n v="8"/>
        <n v="9"/>
      </sharedItems>
    </cacheField>
    <cacheField name="weight_selection" numFmtId="0">
      <sharedItems/>
    </cacheField>
    <cacheField name="data" numFmtId="0">
      <sharedItems/>
    </cacheField>
    <cacheField name="data_n" numFmtId="0">
      <sharedItems containsSemiMixedTypes="0" containsString="0" containsNumber="1" containsInteger="1" minValue="16590" maxValue="16590"/>
    </cacheField>
    <cacheField name="data_dt" numFmtId="0">
      <sharedItems containsSemiMixedTypes="0" containsString="0" containsNumber="1" minValue="4.5" maxValue="4.5"/>
    </cacheField>
    <cacheField name="features" numFmtId="0">
      <sharedItems count="5">
        <s v="['sv']"/>
        <s v="['sv', 'rarad']"/>
        <s v="['sv', 'wv']"/>
        <s v="['sv', 'yr']"/>
        <s v="['sv', 'ya']"/>
      </sharedItems>
    </cacheField>
    <cacheField name="targets" numFmtId="0">
      <sharedItems/>
    </cacheField>
    <cacheField name="window_size" numFmtId="0">
      <sharedItems containsSemiMixedTypes="0" containsString="0" containsNumber="1" containsInteger="1" minValue="5" maxValue="5"/>
    </cacheField>
    <cacheField name="horizon" numFmtId="0">
      <sharedItems containsSemiMixedTypes="0" containsString="0" containsNumber="1" containsInteger="1" minValue="5" maxValue="5"/>
    </cacheField>
    <cacheField name="predict" numFmtId="0">
      <sharedItems/>
    </cacheField>
    <cacheField name="norm" numFmtId="0">
      <sharedItems/>
    </cacheField>
    <cacheField name="reconstruct_train" numFmtId="0">
      <sharedItems/>
    </cacheField>
    <cacheField name="reconstruct_val" numFmtId="0">
      <sharedItems/>
    </cacheField>
    <cacheField name="model" numFmtId="0">
      <sharedItems/>
    </cacheField>
    <cacheField name="heads_config" numFmtId="0">
      <sharedItems/>
    </cacheField>
    <cacheField name="head_number" numFmtId="0">
      <sharedItems containsSemiMixedTypes="0" containsString="0" containsNumber="1" containsInteger="1" minValue="1" maxValue="1"/>
    </cacheField>
    <cacheField name="encoding" numFmtId="0">
      <sharedItems/>
    </cacheField>
    <cacheField name="ansatz" numFmtId="0">
      <sharedItems/>
    </cacheField>
    <cacheField name="entangle" numFmtId="0">
      <sharedItems/>
    </cacheField>
    <cacheField name="reps" numFmtId="0">
      <sharedItems containsSemiMixedTypes="0" containsString="0" containsNumber="1" containsInteger="1" minValue="1" maxValue="1"/>
    </cacheField>
    <cacheField name="map" numFmtId="0">
      <sharedItems/>
    </cacheField>
    <cacheField name="reorder" numFmtId="0">
      <sharedItems/>
    </cacheField>
    <cacheField name="optimizer" numFmtId="0">
      <sharedItems/>
    </cacheField>
    <cacheField name="maxiter" numFmtId="0">
      <sharedItems containsSemiMixedTypes="0" containsString="0" containsNumber="1" containsInteger="1" minValue="4000" maxValue="4000"/>
    </cacheField>
    <cacheField name="iterations" numFmtId="0">
      <sharedItems containsSemiMixedTypes="0" containsString="0" containsNumber="1" containsInteger="1" minValue="4000" maxValue="4000"/>
    </cacheField>
    <cacheField name="tolerance" numFmtId="0">
      <sharedItems containsNonDate="0" containsString="0" containsBlank="1"/>
    </cacheField>
    <cacheField name="batch_size" numFmtId="0">
      <sharedItems containsSemiMixedTypes="0" containsString="0" containsNumber="1" containsInteger="1" minValue="256" maxValue="256"/>
    </cacheField>
    <cacheField name="learning_rate" numFmtId="0">
      <sharedItems/>
    </cacheField>
    <cacheField name="perturbation" numFmtId="0">
      <sharedItems containsSemiMixedTypes="0" containsString="0" containsNumber="1" minValue="0.15" maxValue="0.15"/>
    </cacheField>
    <cacheField name="weights" numFmtId="0">
      <sharedItems/>
    </cacheField>
    <cacheField name="total params" numFmtId="0">
      <sharedItems containsSemiMixedTypes="0" containsString="0" containsNumber="1" containsInteger="1" minValue="40" maxValue="40"/>
    </cacheField>
    <cacheField name="q params" numFmtId="0">
      <sharedItems containsSemiMixedTypes="0" containsString="0" containsNumber="1" containsInteger="1" minValue="10" maxValue="10"/>
    </cacheField>
    <cacheField name="c params" numFmtId="0">
      <sharedItems containsSemiMixedTypes="0" containsString="0" containsNumber="1" containsInteger="1" minValue="30" maxValue="30"/>
    </cacheField>
    <cacheField name="final val loss" numFmtId="0">
      <sharedItems containsSemiMixedTypes="0" containsString="0" containsNumber="1" minValue="3.1497212651004199E-2" maxValue="8.1816700508253098E-2"/>
    </cacheField>
    <cacheField name="Val Global Open MSE" numFmtId="0">
      <sharedItems containsSemiMixedTypes="0" containsString="0" containsNumber="1" minValue="3.0369143751411E-3" maxValue="9.9025373707716004E-3"/>
    </cacheField>
    <cacheField name="Val Global Open R2" numFmtId="0">
      <sharedItems containsSemiMixedTypes="0" containsString="0" containsNumber="1" minValue="0.86647052670128855" maxValue="0.95904912430193756"/>
    </cacheField>
    <cacheField name="Val Global Closed R2" numFmtId="0">
      <sharedItems containsSemiMixedTypes="0" containsString="0" containsNumber="1" minValue="-9.5189924362951537" maxValue="0.62790041741894442"/>
    </cacheField>
    <cacheField name="step MSE" numFmtId="0">
      <sharedItems containsSemiMixedTypes="0" containsString="0" containsNumber="1" minValue="3.1850843120207E-3" maxValue="1.01890487906696E-2"/>
    </cacheField>
    <cacheField name="step R2" numFmtId="0">
      <sharedItems containsSemiMixedTypes="0" containsString="0" containsNumber="1" minValue="0.92601433176213321" maxValue="0.97687216971278124"/>
    </cacheField>
    <cacheField name="local MSE" numFmtId="0">
      <sharedItems containsSemiMixedTypes="0" containsString="0" containsNumber="1" minValue="3.1850843120207E-3" maxValue="1.01890487906696E-2"/>
    </cacheField>
    <cacheField name="global open MSE" numFmtId="0">
      <sharedItems containsSemiMixedTypes="0" containsString="0" containsNumber="1" minValue="3.1850843120207E-3" maxValue="1.01890487906696E-2"/>
    </cacheField>
    <cacheField name="global open R2" numFmtId="0">
      <sharedItems containsSemiMixedTypes="0" containsString="0" containsNumber="1" minValue="0.92601433176213321" maxValue="0.97687216971278124"/>
    </cacheField>
    <cacheField name="global closed MSE" numFmtId="0">
      <sharedItems containsSemiMixedTypes="0" containsString="0" containsNumber="1" minValue="5.47971120890706E-2" maxValue="0.81083226712155188"/>
    </cacheField>
    <cacheField name="global closed R2" numFmtId="0">
      <sharedItems containsSemiMixedTypes="0" containsString="0" containsNumber="1" minValue="-4.8876906318032924" maxValue="0.6021021158395381"/>
    </cacheField>
    <cacheField name="recursivity" numFmtId="0">
      <sharedItems containsSemiMixedTypes="0" containsString="0" containsNumber="1" minValue="0.2" maxValue="0.2"/>
    </cacheField>
    <cacheField name="initialization" numFmtId="0">
      <sharedItems/>
    </cacheField>
    <cacheField name="Surge Velocity Step MSE" numFmtId="0">
      <sharedItems containsSemiMixedTypes="0" containsString="0" containsNumber="1" minValue="3.1850843120207E-3" maxValue="1.01890487906696E-2"/>
    </cacheField>
    <cacheField name="Surge Velocity Step R2" numFmtId="0">
      <sharedItems containsSemiMixedTypes="0" containsString="0" containsNumber="1" minValue="0.92601433176213321" maxValue="0.97687216971278124"/>
    </cacheField>
    <cacheField name="Surge Velocity Local MSE" numFmtId="0">
      <sharedItems containsSemiMixedTypes="0" containsString="0" containsNumber="1" minValue="3.1850843120207E-3" maxValue="1.01890487906696E-2"/>
    </cacheField>
    <cacheField name="Surge Velocity Global open MSE" numFmtId="0">
      <sharedItems containsSemiMixedTypes="0" containsString="0" containsNumber="1" minValue="3.1850843120207E-3" maxValue="1.01890487906696E-2"/>
    </cacheField>
    <cacheField name="Surge Velocity Global open R2" numFmtId="0">
      <sharedItems containsSemiMixedTypes="0" containsString="0" containsNumber="1" minValue="0.92601433176213321" maxValue="0.97687216971278124"/>
    </cacheField>
    <cacheField name="Surge Velocity Global closed MSE" numFmtId="0">
      <sharedItems containsSemiMixedTypes="0" containsString="0" containsNumber="1" minValue="5.47971120890706E-2" maxValue="0.81083226712155188"/>
    </cacheField>
    <cacheField name="Surge Velocity Global closed R2" numFmtId="0">
      <sharedItems containsSemiMixedTypes="0" containsString="0" containsNumber="1" minValue="-4.8876906318032924" maxValue="0.6021021158395381"/>
    </cacheField>
    <cacheField name="Sway Velocity Step MSE" numFmtId="0">
      <sharedItems containsNonDate="0" containsString="0" containsBlank="1"/>
    </cacheField>
    <cacheField name="Sway Velocity Step R2" numFmtId="0">
      <sharedItems containsNonDate="0" containsString="0" containsBlank="1"/>
    </cacheField>
    <cacheField name="Sway Velocity Local MSE" numFmtId="0">
      <sharedItems containsNonDate="0" containsString="0" containsBlank="1"/>
    </cacheField>
    <cacheField name="Sway Velocity Global open MSE" numFmtId="0">
      <sharedItems containsNonDate="0" containsString="0" containsBlank="1"/>
    </cacheField>
    <cacheField name="Sway Velocity Global open R2" numFmtId="0">
      <sharedItems containsNonDate="0" containsString="0" containsBlank="1"/>
    </cacheField>
    <cacheField name="Sway Velocity Global closed MSE" numFmtId="0">
      <sharedItems containsNonDate="0" containsString="0" containsBlank="1"/>
    </cacheField>
    <cacheField name="Sway Velocity Global closed R2" numFmtId="0">
      <sharedItems containsNonDate="0" containsString="0" containsBlank="1"/>
    </cacheField>
    <cacheField name="Yaw Rate Step MSE" numFmtId="0">
      <sharedItems containsNonDate="0" containsString="0" containsBlank="1"/>
    </cacheField>
    <cacheField name="Yaw Rate Step R2" numFmtId="0">
      <sharedItems containsNonDate="0" containsString="0" containsBlank="1"/>
    </cacheField>
    <cacheField name="Yaw Rate Local MSE" numFmtId="0">
      <sharedItems containsNonDate="0" containsString="0" containsBlank="1"/>
    </cacheField>
    <cacheField name="Yaw Rate Global open MSE" numFmtId="0">
      <sharedItems containsNonDate="0" containsString="0" containsBlank="1"/>
    </cacheField>
    <cacheField name="Yaw Rate Global open R2" numFmtId="0">
      <sharedItems containsNonDate="0" containsString="0" containsBlank="1"/>
    </cacheField>
    <cacheField name="Yaw Rate Global closed MSE" numFmtId="0">
      <sharedItems containsNonDate="0" containsString="0" containsBlank="1"/>
    </cacheField>
    <cacheField name="Yaw Rate Global closed R2" numFmtId="0">
      <sharedItems containsNonDate="0" containsString="0" containsBlank="1"/>
    </cacheField>
    <cacheField name="Yaw Angle Step MSE" numFmtId="0">
      <sharedItems containsNonDate="0" containsString="0" containsBlank="1"/>
    </cacheField>
    <cacheField name="Yaw Angle Step R2" numFmtId="0">
      <sharedItems containsNonDate="0" containsString="0" containsBlank="1"/>
    </cacheField>
    <cacheField name="Yaw Angle Local MSE" numFmtId="0">
      <sharedItems containsNonDate="0" containsString="0" containsBlank="1"/>
    </cacheField>
    <cacheField name="Yaw Angle Global open MSE" numFmtId="0">
      <sharedItems containsNonDate="0" containsString="0" containsBlank="1"/>
    </cacheField>
    <cacheField name="Yaw Angle Global open R2" numFmtId="0">
      <sharedItems containsNonDate="0" containsString="0" containsBlank="1"/>
    </cacheField>
    <cacheField name="Yaw Angle Global closed MSE" numFmtId="0">
      <sharedItems containsNonDate="0" containsString="0" containsBlank="1"/>
    </cacheField>
    <cacheField name="Yaw Angle Global closed R2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13/04/2026 10:41:49"/>
    <s v="04-13_10-41-49_multihead_1heads_run0_spsa_serial_f5_w5_h5_effsu2_lin_r1.pkl"/>
    <x v="0"/>
    <s v="Best (Lowest Val Loss)"/>
    <s v="data/reduce_row_number_absolutes"/>
    <n v="16590"/>
    <n v="4.5"/>
    <x v="0"/>
    <s v="['Surge Velocity']"/>
    <n v="5"/>
    <n v="5"/>
    <s v="custom"/>
    <b v="1"/>
    <b v="0"/>
    <b v="0"/>
    <s v="multihead"/>
    <s v="[{'features': ['sv'], 'output_dim': 1, 'reps': 1, 'encoding': 'serial', 'ansatz': 'effsu2', 'entangle': 'lin', 'map': [0, -1, -1]}]"/>
    <n v="1"/>
    <s v="serial"/>
    <s v="effsu2"/>
    <s v="lin"/>
    <n v="1"/>
    <s v="[0, -1, -1]"/>
    <b v="0"/>
    <s v="spsa"/>
    <n v="4000"/>
    <n v="4000"/>
    <m/>
    <n v="256"/>
    <s v="[0.1, 0.001]"/>
    <n v="0.15"/>
    <s v="[1.0, 1.0, 1.0, 1.0]"/>
    <n v="40"/>
    <n v="10"/>
    <n v="30"/>
    <n v="6.82711614323252E-2"/>
    <n v="8.9148656556650007E-3"/>
    <n v="0.87978865709274578"/>
    <n v="-0.26992088130024289"/>
    <n v="9.4519074967089004E-3"/>
    <n v="0.93136693064941622"/>
    <n v="9.4519074967089004E-3"/>
    <n v="9.4519074967089004E-3"/>
    <n v="0.93136693064941622"/>
    <n v="0.15433829401027441"/>
    <n v="-0.12069556752922379"/>
    <n v="0.2"/>
    <s v="identity"/>
    <n v="9.4519074967089004E-3"/>
    <n v="0.93136693064941622"/>
    <n v="9.4519074967089004E-3"/>
    <n v="9.4519074967089004E-3"/>
    <n v="0.93136693064941622"/>
    <n v="0.15433829401027441"/>
    <n v="-0.12069556752922379"/>
    <m/>
    <m/>
    <m/>
    <m/>
    <m/>
    <m/>
    <m/>
    <m/>
    <m/>
    <m/>
    <m/>
    <m/>
    <m/>
    <m/>
    <m/>
    <m/>
    <m/>
    <m/>
    <m/>
    <m/>
    <m/>
  </r>
  <r>
    <s v="13/04/2026 10:41:49"/>
    <s v="04-13_10-41-49_multihead_1heads_run1_spsa_serial_f5_w5_h5_effsu2_lin_r1.pkl"/>
    <x v="1"/>
    <s v="Final (Last Iteration)"/>
    <s v="data/reduce_row_number_absolutes"/>
    <n v="16590"/>
    <n v="4.5"/>
    <x v="0"/>
    <s v="['Surge Velocity']"/>
    <n v="5"/>
    <n v="5"/>
    <s v="custom"/>
    <b v="1"/>
    <b v="0"/>
    <b v="0"/>
    <s v="multihead"/>
    <s v="[{'features': ['sv'], 'output_dim': 1, 'reps': 1, 'encoding': 'serial', 'ansatz': 'effsu2', 'entangle': 'lin', 'map': [0, -1, -1]}]"/>
    <n v="1"/>
    <s v="serial"/>
    <s v="effsu2"/>
    <s v="lin"/>
    <n v="1"/>
    <s v="[0, -1, -1]"/>
    <b v="0"/>
    <s v="spsa"/>
    <n v="4000"/>
    <n v="4000"/>
    <m/>
    <n v="256"/>
    <s v="[0.1, 0.001]"/>
    <n v="0.15"/>
    <s v="[1.0, 1.0, 1.0, 1.0]"/>
    <n v="40"/>
    <n v="10"/>
    <n v="30"/>
    <n v="5.1048576415092903E-2"/>
    <n v="8.6750531477518995E-3"/>
    <n v="0.88302237756994373"/>
    <n v="-3.8633197344140502E-2"/>
    <n v="9.3586214793298997E-3"/>
    <n v="0.93204430775054037"/>
    <n v="9.3586214793298997E-3"/>
    <n v="9.3586214793298997E-3"/>
    <n v="0.93204430775054037"/>
    <n v="0.1391803377531115"/>
    <n v="-1.0629206493294401E-2"/>
    <n v="0.2"/>
    <s v="identity"/>
    <n v="9.3586214793298997E-3"/>
    <n v="0.93204430775054037"/>
    <n v="9.3586214793298997E-3"/>
    <n v="9.3586214793298997E-3"/>
    <n v="0.93204430775054037"/>
    <n v="0.1391803377531115"/>
    <n v="-1.0629206493294401E-2"/>
    <m/>
    <m/>
    <m/>
    <m/>
    <m/>
    <m/>
    <m/>
    <m/>
    <m/>
    <m/>
    <m/>
    <m/>
    <m/>
    <m/>
    <m/>
    <m/>
    <m/>
    <m/>
    <m/>
    <m/>
    <m/>
  </r>
  <r>
    <s v="13/04/2026 10:41:49"/>
    <s v="04-13_10-41-49_multihead_1heads_run2_spsa_serial_f5_w5_h5_effsu2_lin_r1.pkl"/>
    <x v="2"/>
    <s v="Best (Lowest Val Loss)"/>
    <s v="data/reduce_row_number_absolutes"/>
    <n v="16590"/>
    <n v="4.5"/>
    <x v="0"/>
    <s v="['Surge Velocity']"/>
    <n v="5"/>
    <n v="5"/>
    <s v="custom"/>
    <b v="1"/>
    <b v="0"/>
    <b v="0"/>
    <s v="multihead"/>
    <s v="[{'features': ['sv'], 'output_dim': 1, 'reps': 1, 'encoding': 'serial', 'ansatz': 'effsu2', 'entangle': 'lin', 'map': [0, -1, -1]}]"/>
    <n v="1"/>
    <s v="serial"/>
    <s v="effsu2"/>
    <s v="lin"/>
    <n v="1"/>
    <s v="[0, -1, -1]"/>
    <b v="0"/>
    <s v="spsa"/>
    <n v="4000"/>
    <n v="4000"/>
    <m/>
    <n v="256"/>
    <s v="[0.1, 0.001]"/>
    <n v="0.15"/>
    <s v="[1.0, 1.0, 1.0, 1.0]"/>
    <n v="40"/>
    <n v="10"/>
    <n v="30"/>
    <n v="5.5992326214084197E-2"/>
    <n v="8.8026116585053996E-3"/>
    <n v="0.88130233147287385"/>
    <n v="-0.26717464657452239"/>
    <n v="9.2890399546429001E-3"/>
    <n v="0.932549559585794"/>
    <n v="9.2890399546429001E-3"/>
    <n v="9.2890399546429001E-3"/>
    <n v="0.932549559585794"/>
    <n v="0.15381451003462959"/>
    <n v="-0.1168922186350809"/>
    <n v="0.2"/>
    <s v="identity"/>
    <n v="9.2890399546429001E-3"/>
    <n v="0.932549559585794"/>
    <n v="9.2890399546429001E-3"/>
    <n v="9.2890399546429001E-3"/>
    <n v="0.932549559585794"/>
    <n v="0.15381451003462959"/>
    <n v="-0.1168922186350809"/>
    <m/>
    <m/>
    <m/>
    <m/>
    <m/>
    <m/>
    <m/>
    <m/>
    <m/>
    <m/>
    <m/>
    <m/>
    <m/>
    <m/>
    <m/>
    <m/>
    <m/>
    <m/>
    <m/>
    <m/>
    <m/>
  </r>
  <r>
    <s v="13/04/2026 10:41:49"/>
    <s v="04-13_10-41-49_multihead_1heads_run3_spsa_serial_f5_w5_h5_effsu2_lin_r1.pkl"/>
    <x v="3"/>
    <s v="Final (Last Iteration)"/>
    <s v="data/reduce_row_number_absolutes"/>
    <n v="16590"/>
    <n v="4.5"/>
    <x v="0"/>
    <s v="['Surge Velocity']"/>
    <n v="5"/>
    <n v="5"/>
    <s v="custom"/>
    <b v="1"/>
    <b v="0"/>
    <b v="0"/>
    <s v="multihead"/>
    <s v="[{'features': ['sv'], 'output_dim': 1, 'reps': 1, 'encoding': 'serial', 'ansatz': 'effsu2', 'entangle': 'lin', 'map': [0, -1, -1]}]"/>
    <n v="1"/>
    <s v="serial"/>
    <s v="effsu2"/>
    <s v="lin"/>
    <n v="1"/>
    <s v="[0, -1, -1]"/>
    <b v="0"/>
    <s v="spsa"/>
    <n v="4000"/>
    <n v="4000"/>
    <m/>
    <n v="256"/>
    <s v="[0.1, 0.001]"/>
    <n v="0.15"/>
    <s v="[1.0, 1.0, 1.0, 1.0]"/>
    <n v="40"/>
    <n v="10"/>
    <n v="30"/>
    <n v="6.4705309425555899E-2"/>
    <n v="8.9244536801717008E-3"/>
    <n v="0.8796593686271319"/>
    <n v="-8.0108786733862694E-2"/>
    <n v="9.0540810584054006E-3"/>
    <n v="0.93425566496458923"/>
    <n v="9.0540810584054006E-3"/>
    <n v="9.0540810584054006E-3"/>
    <n v="0.93425566496458923"/>
    <n v="0.14169499179702219"/>
    <n v="-2.8888846195496101E-2"/>
    <n v="0.2"/>
    <s v="identity"/>
    <n v="9.0540810584054006E-3"/>
    <n v="0.93425566496458923"/>
    <n v="9.0540810584054006E-3"/>
    <n v="9.0540810584054006E-3"/>
    <n v="0.93425566496458923"/>
    <n v="0.14169499179702219"/>
    <n v="-2.8888846195496101E-2"/>
    <m/>
    <m/>
    <m/>
    <m/>
    <m/>
    <m/>
    <m/>
    <m/>
    <m/>
    <m/>
    <m/>
    <m/>
    <m/>
    <m/>
    <m/>
    <m/>
    <m/>
    <m/>
    <m/>
    <m/>
    <m/>
  </r>
  <r>
    <s v="13/04/2026 10:41:49"/>
    <s v="04-13_10-41-49_multihead_1heads_run4_spsa_serial_f5_w5_h5_effsu2_lin_r1.pkl"/>
    <x v="4"/>
    <s v="Best (Lowest Val Loss)"/>
    <s v="data/reduce_row_number_absolutes"/>
    <n v="16590"/>
    <n v="4.5"/>
    <x v="0"/>
    <s v="['Surge Velocity']"/>
    <n v="5"/>
    <n v="5"/>
    <s v="custom"/>
    <b v="1"/>
    <b v="0"/>
    <b v="0"/>
    <s v="multihead"/>
    <s v="[{'features': ['sv'], 'output_dim': 1, 'reps': 1, 'encoding': 'serial', 'ansatz': 'effsu2', 'entangle': 'lin', 'map': [0, -1, -1]}]"/>
    <n v="1"/>
    <s v="serial"/>
    <s v="effsu2"/>
    <s v="lin"/>
    <n v="1"/>
    <s v="[0, -1, -1]"/>
    <b v="0"/>
    <s v="spsa"/>
    <n v="4000"/>
    <n v="4000"/>
    <m/>
    <n v="256"/>
    <s v="[0.1, 0.001]"/>
    <n v="0.15"/>
    <s v="[1.0, 1.0, 1.0, 1.0]"/>
    <n v="40"/>
    <n v="10"/>
    <n v="30"/>
    <n v="4.4180307858685201E-2"/>
    <n v="9.1086048104221991E-3"/>
    <n v="0.87717620673548469"/>
    <n v="-0.4254719769961377"/>
    <n v="9.9497902329962994E-3"/>
    <n v="0.92775165824223604"/>
    <n v="9.9497902329962994E-3"/>
    <n v="9.9497902329962994E-3"/>
    <n v="0.92775165824223604"/>
    <n v="0.16400667232200339"/>
    <n v="-0.19090049488464089"/>
    <n v="0.2"/>
    <s v="identity"/>
    <n v="9.9497902329962994E-3"/>
    <n v="0.92775165824223604"/>
    <n v="9.9497902329962994E-3"/>
    <n v="9.9497902329962994E-3"/>
    <n v="0.92775165824223604"/>
    <n v="0.16400667232200339"/>
    <n v="-0.19090049488464089"/>
    <m/>
    <m/>
    <m/>
    <m/>
    <m/>
    <m/>
    <m/>
    <m/>
    <m/>
    <m/>
    <m/>
    <m/>
    <m/>
    <m/>
    <m/>
    <m/>
    <m/>
    <m/>
    <m/>
    <m/>
    <m/>
  </r>
  <r>
    <s v="13/04/2026 10:41:49"/>
    <s v="04-13_10-41-49_multihead_1heads_run5_spsa_serial_f5_w5_h5_effsu2_lin_r1.pkl"/>
    <x v="5"/>
    <s v="Best (Lowest Val Loss)"/>
    <s v="data/reduce_row_number_absolutes"/>
    <n v="16590"/>
    <n v="4.5"/>
    <x v="0"/>
    <s v="['Surge Velocity']"/>
    <n v="5"/>
    <n v="5"/>
    <s v="custom"/>
    <b v="1"/>
    <b v="0"/>
    <b v="0"/>
    <s v="multihead"/>
    <s v="[{'features': ['sv'], 'output_dim': 1, 'reps': 1, 'encoding': 'serial', 'ansatz': 'effsu2', 'entangle': 'lin', 'map': [0, -1, -1]}]"/>
    <n v="1"/>
    <s v="serial"/>
    <s v="effsu2"/>
    <s v="lin"/>
    <n v="1"/>
    <s v="[0, -1, -1]"/>
    <b v="0"/>
    <s v="spsa"/>
    <n v="4000"/>
    <n v="4000"/>
    <m/>
    <n v="256"/>
    <s v="[0.1, 0.001]"/>
    <n v="0.15"/>
    <s v="[1.0, 1.0, 1.0, 1.0]"/>
    <n v="40"/>
    <n v="10"/>
    <n v="30"/>
    <n v="5.6727703702262502E-2"/>
    <n v="8.8753867969278994E-3"/>
    <n v="0.88032100461300433"/>
    <n v="-1.7156207476844699E-2"/>
    <n v="9.3394017186010994E-3"/>
    <n v="0.93218386806378484"/>
    <n v="9.3394017186010994E-3"/>
    <n v="9.3394017186010994E-3"/>
    <n v="0.93218386806378484"/>
    <n v="0.1382920494157544"/>
    <n v="-4.1790846440937996E-3"/>
    <n v="0.2"/>
    <s v="identity"/>
    <n v="9.3394017186010994E-3"/>
    <n v="0.93218386806378484"/>
    <n v="9.3394017186010994E-3"/>
    <n v="9.3394017186010994E-3"/>
    <n v="0.93218386806378484"/>
    <n v="0.1382920494157544"/>
    <n v="-4.1790846440937996E-3"/>
    <m/>
    <m/>
    <m/>
    <m/>
    <m/>
    <m/>
    <m/>
    <m/>
    <m/>
    <m/>
    <m/>
    <m/>
    <m/>
    <m/>
    <m/>
    <m/>
    <m/>
    <m/>
    <m/>
    <m/>
    <m/>
  </r>
  <r>
    <s v="13/04/2026 10:41:49"/>
    <s v="04-13_10-41-49_multihead_1heads_run6_spsa_serial_f5_w5_h5_effsu2_lin_r1.pkl"/>
    <x v="6"/>
    <s v="Final (Last Iteration)"/>
    <s v="data/reduce_row_number_absolutes"/>
    <n v="16590"/>
    <n v="4.5"/>
    <x v="0"/>
    <s v="['Surge Velocity']"/>
    <n v="5"/>
    <n v="5"/>
    <s v="custom"/>
    <b v="1"/>
    <b v="0"/>
    <b v="0"/>
    <s v="multihead"/>
    <s v="[{'features': ['sv'], 'output_dim': 1, 'reps': 1, 'encoding': 'serial', 'ansatz': 'effsu2', 'entangle': 'lin', 'map': [0, -1, -1]}]"/>
    <n v="1"/>
    <s v="serial"/>
    <s v="effsu2"/>
    <s v="lin"/>
    <n v="1"/>
    <s v="[0, -1, -1]"/>
    <b v="0"/>
    <s v="spsa"/>
    <n v="4000"/>
    <n v="4000"/>
    <m/>
    <n v="256"/>
    <s v="[0.1, 0.001]"/>
    <n v="0.15"/>
    <s v="[1.0, 1.0, 1.0, 1.0]"/>
    <n v="40"/>
    <n v="10"/>
    <n v="30"/>
    <n v="5.6676649912841597E-2"/>
    <n v="9.4573036392082005E-3"/>
    <n v="0.87247422286970289"/>
    <n v="3.7864477751273898E-2"/>
    <n v="1.01890487906696E-2"/>
    <n v="0.92601433176213321"/>
    <n v="1.01890487906696E-2"/>
    <n v="1.01890487906696E-2"/>
    <n v="0.92601433176213321"/>
    <n v="0.13873984036213319"/>
    <n v="-7.4306258899299003E-3"/>
    <n v="0.2"/>
    <s v="identity"/>
    <n v="1.01890487906696E-2"/>
    <n v="0.92601433176213321"/>
    <n v="1.01890487906696E-2"/>
    <n v="1.01890487906696E-2"/>
    <n v="0.92601433176213321"/>
    <n v="0.13873984036213319"/>
    <n v="-7.4306258899299003E-3"/>
    <m/>
    <m/>
    <m/>
    <m/>
    <m/>
    <m/>
    <m/>
    <m/>
    <m/>
    <m/>
    <m/>
    <m/>
    <m/>
    <m/>
    <m/>
    <m/>
    <m/>
    <m/>
    <m/>
    <m/>
    <m/>
  </r>
  <r>
    <s v="13/04/2026 10:41:49"/>
    <s v="04-13_10-41-49_multihead_1heads_run7_spsa_serial_f5_w5_h5_effsu2_lin_r1.pkl"/>
    <x v="7"/>
    <s v="Final (Last Iteration)"/>
    <s v="data/reduce_row_number_absolutes"/>
    <n v="16590"/>
    <n v="4.5"/>
    <x v="0"/>
    <s v="['Surge Velocity']"/>
    <n v="5"/>
    <n v="5"/>
    <s v="custom"/>
    <b v="1"/>
    <b v="0"/>
    <b v="0"/>
    <s v="multihead"/>
    <s v="[{'features': ['sv'], 'output_dim': 1, 'reps': 1, 'encoding': 'serial', 'ansatz': 'effsu2', 'entangle': 'lin', 'map': [0, -1, -1]}]"/>
    <n v="1"/>
    <s v="serial"/>
    <s v="effsu2"/>
    <s v="lin"/>
    <n v="1"/>
    <s v="[0, -1, -1]"/>
    <b v="0"/>
    <s v="spsa"/>
    <n v="4000"/>
    <n v="4000"/>
    <m/>
    <n v="256"/>
    <s v="[0.1, 0.001]"/>
    <n v="0.15"/>
    <s v="[1.0, 1.0, 1.0, 1.0]"/>
    <n v="40"/>
    <n v="10"/>
    <n v="30"/>
    <n v="4.99436119821716E-2"/>
    <n v="8.9644332837159994E-3"/>
    <n v="0.87912026887884698"/>
    <n v="-0.1038516683747872"/>
    <n v="9.0223166002524006E-3"/>
    <n v="0.93448631600090659"/>
    <n v="9.0223166002524006E-3"/>
    <n v="9.0223166002524006E-3"/>
    <n v="0.93448631600090659"/>
    <n v="0.14268657398415149"/>
    <n v="-3.6089014948707997E-2"/>
    <n v="0.2"/>
    <s v="identity"/>
    <n v="9.0223166002524006E-3"/>
    <n v="0.93448631600090659"/>
    <n v="9.0223166002524006E-3"/>
    <n v="9.0223166002524006E-3"/>
    <n v="0.93448631600090659"/>
    <n v="0.14268657398415149"/>
    <n v="-3.6089014948707997E-2"/>
    <m/>
    <m/>
    <m/>
    <m/>
    <m/>
    <m/>
    <m/>
    <m/>
    <m/>
    <m/>
    <m/>
    <m/>
    <m/>
    <m/>
    <m/>
    <m/>
    <m/>
    <m/>
    <m/>
    <m/>
    <m/>
  </r>
  <r>
    <s v="13/04/2026 10:41:49"/>
    <s v="04-13_10-41-49_multihead_1heads_run8_spsa_serial_f5_w5_h5_effsu2_lin_r1.pkl"/>
    <x v="8"/>
    <s v="Best (Lowest Val Loss)"/>
    <s v="data/reduce_row_number_absolutes"/>
    <n v="16590"/>
    <n v="4.5"/>
    <x v="0"/>
    <s v="['Surge Velocity']"/>
    <n v="5"/>
    <n v="5"/>
    <s v="custom"/>
    <b v="1"/>
    <b v="0"/>
    <b v="0"/>
    <s v="multihead"/>
    <s v="[{'features': ['sv'], 'output_dim': 1, 'reps': 1, 'encoding': 'serial', 'ansatz': 'effsu2', 'entangle': 'lin', 'map': [0, -1, -1]}]"/>
    <n v="1"/>
    <s v="serial"/>
    <s v="effsu2"/>
    <s v="lin"/>
    <n v="1"/>
    <s v="[0, -1, -1]"/>
    <b v="0"/>
    <s v="spsa"/>
    <n v="4000"/>
    <n v="4000"/>
    <m/>
    <n v="256"/>
    <s v="[0.1, 0.001]"/>
    <n v="0.15"/>
    <s v="[1.0, 1.0, 1.0, 1.0]"/>
    <n v="40"/>
    <n v="10"/>
    <n v="30"/>
    <n v="4.7409659135056403E-2"/>
    <n v="8.7501519689419001E-3"/>
    <n v="0.88200971731294187"/>
    <n v="0.1238470870273258"/>
    <n v="9.1840961897013997E-3"/>
    <n v="0.93331158700720562"/>
    <n v="9.1840961897013997E-3"/>
    <n v="9.1840961897013997E-3"/>
    <n v="0.93331158700720562"/>
    <n v="0.1360534974912892"/>
    <n v="1.20756966823419E-2"/>
    <n v="0.2"/>
    <s v="identity"/>
    <n v="9.1840961897013997E-3"/>
    <n v="0.93331158700720562"/>
    <n v="9.1840961897013997E-3"/>
    <n v="9.1840961897013997E-3"/>
    <n v="0.93331158700720562"/>
    <n v="0.1360534974912892"/>
    <n v="1.20756966823419E-2"/>
    <m/>
    <m/>
    <m/>
    <m/>
    <m/>
    <m/>
    <m/>
    <m/>
    <m/>
    <m/>
    <m/>
    <m/>
    <m/>
    <m/>
    <m/>
    <m/>
    <m/>
    <m/>
    <m/>
    <m/>
    <m/>
  </r>
  <r>
    <s v="13/04/2026 10:41:49"/>
    <s v="04-13_10-41-49_multihead_1heads_run9_spsa_serial_f5_w5_h5_effsu2_lin_r1.pkl"/>
    <x v="9"/>
    <s v="Best (Lowest Val Loss)"/>
    <s v="data/reduce_row_number_absolutes"/>
    <n v="16590"/>
    <n v="4.5"/>
    <x v="0"/>
    <s v="['Surge Velocity']"/>
    <n v="5"/>
    <n v="5"/>
    <s v="custom"/>
    <b v="1"/>
    <b v="0"/>
    <b v="0"/>
    <s v="multihead"/>
    <s v="[{'features': ['sv'], 'output_dim': 1, 'reps': 1, 'encoding': 'serial', 'ansatz': 'effsu2', 'entangle': 'lin', 'map': [0, -1, -1]}]"/>
    <n v="1"/>
    <s v="serial"/>
    <s v="effsu2"/>
    <s v="lin"/>
    <n v="1"/>
    <s v="[0, -1, -1]"/>
    <b v="0"/>
    <s v="spsa"/>
    <n v="4000"/>
    <n v="4000"/>
    <m/>
    <n v="256"/>
    <s v="[0.1, 0.001]"/>
    <n v="0.15"/>
    <s v="[1.0, 1.0, 1.0, 1.0]"/>
    <n v="40"/>
    <n v="10"/>
    <n v="30"/>
    <n v="4.1920037619359397E-2"/>
    <n v="8.9237253592606008E-3"/>
    <n v="0.87966918957544105"/>
    <n v="-0.19239130326952719"/>
    <n v="9.1535716446686007E-3"/>
    <n v="0.93353323467111482"/>
    <n v="9.1535716446686007E-3"/>
    <n v="9.1535716446686007E-3"/>
    <n v="0.93353323467111482"/>
    <n v="0.1487867709487844"/>
    <n v="-8.0384332213678106E-2"/>
    <n v="0.2"/>
    <s v="identity"/>
    <n v="9.1535716446686007E-3"/>
    <n v="0.93353323467111482"/>
    <n v="9.1535716446686007E-3"/>
    <n v="9.1535716446686007E-3"/>
    <n v="0.93353323467111482"/>
    <n v="0.1487867709487844"/>
    <n v="-8.0384332213678106E-2"/>
    <m/>
    <m/>
    <m/>
    <m/>
    <m/>
    <m/>
    <m/>
    <m/>
    <m/>
    <m/>
    <m/>
    <m/>
    <m/>
    <m/>
    <m/>
    <m/>
    <m/>
    <m/>
    <m/>
    <m/>
    <m/>
  </r>
  <r>
    <s v="13/04/2026 11:22:50"/>
    <s v="04-13_11-22-50_multihead_1heads_run0_spsa_serial_f5_w5_h5_effsu2_lin_r1.pkl"/>
    <x v="0"/>
    <s v="Best (Lowest Val Loss)"/>
    <s v="data/reduce_row_number_absolutes"/>
    <n v="16590"/>
    <n v="4.5"/>
    <x v="1"/>
    <s v="['Surge Velocity']"/>
    <n v="5"/>
    <n v="5"/>
    <s v="custom"/>
    <b v="1"/>
    <b v="0"/>
    <b v="0"/>
    <s v="multihead"/>
    <s v="[{'features': ['sv', 'rarad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5.5868159520473498E-2"/>
    <n v="8.8366904130620007E-3"/>
    <n v="0.88084280095294432"/>
    <n v="-1.8118918463640501"/>
    <n v="8.7872799635556002E-3"/>
    <n v="0.93619298587595123"/>
    <n v="8.7872799635556002E-3"/>
    <n v="8.7872799635556002E-3"/>
    <n v="0.93619298587595123"/>
    <n v="0.25230771563733578"/>
    <n v="-0.83208023894162286"/>
    <n v="0.2"/>
    <s v="identity"/>
    <n v="8.7872799635556002E-3"/>
    <n v="0.93619298587595123"/>
    <n v="8.7872799635556002E-3"/>
    <n v="8.7872799635556002E-3"/>
    <n v="0.93619298587595123"/>
    <n v="0.25230771563733578"/>
    <n v="-0.83208023894162286"/>
    <m/>
    <m/>
    <m/>
    <m/>
    <m/>
    <m/>
    <m/>
    <m/>
    <m/>
    <m/>
    <m/>
    <m/>
    <m/>
    <m/>
    <m/>
    <m/>
    <m/>
    <m/>
    <m/>
    <m/>
    <m/>
  </r>
  <r>
    <s v="13/04/2026 11:22:51"/>
    <s v="04-13_11-22-51_multihead_1heads_run1_spsa_serial_f5_w5_h5_effsu2_lin_r1.pkl"/>
    <x v="1"/>
    <s v="Final (Last Iteration)"/>
    <s v="data/reduce_row_number_absolutes"/>
    <n v="16590"/>
    <n v="4.5"/>
    <x v="1"/>
    <s v="['Surge Velocity']"/>
    <n v="5"/>
    <n v="5"/>
    <s v="custom"/>
    <b v="1"/>
    <b v="0"/>
    <b v="0"/>
    <s v="multihead"/>
    <s v="[{'features': ['sv', 'rarad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7.4594107277988306E-2"/>
    <n v="9.0508860885362002E-3"/>
    <n v="0.87795450731081637"/>
    <n v="-7.0705949336894758"/>
    <n v="8.6953193835901006E-3"/>
    <n v="0.93686073858771757"/>
    <n v="8.6953193835901006E-3"/>
    <n v="8.6953193835901006E-3"/>
    <n v="0.93686073858771757"/>
    <n v="0.63489183052230791"/>
    <n v="-3.6101355784034981"/>
    <n v="0.2"/>
    <s v="identity"/>
    <n v="8.6953193835901006E-3"/>
    <n v="0.93686073858771757"/>
    <n v="8.6953193835901006E-3"/>
    <n v="8.6953193835901006E-3"/>
    <n v="0.93686073858771757"/>
    <n v="0.63489183052230791"/>
    <n v="-3.6101355784034981"/>
    <m/>
    <m/>
    <m/>
    <m/>
    <m/>
    <m/>
    <m/>
    <m/>
    <m/>
    <m/>
    <m/>
    <m/>
    <m/>
    <m/>
    <m/>
    <m/>
    <m/>
    <m/>
    <m/>
    <m/>
    <m/>
  </r>
  <r>
    <s v="13/04/2026 11:22:52"/>
    <s v="04-13_11-22-52_multihead_1heads_run2_spsa_serial_f5_w5_h5_effsu2_lin_r1.pkl"/>
    <x v="2"/>
    <s v="Final (Last Iteration)"/>
    <s v="data/reduce_row_number_absolutes"/>
    <n v="16590"/>
    <n v="4.5"/>
    <x v="1"/>
    <s v="['Surge Velocity']"/>
    <n v="5"/>
    <n v="5"/>
    <s v="custom"/>
    <b v="1"/>
    <b v="0"/>
    <b v="0"/>
    <s v="multihead"/>
    <s v="[{'features': ['sv', 'rarad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6.1768351160606999E-2"/>
    <n v="8.8541699905803992E-3"/>
    <n v="0.88060709987026975"/>
    <n v="-1.1883438002397759"/>
    <n v="8.6534156234313007E-3"/>
    <n v="0.93716501406629438"/>
    <n v="8.6534156234313007E-3"/>
    <n v="8.6534156234313007E-3"/>
    <n v="0.93716501406629438"/>
    <n v="0.2407114714215525"/>
    <n v="-0.74787651247209497"/>
    <n v="0.2"/>
    <s v="identity"/>
    <n v="8.6534156234313007E-3"/>
    <n v="0.93716501406629438"/>
    <n v="8.6534156234313007E-3"/>
    <n v="8.6534156234313007E-3"/>
    <n v="0.93716501406629438"/>
    <n v="0.2407114714215525"/>
    <n v="-0.74787651247209497"/>
    <m/>
    <m/>
    <m/>
    <m/>
    <m/>
    <m/>
    <m/>
    <m/>
    <m/>
    <m/>
    <m/>
    <m/>
    <m/>
    <m/>
    <m/>
    <m/>
    <m/>
    <m/>
    <m/>
    <m/>
    <m/>
  </r>
  <r>
    <s v="13/04/2026 11:22:53"/>
    <s v="04-13_11-22-53_multihead_1heads_run3_spsa_serial_f5_w5_h5_effsu2_lin_r1.pkl"/>
    <x v="3"/>
    <s v="Best (Lowest Val Loss)"/>
    <s v="data/reduce_row_number_absolutes"/>
    <n v="16590"/>
    <n v="4.5"/>
    <x v="1"/>
    <s v="['Surge Velocity']"/>
    <n v="5"/>
    <n v="5"/>
    <s v="custom"/>
    <b v="1"/>
    <b v="0"/>
    <b v="0"/>
    <s v="multihead"/>
    <s v="[{'features': ['sv', 'rarad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5.5304998338052497E-2"/>
    <n v="8.7943238528410995E-3"/>
    <n v="0.88141408730713378"/>
    <n v="-2.3627029978127299E-2"/>
    <n v="8.3617057895303999E-3"/>
    <n v="0.93928320462913539"/>
    <n v="8.3617057895303999E-3"/>
    <n v="8.3617057895303999E-3"/>
    <n v="0.93928320462913539"/>
    <n v="0.1427415739066154"/>
    <n v="-3.6488385498415002E-2"/>
    <n v="0.2"/>
    <s v="identity"/>
    <n v="8.3617057895303999E-3"/>
    <n v="0.93928320462913539"/>
    <n v="8.3617057895303999E-3"/>
    <n v="8.3617057895303999E-3"/>
    <n v="0.93928320462913539"/>
    <n v="0.1427415739066154"/>
    <n v="-3.6488385498415002E-2"/>
    <m/>
    <m/>
    <m/>
    <m/>
    <m/>
    <m/>
    <m/>
    <m/>
    <m/>
    <m/>
    <m/>
    <m/>
    <m/>
    <m/>
    <m/>
    <m/>
    <m/>
    <m/>
    <m/>
    <m/>
    <m/>
  </r>
  <r>
    <s v="13/04/2026 11:22:58"/>
    <s v="04-13_11-22-58_multihead_1heads_run4_spsa_serial_f5_w5_h5_effsu2_lin_r1.pkl"/>
    <x v="4"/>
    <s v="Final (Last Iteration)"/>
    <s v="data/reduce_row_number_absolutes"/>
    <n v="16590"/>
    <n v="4.5"/>
    <x v="1"/>
    <s v="['Surge Velocity']"/>
    <n v="5"/>
    <n v="5"/>
    <s v="custom"/>
    <b v="1"/>
    <b v="0"/>
    <b v="0"/>
    <s v="multihead"/>
    <s v="[{'features': ['sv', 'rarad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4.22194692757102E-2"/>
    <n v="9.3345354220212007E-3"/>
    <n v="0.87412967487811277"/>
    <n v="0.62790041741894442"/>
    <n v="9.3954505640982001E-3"/>
    <n v="0.93177688097664235"/>
    <n v="9.3954505640982001E-3"/>
    <n v="9.3954505640982001E-3"/>
    <n v="0.93177688097664235"/>
    <n v="6.6488918908582995E-2"/>
    <n v="0.51720448130845265"/>
    <n v="0.2"/>
    <s v="identity"/>
    <n v="9.3954505640982001E-3"/>
    <n v="0.93177688097664235"/>
    <n v="9.3954505640982001E-3"/>
    <n v="9.3954505640982001E-3"/>
    <n v="0.93177688097664235"/>
    <n v="6.6488918908582995E-2"/>
    <n v="0.51720448130845265"/>
    <m/>
    <m/>
    <m/>
    <m/>
    <m/>
    <m/>
    <m/>
    <m/>
    <m/>
    <m/>
    <m/>
    <m/>
    <m/>
    <m/>
    <m/>
    <m/>
    <m/>
    <m/>
    <m/>
    <m/>
    <m/>
  </r>
  <r>
    <s v="13/04/2026 11:22:59"/>
    <s v="04-13_11-22-59_multihead_1heads_run5_spsa_serial_f5_w5_h5_effsu2_lin_r1.pkl"/>
    <x v="5"/>
    <s v="Best (Lowest Val Loss)"/>
    <s v="data/reduce_row_number_absolutes"/>
    <n v="16590"/>
    <n v="4.5"/>
    <x v="1"/>
    <s v="['Surge Velocity']"/>
    <n v="5"/>
    <n v="5"/>
    <s v="custom"/>
    <b v="1"/>
    <b v="0"/>
    <b v="0"/>
    <s v="multihead"/>
    <s v="[{'features': ['sv', 'rarad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4.7442113832937699E-2"/>
    <n v="8.7449836100772001E-3"/>
    <n v="0.88207940937379226"/>
    <n v="-0.2584056042796381"/>
    <n v="8.7403091743385002E-3"/>
    <n v="0.93653405453695038"/>
    <n v="8.7403091743385002E-3"/>
    <n v="8.7403091743385002E-3"/>
    <n v="0.93653405453695038"/>
    <n v="0.1800553413475707"/>
    <n v="-0.30743458227386378"/>
    <n v="0.2"/>
    <s v="identity"/>
    <n v="8.7403091743385002E-3"/>
    <n v="0.93653405453695038"/>
    <n v="8.7403091743385002E-3"/>
    <n v="8.7403091743385002E-3"/>
    <n v="0.93653405453695038"/>
    <n v="0.1800553413475707"/>
    <n v="-0.30743458227386378"/>
    <m/>
    <m/>
    <m/>
    <m/>
    <m/>
    <m/>
    <m/>
    <m/>
    <m/>
    <m/>
    <m/>
    <m/>
    <m/>
    <m/>
    <m/>
    <m/>
    <m/>
    <m/>
    <m/>
    <m/>
    <m/>
  </r>
  <r>
    <s v="13/04/2026 11:23:00"/>
    <s v="04-13_11-23-00_multihead_1heads_run6_spsa_serial_f5_w5_h5_effsu2_lin_r1.pkl"/>
    <x v="6"/>
    <s v="Best (Lowest Val Loss)"/>
    <s v="data/reduce_row_number_absolutes"/>
    <n v="16590"/>
    <n v="4.5"/>
    <x v="1"/>
    <s v="['Surge Velocity']"/>
    <n v="5"/>
    <n v="5"/>
    <s v="custom"/>
    <b v="1"/>
    <b v="0"/>
    <b v="0"/>
    <s v="multihead"/>
    <s v="[{'features': ['sv', 'rarad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5.9038278603127603E-2"/>
    <n v="9.9025373707716004E-3"/>
    <n v="0.86647052670128855"/>
    <n v="-2.3840771480085658"/>
    <n v="9.2621872441949991E-3"/>
    <n v="0.93274454498308701"/>
    <n v="9.2621872441949991E-3"/>
    <n v="9.2621872441949991E-3"/>
    <n v="0.93274454498308701"/>
    <n v="0.34637606611218857"/>
    <n v="-1.5151380898657441"/>
    <n v="0.2"/>
    <s v="identity"/>
    <n v="9.2621872441949991E-3"/>
    <n v="0.93274454498308701"/>
    <n v="9.2621872441949991E-3"/>
    <n v="9.2621872441949991E-3"/>
    <n v="0.93274454498308701"/>
    <n v="0.34637606611218857"/>
    <n v="-1.5151380898657441"/>
    <m/>
    <m/>
    <m/>
    <m/>
    <m/>
    <m/>
    <m/>
    <m/>
    <m/>
    <m/>
    <m/>
    <m/>
    <m/>
    <m/>
    <m/>
    <m/>
    <m/>
    <m/>
    <m/>
    <m/>
    <m/>
  </r>
  <r>
    <s v="13/04/2026 11:23:00"/>
    <s v="04-13_11-23-00_multihead_1heads_run7_spsa_serial_f5_w5_h5_effsu2_lin_r1.pkl"/>
    <x v="7"/>
    <s v="Final (Last Iteration)"/>
    <s v="data/reduce_row_number_absolutes"/>
    <n v="16590"/>
    <n v="4.5"/>
    <x v="1"/>
    <s v="['Surge Velocity']"/>
    <n v="5"/>
    <n v="5"/>
    <s v="custom"/>
    <b v="1"/>
    <b v="0"/>
    <b v="0"/>
    <s v="multihead"/>
    <s v="[{'features': ['sv', 'rarad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5.3962096230812898E-2"/>
    <n v="9.2380100992288001E-3"/>
    <n v="0.87543125800068755"/>
    <n v="2.4678857215710899E-2"/>
    <n v="8.6385494837930999E-3"/>
    <n v="0.93727296146137062"/>
    <n v="8.6385494837930999E-3"/>
    <n v="8.6385494837930999E-3"/>
    <n v="0.93727296146137062"/>
    <n v="0.1381574998274385"/>
    <n v="-3.2020806658815998E-3"/>
    <n v="0.2"/>
    <s v="identity"/>
    <n v="8.6385494837930999E-3"/>
    <n v="0.93727296146137062"/>
    <n v="8.6385494837930999E-3"/>
    <n v="8.6385494837930999E-3"/>
    <n v="0.93727296146137062"/>
    <n v="0.1381574998274385"/>
    <n v="-3.2020806658815998E-3"/>
    <m/>
    <m/>
    <m/>
    <m/>
    <m/>
    <m/>
    <m/>
    <m/>
    <m/>
    <m/>
    <m/>
    <m/>
    <m/>
    <m/>
    <m/>
    <m/>
    <m/>
    <m/>
    <m/>
    <m/>
    <m/>
  </r>
  <r>
    <s v="13/04/2026 11:23:03"/>
    <s v="04-13_11-23-03_multihead_1heads_run8_spsa_serial_f5_w5_h5_effsu2_lin_r1.pkl"/>
    <x v="8"/>
    <s v="Best (Lowest Val Loss)"/>
    <s v="data/reduce_row_number_absolutes"/>
    <n v="16590"/>
    <n v="4.5"/>
    <x v="1"/>
    <s v="['Surge Velocity']"/>
    <n v="5"/>
    <n v="5"/>
    <s v="custom"/>
    <b v="1"/>
    <b v="0"/>
    <b v="0"/>
    <s v="multihead"/>
    <s v="[{'features': ['sv', 'rarad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5.2156341729859203E-2"/>
    <n v="8.6372020007347994E-3"/>
    <n v="0.88353277642386452"/>
    <n v="0.50382954493768439"/>
    <n v="8.1443003651626E-3"/>
    <n v="0.94086184910624415"/>
    <n v="8.1443003651626E-3"/>
    <n v="8.1443003651626E-3"/>
    <n v="0.94086184910624415"/>
    <n v="5.47971120890706E-2"/>
    <n v="0.6021021158395381"/>
    <n v="0.2"/>
    <s v="identity"/>
    <n v="8.1443003651626E-3"/>
    <n v="0.94086184910624415"/>
    <n v="8.1443003651626E-3"/>
    <n v="8.1443003651626E-3"/>
    <n v="0.94086184910624415"/>
    <n v="5.47971120890706E-2"/>
    <n v="0.6021021158395381"/>
    <m/>
    <m/>
    <m/>
    <m/>
    <m/>
    <m/>
    <m/>
    <m/>
    <m/>
    <m/>
    <m/>
    <m/>
    <m/>
    <m/>
    <m/>
    <m/>
    <m/>
    <m/>
    <m/>
    <m/>
    <m/>
  </r>
  <r>
    <s v="13/04/2026 11:23:03"/>
    <s v="04-13_11-23-03_multihead_1heads_run9_spsa_serial_f5_w5_h5_effsu2_lin_r1.pkl"/>
    <x v="9"/>
    <s v="Best (Lowest Val Loss)"/>
    <s v="data/reduce_row_number_absolutes"/>
    <n v="16590"/>
    <n v="4.5"/>
    <x v="1"/>
    <s v="['Surge Velocity']"/>
    <n v="5"/>
    <n v="5"/>
    <s v="custom"/>
    <b v="1"/>
    <b v="0"/>
    <b v="0"/>
    <s v="multihead"/>
    <s v="[{'features': ['sv', 'rarad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3.8520001552107601E-2"/>
    <n v="9.1042218243946003E-3"/>
    <n v="0.87723530853877252"/>
    <n v="-2.317239789524149"/>
    <n v="8.6111769004864006E-3"/>
    <n v="0.93747172180779204"/>
    <n v="8.6111769004864006E-3"/>
    <n v="8.6111769004864006E-3"/>
    <n v="0.93747172180779204"/>
    <n v="0.2786287546630693"/>
    <n v="-1.023205014280526"/>
    <n v="0.2"/>
    <s v="identity"/>
    <n v="8.6111769004864006E-3"/>
    <n v="0.93747172180779204"/>
    <n v="8.6111769004864006E-3"/>
    <n v="8.6111769004864006E-3"/>
    <n v="0.93747172180779204"/>
    <n v="0.2786287546630693"/>
    <n v="-1.023205014280526"/>
    <m/>
    <m/>
    <m/>
    <m/>
    <m/>
    <m/>
    <m/>
    <m/>
    <m/>
    <m/>
    <m/>
    <m/>
    <m/>
    <m/>
    <m/>
    <m/>
    <m/>
    <m/>
    <m/>
    <m/>
    <m/>
  </r>
  <r>
    <s v="13/04/2026 12:04:08"/>
    <s v="04-13_12-04-08_multihead_1heads_run0_spsa_serial_f5_w5_h5_effsu2_lin_r1.pkl"/>
    <x v="0"/>
    <s v="Best (Lowest Val Loss)"/>
    <s v="data/reduce_row_number_absolutes"/>
    <n v="16590"/>
    <n v="4.5"/>
    <x v="2"/>
    <s v="['Surge Velocity']"/>
    <n v="5"/>
    <n v="5"/>
    <s v="custom"/>
    <b v="1"/>
    <b v="0"/>
    <b v="0"/>
    <s v="multihead"/>
    <s v="[{'features': ['sv', 'wv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5.5022592076177497E-2"/>
    <n v="5.582129985269E-3"/>
    <n v="0.92472849645405242"/>
    <n v="-8.94475763165517"/>
    <n v="6.0013702050394999E-3"/>
    <n v="0.95642229278858004"/>
    <n v="6.0013702050394999E-3"/>
    <n v="6.0013702050394999E-3"/>
    <n v="0.95642229278858004"/>
    <n v="0.76944035737461935"/>
    <n v="-4.5871318490175437"/>
    <n v="0.2"/>
    <s v="identity"/>
    <n v="6.0013702050394999E-3"/>
    <n v="0.95642229278858004"/>
    <n v="6.0013702050394999E-3"/>
    <n v="6.0013702050394999E-3"/>
    <n v="0.95642229278858004"/>
    <n v="0.76944035737461935"/>
    <n v="-4.5871318490175437"/>
    <m/>
    <m/>
    <m/>
    <m/>
    <m/>
    <m/>
    <m/>
    <m/>
    <m/>
    <m/>
    <m/>
    <m/>
    <m/>
    <m/>
    <m/>
    <m/>
    <m/>
    <m/>
    <m/>
    <m/>
    <m/>
  </r>
  <r>
    <s v="13/04/2026 12:04:12"/>
    <s v="04-13_12-04-12_multihead_1heads_run1_spsa_serial_f5_w5_h5_effsu2_lin_r1.pkl"/>
    <x v="1"/>
    <s v="Best (Lowest Val Loss)"/>
    <s v="data/reduce_row_number_absolutes"/>
    <n v="16590"/>
    <n v="4.5"/>
    <x v="2"/>
    <s v="['Surge Velocity']"/>
    <n v="5"/>
    <n v="5"/>
    <s v="custom"/>
    <b v="1"/>
    <b v="0"/>
    <b v="0"/>
    <s v="multihead"/>
    <s v="[{'features': ['sv', 'wv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8.1816700508253098E-2"/>
    <n v="4.2848519986542002E-3"/>
    <n v="0.94222147222266495"/>
    <n v="-6.399250847162544"/>
    <n v="4.1996214918430001E-3"/>
    <n v="0.96950531803276485"/>
    <n v="4.1996214918430001E-3"/>
    <n v="4.1996214918430001E-3"/>
    <n v="0.96950531803276485"/>
    <n v="0.58603626496194539"/>
    <n v="-3.2553810042147568"/>
    <n v="0.2"/>
    <s v="identity"/>
    <n v="4.1996214918430001E-3"/>
    <n v="0.96950531803276485"/>
    <n v="4.1996214918430001E-3"/>
    <n v="4.1996214918430001E-3"/>
    <n v="0.96950531803276485"/>
    <n v="0.58603626496194539"/>
    <n v="-3.2553810042147568"/>
    <m/>
    <m/>
    <m/>
    <m/>
    <m/>
    <m/>
    <m/>
    <m/>
    <m/>
    <m/>
    <m/>
    <m/>
    <m/>
    <m/>
    <m/>
    <m/>
    <m/>
    <m/>
    <m/>
    <m/>
    <m/>
  </r>
  <r>
    <s v="13/04/2026 12:04:13"/>
    <s v="04-13_12-04-13_multihead_1heads_run2_spsa_serial_f5_w5_h5_effsu2_lin_r1.pkl"/>
    <x v="2"/>
    <s v="Best (Lowest Val Loss)"/>
    <s v="data/reduce_row_number_absolutes"/>
    <n v="16590"/>
    <n v="4.5"/>
    <x v="2"/>
    <s v="['Surge Velocity']"/>
    <n v="5"/>
    <n v="5"/>
    <s v="custom"/>
    <b v="1"/>
    <b v="0"/>
    <b v="0"/>
    <s v="multihead"/>
    <s v="[{'features': ['sv', 'wv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6.02890288019211E-2"/>
    <n v="5.3192383269211998E-3"/>
    <n v="0.92827342472439878"/>
    <n v="-9.5189924362951537"/>
    <n v="5.4295112388230999E-3"/>
    <n v="0.96057472827324242"/>
    <n v="5.4295112388230999E-3"/>
    <n v="5.4295112388230999E-3"/>
    <n v="0.96057472827324242"/>
    <n v="0.81083226712155188"/>
    <n v="-4.8876906318032924"/>
    <n v="0.2"/>
    <s v="identity"/>
    <n v="5.4295112388230999E-3"/>
    <n v="0.96057472827324242"/>
    <n v="5.4295112388230999E-3"/>
    <n v="5.4295112388230999E-3"/>
    <n v="0.96057472827324242"/>
    <n v="0.81083226712155188"/>
    <n v="-4.8876906318032924"/>
    <m/>
    <m/>
    <m/>
    <m/>
    <m/>
    <m/>
    <m/>
    <m/>
    <m/>
    <m/>
    <m/>
    <m/>
    <m/>
    <m/>
    <m/>
    <m/>
    <m/>
    <m/>
    <m/>
    <m/>
    <m/>
  </r>
  <r>
    <s v="13/04/2026 12:04:21"/>
    <s v="04-13_12-04-21_multihead_1heads_run3_spsa_serial_f5_w5_h5_effsu2_lin_r1.pkl"/>
    <x v="3"/>
    <s v="Final (Last Iteration)"/>
    <s v="data/reduce_row_number_absolutes"/>
    <n v="16590"/>
    <n v="4.5"/>
    <x v="2"/>
    <s v="['Surge Velocity']"/>
    <n v="5"/>
    <n v="5"/>
    <s v="custom"/>
    <b v="1"/>
    <b v="0"/>
    <b v="0"/>
    <s v="multihead"/>
    <s v="[{'features': ['sv', 'wv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4.9940940423729999E-2"/>
    <n v="5.3644332881022001E-3"/>
    <n v="0.92766399916645315"/>
    <n v="-5.0677068171542761"/>
    <n v="4.9586764708760998E-3"/>
    <n v="0.96399359745836977"/>
    <n v="4.9586764708760998E-3"/>
    <n v="4.9586764708760998E-3"/>
    <n v="0.96399359745836977"/>
    <n v="0.48937860851350218"/>
    <n v="-2.5535214440571101"/>
    <n v="0.2"/>
    <s v="identity"/>
    <n v="4.9586764708760998E-3"/>
    <n v="0.96399359745836977"/>
    <n v="4.9586764708760998E-3"/>
    <n v="4.9586764708760998E-3"/>
    <n v="0.96399359745836977"/>
    <n v="0.48937860851350218"/>
    <n v="-2.5535214440571101"/>
    <m/>
    <m/>
    <m/>
    <m/>
    <m/>
    <m/>
    <m/>
    <m/>
    <m/>
    <m/>
    <m/>
    <m/>
    <m/>
    <m/>
    <m/>
    <m/>
    <m/>
    <m/>
    <m/>
    <m/>
    <m/>
  </r>
  <r>
    <s v="13/04/2026 12:04:21"/>
    <s v="04-13_12-04-21_multihead_1heads_run4_spsa_serial_f5_w5_h5_effsu2_lin_r1.pkl"/>
    <x v="4"/>
    <s v="Final (Last Iteration)"/>
    <s v="data/reduce_row_number_absolutes"/>
    <n v="16590"/>
    <n v="4.5"/>
    <x v="2"/>
    <s v="['Surge Velocity']"/>
    <n v="5"/>
    <n v="5"/>
    <s v="custom"/>
    <b v="1"/>
    <b v="0"/>
    <b v="0"/>
    <s v="multihead"/>
    <s v="[{'features': ['sv', 'wv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4.1047936797383097E-2"/>
    <n v="5.6613940387308E-3"/>
    <n v="0.92365967066587462"/>
    <n v="-8.7911866341617522"/>
    <n v="6.0707373964983E-3"/>
    <n v="0.95591859728968698"/>
    <n v="6.0707373964983E-3"/>
    <n v="6.0707373964983E-3"/>
    <n v="0.95591859728968698"/>
    <n v="0.75890498081278657"/>
    <n v="-4.5106313933735844"/>
    <n v="0.2"/>
    <s v="identity"/>
    <n v="6.0707373964983E-3"/>
    <n v="0.95591859728968698"/>
    <n v="6.0707373964983E-3"/>
    <n v="6.0707373964983E-3"/>
    <n v="0.95591859728968698"/>
    <n v="0.75890498081278657"/>
    <n v="-4.5106313933735844"/>
    <m/>
    <m/>
    <m/>
    <m/>
    <m/>
    <m/>
    <m/>
    <m/>
    <m/>
    <m/>
    <m/>
    <m/>
    <m/>
    <m/>
    <m/>
    <m/>
    <m/>
    <m/>
    <m/>
    <m/>
    <m/>
  </r>
  <r>
    <s v="13/04/2026 12:04:22"/>
    <s v="04-13_12-04-22_multihead_1heads_run5_spsa_serial_f5_w5_h5_effsu2_lin_r1.pkl"/>
    <x v="5"/>
    <s v="Final (Last Iteration)"/>
    <s v="data/reduce_row_number_absolutes"/>
    <n v="16590"/>
    <n v="4.5"/>
    <x v="2"/>
    <s v="['Surge Velocity']"/>
    <n v="5"/>
    <n v="5"/>
    <s v="custom"/>
    <b v="1"/>
    <b v="0"/>
    <b v="0"/>
    <s v="multihead"/>
    <s v="[{'features': ['sv', 'wv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4.7615074332901602E-2"/>
    <n v="6.404269376663E-3"/>
    <n v="0.91364246508647684"/>
    <n v="-6.8639237490713843"/>
    <n v="6.8625088339451003E-3"/>
    <n v="0.95016931292618456"/>
    <n v="6.8625088339451003E-3"/>
    <n v="6.8625088339451003E-3"/>
    <n v="0.95016931292618456"/>
    <n v="0.61747698421567532"/>
    <n v="-3.4836812775431651"/>
    <n v="0.2"/>
    <s v="identity"/>
    <n v="6.8625088339451003E-3"/>
    <n v="0.95016931292618456"/>
    <n v="6.8625088339451003E-3"/>
    <n v="6.8625088339451003E-3"/>
    <n v="0.95016931292618456"/>
    <n v="0.61747698421567532"/>
    <n v="-3.4836812775431651"/>
    <m/>
    <m/>
    <m/>
    <m/>
    <m/>
    <m/>
    <m/>
    <m/>
    <m/>
    <m/>
    <m/>
    <m/>
    <m/>
    <m/>
    <m/>
    <m/>
    <m/>
    <m/>
    <m/>
    <m/>
    <m/>
  </r>
  <r>
    <s v="13/04/2026 12:04:27"/>
    <s v="04-13_12-04-27_multihead_1heads_run6_spsa_serial_f5_w5_h5_effsu2_lin_r1.pkl"/>
    <x v="6"/>
    <s v="Best (Lowest Val Loss)"/>
    <s v="data/reduce_row_number_absolutes"/>
    <n v="16590"/>
    <n v="4.5"/>
    <x v="2"/>
    <s v="['Surge Velocity']"/>
    <n v="5"/>
    <n v="5"/>
    <s v="custom"/>
    <b v="1"/>
    <b v="0"/>
    <b v="0"/>
    <s v="multihead"/>
    <s v="[{'features': ['sv', 'wv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5.4805389807036302E-2"/>
    <n v="4.9528916331785999E-3"/>
    <n v="0.93321337892286005"/>
    <n v="-4.396929106697554"/>
    <n v="4.8334828673757997E-3"/>
    <n v="0.96490266488992082"/>
    <n v="4.8334828673757997E-3"/>
    <n v="4.8334828673757997E-3"/>
    <n v="0.96490266488992082"/>
    <n v="0.43950442665633838"/>
    <n v="-2.1913703985249562"/>
    <n v="0.2"/>
    <s v="identity"/>
    <n v="4.8334828673757997E-3"/>
    <n v="0.96490266488992082"/>
    <n v="4.8334828673757997E-3"/>
    <n v="4.8334828673757997E-3"/>
    <n v="0.96490266488992082"/>
    <n v="0.43950442665633838"/>
    <n v="-2.1913703985249562"/>
    <m/>
    <m/>
    <m/>
    <m/>
    <m/>
    <m/>
    <m/>
    <m/>
    <m/>
    <m/>
    <m/>
    <m/>
    <m/>
    <m/>
    <m/>
    <m/>
    <m/>
    <m/>
    <m/>
    <m/>
    <m/>
  </r>
  <r>
    <s v="13/04/2026 12:04:30"/>
    <s v="04-13_12-04-30_multihead_1heads_run7_spsa_serial_f5_w5_h5_effsu2_lin_r1.pkl"/>
    <x v="7"/>
    <s v="Final (Last Iteration)"/>
    <s v="data/reduce_row_number_absolutes"/>
    <n v="16590"/>
    <n v="4.5"/>
    <x v="2"/>
    <s v="['Surge Velocity']"/>
    <n v="5"/>
    <n v="5"/>
    <s v="custom"/>
    <b v="1"/>
    <b v="0"/>
    <b v="0"/>
    <s v="multihead"/>
    <s v="[{'features': ['sv', 'wv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6.7541285402786796E-2"/>
    <n v="4.8573584696223002E-3"/>
    <n v="0.93450158340365197"/>
    <n v="-4.5019217631296771"/>
    <n v="4.9130246166970001E-3"/>
    <n v="0.96432508894566482"/>
    <n v="4.9130246166970001E-3"/>
    <n v="4.9130246166970001E-3"/>
    <n v="0.96432508894566482"/>
    <n v="0.45007039179994851"/>
    <n v="-2.2680929668223859"/>
    <n v="0.2"/>
    <s v="identity"/>
    <n v="4.9130246166970001E-3"/>
    <n v="0.96432508894566482"/>
    <n v="4.9130246166970001E-3"/>
    <n v="4.9130246166970001E-3"/>
    <n v="0.96432508894566482"/>
    <n v="0.45007039179994851"/>
    <n v="-2.2680929668223859"/>
    <m/>
    <m/>
    <m/>
    <m/>
    <m/>
    <m/>
    <m/>
    <m/>
    <m/>
    <m/>
    <m/>
    <m/>
    <m/>
    <m/>
    <m/>
    <m/>
    <m/>
    <m/>
    <m/>
    <m/>
    <m/>
  </r>
  <r>
    <s v="13/04/2026 12:04:32"/>
    <s v="04-13_12-04-32_multihead_1heads_run8_spsa_serial_f5_w5_h5_effsu2_lin_r1.pkl"/>
    <x v="8"/>
    <s v="Final (Last Iteration)"/>
    <s v="data/reduce_row_number_absolutes"/>
    <n v="16590"/>
    <n v="4.5"/>
    <x v="2"/>
    <s v="['Surge Velocity']"/>
    <n v="5"/>
    <n v="5"/>
    <s v="custom"/>
    <b v="1"/>
    <b v="0"/>
    <b v="0"/>
    <s v="multihead"/>
    <s v="[{'features': ['sv', 'wv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4.4192292713769898E-2"/>
    <n v="4.2125191968750003E-3"/>
    <n v="0.94319683445177438"/>
    <n v="-4.944663770919183"/>
    <n v="3.9767687400178E-3"/>
    <n v="0.97112351715038325"/>
    <n v="3.9767687400178E-3"/>
    <n v="3.9767687400178E-3"/>
    <n v="0.97112351715038325"/>
    <n v="0.4809905882794534"/>
    <n v="-2.4926135717955562"/>
    <n v="0.2"/>
    <s v="identity"/>
    <n v="3.9767687400178E-3"/>
    <n v="0.97112351715038325"/>
    <n v="3.9767687400178E-3"/>
    <n v="3.9767687400178E-3"/>
    <n v="0.97112351715038325"/>
    <n v="0.4809905882794534"/>
    <n v="-2.4926135717955562"/>
    <m/>
    <m/>
    <m/>
    <m/>
    <m/>
    <m/>
    <m/>
    <m/>
    <m/>
    <m/>
    <m/>
    <m/>
    <m/>
    <m/>
    <m/>
    <m/>
    <m/>
    <m/>
    <m/>
    <m/>
    <m/>
  </r>
  <r>
    <s v="13/04/2026 12:04:36"/>
    <s v="04-13_12-04-36_multihead_1heads_run9_spsa_serial_f5_w5_h5_effsu2_lin_r1.pkl"/>
    <x v="9"/>
    <s v="Final (Last Iteration)"/>
    <s v="data/reduce_row_number_absolutes"/>
    <n v="16590"/>
    <n v="4.5"/>
    <x v="2"/>
    <s v="['Surge Velocity']"/>
    <n v="5"/>
    <n v="5"/>
    <s v="custom"/>
    <b v="1"/>
    <b v="0"/>
    <b v="0"/>
    <s v="multihead"/>
    <s v="[{'features': ['sv', 'wv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3.70916546700511E-2"/>
    <n v="7.4107831734981002E-3"/>
    <n v="0.90007026110207378"/>
    <n v="-7.1986944510492759"/>
    <n v="6.8587310894247999E-3"/>
    <n v="0.95019674423586964"/>
    <n v="6.8587310894247999E-3"/>
    <n v="6.8587310894247999E-3"/>
    <n v="0.95019674423586964"/>
    <n v="0.64401524154822043"/>
    <n v="-3.676383338643785"/>
    <n v="0.2"/>
    <s v="identity"/>
    <n v="6.8587310894247999E-3"/>
    <n v="0.95019674423586964"/>
    <n v="6.8587310894247999E-3"/>
    <n v="6.8587310894247999E-3"/>
    <n v="0.95019674423586964"/>
    <n v="0.64401524154822043"/>
    <n v="-3.676383338643785"/>
    <m/>
    <m/>
    <m/>
    <m/>
    <m/>
    <m/>
    <m/>
    <m/>
    <m/>
    <m/>
    <m/>
    <m/>
    <m/>
    <m/>
    <m/>
    <m/>
    <m/>
    <m/>
    <m/>
    <m/>
    <m/>
  </r>
  <r>
    <s v="13/04/2026 12:37:40"/>
    <s v="04-13_12-37-40_multihead_1heads_run0_spsa_serial_f5_w5_h5_effsu2_lin_r1.pkl"/>
    <x v="0"/>
    <s v="Best (Lowest Val Loss)"/>
    <s v="data/reduce_row_number_absolutes"/>
    <n v="16590"/>
    <n v="4.5"/>
    <x v="3"/>
    <s v="['Surge Velocity']"/>
    <n v="5"/>
    <n v="5"/>
    <s v="custom"/>
    <b v="1"/>
    <b v="0"/>
    <b v="0"/>
    <s v="multihead"/>
    <s v="[{'features': ['sv', 'yr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5.3013610269580902E-2"/>
    <n v="4.1044986090899996E-3"/>
    <n v="0.94465342397547758"/>
    <n v="-7.7749457718048456"/>
    <n v="4.4130516188675998E-3"/>
    <n v="0.96795553935426137"/>
    <n v="4.4130516188675998E-3"/>
    <n v="4.4130516188675998E-3"/>
    <n v="0.96795553935426137"/>
    <n v="0.68394908430937995"/>
    <n v="-3.9663546698926648"/>
    <n v="0.2"/>
    <s v="identity"/>
    <n v="4.4130516188675998E-3"/>
    <n v="0.96795553935426137"/>
    <n v="4.4130516188675998E-3"/>
    <n v="4.4130516188675998E-3"/>
    <n v="0.96795553935426137"/>
    <n v="0.68394908430937995"/>
    <n v="-3.9663546698926648"/>
    <m/>
    <m/>
    <m/>
    <m/>
    <m/>
    <m/>
    <m/>
    <m/>
    <m/>
    <m/>
    <m/>
    <m/>
    <m/>
    <m/>
    <m/>
    <m/>
    <m/>
    <m/>
    <m/>
    <m/>
    <m/>
  </r>
  <r>
    <s v="13/04/2026 12:37:47"/>
    <s v="04-13_12-37-47_multihead_1heads_run1_spsa_serial_f5_w5_h5_effsu2_lin_r1.pkl"/>
    <x v="1"/>
    <s v="Best (Lowest Val Loss)"/>
    <s v="data/reduce_row_number_absolutes"/>
    <n v="16590"/>
    <n v="4.5"/>
    <x v="3"/>
    <s v="['Surge Velocity']"/>
    <n v="5"/>
    <n v="5"/>
    <s v="custom"/>
    <b v="1"/>
    <b v="0"/>
    <b v="0"/>
    <s v="multihead"/>
    <s v="[{'features': ['sv', 'yr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6.18132447353116E-2"/>
    <n v="3.0369143751411E-3"/>
    <n v="0.95904912430193756"/>
    <n v="-7.4538669691895656"/>
    <n v="3.1850843120207E-3"/>
    <n v="0.97687216971278124"/>
    <n v="3.1850843120207E-3"/>
    <n v="3.1850843120207E-3"/>
    <n v="0.97687216971278124"/>
    <n v="0.6619678339259385"/>
    <n v="-3.8067423712635708"/>
    <n v="0.2"/>
    <s v="identity"/>
    <n v="3.1850843120207E-3"/>
    <n v="0.97687216971278124"/>
    <n v="3.1850843120207E-3"/>
    <n v="3.1850843120207E-3"/>
    <n v="0.97687216971278124"/>
    <n v="0.6619678339259385"/>
    <n v="-3.8067423712635708"/>
    <m/>
    <m/>
    <m/>
    <m/>
    <m/>
    <m/>
    <m/>
    <m/>
    <m/>
    <m/>
    <m/>
    <m/>
    <m/>
    <m/>
    <m/>
    <m/>
    <m/>
    <m/>
    <m/>
    <m/>
    <m/>
  </r>
  <r>
    <s v="13/04/2026 12:37:55"/>
    <s v="04-13_12-37-55_multihead_1heads_run2_spsa_serial_f5_w5_h5_effsu2_lin_r1.pkl"/>
    <x v="2"/>
    <s v="Best (Lowest Val Loss)"/>
    <s v="data/reduce_row_number_absolutes"/>
    <n v="16590"/>
    <n v="4.5"/>
    <x v="3"/>
    <s v="['Surge Velocity']"/>
    <n v="5"/>
    <n v="5"/>
    <s v="custom"/>
    <b v="1"/>
    <b v="0"/>
    <b v="0"/>
    <s v="multihead"/>
    <s v="[{'features': ['sv', 'yr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6.1280355543829601E-2"/>
    <n v="4.0500573945812003E-3"/>
    <n v="0.94538752943016202"/>
    <n v="-7.3929243269736649"/>
    <n v="4.1315748236126996E-3"/>
    <n v="0.96999942482563695"/>
    <n v="4.1315748236126996E-3"/>
    <n v="4.1315748236126996E-3"/>
    <n v="0.96999942482563695"/>
    <n v="0.65511105078059328"/>
    <n v="-3.756953260092069"/>
    <n v="0.2"/>
    <s v="identity"/>
    <n v="4.1315748236126996E-3"/>
    <n v="0.96999942482563695"/>
    <n v="4.1315748236126996E-3"/>
    <n v="4.1315748236126996E-3"/>
    <n v="0.96999942482563695"/>
    <n v="0.65511105078059328"/>
    <n v="-3.756953260092069"/>
    <m/>
    <m/>
    <m/>
    <m/>
    <m/>
    <m/>
    <m/>
    <m/>
    <m/>
    <m/>
    <m/>
    <m/>
    <m/>
    <m/>
    <m/>
    <m/>
    <m/>
    <m/>
    <m/>
    <m/>
    <m/>
  </r>
  <r>
    <s v="13/04/2026 12:44:13"/>
    <s v="04-13_12-44-13_multihead_1heads_run3_spsa_serial_f5_w5_h5_effsu2_lin_r1.pkl"/>
    <x v="3"/>
    <s v="Best (Lowest Val Loss)"/>
    <s v="data/reduce_row_number_absolutes"/>
    <n v="16590"/>
    <n v="4.5"/>
    <x v="3"/>
    <s v="['Surge Velocity']"/>
    <n v="5"/>
    <n v="5"/>
    <s v="custom"/>
    <b v="1"/>
    <b v="0"/>
    <b v="0"/>
    <s v="multihead"/>
    <s v="[{'features': ['sv', 'yr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5.03891706487921E-2"/>
    <n v="4.1752248496526997E-3"/>
    <n v="0.94369972521150036"/>
    <n v="-6.14547192129141"/>
    <n v="3.9718271214136004E-3"/>
    <n v="0.97115939969075804"/>
    <n v="3.9718271214136004E-3"/>
    <n v="3.9718271214136004E-3"/>
    <n v="0.97115939969075804"/>
    <n v="0.56703617619468205"/>
    <n v="-3.1174157934374729"/>
    <n v="0.2"/>
    <s v="identity"/>
    <n v="3.9718271214136004E-3"/>
    <n v="0.97115939969075804"/>
    <n v="3.9718271214136004E-3"/>
    <n v="3.9718271214136004E-3"/>
    <n v="0.97115939969075804"/>
    <n v="0.56703617619468205"/>
    <n v="-3.1174157934374729"/>
    <m/>
    <m/>
    <m/>
    <m/>
    <m/>
    <m/>
    <m/>
    <m/>
    <m/>
    <m/>
    <m/>
    <m/>
    <m/>
    <m/>
    <m/>
    <m/>
    <m/>
    <m/>
    <m/>
    <m/>
    <m/>
  </r>
  <r>
    <s v="13/04/2026 12:44:13"/>
    <s v="04-13_12-44-13_multihead_1heads_run4_spsa_serial_f5_w5_h5_effsu2_lin_r1.pkl"/>
    <x v="4"/>
    <s v="Final (Last Iteration)"/>
    <s v="data/reduce_row_number_absolutes"/>
    <n v="16590"/>
    <n v="4.5"/>
    <x v="3"/>
    <s v="['Surge Velocity']"/>
    <n v="5"/>
    <n v="5"/>
    <s v="custom"/>
    <b v="1"/>
    <b v="0"/>
    <b v="0"/>
    <s v="multihead"/>
    <s v="[{'features': ['sv', 'yr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3.6476686779762797E-2"/>
    <n v="4.0709624037990003E-3"/>
    <n v="0.94510563856061602"/>
    <n v="-3.0197239464367231"/>
    <n v="4.3301109433217999E-3"/>
    <n v="0.9685577958975784"/>
    <n v="4.3301109433217999E-3"/>
    <n v="4.3301109433217999E-3"/>
    <n v="0.9685577958975784"/>
    <n v="0.33468153853504012"/>
    <n v="-1.430220699116393"/>
    <n v="0.2"/>
    <s v="identity"/>
    <n v="4.3301109433217999E-3"/>
    <n v="0.9685577958975784"/>
    <n v="4.3301109433217999E-3"/>
    <n v="4.3301109433217999E-3"/>
    <n v="0.9685577958975784"/>
    <n v="0.33468153853504012"/>
    <n v="-1.430220699116393"/>
    <m/>
    <m/>
    <m/>
    <m/>
    <m/>
    <m/>
    <m/>
    <m/>
    <m/>
    <m/>
    <m/>
    <m/>
    <m/>
    <m/>
    <m/>
    <m/>
    <m/>
    <m/>
    <m/>
    <m/>
    <m/>
  </r>
  <r>
    <s v="13/04/2026 12:44:20"/>
    <s v="04-13_12-44-20_multihead_1heads_run5_spsa_serial_f5_w5_h5_effsu2_lin_r1.pkl"/>
    <x v="5"/>
    <s v="Final (Last Iteration)"/>
    <s v="data/reduce_row_number_absolutes"/>
    <n v="16590"/>
    <n v="4.5"/>
    <x v="3"/>
    <s v="['Surge Velocity']"/>
    <n v="5"/>
    <n v="5"/>
    <s v="custom"/>
    <b v="1"/>
    <b v="0"/>
    <b v="0"/>
    <s v="multihead"/>
    <s v="[{'features': ['sv', 'yr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3.9333912526679601E-2"/>
    <n v="3.7094630174734E-3"/>
    <n v="0.94998022987458997"/>
    <n v="-5.3595159851311944"/>
    <n v="4.2408611337764997E-3"/>
    <n v="0.96920586491118021"/>
    <n v="4.2408611337764997E-3"/>
    <n v="4.2408611337764997E-3"/>
    <n v="0.96920586491118021"/>
    <n v="0.48336442134406837"/>
    <n v="-2.5098506691123852"/>
    <n v="0.2"/>
    <s v="identity"/>
    <n v="4.2408611337764997E-3"/>
    <n v="0.96920586491118021"/>
    <n v="4.2408611337764997E-3"/>
    <n v="4.2408611337764997E-3"/>
    <n v="0.96920586491118021"/>
    <n v="0.48336442134406837"/>
    <n v="-2.5098506691123852"/>
    <m/>
    <m/>
    <m/>
    <m/>
    <m/>
    <m/>
    <m/>
    <m/>
    <m/>
    <m/>
    <m/>
    <m/>
    <m/>
    <m/>
    <m/>
    <m/>
    <m/>
    <m/>
    <m/>
    <m/>
    <m/>
  </r>
  <r>
    <s v="13/04/2026 12:44:24"/>
    <s v="04-13_12-44-24_multihead_1heads_run6_spsa_serial_f5_w5_h5_effsu2_lin_r1.pkl"/>
    <x v="6"/>
    <s v="Best (Lowest Val Loss)"/>
    <s v="data/reduce_row_number_absolutes"/>
    <n v="16590"/>
    <n v="4.5"/>
    <x v="3"/>
    <s v="['Surge Velocity']"/>
    <n v="5"/>
    <n v="5"/>
    <s v="custom"/>
    <b v="1"/>
    <b v="0"/>
    <b v="0"/>
    <s v="multihead"/>
    <s v="[{'features': ['sv', 'yr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5.0287296868536599E-2"/>
    <n v="4.2220655718871996E-3"/>
    <n v="0.94306810760333504"/>
    <n v="-5.1641665689263112"/>
    <n v="4.4178531909103E-3"/>
    <n v="0.96792067373299784"/>
    <n v="4.4178531909103E-3"/>
    <n v="4.4178531909103E-3"/>
    <n v="0.96792067373299784"/>
    <n v="0.49366114308826459"/>
    <n v="-2.584618182209518"/>
    <n v="0.2"/>
    <s v="identity"/>
    <n v="4.4178531909103E-3"/>
    <n v="0.96792067373299784"/>
    <n v="4.4178531909103E-3"/>
    <n v="4.4178531909103E-3"/>
    <n v="0.96792067373299784"/>
    <n v="0.49366114308826459"/>
    <n v="-2.584618182209518"/>
    <m/>
    <m/>
    <m/>
    <m/>
    <m/>
    <m/>
    <m/>
    <m/>
    <m/>
    <m/>
    <m/>
    <m/>
    <m/>
    <m/>
    <m/>
    <m/>
    <m/>
    <m/>
    <m/>
    <m/>
    <m/>
  </r>
  <r>
    <s v="13/04/2026 12:44:25"/>
    <s v="04-13_12-44-25_multihead_1heads_run7_spsa_serial_f5_w5_h5_effsu2_lin_r1.pkl"/>
    <x v="7"/>
    <s v="Final (Last Iteration)"/>
    <s v="data/reduce_row_number_absolutes"/>
    <n v="16590"/>
    <n v="4.5"/>
    <x v="3"/>
    <s v="['Surge Velocity']"/>
    <n v="5"/>
    <n v="5"/>
    <s v="custom"/>
    <b v="1"/>
    <b v="0"/>
    <b v="0"/>
    <s v="multihead"/>
    <s v="[{'features': ['sv', 'yr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5.5217802848883203E-2"/>
    <n v="4.3113697157599997E-3"/>
    <n v="0.94186389752583277"/>
    <n v="-5.0452621450397119"/>
    <n v="4.2088416781429E-3"/>
    <n v="0.96943836755890878"/>
    <n v="4.2088416781429E-3"/>
    <n v="4.2088416781429E-3"/>
    <n v="0.96943836755890878"/>
    <n v="0.48380849877967141"/>
    <n v="-2.5130752454685741"/>
    <n v="0.2"/>
    <s v="identity"/>
    <n v="4.2088416781429E-3"/>
    <n v="0.96943836755890878"/>
    <n v="4.2088416781429E-3"/>
    <n v="4.2088416781429E-3"/>
    <n v="0.96943836755890878"/>
    <n v="0.48380849877967141"/>
    <n v="-2.5130752454685741"/>
    <m/>
    <m/>
    <m/>
    <m/>
    <m/>
    <m/>
    <m/>
    <m/>
    <m/>
    <m/>
    <m/>
    <m/>
    <m/>
    <m/>
    <m/>
    <m/>
    <m/>
    <m/>
    <m/>
    <m/>
    <m/>
  </r>
  <r>
    <s v="13/04/2026 12:44:32"/>
    <s v="04-13_12-44-32_multihead_1heads_run8_spsa_serial_f5_w5_h5_effsu2_lin_r1.pkl"/>
    <x v="8"/>
    <s v="Best (Lowest Val Loss)"/>
    <s v="data/reduce_row_number_absolutes"/>
    <n v="16590"/>
    <n v="4.5"/>
    <x v="3"/>
    <s v="['Surge Velocity']"/>
    <n v="5"/>
    <n v="5"/>
    <s v="custom"/>
    <b v="1"/>
    <b v="0"/>
    <b v="0"/>
    <s v="multihead"/>
    <s v="[{'features': ['sv', 'yr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4.9887026306468997E-2"/>
    <n v="3.5284277202082001E-3"/>
    <n v="0.95242137672283678"/>
    <n v="-4.6078677670599166"/>
    <n v="3.4855331887542001E-3"/>
    <n v="0.9746905223997564"/>
    <n v="3.4855331887542001E-3"/>
    <n v="3.4855331887542001E-3"/>
    <n v="0.9746905223997564"/>
    <n v="0.45085017706784752"/>
    <n v="-2.2737552160973511"/>
    <n v="0.2"/>
    <s v="identity"/>
    <n v="3.4855331887542001E-3"/>
    <n v="0.9746905223997564"/>
    <n v="3.4855331887542001E-3"/>
    <n v="3.4855331887542001E-3"/>
    <n v="0.9746905223997564"/>
    <n v="0.45085017706784752"/>
    <n v="-2.2737552160973511"/>
    <m/>
    <m/>
    <m/>
    <m/>
    <m/>
    <m/>
    <m/>
    <m/>
    <m/>
    <m/>
    <m/>
    <m/>
    <m/>
    <m/>
    <m/>
    <m/>
    <m/>
    <m/>
    <m/>
    <m/>
    <m/>
  </r>
  <r>
    <s v="13/04/2026 12:44:33"/>
    <s v="04-13_12-44-33_multihead_1heads_run9_spsa_serial_f5_w5_h5_effsu2_lin_r1.pkl"/>
    <x v="9"/>
    <s v="Final (Last Iteration)"/>
    <s v="data/reduce_row_number_absolutes"/>
    <n v="16590"/>
    <n v="4.5"/>
    <x v="3"/>
    <s v="['Surge Velocity']"/>
    <n v="5"/>
    <n v="5"/>
    <s v="custom"/>
    <b v="1"/>
    <b v="0"/>
    <b v="0"/>
    <s v="multihead"/>
    <s v="[{'features': ['sv', 'yr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3.2317709594834203E-2"/>
    <n v="4.2730128596722003E-3"/>
    <n v="0.94238111554774218"/>
    <n v="-6.9649473103563606"/>
    <n v="4.2665282124239E-3"/>
    <n v="0.96901948873373156"/>
    <n v="4.2665282124239E-3"/>
    <n v="4.2665282124239E-3"/>
    <n v="0.96901948873373156"/>
    <n v="0.62728377694668669"/>
    <n v="-3.5548912725466768"/>
    <n v="0.2"/>
    <s v="identity"/>
    <n v="4.2665282124239E-3"/>
    <n v="0.96901948873373156"/>
    <n v="4.2665282124239E-3"/>
    <n v="4.2665282124239E-3"/>
    <n v="0.96901948873373156"/>
    <n v="0.62728377694668669"/>
    <n v="-3.5548912725466768"/>
    <m/>
    <m/>
    <m/>
    <m/>
    <m/>
    <m/>
    <m/>
    <m/>
    <m/>
    <m/>
    <m/>
    <m/>
    <m/>
    <m/>
    <m/>
    <m/>
    <m/>
    <m/>
    <m/>
    <m/>
    <m/>
  </r>
  <r>
    <s v="13/04/2026 13:12:26"/>
    <s v="04-13_13-12-26_multihead_1heads_run0_spsa_serial_f5_w5_h5_effsu2_lin_r1.pkl"/>
    <x v="0"/>
    <s v="Best (Lowest Val Loss)"/>
    <s v="data/reduce_row_number_absolutes"/>
    <n v="16590"/>
    <n v="4.5"/>
    <x v="4"/>
    <s v="['Surge Velocity']"/>
    <n v="5"/>
    <n v="5"/>
    <s v="custom"/>
    <b v="1"/>
    <b v="0"/>
    <b v="0"/>
    <s v="multihead"/>
    <s v="[{'features': ['sv', 'ya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4.1356357417577802E-2"/>
    <n v="4.4064056795776003E-3"/>
    <n v="0.94058239747005257"/>
    <n v="-5.943632776126389"/>
    <n v="6.6953709350771997E-3"/>
    <n v="0.9513829501743386"/>
    <n v="6.6953709350771997E-3"/>
    <n v="6.6953709350771997E-3"/>
    <n v="0.9513829501743386"/>
    <n v="0.55391607538894794"/>
    <n v="-3.0221468978415178"/>
    <n v="0.2"/>
    <s v="identity"/>
    <n v="6.6953709350771997E-3"/>
    <n v="0.9513829501743386"/>
    <n v="6.6953709350771997E-3"/>
    <n v="6.6953709350771997E-3"/>
    <n v="0.9513829501743386"/>
    <n v="0.55391607538894794"/>
    <n v="-3.0221468978415178"/>
    <m/>
    <m/>
    <m/>
    <m/>
    <m/>
    <m/>
    <m/>
    <m/>
    <m/>
    <m/>
    <m/>
    <m/>
    <m/>
    <m/>
    <m/>
    <m/>
    <m/>
    <m/>
    <m/>
    <m/>
    <m/>
  </r>
  <r>
    <s v="13/04/2026 13:12:48"/>
    <s v="04-13_13-12-48_multihead_1heads_run1_spsa_serial_f5_w5_h5_effsu2_lin_r1.pkl"/>
    <x v="1"/>
    <s v="Best (Lowest Val Loss)"/>
    <s v="data/reduce_row_number_absolutes"/>
    <n v="16590"/>
    <n v="4.5"/>
    <x v="4"/>
    <s v="['Surge Velocity']"/>
    <n v="5"/>
    <n v="5"/>
    <s v="custom"/>
    <b v="1"/>
    <b v="0"/>
    <b v="0"/>
    <s v="multihead"/>
    <s v="[{'features': ['sv', 'ya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6.5442730545513403E-2"/>
    <n v="3.4912252116685999E-3"/>
    <n v="0.95292302909582716"/>
    <n v="-6.720486950231078"/>
    <n v="5.9732603236203E-3"/>
    <n v="0.95662640687259459"/>
    <n v="5.9732603236203E-3"/>
    <n v="5.9732603236203E-3"/>
    <n v="0.95662640687259459"/>
    <n v="0.60832734435999769"/>
    <n v="-3.417243062085995"/>
    <n v="0.2"/>
    <s v="identity"/>
    <n v="5.9732603236203E-3"/>
    <n v="0.95662640687259459"/>
    <n v="5.9732603236203E-3"/>
    <n v="5.9732603236203E-3"/>
    <n v="0.95662640687259459"/>
    <n v="0.60832734435999769"/>
    <n v="-3.417243062085995"/>
    <m/>
    <m/>
    <m/>
    <m/>
    <m/>
    <m/>
    <m/>
    <m/>
    <m/>
    <m/>
    <m/>
    <m/>
    <m/>
    <m/>
    <m/>
    <m/>
    <m/>
    <m/>
    <m/>
    <m/>
    <m/>
  </r>
  <r>
    <s v="13/04/2026 13:12:59"/>
    <s v="04-13_13-12-59_multihead_1heads_run2_spsa_serial_f5_w5_h5_effsu2_lin_r1.pkl"/>
    <x v="2"/>
    <s v="Final (Last Iteration)"/>
    <s v="data/reduce_row_number_absolutes"/>
    <n v="16590"/>
    <n v="4.5"/>
    <x v="4"/>
    <s v="['Surge Velocity']"/>
    <n v="5"/>
    <n v="5"/>
    <s v="custom"/>
    <b v="1"/>
    <b v="0"/>
    <b v="0"/>
    <s v="multihead"/>
    <s v="[{'features': ['sv', 'ya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4.6559339776947803E-2"/>
    <n v="4.0755958137761996E-3"/>
    <n v="0.94504315994825039"/>
    <n v="-3.2663392408890481"/>
    <n v="6.3314104195300001E-3"/>
    <n v="0.95402577410306644"/>
    <n v="6.3314104195300001E-3"/>
    <n v="6.3314104195300001E-3"/>
    <n v="0.95402577410306644"/>
    <n v="0.40761772268673679"/>
    <n v="-1.9598316995195739"/>
    <n v="0.2"/>
    <s v="identity"/>
    <n v="6.3314104195300001E-3"/>
    <n v="0.95402577410306644"/>
    <n v="6.3314104195300001E-3"/>
    <n v="6.3314104195300001E-3"/>
    <n v="0.95402577410306644"/>
    <n v="0.40761772268673679"/>
    <n v="-1.9598316995195739"/>
    <m/>
    <m/>
    <m/>
    <m/>
    <m/>
    <m/>
    <m/>
    <m/>
    <m/>
    <m/>
    <m/>
    <m/>
    <m/>
    <m/>
    <m/>
    <m/>
    <m/>
    <m/>
    <m/>
    <m/>
    <m/>
  </r>
  <r>
    <s v="13/04/2026 13:26:44"/>
    <s v="04-13_13-26-44_multihead_1heads_run3_spsa_serial_f5_w5_h5_effsu2_lin_r1.pkl"/>
    <x v="3"/>
    <s v="Best (Lowest Val Loss)"/>
    <s v="data/reduce_row_number_absolutes"/>
    <n v="16590"/>
    <n v="4.5"/>
    <x v="4"/>
    <s v="['Surge Velocity']"/>
    <n v="5"/>
    <n v="5"/>
    <s v="custom"/>
    <b v="1"/>
    <b v="0"/>
    <b v="0"/>
    <s v="multihead"/>
    <s v="[{'features': ['sv', 'ya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4.67602274700719E-2"/>
    <n v="4.5236611721979E-3"/>
    <n v="0.93900128107687675"/>
    <n v="-3.2490856473935068"/>
    <n v="6.5172250356168001E-3"/>
    <n v="0.95267651973968281"/>
    <n v="6.5172250356168001E-3"/>
    <n v="6.5172250356168001E-3"/>
    <n v="0.95267651973968281"/>
    <n v="0.40776424387971882"/>
    <n v="-1.96089563282645"/>
    <n v="0.2"/>
    <s v="identity"/>
    <n v="6.5172250356168001E-3"/>
    <n v="0.95267651973968281"/>
    <n v="6.5172250356168001E-3"/>
    <n v="6.5172250356168001E-3"/>
    <n v="0.95267651973968281"/>
    <n v="0.40776424387971882"/>
    <n v="-1.96089563282645"/>
    <m/>
    <m/>
    <m/>
    <m/>
    <m/>
    <m/>
    <m/>
    <m/>
    <m/>
    <m/>
    <m/>
    <m/>
    <m/>
    <m/>
    <m/>
    <m/>
    <m/>
    <m/>
    <m/>
    <m/>
    <m/>
  </r>
  <r>
    <s v="13/04/2026 13:26:44"/>
    <s v="04-13_13-26-44_multihead_1heads_run4_spsa_serial_f5_w5_h5_effsu2_lin_r1.pkl"/>
    <x v="4"/>
    <s v="Best (Lowest Val Loss)"/>
    <s v="data/reduce_row_number_absolutes"/>
    <n v="16590"/>
    <n v="4.5"/>
    <x v="4"/>
    <s v="['Surge Velocity']"/>
    <n v="5"/>
    <n v="5"/>
    <s v="custom"/>
    <b v="1"/>
    <b v="0"/>
    <b v="0"/>
    <s v="multihead"/>
    <s v="[{'features': ['sv', 'ya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3.1497212651004199E-2"/>
    <n v="3.8996938025912002E-3"/>
    <n v="0.94741508767003202"/>
    <n v="-3.369553338812429"/>
    <n v="6.6751499238406004E-3"/>
    <n v="0.95152978086084561"/>
    <n v="6.6751499238406004E-3"/>
    <n v="6.6751499238406004E-3"/>
    <n v="0.95152978086084561"/>
    <n v="0.41627628981048731"/>
    <n v="-2.0227040920062729"/>
    <n v="0.2"/>
    <s v="identity"/>
    <n v="6.6751499238406004E-3"/>
    <n v="0.95152978086084561"/>
    <n v="6.6751499238406004E-3"/>
    <n v="6.6751499238406004E-3"/>
    <n v="0.95152978086084561"/>
    <n v="0.41627628981048731"/>
    <n v="-2.0227040920062729"/>
    <m/>
    <m/>
    <m/>
    <m/>
    <m/>
    <m/>
    <m/>
    <m/>
    <m/>
    <m/>
    <m/>
    <m/>
    <m/>
    <m/>
    <m/>
    <m/>
    <m/>
    <m/>
    <m/>
    <m/>
    <m/>
  </r>
  <r>
    <s v="13/04/2026 13:26:51"/>
    <s v="04-13_13-26-51_multihead_1heads_run5_spsa_serial_f5_w5_h5_effsu2_lin_r1.pkl"/>
    <x v="5"/>
    <s v="Best (Lowest Val Loss)"/>
    <s v="data/reduce_row_number_absolutes"/>
    <n v="16590"/>
    <n v="4.5"/>
    <x v="4"/>
    <s v="['Surge Velocity']"/>
    <n v="5"/>
    <n v="5"/>
    <s v="custom"/>
    <b v="1"/>
    <b v="0"/>
    <b v="0"/>
    <s v="multihead"/>
    <s v="[{'features': ['sv', 'ya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4.22918555364033E-2"/>
    <n v="4.1705856913068998E-3"/>
    <n v="0.94376228133699458"/>
    <n v="-3.232353256881987"/>
    <n v="6.0369559115413E-3"/>
    <n v="0.95616389454853379"/>
    <n v="6.0369559115413E-3"/>
    <n v="6.0369559115413E-3"/>
    <n v="0.95616389454853379"/>
    <n v="0.4058425321846465"/>
    <n v="-1.9469415212266861"/>
    <n v="0.2"/>
    <s v="identity"/>
    <n v="6.0369559115413E-3"/>
    <n v="0.95616389454853379"/>
    <n v="6.0369559115413E-3"/>
    <n v="6.0369559115413E-3"/>
    <n v="0.95616389454853379"/>
    <n v="0.4058425321846465"/>
    <n v="-1.9469415212266861"/>
    <m/>
    <m/>
    <m/>
    <m/>
    <m/>
    <m/>
    <m/>
    <m/>
    <m/>
    <m/>
    <m/>
    <m/>
    <m/>
    <m/>
    <m/>
    <m/>
    <m/>
    <m/>
    <m/>
    <m/>
    <m/>
  </r>
  <r>
    <s v="13/04/2026 13:26:53"/>
    <s v="04-13_13-26-53_multihead_1heads_run6_spsa_serial_f5_w5_h5_effsu2_lin_r1.pkl"/>
    <x v="6"/>
    <s v="Final (Last Iteration)"/>
    <s v="data/reduce_row_number_absolutes"/>
    <n v="16590"/>
    <n v="4.5"/>
    <x v="4"/>
    <s v="['Surge Velocity']"/>
    <n v="5"/>
    <n v="5"/>
    <s v="custom"/>
    <b v="1"/>
    <b v="0"/>
    <b v="0"/>
    <s v="multihead"/>
    <s v="[{'features': ['sv', 'ya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4.6492460619877503E-2"/>
    <n v="4.0437594057549002E-3"/>
    <n v="0.94547245383885925"/>
    <n v="-3.0881927765035391"/>
    <n v="6.5529998511838997E-3"/>
    <n v="0.95241674832331258"/>
    <n v="6.5529998511838997E-3"/>
    <n v="6.5529998511838997E-3"/>
    <n v="0.95241674832331258"/>
    <n v="0.39279413758873261"/>
    <n v="-1.8521933054271811"/>
    <n v="0.2"/>
    <s v="identity"/>
    <n v="6.5529998511838997E-3"/>
    <n v="0.95241674832331258"/>
    <n v="6.5529998511838997E-3"/>
    <n v="6.5529998511838997E-3"/>
    <n v="0.95241674832331258"/>
    <n v="0.39279413758873261"/>
    <n v="-1.8521933054271811"/>
    <m/>
    <m/>
    <m/>
    <m/>
    <m/>
    <m/>
    <m/>
    <m/>
    <m/>
    <m/>
    <m/>
    <m/>
    <m/>
    <m/>
    <m/>
    <m/>
    <m/>
    <m/>
    <m/>
    <m/>
    <m/>
  </r>
  <r>
    <s v="13/04/2026 13:26:54"/>
    <s v="04-13_13-26-54_multihead_1heads_run7_spsa_serial_f5_w5_h5_effsu2_lin_r1.pkl"/>
    <x v="7"/>
    <s v="Final (Last Iteration)"/>
    <s v="data/reduce_row_number_absolutes"/>
    <n v="16590"/>
    <n v="4.5"/>
    <x v="4"/>
    <s v="['Surge Velocity']"/>
    <n v="5"/>
    <n v="5"/>
    <s v="custom"/>
    <b v="1"/>
    <b v="0"/>
    <b v="0"/>
    <s v="multihead"/>
    <s v="[{'features': ['sv', 'ya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4.58081512344376E-2"/>
    <n v="4.4358449212779996E-3"/>
    <n v="0.94018542785596459"/>
    <n v="-3.226840366164808"/>
    <n v="6.4237883071016997E-3"/>
    <n v="0.95335499119851796"/>
    <n v="6.4237883071016997E-3"/>
    <n v="6.4237883071016997E-3"/>
    <n v="0.95335499119851796"/>
    <n v="0.40444315665304259"/>
    <n v="-1.9367802455327039"/>
    <n v="0.2"/>
    <s v="identity"/>
    <n v="6.4237883071016997E-3"/>
    <n v="0.95335499119851796"/>
    <n v="6.4237883071016997E-3"/>
    <n v="6.4237883071016997E-3"/>
    <n v="0.95335499119851796"/>
    <n v="0.40444315665304259"/>
    <n v="-1.9367802455327039"/>
    <m/>
    <m/>
    <m/>
    <m/>
    <m/>
    <m/>
    <m/>
    <m/>
    <m/>
    <m/>
    <m/>
    <m/>
    <m/>
    <m/>
    <m/>
    <m/>
    <m/>
    <m/>
    <m/>
    <m/>
    <m/>
  </r>
  <r>
    <s v="13/04/2026 13:26:55"/>
    <s v="04-13_13-26-55_multihead_1heads_run8_spsa_serial_f5_w5_h5_effsu2_lin_r1.pkl"/>
    <x v="8"/>
    <s v="Final (Last Iteration)"/>
    <s v="data/reduce_row_number_absolutes"/>
    <n v="16590"/>
    <n v="4.5"/>
    <x v="4"/>
    <s v="['Surge Velocity']"/>
    <n v="5"/>
    <n v="5"/>
    <s v="custom"/>
    <b v="1"/>
    <b v="0"/>
    <b v="0"/>
    <s v="multihead"/>
    <s v="[{'features': ['sv', 'ya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3.4956794063035E-2"/>
    <n v="3.9841992003671004E-3"/>
    <n v="0.94627558565823278"/>
    <n v="-3.1966747694990598"/>
    <n v="6.1016717844205003E-3"/>
    <n v="0.955693973636491"/>
    <n v="6.1016717844205003E-3"/>
    <n v="6.1016717844205003E-3"/>
    <n v="0.955693973636491"/>
    <n v="0.40540810893500773"/>
    <n v="-1.94378704674306"/>
    <n v="0.2"/>
    <s v="identity"/>
    <n v="6.1016717844205003E-3"/>
    <n v="0.955693973636491"/>
    <n v="6.1016717844205003E-3"/>
    <n v="6.1016717844205003E-3"/>
    <n v="0.955693973636491"/>
    <n v="0.40540810893500773"/>
    <n v="-1.94378704674306"/>
    <m/>
    <m/>
    <m/>
    <m/>
    <m/>
    <m/>
    <m/>
    <m/>
    <m/>
    <m/>
    <m/>
    <m/>
    <m/>
    <m/>
    <m/>
    <m/>
    <m/>
    <m/>
    <m/>
    <m/>
    <m/>
  </r>
  <r>
    <s v="13/04/2026 13:27:03"/>
    <s v="04-13_13-27-03_multihead_1heads_run9_spsa_serial_f5_w5_h5_effsu2_lin_r1.pkl"/>
    <x v="9"/>
    <s v="Best (Lowest Val Loss)"/>
    <s v="data/reduce_row_number_absolutes"/>
    <n v="16590"/>
    <n v="4.5"/>
    <x v="4"/>
    <s v="['Surge Velocity']"/>
    <n v="5"/>
    <n v="5"/>
    <s v="custom"/>
    <b v="1"/>
    <b v="0"/>
    <b v="0"/>
    <s v="multihead"/>
    <s v="[{'features': ['sv', 'ya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3.75740631787988E-2"/>
    <n v="3.9955206500965996E-3"/>
    <n v="0.94612292304634316"/>
    <n v="-3.326710336346216"/>
    <n v="5.7286311525531E-3"/>
    <n v="0.95840273094991701"/>
    <n v="5.7286311525531E-3"/>
    <n v="5.7286311525531E-3"/>
    <n v="0.95840273094991701"/>
    <n v="0.41262990165824048"/>
    <n v="-1.996226599392275"/>
    <n v="0.2"/>
    <s v="identity"/>
    <n v="5.7286311525531E-3"/>
    <n v="0.95840273094991701"/>
    <n v="5.7286311525531E-3"/>
    <n v="5.7286311525531E-3"/>
    <n v="0.95840273094991701"/>
    <n v="0.41262990165824048"/>
    <n v="-1.996226599392275"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5928CCC-B196-44D0-BD64-09B43FDADD25}" name="TablaDinámica1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1:D7" firstHeaderRow="0" firstDataRow="1" firstDataCol="1"/>
  <pivotFields count="76">
    <pivotField showAll="0"/>
    <pivotField dataField="1" showAll="0"/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/>
    <pivotField showAll="0"/>
    <pivotField axis="axisRow" showAll="0" sortType="descending">
      <items count="6">
        <item sd="0" x="0"/>
        <item sd="0" x="3"/>
        <item sd="0" x="4"/>
        <item sd="0" x="2"/>
        <item sd="0" x="1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7"/>
    <field x="2"/>
  </rowFields>
  <rowItems count="6">
    <i>
      <x v="1"/>
    </i>
    <i>
      <x v="3"/>
    </i>
    <i>
      <x v="2"/>
    </i>
    <i>
      <x v="4"/>
    </i>
    <i>
      <x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Promedio de global open R2" fld="43" subtotal="average" baseField="7" baseItem="0"/>
    <dataField name="Promedio de global closed R2" fld="45" subtotal="average" baseField="7" baseItem="0"/>
    <dataField name="Cuenta de model_id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F279F-ED28-48E3-9EDA-6E0BA6486494}" name="Tabla1" displayName="Tabla1" ref="A1:BX51" totalsRowShown="0" headerRowDxfId="2" headerRowBorderDxfId="1" tableBorderDxfId="0">
  <autoFilter ref="A1:BX51" xr:uid="{1F6F279F-ED28-48E3-9EDA-6E0BA6486494}"/>
  <tableColumns count="76">
    <tableColumn id="1" xr3:uid="{D03A2B02-A3B4-41A1-A575-9A48207EA8EA}" name="date"/>
    <tableColumn id="2" xr3:uid="{6AB2BAE4-3373-4E47-9030-808EF0DC8A6A}" name="model_id"/>
    <tableColumn id="3" xr3:uid="{96E77E54-FA6E-4C0C-BE60-639E066D1CFE}" name="run"/>
    <tableColumn id="4" xr3:uid="{0C4AC0D6-4964-4446-B55A-3BB63FAFEC5D}" name="weight_selection"/>
    <tableColumn id="5" xr3:uid="{93BFE9F0-B04E-41A4-85EF-AFA8ABAA5808}" name="data"/>
    <tableColumn id="6" xr3:uid="{5644D68C-6FF1-45EF-8F6A-54368334F9DC}" name="data_n"/>
    <tableColumn id="7" xr3:uid="{130E21A4-302E-4F36-8ED7-3FA40820106C}" name="data_dt"/>
    <tableColumn id="8" xr3:uid="{AA28A524-B285-42BD-968F-5E3101C34E7B}" name="features"/>
    <tableColumn id="9" xr3:uid="{5B0B34DD-C139-4173-B160-B3A7A23CC774}" name="targets"/>
    <tableColumn id="10" xr3:uid="{B643D272-03C7-42F7-92EF-58D2A057B722}" name="window_size"/>
    <tableColumn id="11" xr3:uid="{9F45491B-B2AD-4DB1-9171-C8BE0A621008}" name="horizon"/>
    <tableColumn id="12" xr3:uid="{B093CE75-F1AF-42F1-910B-234A9F397FC5}" name="predict"/>
    <tableColumn id="13" xr3:uid="{FB5D9045-51E4-43E7-BB98-E8B5E73946CF}" name="norm"/>
    <tableColumn id="14" xr3:uid="{6F53C67D-348A-4977-9995-0FFD5CEBDA4F}" name="reconstruct_train"/>
    <tableColumn id="15" xr3:uid="{E1A78E65-AEB3-4C9E-B37B-F92A5AF816FE}" name="reconstruct_val"/>
    <tableColumn id="16" xr3:uid="{57F240E0-ED94-402E-8EE3-5B869A464E5E}" name="model"/>
    <tableColumn id="17" xr3:uid="{F0855EF9-5DEA-4A0A-BA64-EB6C10730299}" name="heads_config"/>
    <tableColumn id="18" xr3:uid="{354B92FA-10E0-4FD7-A45B-9C49137480C5}" name="head_number"/>
    <tableColumn id="19" xr3:uid="{70E55FCD-27C5-40E8-A0A7-FDC9605ABCA7}" name="encoding"/>
    <tableColumn id="20" xr3:uid="{C317A6F7-F3AF-4CFA-973A-6465E9303812}" name="ansatz"/>
    <tableColumn id="21" xr3:uid="{E3FACFBB-0379-4278-88CD-0CFBB8FDBD74}" name="entangle"/>
    <tableColumn id="22" xr3:uid="{FE6A82D4-E935-449A-9A8E-65504650100D}" name="reps"/>
    <tableColumn id="23" xr3:uid="{E0C0FF76-D1E8-43EC-8C24-1754686B7F1C}" name="map"/>
    <tableColumn id="24" xr3:uid="{11AD0AFD-0805-4DAA-9985-F922720C0329}" name="reorder"/>
    <tableColumn id="25" xr3:uid="{BCAFE390-4FB7-4FB5-B5A2-C135345F7333}" name="optimizer"/>
    <tableColumn id="26" xr3:uid="{FBA01708-A659-4B02-AA70-0196244937EE}" name="maxiter"/>
    <tableColumn id="27" xr3:uid="{38859312-4598-470D-819E-3BD64993F113}" name="iterations"/>
    <tableColumn id="28" xr3:uid="{A996E4BC-905F-4344-8036-540E3BF48CE1}" name="tolerance"/>
    <tableColumn id="29" xr3:uid="{ED8DB425-9A5A-4151-9B6E-0254D4817EFA}" name="batch_size"/>
    <tableColumn id="30" xr3:uid="{449C5C30-9E21-42CE-8769-0A3CBB393636}" name="learning_rate"/>
    <tableColumn id="31" xr3:uid="{E7AE4895-D1F1-485E-9F0D-B0084914C122}" name="perturbation"/>
    <tableColumn id="32" xr3:uid="{CD99EC0D-5119-4C46-8209-1C777ABE0A87}" name="weights"/>
    <tableColumn id="33" xr3:uid="{45E41ECE-5504-403C-BEAE-C37617ED0154}" name="total params"/>
    <tableColumn id="34" xr3:uid="{072345FF-8E98-4ED7-BF06-D41DBDD36E74}" name="q params"/>
    <tableColumn id="35" xr3:uid="{28D3C9A4-CB32-41F6-BB69-970594C91462}" name="c params"/>
    <tableColumn id="36" xr3:uid="{16EDC0AC-D826-401B-801C-BD0DF13544AC}" name="final val loss"/>
    <tableColumn id="37" xr3:uid="{89DA2215-96CF-4312-9280-15A24951AF28}" name="Val Global Open MSE"/>
    <tableColumn id="38" xr3:uid="{56E74717-2A69-40CC-A236-49B681CECD87}" name="Val Global Open R2"/>
    <tableColumn id="39" xr3:uid="{42125E30-5549-4C69-9122-CDA1D5385FB5}" name="Val Global Closed R2"/>
    <tableColumn id="40" xr3:uid="{8D0BCD37-E66A-441F-9C0F-560C910F1F12}" name="step MSE"/>
    <tableColumn id="41" xr3:uid="{10C5170B-045A-42ED-A643-80AFBA2EBBE4}" name="step R2"/>
    <tableColumn id="42" xr3:uid="{EA2F43ED-E2C9-4E0A-83D2-A7BA355EE1CF}" name="local MSE"/>
    <tableColumn id="43" xr3:uid="{74A4C2CE-346E-4D9D-A628-E01AFB0A0D8B}" name="global open MSE"/>
    <tableColumn id="44" xr3:uid="{D7CE3A36-0B41-4610-89FE-DE887AF042D5}" name="global open R2"/>
    <tableColumn id="45" xr3:uid="{ED709651-40F5-4878-B965-529E1A5F6637}" name="global closed MSE"/>
    <tableColumn id="46" xr3:uid="{25BCDA34-CE41-4568-B638-9B8457C026AA}" name="global closed R2"/>
    <tableColumn id="47" xr3:uid="{57AF6792-329D-4E46-B3C2-7DFE8DB7B37B}" name="recursivity"/>
    <tableColumn id="48" xr3:uid="{F7A82975-5E4D-48D5-8CCA-B6EF0BC6763D}" name="initialization"/>
    <tableColumn id="49" xr3:uid="{625ECE79-7FB4-464B-8939-C76E5DC1489E}" name="Surge Velocity Step MSE"/>
    <tableColumn id="50" xr3:uid="{BC5B53DC-EE5C-4A95-A347-7A98BCA8D0E5}" name="Surge Velocity Step R2"/>
    <tableColumn id="51" xr3:uid="{13C4CEC1-F483-46D2-A70A-8A2554E3FA56}" name="Surge Velocity Local MSE"/>
    <tableColumn id="52" xr3:uid="{B48B5E2B-1452-4D5A-8DBC-1E41D4EA6EC9}" name="Surge Velocity Global open MSE"/>
    <tableColumn id="53" xr3:uid="{DDBC3035-7D38-4035-808A-3A396B525775}" name="Surge Velocity Global open R2"/>
    <tableColumn id="54" xr3:uid="{5F2A08F4-26AD-4AD1-AAD7-A784D3E21068}" name="Surge Velocity Global closed MSE"/>
    <tableColumn id="55" xr3:uid="{0A4EA9BF-F3E8-4ABE-895A-32815952018F}" name="Surge Velocity Global closed R2"/>
    <tableColumn id="56" xr3:uid="{26F0BE2D-E4E4-496B-B382-5118D9DC4F56}" name="Sway Velocity Step MSE"/>
    <tableColumn id="57" xr3:uid="{D1B78257-41CD-4596-96BE-C25D1FBB52D6}" name="Sway Velocity Step R2"/>
    <tableColumn id="58" xr3:uid="{2941D2D3-9113-441F-8E1A-B1A13288C90D}" name="Sway Velocity Local MSE"/>
    <tableColumn id="59" xr3:uid="{ABD17F9F-70B4-4705-B931-52B9CA6E5311}" name="Sway Velocity Global open MSE"/>
    <tableColumn id="60" xr3:uid="{5437A958-A58D-4926-BBAB-CB0971F83D71}" name="Sway Velocity Global open R2"/>
    <tableColumn id="61" xr3:uid="{CA604E5B-3346-4D69-8EE8-13FBD7AACD1D}" name="Sway Velocity Global closed MSE"/>
    <tableColumn id="62" xr3:uid="{047F00C2-4B15-4210-938C-C4A7A240DD0A}" name="Sway Velocity Global closed R2"/>
    <tableColumn id="63" xr3:uid="{7B56211E-E270-4A48-A2D3-75645484E73A}" name="Yaw Rate Step MSE"/>
    <tableColumn id="64" xr3:uid="{BAE16563-1394-4EAE-9F9E-1A06FD667A03}" name="Yaw Rate Step R2"/>
    <tableColumn id="65" xr3:uid="{03AE3D63-9D73-4EBD-9A34-9FB8EE743FEF}" name="Yaw Rate Local MSE"/>
    <tableColumn id="66" xr3:uid="{4D46D847-6B9F-46E0-B277-21942732A56F}" name="Yaw Rate Global open MSE"/>
    <tableColumn id="67" xr3:uid="{190824E1-13F3-4EFA-9D91-767B311A1F41}" name="Yaw Rate Global open R2"/>
    <tableColumn id="68" xr3:uid="{213E44DD-164B-48DE-A122-E6D43B14C6B5}" name="Yaw Rate Global closed MSE"/>
    <tableColumn id="69" xr3:uid="{56FC22D9-53CD-4923-A262-2224B21AB0CC}" name="Yaw Rate Global closed R2"/>
    <tableColumn id="70" xr3:uid="{2598A909-E5B3-4490-83A8-062A6856F8E2}" name="Yaw Angle Step MSE"/>
    <tableColumn id="71" xr3:uid="{61C43050-DB30-4E03-ADCD-B515BC283624}" name="Yaw Angle Step R2"/>
    <tableColumn id="72" xr3:uid="{D7E5E79F-061F-4C0D-88F2-2E0F60D7A48C}" name="Yaw Angle Local MSE"/>
    <tableColumn id="73" xr3:uid="{2854E589-A105-4168-8F41-C6FCCC5C96D6}" name="Yaw Angle Global open MSE"/>
    <tableColumn id="74" xr3:uid="{8E343273-5E0B-4E8E-B47C-5080FB5A820F}" name="Yaw Angle Global open R2"/>
    <tableColumn id="75" xr3:uid="{AEE4C515-751E-4E7F-AA2F-B709BB84188B}" name="Yaw Angle Global closed MSE"/>
    <tableColumn id="76" xr3:uid="{02E5A23F-72FC-421A-96C4-7A785B873195}" name="Yaw Angle Global closed R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X51"/>
  <sheetViews>
    <sheetView tabSelected="1" workbookViewId="0">
      <selection activeCell="H12" sqref="A2:BX51"/>
    </sheetView>
  </sheetViews>
  <sheetFormatPr baseColWidth="10" defaultColWidth="8.88671875" defaultRowHeight="14.4" x14ac:dyDescent="0.3"/>
  <cols>
    <col min="2" max="2" width="11.109375" customWidth="1"/>
    <col min="4" max="4" width="17.77734375" customWidth="1"/>
    <col min="7" max="7" width="9.44140625" customWidth="1"/>
    <col min="8" max="8" width="10.109375" customWidth="1"/>
    <col min="10" max="10" width="14.21875" customWidth="1"/>
    <col min="11" max="11" width="9.44140625" customWidth="1"/>
    <col min="12" max="12" width="9" customWidth="1"/>
    <col min="14" max="14" width="17.6640625" customWidth="1"/>
    <col min="15" max="15" width="16.109375" customWidth="1"/>
    <col min="17" max="17" width="14.33203125" customWidth="1"/>
    <col min="18" max="18" width="15" customWidth="1"/>
    <col min="19" max="19" width="10.88671875" customWidth="1"/>
    <col min="21" max="21" width="10.5546875" customWidth="1"/>
    <col min="24" max="24" width="9.44140625" customWidth="1"/>
    <col min="25" max="25" width="11.21875" customWidth="1"/>
    <col min="26" max="26" width="9.5546875" customWidth="1"/>
    <col min="27" max="27" width="11.21875" customWidth="1"/>
    <col min="28" max="28" width="11.109375" customWidth="1"/>
    <col min="29" max="29" width="12" customWidth="1"/>
    <col min="30" max="30" width="14.44140625" customWidth="1"/>
    <col min="31" max="31" width="13.88671875" customWidth="1"/>
    <col min="32" max="32" width="9.77734375" customWidth="1"/>
    <col min="33" max="33" width="13.6640625" customWidth="1"/>
    <col min="34" max="34" width="10.6640625" customWidth="1"/>
    <col min="35" max="35" width="10.44140625" customWidth="1"/>
    <col min="36" max="36" width="13.44140625" customWidth="1"/>
    <col min="37" max="37" width="21.109375" customWidth="1"/>
    <col min="38" max="38" width="19.44140625" customWidth="1"/>
    <col min="39" max="39" width="20.5546875" customWidth="1"/>
    <col min="40" max="40" width="10.88671875" customWidth="1"/>
    <col min="41" max="41" width="9.21875" customWidth="1"/>
    <col min="42" max="42" width="11.109375" customWidth="1"/>
    <col min="43" max="43" width="17.21875" customWidth="1"/>
    <col min="44" max="44" width="15.5546875" customWidth="1"/>
    <col min="45" max="45" width="18.33203125" customWidth="1"/>
    <col min="46" max="46" width="16.6640625" customWidth="1"/>
    <col min="47" max="47" width="12" customWidth="1"/>
    <col min="48" max="48" width="13.77734375" customWidth="1"/>
    <col min="49" max="49" width="23.77734375" customWidth="1"/>
    <col min="50" max="50" width="22.109375" customWidth="1"/>
    <col min="51" max="51" width="24.21875" customWidth="1"/>
    <col min="52" max="52" width="30.44140625" customWidth="1"/>
    <col min="53" max="53" width="28.77734375" customWidth="1"/>
    <col min="54" max="54" width="31.5546875" customWidth="1"/>
    <col min="55" max="55" width="29.88671875" customWidth="1"/>
    <col min="56" max="56" width="23.33203125" customWidth="1"/>
    <col min="57" max="57" width="21.6640625" customWidth="1"/>
    <col min="58" max="58" width="23.77734375" customWidth="1"/>
    <col min="59" max="59" width="30" customWidth="1"/>
    <col min="60" max="60" width="28.33203125" customWidth="1"/>
    <col min="61" max="61" width="31.109375" customWidth="1"/>
    <col min="62" max="62" width="29.44140625" customWidth="1"/>
    <col min="63" max="63" width="19.33203125" customWidth="1"/>
    <col min="64" max="64" width="17.6640625" customWidth="1"/>
    <col min="65" max="65" width="19.77734375" customWidth="1"/>
    <col min="66" max="66" width="26" customWidth="1"/>
    <col min="67" max="67" width="24.33203125" customWidth="1"/>
    <col min="68" max="68" width="27.109375" customWidth="1"/>
    <col min="69" max="69" width="25.44140625" customWidth="1"/>
    <col min="70" max="70" width="20.44140625" customWidth="1"/>
    <col min="71" max="71" width="18.77734375" customWidth="1"/>
    <col min="72" max="72" width="20.88671875" customWidth="1"/>
    <col min="73" max="73" width="27.109375" customWidth="1"/>
    <col min="74" max="74" width="25.44140625" customWidth="1"/>
    <col min="75" max="75" width="28.21875" customWidth="1"/>
    <col min="76" max="76" width="26.5546875" customWidth="1"/>
  </cols>
  <sheetData>
    <row r="1" spans="1:7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</row>
    <row r="2" spans="1:76" x14ac:dyDescent="0.3">
      <c r="A2" t="s">
        <v>76</v>
      </c>
      <c r="B2" t="s">
        <v>77</v>
      </c>
      <c r="C2">
        <v>0</v>
      </c>
      <c r="D2" t="s">
        <v>78</v>
      </c>
      <c r="E2" t="s">
        <v>79</v>
      </c>
      <c r="F2">
        <v>16590</v>
      </c>
      <c r="G2">
        <v>4.5</v>
      </c>
      <c r="H2" t="s">
        <v>80</v>
      </c>
      <c r="I2" t="s">
        <v>81</v>
      </c>
      <c r="J2">
        <v>5</v>
      </c>
      <c r="K2">
        <v>5</v>
      </c>
      <c r="L2" t="s">
        <v>82</v>
      </c>
      <c r="M2" t="b">
        <v>1</v>
      </c>
      <c r="N2" t="b">
        <v>0</v>
      </c>
      <c r="O2" t="b">
        <v>0</v>
      </c>
      <c r="P2" t="s">
        <v>83</v>
      </c>
      <c r="Q2" t="s">
        <v>84</v>
      </c>
      <c r="R2">
        <v>1</v>
      </c>
      <c r="S2" t="s">
        <v>85</v>
      </c>
      <c r="T2" t="s">
        <v>86</v>
      </c>
      <c r="U2" t="s">
        <v>87</v>
      </c>
      <c r="V2">
        <v>1</v>
      </c>
      <c r="W2" t="s">
        <v>88</v>
      </c>
      <c r="X2" t="b">
        <v>0</v>
      </c>
      <c r="Y2" t="s">
        <v>89</v>
      </c>
      <c r="Z2">
        <v>4000</v>
      </c>
      <c r="AA2">
        <v>4000</v>
      </c>
      <c r="AC2">
        <v>256</v>
      </c>
      <c r="AD2" t="s">
        <v>90</v>
      </c>
      <c r="AE2">
        <v>0.15</v>
      </c>
      <c r="AF2" t="s">
        <v>91</v>
      </c>
      <c r="AG2">
        <v>40</v>
      </c>
      <c r="AH2">
        <v>10</v>
      </c>
      <c r="AI2">
        <v>30</v>
      </c>
      <c r="AJ2">
        <v>6.82711614323252E-2</v>
      </c>
      <c r="AK2">
        <v>8.9148656556650007E-3</v>
      </c>
      <c r="AL2">
        <v>0.87978865709274578</v>
      </c>
      <c r="AM2">
        <v>-0.26992088130024289</v>
      </c>
      <c r="AN2">
        <v>9.4519074967089004E-3</v>
      </c>
      <c r="AO2">
        <v>0.93136693064941622</v>
      </c>
      <c r="AP2">
        <v>9.4519074967089004E-3</v>
      </c>
      <c r="AQ2">
        <v>9.4519074967089004E-3</v>
      </c>
      <c r="AR2">
        <v>0.93136693064941622</v>
      </c>
      <c r="AS2">
        <v>0.15433829401027441</v>
      </c>
      <c r="AT2">
        <v>-0.12069556752922379</v>
      </c>
      <c r="AU2">
        <v>0.2</v>
      </c>
      <c r="AV2" t="s">
        <v>92</v>
      </c>
      <c r="AW2">
        <v>9.4519074967089004E-3</v>
      </c>
      <c r="AX2">
        <v>0.93136693064941622</v>
      </c>
      <c r="AY2">
        <v>9.4519074967089004E-3</v>
      </c>
      <c r="AZ2">
        <v>9.4519074967089004E-3</v>
      </c>
      <c r="BA2">
        <v>0.93136693064941622</v>
      </c>
      <c r="BB2">
        <v>0.15433829401027441</v>
      </c>
      <c r="BC2">
        <v>-0.12069556752922379</v>
      </c>
    </row>
    <row r="3" spans="1:76" x14ac:dyDescent="0.3">
      <c r="A3" t="s">
        <v>76</v>
      </c>
      <c r="B3" t="s">
        <v>93</v>
      </c>
      <c r="C3">
        <v>1</v>
      </c>
      <c r="D3" t="s">
        <v>94</v>
      </c>
      <c r="E3" t="s">
        <v>79</v>
      </c>
      <c r="F3">
        <v>16590</v>
      </c>
      <c r="G3">
        <v>4.5</v>
      </c>
      <c r="H3" t="s">
        <v>80</v>
      </c>
      <c r="I3" t="s">
        <v>81</v>
      </c>
      <c r="J3">
        <v>5</v>
      </c>
      <c r="K3">
        <v>5</v>
      </c>
      <c r="L3" t="s">
        <v>82</v>
      </c>
      <c r="M3" t="b">
        <v>1</v>
      </c>
      <c r="N3" t="b">
        <v>0</v>
      </c>
      <c r="O3" t="b">
        <v>0</v>
      </c>
      <c r="P3" t="s">
        <v>83</v>
      </c>
      <c r="Q3" t="s">
        <v>84</v>
      </c>
      <c r="R3">
        <v>1</v>
      </c>
      <c r="S3" t="s">
        <v>85</v>
      </c>
      <c r="T3" t="s">
        <v>86</v>
      </c>
      <c r="U3" t="s">
        <v>87</v>
      </c>
      <c r="V3">
        <v>1</v>
      </c>
      <c r="W3" t="s">
        <v>88</v>
      </c>
      <c r="X3" t="b">
        <v>0</v>
      </c>
      <c r="Y3" t="s">
        <v>89</v>
      </c>
      <c r="Z3">
        <v>4000</v>
      </c>
      <c r="AA3">
        <v>4000</v>
      </c>
      <c r="AC3">
        <v>256</v>
      </c>
      <c r="AD3" t="s">
        <v>90</v>
      </c>
      <c r="AE3">
        <v>0.15</v>
      </c>
      <c r="AF3" t="s">
        <v>91</v>
      </c>
      <c r="AG3">
        <v>40</v>
      </c>
      <c r="AH3">
        <v>10</v>
      </c>
      <c r="AI3">
        <v>30</v>
      </c>
      <c r="AJ3">
        <v>5.1048576415092903E-2</v>
      </c>
      <c r="AK3">
        <v>8.6750531477518995E-3</v>
      </c>
      <c r="AL3">
        <v>0.88302237756994373</v>
      </c>
      <c r="AM3">
        <v>-3.8633197344140502E-2</v>
      </c>
      <c r="AN3">
        <v>9.3586214793298997E-3</v>
      </c>
      <c r="AO3">
        <v>0.93204430775054037</v>
      </c>
      <c r="AP3">
        <v>9.3586214793298997E-3</v>
      </c>
      <c r="AQ3">
        <v>9.3586214793298997E-3</v>
      </c>
      <c r="AR3">
        <v>0.93204430775054037</v>
      </c>
      <c r="AS3">
        <v>0.1391803377531115</v>
      </c>
      <c r="AT3">
        <v>-1.0629206493294401E-2</v>
      </c>
      <c r="AU3">
        <v>0.2</v>
      </c>
      <c r="AV3" t="s">
        <v>92</v>
      </c>
      <c r="AW3">
        <v>9.3586214793298997E-3</v>
      </c>
      <c r="AX3">
        <v>0.93204430775054037</v>
      </c>
      <c r="AY3">
        <v>9.3586214793298997E-3</v>
      </c>
      <c r="AZ3">
        <v>9.3586214793298997E-3</v>
      </c>
      <c r="BA3">
        <v>0.93204430775054037</v>
      </c>
      <c r="BB3">
        <v>0.1391803377531115</v>
      </c>
      <c r="BC3">
        <v>-1.0629206493294401E-2</v>
      </c>
    </row>
    <row r="4" spans="1:76" x14ac:dyDescent="0.3">
      <c r="A4" t="s">
        <v>76</v>
      </c>
      <c r="B4" t="s">
        <v>95</v>
      </c>
      <c r="C4">
        <v>2</v>
      </c>
      <c r="D4" t="s">
        <v>78</v>
      </c>
      <c r="E4" t="s">
        <v>79</v>
      </c>
      <c r="F4">
        <v>16590</v>
      </c>
      <c r="G4">
        <v>4.5</v>
      </c>
      <c r="H4" t="s">
        <v>80</v>
      </c>
      <c r="I4" t="s">
        <v>81</v>
      </c>
      <c r="J4">
        <v>5</v>
      </c>
      <c r="K4">
        <v>5</v>
      </c>
      <c r="L4" t="s">
        <v>82</v>
      </c>
      <c r="M4" t="b">
        <v>1</v>
      </c>
      <c r="N4" t="b">
        <v>0</v>
      </c>
      <c r="O4" t="b">
        <v>0</v>
      </c>
      <c r="P4" t="s">
        <v>83</v>
      </c>
      <c r="Q4" t="s">
        <v>84</v>
      </c>
      <c r="R4">
        <v>1</v>
      </c>
      <c r="S4" t="s">
        <v>85</v>
      </c>
      <c r="T4" t="s">
        <v>86</v>
      </c>
      <c r="U4" t="s">
        <v>87</v>
      </c>
      <c r="V4">
        <v>1</v>
      </c>
      <c r="W4" t="s">
        <v>88</v>
      </c>
      <c r="X4" t="b">
        <v>0</v>
      </c>
      <c r="Y4" t="s">
        <v>89</v>
      </c>
      <c r="Z4">
        <v>4000</v>
      </c>
      <c r="AA4">
        <v>4000</v>
      </c>
      <c r="AC4">
        <v>256</v>
      </c>
      <c r="AD4" t="s">
        <v>90</v>
      </c>
      <c r="AE4">
        <v>0.15</v>
      </c>
      <c r="AF4" t="s">
        <v>91</v>
      </c>
      <c r="AG4">
        <v>40</v>
      </c>
      <c r="AH4">
        <v>10</v>
      </c>
      <c r="AI4">
        <v>30</v>
      </c>
      <c r="AJ4">
        <v>5.5992326214084197E-2</v>
      </c>
      <c r="AK4">
        <v>8.8026116585053996E-3</v>
      </c>
      <c r="AL4">
        <v>0.88130233147287385</v>
      </c>
      <c r="AM4">
        <v>-0.26717464657452239</v>
      </c>
      <c r="AN4">
        <v>9.2890399546429001E-3</v>
      </c>
      <c r="AO4">
        <v>0.932549559585794</v>
      </c>
      <c r="AP4">
        <v>9.2890399546429001E-3</v>
      </c>
      <c r="AQ4">
        <v>9.2890399546429001E-3</v>
      </c>
      <c r="AR4">
        <v>0.932549559585794</v>
      </c>
      <c r="AS4">
        <v>0.15381451003462959</v>
      </c>
      <c r="AT4">
        <v>-0.1168922186350809</v>
      </c>
      <c r="AU4">
        <v>0.2</v>
      </c>
      <c r="AV4" t="s">
        <v>92</v>
      </c>
      <c r="AW4">
        <v>9.2890399546429001E-3</v>
      </c>
      <c r="AX4">
        <v>0.932549559585794</v>
      </c>
      <c r="AY4">
        <v>9.2890399546429001E-3</v>
      </c>
      <c r="AZ4">
        <v>9.2890399546429001E-3</v>
      </c>
      <c r="BA4">
        <v>0.932549559585794</v>
      </c>
      <c r="BB4">
        <v>0.15381451003462959</v>
      </c>
      <c r="BC4">
        <v>-0.1168922186350809</v>
      </c>
    </row>
    <row r="5" spans="1:76" x14ac:dyDescent="0.3">
      <c r="A5" t="s">
        <v>76</v>
      </c>
      <c r="B5" t="s">
        <v>96</v>
      </c>
      <c r="C5">
        <v>3</v>
      </c>
      <c r="D5" t="s">
        <v>94</v>
      </c>
      <c r="E5" t="s">
        <v>79</v>
      </c>
      <c r="F5">
        <v>16590</v>
      </c>
      <c r="G5">
        <v>4.5</v>
      </c>
      <c r="H5" t="s">
        <v>80</v>
      </c>
      <c r="I5" t="s">
        <v>81</v>
      </c>
      <c r="J5">
        <v>5</v>
      </c>
      <c r="K5">
        <v>5</v>
      </c>
      <c r="L5" t="s">
        <v>82</v>
      </c>
      <c r="M5" t="b">
        <v>1</v>
      </c>
      <c r="N5" t="b">
        <v>0</v>
      </c>
      <c r="O5" t="b">
        <v>0</v>
      </c>
      <c r="P5" t="s">
        <v>83</v>
      </c>
      <c r="Q5" t="s">
        <v>84</v>
      </c>
      <c r="R5">
        <v>1</v>
      </c>
      <c r="S5" t="s">
        <v>85</v>
      </c>
      <c r="T5" t="s">
        <v>86</v>
      </c>
      <c r="U5" t="s">
        <v>87</v>
      </c>
      <c r="V5">
        <v>1</v>
      </c>
      <c r="W5" t="s">
        <v>88</v>
      </c>
      <c r="X5" t="b">
        <v>0</v>
      </c>
      <c r="Y5" t="s">
        <v>89</v>
      </c>
      <c r="Z5">
        <v>4000</v>
      </c>
      <c r="AA5">
        <v>4000</v>
      </c>
      <c r="AC5">
        <v>256</v>
      </c>
      <c r="AD5" t="s">
        <v>90</v>
      </c>
      <c r="AE5">
        <v>0.15</v>
      </c>
      <c r="AF5" t="s">
        <v>91</v>
      </c>
      <c r="AG5">
        <v>40</v>
      </c>
      <c r="AH5">
        <v>10</v>
      </c>
      <c r="AI5">
        <v>30</v>
      </c>
      <c r="AJ5">
        <v>6.4705309425555899E-2</v>
      </c>
      <c r="AK5">
        <v>8.9244536801717008E-3</v>
      </c>
      <c r="AL5">
        <v>0.8796593686271319</v>
      </c>
      <c r="AM5">
        <v>-8.0108786733862694E-2</v>
      </c>
      <c r="AN5">
        <v>9.0540810584054006E-3</v>
      </c>
      <c r="AO5">
        <v>0.93425566496458923</v>
      </c>
      <c r="AP5">
        <v>9.0540810584054006E-3</v>
      </c>
      <c r="AQ5">
        <v>9.0540810584054006E-3</v>
      </c>
      <c r="AR5">
        <v>0.93425566496458923</v>
      </c>
      <c r="AS5">
        <v>0.14169499179702219</v>
      </c>
      <c r="AT5">
        <v>-2.8888846195496101E-2</v>
      </c>
      <c r="AU5">
        <v>0.2</v>
      </c>
      <c r="AV5" t="s">
        <v>92</v>
      </c>
      <c r="AW5">
        <v>9.0540810584054006E-3</v>
      </c>
      <c r="AX5">
        <v>0.93425566496458923</v>
      </c>
      <c r="AY5">
        <v>9.0540810584054006E-3</v>
      </c>
      <c r="AZ5">
        <v>9.0540810584054006E-3</v>
      </c>
      <c r="BA5">
        <v>0.93425566496458923</v>
      </c>
      <c r="BB5">
        <v>0.14169499179702219</v>
      </c>
      <c r="BC5">
        <v>-2.8888846195496101E-2</v>
      </c>
    </row>
    <row r="6" spans="1:76" x14ac:dyDescent="0.3">
      <c r="A6" t="s">
        <v>76</v>
      </c>
      <c r="B6" t="s">
        <v>97</v>
      </c>
      <c r="C6">
        <v>4</v>
      </c>
      <c r="D6" t="s">
        <v>78</v>
      </c>
      <c r="E6" t="s">
        <v>79</v>
      </c>
      <c r="F6">
        <v>16590</v>
      </c>
      <c r="G6">
        <v>4.5</v>
      </c>
      <c r="H6" t="s">
        <v>80</v>
      </c>
      <c r="I6" t="s">
        <v>81</v>
      </c>
      <c r="J6">
        <v>5</v>
      </c>
      <c r="K6">
        <v>5</v>
      </c>
      <c r="L6" t="s">
        <v>82</v>
      </c>
      <c r="M6" t="b">
        <v>1</v>
      </c>
      <c r="N6" t="b">
        <v>0</v>
      </c>
      <c r="O6" t="b">
        <v>0</v>
      </c>
      <c r="P6" t="s">
        <v>83</v>
      </c>
      <c r="Q6" t="s">
        <v>84</v>
      </c>
      <c r="R6">
        <v>1</v>
      </c>
      <c r="S6" t="s">
        <v>85</v>
      </c>
      <c r="T6" t="s">
        <v>86</v>
      </c>
      <c r="U6" t="s">
        <v>87</v>
      </c>
      <c r="V6">
        <v>1</v>
      </c>
      <c r="W6" t="s">
        <v>88</v>
      </c>
      <c r="X6" t="b">
        <v>0</v>
      </c>
      <c r="Y6" t="s">
        <v>89</v>
      </c>
      <c r="Z6">
        <v>4000</v>
      </c>
      <c r="AA6">
        <v>4000</v>
      </c>
      <c r="AC6">
        <v>256</v>
      </c>
      <c r="AD6" t="s">
        <v>90</v>
      </c>
      <c r="AE6">
        <v>0.15</v>
      </c>
      <c r="AF6" t="s">
        <v>91</v>
      </c>
      <c r="AG6">
        <v>40</v>
      </c>
      <c r="AH6">
        <v>10</v>
      </c>
      <c r="AI6">
        <v>30</v>
      </c>
      <c r="AJ6">
        <v>4.4180307858685201E-2</v>
      </c>
      <c r="AK6">
        <v>9.1086048104221991E-3</v>
      </c>
      <c r="AL6">
        <v>0.87717620673548469</v>
      </c>
      <c r="AM6">
        <v>-0.4254719769961377</v>
      </c>
      <c r="AN6">
        <v>9.9497902329962994E-3</v>
      </c>
      <c r="AO6">
        <v>0.92775165824223604</v>
      </c>
      <c r="AP6">
        <v>9.9497902329962994E-3</v>
      </c>
      <c r="AQ6">
        <v>9.9497902329962994E-3</v>
      </c>
      <c r="AR6">
        <v>0.92775165824223604</v>
      </c>
      <c r="AS6">
        <v>0.16400667232200339</v>
      </c>
      <c r="AT6">
        <v>-0.19090049488464089</v>
      </c>
      <c r="AU6">
        <v>0.2</v>
      </c>
      <c r="AV6" t="s">
        <v>92</v>
      </c>
      <c r="AW6">
        <v>9.9497902329962994E-3</v>
      </c>
      <c r="AX6">
        <v>0.92775165824223604</v>
      </c>
      <c r="AY6">
        <v>9.9497902329962994E-3</v>
      </c>
      <c r="AZ6">
        <v>9.9497902329962994E-3</v>
      </c>
      <c r="BA6">
        <v>0.92775165824223604</v>
      </c>
      <c r="BB6">
        <v>0.16400667232200339</v>
      </c>
      <c r="BC6">
        <v>-0.19090049488464089</v>
      </c>
    </row>
    <row r="7" spans="1:76" x14ac:dyDescent="0.3">
      <c r="A7" t="s">
        <v>76</v>
      </c>
      <c r="B7" t="s">
        <v>98</v>
      </c>
      <c r="C7">
        <v>5</v>
      </c>
      <c r="D7" t="s">
        <v>78</v>
      </c>
      <c r="E7" t="s">
        <v>79</v>
      </c>
      <c r="F7">
        <v>16590</v>
      </c>
      <c r="G7">
        <v>4.5</v>
      </c>
      <c r="H7" t="s">
        <v>80</v>
      </c>
      <c r="I7" t="s">
        <v>81</v>
      </c>
      <c r="J7">
        <v>5</v>
      </c>
      <c r="K7">
        <v>5</v>
      </c>
      <c r="L7" t="s">
        <v>82</v>
      </c>
      <c r="M7" t="b">
        <v>1</v>
      </c>
      <c r="N7" t="b">
        <v>0</v>
      </c>
      <c r="O7" t="b">
        <v>0</v>
      </c>
      <c r="P7" t="s">
        <v>83</v>
      </c>
      <c r="Q7" t="s">
        <v>84</v>
      </c>
      <c r="R7">
        <v>1</v>
      </c>
      <c r="S7" t="s">
        <v>85</v>
      </c>
      <c r="T7" t="s">
        <v>86</v>
      </c>
      <c r="U7" t="s">
        <v>87</v>
      </c>
      <c r="V7">
        <v>1</v>
      </c>
      <c r="W7" t="s">
        <v>88</v>
      </c>
      <c r="X7" t="b">
        <v>0</v>
      </c>
      <c r="Y7" t="s">
        <v>89</v>
      </c>
      <c r="Z7">
        <v>4000</v>
      </c>
      <c r="AA7">
        <v>4000</v>
      </c>
      <c r="AC7">
        <v>256</v>
      </c>
      <c r="AD7" t="s">
        <v>90</v>
      </c>
      <c r="AE7">
        <v>0.15</v>
      </c>
      <c r="AF7" t="s">
        <v>91</v>
      </c>
      <c r="AG7">
        <v>40</v>
      </c>
      <c r="AH7">
        <v>10</v>
      </c>
      <c r="AI7">
        <v>30</v>
      </c>
      <c r="AJ7">
        <v>5.6727703702262502E-2</v>
      </c>
      <c r="AK7">
        <v>8.8753867969278994E-3</v>
      </c>
      <c r="AL7">
        <v>0.88032100461300433</v>
      </c>
      <c r="AM7">
        <v>-1.7156207476844699E-2</v>
      </c>
      <c r="AN7">
        <v>9.3394017186010994E-3</v>
      </c>
      <c r="AO7">
        <v>0.93218386806378484</v>
      </c>
      <c r="AP7">
        <v>9.3394017186010994E-3</v>
      </c>
      <c r="AQ7">
        <v>9.3394017186010994E-3</v>
      </c>
      <c r="AR7">
        <v>0.93218386806378484</v>
      </c>
      <c r="AS7">
        <v>0.1382920494157544</v>
      </c>
      <c r="AT7">
        <v>-4.1790846440937996E-3</v>
      </c>
      <c r="AU7">
        <v>0.2</v>
      </c>
      <c r="AV7" t="s">
        <v>92</v>
      </c>
      <c r="AW7">
        <v>9.3394017186010994E-3</v>
      </c>
      <c r="AX7">
        <v>0.93218386806378484</v>
      </c>
      <c r="AY7">
        <v>9.3394017186010994E-3</v>
      </c>
      <c r="AZ7">
        <v>9.3394017186010994E-3</v>
      </c>
      <c r="BA7">
        <v>0.93218386806378484</v>
      </c>
      <c r="BB7">
        <v>0.1382920494157544</v>
      </c>
      <c r="BC7">
        <v>-4.1790846440937996E-3</v>
      </c>
    </row>
    <row r="8" spans="1:76" x14ac:dyDescent="0.3">
      <c r="A8" t="s">
        <v>76</v>
      </c>
      <c r="B8" t="s">
        <v>99</v>
      </c>
      <c r="C8">
        <v>6</v>
      </c>
      <c r="D8" t="s">
        <v>94</v>
      </c>
      <c r="E8" t="s">
        <v>79</v>
      </c>
      <c r="F8">
        <v>16590</v>
      </c>
      <c r="G8">
        <v>4.5</v>
      </c>
      <c r="H8" t="s">
        <v>80</v>
      </c>
      <c r="I8" t="s">
        <v>81</v>
      </c>
      <c r="J8">
        <v>5</v>
      </c>
      <c r="K8">
        <v>5</v>
      </c>
      <c r="L8" t="s">
        <v>82</v>
      </c>
      <c r="M8" t="b">
        <v>1</v>
      </c>
      <c r="N8" t="b">
        <v>0</v>
      </c>
      <c r="O8" t="b">
        <v>0</v>
      </c>
      <c r="P8" t="s">
        <v>83</v>
      </c>
      <c r="Q8" t="s">
        <v>84</v>
      </c>
      <c r="R8">
        <v>1</v>
      </c>
      <c r="S8" t="s">
        <v>85</v>
      </c>
      <c r="T8" t="s">
        <v>86</v>
      </c>
      <c r="U8" t="s">
        <v>87</v>
      </c>
      <c r="V8">
        <v>1</v>
      </c>
      <c r="W8" t="s">
        <v>88</v>
      </c>
      <c r="X8" t="b">
        <v>0</v>
      </c>
      <c r="Y8" t="s">
        <v>89</v>
      </c>
      <c r="Z8">
        <v>4000</v>
      </c>
      <c r="AA8">
        <v>4000</v>
      </c>
      <c r="AC8">
        <v>256</v>
      </c>
      <c r="AD8" t="s">
        <v>90</v>
      </c>
      <c r="AE8">
        <v>0.15</v>
      </c>
      <c r="AF8" t="s">
        <v>91</v>
      </c>
      <c r="AG8">
        <v>40</v>
      </c>
      <c r="AH8">
        <v>10</v>
      </c>
      <c r="AI8">
        <v>30</v>
      </c>
      <c r="AJ8">
        <v>5.6676649912841597E-2</v>
      </c>
      <c r="AK8">
        <v>9.4573036392082005E-3</v>
      </c>
      <c r="AL8">
        <v>0.87247422286970289</v>
      </c>
      <c r="AM8">
        <v>3.7864477751273898E-2</v>
      </c>
      <c r="AN8">
        <v>1.01890487906696E-2</v>
      </c>
      <c r="AO8">
        <v>0.92601433176213321</v>
      </c>
      <c r="AP8">
        <v>1.01890487906696E-2</v>
      </c>
      <c r="AQ8">
        <v>1.01890487906696E-2</v>
      </c>
      <c r="AR8">
        <v>0.92601433176213321</v>
      </c>
      <c r="AS8">
        <v>0.13873984036213319</v>
      </c>
      <c r="AT8">
        <v>-7.4306258899299003E-3</v>
      </c>
      <c r="AU8">
        <v>0.2</v>
      </c>
      <c r="AV8" t="s">
        <v>92</v>
      </c>
      <c r="AW8">
        <v>1.01890487906696E-2</v>
      </c>
      <c r="AX8">
        <v>0.92601433176213321</v>
      </c>
      <c r="AY8">
        <v>1.01890487906696E-2</v>
      </c>
      <c r="AZ8">
        <v>1.01890487906696E-2</v>
      </c>
      <c r="BA8">
        <v>0.92601433176213321</v>
      </c>
      <c r="BB8">
        <v>0.13873984036213319</v>
      </c>
      <c r="BC8">
        <v>-7.4306258899299003E-3</v>
      </c>
    </row>
    <row r="9" spans="1:76" x14ac:dyDescent="0.3">
      <c r="A9" t="s">
        <v>76</v>
      </c>
      <c r="B9" t="s">
        <v>100</v>
      </c>
      <c r="C9">
        <v>7</v>
      </c>
      <c r="D9" t="s">
        <v>94</v>
      </c>
      <c r="E9" t="s">
        <v>79</v>
      </c>
      <c r="F9">
        <v>16590</v>
      </c>
      <c r="G9">
        <v>4.5</v>
      </c>
      <c r="H9" t="s">
        <v>80</v>
      </c>
      <c r="I9" t="s">
        <v>81</v>
      </c>
      <c r="J9">
        <v>5</v>
      </c>
      <c r="K9">
        <v>5</v>
      </c>
      <c r="L9" t="s">
        <v>82</v>
      </c>
      <c r="M9" t="b">
        <v>1</v>
      </c>
      <c r="N9" t="b">
        <v>0</v>
      </c>
      <c r="O9" t="b">
        <v>0</v>
      </c>
      <c r="P9" t="s">
        <v>83</v>
      </c>
      <c r="Q9" t="s">
        <v>84</v>
      </c>
      <c r="R9">
        <v>1</v>
      </c>
      <c r="S9" t="s">
        <v>85</v>
      </c>
      <c r="T9" t="s">
        <v>86</v>
      </c>
      <c r="U9" t="s">
        <v>87</v>
      </c>
      <c r="V9">
        <v>1</v>
      </c>
      <c r="W9" t="s">
        <v>88</v>
      </c>
      <c r="X9" t="b">
        <v>0</v>
      </c>
      <c r="Y9" t="s">
        <v>89</v>
      </c>
      <c r="Z9">
        <v>4000</v>
      </c>
      <c r="AA9">
        <v>4000</v>
      </c>
      <c r="AC9">
        <v>256</v>
      </c>
      <c r="AD9" t="s">
        <v>90</v>
      </c>
      <c r="AE9">
        <v>0.15</v>
      </c>
      <c r="AF9" t="s">
        <v>91</v>
      </c>
      <c r="AG9">
        <v>40</v>
      </c>
      <c r="AH9">
        <v>10</v>
      </c>
      <c r="AI9">
        <v>30</v>
      </c>
      <c r="AJ9">
        <v>4.99436119821716E-2</v>
      </c>
      <c r="AK9">
        <v>8.9644332837159994E-3</v>
      </c>
      <c r="AL9">
        <v>0.87912026887884698</v>
      </c>
      <c r="AM9">
        <v>-0.1038516683747872</v>
      </c>
      <c r="AN9">
        <v>9.0223166002524006E-3</v>
      </c>
      <c r="AO9">
        <v>0.93448631600090659</v>
      </c>
      <c r="AP9">
        <v>9.0223166002524006E-3</v>
      </c>
      <c r="AQ9">
        <v>9.0223166002524006E-3</v>
      </c>
      <c r="AR9">
        <v>0.93448631600090659</v>
      </c>
      <c r="AS9">
        <v>0.14268657398415149</v>
      </c>
      <c r="AT9">
        <v>-3.6089014948707997E-2</v>
      </c>
      <c r="AU9">
        <v>0.2</v>
      </c>
      <c r="AV9" t="s">
        <v>92</v>
      </c>
      <c r="AW9">
        <v>9.0223166002524006E-3</v>
      </c>
      <c r="AX9">
        <v>0.93448631600090659</v>
      </c>
      <c r="AY9">
        <v>9.0223166002524006E-3</v>
      </c>
      <c r="AZ9">
        <v>9.0223166002524006E-3</v>
      </c>
      <c r="BA9">
        <v>0.93448631600090659</v>
      </c>
      <c r="BB9">
        <v>0.14268657398415149</v>
      </c>
      <c r="BC9">
        <v>-3.6089014948707997E-2</v>
      </c>
    </row>
    <row r="10" spans="1:76" x14ac:dyDescent="0.3">
      <c r="A10" t="s">
        <v>76</v>
      </c>
      <c r="B10" t="s">
        <v>101</v>
      </c>
      <c r="C10">
        <v>8</v>
      </c>
      <c r="D10" t="s">
        <v>78</v>
      </c>
      <c r="E10" t="s">
        <v>79</v>
      </c>
      <c r="F10">
        <v>16590</v>
      </c>
      <c r="G10">
        <v>4.5</v>
      </c>
      <c r="H10" t="s">
        <v>80</v>
      </c>
      <c r="I10" t="s">
        <v>81</v>
      </c>
      <c r="J10">
        <v>5</v>
      </c>
      <c r="K10">
        <v>5</v>
      </c>
      <c r="L10" t="s">
        <v>82</v>
      </c>
      <c r="M10" t="b">
        <v>1</v>
      </c>
      <c r="N10" t="b">
        <v>0</v>
      </c>
      <c r="O10" t="b">
        <v>0</v>
      </c>
      <c r="P10" t="s">
        <v>83</v>
      </c>
      <c r="Q10" t="s">
        <v>84</v>
      </c>
      <c r="R10">
        <v>1</v>
      </c>
      <c r="S10" t="s">
        <v>85</v>
      </c>
      <c r="T10" t="s">
        <v>86</v>
      </c>
      <c r="U10" t="s">
        <v>87</v>
      </c>
      <c r="V10">
        <v>1</v>
      </c>
      <c r="W10" t="s">
        <v>88</v>
      </c>
      <c r="X10" t="b">
        <v>0</v>
      </c>
      <c r="Y10" t="s">
        <v>89</v>
      </c>
      <c r="Z10">
        <v>4000</v>
      </c>
      <c r="AA10">
        <v>4000</v>
      </c>
      <c r="AC10">
        <v>256</v>
      </c>
      <c r="AD10" t="s">
        <v>90</v>
      </c>
      <c r="AE10">
        <v>0.15</v>
      </c>
      <c r="AF10" t="s">
        <v>91</v>
      </c>
      <c r="AG10">
        <v>40</v>
      </c>
      <c r="AH10">
        <v>10</v>
      </c>
      <c r="AI10">
        <v>30</v>
      </c>
      <c r="AJ10">
        <v>4.7409659135056403E-2</v>
      </c>
      <c r="AK10">
        <v>8.7501519689419001E-3</v>
      </c>
      <c r="AL10">
        <v>0.88200971731294187</v>
      </c>
      <c r="AM10">
        <v>0.1238470870273258</v>
      </c>
      <c r="AN10">
        <v>9.1840961897013997E-3</v>
      </c>
      <c r="AO10">
        <v>0.93331158700720562</v>
      </c>
      <c r="AP10">
        <v>9.1840961897013997E-3</v>
      </c>
      <c r="AQ10">
        <v>9.1840961897013997E-3</v>
      </c>
      <c r="AR10">
        <v>0.93331158700720562</v>
      </c>
      <c r="AS10">
        <v>0.1360534974912892</v>
      </c>
      <c r="AT10">
        <v>1.20756966823419E-2</v>
      </c>
      <c r="AU10">
        <v>0.2</v>
      </c>
      <c r="AV10" t="s">
        <v>92</v>
      </c>
      <c r="AW10">
        <v>9.1840961897013997E-3</v>
      </c>
      <c r="AX10">
        <v>0.93331158700720562</v>
      </c>
      <c r="AY10">
        <v>9.1840961897013997E-3</v>
      </c>
      <c r="AZ10">
        <v>9.1840961897013997E-3</v>
      </c>
      <c r="BA10">
        <v>0.93331158700720562</v>
      </c>
      <c r="BB10">
        <v>0.1360534974912892</v>
      </c>
      <c r="BC10">
        <v>1.20756966823419E-2</v>
      </c>
    </row>
    <row r="11" spans="1:76" x14ac:dyDescent="0.3">
      <c r="A11" t="s">
        <v>76</v>
      </c>
      <c r="B11" t="s">
        <v>102</v>
      </c>
      <c r="C11">
        <v>9</v>
      </c>
      <c r="D11" t="s">
        <v>78</v>
      </c>
      <c r="E11" t="s">
        <v>79</v>
      </c>
      <c r="F11">
        <v>16590</v>
      </c>
      <c r="G11">
        <v>4.5</v>
      </c>
      <c r="H11" t="s">
        <v>80</v>
      </c>
      <c r="I11" t="s">
        <v>81</v>
      </c>
      <c r="J11">
        <v>5</v>
      </c>
      <c r="K11">
        <v>5</v>
      </c>
      <c r="L11" t="s">
        <v>82</v>
      </c>
      <c r="M11" t="b">
        <v>1</v>
      </c>
      <c r="N11" t="b">
        <v>0</v>
      </c>
      <c r="O11" t="b">
        <v>0</v>
      </c>
      <c r="P11" t="s">
        <v>83</v>
      </c>
      <c r="Q11" t="s">
        <v>84</v>
      </c>
      <c r="R11">
        <v>1</v>
      </c>
      <c r="S11" t="s">
        <v>85</v>
      </c>
      <c r="T11" t="s">
        <v>86</v>
      </c>
      <c r="U11" t="s">
        <v>87</v>
      </c>
      <c r="V11">
        <v>1</v>
      </c>
      <c r="W11" t="s">
        <v>88</v>
      </c>
      <c r="X11" t="b">
        <v>0</v>
      </c>
      <c r="Y11" t="s">
        <v>89</v>
      </c>
      <c r="Z11">
        <v>4000</v>
      </c>
      <c r="AA11">
        <v>4000</v>
      </c>
      <c r="AC11">
        <v>256</v>
      </c>
      <c r="AD11" t="s">
        <v>90</v>
      </c>
      <c r="AE11">
        <v>0.15</v>
      </c>
      <c r="AF11" t="s">
        <v>91</v>
      </c>
      <c r="AG11">
        <v>40</v>
      </c>
      <c r="AH11">
        <v>10</v>
      </c>
      <c r="AI11">
        <v>30</v>
      </c>
      <c r="AJ11">
        <v>4.1920037619359397E-2</v>
      </c>
      <c r="AK11">
        <v>8.9237253592606008E-3</v>
      </c>
      <c r="AL11">
        <v>0.87966918957544105</v>
      </c>
      <c r="AM11">
        <v>-0.19239130326952719</v>
      </c>
      <c r="AN11">
        <v>9.1535716446686007E-3</v>
      </c>
      <c r="AO11">
        <v>0.93353323467111482</v>
      </c>
      <c r="AP11">
        <v>9.1535716446686007E-3</v>
      </c>
      <c r="AQ11">
        <v>9.1535716446686007E-3</v>
      </c>
      <c r="AR11">
        <v>0.93353323467111482</v>
      </c>
      <c r="AS11">
        <v>0.1487867709487844</v>
      </c>
      <c r="AT11">
        <v>-8.0384332213678106E-2</v>
      </c>
      <c r="AU11">
        <v>0.2</v>
      </c>
      <c r="AV11" t="s">
        <v>92</v>
      </c>
      <c r="AW11">
        <v>9.1535716446686007E-3</v>
      </c>
      <c r="AX11">
        <v>0.93353323467111482</v>
      </c>
      <c r="AY11">
        <v>9.1535716446686007E-3</v>
      </c>
      <c r="AZ11">
        <v>9.1535716446686007E-3</v>
      </c>
      <c r="BA11">
        <v>0.93353323467111482</v>
      </c>
      <c r="BB11">
        <v>0.1487867709487844</v>
      </c>
      <c r="BC11">
        <v>-8.0384332213678106E-2</v>
      </c>
    </row>
    <row r="12" spans="1:76" x14ac:dyDescent="0.3">
      <c r="A12" t="s">
        <v>103</v>
      </c>
      <c r="B12" t="s">
        <v>104</v>
      </c>
      <c r="C12">
        <v>0</v>
      </c>
      <c r="D12" t="s">
        <v>78</v>
      </c>
      <c r="E12" t="s">
        <v>79</v>
      </c>
      <c r="F12">
        <v>16590</v>
      </c>
      <c r="G12">
        <v>4.5</v>
      </c>
      <c r="H12" t="s">
        <v>105</v>
      </c>
      <c r="I12" t="s">
        <v>81</v>
      </c>
      <c r="J12">
        <v>5</v>
      </c>
      <c r="K12">
        <v>5</v>
      </c>
      <c r="L12" t="s">
        <v>82</v>
      </c>
      <c r="M12" t="b">
        <v>1</v>
      </c>
      <c r="N12" t="b">
        <v>0</v>
      </c>
      <c r="O12" t="b">
        <v>0</v>
      </c>
      <c r="P12" t="s">
        <v>83</v>
      </c>
      <c r="Q12" t="s">
        <v>106</v>
      </c>
      <c r="R12">
        <v>1</v>
      </c>
      <c r="S12" t="s">
        <v>85</v>
      </c>
      <c r="T12" t="s">
        <v>86</v>
      </c>
      <c r="U12" t="s">
        <v>87</v>
      </c>
      <c r="V12">
        <v>1</v>
      </c>
      <c r="W12" t="s">
        <v>107</v>
      </c>
      <c r="X12" t="b">
        <v>0</v>
      </c>
      <c r="Y12" t="s">
        <v>89</v>
      </c>
      <c r="Z12">
        <v>4000</v>
      </c>
      <c r="AA12">
        <v>4000</v>
      </c>
      <c r="AC12">
        <v>256</v>
      </c>
      <c r="AD12" t="s">
        <v>90</v>
      </c>
      <c r="AE12">
        <v>0.15</v>
      </c>
      <c r="AF12" t="s">
        <v>91</v>
      </c>
      <c r="AG12">
        <v>40</v>
      </c>
      <c r="AH12">
        <v>10</v>
      </c>
      <c r="AI12">
        <v>30</v>
      </c>
      <c r="AJ12">
        <v>5.5868159520473498E-2</v>
      </c>
      <c r="AK12">
        <v>8.8366904130620007E-3</v>
      </c>
      <c r="AL12">
        <v>0.88084280095294432</v>
      </c>
      <c r="AM12">
        <v>-1.8118918463640501</v>
      </c>
      <c r="AN12">
        <v>8.7872799635556002E-3</v>
      </c>
      <c r="AO12">
        <v>0.93619298587595123</v>
      </c>
      <c r="AP12">
        <v>8.7872799635556002E-3</v>
      </c>
      <c r="AQ12">
        <v>8.7872799635556002E-3</v>
      </c>
      <c r="AR12">
        <v>0.93619298587595123</v>
      </c>
      <c r="AS12">
        <v>0.25230771563733578</v>
      </c>
      <c r="AT12">
        <v>-0.83208023894162286</v>
      </c>
      <c r="AU12">
        <v>0.2</v>
      </c>
      <c r="AV12" t="s">
        <v>92</v>
      </c>
      <c r="AW12">
        <v>8.7872799635556002E-3</v>
      </c>
      <c r="AX12">
        <v>0.93619298587595123</v>
      </c>
      <c r="AY12">
        <v>8.7872799635556002E-3</v>
      </c>
      <c r="AZ12">
        <v>8.7872799635556002E-3</v>
      </c>
      <c r="BA12">
        <v>0.93619298587595123</v>
      </c>
      <c r="BB12">
        <v>0.25230771563733578</v>
      </c>
      <c r="BC12">
        <v>-0.83208023894162286</v>
      </c>
    </row>
    <row r="13" spans="1:76" x14ac:dyDescent="0.3">
      <c r="A13" t="s">
        <v>108</v>
      </c>
      <c r="B13" t="s">
        <v>109</v>
      </c>
      <c r="C13">
        <v>1</v>
      </c>
      <c r="D13" t="s">
        <v>94</v>
      </c>
      <c r="E13" t="s">
        <v>79</v>
      </c>
      <c r="F13">
        <v>16590</v>
      </c>
      <c r="G13">
        <v>4.5</v>
      </c>
      <c r="H13" t="s">
        <v>105</v>
      </c>
      <c r="I13" t="s">
        <v>81</v>
      </c>
      <c r="J13">
        <v>5</v>
      </c>
      <c r="K13">
        <v>5</v>
      </c>
      <c r="L13" t="s">
        <v>82</v>
      </c>
      <c r="M13" t="b">
        <v>1</v>
      </c>
      <c r="N13" t="b">
        <v>0</v>
      </c>
      <c r="O13" t="b">
        <v>0</v>
      </c>
      <c r="P13" t="s">
        <v>83</v>
      </c>
      <c r="Q13" t="s">
        <v>106</v>
      </c>
      <c r="R13">
        <v>1</v>
      </c>
      <c r="S13" t="s">
        <v>85</v>
      </c>
      <c r="T13" t="s">
        <v>86</v>
      </c>
      <c r="U13" t="s">
        <v>87</v>
      </c>
      <c r="V13">
        <v>1</v>
      </c>
      <c r="W13" t="s">
        <v>107</v>
      </c>
      <c r="X13" t="b">
        <v>0</v>
      </c>
      <c r="Y13" t="s">
        <v>89</v>
      </c>
      <c r="Z13">
        <v>4000</v>
      </c>
      <c r="AA13">
        <v>4000</v>
      </c>
      <c r="AC13">
        <v>256</v>
      </c>
      <c r="AD13" t="s">
        <v>90</v>
      </c>
      <c r="AE13">
        <v>0.15</v>
      </c>
      <c r="AF13" t="s">
        <v>91</v>
      </c>
      <c r="AG13">
        <v>40</v>
      </c>
      <c r="AH13">
        <v>10</v>
      </c>
      <c r="AI13">
        <v>30</v>
      </c>
      <c r="AJ13">
        <v>7.4594107277988306E-2</v>
      </c>
      <c r="AK13">
        <v>9.0508860885362002E-3</v>
      </c>
      <c r="AL13">
        <v>0.87795450731081637</v>
      </c>
      <c r="AM13">
        <v>-7.0705949336894758</v>
      </c>
      <c r="AN13">
        <v>8.6953193835901006E-3</v>
      </c>
      <c r="AO13">
        <v>0.93686073858771757</v>
      </c>
      <c r="AP13">
        <v>8.6953193835901006E-3</v>
      </c>
      <c r="AQ13">
        <v>8.6953193835901006E-3</v>
      </c>
      <c r="AR13">
        <v>0.93686073858771757</v>
      </c>
      <c r="AS13">
        <v>0.63489183052230791</v>
      </c>
      <c r="AT13">
        <v>-3.6101355784034981</v>
      </c>
      <c r="AU13">
        <v>0.2</v>
      </c>
      <c r="AV13" t="s">
        <v>92</v>
      </c>
      <c r="AW13">
        <v>8.6953193835901006E-3</v>
      </c>
      <c r="AX13">
        <v>0.93686073858771757</v>
      </c>
      <c r="AY13">
        <v>8.6953193835901006E-3</v>
      </c>
      <c r="AZ13">
        <v>8.6953193835901006E-3</v>
      </c>
      <c r="BA13">
        <v>0.93686073858771757</v>
      </c>
      <c r="BB13">
        <v>0.63489183052230791</v>
      </c>
      <c r="BC13">
        <v>-3.6101355784034981</v>
      </c>
    </row>
    <row r="14" spans="1:76" x14ac:dyDescent="0.3">
      <c r="A14" t="s">
        <v>110</v>
      </c>
      <c r="B14" t="s">
        <v>111</v>
      </c>
      <c r="C14">
        <v>2</v>
      </c>
      <c r="D14" t="s">
        <v>94</v>
      </c>
      <c r="E14" t="s">
        <v>79</v>
      </c>
      <c r="F14">
        <v>16590</v>
      </c>
      <c r="G14">
        <v>4.5</v>
      </c>
      <c r="H14" t="s">
        <v>105</v>
      </c>
      <c r="I14" t="s">
        <v>81</v>
      </c>
      <c r="J14">
        <v>5</v>
      </c>
      <c r="K14">
        <v>5</v>
      </c>
      <c r="L14" t="s">
        <v>82</v>
      </c>
      <c r="M14" t="b">
        <v>1</v>
      </c>
      <c r="N14" t="b">
        <v>0</v>
      </c>
      <c r="O14" t="b">
        <v>0</v>
      </c>
      <c r="P14" t="s">
        <v>83</v>
      </c>
      <c r="Q14" t="s">
        <v>106</v>
      </c>
      <c r="R14">
        <v>1</v>
      </c>
      <c r="S14" t="s">
        <v>85</v>
      </c>
      <c r="T14" t="s">
        <v>86</v>
      </c>
      <c r="U14" t="s">
        <v>87</v>
      </c>
      <c r="V14">
        <v>1</v>
      </c>
      <c r="W14" t="s">
        <v>107</v>
      </c>
      <c r="X14" t="b">
        <v>0</v>
      </c>
      <c r="Y14" t="s">
        <v>89</v>
      </c>
      <c r="Z14">
        <v>4000</v>
      </c>
      <c r="AA14">
        <v>4000</v>
      </c>
      <c r="AC14">
        <v>256</v>
      </c>
      <c r="AD14" t="s">
        <v>90</v>
      </c>
      <c r="AE14">
        <v>0.15</v>
      </c>
      <c r="AF14" t="s">
        <v>91</v>
      </c>
      <c r="AG14">
        <v>40</v>
      </c>
      <c r="AH14">
        <v>10</v>
      </c>
      <c r="AI14">
        <v>30</v>
      </c>
      <c r="AJ14">
        <v>6.1768351160606999E-2</v>
      </c>
      <c r="AK14">
        <v>8.8541699905803992E-3</v>
      </c>
      <c r="AL14">
        <v>0.88060709987026975</v>
      </c>
      <c r="AM14">
        <v>-1.1883438002397759</v>
      </c>
      <c r="AN14">
        <v>8.6534156234313007E-3</v>
      </c>
      <c r="AO14">
        <v>0.93716501406629438</v>
      </c>
      <c r="AP14">
        <v>8.6534156234313007E-3</v>
      </c>
      <c r="AQ14">
        <v>8.6534156234313007E-3</v>
      </c>
      <c r="AR14">
        <v>0.93716501406629438</v>
      </c>
      <c r="AS14">
        <v>0.2407114714215525</v>
      </c>
      <c r="AT14">
        <v>-0.74787651247209497</v>
      </c>
      <c r="AU14">
        <v>0.2</v>
      </c>
      <c r="AV14" t="s">
        <v>92</v>
      </c>
      <c r="AW14">
        <v>8.6534156234313007E-3</v>
      </c>
      <c r="AX14">
        <v>0.93716501406629438</v>
      </c>
      <c r="AY14">
        <v>8.6534156234313007E-3</v>
      </c>
      <c r="AZ14">
        <v>8.6534156234313007E-3</v>
      </c>
      <c r="BA14">
        <v>0.93716501406629438</v>
      </c>
      <c r="BB14">
        <v>0.2407114714215525</v>
      </c>
      <c r="BC14">
        <v>-0.74787651247209497</v>
      </c>
    </row>
    <row r="15" spans="1:76" x14ac:dyDescent="0.3">
      <c r="A15" t="s">
        <v>112</v>
      </c>
      <c r="B15" t="s">
        <v>113</v>
      </c>
      <c r="C15">
        <v>3</v>
      </c>
      <c r="D15" t="s">
        <v>78</v>
      </c>
      <c r="E15" t="s">
        <v>79</v>
      </c>
      <c r="F15">
        <v>16590</v>
      </c>
      <c r="G15">
        <v>4.5</v>
      </c>
      <c r="H15" t="s">
        <v>105</v>
      </c>
      <c r="I15" t="s">
        <v>81</v>
      </c>
      <c r="J15">
        <v>5</v>
      </c>
      <c r="K15">
        <v>5</v>
      </c>
      <c r="L15" t="s">
        <v>82</v>
      </c>
      <c r="M15" t="b">
        <v>1</v>
      </c>
      <c r="N15" t="b">
        <v>0</v>
      </c>
      <c r="O15" t="b">
        <v>0</v>
      </c>
      <c r="P15" t="s">
        <v>83</v>
      </c>
      <c r="Q15" t="s">
        <v>106</v>
      </c>
      <c r="R15">
        <v>1</v>
      </c>
      <c r="S15" t="s">
        <v>85</v>
      </c>
      <c r="T15" t="s">
        <v>86</v>
      </c>
      <c r="U15" t="s">
        <v>87</v>
      </c>
      <c r="V15">
        <v>1</v>
      </c>
      <c r="W15" t="s">
        <v>107</v>
      </c>
      <c r="X15" t="b">
        <v>0</v>
      </c>
      <c r="Y15" t="s">
        <v>89</v>
      </c>
      <c r="Z15">
        <v>4000</v>
      </c>
      <c r="AA15">
        <v>4000</v>
      </c>
      <c r="AC15">
        <v>256</v>
      </c>
      <c r="AD15" t="s">
        <v>90</v>
      </c>
      <c r="AE15">
        <v>0.15</v>
      </c>
      <c r="AF15" t="s">
        <v>91</v>
      </c>
      <c r="AG15">
        <v>40</v>
      </c>
      <c r="AH15">
        <v>10</v>
      </c>
      <c r="AI15">
        <v>30</v>
      </c>
      <c r="AJ15">
        <v>5.5304998338052497E-2</v>
      </c>
      <c r="AK15">
        <v>8.7943238528410995E-3</v>
      </c>
      <c r="AL15">
        <v>0.88141408730713378</v>
      </c>
      <c r="AM15">
        <v>-2.3627029978127299E-2</v>
      </c>
      <c r="AN15">
        <v>8.3617057895303999E-3</v>
      </c>
      <c r="AO15">
        <v>0.93928320462913539</v>
      </c>
      <c r="AP15">
        <v>8.3617057895303999E-3</v>
      </c>
      <c r="AQ15">
        <v>8.3617057895303999E-3</v>
      </c>
      <c r="AR15">
        <v>0.93928320462913539</v>
      </c>
      <c r="AS15">
        <v>0.1427415739066154</v>
      </c>
      <c r="AT15">
        <v>-3.6488385498415002E-2</v>
      </c>
      <c r="AU15">
        <v>0.2</v>
      </c>
      <c r="AV15" t="s">
        <v>92</v>
      </c>
      <c r="AW15">
        <v>8.3617057895303999E-3</v>
      </c>
      <c r="AX15">
        <v>0.93928320462913539</v>
      </c>
      <c r="AY15">
        <v>8.3617057895303999E-3</v>
      </c>
      <c r="AZ15">
        <v>8.3617057895303999E-3</v>
      </c>
      <c r="BA15">
        <v>0.93928320462913539</v>
      </c>
      <c r="BB15">
        <v>0.1427415739066154</v>
      </c>
      <c r="BC15">
        <v>-3.6488385498415002E-2</v>
      </c>
    </row>
    <row r="16" spans="1:76" x14ac:dyDescent="0.3">
      <c r="A16" t="s">
        <v>114</v>
      </c>
      <c r="B16" t="s">
        <v>115</v>
      </c>
      <c r="C16">
        <v>4</v>
      </c>
      <c r="D16" t="s">
        <v>94</v>
      </c>
      <c r="E16" t="s">
        <v>79</v>
      </c>
      <c r="F16">
        <v>16590</v>
      </c>
      <c r="G16">
        <v>4.5</v>
      </c>
      <c r="H16" t="s">
        <v>105</v>
      </c>
      <c r="I16" t="s">
        <v>81</v>
      </c>
      <c r="J16">
        <v>5</v>
      </c>
      <c r="K16">
        <v>5</v>
      </c>
      <c r="L16" t="s">
        <v>82</v>
      </c>
      <c r="M16" t="b">
        <v>1</v>
      </c>
      <c r="N16" t="b">
        <v>0</v>
      </c>
      <c r="O16" t="b">
        <v>0</v>
      </c>
      <c r="P16" t="s">
        <v>83</v>
      </c>
      <c r="Q16" t="s">
        <v>106</v>
      </c>
      <c r="R16">
        <v>1</v>
      </c>
      <c r="S16" t="s">
        <v>85</v>
      </c>
      <c r="T16" t="s">
        <v>86</v>
      </c>
      <c r="U16" t="s">
        <v>87</v>
      </c>
      <c r="V16">
        <v>1</v>
      </c>
      <c r="W16" t="s">
        <v>107</v>
      </c>
      <c r="X16" t="b">
        <v>0</v>
      </c>
      <c r="Y16" t="s">
        <v>89</v>
      </c>
      <c r="Z16">
        <v>4000</v>
      </c>
      <c r="AA16">
        <v>4000</v>
      </c>
      <c r="AC16">
        <v>256</v>
      </c>
      <c r="AD16" t="s">
        <v>90</v>
      </c>
      <c r="AE16">
        <v>0.15</v>
      </c>
      <c r="AF16" t="s">
        <v>91</v>
      </c>
      <c r="AG16">
        <v>40</v>
      </c>
      <c r="AH16">
        <v>10</v>
      </c>
      <c r="AI16">
        <v>30</v>
      </c>
      <c r="AJ16">
        <v>4.22194692757102E-2</v>
      </c>
      <c r="AK16">
        <v>9.3345354220212007E-3</v>
      </c>
      <c r="AL16">
        <v>0.87412967487811277</v>
      </c>
      <c r="AM16">
        <v>0.62790041741894442</v>
      </c>
      <c r="AN16">
        <v>9.3954505640982001E-3</v>
      </c>
      <c r="AO16">
        <v>0.93177688097664235</v>
      </c>
      <c r="AP16">
        <v>9.3954505640982001E-3</v>
      </c>
      <c r="AQ16">
        <v>9.3954505640982001E-3</v>
      </c>
      <c r="AR16">
        <v>0.93177688097664235</v>
      </c>
      <c r="AS16">
        <v>6.6488918908582995E-2</v>
      </c>
      <c r="AT16">
        <v>0.51720448130845265</v>
      </c>
      <c r="AU16">
        <v>0.2</v>
      </c>
      <c r="AV16" t="s">
        <v>92</v>
      </c>
      <c r="AW16">
        <v>9.3954505640982001E-3</v>
      </c>
      <c r="AX16">
        <v>0.93177688097664235</v>
      </c>
      <c r="AY16">
        <v>9.3954505640982001E-3</v>
      </c>
      <c r="AZ16">
        <v>9.3954505640982001E-3</v>
      </c>
      <c r="BA16">
        <v>0.93177688097664235</v>
      </c>
      <c r="BB16">
        <v>6.6488918908582995E-2</v>
      </c>
      <c r="BC16">
        <v>0.51720448130845265</v>
      </c>
    </row>
    <row r="17" spans="1:55" x14ac:dyDescent="0.3">
      <c r="A17" t="s">
        <v>116</v>
      </c>
      <c r="B17" t="s">
        <v>117</v>
      </c>
      <c r="C17">
        <v>5</v>
      </c>
      <c r="D17" t="s">
        <v>78</v>
      </c>
      <c r="E17" t="s">
        <v>79</v>
      </c>
      <c r="F17">
        <v>16590</v>
      </c>
      <c r="G17">
        <v>4.5</v>
      </c>
      <c r="H17" t="s">
        <v>105</v>
      </c>
      <c r="I17" t="s">
        <v>81</v>
      </c>
      <c r="J17">
        <v>5</v>
      </c>
      <c r="K17">
        <v>5</v>
      </c>
      <c r="L17" t="s">
        <v>82</v>
      </c>
      <c r="M17" t="b">
        <v>1</v>
      </c>
      <c r="N17" t="b">
        <v>0</v>
      </c>
      <c r="O17" t="b">
        <v>0</v>
      </c>
      <c r="P17" t="s">
        <v>83</v>
      </c>
      <c r="Q17" t="s">
        <v>106</v>
      </c>
      <c r="R17">
        <v>1</v>
      </c>
      <c r="S17" t="s">
        <v>85</v>
      </c>
      <c r="T17" t="s">
        <v>86</v>
      </c>
      <c r="U17" t="s">
        <v>87</v>
      </c>
      <c r="V17">
        <v>1</v>
      </c>
      <c r="W17" t="s">
        <v>107</v>
      </c>
      <c r="X17" t="b">
        <v>0</v>
      </c>
      <c r="Y17" t="s">
        <v>89</v>
      </c>
      <c r="Z17">
        <v>4000</v>
      </c>
      <c r="AA17">
        <v>4000</v>
      </c>
      <c r="AC17">
        <v>256</v>
      </c>
      <c r="AD17" t="s">
        <v>90</v>
      </c>
      <c r="AE17">
        <v>0.15</v>
      </c>
      <c r="AF17" t="s">
        <v>91</v>
      </c>
      <c r="AG17">
        <v>40</v>
      </c>
      <c r="AH17">
        <v>10</v>
      </c>
      <c r="AI17">
        <v>30</v>
      </c>
      <c r="AJ17">
        <v>4.7442113832937699E-2</v>
      </c>
      <c r="AK17">
        <v>8.7449836100772001E-3</v>
      </c>
      <c r="AL17">
        <v>0.88207940937379226</v>
      </c>
      <c r="AM17">
        <v>-0.2584056042796381</v>
      </c>
      <c r="AN17">
        <v>8.7403091743385002E-3</v>
      </c>
      <c r="AO17">
        <v>0.93653405453695038</v>
      </c>
      <c r="AP17">
        <v>8.7403091743385002E-3</v>
      </c>
      <c r="AQ17">
        <v>8.7403091743385002E-3</v>
      </c>
      <c r="AR17">
        <v>0.93653405453695038</v>
      </c>
      <c r="AS17">
        <v>0.1800553413475707</v>
      </c>
      <c r="AT17">
        <v>-0.30743458227386378</v>
      </c>
      <c r="AU17">
        <v>0.2</v>
      </c>
      <c r="AV17" t="s">
        <v>92</v>
      </c>
      <c r="AW17">
        <v>8.7403091743385002E-3</v>
      </c>
      <c r="AX17">
        <v>0.93653405453695038</v>
      </c>
      <c r="AY17">
        <v>8.7403091743385002E-3</v>
      </c>
      <c r="AZ17">
        <v>8.7403091743385002E-3</v>
      </c>
      <c r="BA17">
        <v>0.93653405453695038</v>
      </c>
      <c r="BB17">
        <v>0.1800553413475707</v>
      </c>
      <c r="BC17">
        <v>-0.30743458227386378</v>
      </c>
    </row>
    <row r="18" spans="1:55" x14ac:dyDescent="0.3">
      <c r="A18" t="s">
        <v>118</v>
      </c>
      <c r="B18" t="s">
        <v>119</v>
      </c>
      <c r="C18">
        <v>6</v>
      </c>
      <c r="D18" t="s">
        <v>78</v>
      </c>
      <c r="E18" t="s">
        <v>79</v>
      </c>
      <c r="F18">
        <v>16590</v>
      </c>
      <c r="G18">
        <v>4.5</v>
      </c>
      <c r="H18" t="s">
        <v>105</v>
      </c>
      <c r="I18" t="s">
        <v>81</v>
      </c>
      <c r="J18">
        <v>5</v>
      </c>
      <c r="K18">
        <v>5</v>
      </c>
      <c r="L18" t="s">
        <v>82</v>
      </c>
      <c r="M18" t="b">
        <v>1</v>
      </c>
      <c r="N18" t="b">
        <v>0</v>
      </c>
      <c r="O18" t="b">
        <v>0</v>
      </c>
      <c r="P18" t="s">
        <v>83</v>
      </c>
      <c r="Q18" t="s">
        <v>106</v>
      </c>
      <c r="R18">
        <v>1</v>
      </c>
      <c r="S18" t="s">
        <v>85</v>
      </c>
      <c r="T18" t="s">
        <v>86</v>
      </c>
      <c r="U18" t="s">
        <v>87</v>
      </c>
      <c r="V18">
        <v>1</v>
      </c>
      <c r="W18" t="s">
        <v>107</v>
      </c>
      <c r="X18" t="b">
        <v>0</v>
      </c>
      <c r="Y18" t="s">
        <v>89</v>
      </c>
      <c r="Z18">
        <v>4000</v>
      </c>
      <c r="AA18">
        <v>4000</v>
      </c>
      <c r="AC18">
        <v>256</v>
      </c>
      <c r="AD18" t="s">
        <v>90</v>
      </c>
      <c r="AE18">
        <v>0.15</v>
      </c>
      <c r="AF18" t="s">
        <v>91</v>
      </c>
      <c r="AG18">
        <v>40</v>
      </c>
      <c r="AH18">
        <v>10</v>
      </c>
      <c r="AI18">
        <v>30</v>
      </c>
      <c r="AJ18">
        <v>5.9038278603127603E-2</v>
      </c>
      <c r="AK18">
        <v>9.9025373707716004E-3</v>
      </c>
      <c r="AL18">
        <v>0.86647052670128855</v>
      </c>
      <c r="AM18">
        <v>-2.3840771480085658</v>
      </c>
      <c r="AN18">
        <v>9.2621872441949991E-3</v>
      </c>
      <c r="AO18">
        <v>0.93274454498308701</v>
      </c>
      <c r="AP18">
        <v>9.2621872441949991E-3</v>
      </c>
      <c r="AQ18">
        <v>9.2621872441949991E-3</v>
      </c>
      <c r="AR18">
        <v>0.93274454498308701</v>
      </c>
      <c r="AS18">
        <v>0.34637606611218857</v>
      </c>
      <c r="AT18">
        <v>-1.5151380898657441</v>
      </c>
      <c r="AU18">
        <v>0.2</v>
      </c>
      <c r="AV18" t="s">
        <v>92</v>
      </c>
      <c r="AW18">
        <v>9.2621872441949991E-3</v>
      </c>
      <c r="AX18">
        <v>0.93274454498308701</v>
      </c>
      <c r="AY18">
        <v>9.2621872441949991E-3</v>
      </c>
      <c r="AZ18">
        <v>9.2621872441949991E-3</v>
      </c>
      <c r="BA18">
        <v>0.93274454498308701</v>
      </c>
      <c r="BB18">
        <v>0.34637606611218857</v>
      </c>
      <c r="BC18">
        <v>-1.5151380898657441</v>
      </c>
    </row>
    <row r="19" spans="1:55" x14ac:dyDescent="0.3">
      <c r="A19" t="s">
        <v>118</v>
      </c>
      <c r="B19" t="s">
        <v>120</v>
      </c>
      <c r="C19">
        <v>7</v>
      </c>
      <c r="D19" t="s">
        <v>94</v>
      </c>
      <c r="E19" t="s">
        <v>79</v>
      </c>
      <c r="F19">
        <v>16590</v>
      </c>
      <c r="G19">
        <v>4.5</v>
      </c>
      <c r="H19" t="s">
        <v>105</v>
      </c>
      <c r="I19" t="s">
        <v>81</v>
      </c>
      <c r="J19">
        <v>5</v>
      </c>
      <c r="K19">
        <v>5</v>
      </c>
      <c r="L19" t="s">
        <v>82</v>
      </c>
      <c r="M19" t="b">
        <v>1</v>
      </c>
      <c r="N19" t="b">
        <v>0</v>
      </c>
      <c r="O19" t="b">
        <v>0</v>
      </c>
      <c r="P19" t="s">
        <v>83</v>
      </c>
      <c r="Q19" t="s">
        <v>106</v>
      </c>
      <c r="R19">
        <v>1</v>
      </c>
      <c r="S19" t="s">
        <v>85</v>
      </c>
      <c r="T19" t="s">
        <v>86</v>
      </c>
      <c r="U19" t="s">
        <v>87</v>
      </c>
      <c r="V19">
        <v>1</v>
      </c>
      <c r="W19" t="s">
        <v>107</v>
      </c>
      <c r="X19" t="b">
        <v>0</v>
      </c>
      <c r="Y19" t="s">
        <v>89</v>
      </c>
      <c r="Z19">
        <v>4000</v>
      </c>
      <c r="AA19">
        <v>4000</v>
      </c>
      <c r="AC19">
        <v>256</v>
      </c>
      <c r="AD19" t="s">
        <v>90</v>
      </c>
      <c r="AE19">
        <v>0.15</v>
      </c>
      <c r="AF19" t="s">
        <v>91</v>
      </c>
      <c r="AG19">
        <v>40</v>
      </c>
      <c r="AH19">
        <v>10</v>
      </c>
      <c r="AI19">
        <v>30</v>
      </c>
      <c r="AJ19">
        <v>5.3962096230812898E-2</v>
      </c>
      <c r="AK19">
        <v>9.2380100992288001E-3</v>
      </c>
      <c r="AL19">
        <v>0.87543125800068755</v>
      </c>
      <c r="AM19">
        <v>2.4678857215710899E-2</v>
      </c>
      <c r="AN19">
        <v>8.6385494837930999E-3</v>
      </c>
      <c r="AO19">
        <v>0.93727296146137062</v>
      </c>
      <c r="AP19">
        <v>8.6385494837930999E-3</v>
      </c>
      <c r="AQ19">
        <v>8.6385494837930999E-3</v>
      </c>
      <c r="AR19">
        <v>0.93727296146137062</v>
      </c>
      <c r="AS19">
        <v>0.1381574998274385</v>
      </c>
      <c r="AT19">
        <v>-3.2020806658815998E-3</v>
      </c>
      <c r="AU19">
        <v>0.2</v>
      </c>
      <c r="AV19" t="s">
        <v>92</v>
      </c>
      <c r="AW19">
        <v>8.6385494837930999E-3</v>
      </c>
      <c r="AX19">
        <v>0.93727296146137062</v>
      </c>
      <c r="AY19">
        <v>8.6385494837930999E-3</v>
      </c>
      <c r="AZ19">
        <v>8.6385494837930999E-3</v>
      </c>
      <c r="BA19">
        <v>0.93727296146137062</v>
      </c>
      <c r="BB19">
        <v>0.1381574998274385</v>
      </c>
      <c r="BC19">
        <v>-3.2020806658815998E-3</v>
      </c>
    </row>
    <row r="20" spans="1:55" x14ac:dyDescent="0.3">
      <c r="A20" t="s">
        <v>121</v>
      </c>
      <c r="B20" t="s">
        <v>122</v>
      </c>
      <c r="C20">
        <v>8</v>
      </c>
      <c r="D20" t="s">
        <v>78</v>
      </c>
      <c r="E20" t="s">
        <v>79</v>
      </c>
      <c r="F20">
        <v>16590</v>
      </c>
      <c r="G20">
        <v>4.5</v>
      </c>
      <c r="H20" t="s">
        <v>105</v>
      </c>
      <c r="I20" t="s">
        <v>81</v>
      </c>
      <c r="J20">
        <v>5</v>
      </c>
      <c r="K20">
        <v>5</v>
      </c>
      <c r="L20" t="s">
        <v>82</v>
      </c>
      <c r="M20" t="b">
        <v>1</v>
      </c>
      <c r="N20" t="b">
        <v>0</v>
      </c>
      <c r="O20" t="b">
        <v>0</v>
      </c>
      <c r="P20" t="s">
        <v>83</v>
      </c>
      <c r="Q20" t="s">
        <v>106</v>
      </c>
      <c r="R20">
        <v>1</v>
      </c>
      <c r="S20" t="s">
        <v>85</v>
      </c>
      <c r="T20" t="s">
        <v>86</v>
      </c>
      <c r="U20" t="s">
        <v>87</v>
      </c>
      <c r="V20">
        <v>1</v>
      </c>
      <c r="W20" t="s">
        <v>107</v>
      </c>
      <c r="X20" t="b">
        <v>0</v>
      </c>
      <c r="Y20" t="s">
        <v>89</v>
      </c>
      <c r="Z20">
        <v>4000</v>
      </c>
      <c r="AA20">
        <v>4000</v>
      </c>
      <c r="AC20">
        <v>256</v>
      </c>
      <c r="AD20" t="s">
        <v>90</v>
      </c>
      <c r="AE20">
        <v>0.15</v>
      </c>
      <c r="AF20" t="s">
        <v>91</v>
      </c>
      <c r="AG20">
        <v>40</v>
      </c>
      <c r="AH20">
        <v>10</v>
      </c>
      <c r="AI20">
        <v>30</v>
      </c>
      <c r="AJ20">
        <v>5.2156341729859203E-2</v>
      </c>
      <c r="AK20">
        <v>8.6372020007347994E-3</v>
      </c>
      <c r="AL20">
        <v>0.88353277642386452</v>
      </c>
      <c r="AM20">
        <v>0.50382954493768439</v>
      </c>
      <c r="AN20">
        <v>8.1443003651626E-3</v>
      </c>
      <c r="AO20">
        <v>0.94086184910624415</v>
      </c>
      <c r="AP20">
        <v>8.1443003651626E-3</v>
      </c>
      <c r="AQ20">
        <v>8.1443003651626E-3</v>
      </c>
      <c r="AR20">
        <v>0.94086184910624415</v>
      </c>
      <c r="AS20">
        <v>5.47971120890706E-2</v>
      </c>
      <c r="AT20">
        <v>0.6021021158395381</v>
      </c>
      <c r="AU20">
        <v>0.2</v>
      </c>
      <c r="AV20" t="s">
        <v>92</v>
      </c>
      <c r="AW20">
        <v>8.1443003651626E-3</v>
      </c>
      <c r="AX20">
        <v>0.94086184910624415</v>
      </c>
      <c r="AY20">
        <v>8.1443003651626E-3</v>
      </c>
      <c r="AZ20">
        <v>8.1443003651626E-3</v>
      </c>
      <c r="BA20">
        <v>0.94086184910624415</v>
      </c>
      <c r="BB20">
        <v>5.47971120890706E-2</v>
      </c>
      <c r="BC20">
        <v>0.6021021158395381</v>
      </c>
    </row>
    <row r="21" spans="1:55" x14ac:dyDescent="0.3">
      <c r="A21" t="s">
        <v>121</v>
      </c>
      <c r="B21" t="s">
        <v>123</v>
      </c>
      <c r="C21">
        <v>9</v>
      </c>
      <c r="D21" t="s">
        <v>78</v>
      </c>
      <c r="E21" t="s">
        <v>79</v>
      </c>
      <c r="F21">
        <v>16590</v>
      </c>
      <c r="G21">
        <v>4.5</v>
      </c>
      <c r="H21" t="s">
        <v>105</v>
      </c>
      <c r="I21" t="s">
        <v>81</v>
      </c>
      <c r="J21">
        <v>5</v>
      </c>
      <c r="K21">
        <v>5</v>
      </c>
      <c r="L21" t="s">
        <v>82</v>
      </c>
      <c r="M21" t="b">
        <v>1</v>
      </c>
      <c r="N21" t="b">
        <v>0</v>
      </c>
      <c r="O21" t="b">
        <v>0</v>
      </c>
      <c r="P21" t="s">
        <v>83</v>
      </c>
      <c r="Q21" t="s">
        <v>106</v>
      </c>
      <c r="R21">
        <v>1</v>
      </c>
      <c r="S21" t="s">
        <v>85</v>
      </c>
      <c r="T21" t="s">
        <v>86</v>
      </c>
      <c r="U21" t="s">
        <v>87</v>
      </c>
      <c r="V21">
        <v>1</v>
      </c>
      <c r="W21" t="s">
        <v>107</v>
      </c>
      <c r="X21" t="b">
        <v>0</v>
      </c>
      <c r="Y21" t="s">
        <v>89</v>
      </c>
      <c r="Z21">
        <v>4000</v>
      </c>
      <c r="AA21">
        <v>4000</v>
      </c>
      <c r="AC21">
        <v>256</v>
      </c>
      <c r="AD21" t="s">
        <v>90</v>
      </c>
      <c r="AE21">
        <v>0.15</v>
      </c>
      <c r="AF21" t="s">
        <v>91</v>
      </c>
      <c r="AG21">
        <v>40</v>
      </c>
      <c r="AH21">
        <v>10</v>
      </c>
      <c r="AI21">
        <v>30</v>
      </c>
      <c r="AJ21">
        <v>3.8520001552107601E-2</v>
      </c>
      <c r="AK21">
        <v>9.1042218243946003E-3</v>
      </c>
      <c r="AL21">
        <v>0.87723530853877252</v>
      </c>
      <c r="AM21">
        <v>-2.317239789524149</v>
      </c>
      <c r="AN21">
        <v>8.6111769004864006E-3</v>
      </c>
      <c r="AO21">
        <v>0.93747172180779204</v>
      </c>
      <c r="AP21">
        <v>8.6111769004864006E-3</v>
      </c>
      <c r="AQ21">
        <v>8.6111769004864006E-3</v>
      </c>
      <c r="AR21">
        <v>0.93747172180779204</v>
      </c>
      <c r="AS21">
        <v>0.2786287546630693</v>
      </c>
      <c r="AT21">
        <v>-1.023205014280526</v>
      </c>
      <c r="AU21">
        <v>0.2</v>
      </c>
      <c r="AV21" t="s">
        <v>92</v>
      </c>
      <c r="AW21">
        <v>8.6111769004864006E-3</v>
      </c>
      <c r="AX21">
        <v>0.93747172180779204</v>
      </c>
      <c r="AY21">
        <v>8.6111769004864006E-3</v>
      </c>
      <c r="AZ21">
        <v>8.6111769004864006E-3</v>
      </c>
      <c r="BA21">
        <v>0.93747172180779204</v>
      </c>
      <c r="BB21">
        <v>0.2786287546630693</v>
      </c>
      <c r="BC21">
        <v>-1.023205014280526</v>
      </c>
    </row>
    <row r="22" spans="1:55" x14ac:dyDescent="0.3">
      <c r="A22" t="s">
        <v>124</v>
      </c>
      <c r="B22" t="s">
        <v>125</v>
      </c>
      <c r="C22">
        <v>0</v>
      </c>
      <c r="D22" t="s">
        <v>78</v>
      </c>
      <c r="E22" t="s">
        <v>79</v>
      </c>
      <c r="F22">
        <v>16590</v>
      </c>
      <c r="G22">
        <v>4.5</v>
      </c>
      <c r="H22" t="s">
        <v>126</v>
      </c>
      <c r="I22" t="s">
        <v>81</v>
      </c>
      <c r="J22">
        <v>5</v>
      </c>
      <c r="K22">
        <v>5</v>
      </c>
      <c r="L22" t="s">
        <v>82</v>
      </c>
      <c r="M22" t="b">
        <v>1</v>
      </c>
      <c r="N22" t="b">
        <v>0</v>
      </c>
      <c r="O22" t="b">
        <v>0</v>
      </c>
      <c r="P22" t="s">
        <v>83</v>
      </c>
      <c r="Q22" t="s">
        <v>127</v>
      </c>
      <c r="R22">
        <v>1</v>
      </c>
      <c r="S22" t="s">
        <v>85</v>
      </c>
      <c r="T22" t="s">
        <v>86</v>
      </c>
      <c r="U22" t="s">
        <v>87</v>
      </c>
      <c r="V22">
        <v>1</v>
      </c>
      <c r="W22" t="s">
        <v>107</v>
      </c>
      <c r="X22" t="b">
        <v>0</v>
      </c>
      <c r="Y22" t="s">
        <v>89</v>
      </c>
      <c r="Z22">
        <v>4000</v>
      </c>
      <c r="AA22">
        <v>4000</v>
      </c>
      <c r="AC22">
        <v>256</v>
      </c>
      <c r="AD22" t="s">
        <v>90</v>
      </c>
      <c r="AE22">
        <v>0.15</v>
      </c>
      <c r="AF22" t="s">
        <v>91</v>
      </c>
      <c r="AG22">
        <v>40</v>
      </c>
      <c r="AH22">
        <v>10</v>
      </c>
      <c r="AI22">
        <v>30</v>
      </c>
      <c r="AJ22">
        <v>5.5022592076177497E-2</v>
      </c>
      <c r="AK22">
        <v>5.582129985269E-3</v>
      </c>
      <c r="AL22">
        <v>0.92472849645405242</v>
      </c>
      <c r="AM22">
        <v>-8.94475763165517</v>
      </c>
      <c r="AN22">
        <v>6.0013702050394999E-3</v>
      </c>
      <c r="AO22">
        <v>0.95642229278858004</v>
      </c>
      <c r="AP22">
        <v>6.0013702050394999E-3</v>
      </c>
      <c r="AQ22">
        <v>6.0013702050394999E-3</v>
      </c>
      <c r="AR22">
        <v>0.95642229278858004</v>
      </c>
      <c r="AS22">
        <v>0.76944035737461935</v>
      </c>
      <c r="AT22">
        <v>-4.5871318490175437</v>
      </c>
      <c r="AU22">
        <v>0.2</v>
      </c>
      <c r="AV22" t="s">
        <v>92</v>
      </c>
      <c r="AW22">
        <v>6.0013702050394999E-3</v>
      </c>
      <c r="AX22">
        <v>0.95642229278858004</v>
      </c>
      <c r="AY22">
        <v>6.0013702050394999E-3</v>
      </c>
      <c r="AZ22">
        <v>6.0013702050394999E-3</v>
      </c>
      <c r="BA22">
        <v>0.95642229278858004</v>
      </c>
      <c r="BB22">
        <v>0.76944035737461935</v>
      </c>
      <c r="BC22">
        <v>-4.5871318490175437</v>
      </c>
    </row>
    <row r="23" spans="1:55" x14ac:dyDescent="0.3">
      <c r="A23" t="s">
        <v>128</v>
      </c>
      <c r="B23" t="s">
        <v>129</v>
      </c>
      <c r="C23">
        <v>1</v>
      </c>
      <c r="D23" t="s">
        <v>78</v>
      </c>
      <c r="E23" t="s">
        <v>79</v>
      </c>
      <c r="F23">
        <v>16590</v>
      </c>
      <c r="G23">
        <v>4.5</v>
      </c>
      <c r="H23" t="s">
        <v>126</v>
      </c>
      <c r="I23" t="s">
        <v>81</v>
      </c>
      <c r="J23">
        <v>5</v>
      </c>
      <c r="K23">
        <v>5</v>
      </c>
      <c r="L23" t="s">
        <v>82</v>
      </c>
      <c r="M23" t="b">
        <v>1</v>
      </c>
      <c r="N23" t="b">
        <v>0</v>
      </c>
      <c r="O23" t="b">
        <v>0</v>
      </c>
      <c r="P23" t="s">
        <v>83</v>
      </c>
      <c r="Q23" t="s">
        <v>127</v>
      </c>
      <c r="R23">
        <v>1</v>
      </c>
      <c r="S23" t="s">
        <v>85</v>
      </c>
      <c r="T23" t="s">
        <v>86</v>
      </c>
      <c r="U23" t="s">
        <v>87</v>
      </c>
      <c r="V23">
        <v>1</v>
      </c>
      <c r="W23" t="s">
        <v>107</v>
      </c>
      <c r="X23" t="b">
        <v>0</v>
      </c>
      <c r="Y23" t="s">
        <v>89</v>
      </c>
      <c r="Z23">
        <v>4000</v>
      </c>
      <c r="AA23">
        <v>4000</v>
      </c>
      <c r="AC23">
        <v>256</v>
      </c>
      <c r="AD23" t="s">
        <v>90</v>
      </c>
      <c r="AE23">
        <v>0.15</v>
      </c>
      <c r="AF23" t="s">
        <v>91</v>
      </c>
      <c r="AG23">
        <v>40</v>
      </c>
      <c r="AH23">
        <v>10</v>
      </c>
      <c r="AI23">
        <v>30</v>
      </c>
      <c r="AJ23">
        <v>8.1816700508253098E-2</v>
      </c>
      <c r="AK23">
        <v>4.2848519986542002E-3</v>
      </c>
      <c r="AL23">
        <v>0.94222147222266495</v>
      </c>
      <c r="AM23">
        <v>-6.399250847162544</v>
      </c>
      <c r="AN23">
        <v>4.1996214918430001E-3</v>
      </c>
      <c r="AO23">
        <v>0.96950531803276485</v>
      </c>
      <c r="AP23">
        <v>4.1996214918430001E-3</v>
      </c>
      <c r="AQ23">
        <v>4.1996214918430001E-3</v>
      </c>
      <c r="AR23">
        <v>0.96950531803276485</v>
      </c>
      <c r="AS23">
        <v>0.58603626496194539</v>
      </c>
      <c r="AT23">
        <v>-3.2553810042147568</v>
      </c>
      <c r="AU23">
        <v>0.2</v>
      </c>
      <c r="AV23" t="s">
        <v>92</v>
      </c>
      <c r="AW23">
        <v>4.1996214918430001E-3</v>
      </c>
      <c r="AX23">
        <v>0.96950531803276485</v>
      </c>
      <c r="AY23">
        <v>4.1996214918430001E-3</v>
      </c>
      <c r="AZ23">
        <v>4.1996214918430001E-3</v>
      </c>
      <c r="BA23">
        <v>0.96950531803276485</v>
      </c>
      <c r="BB23">
        <v>0.58603626496194539</v>
      </c>
      <c r="BC23">
        <v>-3.2553810042147568</v>
      </c>
    </row>
    <row r="24" spans="1:55" x14ac:dyDescent="0.3">
      <c r="A24" t="s">
        <v>130</v>
      </c>
      <c r="B24" t="s">
        <v>131</v>
      </c>
      <c r="C24">
        <v>2</v>
      </c>
      <c r="D24" t="s">
        <v>78</v>
      </c>
      <c r="E24" t="s">
        <v>79</v>
      </c>
      <c r="F24">
        <v>16590</v>
      </c>
      <c r="G24">
        <v>4.5</v>
      </c>
      <c r="H24" t="s">
        <v>126</v>
      </c>
      <c r="I24" t="s">
        <v>81</v>
      </c>
      <c r="J24">
        <v>5</v>
      </c>
      <c r="K24">
        <v>5</v>
      </c>
      <c r="L24" t="s">
        <v>82</v>
      </c>
      <c r="M24" t="b">
        <v>1</v>
      </c>
      <c r="N24" t="b">
        <v>0</v>
      </c>
      <c r="O24" t="b">
        <v>0</v>
      </c>
      <c r="P24" t="s">
        <v>83</v>
      </c>
      <c r="Q24" t="s">
        <v>127</v>
      </c>
      <c r="R24">
        <v>1</v>
      </c>
      <c r="S24" t="s">
        <v>85</v>
      </c>
      <c r="T24" t="s">
        <v>86</v>
      </c>
      <c r="U24" t="s">
        <v>87</v>
      </c>
      <c r="V24">
        <v>1</v>
      </c>
      <c r="W24" t="s">
        <v>107</v>
      </c>
      <c r="X24" t="b">
        <v>0</v>
      </c>
      <c r="Y24" t="s">
        <v>89</v>
      </c>
      <c r="Z24">
        <v>4000</v>
      </c>
      <c r="AA24">
        <v>4000</v>
      </c>
      <c r="AC24">
        <v>256</v>
      </c>
      <c r="AD24" t="s">
        <v>90</v>
      </c>
      <c r="AE24">
        <v>0.15</v>
      </c>
      <c r="AF24" t="s">
        <v>91</v>
      </c>
      <c r="AG24">
        <v>40</v>
      </c>
      <c r="AH24">
        <v>10</v>
      </c>
      <c r="AI24">
        <v>30</v>
      </c>
      <c r="AJ24">
        <v>6.02890288019211E-2</v>
      </c>
      <c r="AK24">
        <v>5.3192383269211998E-3</v>
      </c>
      <c r="AL24">
        <v>0.92827342472439878</v>
      </c>
      <c r="AM24">
        <v>-9.5189924362951537</v>
      </c>
      <c r="AN24">
        <v>5.4295112388230999E-3</v>
      </c>
      <c r="AO24">
        <v>0.96057472827324242</v>
      </c>
      <c r="AP24">
        <v>5.4295112388230999E-3</v>
      </c>
      <c r="AQ24">
        <v>5.4295112388230999E-3</v>
      </c>
      <c r="AR24">
        <v>0.96057472827324242</v>
      </c>
      <c r="AS24">
        <v>0.81083226712155188</v>
      </c>
      <c r="AT24">
        <v>-4.8876906318032924</v>
      </c>
      <c r="AU24">
        <v>0.2</v>
      </c>
      <c r="AV24" t="s">
        <v>92</v>
      </c>
      <c r="AW24">
        <v>5.4295112388230999E-3</v>
      </c>
      <c r="AX24">
        <v>0.96057472827324242</v>
      </c>
      <c r="AY24">
        <v>5.4295112388230999E-3</v>
      </c>
      <c r="AZ24">
        <v>5.4295112388230999E-3</v>
      </c>
      <c r="BA24">
        <v>0.96057472827324242</v>
      </c>
      <c r="BB24">
        <v>0.81083226712155188</v>
      </c>
      <c r="BC24">
        <v>-4.8876906318032924</v>
      </c>
    </row>
    <row r="25" spans="1:55" x14ac:dyDescent="0.3">
      <c r="A25" t="s">
        <v>132</v>
      </c>
      <c r="B25" t="s">
        <v>133</v>
      </c>
      <c r="C25">
        <v>3</v>
      </c>
      <c r="D25" t="s">
        <v>94</v>
      </c>
      <c r="E25" t="s">
        <v>79</v>
      </c>
      <c r="F25">
        <v>16590</v>
      </c>
      <c r="G25">
        <v>4.5</v>
      </c>
      <c r="H25" t="s">
        <v>126</v>
      </c>
      <c r="I25" t="s">
        <v>81</v>
      </c>
      <c r="J25">
        <v>5</v>
      </c>
      <c r="K25">
        <v>5</v>
      </c>
      <c r="L25" t="s">
        <v>82</v>
      </c>
      <c r="M25" t="b">
        <v>1</v>
      </c>
      <c r="N25" t="b">
        <v>0</v>
      </c>
      <c r="O25" t="b">
        <v>0</v>
      </c>
      <c r="P25" t="s">
        <v>83</v>
      </c>
      <c r="Q25" t="s">
        <v>127</v>
      </c>
      <c r="R25">
        <v>1</v>
      </c>
      <c r="S25" t="s">
        <v>85</v>
      </c>
      <c r="T25" t="s">
        <v>86</v>
      </c>
      <c r="U25" t="s">
        <v>87</v>
      </c>
      <c r="V25">
        <v>1</v>
      </c>
      <c r="W25" t="s">
        <v>107</v>
      </c>
      <c r="X25" t="b">
        <v>0</v>
      </c>
      <c r="Y25" t="s">
        <v>89</v>
      </c>
      <c r="Z25">
        <v>4000</v>
      </c>
      <c r="AA25">
        <v>4000</v>
      </c>
      <c r="AC25">
        <v>256</v>
      </c>
      <c r="AD25" t="s">
        <v>90</v>
      </c>
      <c r="AE25">
        <v>0.15</v>
      </c>
      <c r="AF25" t="s">
        <v>91</v>
      </c>
      <c r="AG25">
        <v>40</v>
      </c>
      <c r="AH25">
        <v>10</v>
      </c>
      <c r="AI25">
        <v>30</v>
      </c>
      <c r="AJ25">
        <v>4.9940940423729999E-2</v>
      </c>
      <c r="AK25">
        <v>5.3644332881022001E-3</v>
      </c>
      <c r="AL25">
        <v>0.92766399916645315</v>
      </c>
      <c r="AM25">
        <v>-5.0677068171542761</v>
      </c>
      <c r="AN25">
        <v>4.9586764708760998E-3</v>
      </c>
      <c r="AO25">
        <v>0.96399359745836977</v>
      </c>
      <c r="AP25">
        <v>4.9586764708760998E-3</v>
      </c>
      <c r="AQ25">
        <v>4.9586764708760998E-3</v>
      </c>
      <c r="AR25">
        <v>0.96399359745836977</v>
      </c>
      <c r="AS25">
        <v>0.48937860851350218</v>
      </c>
      <c r="AT25">
        <v>-2.5535214440571101</v>
      </c>
      <c r="AU25">
        <v>0.2</v>
      </c>
      <c r="AV25" t="s">
        <v>92</v>
      </c>
      <c r="AW25">
        <v>4.9586764708760998E-3</v>
      </c>
      <c r="AX25">
        <v>0.96399359745836977</v>
      </c>
      <c r="AY25">
        <v>4.9586764708760998E-3</v>
      </c>
      <c r="AZ25">
        <v>4.9586764708760998E-3</v>
      </c>
      <c r="BA25">
        <v>0.96399359745836977</v>
      </c>
      <c r="BB25">
        <v>0.48937860851350218</v>
      </c>
      <c r="BC25">
        <v>-2.5535214440571101</v>
      </c>
    </row>
    <row r="26" spans="1:55" x14ac:dyDescent="0.3">
      <c r="A26" t="s">
        <v>132</v>
      </c>
      <c r="B26" t="s">
        <v>134</v>
      </c>
      <c r="C26">
        <v>4</v>
      </c>
      <c r="D26" t="s">
        <v>94</v>
      </c>
      <c r="E26" t="s">
        <v>79</v>
      </c>
      <c r="F26">
        <v>16590</v>
      </c>
      <c r="G26">
        <v>4.5</v>
      </c>
      <c r="H26" t="s">
        <v>126</v>
      </c>
      <c r="I26" t="s">
        <v>81</v>
      </c>
      <c r="J26">
        <v>5</v>
      </c>
      <c r="K26">
        <v>5</v>
      </c>
      <c r="L26" t="s">
        <v>82</v>
      </c>
      <c r="M26" t="b">
        <v>1</v>
      </c>
      <c r="N26" t="b">
        <v>0</v>
      </c>
      <c r="O26" t="b">
        <v>0</v>
      </c>
      <c r="P26" t="s">
        <v>83</v>
      </c>
      <c r="Q26" t="s">
        <v>127</v>
      </c>
      <c r="R26">
        <v>1</v>
      </c>
      <c r="S26" t="s">
        <v>85</v>
      </c>
      <c r="T26" t="s">
        <v>86</v>
      </c>
      <c r="U26" t="s">
        <v>87</v>
      </c>
      <c r="V26">
        <v>1</v>
      </c>
      <c r="W26" t="s">
        <v>107</v>
      </c>
      <c r="X26" t="b">
        <v>0</v>
      </c>
      <c r="Y26" t="s">
        <v>89</v>
      </c>
      <c r="Z26">
        <v>4000</v>
      </c>
      <c r="AA26">
        <v>4000</v>
      </c>
      <c r="AC26">
        <v>256</v>
      </c>
      <c r="AD26" t="s">
        <v>90</v>
      </c>
      <c r="AE26">
        <v>0.15</v>
      </c>
      <c r="AF26" t="s">
        <v>91</v>
      </c>
      <c r="AG26">
        <v>40</v>
      </c>
      <c r="AH26">
        <v>10</v>
      </c>
      <c r="AI26">
        <v>30</v>
      </c>
      <c r="AJ26">
        <v>4.1047936797383097E-2</v>
      </c>
      <c r="AK26">
        <v>5.6613940387308E-3</v>
      </c>
      <c r="AL26">
        <v>0.92365967066587462</v>
      </c>
      <c r="AM26">
        <v>-8.7911866341617522</v>
      </c>
      <c r="AN26">
        <v>6.0707373964983E-3</v>
      </c>
      <c r="AO26">
        <v>0.95591859728968698</v>
      </c>
      <c r="AP26">
        <v>6.0707373964983E-3</v>
      </c>
      <c r="AQ26">
        <v>6.0707373964983E-3</v>
      </c>
      <c r="AR26">
        <v>0.95591859728968698</v>
      </c>
      <c r="AS26">
        <v>0.75890498081278657</v>
      </c>
      <c r="AT26">
        <v>-4.5106313933735844</v>
      </c>
      <c r="AU26">
        <v>0.2</v>
      </c>
      <c r="AV26" t="s">
        <v>92</v>
      </c>
      <c r="AW26">
        <v>6.0707373964983E-3</v>
      </c>
      <c r="AX26">
        <v>0.95591859728968698</v>
      </c>
      <c r="AY26">
        <v>6.0707373964983E-3</v>
      </c>
      <c r="AZ26">
        <v>6.0707373964983E-3</v>
      </c>
      <c r="BA26">
        <v>0.95591859728968698</v>
      </c>
      <c r="BB26">
        <v>0.75890498081278657</v>
      </c>
      <c r="BC26">
        <v>-4.5106313933735844</v>
      </c>
    </row>
    <row r="27" spans="1:55" x14ac:dyDescent="0.3">
      <c r="A27" t="s">
        <v>135</v>
      </c>
      <c r="B27" t="s">
        <v>136</v>
      </c>
      <c r="C27">
        <v>5</v>
      </c>
      <c r="D27" t="s">
        <v>94</v>
      </c>
      <c r="E27" t="s">
        <v>79</v>
      </c>
      <c r="F27">
        <v>16590</v>
      </c>
      <c r="G27">
        <v>4.5</v>
      </c>
      <c r="H27" t="s">
        <v>126</v>
      </c>
      <c r="I27" t="s">
        <v>81</v>
      </c>
      <c r="J27">
        <v>5</v>
      </c>
      <c r="K27">
        <v>5</v>
      </c>
      <c r="L27" t="s">
        <v>82</v>
      </c>
      <c r="M27" t="b">
        <v>1</v>
      </c>
      <c r="N27" t="b">
        <v>0</v>
      </c>
      <c r="O27" t="b">
        <v>0</v>
      </c>
      <c r="P27" t="s">
        <v>83</v>
      </c>
      <c r="Q27" t="s">
        <v>127</v>
      </c>
      <c r="R27">
        <v>1</v>
      </c>
      <c r="S27" t="s">
        <v>85</v>
      </c>
      <c r="T27" t="s">
        <v>86</v>
      </c>
      <c r="U27" t="s">
        <v>87</v>
      </c>
      <c r="V27">
        <v>1</v>
      </c>
      <c r="W27" t="s">
        <v>107</v>
      </c>
      <c r="X27" t="b">
        <v>0</v>
      </c>
      <c r="Y27" t="s">
        <v>89</v>
      </c>
      <c r="Z27">
        <v>4000</v>
      </c>
      <c r="AA27">
        <v>4000</v>
      </c>
      <c r="AC27">
        <v>256</v>
      </c>
      <c r="AD27" t="s">
        <v>90</v>
      </c>
      <c r="AE27">
        <v>0.15</v>
      </c>
      <c r="AF27" t="s">
        <v>91</v>
      </c>
      <c r="AG27">
        <v>40</v>
      </c>
      <c r="AH27">
        <v>10</v>
      </c>
      <c r="AI27">
        <v>30</v>
      </c>
      <c r="AJ27">
        <v>4.7615074332901602E-2</v>
      </c>
      <c r="AK27">
        <v>6.404269376663E-3</v>
      </c>
      <c r="AL27">
        <v>0.91364246508647684</v>
      </c>
      <c r="AM27">
        <v>-6.8639237490713843</v>
      </c>
      <c r="AN27">
        <v>6.8625088339451003E-3</v>
      </c>
      <c r="AO27">
        <v>0.95016931292618456</v>
      </c>
      <c r="AP27">
        <v>6.8625088339451003E-3</v>
      </c>
      <c r="AQ27">
        <v>6.8625088339451003E-3</v>
      </c>
      <c r="AR27">
        <v>0.95016931292618456</v>
      </c>
      <c r="AS27">
        <v>0.61747698421567532</v>
      </c>
      <c r="AT27">
        <v>-3.4836812775431651</v>
      </c>
      <c r="AU27">
        <v>0.2</v>
      </c>
      <c r="AV27" t="s">
        <v>92</v>
      </c>
      <c r="AW27">
        <v>6.8625088339451003E-3</v>
      </c>
      <c r="AX27">
        <v>0.95016931292618456</v>
      </c>
      <c r="AY27">
        <v>6.8625088339451003E-3</v>
      </c>
      <c r="AZ27">
        <v>6.8625088339451003E-3</v>
      </c>
      <c r="BA27">
        <v>0.95016931292618456</v>
      </c>
      <c r="BB27">
        <v>0.61747698421567532</v>
      </c>
      <c r="BC27">
        <v>-3.4836812775431651</v>
      </c>
    </row>
    <row r="28" spans="1:55" x14ac:dyDescent="0.3">
      <c r="A28" t="s">
        <v>137</v>
      </c>
      <c r="B28" t="s">
        <v>138</v>
      </c>
      <c r="C28">
        <v>6</v>
      </c>
      <c r="D28" t="s">
        <v>78</v>
      </c>
      <c r="E28" t="s">
        <v>79</v>
      </c>
      <c r="F28">
        <v>16590</v>
      </c>
      <c r="G28">
        <v>4.5</v>
      </c>
      <c r="H28" t="s">
        <v>126</v>
      </c>
      <c r="I28" t="s">
        <v>81</v>
      </c>
      <c r="J28">
        <v>5</v>
      </c>
      <c r="K28">
        <v>5</v>
      </c>
      <c r="L28" t="s">
        <v>82</v>
      </c>
      <c r="M28" t="b">
        <v>1</v>
      </c>
      <c r="N28" t="b">
        <v>0</v>
      </c>
      <c r="O28" t="b">
        <v>0</v>
      </c>
      <c r="P28" t="s">
        <v>83</v>
      </c>
      <c r="Q28" t="s">
        <v>127</v>
      </c>
      <c r="R28">
        <v>1</v>
      </c>
      <c r="S28" t="s">
        <v>85</v>
      </c>
      <c r="T28" t="s">
        <v>86</v>
      </c>
      <c r="U28" t="s">
        <v>87</v>
      </c>
      <c r="V28">
        <v>1</v>
      </c>
      <c r="W28" t="s">
        <v>107</v>
      </c>
      <c r="X28" t="b">
        <v>0</v>
      </c>
      <c r="Y28" t="s">
        <v>89</v>
      </c>
      <c r="Z28">
        <v>4000</v>
      </c>
      <c r="AA28">
        <v>4000</v>
      </c>
      <c r="AC28">
        <v>256</v>
      </c>
      <c r="AD28" t="s">
        <v>90</v>
      </c>
      <c r="AE28">
        <v>0.15</v>
      </c>
      <c r="AF28" t="s">
        <v>91</v>
      </c>
      <c r="AG28">
        <v>40</v>
      </c>
      <c r="AH28">
        <v>10</v>
      </c>
      <c r="AI28">
        <v>30</v>
      </c>
      <c r="AJ28">
        <v>5.4805389807036302E-2</v>
      </c>
      <c r="AK28">
        <v>4.9528916331785999E-3</v>
      </c>
      <c r="AL28">
        <v>0.93321337892286005</v>
      </c>
      <c r="AM28">
        <v>-4.396929106697554</v>
      </c>
      <c r="AN28">
        <v>4.8334828673757997E-3</v>
      </c>
      <c r="AO28">
        <v>0.96490266488992082</v>
      </c>
      <c r="AP28">
        <v>4.8334828673757997E-3</v>
      </c>
      <c r="AQ28">
        <v>4.8334828673757997E-3</v>
      </c>
      <c r="AR28">
        <v>0.96490266488992082</v>
      </c>
      <c r="AS28">
        <v>0.43950442665633838</v>
      </c>
      <c r="AT28">
        <v>-2.1913703985249562</v>
      </c>
      <c r="AU28">
        <v>0.2</v>
      </c>
      <c r="AV28" t="s">
        <v>92</v>
      </c>
      <c r="AW28">
        <v>4.8334828673757997E-3</v>
      </c>
      <c r="AX28">
        <v>0.96490266488992082</v>
      </c>
      <c r="AY28">
        <v>4.8334828673757997E-3</v>
      </c>
      <c r="AZ28">
        <v>4.8334828673757997E-3</v>
      </c>
      <c r="BA28">
        <v>0.96490266488992082</v>
      </c>
      <c r="BB28">
        <v>0.43950442665633838</v>
      </c>
      <c r="BC28">
        <v>-2.1913703985249562</v>
      </c>
    </row>
    <row r="29" spans="1:55" x14ac:dyDescent="0.3">
      <c r="A29" t="s">
        <v>139</v>
      </c>
      <c r="B29" t="s">
        <v>140</v>
      </c>
      <c r="C29">
        <v>7</v>
      </c>
      <c r="D29" t="s">
        <v>94</v>
      </c>
      <c r="E29" t="s">
        <v>79</v>
      </c>
      <c r="F29">
        <v>16590</v>
      </c>
      <c r="G29">
        <v>4.5</v>
      </c>
      <c r="H29" t="s">
        <v>126</v>
      </c>
      <c r="I29" t="s">
        <v>81</v>
      </c>
      <c r="J29">
        <v>5</v>
      </c>
      <c r="K29">
        <v>5</v>
      </c>
      <c r="L29" t="s">
        <v>82</v>
      </c>
      <c r="M29" t="b">
        <v>1</v>
      </c>
      <c r="N29" t="b">
        <v>0</v>
      </c>
      <c r="O29" t="b">
        <v>0</v>
      </c>
      <c r="P29" t="s">
        <v>83</v>
      </c>
      <c r="Q29" t="s">
        <v>127</v>
      </c>
      <c r="R29">
        <v>1</v>
      </c>
      <c r="S29" t="s">
        <v>85</v>
      </c>
      <c r="T29" t="s">
        <v>86</v>
      </c>
      <c r="U29" t="s">
        <v>87</v>
      </c>
      <c r="V29">
        <v>1</v>
      </c>
      <c r="W29" t="s">
        <v>107</v>
      </c>
      <c r="X29" t="b">
        <v>0</v>
      </c>
      <c r="Y29" t="s">
        <v>89</v>
      </c>
      <c r="Z29">
        <v>4000</v>
      </c>
      <c r="AA29">
        <v>4000</v>
      </c>
      <c r="AC29">
        <v>256</v>
      </c>
      <c r="AD29" t="s">
        <v>90</v>
      </c>
      <c r="AE29">
        <v>0.15</v>
      </c>
      <c r="AF29" t="s">
        <v>91</v>
      </c>
      <c r="AG29">
        <v>40</v>
      </c>
      <c r="AH29">
        <v>10</v>
      </c>
      <c r="AI29">
        <v>30</v>
      </c>
      <c r="AJ29">
        <v>6.7541285402786796E-2</v>
      </c>
      <c r="AK29">
        <v>4.8573584696223002E-3</v>
      </c>
      <c r="AL29">
        <v>0.93450158340365197</v>
      </c>
      <c r="AM29">
        <v>-4.5019217631296771</v>
      </c>
      <c r="AN29">
        <v>4.9130246166970001E-3</v>
      </c>
      <c r="AO29">
        <v>0.96432508894566482</v>
      </c>
      <c r="AP29">
        <v>4.9130246166970001E-3</v>
      </c>
      <c r="AQ29">
        <v>4.9130246166970001E-3</v>
      </c>
      <c r="AR29">
        <v>0.96432508894566482</v>
      </c>
      <c r="AS29">
        <v>0.45007039179994851</v>
      </c>
      <c r="AT29">
        <v>-2.2680929668223859</v>
      </c>
      <c r="AU29">
        <v>0.2</v>
      </c>
      <c r="AV29" t="s">
        <v>92</v>
      </c>
      <c r="AW29">
        <v>4.9130246166970001E-3</v>
      </c>
      <c r="AX29">
        <v>0.96432508894566482</v>
      </c>
      <c r="AY29">
        <v>4.9130246166970001E-3</v>
      </c>
      <c r="AZ29">
        <v>4.9130246166970001E-3</v>
      </c>
      <c r="BA29">
        <v>0.96432508894566482</v>
      </c>
      <c r="BB29">
        <v>0.45007039179994851</v>
      </c>
      <c r="BC29">
        <v>-2.2680929668223859</v>
      </c>
    </row>
    <row r="30" spans="1:55" x14ac:dyDescent="0.3">
      <c r="A30" t="s">
        <v>141</v>
      </c>
      <c r="B30" t="s">
        <v>142</v>
      </c>
      <c r="C30">
        <v>8</v>
      </c>
      <c r="D30" t="s">
        <v>94</v>
      </c>
      <c r="E30" t="s">
        <v>79</v>
      </c>
      <c r="F30">
        <v>16590</v>
      </c>
      <c r="G30">
        <v>4.5</v>
      </c>
      <c r="H30" t="s">
        <v>126</v>
      </c>
      <c r="I30" t="s">
        <v>81</v>
      </c>
      <c r="J30">
        <v>5</v>
      </c>
      <c r="K30">
        <v>5</v>
      </c>
      <c r="L30" t="s">
        <v>82</v>
      </c>
      <c r="M30" t="b">
        <v>1</v>
      </c>
      <c r="N30" t="b">
        <v>0</v>
      </c>
      <c r="O30" t="b">
        <v>0</v>
      </c>
      <c r="P30" t="s">
        <v>83</v>
      </c>
      <c r="Q30" t="s">
        <v>127</v>
      </c>
      <c r="R30">
        <v>1</v>
      </c>
      <c r="S30" t="s">
        <v>85</v>
      </c>
      <c r="T30" t="s">
        <v>86</v>
      </c>
      <c r="U30" t="s">
        <v>87</v>
      </c>
      <c r="V30">
        <v>1</v>
      </c>
      <c r="W30" t="s">
        <v>107</v>
      </c>
      <c r="X30" t="b">
        <v>0</v>
      </c>
      <c r="Y30" t="s">
        <v>89</v>
      </c>
      <c r="Z30">
        <v>4000</v>
      </c>
      <c r="AA30">
        <v>4000</v>
      </c>
      <c r="AC30">
        <v>256</v>
      </c>
      <c r="AD30" t="s">
        <v>90</v>
      </c>
      <c r="AE30">
        <v>0.15</v>
      </c>
      <c r="AF30" t="s">
        <v>91</v>
      </c>
      <c r="AG30">
        <v>40</v>
      </c>
      <c r="AH30">
        <v>10</v>
      </c>
      <c r="AI30">
        <v>30</v>
      </c>
      <c r="AJ30">
        <v>4.4192292713769898E-2</v>
      </c>
      <c r="AK30">
        <v>4.2125191968750003E-3</v>
      </c>
      <c r="AL30">
        <v>0.94319683445177438</v>
      </c>
      <c r="AM30">
        <v>-4.944663770919183</v>
      </c>
      <c r="AN30">
        <v>3.9767687400178E-3</v>
      </c>
      <c r="AO30">
        <v>0.97112351715038325</v>
      </c>
      <c r="AP30">
        <v>3.9767687400178E-3</v>
      </c>
      <c r="AQ30">
        <v>3.9767687400178E-3</v>
      </c>
      <c r="AR30">
        <v>0.97112351715038325</v>
      </c>
      <c r="AS30">
        <v>0.4809905882794534</v>
      </c>
      <c r="AT30">
        <v>-2.4926135717955562</v>
      </c>
      <c r="AU30">
        <v>0.2</v>
      </c>
      <c r="AV30" t="s">
        <v>92</v>
      </c>
      <c r="AW30">
        <v>3.9767687400178E-3</v>
      </c>
      <c r="AX30">
        <v>0.97112351715038325</v>
      </c>
      <c r="AY30">
        <v>3.9767687400178E-3</v>
      </c>
      <c r="AZ30">
        <v>3.9767687400178E-3</v>
      </c>
      <c r="BA30">
        <v>0.97112351715038325</v>
      </c>
      <c r="BB30">
        <v>0.4809905882794534</v>
      </c>
      <c r="BC30">
        <v>-2.4926135717955562</v>
      </c>
    </row>
    <row r="31" spans="1:55" x14ac:dyDescent="0.3">
      <c r="A31" t="s">
        <v>143</v>
      </c>
      <c r="B31" t="s">
        <v>144</v>
      </c>
      <c r="C31">
        <v>9</v>
      </c>
      <c r="D31" t="s">
        <v>94</v>
      </c>
      <c r="E31" t="s">
        <v>79</v>
      </c>
      <c r="F31">
        <v>16590</v>
      </c>
      <c r="G31">
        <v>4.5</v>
      </c>
      <c r="H31" t="s">
        <v>126</v>
      </c>
      <c r="I31" t="s">
        <v>81</v>
      </c>
      <c r="J31">
        <v>5</v>
      </c>
      <c r="K31">
        <v>5</v>
      </c>
      <c r="L31" t="s">
        <v>82</v>
      </c>
      <c r="M31" t="b">
        <v>1</v>
      </c>
      <c r="N31" t="b">
        <v>0</v>
      </c>
      <c r="O31" t="b">
        <v>0</v>
      </c>
      <c r="P31" t="s">
        <v>83</v>
      </c>
      <c r="Q31" t="s">
        <v>127</v>
      </c>
      <c r="R31">
        <v>1</v>
      </c>
      <c r="S31" t="s">
        <v>85</v>
      </c>
      <c r="T31" t="s">
        <v>86</v>
      </c>
      <c r="U31" t="s">
        <v>87</v>
      </c>
      <c r="V31">
        <v>1</v>
      </c>
      <c r="W31" t="s">
        <v>107</v>
      </c>
      <c r="X31" t="b">
        <v>0</v>
      </c>
      <c r="Y31" t="s">
        <v>89</v>
      </c>
      <c r="Z31">
        <v>4000</v>
      </c>
      <c r="AA31">
        <v>4000</v>
      </c>
      <c r="AC31">
        <v>256</v>
      </c>
      <c r="AD31" t="s">
        <v>90</v>
      </c>
      <c r="AE31">
        <v>0.15</v>
      </c>
      <c r="AF31" t="s">
        <v>91</v>
      </c>
      <c r="AG31">
        <v>40</v>
      </c>
      <c r="AH31">
        <v>10</v>
      </c>
      <c r="AI31">
        <v>30</v>
      </c>
      <c r="AJ31">
        <v>3.70916546700511E-2</v>
      </c>
      <c r="AK31">
        <v>7.4107831734981002E-3</v>
      </c>
      <c r="AL31">
        <v>0.90007026110207378</v>
      </c>
      <c r="AM31">
        <v>-7.1986944510492759</v>
      </c>
      <c r="AN31">
        <v>6.8587310894247999E-3</v>
      </c>
      <c r="AO31">
        <v>0.95019674423586964</v>
      </c>
      <c r="AP31">
        <v>6.8587310894247999E-3</v>
      </c>
      <c r="AQ31">
        <v>6.8587310894247999E-3</v>
      </c>
      <c r="AR31">
        <v>0.95019674423586964</v>
      </c>
      <c r="AS31">
        <v>0.64401524154822043</v>
      </c>
      <c r="AT31">
        <v>-3.676383338643785</v>
      </c>
      <c r="AU31">
        <v>0.2</v>
      </c>
      <c r="AV31" t="s">
        <v>92</v>
      </c>
      <c r="AW31">
        <v>6.8587310894247999E-3</v>
      </c>
      <c r="AX31">
        <v>0.95019674423586964</v>
      </c>
      <c r="AY31">
        <v>6.8587310894247999E-3</v>
      </c>
      <c r="AZ31">
        <v>6.8587310894247999E-3</v>
      </c>
      <c r="BA31">
        <v>0.95019674423586964</v>
      </c>
      <c r="BB31">
        <v>0.64401524154822043</v>
      </c>
      <c r="BC31">
        <v>-3.676383338643785</v>
      </c>
    </row>
    <row r="32" spans="1:55" x14ac:dyDescent="0.3">
      <c r="A32" t="s">
        <v>145</v>
      </c>
      <c r="B32" t="s">
        <v>146</v>
      </c>
      <c r="C32">
        <v>0</v>
      </c>
      <c r="D32" t="s">
        <v>78</v>
      </c>
      <c r="E32" t="s">
        <v>79</v>
      </c>
      <c r="F32">
        <v>16590</v>
      </c>
      <c r="G32">
        <v>4.5</v>
      </c>
      <c r="H32" t="s">
        <v>147</v>
      </c>
      <c r="I32" t="s">
        <v>81</v>
      </c>
      <c r="J32">
        <v>5</v>
      </c>
      <c r="K32">
        <v>5</v>
      </c>
      <c r="L32" t="s">
        <v>82</v>
      </c>
      <c r="M32" t="b">
        <v>1</v>
      </c>
      <c r="N32" t="b">
        <v>0</v>
      </c>
      <c r="O32" t="b">
        <v>0</v>
      </c>
      <c r="P32" t="s">
        <v>83</v>
      </c>
      <c r="Q32" t="s">
        <v>148</v>
      </c>
      <c r="R32">
        <v>1</v>
      </c>
      <c r="S32" t="s">
        <v>85</v>
      </c>
      <c r="T32" t="s">
        <v>86</v>
      </c>
      <c r="U32" t="s">
        <v>87</v>
      </c>
      <c r="V32">
        <v>1</v>
      </c>
      <c r="W32" t="s">
        <v>107</v>
      </c>
      <c r="X32" t="b">
        <v>0</v>
      </c>
      <c r="Y32" t="s">
        <v>89</v>
      </c>
      <c r="Z32">
        <v>4000</v>
      </c>
      <c r="AA32">
        <v>4000</v>
      </c>
      <c r="AC32">
        <v>256</v>
      </c>
      <c r="AD32" t="s">
        <v>90</v>
      </c>
      <c r="AE32">
        <v>0.15</v>
      </c>
      <c r="AF32" t="s">
        <v>91</v>
      </c>
      <c r="AG32">
        <v>40</v>
      </c>
      <c r="AH32">
        <v>10</v>
      </c>
      <c r="AI32">
        <v>30</v>
      </c>
      <c r="AJ32">
        <v>5.3013610269580902E-2</v>
      </c>
      <c r="AK32">
        <v>4.1044986090899996E-3</v>
      </c>
      <c r="AL32">
        <v>0.94465342397547758</v>
      </c>
      <c r="AM32">
        <v>-7.7749457718048456</v>
      </c>
      <c r="AN32">
        <v>4.4130516188675998E-3</v>
      </c>
      <c r="AO32">
        <v>0.96795553935426137</v>
      </c>
      <c r="AP32">
        <v>4.4130516188675998E-3</v>
      </c>
      <c r="AQ32">
        <v>4.4130516188675998E-3</v>
      </c>
      <c r="AR32">
        <v>0.96795553935426137</v>
      </c>
      <c r="AS32">
        <v>0.68394908430937995</v>
      </c>
      <c r="AT32">
        <v>-3.9663546698926648</v>
      </c>
      <c r="AU32">
        <v>0.2</v>
      </c>
      <c r="AV32" t="s">
        <v>92</v>
      </c>
      <c r="AW32">
        <v>4.4130516188675998E-3</v>
      </c>
      <c r="AX32">
        <v>0.96795553935426137</v>
      </c>
      <c r="AY32">
        <v>4.4130516188675998E-3</v>
      </c>
      <c r="AZ32">
        <v>4.4130516188675998E-3</v>
      </c>
      <c r="BA32">
        <v>0.96795553935426137</v>
      </c>
      <c r="BB32">
        <v>0.68394908430937995</v>
      </c>
      <c r="BC32">
        <v>-3.9663546698926648</v>
      </c>
    </row>
    <row r="33" spans="1:55" x14ac:dyDescent="0.3">
      <c r="A33" t="s">
        <v>149</v>
      </c>
      <c r="B33" t="s">
        <v>150</v>
      </c>
      <c r="C33">
        <v>1</v>
      </c>
      <c r="D33" t="s">
        <v>78</v>
      </c>
      <c r="E33" t="s">
        <v>79</v>
      </c>
      <c r="F33">
        <v>16590</v>
      </c>
      <c r="G33">
        <v>4.5</v>
      </c>
      <c r="H33" t="s">
        <v>147</v>
      </c>
      <c r="I33" t="s">
        <v>81</v>
      </c>
      <c r="J33">
        <v>5</v>
      </c>
      <c r="K33">
        <v>5</v>
      </c>
      <c r="L33" t="s">
        <v>82</v>
      </c>
      <c r="M33" t="b">
        <v>1</v>
      </c>
      <c r="N33" t="b">
        <v>0</v>
      </c>
      <c r="O33" t="b">
        <v>0</v>
      </c>
      <c r="P33" t="s">
        <v>83</v>
      </c>
      <c r="Q33" t="s">
        <v>148</v>
      </c>
      <c r="R33">
        <v>1</v>
      </c>
      <c r="S33" t="s">
        <v>85</v>
      </c>
      <c r="T33" t="s">
        <v>86</v>
      </c>
      <c r="U33" t="s">
        <v>87</v>
      </c>
      <c r="V33">
        <v>1</v>
      </c>
      <c r="W33" t="s">
        <v>107</v>
      </c>
      <c r="X33" t="b">
        <v>0</v>
      </c>
      <c r="Y33" t="s">
        <v>89</v>
      </c>
      <c r="Z33">
        <v>4000</v>
      </c>
      <c r="AA33">
        <v>4000</v>
      </c>
      <c r="AC33">
        <v>256</v>
      </c>
      <c r="AD33" t="s">
        <v>90</v>
      </c>
      <c r="AE33">
        <v>0.15</v>
      </c>
      <c r="AF33" t="s">
        <v>91</v>
      </c>
      <c r="AG33">
        <v>40</v>
      </c>
      <c r="AH33">
        <v>10</v>
      </c>
      <c r="AI33">
        <v>30</v>
      </c>
      <c r="AJ33">
        <v>6.18132447353116E-2</v>
      </c>
      <c r="AK33">
        <v>3.0369143751411E-3</v>
      </c>
      <c r="AL33">
        <v>0.95904912430193756</v>
      </c>
      <c r="AM33">
        <v>-7.4538669691895656</v>
      </c>
      <c r="AN33">
        <v>3.1850843120207E-3</v>
      </c>
      <c r="AO33">
        <v>0.97687216971278124</v>
      </c>
      <c r="AP33">
        <v>3.1850843120207E-3</v>
      </c>
      <c r="AQ33">
        <v>3.1850843120207E-3</v>
      </c>
      <c r="AR33">
        <v>0.97687216971278124</v>
      </c>
      <c r="AS33">
        <v>0.6619678339259385</v>
      </c>
      <c r="AT33">
        <v>-3.8067423712635708</v>
      </c>
      <c r="AU33">
        <v>0.2</v>
      </c>
      <c r="AV33" t="s">
        <v>92</v>
      </c>
      <c r="AW33">
        <v>3.1850843120207E-3</v>
      </c>
      <c r="AX33">
        <v>0.97687216971278124</v>
      </c>
      <c r="AY33">
        <v>3.1850843120207E-3</v>
      </c>
      <c r="AZ33">
        <v>3.1850843120207E-3</v>
      </c>
      <c r="BA33">
        <v>0.97687216971278124</v>
      </c>
      <c r="BB33">
        <v>0.6619678339259385</v>
      </c>
      <c r="BC33">
        <v>-3.8067423712635708</v>
      </c>
    </row>
    <row r="34" spans="1:55" x14ac:dyDescent="0.3">
      <c r="A34" t="s">
        <v>151</v>
      </c>
      <c r="B34" t="s">
        <v>152</v>
      </c>
      <c r="C34">
        <v>2</v>
      </c>
      <c r="D34" t="s">
        <v>78</v>
      </c>
      <c r="E34" t="s">
        <v>79</v>
      </c>
      <c r="F34">
        <v>16590</v>
      </c>
      <c r="G34">
        <v>4.5</v>
      </c>
      <c r="H34" t="s">
        <v>147</v>
      </c>
      <c r="I34" t="s">
        <v>81</v>
      </c>
      <c r="J34">
        <v>5</v>
      </c>
      <c r="K34">
        <v>5</v>
      </c>
      <c r="L34" t="s">
        <v>82</v>
      </c>
      <c r="M34" t="b">
        <v>1</v>
      </c>
      <c r="N34" t="b">
        <v>0</v>
      </c>
      <c r="O34" t="b">
        <v>0</v>
      </c>
      <c r="P34" t="s">
        <v>83</v>
      </c>
      <c r="Q34" t="s">
        <v>148</v>
      </c>
      <c r="R34">
        <v>1</v>
      </c>
      <c r="S34" t="s">
        <v>85</v>
      </c>
      <c r="T34" t="s">
        <v>86</v>
      </c>
      <c r="U34" t="s">
        <v>87</v>
      </c>
      <c r="V34">
        <v>1</v>
      </c>
      <c r="W34" t="s">
        <v>107</v>
      </c>
      <c r="X34" t="b">
        <v>0</v>
      </c>
      <c r="Y34" t="s">
        <v>89</v>
      </c>
      <c r="Z34">
        <v>4000</v>
      </c>
      <c r="AA34">
        <v>4000</v>
      </c>
      <c r="AC34">
        <v>256</v>
      </c>
      <c r="AD34" t="s">
        <v>90</v>
      </c>
      <c r="AE34">
        <v>0.15</v>
      </c>
      <c r="AF34" t="s">
        <v>91</v>
      </c>
      <c r="AG34">
        <v>40</v>
      </c>
      <c r="AH34">
        <v>10</v>
      </c>
      <c r="AI34">
        <v>30</v>
      </c>
      <c r="AJ34">
        <v>6.1280355543829601E-2</v>
      </c>
      <c r="AK34">
        <v>4.0500573945812003E-3</v>
      </c>
      <c r="AL34">
        <v>0.94538752943016202</v>
      </c>
      <c r="AM34">
        <v>-7.3929243269736649</v>
      </c>
      <c r="AN34">
        <v>4.1315748236126996E-3</v>
      </c>
      <c r="AO34">
        <v>0.96999942482563695</v>
      </c>
      <c r="AP34">
        <v>4.1315748236126996E-3</v>
      </c>
      <c r="AQ34">
        <v>4.1315748236126996E-3</v>
      </c>
      <c r="AR34">
        <v>0.96999942482563695</v>
      </c>
      <c r="AS34">
        <v>0.65511105078059328</v>
      </c>
      <c r="AT34">
        <v>-3.756953260092069</v>
      </c>
      <c r="AU34">
        <v>0.2</v>
      </c>
      <c r="AV34" t="s">
        <v>92</v>
      </c>
      <c r="AW34">
        <v>4.1315748236126996E-3</v>
      </c>
      <c r="AX34">
        <v>0.96999942482563695</v>
      </c>
      <c r="AY34">
        <v>4.1315748236126996E-3</v>
      </c>
      <c r="AZ34">
        <v>4.1315748236126996E-3</v>
      </c>
      <c r="BA34">
        <v>0.96999942482563695</v>
      </c>
      <c r="BB34">
        <v>0.65511105078059328</v>
      </c>
      <c r="BC34">
        <v>-3.756953260092069</v>
      </c>
    </row>
    <row r="35" spans="1:55" x14ac:dyDescent="0.3">
      <c r="A35" t="s">
        <v>153</v>
      </c>
      <c r="B35" t="s">
        <v>154</v>
      </c>
      <c r="C35">
        <v>3</v>
      </c>
      <c r="D35" t="s">
        <v>78</v>
      </c>
      <c r="E35" t="s">
        <v>79</v>
      </c>
      <c r="F35">
        <v>16590</v>
      </c>
      <c r="G35">
        <v>4.5</v>
      </c>
      <c r="H35" t="s">
        <v>147</v>
      </c>
      <c r="I35" t="s">
        <v>81</v>
      </c>
      <c r="J35">
        <v>5</v>
      </c>
      <c r="K35">
        <v>5</v>
      </c>
      <c r="L35" t="s">
        <v>82</v>
      </c>
      <c r="M35" t="b">
        <v>1</v>
      </c>
      <c r="N35" t="b">
        <v>0</v>
      </c>
      <c r="O35" t="b">
        <v>0</v>
      </c>
      <c r="P35" t="s">
        <v>83</v>
      </c>
      <c r="Q35" t="s">
        <v>148</v>
      </c>
      <c r="R35">
        <v>1</v>
      </c>
      <c r="S35" t="s">
        <v>85</v>
      </c>
      <c r="T35" t="s">
        <v>86</v>
      </c>
      <c r="U35" t="s">
        <v>87</v>
      </c>
      <c r="V35">
        <v>1</v>
      </c>
      <c r="W35" t="s">
        <v>107</v>
      </c>
      <c r="X35" t="b">
        <v>0</v>
      </c>
      <c r="Y35" t="s">
        <v>89</v>
      </c>
      <c r="Z35">
        <v>4000</v>
      </c>
      <c r="AA35">
        <v>4000</v>
      </c>
      <c r="AC35">
        <v>256</v>
      </c>
      <c r="AD35" t="s">
        <v>90</v>
      </c>
      <c r="AE35">
        <v>0.15</v>
      </c>
      <c r="AF35" t="s">
        <v>91</v>
      </c>
      <c r="AG35">
        <v>40</v>
      </c>
      <c r="AH35">
        <v>10</v>
      </c>
      <c r="AI35">
        <v>30</v>
      </c>
      <c r="AJ35">
        <v>5.03891706487921E-2</v>
      </c>
      <c r="AK35">
        <v>4.1752248496526997E-3</v>
      </c>
      <c r="AL35">
        <v>0.94369972521150036</v>
      </c>
      <c r="AM35">
        <v>-6.14547192129141</v>
      </c>
      <c r="AN35">
        <v>3.9718271214136004E-3</v>
      </c>
      <c r="AO35">
        <v>0.97115939969075804</v>
      </c>
      <c r="AP35">
        <v>3.9718271214136004E-3</v>
      </c>
      <c r="AQ35">
        <v>3.9718271214136004E-3</v>
      </c>
      <c r="AR35">
        <v>0.97115939969075804</v>
      </c>
      <c r="AS35">
        <v>0.56703617619468205</v>
      </c>
      <c r="AT35">
        <v>-3.1174157934374729</v>
      </c>
      <c r="AU35">
        <v>0.2</v>
      </c>
      <c r="AV35" t="s">
        <v>92</v>
      </c>
      <c r="AW35">
        <v>3.9718271214136004E-3</v>
      </c>
      <c r="AX35">
        <v>0.97115939969075804</v>
      </c>
      <c r="AY35">
        <v>3.9718271214136004E-3</v>
      </c>
      <c r="AZ35">
        <v>3.9718271214136004E-3</v>
      </c>
      <c r="BA35">
        <v>0.97115939969075804</v>
      </c>
      <c r="BB35">
        <v>0.56703617619468205</v>
      </c>
      <c r="BC35">
        <v>-3.1174157934374729</v>
      </c>
    </row>
    <row r="36" spans="1:55" x14ac:dyDescent="0.3">
      <c r="A36" t="s">
        <v>153</v>
      </c>
      <c r="B36" t="s">
        <v>155</v>
      </c>
      <c r="C36">
        <v>4</v>
      </c>
      <c r="D36" t="s">
        <v>94</v>
      </c>
      <c r="E36" t="s">
        <v>79</v>
      </c>
      <c r="F36">
        <v>16590</v>
      </c>
      <c r="G36">
        <v>4.5</v>
      </c>
      <c r="H36" t="s">
        <v>147</v>
      </c>
      <c r="I36" t="s">
        <v>81</v>
      </c>
      <c r="J36">
        <v>5</v>
      </c>
      <c r="K36">
        <v>5</v>
      </c>
      <c r="L36" t="s">
        <v>82</v>
      </c>
      <c r="M36" t="b">
        <v>1</v>
      </c>
      <c r="N36" t="b">
        <v>0</v>
      </c>
      <c r="O36" t="b">
        <v>0</v>
      </c>
      <c r="P36" t="s">
        <v>83</v>
      </c>
      <c r="Q36" t="s">
        <v>148</v>
      </c>
      <c r="R36">
        <v>1</v>
      </c>
      <c r="S36" t="s">
        <v>85</v>
      </c>
      <c r="T36" t="s">
        <v>86</v>
      </c>
      <c r="U36" t="s">
        <v>87</v>
      </c>
      <c r="V36">
        <v>1</v>
      </c>
      <c r="W36" t="s">
        <v>107</v>
      </c>
      <c r="X36" t="b">
        <v>0</v>
      </c>
      <c r="Y36" t="s">
        <v>89</v>
      </c>
      <c r="Z36">
        <v>4000</v>
      </c>
      <c r="AA36">
        <v>4000</v>
      </c>
      <c r="AC36">
        <v>256</v>
      </c>
      <c r="AD36" t="s">
        <v>90</v>
      </c>
      <c r="AE36">
        <v>0.15</v>
      </c>
      <c r="AF36" t="s">
        <v>91</v>
      </c>
      <c r="AG36">
        <v>40</v>
      </c>
      <c r="AH36">
        <v>10</v>
      </c>
      <c r="AI36">
        <v>30</v>
      </c>
      <c r="AJ36">
        <v>3.6476686779762797E-2</v>
      </c>
      <c r="AK36">
        <v>4.0709624037990003E-3</v>
      </c>
      <c r="AL36">
        <v>0.94510563856061602</v>
      </c>
      <c r="AM36">
        <v>-3.0197239464367231</v>
      </c>
      <c r="AN36">
        <v>4.3301109433217999E-3</v>
      </c>
      <c r="AO36">
        <v>0.9685577958975784</v>
      </c>
      <c r="AP36">
        <v>4.3301109433217999E-3</v>
      </c>
      <c r="AQ36">
        <v>4.3301109433217999E-3</v>
      </c>
      <c r="AR36">
        <v>0.9685577958975784</v>
      </c>
      <c r="AS36">
        <v>0.33468153853504012</v>
      </c>
      <c r="AT36">
        <v>-1.430220699116393</v>
      </c>
      <c r="AU36">
        <v>0.2</v>
      </c>
      <c r="AV36" t="s">
        <v>92</v>
      </c>
      <c r="AW36">
        <v>4.3301109433217999E-3</v>
      </c>
      <c r="AX36">
        <v>0.9685577958975784</v>
      </c>
      <c r="AY36">
        <v>4.3301109433217999E-3</v>
      </c>
      <c r="AZ36">
        <v>4.3301109433217999E-3</v>
      </c>
      <c r="BA36">
        <v>0.9685577958975784</v>
      </c>
      <c r="BB36">
        <v>0.33468153853504012</v>
      </c>
      <c r="BC36">
        <v>-1.430220699116393</v>
      </c>
    </row>
    <row r="37" spans="1:55" x14ac:dyDescent="0.3">
      <c r="A37" t="s">
        <v>156</v>
      </c>
      <c r="B37" t="s">
        <v>157</v>
      </c>
      <c r="C37">
        <v>5</v>
      </c>
      <c r="D37" t="s">
        <v>94</v>
      </c>
      <c r="E37" t="s">
        <v>79</v>
      </c>
      <c r="F37">
        <v>16590</v>
      </c>
      <c r="G37">
        <v>4.5</v>
      </c>
      <c r="H37" t="s">
        <v>147</v>
      </c>
      <c r="I37" t="s">
        <v>81</v>
      </c>
      <c r="J37">
        <v>5</v>
      </c>
      <c r="K37">
        <v>5</v>
      </c>
      <c r="L37" t="s">
        <v>82</v>
      </c>
      <c r="M37" t="b">
        <v>1</v>
      </c>
      <c r="N37" t="b">
        <v>0</v>
      </c>
      <c r="O37" t="b">
        <v>0</v>
      </c>
      <c r="P37" t="s">
        <v>83</v>
      </c>
      <c r="Q37" t="s">
        <v>148</v>
      </c>
      <c r="R37">
        <v>1</v>
      </c>
      <c r="S37" t="s">
        <v>85</v>
      </c>
      <c r="T37" t="s">
        <v>86</v>
      </c>
      <c r="U37" t="s">
        <v>87</v>
      </c>
      <c r="V37">
        <v>1</v>
      </c>
      <c r="W37" t="s">
        <v>107</v>
      </c>
      <c r="X37" t="b">
        <v>0</v>
      </c>
      <c r="Y37" t="s">
        <v>89</v>
      </c>
      <c r="Z37">
        <v>4000</v>
      </c>
      <c r="AA37">
        <v>4000</v>
      </c>
      <c r="AC37">
        <v>256</v>
      </c>
      <c r="AD37" t="s">
        <v>90</v>
      </c>
      <c r="AE37">
        <v>0.15</v>
      </c>
      <c r="AF37" t="s">
        <v>91</v>
      </c>
      <c r="AG37">
        <v>40</v>
      </c>
      <c r="AH37">
        <v>10</v>
      </c>
      <c r="AI37">
        <v>30</v>
      </c>
      <c r="AJ37">
        <v>3.9333912526679601E-2</v>
      </c>
      <c r="AK37">
        <v>3.7094630174734E-3</v>
      </c>
      <c r="AL37">
        <v>0.94998022987458997</v>
      </c>
      <c r="AM37">
        <v>-5.3595159851311944</v>
      </c>
      <c r="AN37">
        <v>4.2408611337764997E-3</v>
      </c>
      <c r="AO37">
        <v>0.96920586491118021</v>
      </c>
      <c r="AP37">
        <v>4.2408611337764997E-3</v>
      </c>
      <c r="AQ37">
        <v>4.2408611337764997E-3</v>
      </c>
      <c r="AR37">
        <v>0.96920586491118021</v>
      </c>
      <c r="AS37">
        <v>0.48336442134406837</v>
      </c>
      <c r="AT37">
        <v>-2.5098506691123852</v>
      </c>
      <c r="AU37">
        <v>0.2</v>
      </c>
      <c r="AV37" t="s">
        <v>92</v>
      </c>
      <c r="AW37">
        <v>4.2408611337764997E-3</v>
      </c>
      <c r="AX37">
        <v>0.96920586491118021</v>
      </c>
      <c r="AY37">
        <v>4.2408611337764997E-3</v>
      </c>
      <c r="AZ37">
        <v>4.2408611337764997E-3</v>
      </c>
      <c r="BA37">
        <v>0.96920586491118021</v>
      </c>
      <c r="BB37">
        <v>0.48336442134406837</v>
      </c>
      <c r="BC37">
        <v>-2.5098506691123852</v>
      </c>
    </row>
    <row r="38" spans="1:55" x14ac:dyDescent="0.3">
      <c r="A38" t="s">
        <v>158</v>
      </c>
      <c r="B38" t="s">
        <v>159</v>
      </c>
      <c r="C38">
        <v>6</v>
      </c>
      <c r="D38" t="s">
        <v>78</v>
      </c>
      <c r="E38" t="s">
        <v>79</v>
      </c>
      <c r="F38">
        <v>16590</v>
      </c>
      <c r="G38">
        <v>4.5</v>
      </c>
      <c r="H38" t="s">
        <v>147</v>
      </c>
      <c r="I38" t="s">
        <v>81</v>
      </c>
      <c r="J38">
        <v>5</v>
      </c>
      <c r="K38">
        <v>5</v>
      </c>
      <c r="L38" t="s">
        <v>82</v>
      </c>
      <c r="M38" t="b">
        <v>1</v>
      </c>
      <c r="N38" t="b">
        <v>0</v>
      </c>
      <c r="O38" t="b">
        <v>0</v>
      </c>
      <c r="P38" t="s">
        <v>83</v>
      </c>
      <c r="Q38" t="s">
        <v>148</v>
      </c>
      <c r="R38">
        <v>1</v>
      </c>
      <c r="S38" t="s">
        <v>85</v>
      </c>
      <c r="T38" t="s">
        <v>86</v>
      </c>
      <c r="U38" t="s">
        <v>87</v>
      </c>
      <c r="V38">
        <v>1</v>
      </c>
      <c r="W38" t="s">
        <v>107</v>
      </c>
      <c r="X38" t="b">
        <v>0</v>
      </c>
      <c r="Y38" t="s">
        <v>89</v>
      </c>
      <c r="Z38">
        <v>4000</v>
      </c>
      <c r="AA38">
        <v>4000</v>
      </c>
      <c r="AC38">
        <v>256</v>
      </c>
      <c r="AD38" t="s">
        <v>90</v>
      </c>
      <c r="AE38">
        <v>0.15</v>
      </c>
      <c r="AF38" t="s">
        <v>91</v>
      </c>
      <c r="AG38">
        <v>40</v>
      </c>
      <c r="AH38">
        <v>10</v>
      </c>
      <c r="AI38">
        <v>30</v>
      </c>
      <c r="AJ38">
        <v>5.0287296868536599E-2</v>
      </c>
      <c r="AK38">
        <v>4.2220655718871996E-3</v>
      </c>
      <c r="AL38">
        <v>0.94306810760333504</v>
      </c>
      <c r="AM38">
        <v>-5.1641665689263112</v>
      </c>
      <c r="AN38">
        <v>4.4178531909103E-3</v>
      </c>
      <c r="AO38">
        <v>0.96792067373299784</v>
      </c>
      <c r="AP38">
        <v>4.4178531909103E-3</v>
      </c>
      <c r="AQ38">
        <v>4.4178531909103E-3</v>
      </c>
      <c r="AR38">
        <v>0.96792067373299784</v>
      </c>
      <c r="AS38">
        <v>0.49366114308826459</v>
      </c>
      <c r="AT38">
        <v>-2.584618182209518</v>
      </c>
      <c r="AU38">
        <v>0.2</v>
      </c>
      <c r="AV38" t="s">
        <v>92</v>
      </c>
      <c r="AW38">
        <v>4.4178531909103E-3</v>
      </c>
      <c r="AX38">
        <v>0.96792067373299784</v>
      </c>
      <c r="AY38">
        <v>4.4178531909103E-3</v>
      </c>
      <c r="AZ38">
        <v>4.4178531909103E-3</v>
      </c>
      <c r="BA38">
        <v>0.96792067373299784</v>
      </c>
      <c r="BB38">
        <v>0.49366114308826459</v>
      </c>
      <c r="BC38">
        <v>-2.584618182209518</v>
      </c>
    </row>
    <row r="39" spans="1:55" x14ac:dyDescent="0.3">
      <c r="A39" t="s">
        <v>160</v>
      </c>
      <c r="B39" t="s">
        <v>161</v>
      </c>
      <c r="C39">
        <v>7</v>
      </c>
      <c r="D39" t="s">
        <v>94</v>
      </c>
      <c r="E39" t="s">
        <v>79</v>
      </c>
      <c r="F39">
        <v>16590</v>
      </c>
      <c r="G39">
        <v>4.5</v>
      </c>
      <c r="H39" t="s">
        <v>147</v>
      </c>
      <c r="I39" t="s">
        <v>81</v>
      </c>
      <c r="J39">
        <v>5</v>
      </c>
      <c r="K39">
        <v>5</v>
      </c>
      <c r="L39" t="s">
        <v>82</v>
      </c>
      <c r="M39" t="b">
        <v>1</v>
      </c>
      <c r="N39" t="b">
        <v>0</v>
      </c>
      <c r="O39" t="b">
        <v>0</v>
      </c>
      <c r="P39" t="s">
        <v>83</v>
      </c>
      <c r="Q39" t="s">
        <v>148</v>
      </c>
      <c r="R39">
        <v>1</v>
      </c>
      <c r="S39" t="s">
        <v>85</v>
      </c>
      <c r="T39" t="s">
        <v>86</v>
      </c>
      <c r="U39" t="s">
        <v>87</v>
      </c>
      <c r="V39">
        <v>1</v>
      </c>
      <c r="W39" t="s">
        <v>107</v>
      </c>
      <c r="X39" t="b">
        <v>0</v>
      </c>
      <c r="Y39" t="s">
        <v>89</v>
      </c>
      <c r="Z39">
        <v>4000</v>
      </c>
      <c r="AA39">
        <v>4000</v>
      </c>
      <c r="AC39">
        <v>256</v>
      </c>
      <c r="AD39" t="s">
        <v>90</v>
      </c>
      <c r="AE39">
        <v>0.15</v>
      </c>
      <c r="AF39" t="s">
        <v>91</v>
      </c>
      <c r="AG39">
        <v>40</v>
      </c>
      <c r="AH39">
        <v>10</v>
      </c>
      <c r="AI39">
        <v>30</v>
      </c>
      <c r="AJ39">
        <v>5.5217802848883203E-2</v>
      </c>
      <c r="AK39">
        <v>4.3113697157599997E-3</v>
      </c>
      <c r="AL39">
        <v>0.94186389752583277</v>
      </c>
      <c r="AM39">
        <v>-5.0452621450397119</v>
      </c>
      <c r="AN39">
        <v>4.2088416781429E-3</v>
      </c>
      <c r="AO39">
        <v>0.96943836755890878</v>
      </c>
      <c r="AP39">
        <v>4.2088416781429E-3</v>
      </c>
      <c r="AQ39">
        <v>4.2088416781429E-3</v>
      </c>
      <c r="AR39">
        <v>0.96943836755890878</v>
      </c>
      <c r="AS39">
        <v>0.48380849877967141</v>
      </c>
      <c r="AT39">
        <v>-2.5130752454685741</v>
      </c>
      <c r="AU39">
        <v>0.2</v>
      </c>
      <c r="AV39" t="s">
        <v>92</v>
      </c>
      <c r="AW39">
        <v>4.2088416781429E-3</v>
      </c>
      <c r="AX39">
        <v>0.96943836755890878</v>
      </c>
      <c r="AY39">
        <v>4.2088416781429E-3</v>
      </c>
      <c r="AZ39">
        <v>4.2088416781429E-3</v>
      </c>
      <c r="BA39">
        <v>0.96943836755890878</v>
      </c>
      <c r="BB39">
        <v>0.48380849877967141</v>
      </c>
      <c r="BC39">
        <v>-2.5130752454685741</v>
      </c>
    </row>
    <row r="40" spans="1:55" x14ac:dyDescent="0.3">
      <c r="A40" t="s">
        <v>162</v>
      </c>
      <c r="B40" t="s">
        <v>163</v>
      </c>
      <c r="C40">
        <v>8</v>
      </c>
      <c r="D40" t="s">
        <v>78</v>
      </c>
      <c r="E40" t="s">
        <v>79</v>
      </c>
      <c r="F40">
        <v>16590</v>
      </c>
      <c r="G40">
        <v>4.5</v>
      </c>
      <c r="H40" t="s">
        <v>147</v>
      </c>
      <c r="I40" t="s">
        <v>81</v>
      </c>
      <c r="J40">
        <v>5</v>
      </c>
      <c r="K40">
        <v>5</v>
      </c>
      <c r="L40" t="s">
        <v>82</v>
      </c>
      <c r="M40" t="b">
        <v>1</v>
      </c>
      <c r="N40" t="b">
        <v>0</v>
      </c>
      <c r="O40" t="b">
        <v>0</v>
      </c>
      <c r="P40" t="s">
        <v>83</v>
      </c>
      <c r="Q40" t="s">
        <v>148</v>
      </c>
      <c r="R40">
        <v>1</v>
      </c>
      <c r="S40" t="s">
        <v>85</v>
      </c>
      <c r="T40" t="s">
        <v>86</v>
      </c>
      <c r="U40" t="s">
        <v>87</v>
      </c>
      <c r="V40">
        <v>1</v>
      </c>
      <c r="W40" t="s">
        <v>107</v>
      </c>
      <c r="X40" t="b">
        <v>0</v>
      </c>
      <c r="Y40" t="s">
        <v>89</v>
      </c>
      <c r="Z40">
        <v>4000</v>
      </c>
      <c r="AA40">
        <v>4000</v>
      </c>
      <c r="AC40">
        <v>256</v>
      </c>
      <c r="AD40" t="s">
        <v>90</v>
      </c>
      <c r="AE40">
        <v>0.15</v>
      </c>
      <c r="AF40" t="s">
        <v>91</v>
      </c>
      <c r="AG40">
        <v>40</v>
      </c>
      <c r="AH40">
        <v>10</v>
      </c>
      <c r="AI40">
        <v>30</v>
      </c>
      <c r="AJ40">
        <v>4.9887026306468997E-2</v>
      </c>
      <c r="AK40">
        <v>3.5284277202082001E-3</v>
      </c>
      <c r="AL40">
        <v>0.95242137672283678</v>
      </c>
      <c r="AM40">
        <v>-4.6078677670599166</v>
      </c>
      <c r="AN40">
        <v>3.4855331887542001E-3</v>
      </c>
      <c r="AO40">
        <v>0.9746905223997564</v>
      </c>
      <c r="AP40">
        <v>3.4855331887542001E-3</v>
      </c>
      <c r="AQ40">
        <v>3.4855331887542001E-3</v>
      </c>
      <c r="AR40">
        <v>0.9746905223997564</v>
      </c>
      <c r="AS40">
        <v>0.45085017706784752</v>
      </c>
      <c r="AT40">
        <v>-2.2737552160973511</v>
      </c>
      <c r="AU40">
        <v>0.2</v>
      </c>
      <c r="AV40" t="s">
        <v>92</v>
      </c>
      <c r="AW40">
        <v>3.4855331887542001E-3</v>
      </c>
      <c r="AX40">
        <v>0.9746905223997564</v>
      </c>
      <c r="AY40">
        <v>3.4855331887542001E-3</v>
      </c>
      <c r="AZ40">
        <v>3.4855331887542001E-3</v>
      </c>
      <c r="BA40">
        <v>0.9746905223997564</v>
      </c>
      <c r="BB40">
        <v>0.45085017706784752</v>
      </c>
      <c r="BC40">
        <v>-2.2737552160973511</v>
      </c>
    </row>
    <row r="41" spans="1:55" x14ac:dyDescent="0.3">
      <c r="A41" t="s">
        <v>164</v>
      </c>
      <c r="B41" t="s">
        <v>165</v>
      </c>
      <c r="C41">
        <v>9</v>
      </c>
      <c r="D41" t="s">
        <v>94</v>
      </c>
      <c r="E41" t="s">
        <v>79</v>
      </c>
      <c r="F41">
        <v>16590</v>
      </c>
      <c r="G41">
        <v>4.5</v>
      </c>
      <c r="H41" t="s">
        <v>147</v>
      </c>
      <c r="I41" t="s">
        <v>81</v>
      </c>
      <c r="J41">
        <v>5</v>
      </c>
      <c r="K41">
        <v>5</v>
      </c>
      <c r="L41" t="s">
        <v>82</v>
      </c>
      <c r="M41" t="b">
        <v>1</v>
      </c>
      <c r="N41" t="b">
        <v>0</v>
      </c>
      <c r="O41" t="b">
        <v>0</v>
      </c>
      <c r="P41" t="s">
        <v>83</v>
      </c>
      <c r="Q41" t="s">
        <v>148</v>
      </c>
      <c r="R41">
        <v>1</v>
      </c>
      <c r="S41" t="s">
        <v>85</v>
      </c>
      <c r="T41" t="s">
        <v>86</v>
      </c>
      <c r="U41" t="s">
        <v>87</v>
      </c>
      <c r="V41">
        <v>1</v>
      </c>
      <c r="W41" t="s">
        <v>107</v>
      </c>
      <c r="X41" t="b">
        <v>0</v>
      </c>
      <c r="Y41" t="s">
        <v>89</v>
      </c>
      <c r="Z41">
        <v>4000</v>
      </c>
      <c r="AA41">
        <v>4000</v>
      </c>
      <c r="AC41">
        <v>256</v>
      </c>
      <c r="AD41" t="s">
        <v>90</v>
      </c>
      <c r="AE41">
        <v>0.15</v>
      </c>
      <c r="AF41" t="s">
        <v>91</v>
      </c>
      <c r="AG41">
        <v>40</v>
      </c>
      <c r="AH41">
        <v>10</v>
      </c>
      <c r="AI41">
        <v>30</v>
      </c>
      <c r="AJ41">
        <v>3.2317709594834203E-2</v>
      </c>
      <c r="AK41">
        <v>4.2730128596722003E-3</v>
      </c>
      <c r="AL41">
        <v>0.94238111554774218</v>
      </c>
      <c r="AM41">
        <v>-6.9649473103563606</v>
      </c>
      <c r="AN41">
        <v>4.2665282124239E-3</v>
      </c>
      <c r="AO41">
        <v>0.96901948873373156</v>
      </c>
      <c r="AP41">
        <v>4.2665282124239E-3</v>
      </c>
      <c r="AQ41">
        <v>4.2665282124239E-3</v>
      </c>
      <c r="AR41">
        <v>0.96901948873373156</v>
      </c>
      <c r="AS41">
        <v>0.62728377694668669</v>
      </c>
      <c r="AT41">
        <v>-3.5548912725466768</v>
      </c>
      <c r="AU41">
        <v>0.2</v>
      </c>
      <c r="AV41" t="s">
        <v>92</v>
      </c>
      <c r="AW41">
        <v>4.2665282124239E-3</v>
      </c>
      <c r="AX41">
        <v>0.96901948873373156</v>
      </c>
      <c r="AY41">
        <v>4.2665282124239E-3</v>
      </c>
      <c r="AZ41">
        <v>4.2665282124239E-3</v>
      </c>
      <c r="BA41">
        <v>0.96901948873373156</v>
      </c>
      <c r="BB41">
        <v>0.62728377694668669</v>
      </c>
      <c r="BC41">
        <v>-3.5548912725466768</v>
      </c>
    </row>
    <row r="42" spans="1:55" x14ac:dyDescent="0.3">
      <c r="A42" t="s">
        <v>166</v>
      </c>
      <c r="B42" t="s">
        <v>167</v>
      </c>
      <c r="C42">
        <v>0</v>
      </c>
      <c r="D42" t="s">
        <v>78</v>
      </c>
      <c r="E42" t="s">
        <v>79</v>
      </c>
      <c r="F42">
        <v>16590</v>
      </c>
      <c r="G42">
        <v>4.5</v>
      </c>
      <c r="H42" t="s">
        <v>168</v>
      </c>
      <c r="I42" t="s">
        <v>81</v>
      </c>
      <c r="J42">
        <v>5</v>
      </c>
      <c r="K42">
        <v>5</v>
      </c>
      <c r="L42" t="s">
        <v>82</v>
      </c>
      <c r="M42" t="b">
        <v>1</v>
      </c>
      <c r="N42" t="b">
        <v>0</v>
      </c>
      <c r="O42" t="b">
        <v>0</v>
      </c>
      <c r="P42" t="s">
        <v>83</v>
      </c>
      <c r="Q42" t="s">
        <v>169</v>
      </c>
      <c r="R42">
        <v>1</v>
      </c>
      <c r="S42" t="s">
        <v>85</v>
      </c>
      <c r="T42" t="s">
        <v>86</v>
      </c>
      <c r="U42" t="s">
        <v>87</v>
      </c>
      <c r="V42">
        <v>1</v>
      </c>
      <c r="W42" t="s">
        <v>107</v>
      </c>
      <c r="X42" t="b">
        <v>0</v>
      </c>
      <c r="Y42" t="s">
        <v>89</v>
      </c>
      <c r="Z42">
        <v>4000</v>
      </c>
      <c r="AA42">
        <v>4000</v>
      </c>
      <c r="AC42">
        <v>256</v>
      </c>
      <c r="AD42" t="s">
        <v>90</v>
      </c>
      <c r="AE42">
        <v>0.15</v>
      </c>
      <c r="AF42" t="s">
        <v>91</v>
      </c>
      <c r="AG42">
        <v>40</v>
      </c>
      <c r="AH42">
        <v>10</v>
      </c>
      <c r="AI42">
        <v>30</v>
      </c>
      <c r="AJ42">
        <v>4.1356357417577802E-2</v>
      </c>
      <c r="AK42">
        <v>4.4064056795776003E-3</v>
      </c>
      <c r="AL42">
        <v>0.94058239747005257</v>
      </c>
      <c r="AM42">
        <v>-5.943632776126389</v>
      </c>
      <c r="AN42">
        <v>6.6953709350771997E-3</v>
      </c>
      <c r="AO42">
        <v>0.9513829501743386</v>
      </c>
      <c r="AP42">
        <v>6.6953709350771997E-3</v>
      </c>
      <c r="AQ42">
        <v>6.6953709350771997E-3</v>
      </c>
      <c r="AR42">
        <v>0.9513829501743386</v>
      </c>
      <c r="AS42">
        <v>0.55391607538894794</v>
      </c>
      <c r="AT42">
        <v>-3.0221468978415178</v>
      </c>
      <c r="AU42">
        <v>0.2</v>
      </c>
      <c r="AV42" t="s">
        <v>92</v>
      </c>
      <c r="AW42">
        <v>6.6953709350771997E-3</v>
      </c>
      <c r="AX42">
        <v>0.9513829501743386</v>
      </c>
      <c r="AY42">
        <v>6.6953709350771997E-3</v>
      </c>
      <c r="AZ42">
        <v>6.6953709350771997E-3</v>
      </c>
      <c r="BA42">
        <v>0.9513829501743386</v>
      </c>
      <c r="BB42">
        <v>0.55391607538894794</v>
      </c>
      <c r="BC42">
        <v>-3.0221468978415178</v>
      </c>
    </row>
    <row r="43" spans="1:55" x14ac:dyDescent="0.3">
      <c r="A43" t="s">
        <v>170</v>
      </c>
      <c r="B43" t="s">
        <v>171</v>
      </c>
      <c r="C43">
        <v>1</v>
      </c>
      <c r="D43" t="s">
        <v>78</v>
      </c>
      <c r="E43" t="s">
        <v>79</v>
      </c>
      <c r="F43">
        <v>16590</v>
      </c>
      <c r="G43">
        <v>4.5</v>
      </c>
      <c r="H43" t="s">
        <v>168</v>
      </c>
      <c r="I43" t="s">
        <v>81</v>
      </c>
      <c r="J43">
        <v>5</v>
      </c>
      <c r="K43">
        <v>5</v>
      </c>
      <c r="L43" t="s">
        <v>82</v>
      </c>
      <c r="M43" t="b">
        <v>1</v>
      </c>
      <c r="N43" t="b">
        <v>0</v>
      </c>
      <c r="O43" t="b">
        <v>0</v>
      </c>
      <c r="P43" t="s">
        <v>83</v>
      </c>
      <c r="Q43" t="s">
        <v>169</v>
      </c>
      <c r="R43">
        <v>1</v>
      </c>
      <c r="S43" t="s">
        <v>85</v>
      </c>
      <c r="T43" t="s">
        <v>86</v>
      </c>
      <c r="U43" t="s">
        <v>87</v>
      </c>
      <c r="V43">
        <v>1</v>
      </c>
      <c r="W43" t="s">
        <v>107</v>
      </c>
      <c r="X43" t="b">
        <v>0</v>
      </c>
      <c r="Y43" t="s">
        <v>89</v>
      </c>
      <c r="Z43">
        <v>4000</v>
      </c>
      <c r="AA43">
        <v>4000</v>
      </c>
      <c r="AC43">
        <v>256</v>
      </c>
      <c r="AD43" t="s">
        <v>90</v>
      </c>
      <c r="AE43">
        <v>0.15</v>
      </c>
      <c r="AF43" t="s">
        <v>91</v>
      </c>
      <c r="AG43">
        <v>40</v>
      </c>
      <c r="AH43">
        <v>10</v>
      </c>
      <c r="AI43">
        <v>30</v>
      </c>
      <c r="AJ43">
        <v>6.5442730545513403E-2</v>
      </c>
      <c r="AK43">
        <v>3.4912252116685999E-3</v>
      </c>
      <c r="AL43">
        <v>0.95292302909582716</v>
      </c>
      <c r="AM43">
        <v>-6.720486950231078</v>
      </c>
      <c r="AN43">
        <v>5.9732603236203E-3</v>
      </c>
      <c r="AO43">
        <v>0.95662640687259459</v>
      </c>
      <c r="AP43">
        <v>5.9732603236203E-3</v>
      </c>
      <c r="AQ43">
        <v>5.9732603236203E-3</v>
      </c>
      <c r="AR43">
        <v>0.95662640687259459</v>
      </c>
      <c r="AS43">
        <v>0.60832734435999769</v>
      </c>
      <c r="AT43">
        <v>-3.417243062085995</v>
      </c>
      <c r="AU43">
        <v>0.2</v>
      </c>
      <c r="AV43" t="s">
        <v>92</v>
      </c>
      <c r="AW43">
        <v>5.9732603236203E-3</v>
      </c>
      <c r="AX43">
        <v>0.95662640687259459</v>
      </c>
      <c r="AY43">
        <v>5.9732603236203E-3</v>
      </c>
      <c r="AZ43">
        <v>5.9732603236203E-3</v>
      </c>
      <c r="BA43">
        <v>0.95662640687259459</v>
      </c>
      <c r="BB43">
        <v>0.60832734435999769</v>
      </c>
      <c r="BC43">
        <v>-3.417243062085995</v>
      </c>
    </row>
    <row r="44" spans="1:55" x14ac:dyDescent="0.3">
      <c r="A44" t="s">
        <v>172</v>
      </c>
      <c r="B44" t="s">
        <v>173</v>
      </c>
      <c r="C44">
        <v>2</v>
      </c>
      <c r="D44" t="s">
        <v>94</v>
      </c>
      <c r="E44" t="s">
        <v>79</v>
      </c>
      <c r="F44">
        <v>16590</v>
      </c>
      <c r="G44">
        <v>4.5</v>
      </c>
      <c r="H44" t="s">
        <v>168</v>
      </c>
      <c r="I44" t="s">
        <v>81</v>
      </c>
      <c r="J44">
        <v>5</v>
      </c>
      <c r="K44">
        <v>5</v>
      </c>
      <c r="L44" t="s">
        <v>82</v>
      </c>
      <c r="M44" t="b">
        <v>1</v>
      </c>
      <c r="N44" t="b">
        <v>0</v>
      </c>
      <c r="O44" t="b">
        <v>0</v>
      </c>
      <c r="P44" t="s">
        <v>83</v>
      </c>
      <c r="Q44" t="s">
        <v>169</v>
      </c>
      <c r="R44">
        <v>1</v>
      </c>
      <c r="S44" t="s">
        <v>85</v>
      </c>
      <c r="T44" t="s">
        <v>86</v>
      </c>
      <c r="U44" t="s">
        <v>87</v>
      </c>
      <c r="V44">
        <v>1</v>
      </c>
      <c r="W44" t="s">
        <v>107</v>
      </c>
      <c r="X44" t="b">
        <v>0</v>
      </c>
      <c r="Y44" t="s">
        <v>89</v>
      </c>
      <c r="Z44">
        <v>4000</v>
      </c>
      <c r="AA44">
        <v>4000</v>
      </c>
      <c r="AC44">
        <v>256</v>
      </c>
      <c r="AD44" t="s">
        <v>90</v>
      </c>
      <c r="AE44">
        <v>0.15</v>
      </c>
      <c r="AF44" t="s">
        <v>91</v>
      </c>
      <c r="AG44">
        <v>40</v>
      </c>
      <c r="AH44">
        <v>10</v>
      </c>
      <c r="AI44">
        <v>30</v>
      </c>
      <c r="AJ44">
        <v>4.6559339776947803E-2</v>
      </c>
      <c r="AK44">
        <v>4.0755958137761996E-3</v>
      </c>
      <c r="AL44">
        <v>0.94504315994825039</v>
      </c>
      <c r="AM44">
        <v>-3.2663392408890481</v>
      </c>
      <c r="AN44">
        <v>6.3314104195300001E-3</v>
      </c>
      <c r="AO44">
        <v>0.95402577410306644</v>
      </c>
      <c r="AP44">
        <v>6.3314104195300001E-3</v>
      </c>
      <c r="AQ44">
        <v>6.3314104195300001E-3</v>
      </c>
      <c r="AR44">
        <v>0.95402577410306644</v>
      </c>
      <c r="AS44">
        <v>0.40761772268673679</v>
      </c>
      <c r="AT44">
        <v>-1.9598316995195739</v>
      </c>
      <c r="AU44">
        <v>0.2</v>
      </c>
      <c r="AV44" t="s">
        <v>92</v>
      </c>
      <c r="AW44">
        <v>6.3314104195300001E-3</v>
      </c>
      <c r="AX44">
        <v>0.95402577410306644</v>
      </c>
      <c r="AY44">
        <v>6.3314104195300001E-3</v>
      </c>
      <c r="AZ44">
        <v>6.3314104195300001E-3</v>
      </c>
      <c r="BA44">
        <v>0.95402577410306644</v>
      </c>
      <c r="BB44">
        <v>0.40761772268673679</v>
      </c>
      <c r="BC44">
        <v>-1.9598316995195739</v>
      </c>
    </row>
    <row r="45" spans="1:55" x14ac:dyDescent="0.3">
      <c r="A45" t="s">
        <v>174</v>
      </c>
      <c r="B45" t="s">
        <v>175</v>
      </c>
      <c r="C45">
        <v>3</v>
      </c>
      <c r="D45" t="s">
        <v>78</v>
      </c>
      <c r="E45" t="s">
        <v>79</v>
      </c>
      <c r="F45">
        <v>16590</v>
      </c>
      <c r="G45">
        <v>4.5</v>
      </c>
      <c r="H45" t="s">
        <v>168</v>
      </c>
      <c r="I45" t="s">
        <v>81</v>
      </c>
      <c r="J45">
        <v>5</v>
      </c>
      <c r="K45">
        <v>5</v>
      </c>
      <c r="L45" t="s">
        <v>82</v>
      </c>
      <c r="M45" t="b">
        <v>1</v>
      </c>
      <c r="N45" t="b">
        <v>0</v>
      </c>
      <c r="O45" t="b">
        <v>0</v>
      </c>
      <c r="P45" t="s">
        <v>83</v>
      </c>
      <c r="Q45" t="s">
        <v>169</v>
      </c>
      <c r="R45">
        <v>1</v>
      </c>
      <c r="S45" t="s">
        <v>85</v>
      </c>
      <c r="T45" t="s">
        <v>86</v>
      </c>
      <c r="U45" t="s">
        <v>87</v>
      </c>
      <c r="V45">
        <v>1</v>
      </c>
      <c r="W45" t="s">
        <v>107</v>
      </c>
      <c r="X45" t="b">
        <v>0</v>
      </c>
      <c r="Y45" t="s">
        <v>89</v>
      </c>
      <c r="Z45">
        <v>4000</v>
      </c>
      <c r="AA45">
        <v>4000</v>
      </c>
      <c r="AC45">
        <v>256</v>
      </c>
      <c r="AD45" t="s">
        <v>90</v>
      </c>
      <c r="AE45">
        <v>0.15</v>
      </c>
      <c r="AF45" t="s">
        <v>91</v>
      </c>
      <c r="AG45">
        <v>40</v>
      </c>
      <c r="AH45">
        <v>10</v>
      </c>
      <c r="AI45">
        <v>30</v>
      </c>
      <c r="AJ45">
        <v>4.67602274700719E-2</v>
      </c>
      <c r="AK45">
        <v>4.5236611721979E-3</v>
      </c>
      <c r="AL45">
        <v>0.93900128107687675</v>
      </c>
      <c r="AM45">
        <v>-3.2490856473935068</v>
      </c>
      <c r="AN45">
        <v>6.5172250356168001E-3</v>
      </c>
      <c r="AO45">
        <v>0.95267651973968281</v>
      </c>
      <c r="AP45">
        <v>6.5172250356168001E-3</v>
      </c>
      <c r="AQ45">
        <v>6.5172250356168001E-3</v>
      </c>
      <c r="AR45">
        <v>0.95267651973968281</v>
      </c>
      <c r="AS45">
        <v>0.40776424387971882</v>
      </c>
      <c r="AT45">
        <v>-1.96089563282645</v>
      </c>
      <c r="AU45">
        <v>0.2</v>
      </c>
      <c r="AV45" t="s">
        <v>92</v>
      </c>
      <c r="AW45">
        <v>6.5172250356168001E-3</v>
      </c>
      <c r="AX45">
        <v>0.95267651973968281</v>
      </c>
      <c r="AY45">
        <v>6.5172250356168001E-3</v>
      </c>
      <c r="AZ45">
        <v>6.5172250356168001E-3</v>
      </c>
      <c r="BA45">
        <v>0.95267651973968281</v>
      </c>
      <c r="BB45">
        <v>0.40776424387971882</v>
      </c>
      <c r="BC45">
        <v>-1.96089563282645</v>
      </c>
    </row>
    <row r="46" spans="1:55" x14ac:dyDescent="0.3">
      <c r="A46" t="s">
        <v>174</v>
      </c>
      <c r="B46" t="s">
        <v>176</v>
      </c>
      <c r="C46">
        <v>4</v>
      </c>
      <c r="D46" t="s">
        <v>78</v>
      </c>
      <c r="E46" t="s">
        <v>79</v>
      </c>
      <c r="F46">
        <v>16590</v>
      </c>
      <c r="G46">
        <v>4.5</v>
      </c>
      <c r="H46" t="s">
        <v>168</v>
      </c>
      <c r="I46" t="s">
        <v>81</v>
      </c>
      <c r="J46">
        <v>5</v>
      </c>
      <c r="K46">
        <v>5</v>
      </c>
      <c r="L46" t="s">
        <v>82</v>
      </c>
      <c r="M46" t="b">
        <v>1</v>
      </c>
      <c r="N46" t="b">
        <v>0</v>
      </c>
      <c r="O46" t="b">
        <v>0</v>
      </c>
      <c r="P46" t="s">
        <v>83</v>
      </c>
      <c r="Q46" t="s">
        <v>169</v>
      </c>
      <c r="R46">
        <v>1</v>
      </c>
      <c r="S46" t="s">
        <v>85</v>
      </c>
      <c r="T46" t="s">
        <v>86</v>
      </c>
      <c r="U46" t="s">
        <v>87</v>
      </c>
      <c r="V46">
        <v>1</v>
      </c>
      <c r="W46" t="s">
        <v>107</v>
      </c>
      <c r="X46" t="b">
        <v>0</v>
      </c>
      <c r="Y46" t="s">
        <v>89</v>
      </c>
      <c r="Z46">
        <v>4000</v>
      </c>
      <c r="AA46">
        <v>4000</v>
      </c>
      <c r="AC46">
        <v>256</v>
      </c>
      <c r="AD46" t="s">
        <v>90</v>
      </c>
      <c r="AE46">
        <v>0.15</v>
      </c>
      <c r="AF46" t="s">
        <v>91</v>
      </c>
      <c r="AG46">
        <v>40</v>
      </c>
      <c r="AH46">
        <v>10</v>
      </c>
      <c r="AI46">
        <v>30</v>
      </c>
      <c r="AJ46">
        <v>3.1497212651004199E-2</v>
      </c>
      <c r="AK46">
        <v>3.8996938025912002E-3</v>
      </c>
      <c r="AL46">
        <v>0.94741508767003202</v>
      </c>
      <c r="AM46">
        <v>-3.369553338812429</v>
      </c>
      <c r="AN46">
        <v>6.6751499238406004E-3</v>
      </c>
      <c r="AO46">
        <v>0.95152978086084561</v>
      </c>
      <c r="AP46">
        <v>6.6751499238406004E-3</v>
      </c>
      <c r="AQ46">
        <v>6.6751499238406004E-3</v>
      </c>
      <c r="AR46">
        <v>0.95152978086084561</v>
      </c>
      <c r="AS46">
        <v>0.41627628981048731</v>
      </c>
      <c r="AT46">
        <v>-2.0227040920062729</v>
      </c>
      <c r="AU46">
        <v>0.2</v>
      </c>
      <c r="AV46" t="s">
        <v>92</v>
      </c>
      <c r="AW46">
        <v>6.6751499238406004E-3</v>
      </c>
      <c r="AX46">
        <v>0.95152978086084561</v>
      </c>
      <c r="AY46">
        <v>6.6751499238406004E-3</v>
      </c>
      <c r="AZ46">
        <v>6.6751499238406004E-3</v>
      </c>
      <c r="BA46">
        <v>0.95152978086084561</v>
      </c>
      <c r="BB46">
        <v>0.41627628981048731</v>
      </c>
      <c r="BC46">
        <v>-2.0227040920062729</v>
      </c>
    </row>
    <row r="47" spans="1:55" x14ac:dyDescent="0.3">
      <c r="A47" t="s">
        <v>177</v>
      </c>
      <c r="B47" t="s">
        <v>178</v>
      </c>
      <c r="C47">
        <v>5</v>
      </c>
      <c r="D47" t="s">
        <v>78</v>
      </c>
      <c r="E47" t="s">
        <v>79</v>
      </c>
      <c r="F47">
        <v>16590</v>
      </c>
      <c r="G47">
        <v>4.5</v>
      </c>
      <c r="H47" t="s">
        <v>168</v>
      </c>
      <c r="I47" t="s">
        <v>81</v>
      </c>
      <c r="J47">
        <v>5</v>
      </c>
      <c r="K47">
        <v>5</v>
      </c>
      <c r="L47" t="s">
        <v>82</v>
      </c>
      <c r="M47" t="b">
        <v>1</v>
      </c>
      <c r="N47" t="b">
        <v>0</v>
      </c>
      <c r="O47" t="b">
        <v>0</v>
      </c>
      <c r="P47" t="s">
        <v>83</v>
      </c>
      <c r="Q47" t="s">
        <v>169</v>
      </c>
      <c r="R47">
        <v>1</v>
      </c>
      <c r="S47" t="s">
        <v>85</v>
      </c>
      <c r="T47" t="s">
        <v>86</v>
      </c>
      <c r="U47" t="s">
        <v>87</v>
      </c>
      <c r="V47">
        <v>1</v>
      </c>
      <c r="W47" t="s">
        <v>107</v>
      </c>
      <c r="X47" t="b">
        <v>0</v>
      </c>
      <c r="Y47" t="s">
        <v>89</v>
      </c>
      <c r="Z47">
        <v>4000</v>
      </c>
      <c r="AA47">
        <v>4000</v>
      </c>
      <c r="AC47">
        <v>256</v>
      </c>
      <c r="AD47" t="s">
        <v>90</v>
      </c>
      <c r="AE47">
        <v>0.15</v>
      </c>
      <c r="AF47" t="s">
        <v>91</v>
      </c>
      <c r="AG47">
        <v>40</v>
      </c>
      <c r="AH47">
        <v>10</v>
      </c>
      <c r="AI47">
        <v>30</v>
      </c>
      <c r="AJ47">
        <v>4.22918555364033E-2</v>
      </c>
      <c r="AK47">
        <v>4.1705856913068998E-3</v>
      </c>
      <c r="AL47">
        <v>0.94376228133699458</v>
      </c>
      <c r="AM47">
        <v>-3.232353256881987</v>
      </c>
      <c r="AN47">
        <v>6.0369559115413E-3</v>
      </c>
      <c r="AO47">
        <v>0.95616389454853379</v>
      </c>
      <c r="AP47">
        <v>6.0369559115413E-3</v>
      </c>
      <c r="AQ47">
        <v>6.0369559115413E-3</v>
      </c>
      <c r="AR47">
        <v>0.95616389454853379</v>
      </c>
      <c r="AS47">
        <v>0.4058425321846465</v>
      </c>
      <c r="AT47">
        <v>-1.9469415212266861</v>
      </c>
      <c r="AU47">
        <v>0.2</v>
      </c>
      <c r="AV47" t="s">
        <v>92</v>
      </c>
      <c r="AW47">
        <v>6.0369559115413E-3</v>
      </c>
      <c r="AX47">
        <v>0.95616389454853379</v>
      </c>
      <c r="AY47">
        <v>6.0369559115413E-3</v>
      </c>
      <c r="AZ47">
        <v>6.0369559115413E-3</v>
      </c>
      <c r="BA47">
        <v>0.95616389454853379</v>
      </c>
      <c r="BB47">
        <v>0.4058425321846465</v>
      </c>
      <c r="BC47">
        <v>-1.9469415212266861</v>
      </c>
    </row>
    <row r="48" spans="1:55" x14ac:dyDescent="0.3">
      <c r="A48" t="s">
        <v>179</v>
      </c>
      <c r="B48" t="s">
        <v>180</v>
      </c>
      <c r="C48">
        <v>6</v>
      </c>
      <c r="D48" t="s">
        <v>94</v>
      </c>
      <c r="E48" t="s">
        <v>79</v>
      </c>
      <c r="F48">
        <v>16590</v>
      </c>
      <c r="G48">
        <v>4.5</v>
      </c>
      <c r="H48" t="s">
        <v>168</v>
      </c>
      <c r="I48" t="s">
        <v>81</v>
      </c>
      <c r="J48">
        <v>5</v>
      </c>
      <c r="K48">
        <v>5</v>
      </c>
      <c r="L48" t="s">
        <v>82</v>
      </c>
      <c r="M48" t="b">
        <v>1</v>
      </c>
      <c r="N48" t="b">
        <v>0</v>
      </c>
      <c r="O48" t="b">
        <v>0</v>
      </c>
      <c r="P48" t="s">
        <v>83</v>
      </c>
      <c r="Q48" t="s">
        <v>169</v>
      </c>
      <c r="R48">
        <v>1</v>
      </c>
      <c r="S48" t="s">
        <v>85</v>
      </c>
      <c r="T48" t="s">
        <v>86</v>
      </c>
      <c r="U48" t="s">
        <v>87</v>
      </c>
      <c r="V48">
        <v>1</v>
      </c>
      <c r="W48" t="s">
        <v>107</v>
      </c>
      <c r="X48" t="b">
        <v>0</v>
      </c>
      <c r="Y48" t="s">
        <v>89</v>
      </c>
      <c r="Z48">
        <v>4000</v>
      </c>
      <c r="AA48">
        <v>4000</v>
      </c>
      <c r="AC48">
        <v>256</v>
      </c>
      <c r="AD48" t="s">
        <v>90</v>
      </c>
      <c r="AE48">
        <v>0.15</v>
      </c>
      <c r="AF48" t="s">
        <v>91</v>
      </c>
      <c r="AG48">
        <v>40</v>
      </c>
      <c r="AH48">
        <v>10</v>
      </c>
      <c r="AI48">
        <v>30</v>
      </c>
      <c r="AJ48">
        <v>4.6492460619877503E-2</v>
      </c>
      <c r="AK48">
        <v>4.0437594057549002E-3</v>
      </c>
      <c r="AL48">
        <v>0.94547245383885925</v>
      </c>
      <c r="AM48">
        <v>-3.0881927765035391</v>
      </c>
      <c r="AN48">
        <v>6.5529998511838997E-3</v>
      </c>
      <c r="AO48">
        <v>0.95241674832331258</v>
      </c>
      <c r="AP48">
        <v>6.5529998511838997E-3</v>
      </c>
      <c r="AQ48">
        <v>6.5529998511838997E-3</v>
      </c>
      <c r="AR48">
        <v>0.95241674832331258</v>
      </c>
      <c r="AS48">
        <v>0.39279413758873261</v>
      </c>
      <c r="AT48">
        <v>-1.8521933054271811</v>
      </c>
      <c r="AU48">
        <v>0.2</v>
      </c>
      <c r="AV48" t="s">
        <v>92</v>
      </c>
      <c r="AW48">
        <v>6.5529998511838997E-3</v>
      </c>
      <c r="AX48">
        <v>0.95241674832331258</v>
      </c>
      <c r="AY48">
        <v>6.5529998511838997E-3</v>
      </c>
      <c r="AZ48">
        <v>6.5529998511838997E-3</v>
      </c>
      <c r="BA48">
        <v>0.95241674832331258</v>
      </c>
      <c r="BB48">
        <v>0.39279413758873261</v>
      </c>
      <c r="BC48">
        <v>-1.8521933054271811</v>
      </c>
    </row>
    <row r="49" spans="1:55" x14ac:dyDescent="0.3">
      <c r="A49" t="s">
        <v>181</v>
      </c>
      <c r="B49" t="s">
        <v>182</v>
      </c>
      <c r="C49">
        <v>7</v>
      </c>
      <c r="D49" t="s">
        <v>94</v>
      </c>
      <c r="E49" t="s">
        <v>79</v>
      </c>
      <c r="F49">
        <v>16590</v>
      </c>
      <c r="G49">
        <v>4.5</v>
      </c>
      <c r="H49" t="s">
        <v>168</v>
      </c>
      <c r="I49" t="s">
        <v>81</v>
      </c>
      <c r="J49">
        <v>5</v>
      </c>
      <c r="K49">
        <v>5</v>
      </c>
      <c r="L49" t="s">
        <v>82</v>
      </c>
      <c r="M49" t="b">
        <v>1</v>
      </c>
      <c r="N49" t="b">
        <v>0</v>
      </c>
      <c r="O49" t="b">
        <v>0</v>
      </c>
      <c r="P49" t="s">
        <v>83</v>
      </c>
      <c r="Q49" t="s">
        <v>169</v>
      </c>
      <c r="R49">
        <v>1</v>
      </c>
      <c r="S49" t="s">
        <v>85</v>
      </c>
      <c r="T49" t="s">
        <v>86</v>
      </c>
      <c r="U49" t="s">
        <v>87</v>
      </c>
      <c r="V49">
        <v>1</v>
      </c>
      <c r="W49" t="s">
        <v>107</v>
      </c>
      <c r="X49" t="b">
        <v>0</v>
      </c>
      <c r="Y49" t="s">
        <v>89</v>
      </c>
      <c r="Z49">
        <v>4000</v>
      </c>
      <c r="AA49">
        <v>4000</v>
      </c>
      <c r="AC49">
        <v>256</v>
      </c>
      <c r="AD49" t="s">
        <v>90</v>
      </c>
      <c r="AE49">
        <v>0.15</v>
      </c>
      <c r="AF49" t="s">
        <v>91</v>
      </c>
      <c r="AG49">
        <v>40</v>
      </c>
      <c r="AH49">
        <v>10</v>
      </c>
      <c r="AI49">
        <v>30</v>
      </c>
      <c r="AJ49">
        <v>4.58081512344376E-2</v>
      </c>
      <c r="AK49">
        <v>4.4358449212779996E-3</v>
      </c>
      <c r="AL49">
        <v>0.94018542785596459</v>
      </c>
      <c r="AM49">
        <v>-3.226840366164808</v>
      </c>
      <c r="AN49">
        <v>6.4237883071016997E-3</v>
      </c>
      <c r="AO49">
        <v>0.95335499119851796</v>
      </c>
      <c r="AP49">
        <v>6.4237883071016997E-3</v>
      </c>
      <c r="AQ49">
        <v>6.4237883071016997E-3</v>
      </c>
      <c r="AR49">
        <v>0.95335499119851796</v>
      </c>
      <c r="AS49">
        <v>0.40444315665304259</v>
      </c>
      <c r="AT49">
        <v>-1.9367802455327039</v>
      </c>
      <c r="AU49">
        <v>0.2</v>
      </c>
      <c r="AV49" t="s">
        <v>92</v>
      </c>
      <c r="AW49">
        <v>6.4237883071016997E-3</v>
      </c>
      <c r="AX49">
        <v>0.95335499119851796</v>
      </c>
      <c r="AY49">
        <v>6.4237883071016997E-3</v>
      </c>
      <c r="AZ49">
        <v>6.4237883071016997E-3</v>
      </c>
      <c r="BA49">
        <v>0.95335499119851796</v>
      </c>
      <c r="BB49">
        <v>0.40444315665304259</v>
      </c>
      <c r="BC49">
        <v>-1.9367802455327039</v>
      </c>
    </row>
    <row r="50" spans="1:55" x14ac:dyDescent="0.3">
      <c r="A50" t="s">
        <v>183</v>
      </c>
      <c r="B50" t="s">
        <v>184</v>
      </c>
      <c r="C50">
        <v>8</v>
      </c>
      <c r="D50" t="s">
        <v>94</v>
      </c>
      <c r="E50" t="s">
        <v>79</v>
      </c>
      <c r="F50">
        <v>16590</v>
      </c>
      <c r="G50">
        <v>4.5</v>
      </c>
      <c r="H50" t="s">
        <v>168</v>
      </c>
      <c r="I50" t="s">
        <v>81</v>
      </c>
      <c r="J50">
        <v>5</v>
      </c>
      <c r="K50">
        <v>5</v>
      </c>
      <c r="L50" t="s">
        <v>82</v>
      </c>
      <c r="M50" t="b">
        <v>1</v>
      </c>
      <c r="N50" t="b">
        <v>0</v>
      </c>
      <c r="O50" t="b">
        <v>0</v>
      </c>
      <c r="P50" t="s">
        <v>83</v>
      </c>
      <c r="Q50" t="s">
        <v>169</v>
      </c>
      <c r="R50">
        <v>1</v>
      </c>
      <c r="S50" t="s">
        <v>85</v>
      </c>
      <c r="T50" t="s">
        <v>86</v>
      </c>
      <c r="U50" t="s">
        <v>87</v>
      </c>
      <c r="V50">
        <v>1</v>
      </c>
      <c r="W50" t="s">
        <v>107</v>
      </c>
      <c r="X50" t="b">
        <v>0</v>
      </c>
      <c r="Y50" t="s">
        <v>89</v>
      </c>
      <c r="Z50">
        <v>4000</v>
      </c>
      <c r="AA50">
        <v>4000</v>
      </c>
      <c r="AC50">
        <v>256</v>
      </c>
      <c r="AD50" t="s">
        <v>90</v>
      </c>
      <c r="AE50">
        <v>0.15</v>
      </c>
      <c r="AF50" t="s">
        <v>91</v>
      </c>
      <c r="AG50">
        <v>40</v>
      </c>
      <c r="AH50">
        <v>10</v>
      </c>
      <c r="AI50">
        <v>30</v>
      </c>
      <c r="AJ50">
        <v>3.4956794063035E-2</v>
      </c>
      <c r="AK50">
        <v>3.9841992003671004E-3</v>
      </c>
      <c r="AL50">
        <v>0.94627558565823278</v>
      </c>
      <c r="AM50">
        <v>-3.1966747694990598</v>
      </c>
      <c r="AN50">
        <v>6.1016717844205003E-3</v>
      </c>
      <c r="AO50">
        <v>0.955693973636491</v>
      </c>
      <c r="AP50">
        <v>6.1016717844205003E-3</v>
      </c>
      <c r="AQ50">
        <v>6.1016717844205003E-3</v>
      </c>
      <c r="AR50">
        <v>0.955693973636491</v>
      </c>
      <c r="AS50">
        <v>0.40540810893500773</v>
      </c>
      <c r="AT50">
        <v>-1.94378704674306</v>
      </c>
      <c r="AU50">
        <v>0.2</v>
      </c>
      <c r="AV50" t="s">
        <v>92</v>
      </c>
      <c r="AW50">
        <v>6.1016717844205003E-3</v>
      </c>
      <c r="AX50">
        <v>0.955693973636491</v>
      </c>
      <c r="AY50">
        <v>6.1016717844205003E-3</v>
      </c>
      <c r="AZ50">
        <v>6.1016717844205003E-3</v>
      </c>
      <c r="BA50">
        <v>0.955693973636491</v>
      </c>
      <c r="BB50">
        <v>0.40540810893500773</v>
      </c>
      <c r="BC50">
        <v>-1.94378704674306</v>
      </c>
    </row>
    <row r="51" spans="1:55" x14ac:dyDescent="0.3">
      <c r="A51" t="s">
        <v>185</v>
      </c>
      <c r="B51" t="s">
        <v>186</v>
      </c>
      <c r="C51">
        <v>9</v>
      </c>
      <c r="D51" t="s">
        <v>78</v>
      </c>
      <c r="E51" t="s">
        <v>79</v>
      </c>
      <c r="F51">
        <v>16590</v>
      </c>
      <c r="G51">
        <v>4.5</v>
      </c>
      <c r="H51" t="s">
        <v>168</v>
      </c>
      <c r="I51" t="s">
        <v>81</v>
      </c>
      <c r="J51">
        <v>5</v>
      </c>
      <c r="K51">
        <v>5</v>
      </c>
      <c r="L51" t="s">
        <v>82</v>
      </c>
      <c r="M51" t="b">
        <v>1</v>
      </c>
      <c r="N51" t="b">
        <v>0</v>
      </c>
      <c r="O51" t="b">
        <v>0</v>
      </c>
      <c r="P51" t="s">
        <v>83</v>
      </c>
      <c r="Q51" t="s">
        <v>169</v>
      </c>
      <c r="R51">
        <v>1</v>
      </c>
      <c r="S51" t="s">
        <v>85</v>
      </c>
      <c r="T51" t="s">
        <v>86</v>
      </c>
      <c r="U51" t="s">
        <v>87</v>
      </c>
      <c r="V51">
        <v>1</v>
      </c>
      <c r="W51" t="s">
        <v>107</v>
      </c>
      <c r="X51" t="b">
        <v>0</v>
      </c>
      <c r="Y51" t="s">
        <v>89</v>
      </c>
      <c r="Z51">
        <v>4000</v>
      </c>
      <c r="AA51">
        <v>4000</v>
      </c>
      <c r="AC51">
        <v>256</v>
      </c>
      <c r="AD51" t="s">
        <v>90</v>
      </c>
      <c r="AE51">
        <v>0.15</v>
      </c>
      <c r="AF51" t="s">
        <v>91</v>
      </c>
      <c r="AG51">
        <v>40</v>
      </c>
      <c r="AH51">
        <v>10</v>
      </c>
      <c r="AI51">
        <v>30</v>
      </c>
      <c r="AJ51">
        <v>3.75740631787988E-2</v>
      </c>
      <c r="AK51">
        <v>3.9955206500965996E-3</v>
      </c>
      <c r="AL51">
        <v>0.94612292304634316</v>
      </c>
      <c r="AM51">
        <v>-3.326710336346216</v>
      </c>
      <c r="AN51">
        <v>5.7286311525531E-3</v>
      </c>
      <c r="AO51">
        <v>0.95840273094991701</v>
      </c>
      <c r="AP51">
        <v>5.7286311525531E-3</v>
      </c>
      <c r="AQ51">
        <v>5.7286311525531E-3</v>
      </c>
      <c r="AR51">
        <v>0.95840273094991701</v>
      </c>
      <c r="AS51">
        <v>0.41262990165824048</v>
      </c>
      <c r="AT51">
        <v>-1.996226599392275</v>
      </c>
      <c r="AU51">
        <v>0.2</v>
      </c>
      <c r="AV51" t="s">
        <v>92</v>
      </c>
      <c r="AW51">
        <v>5.7286311525531E-3</v>
      </c>
      <c r="AX51">
        <v>0.95840273094991701</v>
      </c>
      <c r="AY51">
        <v>5.7286311525531E-3</v>
      </c>
      <c r="AZ51">
        <v>5.7286311525531E-3</v>
      </c>
      <c r="BA51">
        <v>0.95840273094991701</v>
      </c>
      <c r="BB51">
        <v>0.41262990165824048</v>
      </c>
      <c r="BC51">
        <v>-1.996226599392275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40E48-251D-4D09-8CD4-032BFADB5AE7}">
  <dimension ref="A1:D7"/>
  <sheetViews>
    <sheetView workbookViewId="0">
      <selection activeCell="B10" sqref="B10"/>
    </sheetView>
  </sheetViews>
  <sheetFormatPr baseColWidth="10" defaultRowHeight="14.4" x14ac:dyDescent="0.3"/>
  <cols>
    <col min="1" max="1" width="17.109375" bestFit="1" customWidth="1"/>
    <col min="2" max="2" width="25.44140625" bestFit="1" customWidth="1"/>
    <col min="3" max="3" width="26.6640625" bestFit="1" customWidth="1"/>
    <col min="4" max="4" width="18.44140625" bestFit="1" customWidth="1"/>
  </cols>
  <sheetData>
    <row r="1" spans="1:4" x14ac:dyDescent="0.3">
      <c r="A1" s="2" t="s">
        <v>187</v>
      </c>
      <c r="B1" t="s">
        <v>190</v>
      </c>
      <c r="C1" t="s">
        <v>191</v>
      </c>
      <c r="D1" t="s">
        <v>189</v>
      </c>
    </row>
    <row r="2" spans="1:4" x14ac:dyDescent="0.3">
      <c r="A2" s="3" t="s">
        <v>147</v>
      </c>
      <c r="B2">
        <v>0.97048192468175909</v>
      </c>
      <c r="C2">
        <v>-2.9513877379236675</v>
      </c>
      <c r="D2">
        <v>10</v>
      </c>
    </row>
    <row r="3" spans="1:4" x14ac:dyDescent="0.3">
      <c r="A3" s="3" t="s">
        <v>126</v>
      </c>
      <c r="B3">
        <v>0.96071318619906665</v>
      </c>
      <c r="C3">
        <v>-3.3906497875796133</v>
      </c>
      <c r="D3">
        <v>10</v>
      </c>
    </row>
    <row r="4" spans="1:4" x14ac:dyDescent="0.3">
      <c r="A4" s="3" t="s">
        <v>168</v>
      </c>
      <c r="B4">
        <v>0.95422737704073002</v>
      </c>
      <c r="C4">
        <v>-2.2058750102601712</v>
      </c>
      <c r="D4">
        <v>10</v>
      </c>
    </row>
    <row r="5" spans="1:4" x14ac:dyDescent="0.3">
      <c r="A5" s="3" t="s">
        <v>105</v>
      </c>
      <c r="B5">
        <v>0.93661639560311849</v>
      </c>
      <c r="C5">
        <v>-0.69562538852536537</v>
      </c>
      <c r="D5">
        <v>10</v>
      </c>
    </row>
    <row r="6" spans="1:4" x14ac:dyDescent="0.3">
      <c r="A6" s="3" t="s">
        <v>80</v>
      </c>
      <c r="B6">
        <v>0.93174974586977211</v>
      </c>
      <c r="C6">
        <v>-5.8401369475180397E-2</v>
      </c>
      <c r="D6">
        <v>10</v>
      </c>
    </row>
    <row r="7" spans="1:4" x14ac:dyDescent="0.3">
      <c r="A7" s="3" t="s">
        <v>188</v>
      </c>
      <c r="B7">
        <v>0.95075772587888907</v>
      </c>
      <c r="C7">
        <v>-1.8603878587527996</v>
      </c>
      <c r="D7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Uxue Ballarin Manso</cp:lastModifiedBy>
  <dcterms:created xsi:type="dcterms:W3CDTF">2026-04-13T12:26:56Z</dcterms:created>
  <dcterms:modified xsi:type="dcterms:W3CDTF">2026-04-13T13:58:31Z</dcterms:modified>
</cp:coreProperties>
</file>