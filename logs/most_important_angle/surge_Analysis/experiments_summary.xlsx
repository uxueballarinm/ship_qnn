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most_important_angle/surge_Analysis/"/>
    </mc:Choice>
  </mc:AlternateContent>
  <xr:revisionPtr revIDLastSave="22" documentId="11_3BDDD0BDD3A0DA244F383411595ED87656C9FDEE" xr6:coauthVersionLast="47" xr6:coauthVersionMax="47" xr10:uidLastSave="{A852D4BD-1BA4-4125-A80A-CCDA37098299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3" i="1" l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2" i="1"/>
</calcChain>
</file>

<file path=xl/sharedStrings.xml><?xml version="1.0" encoding="utf-8"?>
<sst xmlns="http://schemas.openxmlformats.org/spreadsheetml/2006/main" count="1204" uniqueCount="217">
  <si>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</si>
  <si>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</si>
  <si>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</si>
  <si>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</si>
  <si>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</si>
  <si>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</si>
  <si>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</si>
  <si>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</si>
  <si>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</si>
  <si>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</si>
  <si>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</si>
  <si>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</si>
  <si>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</si>
  <si>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</si>
  <si>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</si>
  <si>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</si>
  <si>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</si>
  <si>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</si>
  <si>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</si>
  <si>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</si>
  <si>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</si>
  <si>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</si>
  <si>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</si>
  <si>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</si>
  <si>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</si>
  <si>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</si>
  <si>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</si>
  <si>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</si>
  <si>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</si>
  <si>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</si>
  <si>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</si>
  <si>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</si>
  <si>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</si>
  <si>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</si>
  <si>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</si>
  <si>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</si>
  <si>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</si>
  <si>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</si>
  <si>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</si>
  <si>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</si>
  <si>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</si>
  <si>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</si>
  <si>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</si>
  <si>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</si>
  <si>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</si>
  <si>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</si>
  <si>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</si>
  <si>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</si>
  <si>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</si>
  <si>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</si>
  <si>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</si>
  <si>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</si>
  <si>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</si>
  <si>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</si>
  <si>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</si>
  <si>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</si>
  <si>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</si>
  <si>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</si>
  <si>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</si>
  <si>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</si>
  <si>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</si>
  <si>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</si>
  <si>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</si>
  <si>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</si>
  <si>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</si>
  <si>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</si>
  <si>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</si>
  <si>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</si>
  <si>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</si>
  <si>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</si>
  <si>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</si>
  <si>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</si>
  <si>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</si>
  <si>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</si>
  <si>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</si>
  <si>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</si>
  <si>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empty_angle</t>
  </si>
  <si>
    <t>20/04/2026 10:10:30</t>
  </si>
  <si>
    <t>04-20_10-10-30_multihead_1heads_run0_spsa_serial_f5_w5_h5_effsu2_lin_r1.pkl</t>
  </si>
  <si>
    <t>Best (Lowest Val Loss)</t>
  </si>
  <si>
    <t>data/reduce_row_number_absolutes</t>
  </si>
  <si>
    <t>['sv', 'wv', 'yr', 'ya']</t>
  </si>
  <si>
    <t>['Surge Velocity']</t>
  </si>
  <si>
    <t>custom</t>
  </si>
  <si>
    <t>multihead</t>
  </si>
  <si>
    <t>[{'features': ['sv', 'wv', 'yr', 'ya'], 'output_dim': 1, 'reps': 1, 'encoding': 'serial', 'ansatz': 'effsu2', 'entangle': 'lin', 'map': [1, -1, 3, 0, 2, -1]}]</t>
  </si>
  <si>
    <t>serial</t>
  </si>
  <si>
    <t>effsu2</t>
  </si>
  <si>
    <t>lin</t>
  </si>
  <si>
    <t>[1, -1, 3, 0, 2, -1]</t>
  </si>
  <si>
    <t>spsa</t>
  </si>
  <si>
    <t>[0.1, 0.001]</t>
  </si>
  <si>
    <t>[1.0, 1.0, 1.0, 1.0]</t>
  </si>
  <si>
    <t>identity</t>
  </si>
  <si>
    <t>phi</t>
  </si>
  <si>
    <t>04-20_10-10-30_multihead_1heads_run1_spsa_serial_f5_w5_h5_effsu2_lin_r1.pkl</t>
  </si>
  <si>
    <t>Final (Last Iteration)</t>
  </si>
  <si>
    <t>[{'features': ['sv', 'wv', 'yr', 'ya'], 'output_dim': 1, 'reps': 1, 'encoding': 'serial', 'ansatz': 'effsu2', 'entangle': 'lin', 'map': [3, 1, -1, 0, 2, -1]}]</t>
  </si>
  <si>
    <t>[3, 1, -1, 0, 2, -1]</t>
  </si>
  <si>
    <t>lambda</t>
  </si>
  <si>
    <t>20/04/2026 10:10:35</t>
  </si>
  <si>
    <t>04-20_10-10-35_multihead_1heads_run0_spsa_serial_f5_w5_h5_effsu2_lin_r1.pkl</t>
  </si>
  <si>
    <t>[{'features': ['sv', 'wv', 'yr', 'ya'], 'output_dim': 1, 'reps': 1, 'encoding': 'serial', 'ansatz': 'effsu2', 'entangle': 'lin', 'map': [3, -1, 1, 0, 2, -1]}]</t>
  </si>
  <si>
    <t>[3, -1, 1, 0, 2, -1]</t>
  </si>
  <si>
    <t>04-20_10-10-35_multihead_1heads_run1_spsa_serial_f5_w5_h5_effsu2_lin_r1.pkl</t>
  </si>
  <si>
    <t>20/04/2026 11:09:27</t>
  </si>
  <si>
    <t>04-20_11-09-27_multihead_1heads_run1_spsa_serial_f5_w5_h5_effsu2_lin_r1.pkl</t>
  </si>
  <si>
    <t>[{'features': ['sv', 'wv', 'yr', 'ya'], 'output_dim': 1, 'reps': 1, 'encoding': 'serial', 'ansatz': 'effsu2', 'entangle': 'lin', 'map': [-1, 1, 3, 0, 2, -1]}]</t>
  </si>
  <si>
    <t>[-1, 1, 3, 0, 2, -1]</t>
  </si>
  <si>
    <t>theta</t>
  </si>
  <si>
    <t>20/04/2026 11:11:07</t>
  </si>
  <si>
    <t>04-20_11-11-07_multihead_1heads_run1_spsa_serial_f5_w5_h5_effsu2_lin_r1.pkl</t>
  </si>
  <si>
    <t>[{'features': ['sv', 'wv', 'yr', 'ya'], 'output_dim': 1, 'reps': 1, 'encoding': 'serial', 'ansatz': 'effsu2', 'entangle': 'lin', 'map': [-1, 3, 1, 0, 2, -1]}]</t>
  </si>
  <si>
    <t>[-1, 3, 1, 0, 2, -1]</t>
  </si>
  <si>
    <t>20/04/2026 11:11:22</t>
  </si>
  <si>
    <t>04-20_11-11-22_multihead_1heads_run2_spsa_serial_f5_w5_h5_effsu2_lin_r1.pkl</t>
  </si>
  <si>
    <t>[{'features': ['sv', 'wv', 'yr', 'ya'], 'output_dim': 1, 'reps': 1, 'encoding': 'serial', 'ansatz': 'effsu2', 'entangle': 'lin', 'map': [1, 3, -1, 0, 2, -1]}]</t>
  </si>
  <si>
    <t>[1, 3, -1, 0, 2, -1]</t>
  </si>
  <si>
    <t>20/04/2026 11:13:07</t>
  </si>
  <si>
    <t>04-20_11-13-07_multihead_1heads_run2_spsa_serial_f5_w5_h5_effsu2_lin_r1.pkl</t>
  </si>
  <si>
    <t>20/04/2026 11:15:02</t>
  </si>
  <si>
    <t>04-20_11-15-02_multihead_1heads_run2_spsa_serial_f5_w5_h5_effsu2_lin_r1.pkl</t>
  </si>
  <si>
    <t>20/04/2026 11:15:07</t>
  </si>
  <si>
    <t>04-20_11-15-07_multihead_1heads_run2_spsa_serial_f5_w5_h5_effsu2_lin_r1.pkl</t>
  </si>
  <si>
    <t>20/04/2026 11:16:06</t>
  </si>
  <si>
    <t>04-20_11-16-06_multihead_1heads_run2_spsa_serial_f5_w5_h5_effsu2_lin_r1.pkl</t>
  </si>
  <si>
    <t>20/04/2026 11:16:30</t>
  </si>
  <si>
    <t>04-20_11-16-30_multihead_1heads_run2_spsa_serial_f5_w5_h5_effsu2_lin_r1.pkl</t>
  </si>
  <si>
    <t>20/04/2026 11:18:43</t>
  </si>
  <si>
    <t>04-20_11-18-43_multihead_1heads_run3_spsa_serial_f5_w5_h5_effsu2_lin_r1.pkl</t>
  </si>
  <si>
    <t>20/04/2026 11:19:24</t>
  </si>
  <si>
    <t>04-20_11-19-24_multihead_1heads_run3_spsa_serial_f5_w5_h5_effsu2_lin_r1.pkl</t>
  </si>
  <si>
    <t>20/04/2026 12:15:06</t>
  </si>
  <si>
    <t>04-20_12-15-06_multihead_1heads_run3_spsa_serial_f5_w5_h5_effsu2_lin_r1.pkl</t>
  </si>
  <si>
    <t>20/04/2026 12:15:39</t>
  </si>
  <si>
    <t>04-20_12-15-39_multihead_1heads_run3_spsa_serial_f5_w5_h5_effsu2_lin_r1.pkl</t>
  </si>
  <si>
    <t>20/04/2026 12:19:03</t>
  </si>
  <si>
    <t>04-20_12-19-03_multihead_1heads_run3_spsa_serial_f5_w5_h5_effsu2_lin_r1.pkl</t>
  </si>
  <si>
    <t>20/04/2026 12:19:20</t>
  </si>
  <si>
    <t>04-20_12-19-20_multihead_1heads_run4_spsa_serial_f5_w5_h5_effsu2_lin_r1.pkl</t>
  </si>
  <si>
    <t>20/04/2026 12:20:32</t>
  </si>
  <si>
    <t>04-20_12-20-32_multihead_1heads_run4_spsa_serial_f5_w5_h5_effsu2_lin_r1.pkl</t>
  </si>
  <si>
    <t>20/04/2026 12:24:25</t>
  </si>
  <si>
    <t>04-20_12-24-25_multihead_1heads_run4_spsa_serial_f5_w5_h5_effsu2_lin_r1.pkl</t>
  </si>
  <si>
    <t>20/04/2026 12:24:30</t>
  </si>
  <si>
    <t>04-20_12-24-30_multihead_1heads_run4_spsa_serial_f5_w5_h5_effsu2_lin_r1.pkl</t>
  </si>
  <si>
    <t>20/04/2026 12:27:03</t>
  </si>
  <si>
    <t>04-20_12-27-03_multihead_1heads_run4_spsa_serial_f5_w5_h5_effsu2_lin_r1.pkl</t>
  </si>
  <si>
    <t>20/04/2026 12:27:14</t>
  </si>
  <si>
    <t>04-20_12-27-14_multihead_1heads_run4_spsa_serial_f5_w5_h5_effsu2_lin_r1.pkl</t>
  </si>
  <si>
    <t>20/04/2026 13:16:45</t>
  </si>
  <si>
    <t>04-20_13-16-45_multihead_1heads_run5_spsa_serial_f5_w5_h5_effsu2_lin_r1.pkl</t>
  </si>
  <si>
    <t>20/04/2026 13:18:48</t>
  </si>
  <si>
    <t>04-20_13-18-48_multihead_1heads_run5_spsa_serial_f5_w5_h5_effsu2_lin_r1.pkl</t>
  </si>
  <si>
    <t>20/04/2026 13:21:11</t>
  </si>
  <si>
    <t>04-20_13-21-11_multihead_1heads_run5_spsa_serial_f5_w5_h5_effsu2_lin_r1.pkl</t>
  </si>
  <si>
    <t>20/04/2026 13:21:38</t>
  </si>
  <si>
    <t>04-20_13-21-38_multihead_1heads_run5_spsa_serial_f5_w5_h5_effsu2_lin_r1.pkl</t>
  </si>
  <si>
    <t>20/04/2026 13:25:12</t>
  </si>
  <si>
    <t>04-20_13-25-12_multihead_1heads_run5_spsa_serial_f5_w5_h5_effsu2_lin_r1.pkl</t>
  </si>
  <si>
    <t>20/04/2026 13:25:58</t>
  </si>
  <si>
    <t>04-20_13-25-58_multihead_1heads_run6_spsa_serial_f5_w5_h5_effsu2_lin_r1.pkl</t>
  </si>
  <si>
    <t>20/04/2026 13:26:18</t>
  </si>
  <si>
    <t>04-20_13-26-18_multihead_1heads_run6_spsa_serial_f5_w5_h5_effsu2_lin_r1.pkl</t>
  </si>
  <si>
    <t>20/04/2026 13:22:16</t>
  </si>
  <si>
    <t>04-20_13-22-16_multihead_1heads_run5_spsa_serial_f5_w5_h5_effsu2_lin_r1.pkl</t>
  </si>
  <si>
    <t>20/04/2026 13:30:24</t>
  </si>
  <si>
    <t>04-20_13-30-24_multihead_1heads_run6_spsa_serial_f5_w5_h5_effsu2_lin_r1.pkl</t>
  </si>
  <si>
    <t>20/04/2026 13:34:22</t>
  </si>
  <si>
    <t>04-20_13-34-22_multihead_1heads_run6_spsa_serial_f5_w5_h5_effsu2_lin_r1.pkl</t>
  </si>
  <si>
    <t>20/04/2026 14:21:51</t>
  </si>
  <si>
    <t>04-20_14-21-51_multihead_1heads_run6_spsa_serial_f5_w5_h5_effsu2_lin_r1.pkl</t>
  </si>
  <si>
    <t>20/04/2026 14:23:05</t>
  </si>
  <si>
    <t>04-20_14-23-05_multihead_1heads_run6_spsa_serial_f5_w5_h5_effsu2_lin_r1.pkl</t>
  </si>
  <si>
    <t>20/04/2026 14:24:38</t>
  </si>
  <si>
    <t>04-20_14-24-38_multihead_1heads_run7_spsa_serial_f5_w5_h5_effsu2_lin_r1.pkl</t>
  </si>
  <si>
    <t>20/04/2026 14:24:55</t>
  </si>
  <si>
    <t>04-20_14-24-55_multihead_1heads_run7_spsa_serial_f5_w5_h5_effsu2_lin_r1.pkl</t>
  </si>
  <si>
    <t>20/04/2026 14:30:30</t>
  </si>
  <si>
    <t>04-20_14-30-30_multihead_1heads_run7_spsa_serial_f5_w5_h5_effsu2_lin_r1.pkl</t>
  </si>
  <si>
    <t>20/04/2026 14:34:27</t>
  </si>
  <si>
    <t>04-20_14-34-27_multihead_1heads_run7_spsa_serial_f5_w5_h5_effsu2_lin_r1.pkl</t>
  </si>
  <si>
    <t>20/04/2026 14:38:07</t>
  </si>
  <si>
    <t>04-20_14-38-07_multihead_1heads_run7_spsa_serial_f5_w5_h5_effsu2_lin_r1.pkl</t>
  </si>
  <si>
    <t>20/04/2026 14:40:18</t>
  </si>
  <si>
    <t>04-20_14-40-18_multihead_1heads_run7_spsa_serial_f5_w5_h5_effsu2_lin_r1.pkl</t>
  </si>
  <si>
    <t>20/04/2026 14:45:31</t>
  </si>
  <si>
    <t>04-20_14-45-31_multihead_1heads_run8_spsa_serial_f5_w5_h5_effsu2_lin_r1.pkl</t>
  </si>
  <si>
    <t>20/04/2026 14:51:19</t>
  </si>
  <si>
    <t>04-20_14-51-19_multihead_1heads_run8_spsa_serial_f5_w5_h5_effsu2_lin_r1.pkl</t>
  </si>
  <si>
    <t>20/04/2026 15:31:51</t>
  </si>
  <si>
    <t>04-20_15-31-51_multihead_1heads_run8_spsa_serial_f5_w5_h5_effsu2_lin_r1.pkl</t>
  </si>
  <si>
    <t>20/04/2026 15:33:12</t>
  </si>
  <si>
    <t>04-20_15-33-12_multihead_1heads_run8_spsa_serial_f5_w5_h5_effsu2_lin_r1.pkl</t>
  </si>
  <si>
    <t>20/04/2026 15:35:51</t>
  </si>
  <si>
    <t>04-20_15-35-51_multihead_1heads_run8_spsa_serial_f5_w5_h5_effsu2_lin_r1.pkl</t>
  </si>
  <si>
    <t>20/04/2026 15:39:11</t>
  </si>
  <si>
    <t>04-20_15-39-11_multihead_1heads_run8_spsa_serial_f5_w5_h5_effsu2_lin_r1.pkl</t>
  </si>
  <si>
    <t>20/04/2026 15:40:18</t>
  </si>
  <si>
    <t>04-20_15-40-18_multihead_1heads_run9_spsa_serial_f5_w5_h5_effsu2_lin_r1.pkl</t>
  </si>
  <si>
    <t>20/04/2026 15:43:16</t>
  </si>
  <si>
    <t>04-20_15-43-16_multihead_1heads_run9_spsa_serial_f5_w5_h5_effsu2_lin_r1.pkl</t>
  </si>
  <si>
    <t>20/04/2026 15:45:48</t>
  </si>
  <si>
    <t>04-20_15-45-48_multihead_1heads_run9_spsa_serial_f5_w5_h5_effsu2_lin_r1.pkl</t>
  </si>
  <si>
    <t>20/04/2026 15:48:49</t>
  </si>
  <si>
    <t>04-20_15-48-49_multihead_1heads_run9_spsa_serial_f5_w5_h5_effsu2_lin_r1.pkl</t>
  </si>
  <si>
    <t>20/04/2026 16:02:51</t>
  </si>
  <si>
    <t>04-20_16-02-51_multihead_1heads_run9_spsa_serial_f5_w5_h5_effsu2_lin_r1.pkl</t>
  </si>
  <si>
    <t>20/04/2026 16:08:06</t>
  </si>
  <si>
    <t>04-20_16-08-06_multihead_1heads_run9_spsa_serial_f5_w5_h5_effsu2_lin_r1.pkl</t>
  </si>
  <si>
    <t>true</t>
  </si>
  <si>
    <t>false</t>
  </si>
  <si>
    <t>Etiquetas de fila</t>
  </si>
  <si>
    <t>Total general</t>
  </si>
  <si>
    <t>Promedio de global open R2</t>
  </si>
  <si>
    <t>Promedio de global closed R2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</si>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</sst>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3.416939351853" createdVersion="8" refreshedVersion="8" minRefreshableVersion="3" recordCount="53" xr:uid="{50A5C9CF-0F59-4958-84D3-97A7F6486CB6}">
  <cacheSource type="worksheet">
    <worksheetSource name="Tabla1"/>
  </cacheSource>
  <cacheFields count="77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6">
        <s v="[1, -1, 3, 0, 2, -1]"/>
        <s v="[3, 1, -1, 0, 2, -1]"/>
        <s v="[3, -1, 1, 0, 2, -1]"/>
        <s v="[-1, 1, 3, 0, 2, -1]"/>
        <s v="[-1, 3, 1, 0, 2, -1]"/>
        <s v="[1, 3, -1, 0, 2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50" maxValue="50"/>
    </cacheField>
    <cacheField name="q params" numFmtId="0">
      <sharedItems containsSemiMixedTypes="0" containsString="0" containsNumber="1" containsInteger="1" minValue="20" maxValue="2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2.67619870139079E-2" maxValue="8.5200045366279106E-2"/>
    </cacheField>
    <cacheField name="Val Global Open MSE" numFmtId="0">
      <sharedItems containsSemiMixedTypes="0" containsString="0" containsNumber="1" minValue="2.0593836758858999E-3" maxValue="2.21080177881453E-2"/>
    </cacheField>
    <cacheField name="Val Global Open R2" numFmtId="0">
      <sharedItems containsSemiMixedTypes="0" containsString="0" containsNumber="1" minValue="0.70188731833086127" maxValue="0.97223050948813716"/>
    </cacheField>
    <cacheField name="Val Global Closed R2" numFmtId="0">
      <sharedItems containsSemiMixedTypes="0" containsString="0" containsNumber="1" minValue="-10.57829376760848" maxValue="-2.43785827770635E-2"/>
    </cacheField>
    <cacheField name="step MSE" numFmtId="0">
      <sharedItems containsSemiMixedTypes="0" containsString="0" containsNumber="1" minValue="3.4410505273454002E-3" maxValue="5.3696447521268703E-2"/>
    </cacheField>
    <cacheField name="step R2" numFmtId="0">
      <sharedItems containsSemiMixedTypes="0" containsString="0" containsNumber="1" minValue="0.61009436371542725" maxValue="0.97501352403582064"/>
    </cacheField>
    <cacheField name="local MSE" numFmtId="0">
      <sharedItems containsSemiMixedTypes="0" containsString="0" containsNumber="1" minValue="3.4410505273454002E-3" maxValue="5.3696447521268703E-2"/>
    </cacheField>
    <cacheField name="global open MSE" numFmtId="0">
      <sharedItems containsSemiMixedTypes="0" containsString="0" containsNumber="1" minValue="3.4410505273454002E-3" maxValue="5.3696447521268703E-2"/>
    </cacheField>
    <cacheField name="global open R2" numFmtId="0">
      <sharedItems containsSemiMixedTypes="0" containsString="0" containsNumber="1" minValue="0.61009436371542725" maxValue="0.97501352403582064"/>
    </cacheField>
    <cacheField name="global closed MSE" numFmtId="0">
      <sharedItems containsSemiMixedTypes="0" containsString="0" containsNumber="1" minValue="0.14011359046295771" maxValue="0.88291400672705245"/>
    </cacheField>
    <cacheField name="global closed R2" numFmtId="0">
      <sharedItems containsSemiMixedTypes="0" containsString="0" containsNumber="1" minValue="-5.4110972600397194" maxValue="-1.7405827823834701E-2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SemiMixedTypes="0" containsString="0" containsNumber="1" minValue="3.4410505273454002E-3" maxValue="5.3696447521268703E-2"/>
    </cacheField>
    <cacheField name="Surge Velocity Step R2" numFmtId="0">
      <sharedItems containsSemiMixedTypes="0" containsString="0" containsNumber="1" minValue="0.61009436371542725" maxValue="0.97501352403582064"/>
    </cacheField>
    <cacheField name="Surge Velocity Local MSE" numFmtId="0">
      <sharedItems containsSemiMixedTypes="0" containsString="0" containsNumber="1" minValue="3.4410505273454002E-3" maxValue="5.3696447521268703E-2"/>
    </cacheField>
    <cacheField name="Surge Velocity Global open MSE" numFmtId="0">
      <sharedItems containsSemiMixedTypes="0" containsString="0" containsNumber="1" minValue="3.4410505273454002E-3" maxValue="5.3696447521268703E-2"/>
    </cacheField>
    <cacheField name="Surge Velocity Global open R2" numFmtId="0">
      <sharedItems containsSemiMixedTypes="0" containsString="0" containsNumber="1" minValue="0.61009436371542725" maxValue="0.97501352403582064"/>
    </cacheField>
    <cacheField name="Surge Velocity Global closed MSE" numFmtId="0">
      <sharedItems containsSemiMixedTypes="0" containsString="0" containsNumber="1" minValue="0.14011359046295771" maxValue="0.88291400672705245"/>
    </cacheField>
    <cacheField name="Surge Velocity Global closed R2" numFmtId="0">
      <sharedItems containsSemiMixedTypes="0" containsString="0" containsNumber="1" minValue="-5.4110972600397194" maxValue="-1.7405827823834701E-2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  <cacheField name="empty_angle" numFmtId="0">
      <sharedItems count="3">
        <s v="phi"/>
        <s v="lambda"/>
        <s v="the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20/04/2026 10:10:30"/>
    <s v="04-20_10-10-30_multihead_1heads_run0_spsa_serial_f5_w5_h5_effsu2_lin_r1.pkl"/>
    <x v="0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4.7248207714292001E-2"/>
    <n v="1.0464300244513501E-2"/>
    <n v="0.85889550851747065"/>
    <n v="-1.885615780897391"/>
    <n v="2.2610852593551101E-2"/>
    <n v="0.83581597527595752"/>
    <n v="2.2610852593551101E-2"/>
    <n v="2.2610852593551101E-2"/>
    <n v="0.83581597527595752"/>
    <n v="0.26176926173260118"/>
    <n v="-0.90078329698003523"/>
    <n v="0.2"/>
    <s v="identity"/>
    <n v="2.2610852593551101E-2"/>
    <n v="0.83581597527595752"/>
    <n v="2.2610852593551101E-2"/>
    <n v="2.2610852593551101E-2"/>
    <n v="0.83581597527595752"/>
    <n v="0.26176926173260118"/>
    <n v="-0.90078329698003523"/>
    <m/>
    <m/>
    <m/>
    <m/>
    <m/>
    <m/>
    <m/>
    <m/>
    <m/>
    <m/>
    <m/>
    <m/>
    <m/>
    <m/>
    <m/>
    <m/>
    <m/>
    <m/>
    <m/>
    <m/>
    <m/>
    <x v="0"/>
  </r>
  <r>
    <s v="20/04/2026 10:10:30"/>
    <s v="04-20_10-10-30_multihead_1heads_run1_spsa_serial_f5_w5_h5_effsu2_lin_r1.pkl"/>
    <x v="1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4.8480080369323102E-2"/>
    <n v="7.6162721849387001E-3"/>
    <n v="0.89729937133524285"/>
    <n v="-2.291559570388646"/>
    <n v="1.7091476343652E-2"/>
    <n v="0.875893783174859"/>
    <n v="1.7091476343652E-2"/>
    <n v="1.7091476343652E-2"/>
    <n v="0.875893783174859"/>
    <n v="0.2903861264519253"/>
    <n v="-1.108578735261833"/>
    <n v="0.2"/>
    <s v="identity"/>
    <n v="1.7091476343652E-2"/>
    <n v="0.875893783174859"/>
    <n v="1.7091476343652E-2"/>
    <n v="1.7091476343652E-2"/>
    <n v="0.875893783174859"/>
    <n v="0.2903861264519253"/>
    <n v="-1.108578735261833"/>
    <m/>
    <m/>
    <m/>
    <m/>
    <m/>
    <m/>
    <m/>
    <m/>
    <m/>
    <m/>
    <m/>
    <m/>
    <m/>
    <m/>
    <m/>
    <m/>
    <m/>
    <m/>
    <m/>
    <m/>
    <m/>
    <x v="1"/>
  </r>
  <r>
    <s v="20/04/2026 10:10:35"/>
    <s v="04-20_10-10-35_multihead_1heads_run0_spsa_serial_f5_w5_h5_effsu2_lin_r1.pkl"/>
    <x v="0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6.0240989444892798E-2"/>
    <n v="1.6195592919927899E-2"/>
    <n v="0.78161264013590892"/>
    <n v="-2.302921141554374"/>
    <n v="3.6939246404070897E-2"/>
    <n v="0.73177331019250336"/>
    <n v="3.6939246404070897E-2"/>
    <n v="3.6939246404070897E-2"/>
    <n v="0.73177331019250336"/>
    <n v="0.28999589305429069"/>
    <n v="-1.105745136239404"/>
    <n v="0.2"/>
    <s v="identity"/>
    <n v="3.6939246404070897E-2"/>
    <n v="0.73177331019250336"/>
    <n v="3.6939246404070897E-2"/>
    <n v="3.6939246404070897E-2"/>
    <n v="0.73177331019250336"/>
    <n v="0.28999589305429069"/>
    <n v="-1.105745136239404"/>
    <m/>
    <m/>
    <m/>
    <m/>
    <m/>
    <m/>
    <m/>
    <m/>
    <m/>
    <m/>
    <m/>
    <m/>
    <m/>
    <m/>
    <m/>
    <m/>
    <m/>
    <m/>
    <m/>
    <m/>
    <m/>
    <x v="0"/>
  </r>
  <r>
    <s v="20/04/2026 10:10:35"/>
    <s v="04-20_10-10-35_multihead_1heads_run1_spsa_serial_f5_w5_h5_effsu2_lin_r1.pkl"/>
    <x v="1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5.6683387557609398E-2"/>
    <n v="9.3586392104329005E-3"/>
    <n v="0.87380465048783673"/>
    <n v="-1.8154285949579321"/>
    <n v="2.1656259633181098E-2"/>
    <n v="0.84274755441735982"/>
    <n v="2.1656259633181098E-2"/>
    <n v="2.1656259633181098E-2"/>
    <n v="0.84274755441735982"/>
    <n v="0.2480696686918914"/>
    <n v="-0.80130653849872391"/>
    <n v="0.2"/>
    <s v="identity"/>
    <n v="2.1656259633181098E-2"/>
    <n v="0.84274755441735982"/>
    <n v="2.1656259633181098E-2"/>
    <n v="2.1656259633181098E-2"/>
    <n v="0.84274755441735982"/>
    <n v="0.2480696686918914"/>
    <n v="-0.80130653849872391"/>
    <m/>
    <m/>
    <m/>
    <m/>
    <m/>
    <m/>
    <m/>
    <m/>
    <m/>
    <m/>
    <m/>
    <m/>
    <m/>
    <m/>
    <m/>
    <m/>
    <m/>
    <m/>
    <m/>
    <m/>
    <m/>
    <x v="0"/>
  </r>
  <r>
    <s v="20/04/2026 11:09:27"/>
    <s v="04-20_11-09-27_multihead_1heads_run1_spsa_serial_f5_w5_h5_effsu2_lin_r1.pkl"/>
    <x v="1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6.4496830573854094E-2"/>
    <n v="5.3522335277362996E-3"/>
    <n v="0.92782850524353599"/>
    <n v="-0.90042845732223342"/>
    <n v="9.3660935363108992E-3"/>
    <n v="0.93199005095579801"/>
    <n v="9.3660935363108992E-3"/>
    <n v="9.3660935363108992E-3"/>
    <n v="0.93199005095579801"/>
    <n v="0.19226604191040439"/>
    <n v="-0.39610005628955669"/>
    <n v="0.2"/>
    <s v="identity"/>
    <n v="9.3660935363108992E-3"/>
    <n v="0.93199005095579801"/>
    <n v="9.3660935363108992E-3"/>
    <n v="9.3660935363108992E-3"/>
    <n v="0.93199005095579801"/>
    <n v="0.19226604191040439"/>
    <n v="-0.39610005628955669"/>
    <m/>
    <m/>
    <m/>
    <m/>
    <m/>
    <m/>
    <m/>
    <m/>
    <m/>
    <m/>
    <m/>
    <m/>
    <m/>
    <m/>
    <m/>
    <m/>
    <m/>
    <m/>
    <m/>
    <m/>
    <m/>
    <x v="2"/>
  </r>
  <r>
    <s v="20/04/2026 11:11:07"/>
    <s v="04-20_11-11-07_multihead_1heads_run1_spsa_serial_f5_w5_h5_effsu2_lin_r1.pkl"/>
    <x v="1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3.8080197924237898E-2"/>
    <n v="4.4417853538777996E-3"/>
    <n v="0.94010532486755682"/>
    <n v="-3.7300006317040069"/>
    <n v="5.0129152939597001E-3"/>
    <n v="0.96359975347423443"/>
    <n v="5.0129152939597001E-3"/>
    <n v="5.0129152939597001E-3"/>
    <n v="0.96359975347423443"/>
    <n v="0.39489227655563358"/>
    <n v="-1.867428507133569"/>
    <n v="0.2"/>
    <s v="identity"/>
    <n v="5.0129152939597001E-3"/>
    <n v="0.96359975347423443"/>
    <n v="5.0129152939597001E-3"/>
    <n v="5.0129152939597001E-3"/>
    <n v="0.96359975347423443"/>
    <n v="0.39489227655563358"/>
    <n v="-1.867428507133569"/>
    <m/>
    <m/>
    <m/>
    <m/>
    <m/>
    <m/>
    <m/>
    <m/>
    <m/>
    <m/>
    <m/>
    <m/>
    <m/>
    <m/>
    <m/>
    <m/>
    <m/>
    <m/>
    <m/>
    <m/>
    <m/>
    <x v="2"/>
  </r>
  <r>
    <s v="20/04/2026 11:11:22"/>
    <s v="04-20_11-11-22_multihead_1heads_run2_spsa_serial_f5_w5_h5_effsu2_lin_r1.pkl"/>
    <x v="2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6.8456149389815202E-2"/>
    <n v="1.85711730570743E-2"/>
    <n v="0.74957943969292784"/>
    <n v="-1.9690206018100771"/>
    <n v="5.0042310087147997E-2"/>
    <n v="0.63662812613533015"/>
    <n v="5.0042310087147997E-2"/>
    <n v="5.0042310087147997E-2"/>
    <n v="0.63662812613533015"/>
    <n v="0.27077619133558872"/>
    <n v="-0.96618525148423562"/>
    <n v="0.2"/>
    <s v="identity"/>
    <n v="5.0042310087147997E-2"/>
    <n v="0.63662812613533015"/>
    <n v="5.0042310087147997E-2"/>
    <n v="5.0042310087147997E-2"/>
    <n v="0.63662812613533015"/>
    <n v="0.27077619133558872"/>
    <n v="-0.96618525148423562"/>
    <m/>
    <m/>
    <m/>
    <m/>
    <m/>
    <m/>
    <m/>
    <m/>
    <m/>
    <m/>
    <m/>
    <m/>
    <m/>
    <m/>
    <m/>
    <m/>
    <m/>
    <m/>
    <m/>
    <m/>
    <m/>
    <x v="1"/>
  </r>
  <r>
    <s v="20/04/2026 11:13:07"/>
    <s v="04-20_11-13-07_multihead_1heads_run2_spsa_serial_f5_w5_h5_effsu2_lin_r1.pkl"/>
    <x v="2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6.5453290324481203E-2"/>
    <n v="1.20846680005536E-2"/>
    <n v="0.83704587090308713"/>
    <n v="-1.3583435968995401"/>
    <n v="3.03227928835056E-2"/>
    <n v="0.77981731755186312"/>
    <n v="3.03227928835056E-2"/>
    <n v="3.03227928835056E-2"/>
    <n v="0.77981731755186312"/>
    <n v="0.22815200175606981"/>
    <n v="-0.65667852382718261"/>
    <n v="0.2"/>
    <s v="identity"/>
    <n v="3.03227928835056E-2"/>
    <n v="0.77981731755186312"/>
    <n v="3.03227928835056E-2"/>
    <n v="3.03227928835056E-2"/>
    <n v="0.77981731755186312"/>
    <n v="0.22815200175606981"/>
    <n v="-0.65667852382718261"/>
    <m/>
    <m/>
    <m/>
    <m/>
    <m/>
    <m/>
    <m/>
    <m/>
    <m/>
    <m/>
    <m/>
    <m/>
    <m/>
    <m/>
    <m/>
    <m/>
    <m/>
    <m/>
    <m/>
    <m/>
    <m/>
    <x v="1"/>
  </r>
  <r>
    <s v="20/04/2026 11:15:02"/>
    <s v="04-20_11-15-02_multihead_1heads_run2_spsa_serial_f5_w5_h5_effsu2_lin_r1.pkl"/>
    <x v="2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6.0002592433821098E-2"/>
    <n v="6.2387889357878997E-3"/>
    <n v="0.91587386450300556"/>
    <n v="-5.9148474813355554"/>
    <n v="1.7052338181516E-2"/>
    <n v="0.87617797683598753"/>
    <n v="1.7052338181516E-2"/>
    <n v="1.7052338181516E-2"/>
    <n v="0.87617797683598753"/>
    <n v="0.56082390936730764"/>
    <n v="-3.0723067040673149"/>
    <n v="0.2"/>
    <s v="identity"/>
    <n v="1.7052338181516E-2"/>
    <n v="0.87617797683598753"/>
    <n v="1.7052338181516E-2"/>
    <n v="1.7052338181516E-2"/>
    <n v="0.87617797683598753"/>
    <n v="0.56082390936730764"/>
    <n v="-3.0723067040673149"/>
    <m/>
    <m/>
    <m/>
    <m/>
    <m/>
    <m/>
    <m/>
    <m/>
    <m/>
    <m/>
    <m/>
    <m/>
    <m/>
    <m/>
    <m/>
    <m/>
    <m/>
    <m/>
    <m/>
    <m/>
    <m/>
    <x v="0"/>
  </r>
  <r>
    <s v="20/04/2026 11:15:07"/>
    <s v="04-20_11-15-07_multihead_1heads_run2_spsa_serial_f5_w5_h5_effsu2_lin_r1.pkl"/>
    <x v="2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5.7171847750843101E-2"/>
    <n v="7.6475000658915004E-3"/>
    <n v="0.89687828304850092"/>
    <n v="-6.1183232313559737"/>
    <n v="1.93556904337936E-2"/>
    <n v="0.85945266134549669"/>
    <n v="1.93556904337936E-2"/>
    <n v="1.93556904337936E-2"/>
    <n v="0.85945266134549669"/>
    <n v="0.56724325439101397"/>
    <n v="-3.118919448886365"/>
    <n v="0.2"/>
    <s v="identity"/>
    <n v="1.93556904337936E-2"/>
    <n v="0.85945266134549669"/>
    <n v="1.93556904337936E-2"/>
    <n v="1.93556904337936E-2"/>
    <n v="0.85945266134549669"/>
    <n v="0.56724325439101397"/>
    <n v="-3.118919448886365"/>
    <m/>
    <m/>
    <m/>
    <m/>
    <m/>
    <m/>
    <m/>
    <m/>
    <m/>
    <m/>
    <m/>
    <m/>
    <m/>
    <m/>
    <m/>
    <m/>
    <m/>
    <m/>
    <m/>
    <m/>
    <m/>
    <x v="0"/>
  </r>
  <r>
    <s v="20/04/2026 11:16:06"/>
    <s v="04-20_11-16-06_multihead_1heads_run2_spsa_serial_f5_w5_h5_effsu2_lin_r1.pkl"/>
    <x v="2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5.4409025860473498E-2"/>
    <n v="2.0593836758858999E-3"/>
    <n v="0.97223050948813716"/>
    <n v="-3.225001755204624"/>
    <n v="3.7009503113680999E-3"/>
    <n v="0.97312631556417162"/>
    <n v="3.7009503113680999E-3"/>
    <n v="3.7009503113680999E-3"/>
    <n v="0.97312631556417162"/>
    <n v="0.35529422376353198"/>
    <n v="-1.5798954452225551"/>
    <n v="0.2"/>
    <s v="identity"/>
    <n v="3.7009503113680999E-3"/>
    <n v="0.97312631556417162"/>
    <n v="3.7009503113680999E-3"/>
    <n v="3.7009503113680999E-3"/>
    <n v="0.97312631556417162"/>
    <n v="0.35529422376353198"/>
    <n v="-1.5798954452225551"/>
    <m/>
    <m/>
    <m/>
    <m/>
    <m/>
    <m/>
    <m/>
    <m/>
    <m/>
    <m/>
    <m/>
    <m/>
    <m/>
    <m/>
    <m/>
    <m/>
    <m/>
    <m/>
    <m/>
    <m/>
    <m/>
    <x v="2"/>
  </r>
  <r>
    <s v="20/04/2026 11:16:30"/>
    <s v="04-20_11-16-30_multihead_1heads_run2_spsa_serial_f5_w5_h5_effsu2_lin_r1.pkl"/>
    <x v="2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5.0194963805749997E-2"/>
    <n v="5.2899538507181999E-3"/>
    <n v="0.92866830742332662"/>
    <n v="-4.2744544161415456"/>
    <n v="8.9998274716991001E-3"/>
    <n v="0.93464961615171438"/>
    <n v="8.9998274716991001E-3"/>
    <n v="8.9998274716991001E-3"/>
    <n v="0.93464961615171438"/>
    <n v="0.43684166438215211"/>
    <n v="-2.1720353015731528"/>
    <n v="0.2"/>
    <s v="identity"/>
    <n v="8.9998274716991001E-3"/>
    <n v="0.93464961615171438"/>
    <n v="8.9998274716991001E-3"/>
    <n v="8.9998274716991001E-3"/>
    <n v="0.93464961615171438"/>
    <n v="0.43684166438215211"/>
    <n v="-2.1720353015731528"/>
    <m/>
    <m/>
    <m/>
    <m/>
    <m/>
    <m/>
    <m/>
    <m/>
    <m/>
    <m/>
    <m/>
    <m/>
    <m/>
    <m/>
    <m/>
    <m/>
    <m/>
    <m/>
    <m/>
    <m/>
    <m/>
    <x v="2"/>
  </r>
  <r>
    <s v="20/04/2026 11:18:43"/>
    <s v="04-20_11-18-43_multihead_1heads_run3_spsa_serial_f5_w5_h5_effsu2_lin_r1.pkl"/>
    <x v="3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5.5017248535077501E-2"/>
    <n v="1.07919475055233E-2"/>
    <n v="0.85447739177099558"/>
    <n v="-1.926898384686843"/>
    <n v="2.5587909075263399E-2"/>
    <n v="0.81419869600813699"/>
    <n v="2.5587909075263399E-2"/>
    <n v="2.5587909075263399E-2"/>
    <n v="0.81419869600813699"/>
    <n v="0.26938665550521868"/>
    <n v="-0.95609542474353681"/>
    <n v="0.2"/>
    <s v="identity"/>
    <n v="2.5587909075263399E-2"/>
    <n v="0.81419869600813699"/>
    <n v="2.5587909075263399E-2"/>
    <n v="2.5587909075263399E-2"/>
    <n v="0.81419869600813699"/>
    <n v="0.26938665550521868"/>
    <n v="-0.95609542474353681"/>
    <m/>
    <m/>
    <m/>
    <m/>
    <m/>
    <m/>
    <m/>
    <m/>
    <m/>
    <m/>
    <m/>
    <m/>
    <m/>
    <m/>
    <m/>
    <m/>
    <m/>
    <m/>
    <m/>
    <m/>
    <m/>
    <x v="1"/>
  </r>
  <r>
    <s v="20/04/2026 11:19:24"/>
    <s v="04-20_11-19-24_multihead_1heads_run3_spsa_serial_f5_w5_h5_effsu2_lin_r1.pkl"/>
    <x v="3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8.5200045366279106E-2"/>
    <n v="2.21080177881453E-2"/>
    <n v="0.70188731833086127"/>
    <n v="-1.5909544567836229"/>
    <n v="5.3696447521268703E-2"/>
    <n v="0.61009436371542725"/>
    <n v="5.3696447521268703E-2"/>
    <n v="5.3696447521268703E-2"/>
    <n v="0.61009436371542725"/>
    <n v="0.2409997797216813"/>
    <n v="-0.74997000350170828"/>
    <n v="0.2"/>
    <s v="identity"/>
    <n v="5.3696447521268703E-2"/>
    <n v="0.61009436371542725"/>
    <n v="5.3696447521268703E-2"/>
    <n v="5.3696447521268703E-2"/>
    <n v="0.61009436371542725"/>
    <n v="0.2409997797216813"/>
    <n v="-0.74997000350170828"/>
    <m/>
    <m/>
    <m/>
    <m/>
    <m/>
    <m/>
    <m/>
    <m/>
    <m/>
    <m/>
    <m/>
    <m/>
    <m/>
    <m/>
    <m/>
    <m/>
    <m/>
    <m/>
    <m/>
    <m/>
    <m/>
    <x v="1"/>
  </r>
  <r>
    <s v="20/04/2026 12:15:06"/>
    <s v="04-20_12-15-06_multihead_1heads_run3_spsa_serial_f5_w5_h5_effsu2_lin_r1.pkl"/>
    <x v="3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6.5733973428768799E-2"/>
    <n v="7.8672651471376996E-3"/>
    <n v="0.8939148894808211"/>
    <n v="-6.403943227549588"/>
    <n v="1.54064007611975E-2"/>
    <n v="0.88812961063633655"/>
    <n v="1.54064007611975E-2"/>
    <n v="1.54064007611975E-2"/>
    <n v="0.88812961063633655"/>
    <n v="0.59483969104880874"/>
    <n v="-3.319305260070287"/>
    <n v="0.2"/>
    <s v="identity"/>
    <n v="1.54064007611975E-2"/>
    <n v="0.88812961063633655"/>
    <n v="1.54064007611975E-2"/>
    <n v="1.54064007611975E-2"/>
    <n v="0.88812961063633655"/>
    <n v="0.59483969104880874"/>
    <n v="-3.319305260070287"/>
    <m/>
    <m/>
    <m/>
    <m/>
    <m/>
    <m/>
    <m/>
    <m/>
    <m/>
    <m/>
    <m/>
    <m/>
    <m/>
    <m/>
    <m/>
    <m/>
    <m/>
    <m/>
    <m/>
    <m/>
    <m/>
    <x v="0"/>
  </r>
  <r>
    <s v="20/04/2026 12:15:39"/>
    <s v="04-20_12-15-39_multihead_1heads_run3_spsa_serial_f5_w5_h5_effsu2_lin_r1.pkl"/>
    <x v="3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5.4259214064186399E-2"/>
    <n v="9.0782543341297005E-3"/>
    <n v="0.87758546377355129"/>
    <n v="-5.3654930177461324"/>
    <n v="2.1272780274163201E-2"/>
    <n v="0.8455321103867407"/>
    <n v="2.1272780274163201E-2"/>
    <n v="2.1272780274163201E-2"/>
    <n v="0.8455321103867407"/>
    <n v="0.5668290467064736"/>
    <n v="-3.1159117655432409"/>
    <n v="0.2"/>
    <s v="identity"/>
    <n v="2.1272780274163201E-2"/>
    <n v="0.8455321103867407"/>
    <n v="2.1272780274163201E-2"/>
    <n v="2.1272780274163201E-2"/>
    <n v="0.8455321103867407"/>
    <n v="0.5668290467064736"/>
    <n v="-3.1159117655432409"/>
    <m/>
    <m/>
    <m/>
    <m/>
    <m/>
    <m/>
    <m/>
    <m/>
    <m/>
    <m/>
    <m/>
    <m/>
    <m/>
    <m/>
    <m/>
    <m/>
    <m/>
    <m/>
    <m/>
    <m/>
    <m/>
    <x v="0"/>
  </r>
  <r>
    <s v="20/04/2026 12:19:03"/>
    <s v="04-20_12-19-03_multihead_1heads_run3_spsa_serial_f5_w5_h5_effsu2_lin_r1.pkl"/>
    <x v="3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2.67619870139079E-2"/>
    <n v="2.6463098163750998E-3"/>
    <n v="0.96431618051664525"/>
    <n v="-2.020735331013237"/>
    <n v="4.9444545714894001E-3"/>
    <n v="0.96409686683624396"/>
    <n v="4.9444545714894001E-3"/>
    <n v="4.9444545714894001E-3"/>
    <n v="0.96409686683624396"/>
    <n v="0.25692313941752781"/>
    <n v="-0.86559418313739034"/>
    <n v="0.2"/>
    <s v="identity"/>
    <n v="4.9444545714894001E-3"/>
    <n v="0.96409686683624396"/>
    <n v="4.9444545714894001E-3"/>
    <n v="4.9444545714894001E-3"/>
    <n v="0.96409686683624396"/>
    <n v="0.25692313941752781"/>
    <n v="-0.86559418313739034"/>
    <m/>
    <m/>
    <m/>
    <m/>
    <m/>
    <m/>
    <m/>
    <m/>
    <m/>
    <m/>
    <m/>
    <m/>
    <m/>
    <m/>
    <m/>
    <m/>
    <m/>
    <m/>
    <m/>
    <m/>
    <m/>
    <x v="2"/>
  </r>
  <r>
    <s v="20/04/2026 12:19:20"/>
    <s v="04-20_12-19-20_multihead_1heads_run4_spsa_serial_f5_w5_h5_effsu2_lin_r1.pkl"/>
    <x v="4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5.78066489011013E-2"/>
    <n v="8.6639202858959999E-3"/>
    <n v="0.88317249719325486"/>
    <n v="-2.979390494752959"/>
    <n v="1.1573620783028199E-2"/>
    <n v="0.91596054890343437"/>
    <n v="1.1573620783028199E-2"/>
    <n v="1.1573620783028199E-2"/>
    <n v="0.91596054890343437"/>
    <n v="0.33778736216662231"/>
    <n v="-1.4527729943828549"/>
    <n v="0.2"/>
    <s v="identity"/>
    <n v="1.1573620783028199E-2"/>
    <n v="0.91596054890343437"/>
    <n v="1.1573620783028199E-2"/>
    <n v="1.1573620783028199E-2"/>
    <n v="0.91596054890343437"/>
    <n v="0.33778736216662231"/>
    <n v="-1.4527729943828549"/>
    <m/>
    <m/>
    <m/>
    <m/>
    <m/>
    <m/>
    <m/>
    <m/>
    <m/>
    <m/>
    <m/>
    <m/>
    <m/>
    <m/>
    <m/>
    <m/>
    <m/>
    <m/>
    <m/>
    <m/>
    <m/>
    <x v="1"/>
  </r>
  <r>
    <s v="20/04/2026 12:20:32"/>
    <s v="04-20_12-20-32_multihead_1heads_run4_spsa_serial_f5_w5_h5_effsu2_lin_r1.pkl"/>
    <x v="4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5.7199536293765701E-2"/>
    <n v="1.21598314830397E-2"/>
    <n v="0.83603233872927452"/>
    <n v="-3.6802391747726579"/>
    <n v="2.4849394188784998E-2"/>
    <n v="0.81956126895309622"/>
    <n v="2.4849394188784998E-2"/>
    <n v="2.4849394188784998E-2"/>
    <n v="0.81956126895309622"/>
    <n v="0.3912420157487993"/>
    <n v="-1.8409228940400839"/>
    <n v="0.2"/>
    <s v="identity"/>
    <n v="2.4849394188784998E-2"/>
    <n v="0.81956126895309622"/>
    <n v="2.4849394188784998E-2"/>
    <n v="2.4849394188784998E-2"/>
    <n v="0.81956126895309622"/>
    <n v="0.3912420157487993"/>
    <n v="-1.8409228940400839"/>
    <m/>
    <m/>
    <m/>
    <m/>
    <m/>
    <m/>
    <m/>
    <m/>
    <m/>
    <m/>
    <m/>
    <m/>
    <m/>
    <m/>
    <m/>
    <m/>
    <m/>
    <m/>
    <m/>
    <m/>
    <m/>
    <x v="1"/>
  </r>
  <r>
    <s v="20/04/2026 12:24:25"/>
    <s v="04-20_12-24-25_multihead_1heads_run4_spsa_serial_f5_w5_h5_effsu2_lin_r1.pkl"/>
    <x v="4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6.8925807087228202E-2"/>
    <n v="1.3721784316036399E-2"/>
    <n v="0.81497038952390344"/>
    <n v="-0.3773681869260283"/>
    <n v="3.4897353667638298E-2"/>
    <n v="0.74660009154164642"/>
    <n v="3.4897353667638298E-2"/>
    <n v="3.4897353667638298E-2"/>
    <n v="0.74660009154164642"/>
    <n v="0.15850949369052861"/>
    <n v="-0.15098387039610009"/>
    <n v="0.2"/>
    <s v="identity"/>
    <n v="3.4897353667638298E-2"/>
    <n v="0.74660009154164642"/>
    <n v="3.4897353667638298E-2"/>
    <n v="3.4897353667638298E-2"/>
    <n v="0.74660009154164642"/>
    <n v="0.15850949369052861"/>
    <n v="-0.15098387039610009"/>
    <m/>
    <m/>
    <m/>
    <m/>
    <m/>
    <m/>
    <m/>
    <m/>
    <m/>
    <m/>
    <m/>
    <m/>
    <m/>
    <m/>
    <m/>
    <m/>
    <m/>
    <m/>
    <m/>
    <m/>
    <m/>
    <x v="0"/>
  </r>
  <r>
    <s v="20/04/2026 12:24:30"/>
    <s v="04-20_12-24-30_multihead_1heads_run4_spsa_serial_f5_w5_h5_effsu2_lin_r1.pkl"/>
    <x v="4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4.1721321904571201E-2"/>
    <n v="7.1116363966016996E-3"/>
    <n v="0.90410406678867439"/>
    <n v="-4.4508715736486488"/>
    <n v="1.52751308105334E-2"/>
    <n v="0.88908280020476127"/>
    <n v="1.52751308105334E-2"/>
    <n v="1.52751308105334E-2"/>
    <n v="0.88908280020476127"/>
    <n v="0.44542792035812118"/>
    <n v="-2.2343826216316418"/>
    <n v="0.2"/>
    <s v="identity"/>
    <n v="1.52751308105334E-2"/>
    <n v="0.88908280020476127"/>
    <n v="1.52751308105334E-2"/>
    <n v="1.52751308105334E-2"/>
    <n v="0.88908280020476127"/>
    <n v="0.44542792035812118"/>
    <n v="-2.2343826216316418"/>
    <m/>
    <m/>
    <m/>
    <m/>
    <m/>
    <m/>
    <m/>
    <m/>
    <m/>
    <m/>
    <m/>
    <m/>
    <m/>
    <m/>
    <m/>
    <m/>
    <m/>
    <m/>
    <m/>
    <m/>
    <m/>
    <x v="0"/>
  </r>
  <r>
    <s v="20/04/2026 12:27:03"/>
    <s v="04-20_12-27-03_multihead_1heads_run4_spsa_serial_f5_w5_h5_effsu2_lin_r1.pkl"/>
    <x v="4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3.71034780613166E-2"/>
    <n v="3.1577606183996998E-3"/>
    <n v="0.95741958890022583"/>
    <n v="-2.3574406668050001"/>
    <n v="3.9866886802030002E-3"/>
    <n v="0.97105148555856735"/>
    <n v="3.9866886802030002E-3"/>
    <n v="3.9866886802030002E-3"/>
    <n v="0.97105148555856735"/>
    <n v="0.26167105349634678"/>
    <n v="-0.90007017820565083"/>
    <n v="0.2"/>
    <s v="identity"/>
    <n v="3.9866886802030002E-3"/>
    <n v="0.97105148555856735"/>
    <n v="3.9866886802030002E-3"/>
    <n v="3.9866886802030002E-3"/>
    <n v="0.97105148555856735"/>
    <n v="0.26167105349634678"/>
    <n v="-0.90007017820565083"/>
    <m/>
    <m/>
    <m/>
    <m/>
    <m/>
    <m/>
    <m/>
    <m/>
    <m/>
    <m/>
    <m/>
    <m/>
    <m/>
    <m/>
    <m/>
    <m/>
    <m/>
    <m/>
    <m/>
    <m/>
    <m/>
    <x v="2"/>
  </r>
  <r>
    <s v="20/04/2026 12:27:14"/>
    <s v="04-20_12-27-14_multihead_1heads_run4_spsa_serial_f5_w5_h5_effsu2_lin_r1.pkl"/>
    <x v="4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3.1519097878912897E-2"/>
    <n v="4.4824463222737998E-3"/>
    <n v="0.93955703734381979"/>
    <n v="-4.1848272183227646"/>
    <n v="8.3128831487221996E-3"/>
    <n v="0.93963772012705282"/>
    <n v="8.3128831487221996E-3"/>
    <n v="8.3128831487221996E-3"/>
    <n v="0.93963772012705282"/>
    <n v="0.4260765382453886"/>
    <n v="-2.093866566958523"/>
    <n v="0.2"/>
    <s v="identity"/>
    <n v="8.3128831487221996E-3"/>
    <n v="0.93963772012705282"/>
    <n v="8.3128831487221996E-3"/>
    <n v="8.3128831487221996E-3"/>
    <n v="0.93963772012705282"/>
    <n v="0.4260765382453886"/>
    <n v="-2.093866566958523"/>
    <m/>
    <m/>
    <m/>
    <m/>
    <m/>
    <m/>
    <m/>
    <m/>
    <m/>
    <m/>
    <m/>
    <m/>
    <m/>
    <m/>
    <m/>
    <m/>
    <m/>
    <m/>
    <m/>
    <m/>
    <m/>
    <x v="2"/>
  </r>
  <r>
    <s v="20/04/2026 13:16:45"/>
    <s v="04-20_13-16-45_multihead_1heads_run5_spsa_serial_f5_w5_h5_effsu2_lin_r1.pkl"/>
    <x v="5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5.0196923442521697E-2"/>
    <n v="1.2200807290801301E-2"/>
    <n v="0.83547980579518555"/>
    <n v="-3.1038976805017779"/>
    <n v="1.9881665676896899E-2"/>
    <n v="0.85563340101638685"/>
    <n v="1.9881665676896899E-2"/>
    <n v="1.9881665676896899E-2"/>
    <n v="0.85563340101638685"/>
    <n v="0.3518643226906637"/>
    <n v="-1.554989928713663"/>
    <n v="0.2"/>
    <s v="identity"/>
    <n v="1.9881665676896899E-2"/>
    <n v="0.85563340101638685"/>
    <n v="1.9881665676896899E-2"/>
    <n v="1.9881665676896899E-2"/>
    <n v="0.85563340101638685"/>
    <n v="0.3518643226906637"/>
    <n v="-1.554989928713663"/>
    <m/>
    <m/>
    <m/>
    <m/>
    <m/>
    <m/>
    <m/>
    <m/>
    <m/>
    <m/>
    <m/>
    <m/>
    <m/>
    <m/>
    <m/>
    <m/>
    <m/>
    <m/>
    <m/>
    <m/>
    <m/>
    <x v="1"/>
  </r>
  <r>
    <s v="20/04/2026 13:18:48"/>
    <s v="04-20_13-18-48_multihead_1heads_run5_spsa_serial_f5_w5_h5_effsu2_lin_r1.pkl"/>
    <x v="5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5.88544808159773E-2"/>
    <n v="6.6297643559473998E-3"/>
    <n v="0.91060180745621877"/>
    <n v="-3.3179672862364642"/>
    <n v="1.3489828045643901E-2"/>
    <n v="0.90204640660030755"/>
    <n v="1.3489828045643901E-2"/>
    <n v="1.3489828045643901E-2"/>
    <n v="0.90204640660030755"/>
    <n v="0.36557718208270468"/>
    <n v="-1.6545630180584801"/>
    <n v="0.2"/>
    <s v="identity"/>
    <n v="1.3489828045643901E-2"/>
    <n v="0.90204640660030755"/>
    <n v="1.3489828045643901E-2"/>
    <n v="1.3489828045643901E-2"/>
    <n v="0.90204640660030755"/>
    <n v="0.36557718208270468"/>
    <n v="-1.6545630180584801"/>
    <m/>
    <m/>
    <m/>
    <m/>
    <m/>
    <m/>
    <m/>
    <m/>
    <m/>
    <m/>
    <m/>
    <m/>
    <m/>
    <m/>
    <m/>
    <m/>
    <m/>
    <m/>
    <m/>
    <m/>
    <m/>
    <x v="1"/>
  </r>
  <r>
    <s v="20/04/2026 13:21:11"/>
    <s v="04-20_13-21-11_multihead_1heads_run5_spsa_serial_f5_w5_h5_effsu2_lin_r1.pkl"/>
    <x v="5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6.2184568859306302E-2"/>
    <n v="9.0167292883473003E-3"/>
    <n v="0.8784150902268939"/>
    <n v="-4.4494700101308817"/>
    <n v="2.1002065340660899E-2"/>
    <n v="0.84749785082715123"/>
    <n v="2.1002065340660899E-2"/>
    <n v="2.1002065340660899E-2"/>
    <n v="0.84749785082715123"/>
    <n v="0.44787766496017578"/>
    <n v="-2.2521709348607519"/>
    <n v="0.2"/>
    <s v="identity"/>
    <n v="2.1002065340660899E-2"/>
    <n v="0.84749785082715123"/>
    <n v="2.1002065340660899E-2"/>
    <n v="2.1002065340660899E-2"/>
    <n v="0.84749785082715123"/>
    <n v="0.44787766496017578"/>
    <n v="-2.2521709348607519"/>
    <m/>
    <m/>
    <m/>
    <m/>
    <m/>
    <m/>
    <m/>
    <m/>
    <m/>
    <m/>
    <m/>
    <m/>
    <m/>
    <m/>
    <m/>
    <m/>
    <m/>
    <m/>
    <m/>
    <m/>
    <m/>
    <x v="0"/>
  </r>
  <r>
    <s v="20/04/2026 13:21:38"/>
    <s v="04-20_13-21-38_multihead_1heads_run5_spsa_serial_f5_w5_h5_effsu2_lin_r1.pkl"/>
    <x v="5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4.6944063251730603E-2"/>
    <n v="7.0865749347328996E-3"/>
    <n v="0.90444200480174419"/>
    <n v="-10.57829376760848"/>
    <n v="1.53008537723746E-2"/>
    <n v="0.88889601824307074"/>
    <n v="1.53008537723746E-2"/>
    <n v="1.53008537723746E-2"/>
    <n v="0.88889601824307074"/>
    <n v="0.88291400672705245"/>
    <n v="-5.4110972600397194"/>
    <n v="0.2"/>
    <s v="identity"/>
    <n v="1.53008537723746E-2"/>
    <n v="0.88889601824307074"/>
    <n v="1.53008537723746E-2"/>
    <n v="1.53008537723746E-2"/>
    <n v="0.88889601824307074"/>
    <n v="0.88291400672705245"/>
    <n v="-5.4110972600397194"/>
    <m/>
    <m/>
    <m/>
    <m/>
    <m/>
    <m/>
    <m/>
    <m/>
    <m/>
    <m/>
    <m/>
    <m/>
    <m/>
    <m/>
    <m/>
    <m/>
    <m/>
    <m/>
    <m/>
    <m/>
    <m/>
    <x v="0"/>
  </r>
  <r>
    <s v="20/04/2026 13:25:12"/>
    <s v="04-20_13-25-12_multihead_1heads_run5_spsa_serial_f5_w5_h5_effsu2_lin_r1.pkl"/>
    <x v="5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3.3359146521690503E-2"/>
    <n v="3.2071934111955998E-3"/>
    <n v="0.9567530188547344"/>
    <n v="-3.723661111432599"/>
    <n v="3.9668280052121002E-3"/>
    <n v="0.97119569973803044"/>
    <n v="3.9668280052121002E-3"/>
    <n v="3.9668280052121002E-3"/>
    <n v="0.97119569973803044"/>
    <n v="0.39193362545159749"/>
    <n v="-1.845944874705068"/>
    <n v="0.2"/>
    <s v="identity"/>
    <n v="3.9668280052121002E-3"/>
    <n v="0.97119569973803044"/>
    <n v="3.9668280052121002E-3"/>
    <n v="3.9668280052121002E-3"/>
    <n v="0.97119569973803044"/>
    <n v="0.39193362545159749"/>
    <n v="-1.845944874705068"/>
    <m/>
    <m/>
    <m/>
    <m/>
    <m/>
    <m/>
    <m/>
    <m/>
    <m/>
    <m/>
    <m/>
    <m/>
    <m/>
    <m/>
    <m/>
    <m/>
    <m/>
    <m/>
    <m/>
    <m/>
    <m/>
    <x v="2"/>
  </r>
  <r>
    <s v="20/04/2026 13:25:58"/>
    <s v="04-20_13-25-58_multihead_1heads_run6_spsa_serial_f5_w5_h5_effsu2_lin_r1.pkl"/>
    <x v="6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5.6433138155235901E-2"/>
    <n v="1.0729479728576E-2"/>
    <n v="0.85531973035974351"/>
    <n v="-1.1480594199516609"/>
    <n v="2.5013300277087699E-2"/>
    <n v="0.81837109882824299"/>
    <n v="2.5013300277087699E-2"/>
    <n v="2.5013300277087699E-2"/>
    <n v="0.81837109882824299"/>
    <n v="0.21223521934247749"/>
    <n v="-0.54110210376481982"/>
    <n v="0.2"/>
    <s v="identity"/>
    <n v="2.5013300277087699E-2"/>
    <n v="0.81837109882824299"/>
    <n v="2.5013300277087699E-2"/>
    <n v="2.5013300277087699E-2"/>
    <n v="0.81837109882824299"/>
    <n v="0.21223521934247749"/>
    <n v="-0.54110210376481982"/>
    <m/>
    <m/>
    <m/>
    <m/>
    <m/>
    <m/>
    <m/>
    <m/>
    <m/>
    <m/>
    <m/>
    <m/>
    <m/>
    <m/>
    <m/>
    <m/>
    <m/>
    <m/>
    <m/>
    <m/>
    <m/>
    <x v="1"/>
  </r>
  <r>
    <s v="20/04/2026 13:26:18"/>
    <s v="04-20_13-26-18_multihead_1heads_run6_spsa_serial_f5_w5_h5_effsu2_lin_r1.pkl"/>
    <x v="6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5.72518538401392E-2"/>
    <n v="1.0126790148221E-2"/>
    <n v="0.86344661937961775"/>
    <n v="-2.0505058973203041"/>
    <n v="2.93135339030813E-2"/>
    <n v="0.78714584267975651"/>
    <n v="2.93135339030813E-2"/>
    <n v="2.93135339030813E-2"/>
    <n v="0.78714584267975651"/>
    <n v="0.27489212474458002"/>
    <n v="-0.9960722497647464"/>
    <n v="0.2"/>
    <s v="identity"/>
    <n v="2.93135339030813E-2"/>
    <n v="0.78714584267975651"/>
    <n v="2.93135339030813E-2"/>
    <n v="2.93135339030813E-2"/>
    <n v="0.78714584267975651"/>
    <n v="0.27489212474458002"/>
    <n v="-0.9960722497647464"/>
    <m/>
    <m/>
    <m/>
    <m/>
    <m/>
    <m/>
    <m/>
    <m/>
    <m/>
    <m/>
    <m/>
    <m/>
    <m/>
    <m/>
    <m/>
    <m/>
    <m/>
    <m/>
    <m/>
    <m/>
    <m/>
    <x v="1"/>
  </r>
  <r>
    <s v="20/04/2026 13:22:16"/>
    <s v="04-20_13-22-16_multihead_1heads_run5_spsa_serial_f5_w5_h5_effsu2_lin_r1.pkl"/>
    <x v="5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2.7456384916299099E-2"/>
    <n v="2.5444583449679E-3"/>
    <n v="0.96568958339537103"/>
    <n v="-3.2446142049114099"/>
    <n v="3.4410505273454002E-3"/>
    <n v="0.97501352403582064"/>
    <n v="3.4410505273454002E-3"/>
    <n v="3.4410505273454002E-3"/>
    <n v="0.97501352403582064"/>
    <n v="0.34855790352521387"/>
    <n v="-1.530981050509614"/>
    <n v="0.2"/>
    <s v="identity"/>
    <n v="3.4410505273454002E-3"/>
    <n v="0.97501352403582064"/>
    <n v="3.4410505273454002E-3"/>
    <n v="3.4410505273454002E-3"/>
    <n v="0.97501352403582064"/>
    <n v="0.34855790352521387"/>
    <n v="-1.530981050509614"/>
    <m/>
    <m/>
    <m/>
    <m/>
    <m/>
    <m/>
    <m/>
    <m/>
    <m/>
    <m/>
    <m/>
    <m/>
    <m/>
    <m/>
    <m/>
    <m/>
    <m/>
    <m/>
    <m/>
    <m/>
    <m/>
    <x v="2"/>
  </r>
  <r>
    <s v="20/04/2026 13:30:24"/>
    <s v="04-20_13-30-24_multihead_1heads_run6_spsa_serial_f5_w5_h5_effsu2_lin_r1.pkl"/>
    <x v="6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5.4676241338796998E-2"/>
    <n v="8.4127303549591994E-3"/>
    <n v="0.88655963504692537"/>
    <n v="-4.4281600771372549"/>
    <n v="1.9957802222043599E-2"/>
    <n v="0.85508055125722549"/>
    <n v="1.9957802222043599E-2"/>
    <n v="1.9957802222043599E-2"/>
    <n v="0.85508055125722549"/>
    <n v="0.45470149254884579"/>
    <n v="-2.301720746080623"/>
    <n v="0.2"/>
    <s v="identity"/>
    <n v="1.9957802222043599E-2"/>
    <n v="0.85508055125722549"/>
    <n v="1.9957802222043599E-2"/>
    <n v="1.9957802222043599E-2"/>
    <n v="0.85508055125722549"/>
    <n v="0.45470149254884579"/>
    <n v="-2.301720746080623"/>
    <m/>
    <m/>
    <m/>
    <m/>
    <m/>
    <m/>
    <m/>
    <m/>
    <m/>
    <m/>
    <m/>
    <m/>
    <m/>
    <m/>
    <m/>
    <m/>
    <m/>
    <m/>
    <m/>
    <m/>
    <m/>
    <x v="0"/>
  </r>
  <r>
    <s v="20/04/2026 13:34:22"/>
    <s v="04-20_13-34-22_multihead_1heads_run6_spsa_serial_f5_w5_h5_effsu2_lin_r1.pkl"/>
    <x v="6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6.6894539677885306E-2"/>
    <n v="1.65820278106295E-2"/>
    <n v="0.77640180926624347"/>
    <n v="-2.6646216383946091"/>
    <n v="3.25092371675288E-2"/>
    <n v="0.76394090506805434"/>
    <n v="3.25092371675288E-2"/>
    <n v="3.25092371675288E-2"/>
    <n v="0.76394090506805434"/>
    <n v="0.31735607035627678"/>
    <n v="-1.304415399026605"/>
    <n v="0.2"/>
    <s v="identity"/>
    <n v="3.25092371675288E-2"/>
    <n v="0.76394090506805434"/>
    <n v="3.25092371675288E-2"/>
    <n v="3.25092371675288E-2"/>
    <n v="0.76394090506805434"/>
    <n v="0.31735607035627678"/>
    <n v="-1.304415399026605"/>
    <m/>
    <m/>
    <m/>
    <m/>
    <m/>
    <m/>
    <m/>
    <m/>
    <m/>
    <m/>
    <m/>
    <m/>
    <m/>
    <m/>
    <m/>
    <m/>
    <m/>
    <m/>
    <m/>
    <m/>
    <m/>
    <x v="0"/>
  </r>
  <r>
    <s v="20/04/2026 14:21:51"/>
    <s v="04-20_14-21-51_multihead_1heads_run6_spsa_serial_f5_w5_h5_effsu2_lin_r1.pkl"/>
    <x v="6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3.70703797372674E-2"/>
    <n v="3.8373171739921998E-3"/>
    <n v="0.94825619718076759"/>
    <n v="-1.594665550791873"/>
    <n v="8.6158343033695007E-3"/>
    <n v="0.93743790304103203"/>
    <n v="8.6158343033695007E-3"/>
    <n v="8.6158343033695007E-3"/>
    <n v="0.93743790304103203"/>
    <n v="0.2356078134592286"/>
    <n v="-0.71081735684749825"/>
    <n v="0.2"/>
    <s v="identity"/>
    <n v="8.6158343033695007E-3"/>
    <n v="0.93743790304103203"/>
    <n v="8.6158343033695007E-3"/>
    <n v="8.6158343033695007E-3"/>
    <n v="0.93743790304103203"/>
    <n v="0.2356078134592286"/>
    <n v="-0.71081735684749825"/>
    <m/>
    <m/>
    <m/>
    <m/>
    <m/>
    <m/>
    <m/>
    <m/>
    <m/>
    <m/>
    <m/>
    <m/>
    <m/>
    <m/>
    <m/>
    <m/>
    <m/>
    <m/>
    <m/>
    <m/>
    <m/>
    <x v="2"/>
  </r>
  <r>
    <s v="20/04/2026 14:23:05"/>
    <s v="04-20_14-23-05_multihead_1heads_run6_spsa_serial_f5_w5_h5_effsu2_lin_r1.pkl"/>
    <x v="6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2.9821245100800201E-2"/>
    <n v="3.6260064706485E-3"/>
    <n v="0.95110558879257301"/>
    <n v="-2.4823730864187681"/>
    <n v="5.6209694794970002E-3"/>
    <n v="0.95918449389838378"/>
    <n v="5.6209694794970002E-3"/>
    <n v="5.6209694794970002E-3"/>
    <n v="0.95918449389838378"/>
    <n v="0.29536999046906831"/>
    <n v="-1.144768031955814"/>
    <n v="0.2"/>
    <s v="identity"/>
    <n v="5.6209694794970002E-3"/>
    <n v="0.95918449389838378"/>
    <n v="5.6209694794970002E-3"/>
    <n v="5.6209694794970002E-3"/>
    <n v="0.95918449389838378"/>
    <n v="0.29536999046906831"/>
    <n v="-1.144768031955814"/>
    <m/>
    <m/>
    <m/>
    <m/>
    <m/>
    <m/>
    <m/>
    <m/>
    <m/>
    <m/>
    <m/>
    <m/>
    <m/>
    <m/>
    <m/>
    <m/>
    <m/>
    <m/>
    <m/>
    <m/>
    <m/>
    <x v="2"/>
  </r>
  <r>
    <s v="20/04/2026 14:24:38"/>
    <s v="04-20_14-24-38_multihead_1heads_run7_spsa_serial_f5_w5_h5_effsu2_lin_r1.pkl"/>
    <x v="7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6.0631302469387797E-2"/>
    <n v="1.16215991870799E-2"/>
    <n v="0.84329006190677025"/>
    <n v="-1.5282417682833569"/>
    <n v="2.51503419845794E-2"/>
    <n v="0.81737599884260725"/>
    <n v="2.51503419845794E-2"/>
    <n v="2.51503419845794E-2"/>
    <n v="0.81737599884260725"/>
    <n v="0.24320735335676061"/>
    <n v="-0.76599984239355834"/>
    <n v="0.2"/>
    <s v="identity"/>
    <n v="2.51503419845794E-2"/>
    <n v="0.81737599884260725"/>
    <n v="2.51503419845794E-2"/>
    <n v="2.51503419845794E-2"/>
    <n v="0.81737599884260725"/>
    <n v="0.24320735335676061"/>
    <n v="-0.76599984239355834"/>
    <m/>
    <m/>
    <m/>
    <m/>
    <m/>
    <m/>
    <m/>
    <m/>
    <m/>
    <m/>
    <m/>
    <m/>
    <m/>
    <m/>
    <m/>
    <m/>
    <m/>
    <m/>
    <m/>
    <m/>
    <m/>
    <x v="1"/>
  </r>
  <r>
    <s v="20/04/2026 14:24:55"/>
    <s v="04-20_14-24-55_multihead_1heads_run7_spsa_serial_f5_w5_h5_effsu2_lin_r1.pkl"/>
    <x v="7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7.2169101162565003E-2"/>
    <n v="1.0322668803032901E-2"/>
    <n v="0.86080531921298709"/>
    <n v="-1.3001383263407591"/>
    <n v="2.3603528526093299E-2"/>
    <n v="0.82860786451688118"/>
    <n v="2.3603528526093299E-2"/>
    <n v="2.3603528526093299E-2"/>
    <n v="0.82860786451688118"/>
    <n v="0.22311574950612939"/>
    <n v="-0.62010882082728092"/>
    <n v="0.2"/>
    <s v="identity"/>
    <n v="2.3603528526093299E-2"/>
    <n v="0.82860786451688118"/>
    <n v="2.3603528526093299E-2"/>
    <n v="2.3603528526093299E-2"/>
    <n v="0.82860786451688118"/>
    <n v="0.22311574950612939"/>
    <n v="-0.62010882082728092"/>
    <m/>
    <m/>
    <m/>
    <m/>
    <m/>
    <m/>
    <m/>
    <m/>
    <m/>
    <m/>
    <m/>
    <m/>
    <m/>
    <m/>
    <m/>
    <m/>
    <m/>
    <m/>
    <m/>
    <m/>
    <m/>
    <x v="1"/>
  </r>
  <r>
    <s v="20/04/2026 14:30:30"/>
    <s v="04-20_14-30-30_multihead_1heads_run7_spsa_serial_f5_w5_h5_effsu2_lin_r1.pkl"/>
    <x v="7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4.8092543491686797E-2"/>
    <n v="5.2022583189278004E-3"/>
    <n v="0.92985082638106242"/>
    <n v="-1.162035446229408"/>
    <n v="1.7109828453392598E-2"/>
    <n v="0.87576052312962527"/>
    <n v="1.7109828453392598E-2"/>
    <n v="1.7109828453392598E-2"/>
    <n v="0.87576052312962527"/>
    <n v="0.2161580371323987"/>
    <n v="-0.56958683296039303"/>
    <n v="0.2"/>
    <s v="identity"/>
    <n v="1.7109828453392598E-2"/>
    <n v="0.87576052312962527"/>
    <n v="1.7109828453392598E-2"/>
    <n v="1.7109828453392598E-2"/>
    <n v="0.87576052312962527"/>
    <n v="0.2161580371323987"/>
    <n v="-0.56958683296039303"/>
    <m/>
    <m/>
    <m/>
    <m/>
    <m/>
    <m/>
    <m/>
    <m/>
    <m/>
    <m/>
    <m/>
    <m/>
    <m/>
    <m/>
    <m/>
    <m/>
    <m/>
    <m/>
    <m/>
    <m/>
    <m/>
    <x v="0"/>
  </r>
  <r>
    <s v="20/04/2026 14:34:27"/>
    <s v="04-20_14-34-27_multihead_1heads_run7_spsa_serial_f5_w5_h5_effsu2_lin_r1.pkl"/>
    <x v="7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4.9436165147274801E-2"/>
    <n v="5.8612406085737003E-3"/>
    <n v="0.92096486566665881"/>
    <n v="-2.0282848891814309"/>
    <n v="1.69026258294812E-2"/>
    <n v="0.87726508208362386"/>
    <n v="1.69026258294812E-2"/>
    <n v="1.69026258294812E-2"/>
    <n v="0.87726508208362386"/>
    <n v="0.31620467112052297"/>
    <n v="-1.296054751863561"/>
    <n v="0.2"/>
    <s v="identity"/>
    <n v="1.69026258294812E-2"/>
    <n v="0.87726508208362386"/>
    <n v="1.69026258294812E-2"/>
    <n v="1.69026258294812E-2"/>
    <n v="0.87726508208362386"/>
    <n v="0.31620467112052297"/>
    <n v="-1.296054751863561"/>
    <m/>
    <m/>
    <m/>
    <m/>
    <m/>
    <m/>
    <m/>
    <m/>
    <m/>
    <m/>
    <m/>
    <m/>
    <m/>
    <m/>
    <m/>
    <m/>
    <m/>
    <m/>
    <m/>
    <m/>
    <m/>
    <x v="0"/>
  </r>
  <r>
    <s v="20/04/2026 14:38:07"/>
    <s v="04-20_14-38-07_multihead_1heads_run7_spsa_serial_f5_w5_h5_effsu2_lin_r1.pkl"/>
    <x v="7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4.6055473048429003E-2"/>
    <n v="4.3974424953674004E-3"/>
    <n v="0.94070326035820517"/>
    <n v="-3.4384469355219069"/>
    <n v="5.6876048489069003E-3"/>
    <n v="0.95870063495969815"/>
    <n v="5.6876048489069003E-3"/>
    <n v="5.6876048489069003E-3"/>
    <n v="0.95870063495969815"/>
    <n v="0.37447288041810778"/>
    <n v="-1.7191572897426011"/>
    <n v="0.2"/>
    <s v="identity"/>
    <n v="5.6876048489069003E-3"/>
    <n v="0.95870063495969815"/>
    <n v="5.6876048489069003E-3"/>
    <n v="5.6876048489069003E-3"/>
    <n v="0.95870063495969815"/>
    <n v="0.37447288041810778"/>
    <n v="-1.7191572897426011"/>
    <m/>
    <m/>
    <m/>
    <m/>
    <m/>
    <m/>
    <m/>
    <m/>
    <m/>
    <m/>
    <m/>
    <m/>
    <m/>
    <m/>
    <m/>
    <m/>
    <m/>
    <m/>
    <m/>
    <m/>
    <m/>
    <x v="2"/>
  </r>
  <r>
    <s v="20/04/2026 14:40:18"/>
    <s v="04-20_14-40-18_multihead_1heads_run7_spsa_serial_f5_w5_h5_effsu2_lin_r1.pkl"/>
    <x v="7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4.0165078697730901E-2"/>
    <n v="3.7131005246380001E-3"/>
    <n v="0.94993118038377478"/>
    <n v="-4.0373329272948846"/>
    <n v="4.8015745369415002E-3"/>
    <n v="0.965134360625022"/>
    <n v="4.8015745369415002E-3"/>
    <n v="4.8015745369415002E-3"/>
    <n v="0.965134360625022"/>
    <n v="0.41828417117955208"/>
    <n v="-2.037283906853038"/>
    <n v="0.2"/>
    <s v="identity"/>
    <n v="4.8015745369415002E-3"/>
    <n v="0.965134360625022"/>
    <n v="4.8015745369415002E-3"/>
    <n v="4.8015745369415002E-3"/>
    <n v="0.965134360625022"/>
    <n v="0.41828417117955208"/>
    <n v="-2.037283906853038"/>
    <m/>
    <m/>
    <m/>
    <m/>
    <m/>
    <m/>
    <m/>
    <m/>
    <m/>
    <m/>
    <m/>
    <m/>
    <m/>
    <m/>
    <m/>
    <m/>
    <m/>
    <m/>
    <m/>
    <m/>
    <m/>
    <x v="2"/>
  </r>
  <r>
    <s v="20/04/2026 14:45:31"/>
    <s v="04-20_14-45-31_multihead_1heads_run8_spsa_serial_f5_w5_h5_effsu2_lin_r1.pkl"/>
    <x v="8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6.2147064932504603E-2"/>
    <n v="9.4822456777604001E-3"/>
    <n v="0.87213789520476426"/>
    <n v="-1.762579297302038"/>
    <n v="2.8918970732529699E-2"/>
    <n v="0.79001088145178056"/>
    <n v="2.8918970732529699E-2"/>
    <n v="2.8918970732529699E-2"/>
    <n v="0.79001088145178056"/>
    <n v="0.28512669352819597"/>
    <n v="-1.0703884520068661"/>
    <n v="0.2"/>
    <s v="identity"/>
    <n v="2.8918970732529699E-2"/>
    <n v="0.79001088145178056"/>
    <n v="2.8918970732529699E-2"/>
    <n v="2.8918970732529699E-2"/>
    <n v="0.79001088145178056"/>
    <n v="0.28512669352819597"/>
    <n v="-1.0703884520068661"/>
    <m/>
    <m/>
    <m/>
    <m/>
    <m/>
    <m/>
    <m/>
    <m/>
    <m/>
    <m/>
    <m/>
    <m/>
    <m/>
    <m/>
    <m/>
    <m/>
    <m/>
    <m/>
    <m/>
    <m/>
    <m/>
    <x v="1"/>
  </r>
  <r>
    <s v="20/04/2026 14:51:19"/>
    <s v="04-20_14-51-19_multihead_1heads_run8_spsa_serial_f5_w5_h5_effsu2_lin_r1.pkl"/>
    <x v="8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5.5571151514485398E-2"/>
    <n v="8.7006174762684994E-3"/>
    <n v="0.8826776587171643"/>
    <n v="-1.8209305451859441"/>
    <n v="2.76140522251377E-2"/>
    <n v="0.79948627702096942"/>
    <n v="2.76140522251377E-2"/>
    <n v="2.76140522251377E-2"/>
    <n v="0.79948627702096942"/>
    <n v="0.25698563325197232"/>
    <n v="-0.86604796917739346"/>
    <n v="0.2"/>
    <s v="identity"/>
    <n v="2.76140522251377E-2"/>
    <n v="0.79948627702096942"/>
    <n v="2.76140522251377E-2"/>
    <n v="2.76140522251377E-2"/>
    <n v="0.79948627702096942"/>
    <n v="0.25698563325197232"/>
    <n v="-0.86604796917739346"/>
    <m/>
    <m/>
    <m/>
    <m/>
    <m/>
    <m/>
    <m/>
    <m/>
    <m/>
    <m/>
    <m/>
    <m/>
    <m/>
    <m/>
    <m/>
    <m/>
    <m/>
    <m/>
    <m/>
    <m/>
    <m/>
    <x v="1"/>
  </r>
  <r>
    <s v="20/04/2026 15:31:51"/>
    <s v="04-20_15-31-51_multihead_1heads_run8_spsa_serial_f5_w5_h5_effsu2_lin_r1.pkl"/>
    <x v="8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5.1374346842583303E-2"/>
    <n v="1.07545870568723E-2"/>
    <n v="0.85498117386681471"/>
    <n v="-2.8227754962424569"/>
    <n v="2.5082395243048901E-2"/>
    <n v="0.81786938003843823"/>
    <n v="2.5082395243048901E-2"/>
    <n v="2.5082395243048901E-2"/>
    <n v="0.81786938003843823"/>
    <n v="0.33169308855954388"/>
    <n v="-1.408520688352386"/>
    <n v="0.2"/>
    <s v="identity"/>
    <n v="2.5082395243048901E-2"/>
    <n v="0.81786938003843823"/>
    <n v="2.5082395243048901E-2"/>
    <n v="2.5082395243048901E-2"/>
    <n v="0.81786938003843823"/>
    <n v="0.33169308855954388"/>
    <n v="-1.408520688352386"/>
    <m/>
    <m/>
    <m/>
    <m/>
    <m/>
    <m/>
    <m/>
    <m/>
    <m/>
    <m/>
    <m/>
    <m/>
    <m/>
    <m/>
    <m/>
    <m/>
    <m/>
    <m/>
    <m/>
    <m/>
    <m/>
    <x v="0"/>
  </r>
  <r>
    <s v="20/04/2026 15:33:12"/>
    <s v="04-20_15-33-12_multihead_1heads_run8_spsa_serial_f5_w5_h5_effsu2_lin_r1.pkl"/>
    <x v="8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6.4084629203895294E-2"/>
    <n v="1.31452489418125E-2"/>
    <n v="0.82274460556326134"/>
    <n v="-3.7076682777147729"/>
    <n v="2.6428468126128899E-2"/>
    <n v="0.80809515049085334"/>
    <n v="2.6428468126128899E-2"/>
    <n v="2.6428468126128899E-2"/>
    <n v="0.80809515049085334"/>
    <n v="0.388322138107696"/>
    <n v="-1.819720807084954"/>
    <n v="0.2"/>
    <s v="identity"/>
    <n v="2.6428468126128899E-2"/>
    <n v="0.80809515049085334"/>
    <n v="2.6428468126128899E-2"/>
    <n v="2.6428468126128899E-2"/>
    <n v="0.80809515049085334"/>
    <n v="0.388322138107696"/>
    <n v="-1.819720807084954"/>
    <m/>
    <m/>
    <m/>
    <m/>
    <m/>
    <m/>
    <m/>
    <m/>
    <m/>
    <m/>
    <m/>
    <m/>
    <m/>
    <m/>
    <m/>
    <m/>
    <m/>
    <m/>
    <m/>
    <m/>
    <m/>
    <x v="0"/>
  </r>
  <r>
    <s v="20/04/2026 15:35:51"/>
    <s v="04-20_15-35-51_multihead_1heads_run8_spsa_serial_f5_w5_h5_effsu2_lin_r1.pkl"/>
    <x v="8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3.2528074603679201E-2"/>
    <n v="3.2876836029744E-3"/>
    <n v="0.95566765936438181"/>
    <n v="-1.5944894730660659"/>
    <n v="4.6410918694595998E-3"/>
    <n v="0.96629967228837477"/>
    <n v="4.6410918694595998E-3"/>
    <n v="4.6410918694595998E-3"/>
    <n v="0.96629967228837477"/>
    <n v="0.2278302041372432"/>
    <n v="-0.65434185704352377"/>
    <n v="0.2"/>
    <s v="identity"/>
    <n v="4.6410918694595998E-3"/>
    <n v="0.96629967228837477"/>
    <n v="4.6410918694595998E-3"/>
    <n v="4.6410918694595998E-3"/>
    <n v="0.96629967228837477"/>
    <n v="0.2278302041372432"/>
    <n v="-0.65434185704352377"/>
    <m/>
    <m/>
    <m/>
    <m/>
    <m/>
    <m/>
    <m/>
    <m/>
    <m/>
    <m/>
    <m/>
    <m/>
    <m/>
    <m/>
    <m/>
    <m/>
    <m/>
    <m/>
    <m/>
    <m/>
    <m/>
    <x v="2"/>
  </r>
  <r>
    <s v="20/04/2026 15:39:11"/>
    <s v="04-20_15-39-11_multihead_1heads_run8_spsa_serial_f5_w5_h5_effsu2_lin_r1.pkl"/>
    <x v="8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3.4737652063353601E-2"/>
    <n v="3.4174209889584E-3"/>
    <n v="0.95391823250852037"/>
    <n v="-1.4039357954185681"/>
    <n v="4.5799643815163998E-3"/>
    <n v="0.96674353688615045"/>
    <n v="4.5799643815163998E-3"/>
    <n v="4.5799643815163998E-3"/>
    <n v="0.96674353688615045"/>
    <n v="0.22169110721557059"/>
    <n v="-0.60976407579441383"/>
    <n v="0.2"/>
    <s v="identity"/>
    <n v="4.5799643815163998E-3"/>
    <n v="0.96674353688615045"/>
    <n v="4.5799643815163998E-3"/>
    <n v="4.5799643815163998E-3"/>
    <n v="0.96674353688615045"/>
    <n v="0.22169110721557059"/>
    <n v="-0.60976407579441383"/>
    <m/>
    <m/>
    <m/>
    <m/>
    <m/>
    <m/>
    <m/>
    <m/>
    <m/>
    <m/>
    <m/>
    <m/>
    <m/>
    <m/>
    <m/>
    <m/>
    <m/>
    <m/>
    <m/>
    <m/>
    <m/>
    <x v="2"/>
  </r>
  <r>
    <s v="20/04/2026 15:40:18"/>
    <s v="04-20_15-40-18_multihead_1heads_run9_spsa_serial_f5_w5_h5_effsu2_lin_r1.pkl"/>
    <x v="9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50"/>
    <n v="20"/>
    <n v="30"/>
    <n v="6.7618653459117994E-2"/>
    <n v="1.8035397951385E-2"/>
    <n v="0.75680402920878453"/>
    <n v="-2.43785827770635E-2"/>
    <n v="2.8978597000834199E-2"/>
    <n v="0.7895779176495975"/>
    <n v="2.8978597000834199E-2"/>
    <n v="2.8978597000834199E-2"/>
    <n v="0.7895779176495975"/>
    <n v="0.14011359046295771"/>
    <n v="-1.7405827823834701E-2"/>
    <n v="0.2"/>
    <s v="identity"/>
    <n v="2.8978597000834199E-2"/>
    <n v="0.7895779176495975"/>
    <n v="2.8978597000834199E-2"/>
    <n v="2.8978597000834199E-2"/>
    <n v="0.7895779176495975"/>
    <n v="0.14011359046295771"/>
    <n v="-1.7405827823834701E-2"/>
    <m/>
    <m/>
    <m/>
    <m/>
    <m/>
    <m/>
    <m/>
    <m/>
    <m/>
    <m/>
    <m/>
    <m/>
    <m/>
    <m/>
    <m/>
    <m/>
    <m/>
    <m/>
    <m/>
    <m/>
    <m/>
    <x v="1"/>
  </r>
  <r>
    <s v="20/04/2026 15:43:16"/>
    <s v="04-20_15-43-16_multihead_1heads_run9_spsa_serial_f5_w5_h5_effsu2_lin_r1.pkl"/>
    <x v="9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50"/>
    <n v="20"/>
    <n v="30"/>
    <n v="6.4247961550906896E-2"/>
    <n v="1.1463358164387099E-2"/>
    <n v="0.8454238423332685"/>
    <n v="-1.282508541246981"/>
    <n v="1.99143545539711E-2"/>
    <n v="0.85539603750346482"/>
    <n v="1.99143545539711E-2"/>
    <n v="1.99143545539711E-2"/>
    <n v="0.85539603750346482"/>
    <n v="0.21990867279035009"/>
    <n v="-0.5968212972535083"/>
    <n v="0.2"/>
    <s v="identity"/>
    <n v="1.99143545539711E-2"/>
    <n v="0.85539603750346482"/>
    <n v="1.99143545539711E-2"/>
    <n v="1.99143545539711E-2"/>
    <n v="0.85539603750346482"/>
    <n v="0.21990867279035009"/>
    <n v="-0.5968212972535083"/>
    <m/>
    <m/>
    <m/>
    <m/>
    <m/>
    <m/>
    <m/>
    <m/>
    <m/>
    <m/>
    <m/>
    <m/>
    <m/>
    <m/>
    <m/>
    <m/>
    <m/>
    <m/>
    <m/>
    <m/>
    <m/>
    <x v="1"/>
  </r>
  <r>
    <s v="20/04/2026 15:45:48"/>
    <s v="04-20_15-45-48_multihead_1heads_run9_spsa_serial_f5_w5_h5_effsu2_lin_r1.pkl"/>
    <x v="9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50"/>
    <n v="20"/>
    <n v="30"/>
    <n v="5.9585304355369399E-2"/>
    <n v="1.20652304169383E-2"/>
    <n v="0.83730797446353589"/>
    <n v="-3.8362924503526119"/>
    <n v="2.0434892159967698E-2"/>
    <n v="0.85161626145038927"/>
    <n v="2.0434892159967698E-2"/>
    <n v="2.0434892159967698E-2"/>
    <n v="0.85161626145038927"/>
    <n v="0.4103488665170415"/>
    <n v="-1.9796633349833139"/>
    <n v="0.2"/>
    <s v="identity"/>
    <n v="2.0434892159967698E-2"/>
    <n v="0.85161626145038927"/>
    <n v="2.0434892159967698E-2"/>
    <n v="2.0434892159967698E-2"/>
    <n v="0.85161626145038927"/>
    <n v="0.4103488665170415"/>
    <n v="-1.9796633349833139"/>
    <m/>
    <m/>
    <m/>
    <m/>
    <m/>
    <m/>
    <m/>
    <m/>
    <m/>
    <m/>
    <m/>
    <m/>
    <m/>
    <m/>
    <m/>
    <m/>
    <m/>
    <m/>
    <m/>
    <m/>
    <m/>
    <x v="0"/>
  </r>
  <r>
    <s v="20/04/2026 15:48:49"/>
    <s v="04-20_15-48-49_multihead_1heads_run9_spsa_serial_f5_w5_h5_effsu2_lin_r1.pkl"/>
    <x v="9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50"/>
    <n v="20"/>
    <n v="30"/>
    <n v="4.4182514632656003E-2"/>
    <n v="5.4903118277584003E-3"/>
    <n v="0.92596660642047723"/>
    <n v="-5.0215330763131538"/>
    <n v="1.19851322416961E-2"/>
    <n v="0.91297244364625196"/>
    <n v="1.19851322416961E-2"/>
    <n v="1.19851322416961E-2"/>
    <n v="0.91297244364625196"/>
    <n v="0.48395554743942698"/>
    <n v="-2.5141430088662191"/>
    <n v="0.2"/>
    <s v="identity"/>
    <n v="1.19851322416961E-2"/>
    <n v="0.91297244364625196"/>
    <n v="1.19851322416961E-2"/>
    <n v="1.19851322416961E-2"/>
    <n v="0.91297244364625196"/>
    <n v="0.48395554743942698"/>
    <n v="-2.5141430088662191"/>
    <m/>
    <m/>
    <m/>
    <m/>
    <m/>
    <m/>
    <m/>
    <m/>
    <m/>
    <m/>
    <m/>
    <m/>
    <m/>
    <m/>
    <m/>
    <m/>
    <m/>
    <m/>
    <m/>
    <m/>
    <m/>
    <x v="0"/>
  </r>
  <r>
    <s v="20/04/2026 16:02:51"/>
    <s v="04-20_16-02-51_multihead_1heads_run9_spsa_serial_f5_w5_h5_effsu2_lin_r1.pkl"/>
    <x v="9"/>
    <s v="Best (Lowest Val Loss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50"/>
    <n v="20"/>
    <n v="30"/>
    <n v="4.5555474049411203E-2"/>
    <n v="2.7522281190483998E-3"/>
    <n v="0.96288793898226843"/>
    <n v="-4.2158464717324762"/>
    <n v="3.5600456923679E-3"/>
    <n v="0.97414946528194324"/>
    <n v="3.5600456923679E-3"/>
    <n v="3.5600456923679E-3"/>
    <n v="0.97414946528194324"/>
    <n v="0.42670322757024548"/>
    <n v="-2.098417141740295"/>
    <n v="0.2"/>
    <s v="identity"/>
    <n v="3.5600456923679E-3"/>
    <n v="0.97414946528194324"/>
    <n v="3.5600456923679E-3"/>
    <n v="3.5600456923679E-3"/>
    <n v="0.97414946528194324"/>
    <n v="0.42670322757024548"/>
    <n v="-2.098417141740295"/>
    <m/>
    <m/>
    <m/>
    <m/>
    <m/>
    <m/>
    <m/>
    <m/>
    <m/>
    <m/>
    <m/>
    <m/>
    <m/>
    <m/>
    <m/>
    <m/>
    <m/>
    <m/>
    <m/>
    <m/>
    <m/>
    <x v="2"/>
  </r>
  <r>
    <s v="20/04/2026 16:08:06"/>
    <s v="04-20_16-08-06_multihead_1heads_run9_spsa_serial_f5_w5_h5_effsu2_lin_r1.pkl"/>
    <x v="9"/>
    <s v="Final (Last Iteration)"/>
    <s v="data/reduce_row_number_absolutes"/>
    <n v="16590"/>
    <n v="4.5"/>
    <s v="['sv', 'wv', 'yr', 'ya']"/>
    <s v="['Surge Velocity']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50"/>
    <n v="20"/>
    <n v="30"/>
    <n v="4.053475388997E-2"/>
    <n v="3.1233496179879001E-3"/>
    <n v="0.95788359954604596"/>
    <n v="-1.1109420710658959"/>
    <n v="5.8933550011351999E-3"/>
    <n v="0.9572066228281052"/>
    <n v="5.8933550011351999E-3"/>
    <n v="5.8933550011351999E-3"/>
    <n v="0.9572066228281052"/>
    <n v="0.20333645072803019"/>
    <n v="-0.47648553788509451"/>
    <n v="0.2"/>
    <s v="identity"/>
    <n v="5.8933550011351999E-3"/>
    <n v="0.9572066228281052"/>
    <n v="5.8933550011351999E-3"/>
    <n v="5.8933550011351999E-3"/>
    <n v="0.9572066228281052"/>
    <n v="0.20333645072803019"/>
    <n v="-0.47648553788509451"/>
    <m/>
    <m/>
    <m/>
    <m/>
    <m/>
    <m/>
    <m/>
    <m/>
    <m/>
    <m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615BF-C353-4978-B028-FC4E86E51656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3" firstHeaderRow="0" firstDataRow="1" firstDataCol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3"/>
        <item sd="0" x="5"/>
        <item sd="0" x="4"/>
        <item sd="0" x="1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 sd="0"/>
      </items>
    </pivotField>
  </pivotFields>
  <rowFields count="3">
    <field x="76"/>
    <field x="22"/>
    <field x="2"/>
  </rowFields>
  <rowItems count="10">
    <i>
      <x/>
    </i>
    <i r="1">
      <x v="2"/>
    </i>
    <i r="1">
      <x v="4"/>
    </i>
    <i>
      <x v="1"/>
    </i>
    <i r="1">
      <x/>
    </i>
    <i r="1">
      <x v="5"/>
    </i>
    <i>
      <x v="2"/>
    </i>
    <i r="1">
      <x v="1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global open R2" fld="43" subtotal="average" baseField="76" baseItem="1"/>
    <dataField name="Promedio de global closed R2" fld="45" subtotal="average" baseField="76" baseItem="1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8F09D-8FCC-4E77-A6D6-11E87757CFEE}" name="Tabla1" displayName="Tabla1" ref="A1:BY54" totalsRowShown="0" headerRowDxfId="2" headerRowBorderDxfId="1" tableBorderDxfId="0">
  <autoFilter ref="A1:BY54" xr:uid="{05C8F09D-8FCC-4E77-A6D6-11E87757CFEE}"/>
  <tableColumns count="77">
    <tableColumn id="1" xr3:uid="{AF920F11-D155-459F-AC41-C1058A3A004E}" name="date"/>
    <tableColumn id="2" xr3:uid="{34530A13-72D7-42C9-B697-5F332345EEBA}" name="model_id"/>
    <tableColumn id="3" xr3:uid="{92D4040D-231A-473D-B5C4-FE49B6499A6A}" name="run"/>
    <tableColumn id="4" xr3:uid="{103B68F7-B8EE-413F-9D1B-06703A39F80E}" name="weight_selection"/>
    <tableColumn id="5" xr3:uid="{123397FA-F6C9-461A-9458-3E3D0227C043}" name="data"/>
    <tableColumn id="6" xr3:uid="{B7AB2879-5682-4EDD-93C6-D107C82F18D2}" name="data_n"/>
    <tableColumn id="7" xr3:uid="{AFBE8173-72B2-4311-96ED-6BC8E8661ADD}" name="data_dt"/>
    <tableColumn id="8" xr3:uid="{ACD2E5D4-62A4-4FB3-87E7-F7A3291A115E}" name="features"/>
    <tableColumn id="9" xr3:uid="{6A4F871E-8885-4C9B-AA30-A184E64DA7D0}" name="targets"/>
    <tableColumn id="10" xr3:uid="{DBFBCEA8-23D1-4462-80FD-FC2761C60CCD}" name="window_size"/>
    <tableColumn id="11" xr3:uid="{508DE8A6-7691-4154-B77C-26DF809F00AF}" name="horizon"/>
    <tableColumn id="12" xr3:uid="{214F839D-F824-4D83-AE14-002C419ADBB9}" name="predict"/>
    <tableColumn id="13" xr3:uid="{F7E74881-9567-4FB0-8FBD-4835E2C3B526}" name="norm"/>
    <tableColumn id="14" xr3:uid="{5CAADA56-D169-4E94-B9AC-071A11098FC4}" name="reconstruct_train"/>
    <tableColumn id="15" xr3:uid="{3394B4AE-E5FE-4DD9-94CA-8AB84F95919D}" name="reconstruct_val"/>
    <tableColumn id="16" xr3:uid="{D99B4E13-410A-432D-B1B0-C10DFB0C7DEF}" name="model"/>
    <tableColumn id="17" xr3:uid="{097B2F61-E6C9-4BEF-BF32-A4B96EE3FD7B}" name="heads_config"/>
    <tableColumn id="18" xr3:uid="{714F6F0A-57F8-469A-8AC8-EEA3534EF7DB}" name="head_number"/>
    <tableColumn id="19" xr3:uid="{11E456C5-DC1B-480D-9FEF-58E12BDCE189}" name="encoding"/>
    <tableColumn id="20" xr3:uid="{4B5D186B-98A4-454B-AD9E-DD102854BA6B}" name="ansatz"/>
    <tableColumn id="21" xr3:uid="{6237C8FF-4355-434C-9503-A7481B15FF8B}" name="entangle"/>
    <tableColumn id="22" xr3:uid="{1A8EA396-ACDA-4BEB-919C-552495E56063}" name="reps"/>
    <tableColumn id="23" xr3:uid="{A79DFB30-8217-47D5-AD87-F0B263989655}" name="map"/>
    <tableColumn id="24" xr3:uid="{8D31A95A-3ADE-4345-8CD5-668B4E01C308}" name="reorder"/>
    <tableColumn id="25" xr3:uid="{8E2E5CF0-2B4F-479A-9815-3EFA9E553E67}" name="optimizer"/>
    <tableColumn id="26" xr3:uid="{AB8901A2-5B71-4DDE-93F3-B2881DB3BE59}" name="maxiter"/>
    <tableColumn id="27" xr3:uid="{DC8E0FEB-E544-4765-9D76-6582EDBE9797}" name="iterations"/>
    <tableColumn id="28" xr3:uid="{246019AF-6EFD-45AF-AB5B-35DFA5EB5211}" name="tolerance"/>
    <tableColumn id="29" xr3:uid="{6956B3D1-05B1-4732-9E91-D4A245F3044D}" name="batch_size"/>
    <tableColumn id="30" xr3:uid="{C85C8657-4B86-4514-9EAA-1F0985E5B891}" name="learning_rate"/>
    <tableColumn id="31" xr3:uid="{83E09AA1-7F36-45BC-BA2D-F589C9C98CD4}" name="perturbation"/>
    <tableColumn id="32" xr3:uid="{D8D23F8C-9EDF-4502-90C5-EE8BF64E77B0}" name="weights"/>
    <tableColumn id="33" xr3:uid="{88A92C26-CA60-4C10-968F-FF9F1AB6D3B6}" name="total params"/>
    <tableColumn id="34" xr3:uid="{27D2FEBB-D3FB-4760-ACA0-FFC1755BCAC1}" name="q params"/>
    <tableColumn id="35" xr3:uid="{5408AFA2-DF07-446B-B022-AA9771C0509B}" name="c params"/>
    <tableColumn id="36" xr3:uid="{861A080E-5964-4AC4-9921-1D2D9850B439}" name="final val loss"/>
    <tableColumn id="37" xr3:uid="{573C4F13-E7DD-411D-B8F3-942959ACD19A}" name="Val Global Open MSE"/>
    <tableColumn id="38" xr3:uid="{64E411CC-B9B6-4FBF-B50D-A3B13FA1ADCA}" name="Val Global Open R2"/>
    <tableColumn id="39" xr3:uid="{43945FEC-6BFB-4B69-A862-00B28CA29CF7}" name="Val Global Closed R2"/>
    <tableColumn id="40" xr3:uid="{0C645365-AF1D-46D2-96E6-61770D1046BE}" name="step MSE"/>
    <tableColumn id="41" xr3:uid="{7188A3E7-02D1-41AD-8827-0415EFBEA15F}" name="step R2"/>
    <tableColumn id="42" xr3:uid="{64B1A125-54B0-4F95-9133-79840CF8E516}" name="local MSE"/>
    <tableColumn id="43" xr3:uid="{57CF2ADF-C30B-4D45-8467-D8B05D948721}" name="global open MSE"/>
    <tableColumn id="44" xr3:uid="{D41AB59B-951F-4AF0-8C69-5C68871DD071}" name="global open R2"/>
    <tableColumn id="45" xr3:uid="{1C918082-9BEE-4A55-ABD2-F13F23301CC5}" name="global closed MSE"/>
    <tableColumn id="46" xr3:uid="{0D1582F4-684B-4BFE-B8D2-2644D7AE6B46}" name="global closed R2"/>
    <tableColumn id="47" xr3:uid="{5F53E78C-598A-48EC-AD50-FE7A759D2C52}" name="recursivity"/>
    <tableColumn id="48" xr3:uid="{B1B42532-CE2C-4095-A42E-57FBA4D86278}" name="initialization"/>
    <tableColumn id="49" xr3:uid="{22DC0E59-5A20-424C-8966-7501C1C3F73B}" name="Surge Velocity Step MSE"/>
    <tableColumn id="50" xr3:uid="{EF873ECA-6BC6-4ECA-ABA6-0B2DEB980CF8}" name="Surge Velocity Step R2"/>
    <tableColumn id="51" xr3:uid="{9D09B6A0-8D32-4802-ACF3-9B50A464E7BA}" name="Surge Velocity Local MSE"/>
    <tableColumn id="52" xr3:uid="{A0B0EFDD-01FF-4691-AF15-C96F553B0AA8}" name="Surge Velocity Global open MSE"/>
    <tableColumn id="53" xr3:uid="{6F45798A-1582-4E2A-BE09-FFABD419998B}" name="Surge Velocity Global open R2"/>
    <tableColumn id="54" xr3:uid="{5DBB6904-3EBC-43A4-A203-73299045A6E3}" name="Surge Velocity Global closed MSE"/>
    <tableColumn id="55" xr3:uid="{B06FB175-D02D-47F8-A9DC-DE89D8C4F07E}" name="Surge Velocity Global closed R2"/>
    <tableColumn id="56" xr3:uid="{CE6EB7B4-0043-456D-B9CC-A14D6A93BDB5}" name="Sway Velocity Step MSE"/>
    <tableColumn id="57" xr3:uid="{B4A4756E-2686-4608-96C5-33CDEBCE47EA}" name="Sway Velocity Step R2"/>
    <tableColumn id="58" xr3:uid="{F493680B-A4AF-496A-AA4B-2431DC429F18}" name="Sway Velocity Local MSE"/>
    <tableColumn id="59" xr3:uid="{CD3B83D2-6D81-4B09-A969-1845F3CB8CDE}" name="Sway Velocity Global open MSE"/>
    <tableColumn id="60" xr3:uid="{5B3510FC-32C1-4139-93FF-006F456DAF16}" name="Sway Velocity Global open R2"/>
    <tableColumn id="61" xr3:uid="{6179AD27-466C-405D-8548-FC47595E7D83}" name="Sway Velocity Global closed MSE"/>
    <tableColumn id="62" xr3:uid="{3C771019-52AC-4E6E-801D-873191AD6291}" name="Sway Velocity Global closed R2"/>
    <tableColumn id="63" xr3:uid="{D300415D-3CDF-40CB-A2D6-04D2192E5370}" name="Yaw Rate Step MSE"/>
    <tableColumn id="64" xr3:uid="{19F78BA2-43CB-4F5C-BC97-EBD1AA271221}" name="Yaw Rate Step R2"/>
    <tableColumn id="65" xr3:uid="{BEA5C511-81DF-4795-8C99-77A65AFB470E}" name="Yaw Rate Local MSE"/>
    <tableColumn id="66" xr3:uid="{221ACBE9-20B5-454B-A207-533FD726BB26}" name="Yaw Rate Global open MSE"/>
    <tableColumn id="67" xr3:uid="{801AFC30-E6F4-43A2-B740-1CF67E6B5C0E}" name="Yaw Rate Global open R2"/>
    <tableColumn id="68" xr3:uid="{6DE0C18E-DCD4-4959-9A4A-2939195D790D}" name="Yaw Rate Global closed MSE"/>
    <tableColumn id="69" xr3:uid="{61AEFD1B-5E2A-4113-9F72-22C30A362CC4}" name="Yaw Rate Global closed R2"/>
    <tableColumn id="70" xr3:uid="{ACD5D87E-FB65-47E9-B7F2-8CE20D01BF39}" name="Yaw Angle Step MSE"/>
    <tableColumn id="71" xr3:uid="{B5DCA2EC-633E-4D27-91E1-CEDBA4B604D6}" name="Yaw Angle Step R2"/>
    <tableColumn id="72" xr3:uid="{843ADCCA-74BA-4005-AE38-880A7FCB8C60}" name="Yaw Angle Local MSE"/>
    <tableColumn id="73" xr3:uid="{2CD3BC67-7A1C-4439-9E90-72F1DEFA96F6}" name="Yaw Angle Global open MSE"/>
    <tableColumn id="74" xr3:uid="{86047FA2-FAED-48D7-AE68-BA8F444F6085}" name="Yaw Angle Global open R2"/>
    <tableColumn id="75" xr3:uid="{5ECE2272-5060-4C97-B6AA-5151EA560A65}" name="Yaw Angle Global closed MSE"/>
    <tableColumn id="76" xr3:uid="{81F0EACA-3E0E-443E-9C6A-5029E9592EEA}" name="Yaw Angle Global closed R2"/>
    <tableColumn id="77" xr3:uid="{3652EEC8-8621-4093-BD6C-2B3A30196FB5}" name="empty_angle">
      <calculatedColumnFormula>CHOOSE(MATCH("-1", _xlfn.TAKE(_xlfn.TEXTSPLIT(SUBSTITUTE(SUBSTITUTE(W2,"[",""),"]",""), ", "), 3), 0), "theta", "phi", "lambda")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4"/>
  <sheetViews>
    <sheetView workbookViewId="0">
      <selection activeCell="K9" sqref="K9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  <col min="77" max="77" width="14.2187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0</v>
      </c>
      <c r="D2" t="s">
        <v>79</v>
      </c>
      <c r="E2" t="s">
        <v>80</v>
      </c>
      <c r="F2">
        <v>16590</v>
      </c>
      <c r="G2">
        <v>4.5</v>
      </c>
      <c r="H2" t="s">
        <v>81</v>
      </c>
      <c r="I2" t="s">
        <v>82</v>
      </c>
      <c r="J2">
        <v>5</v>
      </c>
      <c r="K2">
        <v>5</v>
      </c>
      <c r="L2" t="s">
        <v>83</v>
      </c>
      <c r="M2" t="s">
        <v>210</v>
      </c>
      <c r="N2" t="s">
        <v>211</v>
      </c>
      <c r="O2" t="s">
        <v>211</v>
      </c>
      <c r="P2" t="s">
        <v>84</v>
      </c>
      <c r="Q2" t="s">
        <v>85</v>
      </c>
      <c r="R2">
        <v>1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211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50</v>
      </c>
      <c r="AH2">
        <v>20</v>
      </c>
      <c r="AI2">
        <v>30</v>
      </c>
      <c r="AJ2">
        <v>4.7248207714292001E-2</v>
      </c>
      <c r="AK2">
        <v>1.0464300244513501E-2</v>
      </c>
      <c r="AL2">
        <v>0.85889550851747065</v>
      </c>
      <c r="AM2">
        <v>-1.885615780897391</v>
      </c>
      <c r="AN2">
        <v>2.2610852593551101E-2</v>
      </c>
      <c r="AO2">
        <v>0.83581597527595752</v>
      </c>
      <c r="AP2">
        <v>2.2610852593551101E-2</v>
      </c>
      <c r="AQ2">
        <v>2.2610852593551101E-2</v>
      </c>
      <c r="AR2">
        <v>0.83581597527595752</v>
      </c>
      <c r="AS2">
        <v>0.26176926173260118</v>
      </c>
      <c r="AT2">
        <v>-0.90078329698003523</v>
      </c>
      <c r="AU2">
        <v>0.2</v>
      </c>
      <c r="AV2" t="s">
        <v>93</v>
      </c>
      <c r="AW2">
        <v>2.2610852593551101E-2</v>
      </c>
      <c r="AX2">
        <v>0.83581597527595752</v>
      </c>
      <c r="AY2">
        <v>2.2610852593551101E-2</v>
      </c>
      <c r="AZ2">
        <v>2.2610852593551101E-2</v>
      </c>
      <c r="BA2">
        <v>0.83581597527595752</v>
      </c>
      <c r="BB2">
        <v>0.26176926173260118</v>
      </c>
      <c r="BC2">
        <v>-0.90078329698003523</v>
      </c>
      <c r="BY2" t="str">
        <f>CHOOSE(MATCH("-1", _xlfn.TAKE(_xlfn.TEXTSPLIT(SUBSTITUTE(SUBSTITUTE(W2,"[",""),"]",""), ", "), 3), 0), "theta", "phi", "lambda")</f>
        <v>phi</v>
      </c>
    </row>
    <row r="3" spans="1:77" x14ac:dyDescent="0.3">
      <c r="A3" t="s">
        <v>77</v>
      </c>
      <c r="B3" t="s">
        <v>95</v>
      </c>
      <c r="C3">
        <v>1</v>
      </c>
      <c r="D3" t="s">
        <v>96</v>
      </c>
      <c r="E3" t="s">
        <v>80</v>
      </c>
      <c r="F3">
        <v>16590</v>
      </c>
      <c r="G3">
        <v>4.5</v>
      </c>
      <c r="H3" t="s">
        <v>81</v>
      </c>
      <c r="I3" t="s">
        <v>82</v>
      </c>
      <c r="J3">
        <v>5</v>
      </c>
      <c r="K3">
        <v>5</v>
      </c>
      <c r="L3" t="s">
        <v>83</v>
      </c>
      <c r="M3" t="s">
        <v>210</v>
      </c>
      <c r="N3" t="s">
        <v>211</v>
      </c>
      <c r="O3" t="s">
        <v>211</v>
      </c>
      <c r="P3" t="s">
        <v>84</v>
      </c>
      <c r="Q3" t="s">
        <v>97</v>
      </c>
      <c r="R3">
        <v>1</v>
      </c>
      <c r="S3" t="s">
        <v>86</v>
      </c>
      <c r="T3" t="s">
        <v>87</v>
      </c>
      <c r="U3" t="s">
        <v>88</v>
      </c>
      <c r="V3">
        <v>1</v>
      </c>
      <c r="W3" t="s">
        <v>98</v>
      </c>
      <c r="X3" t="s">
        <v>211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50</v>
      </c>
      <c r="AH3">
        <v>20</v>
      </c>
      <c r="AI3">
        <v>30</v>
      </c>
      <c r="AJ3">
        <v>4.8480080369323102E-2</v>
      </c>
      <c r="AK3">
        <v>7.6162721849387001E-3</v>
      </c>
      <c r="AL3">
        <v>0.89729937133524285</v>
      </c>
      <c r="AM3">
        <v>-2.291559570388646</v>
      </c>
      <c r="AN3">
        <v>1.7091476343652E-2</v>
      </c>
      <c r="AO3">
        <v>0.875893783174859</v>
      </c>
      <c r="AP3">
        <v>1.7091476343652E-2</v>
      </c>
      <c r="AQ3">
        <v>1.7091476343652E-2</v>
      </c>
      <c r="AR3">
        <v>0.875893783174859</v>
      </c>
      <c r="AS3">
        <v>0.2903861264519253</v>
      </c>
      <c r="AT3">
        <v>-1.108578735261833</v>
      </c>
      <c r="AU3">
        <v>0.2</v>
      </c>
      <c r="AV3" t="s">
        <v>93</v>
      </c>
      <c r="AW3">
        <v>1.7091476343652E-2</v>
      </c>
      <c r="AX3">
        <v>0.875893783174859</v>
      </c>
      <c r="AY3">
        <v>1.7091476343652E-2</v>
      </c>
      <c r="AZ3">
        <v>1.7091476343652E-2</v>
      </c>
      <c r="BA3">
        <v>0.875893783174859</v>
      </c>
      <c r="BB3">
        <v>0.2903861264519253</v>
      </c>
      <c r="BC3">
        <v>-1.108578735261833</v>
      </c>
      <c r="BY3" t="str">
        <f>CHOOSE(MATCH("-1", _xlfn.TAKE(_xlfn.TEXTSPLIT(SUBSTITUTE(SUBSTITUTE(W3,"[",""),"]",""), ", "), 3), 0), "theta", "phi", "lambda")</f>
        <v>lambda</v>
      </c>
    </row>
    <row r="4" spans="1:77" x14ac:dyDescent="0.3">
      <c r="A4" t="s">
        <v>100</v>
      </c>
      <c r="B4" t="s">
        <v>101</v>
      </c>
      <c r="C4">
        <v>0</v>
      </c>
      <c r="D4" t="s">
        <v>79</v>
      </c>
      <c r="E4" t="s">
        <v>80</v>
      </c>
      <c r="F4">
        <v>16590</v>
      </c>
      <c r="G4">
        <v>4.5</v>
      </c>
      <c r="H4" t="s">
        <v>81</v>
      </c>
      <c r="I4" t="s">
        <v>82</v>
      </c>
      <c r="J4">
        <v>5</v>
      </c>
      <c r="K4">
        <v>5</v>
      </c>
      <c r="L4" t="s">
        <v>83</v>
      </c>
      <c r="M4" t="s">
        <v>210</v>
      </c>
      <c r="N4" t="s">
        <v>211</v>
      </c>
      <c r="O4" t="s">
        <v>211</v>
      </c>
      <c r="P4" t="s">
        <v>84</v>
      </c>
      <c r="Q4" t="s">
        <v>102</v>
      </c>
      <c r="R4">
        <v>1</v>
      </c>
      <c r="S4" t="s">
        <v>86</v>
      </c>
      <c r="T4" t="s">
        <v>87</v>
      </c>
      <c r="U4" t="s">
        <v>88</v>
      </c>
      <c r="V4">
        <v>1</v>
      </c>
      <c r="W4" t="s">
        <v>103</v>
      </c>
      <c r="X4" t="s">
        <v>211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50</v>
      </c>
      <c r="AH4">
        <v>20</v>
      </c>
      <c r="AI4">
        <v>30</v>
      </c>
      <c r="AJ4">
        <v>6.0240989444892798E-2</v>
      </c>
      <c r="AK4">
        <v>1.6195592919927899E-2</v>
      </c>
      <c r="AL4">
        <v>0.78161264013590892</v>
      </c>
      <c r="AM4">
        <v>-2.302921141554374</v>
      </c>
      <c r="AN4">
        <v>3.6939246404070897E-2</v>
      </c>
      <c r="AO4">
        <v>0.73177331019250336</v>
      </c>
      <c r="AP4">
        <v>3.6939246404070897E-2</v>
      </c>
      <c r="AQ4">
        <v>3.6939246404070897E-2</v>
      </c>
      <c r="AR4">
        <v>0.73177331019250336</v>
      </c>
      <c r="AS4">
        <v>0.28999589305429069</v>
      </c>
      <c r="AT4">
        <v>-1.105745136239404</v>
      </c>
      <c r="AU4">
        <v>0.2</v>
      </c>
      <c r="AV4" t="s">
        <v>93</v>
      </c>
      <c r="AW4">
        <v>3.6939246404070897E-2</v>
      </c>
      <c r="AX4">
        <v>0.73177331019250336</v>
      </c>
      <c r="AY4">
        <v>3.6939246404070897E-2</v>
      </c>
      <c r="AZ4">
        <v>3.6939246404070897E-2</v>
      </c>
      <c r="BA4">
        <v>0.73177331019250336</v>
      </c>
      <c r="BB4">
        <v>0.28999589305429069</v>
      </c>
      <c r="BC4">
        <v>-1.105745136239404</v>
      </c>
      <c r="BY4" t="str">
        <f>CHOOSE(MATCH("-1", _xlfn.TAKE(_xlfn.TEXTSPLIT(SUBSTITUTE(SUBSTITUTE(W4,"[",""),"]",""), ", "), 3), 0), "theta", "phi", "lambda")</f>
        <v>phi</v>
      </c>
    </row>
    <row r="5" spans="1:77" x14ac:dyDescent="0.3">
      <c r="A5" t="s">
        <v>100</v>
      </c>
      <c r="B5" t="s">
        <v>104</v>
      </c>
      <c r="C5">
        <v>1</v>
      </c>
      <c r="D5" t="s">
        <v>96</v>
      </c>
      <c r="E5" t="s">
        <v>80</v>
      </c>
      <c r="F5">
        <v>16590</v>
      </c>
      <c r="G5">
        <v>4.5</v>
      </c>
      <c r="H5" t="s">
        <v>81</v>
      </c>
      <c r="I5" t="s">
        <v>82</v>
      </c>
      <c r="J5">
        <v>5</v>
      </c>
      <c r="K5">
        <v>5</v>
      </c>
      <c r="L5" t="s">
        <v>83</v>
      </c>
      <c r="M5" t="s">
        <v>210</v>
      </c>
      <c r="N5" t="s">
        <v>211</v>
      </c>
      <c r="O5" t="s">
        <v>211</v>
      </c>
      <c r="P5" t="s">
        <v>84</v>
      </c>
      <c r="Q5" t="s">
        <v>102</v>
      </c>
      <c r="R5">
        <v>1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211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50</v>
      </c>
      <c r="AH5">
        <v>20</v>
      </c>
      <c r="AI5">
        <v>30</v>
      </c>
      <c r="AJ5">
        <v>5.6683387557609398E-2</v>
      </c>
      <c r="AK5">
        <v>9.3586392104329005E-3</v>
      </c>
      <c r="AL5">
        <v>0.87380465048783673</v>
      </c>
      <c r="AM5">
        <v>-1.8154285949579321</v>
      </c>
      <c r="AN5">
        <v>2.1656259633181098E-2</v>
      </c>
      <c r="AO5">
        <v>0.84274755441735982</v>
      </c>
      <c r="AP5">
        <v>2.1656259633181098E-2</v>
      </c>
      <c r="AQ5">
        <v>2.1656259633181098E-2</v>
      </c>
      <c r="AR5">
        <v>0.84274755441735982</v>
      </c>
      <c r="AS5">
        <v>0.2480696686918914</v>
      </c>
      <c r="AT5">
        <v>-0.80130653849872391</v>
      </c>
      <c r="AU5">
        <v>0.2</v>
      </c>
      <c r="AV5" t="s">
        <v>93</v>
      </c>
      <c r="AW5">
        <v>2.1656259633181098E-2</v>
      </c>
      <c r="AX5">
        <v>0.84274755441735982</v>
      </c>
      <c r="AY5">
        <v>2.1656259633181098E-2</v>
      </c>
      <c r="AZ5">
        <v>2.1656259633181098E-2</v>
      </c>
      <c r="BA5">
        <v>0.84274755441735982</v>
      </c>
      <c r="BB5">
        <v>0.2480696686918914</v>
      </c>
      <c r="BC5">
        <v>-0.80130653849872391</v>
      </c>
      <c r="BY5" t="str">
        <f>CHOOSE(MATCH("-1", _xlfn.TAKE(_xlfn.TEXTSPLIT(SUBSTITUTE(SUBSTITUTE(W5,"[",""),"]",""), ", "), 3), 0), "theta", "phi", "lambda")</f>
        <v>phi</v>
      </c>
    </row>
    <row r="6" spans="1:77" x14ac:dyDescent="0.3">
      <c r="A6" t="s">
        <v>105</v>
      </c>
      <c r="B6" t="s">
        <v>106</v>
      </c>
      <c r="C6">
        <v>1</v>
      </c>
      <c r="D6" t="s">
        <v>79</v>
      </c>
      <c r="E6" t="s">
        <v>80</v>
      </c>
      <c r="F6">
        <v>16590</v>
      </c>
      <c r="G6">
        <v>4.5</v>
      </c>
      <c r="H6" t="s">
        <v>81</v>
      </c>
      <c r="I6" t="s">
        <v>82</v>
      </c>
      <c r="J6">
        <v>5</v>
      </c>
      <c r="K6">
        <v>5</v>
      </c>
      <c r="L6" t="s">
        <v>83</v>
      </c>
      <c r="M6" t="s">
        <v>210</v>
      </c>
      <c r="N6" t="s">
        <v>211</v>
      </c>
      <c r="O6" t="s">
        <v>211</v>
      </c>
      <c r="P6" t="s">
        <v>84</v>
      </c>
      <c r="Q6" t="s">
        <v>107</v>
      </c>
      <c r="R6">
        <v>1</v>
      </c>
      <c r="S6" t="s">
        <v>86</v>
      </c>
      <c r="T6" t="s">
        <v>87</v>
      </c>
      <c r="U6" t="s">
        <v>88</v>
      </c>
      <c r="V6">
        <v>1</v>
      </c>
      <c r="W6" t="s">
        <v>108</v>
      </c>
      <c r="X6" t="s">
        <v>211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50</v>
      </c>
      <c r="AH6">
        <v>20</v>
      </c>
      <c r="AI6">
        <v>30</v>
      </c>
      <c r="AJ6">
        <v>6.4496830573854094E-2</v>
      </c>
      <c r="AK6">
        <v>5.3522335277362996E-3</v>
      </c>
      <c r="AL6">
        <v>0.92782850524353599</v>
      </c>
      <c r="AM6">
        <v>-0.90042845732223342</v>
      </c>
      <c r="AN6">
        <v>9.3660935363108992E-3</v>
      </c>
      <c r="AO6">
        <v>0.93199005095579801</v>
      </c>
      <c r="AP6">
        <v>9.3660935363108992E-3</v>
      </c>
      <c r="AQ6">
        <v>9.3660935363108992E-3</v>
      </c>
      <c r="AR6">
        <v>0.93199005095579801</v>
      </c>
      <c r="AS6">
        <v>0.19226604191040439</v>
      </c>
      <c r="AT6">
        <v>-0.39610005628955669</v>
      </c>
      <c r="AU6">
        <v>0.2</v>
      </c>
      <c r="AV6" t="s">
        <v>93</v>
      </c>
      <c r="AW6">
        <v>9.3660935363108992E-3</v>
      </c>
      <c r="AX6">
        <v>0.93199005095579801</v>
      </c>
      <c r="AY6">
        <v>9.3660935363108992E-3</v>
      </c>
      <c r="AZ6">
        <v>9.3660935363108992E-3</v>
      </c>
      <c r="BA6">
        <v>0.93199005095579801</v>
      </c>
      <c r="BB6">
        <v>0.19226604191040439</v>
      </c>
      <c r="BC6">
        <v>-0.39610005628955669</v>
      </c>
      <c r="BY6" t="str">
        <f>CHOOSE(MATCH("-1", _xlfn.TAKE(_xlfn.TEXTSPLIT(SUBSTITUTE(SUBSTITUTE(W6,"[",""),"]",""), ", "), 3), 0), "theta", "phi", "lambda")</f>
        <v>theta</v>
      </c>
    </row>
    <row r="7" spans="1:77" x14ac:dyDescent="0.3">
      <c r="A7" t="s">
        <v>110</v>
      </c>
      <c r="B7" t="s">
        <v>111</v>
      </c>
      <c r="C7">
        <v>1</v>
      </c>
      <c r="D7" t="s">
        <v>96</v>
      </c>
      <c r="E7" t="s">
        <v>80</v>
      </c>
      <c r="F7">
        <v>16590</v>
      </c>
      <c r="G7">
        <v>4.5</v>
      </c>
      <c r="H7" t="s">
        <v>81</v>
      </c>
      <c r="I7" t="s">
        <v>82</v>
      </c>
      <c r="J7">
        <v>5</v>
      </c>
      <c r="K7">
        <v>5</v>
      </c>
      <c r="L7" t="s">
        <v>83</v>
      </c>
      <c r="M7" t="s">
        <v>210</v>
      </c>
      <c r="N7" t="s">
        <v>211</v>
      </c>
      <c r="O7" t="s">
        <v>211</v>
      </c>
      <c r="P7" t="s">
        <v>84</v>
      </c>
      <c r="Q7" t="s">
        <v>112</v>
      </c>
      <c r="R7">
        <v>1</v>
      </c>
      <c r="S7" t="s">
        <v>86</v>
      </c>
      <c r="T7" t="s">
        <v>87</v>
      </c>
      <c r="U7" t="s">
        <v>88</v>
      </c>
      <c r="V7">
        <v>1</v>
      </c>
      <c r="W7" t="s">
        <v>113</v>
      </c>
      <c r="X7" t="s">
        <v>211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50</v>
      </c>
      <c r="AH7">
        <v>20</v>
      </c>
      <c r="AI7">
        <v>30</v>
      </c>
      <c r="AJ7">
        <v>3.8080197924237898E-2</v>
      </c>
      <c r="AK7">
        <v>4.4417853538777996E-3</v>
      </c>
      <c r="AL7">
        <v>0.94010532486755682</v>
      </c>
      <c r="AM7">
        <v>-3.7300006317040069</v>
      </c>
      <c r="AN7">
        <v>5.0129152939597001E-3</v>
      </c>
      <c r="AO7">
        <v>0.96359975347423443</v>
      </c>
      <c r="AP7">
        <v>5.0129152939597001E-3</v>
      </c>
      <c r="AQ7">
        <v>5.0129152939597001E-3</v>
      </c>
      <c r="AR7">
        <v>0.96359975347423443</v>
      </c>
      <c r="AS7">
        <v>0.39489227655563358</v>
      </c>
      <c r="AT7">
        <v>-1.867428507133569</v>
      </c>
      <c r="AU7">
        <v>0.2</v>
      </c>
      <c r="AV7" t="s">
        <v>93</v>
      </c>
      <c r="AW7">
        <v>5.0129152939597001E-3</v>
      </c>
      <c r="AX7">
        <v>0.96359975347423443</v>
      </c>
      <c r="AY7">
        <v>5.0129152939597001E-3</v>
      </c>
      <c r="AZ7">
        <v>5.0129152939597001E-3</v>
      </c>
      <c r="BA7">
        <v>0.96359975347423443</v>
      </c>
      <c r="BB7">
        <v>0.39489227655563358</v>
      </c>
      <c r="BC7">
        <v>-1.867428507133569</v>
      </c>
      <c r="BY7" t="str">
        <f>CHOOSE(MATCH("-1", _xlfn.TAKE(_xlfn.TEXTSPLIT(SUBSTITUTE(SUBSTITUTE(W7,"[",""),"]",""), ", "), 3), 0), "theta", "phi", "lambda")</f>
        <v>theta</v>
      </c>
    </row>
    <row r="8" spans="1:77" x14ac:dyDescent="0.3">
      <c r="A8" t="s">
        <v>114</v>
      </c>
      <c r="B8" t="s">
        <v>115</v>
      </c>
      <c r="C8">
        <v>2</v>
      </c>
      <c r="D8" t="s">
        <v>79</v>
      </c>
      <c r="E8" t="s">
        <v>80</v>
      </c>
      <c r="F8">
        <v>16590</v>
      </c>
      <c r="G8">
        <v>4.5</v>
      </c>
      <c r="H8" t="s">
        <v>81</v>
      </c>
      <c r="I8" t="s">
        <v>82</v>
      </c>
      <c r="J8">
        <v>5</v>
      </c>
      <c r="K8">
        <v>5</v>
      </c>
      <c r="L8" t="s">
        <v>83</v>
      </c>
      <c r="M8" t="s">
        <v>210</v>
      </c>
      <c r="N8" t="s">
        <v>211</v>
      </c>
      <c r="O8" t="s">
        <v>211</v>
      </c>
      <c r="P8" t="s">
        <v>84</v>
      </c>
      <c r="Q8" t="s">
        <v>116</v>
      </c>
      <c r="R8">
        <v>1</v>
      </c>
      <c r="S8" t="s">
        <v>86</v>
      </c>
      <c r="T8" t="s">
        <v>87</v>
      </c>
      <c r="U8" t="s">
        <v>88</v>
      </c>
      <c r="V8">
        <v>1</v>
      </c>
      <c r="W8" t="s">
        <v>117</v>
      </c>
      <c r="X8" t="s">
        <v>211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50</v>
      </c>
      <c r="AH8">
        <v>20</v>
      </c>
      <c r="AI8">
        <v>30</v>
      </c>
      <c r="AJ8">
        <v>6.8456149389815202E-2</v>
      </c>
      <c r="AK8">
        <v>1.85711730570743E-2</v>
      </c>
      <c r="AL8">
        <v>0.74957943969292784</v>
      </c>
      <c r="AM8">
        <v>-1.9690206018100771</v>
      </c>
      <c r="AN8">
        <v>5.0042310087147997E-2</v>
      </c>
      <c r="AO8">
        <v>0.63662812613533015</v>
      </c>
      <c r="AP8">
        <v>5.0042310087147997E-2</v>
      </c>
      <c r="AQ8">
        <v>5.0042310087147997E-2</v>
      </c>
      <c r="AR8">
        <v>0.63662812613533015</v>
      </c>
      <c r="AS8">
        <v>0.27077619133558872</v>
      </c>
      <c r="AT8">
        <v>-0.96618525148423562</v>
      </c>
      <c r="AU8">
        <v>0.2</v>
      </c>
      <c r="AV8" t="s">
        <v>93</v>
      </c>
      <c r="AW8">
        <v>5.0042310087147997E-2</v>
      </c>
      <c r="AX8">
        <v>0.63662812613533015</v>
      </c>
      <c r="AY8">
        <v>5.0042310087147997E-2</v>
      </c>
      <c r="AZ8">
        <v>5.0042310087147997E-2</v>
      </c>
      <c r="BA8">
        <v>0.63662812613533015</v>
      </c>
      <c r="BB8">
        <v>0.27077619133558872</v>
      </c>
      <c r="BC8">
        <v>-0.96618525148423562</v>
      </c>
      <c r="BY8" t="str">
        <f>CHOOSE(MATCH("-1", _xlfn.TAKE(_xlfn.TEXTSPLIT(SUBSTITUTE(SUBSTITUTE(W8,"[",""),"]",""), ", "), 3), 0), "theta", "phi", "lambda")</f>
        <v>lambda</v>
      </c>
    </row>
    <row r="9" spans="1:77" x14ac:dyDescent="0.3">
      <c r="A9" t="s">
        <v>118</v>
      </c>
      <c r="B9" t="s">
        <v>119</v>
      </c>
      <c r="C9">
        <v>2</v>
      </c>
      <c r="D9" t="s">
        <v>96</v>
      </c>
      <c r="E9" t="s">
        <v>80</v>
      </c>
      <c r="F9">
        <v>16590</v>
      </c>
      <c r="G9">
        <v>4.5</v>
      </c>
      <c r="H9" t="s">
        <v>81</v>
      </c>
      <c r="I9" t="s">
        <v>82</v>
      </c>
      <c r="J9">
        <v>5</v>
      </c>
      <c r="K9">
        <v>5</v>
      </c>
      <c r="L9" t="s">
        <v>83</v>
      </c>
      <c r="M9" t="s">
        <v>210</v>
      </c>
      <c r="N9" t="s">
        <v>211</v>
      </c>
      <c r="O9" t="s">
        <v>211</v>
      </c>
      <c r="P9" t="s">
        <v>84</v>
      </c>
      <c r="Q9" t="s">
        <v>97</v>
      </c>
      <c r="R9">
        <v>1</v>
      </c>
      <c r="S9" t="s">
        <v>86</v>
      </c>
      <c r="T9" t="s">
        <v>87</v>
      </c>
      <c r="U9" t="s">
        <v>88</v>
      </c>
      <c r="V9">
        <v>1</v>
      </c>
      <c r="W9" t="s">
        <v>98</v>
      </c>
      <c r="X9" t="s">
        <v>211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50</v>
      </c>
      <c r="AH9">
        <v>20</v>
      </c>
      <c r="AI9">
        <v>30</v>
      </c>
      <c r="AJ9">
        <v>6.5453290324481203E-2</v>
      </c>
      <c r="AK9">
        <v>1.20846680005536E-2</v>
      </c>
      <c r="AL9">
        <v>0.83704587090308713</v>
      </c>
      <c r="AM9">
        <v>-1.3583435968995401</v>
      </c>
      <c r="AN9">
        <v>3.03227928835056E-2</v>
      </c>
      <c r="AO9">
        <v>0.77981731755186312</v>
      </c>
      <c r="AP9">
        <v>3.03227928835056E-2</v>
      </c>
      <c r="AQ9">
        <v>3.03227928835056E-2</v>
      </c>
      <c r="AR9">
        <v>0.77981731755186312</v>
      </c>
      <c r="AS9">
        <v>0.22815200175606981</v>
      </c>
      <c r="AT9">
        <v>-0.65667852382718261</v>
      </c>
      <c r="AU9">
        <v>0.2</v>
      </c>
      <c r="AV9" t="s">
        <v>93</v>
      </c>
      <c r="AW9">
        <v>3.03227928835056E-2</v>
      </c>
      <c r="AX9">
        <v>0.77981731755186312</v>
      </c>
      <c r="AY9">
        <v>3.03227928835056E-2</v>
      </c>
      <c r="AZ9">
        <v>3.03227928835056E-2</v>
      </c>
      <c r="BA9">
        <v>0.77981731755186312</v>
      </c>
      <c r="BB9">
        <v>0.22815200175606981</v>
      </c>
      <c r="BC9">
        <v>-0.65667852382718261</v>
      </c>
      <c r="BY9" t="str">
        <f>CHOOSE(MATCH("-1", _xlfn.TAKE(_xlfn.TEXTSPLIT(SUBSTITUTE(SUBSTITUTE(W9,"[",""),"]",""), ", "), 3), 0), "theta", "phi", "lambda")</f>
        <v>lambda</v>
      </c>
    </row>
    <row r="10" spans="1:77" x14ac:dyDescent="0.3">
      <c r="A10" t="s">
        <v>120</v>
      </c>
      <c r="B10" t="s">
        <v>121</v>
      </c>
      <c r="C10">
        <v>2</v>
      </c>
      <c r="D10" t="s">
        <v>96</v>
      </c>
      <c r="E10" t="s">
        <v>80</v>
      </c>
      <c r="F10">
        <v>16590</v>
      </c>
      <c r="G10">
        <v>4.5</v>
      </c>
      <c r="H10" t="s">
        <v>81</v>
      </c>
      <c r="I10" t="s">
        <v>82</v>
      </c>
      <c r="J10">
        <v>5</v>
      </c>
      <c r="K10">
        <v>5</v>
      </c>
      <c r="L10" t="s">
        <v>83</v>
      </c>
      <c r="M10" t="s">
        <v>210</v>
      </c>
      <c r="N10" t="s">
        <v>211</v>
      </c>
      <c r="O10" t="s">
        <v>211</v>
      </c>
      <c r="P10" t="s">
        <v>84</v>
      </c>
      <c r="Q10" t="s">
        <v>85</v>
      </c>
      <c r="R10">
        <v>1</v>
      </c>
      <c r="S10" t="s">
        <v>86</v>
      </c>
      <c r="T10" t="s">
        <v>87</v>
      </c>
      <c r="U10" t="s">
        <v>88</v>
      </c>
      <c r="V10">
        <v>1</v>
      </c>
      <c r="W10" t="s">
        <v>89</v>
      </c>
      <c r="X10" t="s">
        <v>211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50</v>
      </c>
      <c r="AH10">
        <v>20</v>
      </c>
      <c r="AI10">
        <v>30</v>
      </c>
      <c r="AJ10">
        <v>6.0002592433821098E-2</v>
      </c>
      <c r="AK10">
        <v>6.2387889357878997E-3</v>
      </c>
      <c r="AL10">
        <v>0.91587386450300556</v>
      </c>
      <c r="AM10">
        <v>-5.9148474813355554</v>
      </c>
      <c r="AN10">
        <v>1.7052338181516E-2</v>
      </c>
      <c r="AO10">
        <v>0.87617797683598753</v>
      </c>
      <c r="AP10">
        <v>1.7052338181516E-2</v>
      </c>
      <c r="AQ10">
        <v>1.7052338181516E-2</v>
      </c>
      <c r="AR10">
        <v>0.87617797683598753</v>
      </c>
      <c r="AS10">
        <v>0.56082390936730764</v>
      </c>
      <c r="AT10">
        <v>-3.0723067040673149</v>
      </c>
      <c r="AU10">
        <v>0.2</v>
      </c>
      <c r="AV10" t="s">
        <v>93</v>
      </c>
      <c r="AW10">
        <v>1.7052338181516E-2</v>
      </c>
      <c r="AX10">
        <v>0.87617797683598753</v>
      </c>
      <c r="AY10">
        <v>1.7052338181516E-2</v>
      </c>
      <c r="AZ10">
        <v>1.7052338181516E-2</v>
      </c>
      <c r="BA10">
        <v>0.87617797683598753</v>
      </c>
      <c r="BB10">
        <v>0.56082390936730764</v>
      </c>
      <c r="BC10">
        <v>-3.0723067040673149</v>
      </c>
      <c r="BY10" t="str">
        <f>CHOOSE(MATCH("-1", _xlfn.TAKE(_xlfn.TEXTSPLIT(SUBSTITUTE(SUBSTITUTE(W10,"[",""),"]",""), ", "), 3), 0), "theta", "phi", "lambda")</f>
        <v>phi</v>
      </c>
    </row>
    <row r="11" spans="1:77" x14ac:dyDescent="0.3">
      <c r="A11" t="s">
        <v>122</v>
      </c>
      <c r="B11" t="s">
        <v>123</v>
      </c>
      <c r="C11">
        <v>2</v>
      </c>
      <c r="D11" t="s">
        <v>96</v>
      </c>
      <c r="E11" t="s">
        <v>80</v>
      </c>
      <c r="F11">
        <v>16590</v>
      </c>
      <c r="G11">
        <v>4.5</v>
      </c>
      <c r="H11" t="s">
        <v>81</v>
      </c>
      <c r="I11" t="s">
        <v>82</v>
      </c>
      <c r="J11">
        <v>5</v>
      </c>
      <c r="K11">
        <v>5</v>
      </c>
      <c r="L11" t="s">
        <v>83</v>
      </c>
      <c r="M11" t="s">
        <v>210</v>
      </c>
      <c r="N11" t="s">
        <v>211</v>
      </c>
      <c r="O11" t="s">
        <v>211</v>
      </c>
      <c r="P11" t="s">
        <v>84</v>
      </c>
      <c r="Q11" t="s">
        <v>102</v>
      </c>
      <c r="R11">
        <v>1</v>
      </c>
      <c r="S11" t="s">
        <v>86</v>
      </c>
      <c r="T11" t="s">
        <v>87</v>
      </c>
      <c r="U11" t="s">
        <v>88</v>
      </c>
      <c r="V11">
        <v>1</v>
      </c>
      <c r="W11" t="s">
        <v>103</v>
      </c>
      <c r="X11" t="s">
        <v>211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50</v>
      </c>
      <c r="AH11">
        <v>20</v>
      </c>
      <c r="AI11">
        <v>30</v>
      </c>
      <c r="AJ11">
        <v>5.7171847750843101E-2</v>
      </c>
      <c r="AK11">
        <v>7.6475000658915004E-3</v>
      </c>
      <c r="AL11">
        <v>0.89687828304850092</v>
      </c>
      <c r="AM11">
        <v>-6.1183232313559737</v>
      </c>
      <c r="AN11">
        <v>1.93556904337936E-2</v>
      </c>
      <c r="AO11">
        <v>0.85945266134549669</v>
      </c>
      <c r="AP11">
        <v>1.93556904337936E-2</v>
      </c>
      <c r="AQ11">
        <v>1.93556904337936E-2</v>
      </c>
      <c r="AR11">
        <v>0.85945266134549669</v>
      </c>
      <c r="AS11">
        <v>0.56724325439101397</v>
      </c>
      <c r="AT11">
        <v>-3.118919448886365</v>
      </c>
      <c r="AU11">
        <v>0.2</v>
      </c>
      <c r="AV11" t="s">
        <v>93</v>
      </c>
      <c r="AW11">
        <v>1.93556904337936E-2</v>
      </c>
      <c r="AX11">
        <v>0.85945266134549669</v>
      </c>
      <c r="AY11">
        <v>1.93556904337936E-2</v>
      </c>
      <c r="AZ11">
        <v>1.93556904337936E-2</v>
      </c>
      <c r="BA11">
        <v>0.85945266134549669</v>
      </c>
      <c r="BB11">
        <v>0.56724325439101397</v>
      </c>
      <c r="BC11">
        <v>-3.118919448886365</v>
      </c>
      <c r="BY11" t="str">
        <f>CHOOSE(MATCH("-1", _xlfn.TAKE(_xlfn.TEXTSPLIT(SUBSTITUTE(SUBSTITUTE(W11,"[",""),"]",""), ", "), 3), 0), "theta", "phi", "lambda")</f>
        <v>phi</v>
      </c>
    </row>
    <row r="12" spans="1:77" x14ac:dyDescent="0.3">
      <c r="A12" t="s">
        <v>124</v>
      </c>
      <c r="B12" t="s">
        <v>125</v>
      </c>
      <c r="C12">
        <v>2</v>
      </c>
      <c r="D12" t="s">
        <v>79</v>
      </c>
      <c r="E12" t="s">
        <v>80</v>
      </c>
      <c r="F12">
        <v>16590</v>
      </c>
      <c r="G12">
        <v>4.5</v>
      </c>
      <c r="H12" t="s">
        <v>81</v>
      </c>
      <c r="I12" t="s">
        <v>82</v>
      </c>
      <c r="J12">
        <v>5</v>
      </c>
      <c r="K12">
        <v>5</v>
      </c>
      <c r="L12" t="s">
        <v>83</v>
      </c>
      <c r="M12" t="s">
        <v>210</v>
      </c>
      <c r="N12" t="s">
        <v>211</v>
      </c>
      <c r="O12" t="s">
        <v>211</v>
      </c>
      <c r="P12" t="s">
        <v>84</v>
      </c>
      <c r="Q12" t="s">
        <v>107</v>
      </c>
      <c r="R12">
        <v>1</v>
      </c>
      <c r="S12" t="s">
        <v>86</v>
      </c>
      <c r="T12" t="s">
        <v>87</v>
      </c>
      <c r="U12" t="s">
        <v>88</v>
      </c>
      <c r="V12">
        <v>1</v>
      </c>
      <c r="W12" t="s">
        <v>108</v>
      </c>
      <c r="X12" t="s">
        <v>211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50</v>
      </c>
      <c r="AH12">
        <v>20</v>
      </c>
      <c r="AI12">
        <v>30</v>
      </c>
      <c r="AJ12">
        <v>5.4409025860473498E-2</v>
      </c>
      <c r="AK12">
        <v>2.0593836758858999E-3</v>
      </c>
      <c r="AL12">
        <v>0.97223050948813716</v>
      </c>
      <c r="AM12">
        <v>-3.225001755204624</v>
      </c>
      <c r="AN12">
        <v>3.7009503113680999E-3</v>
      </c>
      <c r="AO12">
        <v>0.97312631556417162</v>
      </c>
      <c r="AP12">
        <v>3.7009503113680999E-3</v>
      </c>
      <c r="AQ12">
        <v>3.7009503113680999E-3</v>
      </c>
      <c r="AR12">
        <v>0.97312631556417162</v>
      </c>
      <c r="AS12">
        <v>0.35529422376353198</v>
      </c>
      <c r="AT12">
        <v>-1.5798954452225551</v>
      </c>
      <c r="AU12">
        <v>0.2</v>
      </c>
      <c r="AV12" t="s">
        <v>93</v>
      </c>
      <c r="AW12">
        <v>3.7009503113680999E-3</v>
      </c>
      <c r="AX12">
        <v>0.97312631556417162</v>
      </c>
      <c r="AY12">
        <v>3.7009503113680999E-3</v>
      </c>
      <c r="AZ12">
        <v>3.7009503113680999E-3</v>
      </c>
      <c r="BA12">
        <v>0.97312631556417162</v>
      </c>
      <c r="BB12">
        <v>0.35529422376353198</v>
      </c>
      <c r="BC12">
        <v>-1.5798954452225551</v>
      </c>
      <c r="BY12" t="str">
        <f>CHOOSE(MATCH("-1", _xlfn.TAKE(_xlfn.TEXTSPLIT(SUBSTITUTE(SUBSTITUTE(W12,"[",""),"]",""), ", "), 3), 0), "theta", "phi", "lambda")</f>
        <v>theta</v>
      </c>
    </row>
    <row r="13" spans="1:77" x14ac:dyDescent="0.3">
      <c r="A13" t="s">
        <v>126</v>
      </c>
      <c r="B13" t="s">
        <v>127</v>
      </c>
      <c r="C13">
        <v>2</v>
      </c>
      <c r="D13" t="s">
        <v>79</v>
      </c>
      <c r="E13" t="s">
        <v>80</v>
      </c>
      <c r="F13">
        <v>16590</v>
      </c>
      <c r="G13">
        <v>4.5</v>
      </c>
      <c r="H13" t="s">
        <v>81</v>
      </c>
      <c r="I13" t="s">
        <v>82</v>
      </c>
      <c r="J13">
        <v>5</v>
      </c>
      <c r="K13">
        <v>5</v>
      </c>
      <c r="L13" t="s">
        <v>83</v>
      </c>
      <c r="M13" t="s">
        <v>210</v>
      </c>
      <c r="N13" t="s">
        <v>211</v>
      </c>
      <c r="O13" t="s">
        <v>211</v>
      </c>
      <c r="P13" t="s">
        <v>84</v>
      </c>
      <c r="Q13" t="s">
        <v>112</v>
      </c>
      <c r="R13">
        <v>1</v>
      </c>
      <c r="S13" t="s">
        <v>86</v>
      </c>
      <c r="T13" t="s">
        <v>87</v>
      </c>
      <c r="U13" t="s">
        <v>88</v>
      </c>
      <c r="V13">
        <v>1</v>
      </c>
      <c r="W13" t="s">
        <v>113</v>
      </c>
      <c r="X13" t="s">
        <v>211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50</v>
      </c>
      <c r="AH13">
        <v>20</v>
      </c>
      <c r="AI13">
        <v>30</v>
      </c>
      <c r="AJ13">
        <v>5.0194963805749997E-2</v>
      </c>
      <c r="AK13">
        <v>5.2899538507181999E-3</v>
      </c>
      <c r="AL13">
        <v>0.92866830742332662</v>
      </c>
      <c r="AM13">
        <v>-4.2744544161415456</v>
      </c>
      <c r="AN13">
        <v>8.9998274716991001E-3</v>
      </c>
      <c r="AO13">
        <v>0.93464961615171438</v>
      </c>
      <c r="AP13">
        <v>8.9998274716991001E-3</v>
      </c>
      <c r="AQ13">
        <v>8.9998274716991001E-3</v>
      </c>
      <c r="AR13">
        <v>0.93464961615171438</v>
      </c>
      <c r="AS13">
        <v>0.43684166438215211</v>
      </c>
      <c r="AT13">
        <v>-2.1720353015731528</v>
      </c>
      <c r="AU13">
        <v>0.2</v>
      </c>
      <c r="AV13" t="s">
        <v>93</v>
      </c>
      <c r="AW13">
        <v>8.9998274716991001E-3</v>
      </c>
      <c r="AX13">
        <v>0.93464961615171438</v>
      </c>
      <c r="AY13">
        <v>8.9998274716991001E-3</v>
      </c>
      <c r="AZ13">
        <v>8.9998274716991001E-3</v>
      </c>
      <c r="BA13">
        <v>0.93464961615171438</v>
      </c>
      <c r="BB13">
        <v>0.43684166438215211</v>
      </c>
      <c r="BC13">
        <v>-2.1720353015731528</v>
      </c>
      <c r="BY13" t="str">
        <f>CHOOSE(MATCH("-1", _xlfn.TAKE(_xlfn.TEXTSPLIT(SUBSTITUTE(SUBSTITUTE(W13,"[",""),"]",""), ", "), 3), 0), "theta", "phi", "lambda")</f>
        <v>theta</v>
      </c>
    </row>
    <row r="14" spans="1:77" x14ac:dyDescent="0.3">
      <c r="A14" t="s">
        <v>128</v>
      </c>
      <c r="B14" t="s">
        <v>129</v>
      </c>
      <c r="C14">
        <v>3</v>
      </c>
      <c r="D14" t="s">
        <v>79</v>
      </c>
      <c r="E14" t="s">
        <v>80</v>
      </c>
      <c r="F14">
        <v>16590</v>
      </c>
      <c r="G14">
        <v>4.5</v>
      </c>
      <c r="H14" t="s">
        <v>81</v>
      </c>
      <c r="I14" t="s">
        <v>82</v>
      </c>
      <c r="J14">
        <v>5</v>
      </c>
      <c r="K14">
        <v>5</v>
      </c>
      <c r="L14" t="s">
        <v>83</v>
      </c>
      <c r="M14" t="s">
        <v>210</v>
      </c>
      <c r="N14" t="s">
        <v>211</v>
      </c>
      <c r="O14" t="s">
        <v>211</v>
      </c>
      <c r="P14" t="s">
        <v>84</v>
      </c>
      <c r="Q14" t="s">
        <v>116</v>
      </c>
      <c r="R14">
        <v>1</v>
      </c>
      <c r="S14" t="s">
        <v>86</v>
      </c>
      <c r="T14" t="s">
        <v>87</v>
      </c>
      <c r="U14" t="s">
        <v>88</v>
      </c>
      <c r="V14">
        <v>1</v>
      </c>
      <c r="W14" t="s">
        <v>117</v>
      </c>
      <c r="X14" t="s">
        <v>211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50</v>
      </c>
      <c r="AH14">
        <v>20</v>
      </c>
      <c r="AI14">
        <v>30</v>
      </c>
      <c r="AJ14">
        <v>5.5017248535077501E-2</v>
      </c>
      <c r="AK14">
        <v>1.07919475055233E-2</v>
      </c>
      <c r="AL14">
        <v>0.85447739177099558</v>
      </c>
      <c r="AM14">
        <v>-1.926898384686843</v>
      </c>
      <c r="AN14">
        <v>2.5587909075263399E-2</v>
      </c>
      <c r="AO14">
        <v>0.81419869600813699</v>
      </c>
      <c r="AP14">
        <v>2.5587909075263399E-2</v>
      </c>
      <c r="AQ14">
        <v>2.5587909075263399E-2</v>
      </c>
      <c r="AR14">
        <v>0.81419869600813699</v>
      </c>
      <c r="AS14">
        <v>0.26938665550521868</v>
      </c>
      <c r="AT14">
        <v>-0.95609542474353681</v>
      </c>
      <c r="AU14">
        <v>0.2</v>
      </c>
      <c r="AV14" t="s">
        <v>93</v>
      </c>
      <c r="AW14">
        <v>2.5587909075263399E-2</v>
      </c>
      <c r="AX14">
        <v>0.81419869600813699</v>
      </c>
      <c r="AY14">
        <v>2.5587909075263399E-2</v>
      </c>
      <c r="AZ14">
        <v>2.5587909075263399E-2</v>
      </c>
      <c r="BA14">
        <v>0.81419869600813699</v>
      </c>
      <c r="BB14">
        <v>0.26938665550521868</v>
      </c>
      <c r="BC14">
        <v>-0.95609542474353681</v>
      </c>
      <c r="BY14" t="str">
        <f>CHOOSE(MATCH("-1", _xlfn.TAKE(_xlfn.TEXTSPLIT(SUBSTITUTE(SUBSTITUTE(W14,"[",""),"]",""), ", "), 3), 0), "theta", "phi", "lambda")</f>
        <v>lambda</v>
      </c>
    </row>
    <row r="15" spans="1:77" x14ac:dyDescent="0.3">
      <c r="A15" t="s">
        <v>130</v>
      </c>
      <c r="B15" t="s">
        <v>131</v>
      </c>
      <c r="C15">
        <v>3</v>
      </c>
      <c r="D15" t="s">
        <v>96</v>
      </c>
      <c r="E15" t="s">
        <v>80</v>
      </c>
      <c r="F15">
        <v>16590</v>
      </c>
      <c r="G15">
        <v>4.5</v>
      </c>
      <c r="H15" t="s">
        <v>81</v>
      </c>
      <c r="I15" t="s">
        <v>82</v>
      </c>
      <c r="J15">
        <v>5</v>
      </c>
      <c r="K15">
        <v>5</v>
      </c>
      <c r="L15" t="s">
        <v>83</v>
      </c>
      <c r="M15" t="s">
        <v>210</v>
      </c>
      <c r="N15" t="s">
        <v>211</v>
      </c>
      <c r="O15" t="s">
        <v>211</v>
      </c>
      <c r="P15" t="s">
        <v>84</v>
      </c>
      <c r="Q15" t="s">
        <v>97</v>
      </c>
      <c r="R15">
        <v>1</v>
      </c>
      <c r="S15" t="s">
        <v>86</v>
      </c>
      <c r="T15" t="s">
        <v>87</v>
      </c>
      <c r="U15" t="s">
        <v>88</v>
      </c>
      <c r="V15">
        <v>1</v>
      </c>
      <c r="W15" t="s">
        <v>98</v>
      </c>
      <c r="X15" t="s">
        <v>211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50</v>
      </c>
      <c r="AH15">
        <v>20</v>
      </c>
      <c r="AI15">
        <v>30</v>
      </c>
      <c r="AJ15">
        <v>8.5200045366279106E-2</v>
      </c>
      <c r="AK15">
        <v>2.21080177881453E-2</v>
      </c>
      <c r="AL15">
        <v>0.70188731833086127</v>
      </c>
      <c r="AM15">
        <v>-1.5909544567836229</v>
      </c>
      <c r="AN15">
        <v>5.3696447521268703E-2</v>
      </c>
      <c r="AO15">
        <v>0.61009436371542725</v>
      </c>
      <c r="AP15">
        <v>5.3696447521268703E-2</v>
      </c>
      <c r="AQ15">
        <v>5.3696447521268703E-2</v>
      </c>
      <c r="AR15">
        <v>0.61009436371542725</v>
      </c>
      <c r="AS15">
        <v>0.2409997797216813</v>
      </c>
      <c r="AT15">
        <v>-0.74997000350170828</v>
      </c>
      <c r="AU15">
        <v>0.2</v>
      </c>
      <c r="AV15" t="s">
        <v>93</v>
      </c>
      <c r="AW15">
        <v>5.3696447521268703E-2</v>
      </c>
      <c r="AX15">
        <v>0.61009436371542725</v>
      </c>
      <c r="AY15">
        <v>5.3696447521268703E-2</v>
      </c>
      <c r="AZ15">
        <v>5.3696447521268703E-2</v>
      </c>
      <c r="BA15">
        <v>0.61009436371542725</v>
      </c>
      <c r="BB15">
        <v>0.2409997797216813</v>
      </c>
      <c r="BC15">
        <v>-0.74997000350170828</v>
      </c>
      <c r="BY15" t="str">
        <f>CHOOSE(MATCH("-1", _xlfn.TAKE(_xlfn.TEXTSPLIT(SUBSTITUTE(SUBSTITUTE(W15,"[",""),"]",""), ", "), 3), 0), "theta", "phi", "lambda")</f>
        <v>lambda</v>
      </c>
    </row>
    <row r="16" spans="1:77" x14ac:dyDescent="0.3">
      <c r="A16" t="s">
        <v>132</v>
      </c>
      <c r="B16" t="s">
        <v>133</v>
      </c>
      <c r="C16">
        <v>3</v>
      </c>
      <c r="D16" t="s">
        <v>96</v>
      </c>
      <c r="E16" t="s">
        <v>80</v>
      </c>
      <c r="F16">
        <v>16590</v>
      </c>
      <c r="G16">
        <v>4.5</v>
      </c>
      <c r="H16" t="s">
        <v>81</v>
      </c>
      <c r="I16" t="s">
        <v>82</v>
      </c>
      <c r="J16">
        <v>5</v>
      </c>
      <c r="K16">
        <v>5</v>
      </c>
      <c r="L16" t="s">
        <v>83</v>
      </c>
      <c r="M16" t="s">
        <v>210</v>
      </c>
      <c r="N16" t="s">
        <v>211</v>
      </c>
      <c r="O16" t="s">
        <v>211</v>
      </c>
      <c r="P16" t="s">
        <v>84</v>
      </c>
      <c r="Q16" t="s">
        <v>85</v>
      </c>
      <c r="R16">
        <v>1</v>
      </c>
      <c r="S16" t="s">
        <v>86</v>
      </c>
      <c r="T16" t="s">
        <v>87</v>
      </c>
      <c r="U16" t="s">
        <v>88</v>
      </c>
      <c r="V16">
        <v>1</v>
      </c>
      <c r="W16" t="s">
        <v>89</v>
      </c>
      <c r="X16" t="s">
        <v>211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50</v>
      </c>
      <c r="AH16">
        <v>20</v>
      </c>
      <c r="AI16">
        <v>30</v>
      </c>
      <c r="AJ16">
        <v>6.5733973428768799E-2</v>
      </c>
      <c r="AK16">
        <v>7.8672651471376996E-3</v>
      </c>
      <c r="AL16">
        <v>0.8939148894808211</v>
      </c>
      <c r="AM16">
        <v>-6.403943227549588</v>
      </c>
      <c r="AN16">
        <v>1.54064007611975E-2</v>
      </c>
      <c r="AO16">
        <v>0.88812961063633655</v>
      </c>
      <c r="AP16">
        <v>1.54064007611975E-2</v>
      </c>
      <c r="AQ16">
        <v>1.54064007611975E-2</v>
      </c>
      <c r="AR16">
        <v>0.88812961063633655</v>
      </c>
      <c r="AS16">
        <v>0.59483969104880874</v>
      </c>
      <c r="AT16">
        <v>-3.319305260070287</v>
      </c>
      <c r="AU16">
        <v>0.2</v>
      </c>
      <c r="AV16" t="s">
        <v>93</v>
      </c>
      <c r="AW16">
        <v>1.54064007611975E-2</v>
      </c>
      <c r="AX16">
        <v>0.88812961063633655</v>
      </c>
      <c r="AY16">
        <v>1.54064007611975E-2</v>
      </c>
      <c r="AZ16">
        <v>1.54064007611975E-2</v>
      </c>
      <c r="BA16">
        <v>0.88812961063633655</v>
      </c>
      <c r="BB16">
        <v>0.59483969104880874</v>
      </c>
      <c r="BC16">
        <v>-3.319305260070287</v>
      </c>
      <c r="BY16" t="str">
        <f>CHOOSE(MATCH("-1", _xlfn.TAKE(_xlfn.TEXTSPLIT(SUBSTITUTE(SUBSTITUTE(W16,"[",""),"]",""), ", "), 3), 0), "theta", "phi", "lambda")</f>
        <v>phi</v>
      </c>
    </row>
    <row r="17" spans="1:77" x14ac:dyDescent="0.3">
      <c r="A17" t="s">
        <v>134</v>
      </c>
      <c r="B17" t="s">
        <v>135</v>
      </c>
      <c r="C17">
        <v>3</v>
      </c>
      <c r="D17" t="s">
        <v>96</v>
      </c>
      <c r="E17" t="s">
        <v>80</v>
      </c>
      <c r="F17">
        <v>16590</v>
      </c>
      <c r="G17">
        <v>4.5</v>
      </c>
      <c r="H17" t="s">
        <v>81</v>
      </c>
      <c r="I17" t="s">
        <v>82</v>
      </c>
      <c r="J17">
        <v>5</v>
      </c>
      <c r="K17">
        <v>5</v>
      </c>
      <c r="L17" t="s">
        <v>83</v>
      </c>
      <c r="M17" t="s">
        <v>210</v>
      </c>
      <c r="N17" t="s">
        <v>211</v>
      </c>
      <c r="O17" t="s">
        <v>211</v>
      </c>
      <c r="P17" t="s">
        <v>84</v>
      </c>
      <c r="Q17" t="s">
        <v>102</v>
      </c>
      <c r="R17">
        <v>1</v>
      </c>
      <c r="S17" t="s">
        <v>86</v>
      </c>
      <c r="T17" t="s">
        <v>87</v>
      </c>
      <c r="U17" t="s">
        <v>88</v>
      </c>
      <c r="V17">
        <v>1</v>
      </c>
      <c r="W17" t="s">
        <v>103</v>
      </c>
      <c r="X17" t="s">
        <v>211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50</v>
      </c>
      <c r="AH17">
        <v>20</v>
      </c>
      <c r="AI17">
        <v>30</v>
      </c>
      <c r="AJ17">
        <v>5.4259214064186399E-2</v>
      </c>
      <c r="AK17">
        <v>9.0782543341297005E-3</v>
      </c>
      <c r="AL17">
        <v>0.87758546377355129</v>
      </c>
      <c r="AM17">
        <v>-5.3654930177461324</v>
      </c>
      <c r="AN17">
        <v>2.1272780274163201E-2</v>
      </c>
      <c r="AO17">
        <v>0.8455321103867407</v>
      </c>
      <c r="AP17">
        <v>2.1272780274163201E-2</v>
      </c>
      <c r="AQ17">
        <v>2.1272780274163201E-2</v>
      </c>
      <c r="AR17">
        <v>0.8455321103867407</v>
      </c>
      <c r="AS17">
        <v>0.5668290467064736</v>
      </c>
      <c r="AT17">
        <v>-3.1159117655432409</v>
      </c>
      <c r="AU17">
        <v>0.2</v>
      </c>
      <c r="AV17" t="s">
        <v>93</v>
      </c>
      <c r="AW17">
        <v>2.1272780274163201E-2</v>
      </c>
      <c r="AX17">
        <v>0.8455321103867407</v>
      </c>
      <c r="AY17">
        <v>2.1272780274163201E-2</v>
      </c>
      <c r="AZ17">
        <v>2.1272780274163201E-2</v>
      </c>
      <c r="BA17">
        <v>0.8455321103867407</v>
      </c>
      <c r="BB17">
        <v>0.5668290467064736</v>
      </c>
      <c r="BC17">
        <v>-3.1159117655432409</v>
      </c>
      <c r="BY17" t="str">
        <f>CHOOSE(MATCH("-1", _xlfn.TAKE(_xlfn.TEXTSPLIT(SUBSTITUTE(SUBSTITUTE(W17,"[",""),"]",""), ", "), 3), 0), "theta", "phi", "lambda")</f>
        <v>phi</v>
      </c>
    </row>
    <row r="18" spans="1:77" x14ac:dyDescent="0.3">
      <c r="A18" t="s">
        <v>136</v>
      </c>
      <c r="B18" t="s">
        <v>137</v>
      </c>
      <c r="C18">
        <v>3</v>
      </c>
      <c r="D18" t="s">
        <v>79</v>
      </c>
      <c r="E18" t="s">
        <v>80</v>
      </c>
      <c r="F18">
        <v>16590</v>
      </c>
      <c r="G18">
        <v>4.5</v>
      </c>
      <c r="H18" t="s">
        <v>81</v>
      </c>
      <c r="I18" t="s">
        <v>82</v>
      </c>
      <c r="J18">
        <v>5</v>
      </c>
      <c r="K18">
        <v>5</v>
      </c>
      <c r="L18" t="s">
        <v>83</v>
      </c>
      <c r="M18" t="s">
        <v>210</v>
      </c>
      <c r="N18" t="s">
        <v>211</v>
      </c>
      <c r="O18" t="s">
        <v>211</v>
      </c>
      <c r="P18" t="s">
        <v>84</v>
      </c>
      <c r="Q18" t="s">
        <v>112</v>
      </c>
      <c r="R18">
        <v>1</v>
      </c>
      <c r="S18" t="s">
        <v>86</v>
      </c>
      <c r="T18" t="s">
        <v>87</v>
      </c>
      <c r="U18" t="s">
        <v>88</v>
      </c>
      <c r="V18">
        <v>1</v>
      </c>
      <c r="W18" t="s">
        <v>113</v>
      </c>
      <c r="X18" t="s">
        <v>211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50</v>
      </c>
      <c r="AH18">
        <v>20</v>
      </c>
      <c r="AI18">
        <v>30</v>
      </c>
      <c r="AJ18">
        <v>2.67619870139079E-2</v>
      </c>
      <c r="AK18">
        <v>2.6463098163750998E-3</v>
      </c>
      <c r="AL18">
        <v>0.96431618051664525</v>
      </c>
      <c r="AM18">
        <v>-2.020735331013237</v>
      </c>
      <c r="AN18">
        <v>4.9444545714894001E-3</v>
      </c>
      <c r="AO18">
        <v>0.96409686683624396</v>
      </c>
      <c r="AP18">
        <v>4.9444545714894001E-3</v>
      </c>
      <c r="AQ18">
        <v>4.9444545714894001E-3</v>
      </c>
      <c r="AR18">
        <v>0.96409686683624396</v>
      </c>
      <c r="AS18">
        <v>0.25692313941752781</v>
      </c>
      <c r="AT18">
        <v>-0.86559418313739034</v>
      </c>
      <c r="AU18">
        <v>0.2</v>
      </c>
      <c r="AV18" t="s">
        <v>93</v>
      </c>
      <c r="AW18">
        <v>4.9444545714894001E-3</v>
      </c>
      <c r="AX18">
        <v>0.96409686683624396</v>
      </c>
      <c r="AY18">
        <v>4.9444545714894001E-3</v>
      </c>
      <c r="AZ18">
        <v>4.9444545714894001E-3</v>
      </c>
      <c r="BA18">
        <v>0.96409686683624396</v>
      </c>
      <c r="BB18">
        <v>0.25692313941752781</v>
      </c>
      <c r="BC18">
        <v>-0.86559418313739034</v>
      </c>
      <c r="BY18" t="str">
        <f>CHOOSE(MATCH("-1", _xlfn.TAKE(_xlfn.TEXTSPLIT(SUBSTITUTE(SUBSTITUTE(W18,"[",""),"]",""), ", "), 3), 0), "theta", "phi", "lambda")</f>
        <v>theta</v>
      </c>
    </row>
    <row r="19" spans="1:77" x14ac:dyDescent="0.3">
      <c r="A19" t="s">
        <v>138</v>
      </c>
      <c r="B19" t="s">
        <v>139</v>
      </c>
      <c r="C19">
        <v>4</v>
      </c>
      <c r="D19" t="s">
        <v>96</v>
      </c>
      <c r="E19" t="s">
        <v>80</v>
      </c>
      <c r="F19">
        <v>16590</v>
      </c>
      <c r="G19">
        <v>4.5</v>
      </c>
      <c r="H19" t="s">
        <v>81</v>
      </c>
      <c r="I19" t="s">
        <v>82</v>
      </c>
      <c r="J19">
        <v>5</v>
      </c>
      <c r="K19">
        <v>5</v>
      </c>
      <c r="L19" t="s">
        <v>83</v>
      </c>
      <c r="M19" t="s">
        <v>210</v>
      </c>
      <c r="N19" t="s">
        <v>211</v>
      </c>
      <c r="O19" t="s">
        <v>211</v>
      </c>
      <c r="P19" t="s">
        <v>84</v>
      </c>
      <c r="Q19" t="s">
        <v>116</v>
      </c>
      <c r="R19">
        <v>1</v>
      </c>
      <c r="S19" t="s">
        <v>86</v>
      </c>
      <c r="T19" t="s">
        <v>87</v>
      </c>
      <c r="U19" t="s">
        <v>88</v>
      </c>
      <c r="V19">
        <v>1</v>
      </c>
      <c r="W19" t="s">
        <v>117</v>
      </c>
      <c r="X19" t="s">
        <v>211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50</v>
      </c>
      <c r="AH19">
        <v>20</v>
      </c>
      <c r="AI19">
        <v>30</v>
      </c>
      <c r="AJ19">
        <v>5.78066489011013E-2</v>
      </c>
      <c r="AK19">
        <v>8.6639202858959999E-3</v>
      </c>
      <c r="AL19">
        <v>0.88317249719325486</v>
      </c>
      <c r="AM19">
        <v>-2.979390494752959</v>
      </c>
      <c r="AN19">
        <v>1.1573620783028199E-2</v>
      </c>
      <c r="AO19">
        <v>0.91596054890343437</v>
      </c>
      <c r="AP19">
        <v>1.1573620783028199E-2</v>
      </c>
      <c r="AQ19">
        <v>1.1573620783028199E-2</v>
      </c>
      <c r="AR19">
        <v>0.91596054890343437</v>
      </c>
      <c r="AS19">
        <v>0.33778736216662231</v>
      </c>
      <c r="AT19">
        <v>-1.4527729943828549</v>
      </c>
      <c r="AU19">
        <v>0.2</v>
      </c>
      <c r="AV19" t="s">
        <v>93</v>
      </c>
      <c r="AW19">
        <v>1.1573620783028199E-2</v>
      </c>
      <c r="AX19">
        <v>0.91596054890343437</v>
      </c>
      <c r="AY19">
        <v>1.1573620783028199E-2</v>
      </c>
      <c r="AZ19">
        <v>1.1573620783028199E-2</v>
      </c>
      <c r="BA19">
        <v>0.91596054890343437</v>
      </c>
      <c r="BB19">
        <v>0.33778736216662231</v>
      </c>
      <c r="BC19">
        <v>-1.4527729943828549</v>
      </c>
      <c r="BY19" t="str">
        <f>CHOOSE(MATCH("-1", _xlfn.TAKE(_xlfn.TEXTSPLIT(SUBSTITUTE(SUBSTITUTE(W19,"[",""),"]",""), ", "), 3), 0), "theta", "phi", "lambda")</f>
        <v>lambda</v>
      </c>
    </row>
    <row r="20" spans="1:77" x14ac:dyDescent="0.3">
      <c r="A20" t="s">
        <v>140</v>
      </c>
      <c r="B20" t="s">
        <v>141</v>
      </c>
      <c r="C20">
        <v>4</v>
      </c>
      <c r="D20" t="s">
        <v>96</v>
      </c>
      <c r="E20" t="s">
        <v>80</v>
      </c>
      <c r="F20">
        <v>16590</v>
      </c>
      <c r="G20">
        <v>4.5</v>
      </c>
      <c r="H20" t="s">
        <v>81</v>
      </c>
      <c r="I20" t="s">
        <v>82</v>
      </c>
      <c r="J20">
        <v>5</v>
      </c>
      <c r="K20">
        <v>5</v>
      </c>
      <c r="L20" t="s">
        <v>83</v>
      </c>
      <c r="M20" t="s">
        <v>210</v>
      </c>
      <c r="N20" t="s">
        <v>211</v>
      </c>
      <c r="O20" t="s">
        <v>211</v>
      </c>
      <c r="P20" t="s">
        <v>84</v>
      </c>
      <c r="Q20" t="s">
        <v>97</v>
      </c>
      <c r="R20">
        <v>1</v>
      </c>
      <c r="S20" t="s">
        <v>86</v>
      </c>
      <c r="T20" t="s">
        <v>87</v>
      </c>
      <c r="U20" t="s">
        <v>88</v>
      </c>
      <c r="V20">
        <v>1</v>
      </c>
      <c r="W20" t="s">
        <v>98</v>
      </c>
      <c r="X20" t="s">
        <v>211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50</v>
      </c>
      <c r="AH20">
        <v>20</v>
      </c>
      <c r="AI20">
        <v>30</v>
      </c>
      <c r="AJ20">
        <v>5.7199536293765701E-2</v>
      </c>
      <c r="AK20">
        <v>1.21598314830397E-2</v>
      </c>
      <c r="AL20">
        <v>0.83603233872927452</v>
      </c>
      <c r="AM20">
        <v>-3.6802391747726579</v>
      </c>
      <c r="AN20">
        <v>2.4849394188784998E-2</v>
      </c>
      <c r="AO20">
        <v>0.81956126895309622</v>
      </c>
      <c r="AP20">
        <v>2.4849394188784998E-2</v>
      </c>
      <c r="AQ20">
        <v>2.4849394188784998E-2</v>
      </c>
      <c r="AR20">
        <v>0.81956126895309622</v>
      </c>
      <c r="AS20">
        <v>0.3912420157487993</v>
      </c>
      <c r="AT20">
        <v>-1.8409228940400839</v>
      </c>
      <c r="AU20">
        <v>0.2</v>
      </c>
      <c r="AV20" t="s">
        <v>93</v>
      </c>
      <c r="AW20">
        <v>2.4849394188784998E-2</v>
      </c>
      <c r="AX20">
        <v>0.81956126895309622</v>
      </c>
      <c r="AY20">
        <v>2.4849394188784998E-2</v>
      </c>
      <c r="AZ20">
        <v>2.4849394188784998E-2</v>
      </c>
      <c r="BA20">
        <v>0.81956126895309622</v>
      </c>
      <c r="BB20">
        <v>0.3912420157487993</v>
      </c>
      <c r="BC20">
        <v>-1.8409228940400839</v>
      </c>
      <c r="BY20" t="str">
        <f>CHOOSE(MATCH("-1", _xlfn.TAKE(_xlfn.TEXTSPLIT(SUBSTITUTE(SUBSTITUTE(W20,"[",""),"]",""), ", "), 3), 0), "theta", "phi", "lambda")</f>
        <v>lambda</v>
      </c>
    </row>
    <row r="21" spans="1:77" x14ac:dyDescent="0.3">
      <c r="A21" t="s">
        <v>142</v>
      </c>
      <c r="B21" t="s">
        <v>143</v>
      </c>
      <c r="C21">
        <v>4</v>
      </c>
      <c r="D21" t="s">
        <v>79</v>
      </c>
      <c r="E21" t="s">
        <v>80</v>
      </c>
      <c r="F21">
        <v>16590</v>
      </c>
      <c r="G21">
        <v>4.5</v>
      </c>
      <c r="H21" t="s">
        <v>81</v>
      </c>
      <c r="I21" t="s">
        <v>82</v>
      </c>
      <c r="J21">
        <v>5</v>
      </c>
      <c r="K21">
        <v>5</v>
      </c>
      <c r="L21" t="s">
        <v>83</v>
      </c>
      <c r="M21" t="s">
        <v>210</v>
      </c>
      <c r="N21" t="s">
        <v>211</v>
      </c>
      <c r="O21" t="s">
        <v>211</v>
      </c>
      <c r="P21" t="s">
        <v>84</v>
      </c>
      <c r="Q21" t="s">
        <v>85</v>
      </c>
      <c r="R21">
        <v>1</v>
      </c>
      <c r="S21" t="s">
        <v>86</v>
      </c>
      <c r="T21" t="s">
        <v>87</v>
      </c>
      <c r="U21" t="s">
        <v>88</v>
      </c>
      <c r="V21">
        <v>1</v>
      </c>
      <c r="W21" t="s">
        <v>89</v>
      </c>
      <c r="X21" t="s">
        <v>211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50</v>
      </c>
      <c r="AH21">
        <v>20</v>
      </c>
      <c r="AI21">
        <v>30</v>
      </c>
      <c r="AJ21">
        <v>6.8925807087228202E-2</v>
      </c>
      <c r="AK21">
        <v>1.3721784316036399E-2</v>
      </c>
      <c r="AL21">
        <v>0.81497038952390344</v>
      </c>
      <c r="AM21">
        <v>-0.3773681869260283</v>
      </c>
      <c r="AN21">
        <v>3.4897353667638298E-2</v>
      </c>
      <c r="AO21">
        <v>0.74660009154164642</v>
      </c>
      <c r="AP21">
        <v>3.4897353667638298E-2</v>
      </c>
      <c r="AQ21">
        <v>3.4897353667638298E-2</v>
      </c>
      <c r="AR21">
        <v>0.74660009154164642</v>
      </c>
      <c r="AS21">
        <v>0.15850949369052861</v>
      </c>
      <c r="AT21">
        <v>-0.15098387039610009</v>
      </c>
      <c r="AU21">
        <v>0.2</v>
      </c>
      <c r="AV21" t="s">
        <v>93</v>
      </c>
      <c r="AW21">
        <v>3.4897353667638298E-2</v>
      </c>
      <c r="AX21">
        <v>0.74660009154164642</v>
      </c>
      <c r="AY21">
        <v>3.4897353667638298E-2</v>
      </c>
      <c r="AZ21">
        <v>3.4897353667638298E-2</v>
      </c>
      <c r="BA21">
        <v>0.74660009154164642</v>
      </c>
      <c r="BB21">
        <v>0.15850949369052861</v>
      </c>
      <c r="BC21">
        <v>-0.15098387039610009</v>
      </c>
      <c r="BY21" t="str">
        <f>CHOOSE(MATCH("-1", _xlfn.TAKE(_xlfn.TEXTSPLIT(SUBSTITUTE(SUBSTITUTE(W21,"[",""),"]",""), ", "), 3), 0), "theta", "phi", "lambda")</f>
        <v>phi</v>
      </c>
    </row>
    <row r="22" spans="1:77" x14ac:dyDescent="0.3">
      <c r="A22" t="s">
        <v>144</v>
      </c>
      <c r="B22" t="s">
        <v>145</v>
      </c>
      <c r="C22">
        <v>4</v>
      </c>
      <c r="D22" t="s">
        <v>79</v>
      </c>
      <c r="E22" t="s">
        <v>80</v>
      </c>
      <c r="F22">
        <v>16590</v>
      </c>
      <c r="G22">
        <v>4.5</v>
      </c>
      <c r="H22" t="s">
        <v>81</v>
      </c>
      <c r="I22" t="s">
        <v>82</v>
      </c>
      <c r="J22">
        <v>5</v>
      </c>
      <c r="K22">
        <v>5</v>
      </c>
      <c r="L22" t="s">
        <v>83</v>
      </c>
      <c r="M22" t="s">
        <v>210</v>
      </c>
      <c r="N22" t="s">
        <v>211</v>
      </c>
      <c r="O22" t="s">
        <v>211</v>
      </c>
      <c r="P22" t="s">
        <v>84</v>
      </c>
      <c r="Q22" t="s">
        <v>102</v>
      </c>
      <c r="R22">
        <v>1</v>
      </c>
      <c r="S22" t="s">
        <v>86</v>
      </c>
      <c r="T22" t="s">
        <v>87</v>
      </c>
      <c r="U22" t="s">
        <v>88</v>
      </c>
      <c r="V22">
        <v>1</v>
      </c>
      <c r="W22" t="s">
        <v>103</v>
      </c>
      <c r="X22" t="s">
        <v>211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50</v>
      </c>
      <c r="AH22">
        <v>20</v>
      </c>
      <c r="AI22">
        <v>30</v>
      </c>
      <c r="AJ22">
        <v>4.1721321904571201E-2</v>
      </c>
      <c r="AK22">
        <v>7.1116363966016996E-3</v>
      </c>
      <c r="AL22">
        <v>0.90410406678867439</v>
      </c>
      <c r="AM22">
        <v>-4.4508715736486488</v>
      </c>
      <c r="AN22">
        <v>1.52751308105334E-2</v>
      </c>
      <c r="AO22">
        <v>0.88908280020476127</v>
      </c>
      <c r="AP22">
        <v>1.52751308105334E-2</v>
      </c>
      <c r="AQ22">
        <v>1.52751308105334E-2</v>
      </c>
      <c r="AR22">
        <v>0.88908280020476127</v>
      </c>
      <c r="AS22">
        <v>0.44542792035812118</v>
      </c>
      <c r="AT22">
        <v>-2.2343826216316418</v>
      </c>
      <c r="AU22">
        <v>0.2</v>
      </c>
      <c r="AV22" t="s">
        <v>93</v>
      </c>
      <c r="AW22">
        <v>1.52751308105334E-2</v>
      </c>
      <c r="AX22">
        <v>0.88908280020476127</v>
      </c>
      <c r="AY22">
        <v>1.52751308105334E-2</v>
      </c>
      <c r="AZ22">
        <v>1.52751308105334E-2</v>
      </c>
      <c r="BA22">
        <v>0.88908280020476127</v>
      </c>
      <c r="BB22">
        <v>0.44542792035812118</v>
      </c>
      <c r="BC22">
        <v>-2.2343826216316418</v>
      </c>
      <c r="BY22" t="str">
        <f>CHOOSE(MATCH("-1", _xlfn.TAKE(_xlfn.TEXTSPLIT(SUBSTITUTE(SUBSTITUTE(W22,"[",""),"]",""), ", "), 3), 0), "theta", "phi", "lambda")</f>
        <v>phi</v>
      </c>
    </row>
    <row r="23" spans="1:77" x14ac:dyDescent="0.3">
      <c r="A23" t="s">
        <v>146</v>
      </c>
      <c r="B23" t="s">
        <v>147</v>
      </c>
      <c r="C23">
        <v>4</v>
      </c>
      <c r="D23" t="s">
        <v>96</v>
      </c>
      <c r="E23" t="s">
        <v>80</v>
      </c>
      <c r="F23">
        <v>16590</v>
      </c>
      <c r="G23">
        <v>4.5</v>
      </c>
      <c r="H23" t="s">
        <v>81</v>
      </c>
      <c r="I23" t="s">
        <v>82</v>
      </c>
      <c r="J23">
        <v>5</v>
      </c>
      <c r="K23">
        <v>5</v>
      </c>
      <c r="L23" t="s">
        <v>83</v>
      </c>
      <c r="M23" t="s">
        <v>210</v>
      </c>
      <c r="N23" t="s">
        <v>211</v>
      </c>
      <c r="O23" t="s">
        <v>211</v>
      </c>
      <c r="P23" t="s">
        <v>84</v>
      </c>
      <c r="Q23" t="s">
        <v>107</v>
      </c>
      <c r="R23">
        <v>1</v>
      </c>
      <c r="S23" t="s">
        <v>86</v>
      </c>
      <c r="T23" t="s">
        <v>87</v>
      </c>
      <c r="U23" t="s">
        <v>88</v>
      </c>
      <c r="V23">
        <v>1</v>
      </c>
      <c r="W23" t="s">
        <v>108</v>
      </c>
      <c r="X23" t="s">
        <v>211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50</v>
      </c>
      <c r="AH23">
        <v>20</v>
      </c>
      <c r="AI23">
        <v>30</v>
      </c>
      <c r="AJ23">
        <v>3.71034780613166E-2</v>
      </c>
      <c r="AK23">
        <v>3.1577606183996998E-3</v>
      </c>
      <c r="AL23">
        <v>0.95741958890022583</v>
      </c>
      <c r="AM23">
        <v>-2.3574406668050001</v>
      </c>
      <c r="AN23">
        <v>3.9866886802030002E-3</v>
      </c>
      <c r="AO23">
        <v>0.97105148555856735</v>
      </c>
      <c r="AP23">
        <v>3.9866886802030002E-3</v>
      </c>
      <c r="AQ23">
        <v>3.9866886802030002E-3</v>
      </c>
      <c r="AR23">
        <v>0.97105148555856735</v>
      </c>
      <c r="AS23">
        <v>0.26167105349634678</v>
      </c>
      <c r="AT23">
        <v>-0.90007017820565083</v>
      </c>
      <c r="AU23">
        <v>0.2</v>
      </c>
      <c r="AV23" t="s">
        <v>93</v>
      </c>
      <c r="AW23">
        <v>3.9866886802030002E-3</v>
      </c>
      <c r="AX23">
        <v>0.97105148555856735</v>
      </c>
      <c r="AY23">
        <v>3.9866886802030002E-3</v>
      </c>
      <c r="AZ23">
        <v>3.9866886802030002E-3</v>
      </c>
      <c r="BA23">
        <v>0.97105148555856735</v>
      </c>
      <c r="BB23">
        <v>0.26167105349634678</v>
      </c>
      <c r="BC23">
        <v>-0.90007017820565083</v>
      </c>
      <c r="BY23" t="str">
        <f>CHOOSE(MATCH("-1", _xlfn.TAKE(_xlfn.TEXTSPLIT(SUBSTITUTE(SUBSTITUTE(W23,"[",""),"]",""), ", "), 3), 0), "theta", "phi", "lambda")</f>
        <v>theta</v>
      </c>
    </row>
    <row r="24" spans="1:77" x14ac:dyDescent="0.3">
      <c r="A24" t="s">
        <v>148</v>
      </c>
      <c r="B24" t="s">
        <v>149</v>
      </c>
      <c r="C24">
        <v>4</v>
      </c>
      <c r="D24" t="s">
        <v>96</v>
      </c>
      <c r="E24" t="s">
        <v>80</v>
      </c>
      <c r="F24">
        <v>16590</v>
      </c>
      <c r="G24">
        <v>4.5</v>
      </c>
      <c r="H24" t="s">
        <v>81</v>
      </c>
      <c r="I24" t="s">
        <v>82</v>
      </c>
      <c r="J24">
        <v>5</v>
      </c>
      <c r="K24">
        <v>5</v>
      </c>
      <c r="L24" t="s">
        <v>83</v>
      </c>
      <c r="M24" t="s">
        <v>210</v>
      </c>
      <c r="N24" t="s">
        <v>211</v>
      </c>
      <c r="O24" t="s">
        <v>211</v>
      </c>
      <c r="P24" t="s">
        <v>84</v>
      </c>
      <c r="Q24" t="s">
        <v>112</v>
      </c>
      <c r="R24">
        <v>1</v>
      </c>
      <c r="S24" t="s">
        <v>86</v>
      </c>
      <c r="T24" t="s">
        <v>87</v>
      </c>
      <c r="U24" t="s">
        <v>88</v>
      </c>
      <c r="V24">
        <v>1</v>
      </c>
      <c r="W24" t="s">
        <v>113</v>
      </c>
      <c r="X24" t="s">
        <v>211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50</v>
      </c>
      <c r="AH24">
        <v>20</v>
      </c>
      <c r="AI24">
        <v>30</v>
      </c>
      <c r="AJ24">
        <v>3.1519097878912897E-2</v>
      </c>
      <c r="AK24">
        <v>4.4824463222737998E-3</v>
      </c>
      <c r="AL24">
        <v>0.93955703734381979</v>
      </c>
      <c r="AM24">
        <v>-4.1848272183227646</v>
      </c>
      <c r="AN24">
        <v>8.3128831487221996E-3</v>
      </c>
      <c r="AO24">
        <v>0.93963772012705282</v>
      </c>
      <c r="AP24">
        <v>8.3128831487221996E-3</v>
      </c>
      <c r="AQ24">
        <v>8.3128831487221996E-3</v>
      </c>
      <c r="AR24">
        <v>0.93963772012705282</v>
      </c>
      <c r="AS24">
        <v>0.4260765382453886</v>
      </c>
      <c r="AT24">
        <v>-2.093866566958523</v>
      </c>
      <c r="AU24">
        <v>0.2</v>
      </c>
      <c r="AV24" t="s">
        <v>93</v>
      </c>
      <c r="AW24">
        <v>8.3128831487221996E-3</v>
      </c>
      <c r="AX24">
        <v>0.93963772012705282</v>
      </c>
      <c r="AY24">
        <v>8.3128831487221996E-3</v>
      </c>
      <c r="AZ24">
        <v>8.3128831487221996E-3</v>
      </c>
      <c r="BA24">
        <v>0.93963772012705282</v>
      </c>
      <c r="BB24">
        <v>0.4260765382453886</v>
      </c>
      <c r="BC24">
        <v>-2.093866566958523</v>
      </c>
      <c r="BY24" t="str">
        <f>CHOOSE(MATCH("-1", _xlfn.TAKE(_xlfn.TEXTSPLIT(SUBSTITUTE(SUBSTITUTE(W24,"[",""),"]",""), ", "), 3), 0), "theta", "phi", "lambda")</f>
        <v>theta</v>
      </c>
    </row>
    <row r="25" spans="1:77" x14ac:dyDescent="0.3">
      <c r="A25" t="s">
        <v>150</v>
      </c>
      <c r="B25" t="s">
        <v>151</v>
      </c>
      <c r="C25">
        <v>5</v>
      </c>
      <c r="D25" t="s">
        <v>96</v>
      </c>
      <c r="E25" t="s">
        <v>80</v>
      </c>
      <c r="F25">
        <v>16590</v>
      </c>
      <c r="G25">
        <v>4.5</v>
      </c>
      <c r="H25" t="s">
        <v>81</v>
      </c>
      <c r="I25" t="s">
        <v>82</v>
      </c>
      <c r="J25">
        <v>5</v>
      </c>
      <c r="K25">
        <v>5</v>
      </c>
      <c r="L25" t="s">
        <v>83</v>
      </c>
      <c r="M25" t="s">
        <v>210</v>
      </c>
      <c r="N25" t="s">
        <v>211</v>
      </c>
      <c r="O25" t="s">
        <v>211</v>
      </c>
      <c r="P25" t="s">
        <v>84</v>
      </c>
      <c r="Q25" t="s">
        <v>116</v>
      </c>
      <c r="R25">
        <v>1</v>
      </c>
      <c r="S25" t="s">
        <v>86</v>
      </c>
      <c r="T25" t="s">
        <v>87</v>
      </c>
      <c r="U25" t="s">
        <v>88</v>
      </c>
      <c r="V25">
        <v>1</v>
      </c>
      <c r="W25" t="s">
        <v>117</v>
      </c>
      <c r="X25" t="s">
        <v>211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50</v>
      </c>
      <c r="AH25">
        <v>20</v>
      </c>
      <c r="AI25">
        <v>30</v>
      </c>
      <c r="AJ25">
        <v>5.0196923442521697E-2</v>
      </c>
      <c r="AK25">
        <v>1.2200807290801301E-2</v>
      </c>
      <c r="AL25">
        <v>0.83547980579518555</v>
      </c>
      <c r="AM25">
        <v>-3.1038976805017779</v>
      </c>
      <c r="AN25">
        <v>1.9881665676896899E-2</v>
      </c>
      <c r="AO25">
        <v>0.85563340101638685</v>
      </c>
      <c r="AP25">
        <v>1.9881665676896899E-2</v>
      </c>
      <c r="AQ25">
        <v>1.9881665676896899E-2</v>
      </c>
      <c r="AR25">
        <v>0.85563340101638685</v>
      </c>
      <c r="AS25">
        <v>0.3518643226906637</v>
      </c>
      <c r="AT25">
        <v>-1.554989928713663</v>
      </c>
      <c r="AU25">
        <v>0.2</v>
      </c>
      <c r="AV25" t="s">
        <v>93</v>
      </c>
      <c r="AW25">
        <v>1.9881665676896899E-2</v>
      </c>
      <c r="AX25">
        <v>0.85563340101638685</v>
      </c>
      <c r="AY25">
        <v>1.9881665676896899E-2</v>
      </c>
      <c r="AZ25">
        <v>1.9881665676896899E-2</v>
      </c>
      <c r="BA25">
        <v>0.85563340101638685</v>
      </c>
      <c r="BB25">
        <v>0.3518643226906637</v>
      </c>
      <c r="BC25">
        <v>-1.554989928713663</v>
      </c>
      <c r="BY25" t="str">
        <f>CHOOSE(MATCH("-1", _xlfn.TAKE(_xlfn.TEXTSPLIT(SUBSTITUTE(SUBSTITUTE(W25,"[",""),"]",""), ", "), 3), 0), "theta", "phi", "lambda")</f>
        <v>lambda</v>
      </c>
    </row>
    <row r="26" spans="1:77" x14ac:dyDescent="0.3">
      <c r="A26" t="s">
        <v>152</v>
      </c>
      <c r="B26" t="s">
        <v>153</v>
      </c>
      <c r="C26">
        <v>5</v>
      </c>
      <c r="D26" t="s">
        <v>79</v>
      </c>
      <c r="E26" t="s">
        <v>80</v>
      </c>
      <c r="F26">
        <v>16590</v>
      </c>
      <c r="G26">
        <v>4.5</v>
      </c>
      <c r="H26" t="s">
        <v>81</v>
      </c>
      <c r="I26" t="s">
        <v>82</v>
      </c>
      <c r="J26">
        <v>5</v>
      </c>
      <c r="K26">
        <v>5</v>
      </c>
      <c r="L26" t="s">
        <v>83</v>
      </c>
      <c r="M26" t="s">
        <v>210</v>
      </c>
      <c r="N26" t="s">
        <v>211</v>
      </c>
      <c r="O26" t="s">
        <v>211</v>
      </c>
      <c r="P26" t="s">
        <v>84</v>
      </c>
      <c r="Q26" t="s">
        <v>97</v>
      </c>
      <c r="R26">
        <v>1</v>
      </c>
      <c r="S26" t="s">
        <v>86</v>
      </c>
      <c r="T26" t="s">
        <v>87</v>
      </c>
      <c r="U26" t="s">
        <v>88</v>
      </c>
      <c r="V26">
        <v>1</v>
      </c>
      <c r="W26" t="s">
        <v>98</v>
      </c>
      <c r="X26" t="s">
        <v>211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50</v>
      </c>
      <c r="AH26">
        <v>20</v>
      </c>
      <c r="AI26">
        <v>30</v>
      </c>
      <c r="AJ26">
        <v>5.88544808159773E-2</v>
      </c>
      <c r="AK26">
        <v>6.6297643559473998E-3</v>
      </c>
      <c r="AL26">
        <v>0.91060180745621877</v>
      </c>
      <c r="AM26">
        <v>-3.3179672862364642</v>
      </c>
      <c r="AN26">
        <v>1.3489828045643901E-2</v>
      </c>
      <c r="AO26">
        <v>0.90204640660030755</v>
      </c>
      <c r="AP26">
        <v>1.3489828045643901E-2</v>
      </c>
      <c r="AQ26">
        <v>1.3489828045643901E-2</v>
      </c>
      <c r="AR26">
        <v>0.90204640660030755</v>
      </c>
      <c r="AS26">
        <v>0.36557718208270468</v>
      </c>
      <c r="AT26">
        <v>-1.6545630180584801</v>
      </c>
      <c r="AU26">
        <v>0.2</v>
      </c>
      <c r="AV26" t="s">
        <v>93</v>
      </c>
      <c r="AW26">
        <v>1.3489828045643901E-2</v>
      </c>
      <c r="AX26">
        <v>0.90204640660030755</v>
      </c>
      <c r="AY26">
        <v>1.3489828045643901E-2</v>
      </c>
      <c r="AZ26">
        <v>1.3489828045643901E-2</v>
      </c>
      <c r="BA26">
        <v>0.90204640660030755</v>
      </c>
      <c r="BB26">
        <v>0.36557718208270468</v>
      </c>
      <c r="BC26">
        <v>-1.6545630180584801</v>
      </c>
      <c r="BY26" t="str">
        <f>CHOOSE(MATCH("-1", _xlfn.TAKE(_xlfn.TEXTSPLIT(SUBSTITUTE(SUBSTITUTE(W26,"[",""),"]",""), ", "), 3), 0), "theta", "phi", "lambda")</f>
        <v>lambda</v>
      </c>
    </row>
    <row r="27" spans="1:77" x14ac:dyDescent="0.3">
      <c r="A27" t="s">
        <v>154</v>
      </c>
      <c r="B27" t="s">
        <v>155</v>
      </c>
      <c r="C27">
        <v>5</v>
      </c>
      <c r="D27" t="s">
        <v>96</v>
      </c>
      <c r="E27" t="s">
        <v>80</v>
      </c>
      <c r="F27">
        <v>16590</v>
      </c>
      <c r="G27">
        <v>4.5</v>
      </c>
      <c r="H27" t="s">
        <v>81</v>
      </c>
      <c r="I27" t="s">
        <v>82</v>
      </c>
      <c r="J27">
        <v>5</v>
      </c>
      <c r="K27">
        <v>5</v>
      </c>
      <c r="L27" t="s">
        <v>83</v>
      </c>
      <c r="M27" t="s">
        <v>210</v>
      </c>
      <c r="N27" t="s">
        <v>211</v>
      </c>
      <c r="O27" t="s">
        <v>211</v>
      </c>
      <c r="P27" t="s">
        <v>84</v>
      </c>
      <c r="Q27" t="s">
        <v>85</v>
      </c>
      <c r="R27">
        <v>1</v>
      </c>
      <c r="S27" t="s">
        <v>86</v>
      </c>
      <c r="T27" t="s">
        <v>87</v>
      </c>
      <c r="U27" t="s">
        <v>88</v>
      </c>
      <c r="V27">
        <v>1</v>
      </c>
      <c r="W27" t="s">
        <v>89</v>
      </c>
      <c r="X27" t="s">
        <v>211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50</v>
      </c>
      <c r="AH27">
        <v>20</v>
      </c>
      <c r="AI27">
        <v>30</v>
      </c>
      <c r="AJ27">
        <v>6.2184568859306302E-2</v>
      </c>
      <c r="AK27">
        <v>9.0167292883473003E-3</v>
      </c>
      <c r="AL27">
        <v>0.8784150902268939</v>
      </c>
      <c r="AM27">
        <v>-4.4494700101308817</v>
      </c>
      <c r="AN27">
        <v>2.1002065340660899E-2</v>
      </c>
      <c r="AO27">
        <v>0.84749785082715123</v>
      </c>
      <c r="AP27">
        <v>2.1002065340660899E-2</v>
      </c>
      <c r="AQ27">
        <v>2.1002065340660899E-2</v>
      </c>
      <c r="AR27">
        <v>0.84749785082715123</v>
      </c>
      <c r="AS27">
        <v>0.44787766496017578</v>
      </c>
      <c r="AT27">
        <v>-2.2521709348607519</v>
      </c>
      <c r="AU27">
        <v>0.2</v>
      </c>
      <c r="AV27" t="s">
        <v>93</v>
      </c>
      <c r="AW27">
        <v>2.1002065340660899E-2</v>
      </c>
      <c r="AX27">
        <v>0.84749785082715123</v>
      </c>
      <c r="AY27">
        <v>2.1002065340660899E-2</v>
      </c>
      <c r="AZ27">
        <v>2.1002065340660899E-2</v>
      </c>
      <c r="BA27">
        <v>0.84749785082715123</v>
      </c>
      <c r="BB27">
        <v>0.44787766496017578</v>
      </c>
      <c r="BC27">
        <v>-2.2521709348607519</v>
      </c>
      <c r="BY27" t="str">
        <f>CHOOSE(MATCH("-1", _xlfn.TAKE(_xlfn.TEXTSPLIT(SUBSTITUTE(SUBSTITUTE(W27,"[",""),"]",""), ", "), 3), 0), "theta", "phi", "lambda")</f>
        <v>phi</v>
      </c>
    </row>
    <row r="28" spans="1:77" x14ac:dyDescent="0.3">
      <c r="A28" t="s">
        <v>156</v>
      </c>
      <c r="B28" t="s">
        <v>157</v>
      </c>
      <c r="C28">
        <v>5</v>
      </c>
      <c r="D28" t="s">
        <v>96</v>
      </c>
      <c r="E28" t="s">
        <v>80</v>
      </c>
      <c r="F28">
        <v>16590</v>
      </c>
      <c r="G28">
        <v>4.5</v>
      </c>
      <c r="H28" t="s">
        <v>81</v>
      </c>
      <c r="I28" t="s">
        <v>82</v>
      </c>
      <c r="J28">
        <v>5</v>
      </c>
      <c r="K28">
        <v>5</v>
      </c>
      <c r="L28" t="s">
        <v>83</v>
      </c>
      <c r="M28" t="s">
        <v>210</v>
      </c>
      <c r="N28" t="s">
        <v>211</v>
      </c>
      <c r="O28" t="s">
        <v>211</v>
      </c>
      <c r="P28" t="s">
        <v>84</v>
      </c>
      <c r="Q28" t="s">
        <v>102</v>
      </c>
      <c r="R28">
        <v>1</v>
      </c>
      <c r="S28" t="s">
        <v>86</v>
      </c>
      <c r="T28" t="s">
        <v>87</v>
      </c>
      <c r="U28" t="s">
        <v>88</v>
      </c>
      <c r="V28">
        <v>1</v>
      </c>
      <c r="W28" t="s">
        <v>103</v>
      </c>
      <c r="X28" t="s">
        <v>211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50</v>
      </c>
      <c r="AH28">
        <v>20</v>
      </c>
      <c r="AI28">
        <v>30</v>
      </c>
      <c r="AJ28">
        <v>4.6944063251730603E-2</v>
      </c>
      <c r="AK28">
        <v>7.0865749347328996E-3</v>
      </c>
      <c r="AL28">
        <v>0.90444200480174419</v>
      </c>
      <c r="AM28">
        <v>-10.57829376760848</v>
      </c>
      <c r="AN28">
        <v>1.53008537723746E-2</v>
      </c>
      <c r="AO28">
        <v>0.88889601824307074</v>
      </c>
      <c r="AP28">
        <v>1.53008537723746E-2</v>
      </c>
      <c r="AQ28">
        <v>1.53008537723746E-2</v>
      </c>
      <c r="AR28">
        <v>0.88889601824307074</v>
      </c>
      <c r="AS28">
        <v>0.88291400672705245</v>
      </c>
      <c r="AT28">
        <v>-5.4110972600397194</v>
      </c>
      <c r="AU28">
        <v>0.2</v>
      </c>
      <c r="AV28" t="s">
        <v>93</v>
      </c>
      <c r="AW28">
        <v>1.53008537723746E-2</v>
      </c>
      <c r="AX28">
        <v>0.88889601824307074</v>
      </c>
      <c r="AY28">
        <v>1.53008537723746E-2</v>
      </c>
      <c r="AZ28">
        <v>1.53008537723746E-2</v>
      </c>
      <c r="BA28">
        <v>0.88889601824307074</v>
      </c>
      <c r="BB28">
        <v>0.88291400672705245</v>
      </c>
      <c r="BC28">
        <v>-5.4110972600397194</v>
      </c>
      <c r="BY28" t="str">
        <f>CHOOSE(MATCH("-1", _xlfn.TAKE(_xlfn.TEXTSPLIT(SUBSTITUTE(SUBSTITUTE(W28,"[",""),"]",""), ", "), 3), 0), "theta", "phi", "lambda")</f>
        <v>phi</v>
      </c>
    </row>
    <row r="29" spans="1:77" x14ac:dyDescent="0.3">
      <c r="A29" t="s">
        <v>158</v>
      </c>
      <c r="B29" t="s">
        <v>159</v>
      </c>
      <c r="C29">
        <v>5</v>
      </c>
      <c r="D29" t="s">
        <v>96</v>
      </c>
      <c r="E29" t="s">
        <v>80</v>
      </c>
      <c r="F29">
        <v>16590</v>
      </c>
      <c r="G29">
        <v>4.5</v>
      </c>
      <c r="H29" t="s">
        <v>81</v>
      </c>
      <c r="I29" t="s">
        <v>82</v>
      </c>
      <c r="J29">
        <v>5</v>
      </c>
      <c r="K29">
        <v>5</v>
      </c>
      <c r="L29" t="s">
        <v>83</v>
      </c>
      <c r="M29" t="s">
        <v>210</v>
      </c>
      <c r="N29" t="s">
        <v>211</v>
      </c>
      <c r="O29" t="s">
        <v>211</v>
      </c>
      <c r="P29" t="s">
        <v>84</v>
      </c>
      <c r="Q29" t="s">
        <v>112</v>
      </c>
      <c r="R29">
        <v>1</v>
      </c>
      <c r="S29" t="s">
        <v>86</v>
      </c>
      <c r="T29" t="s">
        <v>87</v>
      </c>
      <c r="U29" t="s">
        <v>88</v>
      </c>
      <c r="V29">
        <v>1</v>
      </c>
      <c r="W29" t="s">
        <v>113</v>
      </c>
      <c r="X29" t="s">
        <v>211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50</v>
      </c>
      <c r="AH29">
        <v>20</v>
      </c>
      <c r="AI29">
        <v>30</v>
      </c>
      <c r="AJ29">
        <v>3.3359146521690503E-2</v>
      </c>
      <c r="AK29">
        <v>3.2071934111955998E-3</v>
      </c>
      <c r="AL29">
        <v>0.9567530188547344</v>
      </c>
      <c r="AM29">
        <v>-3.723661111432599</v>
      </c>
      <c r="AN29">
        <v>3.9668280052121002E-3</v>
      </c>
      <c r="AO29">
        <v>0.97119569973803044</v>
      </c>
      <c r="AP29">
        <v>3.9668280052121002E-3</v>
      </c>
      <c r="AQ29">
        <v>3.9668280052121002E-3</v>
      </c>
      <c r="AR29">
        <v>0.97119569973803044</v>
      </c>
      <c r="AS29">
        <v>0.39193362545159749</v>
      </c>
      <c r="AT29">
        <v>-1.845944874705068</v>
      </c>
      <c r="AU29">
        <v>0.2</v>
      </c>
      <c r="AV29" t="s">
        <v>93</v>
      </c>
      <c r="AW29">
        <v>3.9668280052121002E-3</v>
      </c>
      <c r="AX29">
        <v>0.97119569973803044</v>
      </c>
      <c r="AY29">
        <v>3.9668280052121002E-3</v>
      </c>
      <c r="AZ29">
        <v>3.9668280052121002E-3</v>
      </c>
      <c r="BA29">
        <v>0.97119569973803044</v>
      </c>
      <c r="BB29">
        <v>0.39193362545159749</v>
      </c>
      <c r="BC29">
        <v>-1.845944874705068</v>
      </c>
      <c r="BY29" t="str">
        <f>CHOOSE(MATCH("-1", _xlfn.TAKE(_xlfn.TEXTSPLIT(SUBSTITUTE(SUBSTITUTE(W29,"[",""),"]",""), ", "), 3), 0), "theta", "phi", "lambda")</f>
        <v>theta</v>
      </c>
    </row>
    <row r="30" spans="1:77" x14ac:dyDescent="0.3">
      <c r="A30" t="s">
        <v>160</v>
      </c>
      <c r="B30" t="s">
        <v>161</v>
      </c>
      <c r="C30">
        <v>6</v>
      </c>
      <c r="D30" t="s">
        <v>96</v>
      </c>
      <c r="E30" t="s">
        <v>80</v>
      </c>
      <c r="F30">
        <v>16590</v>
      </c>
      <c r="G30">
        <v>4.5</v>
      </c>
      <c r="H30" t="s">
        <v>81</v>
      </c>
      <c r="I30" t="s">
        <v>82</v>
      </c>
      <c r="J30">
        <v>5</v>
      </c>
      <c r="K30">
        <v>5</v>
      </c>
      <c r="L30" t="s">
        <v>83</v>
      </c>
      <c r="M30" t="s">
        <v>210</v>
      </c>
      <c r="N30" t="s">
        <v>211</v>
      </c>
      <c r="O30" t="s">
        <v>211</v>
      </c>
      <c r="P30" t="s">
        <v>84</v>
      </c>
      <c r="Q30" t="s">
        <v>116</v>
      </c>
      <c r="R30">
        <v>1</v>
      </c>
      <c r="S30" t="s">
        <v>86</v>
      </c>
      <c r="T30" t="s">
        <v>87</v>
      </c>
      <c r="U30" t="s">
        <v>88</v>
      </c>
      <c r="V30">
        <v>1</v>
      </c>
      <c r="W30" t="s">
        <v>117</v>
      </c>
      <c r="X30" t="s">
        <v>211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50</v>
      </c>
      <c r="AH30">
        <v>20</v>
      </c>
      <c r="AI30">
        <v>30</v>
      </c>
      <c r="AJ30">
        <v>5.6433138155235901E-2</v>
      </c>
      <c r="AK30">
        <v>1.0729479728576E-2</v>
      </c>
      <c r="AL30">
        <v>0.85531973035974351</v>
      </c>
      <c r="AM30">
        <v>-1.1480594199516609</v>
      </c>
      <c r="AN30">
        <v>2.5013300277087699E-2</v>
      </c>
      <c r="AO30">
        <v>0.81837109882824299</v>
      </c>
      <c r="AP30">
        <v>2.5013300277087699E-2</v>
      </c>
      <c r="AQ30">
        <v>2.5013300277087699E-2</v>
      </c>
      <c r="AR30">
        <v>0.81837109882824299</v>
      </c>
      <c r="AS30">
        <v>0.21223521934247749</v>
      </c>
      <c r="AT30">
        <v>-0.54110210376481982</v>
      </c>
      <c r="AU30">
        <v>0.2</v>
      </c>
      <c r="AV30" t="s">
        <v>93</v>
      </c>
      <c r="AW30">
        <v>2.5013300277087699E-2</v>
      </c>
      <c r="AX30">
        <v>0.81837109882824299</v>
      </c>
      <c r="AY30">
        <v>2.5013300277087699E-2</v>
      </c>
      <c r="AZ30">
        <v>2.5013300277087699E-2</v>
      </c>
      <c r="BA30">
        <v>0.81837109882824299</v>
      </c>
      <c r="BB30">
        <v>0.21223521934247749</v>
      </c>
      <c r="BC30">
        <v>-0.54110210376481982</v>
      </c>
      <c r="BY30" t="str">
        <f>CHOOSE(MATCH("-1", _xlfn.TAKE(_xlfn.TEXTSPLIT(SUBSTITUTE(SUBSTITUTE(W30,"[",""),"]",""), ", "), 3), 0), "theta", "phi", "lambda")</f>
        <v>lambda</v>
      </c>
    </row>
    <row r="31" spans="1:77" x14ac:dyDescent="0.3">
      <c r="A31" t="s">
        <v>162</v>
      </c>
      <c r="B31" t="s">
        <v>163</v>
      </c>
      <c r="C31">
        <v>6</v>
      </c>
      <c r="D31" t="s">
        <v>79</v>
      </c>
      <c r="E31" t="s">
        <v>80</v>
      </c>
      <c r="F31">
        <v>16590</v>
      </c>
      <c r="G31">
        <v>4.5</v>
      </c>
      <c r="H31" t="s">
        <v>81</v>
      </c>
      <c r="I31" t="s">
        <v>82</v>
      </c>
      <c r="J31">
        <v>5</v>
      </c>
      <c r="K31">
        <v>5</v>
      </c>
      <c r="L31" t="s">
        <v>83</v>
      </c>
      <c r="M31" t="s">
        <v>210</v>
      </c>
      <c r="N31" t="s">
        <v>211</v>
      </c>
      <c r="O31" t="s">
        <v>211</v>
      </c>
      <c r="P31" t="s">
        <v>84</v>
      </c>
      <c r="Q31" t="s">
        <v>97</v>
      </c>
      <c r="R31">
        <v>1</v>
      </c>
      <c r="S31" t="s">
        <v>86</v>
      </c>
      <c r="T31" t="s">
        <v>87</v>
      </c>
      <c r="U31" t="s">
        <v>88</v>
      </c>
      <c r="V31">
        <v>1</v>
      </c>
      <c r="W31" t="s">
        <v>98</v>
      </c>
      <c r="X31" t="s">
        <v>211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50</v>
      </c>
      <c r="AH31">
        <v>20</v>
      </c>
      <c r="AI31">
        <v>30</v>
      </c>
      <c r="AJ31">
        <v>5.72518538401392E-2</v>
      </c>
      <c r="AK31">
        <v>1.0126790148221E-2</v>
      </c>
      <c r="AL31">
        <v>0.86344661937961775</v>
      </c>
      <c r="AM31">
        <v>-2.0505058973203041</v>
      </c>
      <c r="AN31">
        <v>2.93135339030813E-2</v>
      </c>
      <c r="AO31">
        <v>0.78714584267975651</v>
      </c>
      <c r="AP31">
        <v>2.93135339030813E-2</v>
      </c>
      <c r="AQ31">
        <v>2.93135339030813E-2</v>
      </c>
      <c r="AR31">
        <v>0.78714584267975651</v>
      </c>
      <c r="AS31">
        <v>0.27489212474458002</v>
      </c>
      <c r="AT31">
        <v>-0.9960722497647464</v>
      </c>
      <c r="AU31">
        <v>0.2</v>
      </c>
      <c r="AV31" t="s">
        <v>93</v>
      </c>
      <c r="AW31">
        <v>2.93135339030813E-2</v>
      </c>
      <c r="AX31">
        <v>0.78714584267975651</v>
      </c>
      <c r="AY31">
        <v>2.93135339030813E-2</v>
      </c>
      <c r="AZ31">
        <v>2.93135339030813E-2</v>
      </c>
      <c r="BA31">
        <v>0.78714584267975651</v>
      </c>
      <c r="BB31">
        <v>0.27489212474458002</v>
      </c>
      <c r="BC31">
        <v>-0.9960722497647464</v>
      </c>
      <c r="BY31" t="str">
        <f>CHOOSE(MATCH("-1", _xlfn.TAKE(_xlfn.TEXTSPLIT(SUBSTITUTE(SUBSTITUTE(W31,"[",""),"]",""), ", "), 3), 0), "theta", "phi", "lambda")</f>
        <v>lambda</v>
      </c>
    </row>
    <row r="32" spans="1:77" x14ac:dyDescent="0.3">
      <c r="A32" t="s">
        <v>164</v>
      </c>
      <c r="B32" t="s">
        <v>165</v>
      </c>
      <c r="C32">
        <v>5</v>
      </c>
      <c r="D32" t="s">
        <v>96</v>
      </c>
      <c r="E32" t="s">
        <v>80</v>
      </c>
      <c r="F32">
        <v>16590</v>
      </c>
      <c r="G32">
        <v>4.5</v>
      </c>
      <c r="H32" t="s">
        <v>81</v>
      </c>
      <c r="I32" t="s">
        <v>82</v>
      </c>
      <c r="J32">
        <v>5</v>
      </c>
      <c r="K32">
        <v>5</v>
      </c>
      <c r="L32" t="s">
        <v>83</v>
      </c>
      <c r="M32" t="s">
        <v>210</v>
      </c>
      <c r="N32" t="s">
        <v>211</v>
      </c>
      <c r="O32" t="s">
        <v>211</v>
      </c>
      <c r="P32" t="s">
        <v>84</v>
      </c>
      <c r="Q32" t="s">
        <v>107</v>
      </c>
      <c r="R32">
        <v>1</v>
      </c>
      <c r="S32" t="s">
        <v>86</v>
      </c>
      <c r="T32" t="s">
        <v>87</v>
      </c>
      <c r="U32" t="s">
        <v>88</v>
      </c>
      <c r="V32">
        <v>1</v>
      </c>
      <c r="W32" t="s">
        <v>108</v>
      </c>
      <c r="X32" t="s">
        <v>211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50</v>
      </c>
      <c r="AH32">
        <v>20</v>
      </c>
      <c r="AI32">
        <v>30</v>
      </c>
      <c r="AJ32">
        <v>2.7456384916299099E-2</v>
      </c>
      <c r="AK32">
        <v>2.5444583449679E-3</v>
      </c>
      <c r="AL32">
        <v>0.96568958339537103</v>
      </c>
      <c r="AM32">
        <v>-3.2446142049114099</v>
      </c>
      <c r="AN32">
        <v>3.4410505273454002E-3</v>
      </c>
      <c r="AO32">
        <v>0.97501352403582064</v>
      </c>
      <c r="AP32">
        <v>3.4410505273454002E-3</v>
      </c>
      <c r="AQ32">
        <v>3.4410505273454002E-3</v>
      </c>
      <c r="AR32">
        <v>0.97501352403582064</v>
      </c>
      <c r="AS32">
        <v>0.34855790352521387</v>
      </c>
      <c r="AT32">
        <v>-1.530981050509614</v>
      </c>
      <c r="AU32">
        <v>0.2</v>
      </c>
      <c r="AV32" t="s">
        <v>93</v>
      </c>
      <c r="AW32">
        <v>3.4410505273454002E-3</v>
      </c>
      <c r="AX32">
        <v>0.97501352403582064</v>
      </c>
      <c r="AY32">
        <v>3.4410505273454002E-3</v>
      </c>
      <c r="AZ32">
        <v>3.4410505273454002E-3</v>
      </c>
      <c r="BA32">
        <v>0.97501352403582064</v>
      </c>
      <c r="BB32">
        <v>0.34855790352521387</v>
      </c>
      <c r="BC32">
        <v>-1.530981050509614</v>
      </c>
      <c r="BY32" t="str">
        <f>CHOOSE(MATCH("-1", _xlfn.TAKE(_xlfn.TEXTSPLIT(SUBSTITUTE(SUBSTITUTE(W32,"[",""),"]",""), ", "), 3), 0), "theta", "phi", "lambda")</f>
        <v>theta</v>
      </c>
    </row>
    <row r="33" spans="1:77" x14ac:dyDescent="0.3">
      <c r="A33" t="s">
        <v>166</v>
      </c>
      <c r="B33" t="s">
        <v>167</v>
      </c>
      <c r="C33">
        <v>6</v>
      </c>
      <c r="D33" t="s">
        <v>96</v>
      </c>
      <c r="E33" t="s">
        <v>80</v>
      </c>
      <c r="F33">
        <v>16590</v>
      </c>
      <c r="G33">
        <v>4.5</v>
      </c>
      <c r="H33" t="s">
        <v>81</v>
      </c>
      <c r="I33" t="s">
        <v>82</v>
      </c>
      <c r="J33">
        <v>5</v>
      </c>
      <c r="K33">
        <v>5</v>
      </c>
      <c r="L33" t="s">
        <v>83</v>
      </c>
      <c r="M33" t="s">
        <v>210</v>
      </c>
      <c r="N33" t="s">
        <v>211</v>
      </c>
      <c r="O33" t="s">
        <v>211</v>
      </c>
      <c r="P33" t="s">
        <v>84</v>
      </c>
      <c r="Q33" t="s">
        <v>85</v>
      </c>
      <c r="R33">
        <v>1</v>
      </c>
      <c r="S33" t="s">
        <v>86</v>
      </c>
      <c r="T33" t="s">
        <v>87</v>
      </c>
      <c r="U33" t="s">
        <v>88</v>
      </c>
      <c r="V33">
        <v>1</v>
      </c>
      <c r="W33" t="s">
        <v>89</v>
      </c>
      <c r="X33" t="s">
        <v>211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50</v>
      </c>
      <c r="AH33">
        <v>20</v>
      </c>
      <c r="AI33">
        <v>30</v>
      </c>
      <c r="AJ33">
        <v>5.4676241338796998E-2</v>
      </c>
      <c r="AK33">
        <v>8.4127303549591994E-3</v>
      </c>
      <c r="AL33">
        <v>0.88655963504692537</v>
      </c>
      <c r="AM33">
        <v>-4.4281600771372549</v>
      </c>
      <c r="AN33">
        <v>1.9957802222043599E-2</v>
      </c>
      <c r="AO33">
        <v>0.85508055125722549</v>
      </c>
      <c r="AP33">
        <v>1.9957802222043599E-2</v>
      </c>
      <c r="AQ33">
        <v>1.9957802222043599E-2</v>
      </c>
      <c r="AR33">
        <v>0.85508055125722549</v>
      </c>
      <c r="AS33">
        <v>0.45470149254884579</v>
      </c>
      <c r="AT33">
        <v>-2.301720746080623</v>
      </c>
      <c r="AU33">
        <v>0.2</v>
      </c>
      <c r="AV33" t="s">
        <v>93</v>
      </c>
      <c r="AW33">
        <v>1.9957802222043599E-2</v>
      </c>
      <c r="AX33">
        <v>0.85508055125722549</v>
      </c>
      <c r="AY33">
        <v>1.9957802222043599E-2</v>
      </c>
      <c r="AZ33">
        <v>1.9957802222043599E-2</v>
      </c>
      <c r="BA33">
        <v>0.85508055125722549</v>
      </c>
      <c r="BB33">
        <v>0.45470149254884579</v>
      </c>
      <c r="BC33">
        <v>-2.301720746080623</v>
      </c>
      <c r="BY33" t="str">
        <f>CHOOSE(MATCH("-1", _xlfn.TAKE(_xlfn.TEXTSPLIT(SUBSTITUTE(SUBSTITUTE(W33,"[",""),"]",""), ", "), 3), 0), "theta", "phi", "lambda")</f>
        <v>phi</v>
      </c>
    </row>
    <row r="34" spans="1:77" x14ac:dyDescent="0.3">
      <c r="A34" t="s">
        <v>168</v>
      </c>
      <c r="B34" t="s">
        <v>169</v>
      </c>
      <c r="C34">
        <v>6</v>
      </c>
      <c r="D34" t="s">
        <v>79</v>
      </c>
      <c r="E34" t="s">
        <v>80</v>
      </c>
      <c r="F34">
        <v>16590</v>
      </c>
      <c r="G34">
        <v>4.5</v>
      </c>
      <c r="H34" t="s">
        <v>81</v>
      </c>
      <c r="I34" t="s">
        <v>82</v>
      </c>
      <c r="J34">
        <v>5</v>
      </c>
      <c r="K34">
        <v>5</v>
      </c>
      <c r="L34" t="s">
        <v>83</v>
      </c>
      <c r="M34" t="s">
        <v>210</v>
      </c>
      <c r="N34" t="s">
        <v>211</v>
      </c>
      <c r="O34" t="s">
        <v>211</v>
      </c>
      <c r="P34" t="s">
        <v>84</v>
      </c>
      <c r="Q34" t="s">
        <v>102</v>
      </c>
      <c r="R34">
        <v>1</v>
      </c>
      <c r="S34" t="s">
        <v>86</v>
      </c>
      <c r="T34" t="s">
        <v>87</v>
      </c>
      <c r="U34" t="s">
        <v>88</v>
      </c>
      <c r="V34">
        <v>1</v>
      </c>
      <c r="W34" t="s">
        <v>103</v>
      </c>
      <c r="X34" t="s">
        <v>211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50</v>
      </c>
      <c r="AH34">
        <v>20</v>
      </c>
      <c r="AI34">
        <v>30</v>
      </c>
      <c r="AJ34">
        <v>6.6894539677885306E-2</v>
      </c>
      <c r="AK34">
        <v>1.65820278106295E-2</v>
      </c>
      <c r="AL34">
        <v>0.77640180926624347</v>
      </c>
      <c r="AM34">
        <v>-2.6646216383946091</v>
      </c>
      <c r="AN34">
        <v>3.25092371675288E-2</v>
      </c>
      <c r="AO34">
        <v>0.76394090506805434</v>
      </c>
      <c r="AP34">
        <v>3.25092371675288E-2</v>
      </c>
      <c r="AQ34">
        <v>3.25092371675288E-2</v>
      </c>
      <c r="AR34">
        <v>0.76394090506805434</v>
      </c>
      <c r="AS34">
        <v>0.31735607035627678</v>
      </c>
      <c r="AT34">
        <v>-1.304415399026605</v>
      </c>
      <c r="AU34">
        <v>0.2</v>
      </c>
      <c r="AV34" t="s">
        <v>93</v>
      </c>
      <c r="AW34">
        <v>3.25092371675288E-2</v>
      </c>
      <c r="AX34">
        <v>0.76394090506805434</v>
      </c>
      <c r="AY34">
        <v>3.25092371675288E-2</v>
      </c>
      <c r="AZ34">
        <v>3.25092371675288E-2</v>
      </c>
      <c r="BA34">
        <v>0.76394090506805434</v>
      </c>
      <c r="BB34">
        <v>0.31735607035627678</v>
      </c>
      <c r="BC34">
        <v>-1.304415399026605</v>
      </c>
      <c r="BY34" t="str">
        <f>CHOOSE(MATCH("-1", _xlfn.TAKE(_xlfn.TEXTSPLIT(SUBSTITUTE(SUBSTITUTE(W34,"[",""),"]",""), ", "), 3), 0), "theta", "phi", "lambda")</f>
        <v>phi</v>
      </c>
    </row>
    <row r="35" spans="1:77" x14ac:dyDescent="0.3">
      <c r="A35" t="s">
        <v>170</v>
      </c>
      <c r="B35" t="s">
        <v>171</v>
      </c>
      <c r="C35">
        <v>6</v>
      </c>
      <c r="D35" t="s">
        <v>79</v>
      </c>
      <c r="E35" t="s">
        <v>80</v>
      </c>
      <c r="F35">
        <v>16590</v>
      </c>
      <c r="G35">
        <v>4.5</v>
      </c>
      <c r="H35" t="s">
        <v>81</v>
      </c>
      <c r="I35" t="s">
        <v>82</v>
      </c>
      <c r="J35">
        <v>5</v>
      </c>
      <c r="K35">
        <v>5</v>
      </c>
      <c r="L35" t="s">
        <v>83</v>
      </c>
      <c r="M35" t="s">
        <v>210</v>
      </c>
      <c r="N35" t="s">
        <v>211</v>
      </c>
      <c r="O35" t="s">
        <v>211</v>
      </c>
      <c r="P35" t="s">
        <v>84</v>
      </c>
      <c r="Q35" t="s">
        <v>107</v>
      </c>
      <c r="R35">
        <v>1</v>
      </c>
      <c r="S35" t="s">
        <v>86</v>
      </c>
      <c r="T35" t="s">
        <v>87</v>
      </c>
      <c r="U35" t="s">
        <v>88</v>
      </c>
      <c r="V35">
        <v>1</v>
      </c>
      <c r="W35" t="s">
        <v>108</v>
      </c>
      <c r="X35" t="s">
        <v>211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50</v>
      </c>
      <c r="AH35">
        <v>20</v>
      </c>
      <c r="AI35">
        <v>30</v>
      </c>
      <c r="AJ35">
        <v>3.70703797372674E-2</v>
      </c>
      <c r="AK35">
        <v>3.8373171739921998E-3</v>
      </c>
      <c r="AL35">
        <v>0.94825619718076759</v>
      </c>
      <c r="AM35">
        <v>-1.594665550791873</v>
      </c>
      <c r="AN35">
        <v>8.6158343033695007E-3</v>
      </c>
      <c r="AO35">
        <v>0.93743790304103203</v>
      </c>
      <c r="AP35">
        <v>8.6158343033695007E-3</v>
      </c>
      <c r="AQ35">
        <v>8.6158343033695007E-3</v>
      </c>
      <c r="AR35">
        <v>0.93743790304103203</v>
      </c>
      <c r="AS35">
        <v>0.2356078134592286</v>
      </c>
      <c r="AT35">
        <v>-0.71081735684749825</v>
      </c>
      <c r="AU35">
        <v>0.2</v>
      </c>
      <c r="AV35" t="s">
        <v>93</v>
      </c>
      <c r="AW35">
        <v>8.6158343033695007E-3</v>
      </c>
      <c r="AX35">
        <v>0.93743790304103203</v>
      </c>
      <c r="AY35">
        <v>8.6158343033695007E-3</v>
      </c>
      <c r="AZ35">
        <v>8.6158343033695007E-3</v>
      </c>
      <c r="BA35">
        <v>0.93743790304103203</v>
      </c>
      <c r="BB35">
        <v>0.2356078134592286</v>
      </c>
      <c r="BC35">
        <v>-0.71081735684749825</v>
      </c>
      <c r="BY35" t="str">
        <f>CHOOSE(MATCH("-1", _xlfn.TAKE(_xlfn.TEXTSPLIT(SUBSTITUTE(SUBSTITUTE(W35,"[",""),"]",""), ", "), 3), 0), "theta", "phi", "lambda")</f>
        <v>theta</v>
      </c>
    </row>
    <row r="36" spans="1:77" x14ac:dyDescent="0.3">
      <c r="A36" t="s">
        <v>172</v>
      </c>
      <c r="B36" t="s">
        <v>173</v>
      </c>
      <c r="C36">
        <v>6</v>
      </c>
      <c r="D36" t="s">
        <v>96</v>
      </c>
      <c r="E36" t="s">
        <v>80</v>
      </c>
      <c r="F36">
        <v>16590</v>
      </c>
      <c r="G36">
        <v>4.5</v>
      </c>
      <c r="H36" t="s">
        <v>81</v>
      </c>
      <c r="I36" t="s">
        <v>82</v>
      </c>
      <c r="J36">
        <v>5</v>
      </c>
      <c r="K36">
        <v>5</v>
      </c>
      <c r="L36" t="s">
        <v>83</v>
      </c>
      <c r="M36" t="s">
        <v>210</v>
      </c>
      <c r="N36" t="s">
        <v>211</v>
      </c>
      <c r="O36" t="s">
        <v>211</v>
      </c>
      <c r="P36" t="s">
        <v>84</v>
      </c>
      <c r="Q36" t="s">
        <v>112</v>
      </c>
      <c r="R36">
        <v>1</v>
      </c>
      <c r="S36" t="s">
        <v>86</v>
      </c>
      <c r="T36" t="s">
        <v>87</v>
      </c>
      <c r="U36" t="s">
        <v>88</v>
      </c>
      <c r="V36">
        <v>1</v>
      </c>
      <c r="W36" t="s">
        <v>113</v>
      </c>
      <c r="X36" t="s">
        <v>211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50</v>
      </c>
      <c r="AH36">
        <v>20</v>
      </c>
      <c r="AI36">
        <v>30</v>
      </c>
      <c r="AJ36">
        <v>2.9821245100800201E-2</v>
      </c>
      <c r="AK36">
        <v>3.6260064706485E-3</v>
      </c>
      <c r="AL36">
        <v>0.95110558879257301</v>
      </c>
      <c r="AM36">
        <v>-2.4823730864187681</v>
      </c>
      <c r="AN36">
        <v>5.6209694794970002E-3</v>
      </c>
      <c r="AO36">
        <v>0.95918449389838378</v>
      </c>
      <c r="AP36">
        <v>5.6209694794970002E-3</v>
      </c>
      <c r="AQ36">
        <v>5.6209694794970002E-3</v>
      </c>
      <c r="AR36">
        <v>0.95918449389838378</v>
      </c>
      <c r="AS36">
        <v>0.29536999046906831</v>
      </c>
      <c r="AT36">
        <v>-1.144768031955814</v>
      </c>
      <c r="AU36">
        <v>0.2</v>
      </c>
      <c r="AV36" t="s">
        <v>93</v>
      </c>
      <c r="AW36">
        <v>5.6209694794970002E-3</v>
      </c>
      <c r="AX36">
        <v>0.95918449389838378</v>
      </c>
      <c r="AY36">
        <v>5.6209694794970002E-3</v>
      </c>
      <c r="AZ36">
        <v>5.6209694794970002E-3</v>
      </c>
      <c r="BA36">
        <v>0.95918449389838378</v>
      </c>
      <c r="BB36">
        <v>0.29536999046906831</v>
      </c>
      <c r="BC36">
        <v>-1.144768031955814</v>
      </c>
      <c r="BY36" t="str">
        <f>CHOOSE(MATCH("-1", _xlfn.TAKE(_xlfn.TEXTSPLIT(SUBSTITUTE(SUBSTITUTE(W36,"[",""),"]",""), ", "), 3), 0), "theta", "phi", "lambda")</f>
        <v>theta</v>
      </c>
    </row>
    <row r="37" spans="1:77" x14ac:dyDescent="0.3">
      <c r="A37" t="s">
        <v>174</v>
      </c>
      <c r="B37" t="s">
        <v>175</v>
      </c>
      <c r="C37">
        <v>7</v>
      </c>
      <c r="D37" t="s">
        <v>79</v>
      </c>
      <c r="E37" t="s">
        <v>80</v>
      </c>
      <c r="F37">
        <v>16590</v>
      </c>
      <c r="G37">
        <v>4.5</v>
      </c>
      <c r="H37" t="s">
        <v>81</v>
      </c>
      <c r="I37" t="s">
        <v>82</v>
      </c>
      <c r="J37">
        <v>5</v>
      </c>
      <c r="K37">
        <v>5</v>
      </c>
      <c r="L37" t="s">
        <v>83</v>
      </c>
      <c r="M37" t="s">
        <v>210</v>
      </c>
      <c r="N37" t="s">
        <v>211</v>
      </c>
      <c r="O37" t="s">
        <v>211</v>
      </c>
      <c r="P37" t="s">
        <v>84</v>
      </c>
      <c r="Q37" t="s">
        <v>116</v>
      </c>
      <c r="R37">
        <v>1</v>
      </c>
      <c r="S37" t="s">
        <v>86</v>
      </c>
      <c r="T37" t="s">
        <v>87</v>
      </c>
      <c r="U37" t="s">
        <v>88</v>
      </c>
      <c r="V37">
        <v>1</v>
      </c>
      <c r="W37" t="s">
        <v>117</v>
      </c>
      <c r="X37" t="s">
        <v>211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50</v>
      </c>
      <c r="AH37">
        <v>20</v>
      </c>
      <c r="AI37">
        <v>30</v>
      </c>
      <c r="AJ37">
        <v>6.0631302469387797E-2</v>
      </c>
      <c r="AK37">
        <v>1.16215991870799E-2</v>
      </c>
      <c r="AL37">
        <v>0.84329006190677025</v>
      </c>
      <c r="AM37">
        <v>-1.5282417682833569</v>
      </c>
      <c r="AN37">
        <v>2.51503419845794E-2</v>
      </c>
      <c r="AO37">
        <v>0.81737599884260725</v>
      </c>
      <c r="AP37">
        <v>2.51503419845794E-2</v>
      </c>
      <c r="AQ37">
        <v>2.51503419845794E-2</v>
      </c>
      <c r="AR37">
        <v>0.81737599884260725</v>
      </c>
      <c r="AS37">
        <v>0.24320735335676061</v>
      </c>
      <c r="AT37">
        <v>-0.76599984239355834</v>
      </c>
      <c r="AU37">
        <v>0.2</v>
      </c>
      <c r="AV37" t="s">
        <v>93</v>
      </c>
      <c r="AW37">
        <v>2.51503419845794E-2</v>
      </c>
      <c r="AX37">
        <v>0.81737599884260725</v>
      </c>
      <c r="AY37">
        <v>2.51503419845794E-2</v>
      </c>
      <c r="AZ37">
        <v>2.51503419845794E-2</v>
      </c>
      <c r="BA37">
        <v>0.81737599884260725</v>
      </c>
      <c r="BB37">
        <v>0.24320735335676061</v>
      </c>
      <c r="BC37">
        <v>-0.76599984239355834</v>
      </c>
      <c r="BY37" t="str">
        <f>CHOOSE(MATCH("-1", _xlfn.TAKE(_xlfn.TEXTSPLIT(SUBSTITUTE(SUBSTITUTE(W37,"[",""),"]",""), ", "), 3), 0), "theta", "phi", "lambda")</f>
        <v>lambda</v>
      </c>
    </row>
    <row r="38" spans="1:77" x14ac:dyDescent="0.3">
      <c r="A38" t="s">
        <v>176</v>
      </c>
      <c r="B38" t="s">
        <v>177</v>
      </c>
      <c r="C38">
        <v>7</v>
      </c>
      <c r="D38" t="s">
        <v>96</v>
      </c>
      <c r="E38" t="s">
        <v>80</v>
      </c>
      <c r="F38">
        <v>16590</v>
      </c>
      <c r="G38">
        <v>4.5</v>
      </c>
      <c r="H38" t="s">
        <v>81</v>
      </c>
      <c r="I38" t="s">
        <v>82</v>
      </c>
      <c r="J38">
        <v>5</v>
      </c>
      <c r="K38">
        <v>5</v>
      </c>
      <c r="L38" t="s">
        <v>83</v>
      </c>
      <c r="M38" t="s">
        <v>210</v>
      </c>
      <c r="N38" t="s">
        <v>211</v>
      </c>
      <c r="O38" t="s">
        <v>211</v>
      </c>
      <c r="P38" t="s">
        <v>84</v>
      </c>
      <c r="Q38" t="s">
        <v>97</v>
      </c>
      <c r="R38">
        <v>1</v>
      </c>
      <c r="S38" t="s">
        <v>86</v>
      </c>
      <c r="T38" t="s">
        <v>87</v>
      </c>
      <c r="U38" t="s">
        <v>88</v>
      </c>
      <c r="V38">
        <v>1</v>
      </c>
      <c r="W38" t="s">
        <v>98</v>
      </c>
      <c r="X38" t="s">
        <v>211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50</v>
      </c>
      <c r="AH38">
        <v>20</v>
      </c>
      <c r="AI38">
        <v>30</v>
      </c>
      <c r="AJ38">
        <v>7.2169101162565003E-2</v>
      </c>
      <c r="AK38">
        <v>1.0322668803032901E-2</v>
      </c>
      <c r="AL38">
        <v>0.86080531921298709</v>
      </c>
      <c r="AM38">
        <v>-1.3001383263407591</v>
      </c>
      <c r="AN38">
        <v>2.3603528526093299E-2</v>
      </c>
      <c r="AO38">
        <v>0.82860786451688118</v>
      </c>
      <c r="AP38">
        <v>2.3603528526093299E-2</v>
      </c>
      <c r="AQ38">
        <v>2.3603528526093299E-2</v>
      </c>
      <c r="AR38">
        <v>0.82860786451688118</v>
      </c>
      <c r="AS38">
        <v>0.22311574950612939</v>
      </c>
      <c r="AT38">
        <v>-0.62010882082728092</v>
      </c>
      <c r="AU38">
        <v>0.2</v>
      </c>
      <c r="AV38" t="s">
        <v>93</v>
      </c>
      <c r="AW38">
        <v>2.3603528526093299E-2</v>
      </c>
      <c r="AX38">
        <v>0.82860786451688118</v>
      </c>
      <c r="AY38">
        <v>2.3603528526093299E-2</v>
      </c>
      <c r="AZ38">
        <v>2.3603528526093299E-2</v>
      </c>
      <c r="BA38">
        <v>0.82860786451688118</v>
      </c>
      <c r="BB38">
        <v>0.22311574950612939</v>
      </c>
      <c r="BC38">
        <v>-0.62010882082728092</v>
      </c>
      <c r="BY38" t="str">
        <f>CHOOSE(MATCH("-1", _xlfn.TAKE(_xlfn.TEXTSPLIT(SUBSTITUTE(SUBSTITUTE(W38,"[",""),"]",""), ", "), 3), 0), "theta", "phi", "lambda")</f>
        <v>lambda</v>
      </c>
    </row>
    <row r="39" spans="1:77" x14ac:dyDescent="0.3">
      <c r="A39" t="s">
        <v>178</v>
      </c>
      <c r="B39" t="s">
        <v>179</v>
      </c>
      <c r="C39">
        <v>7</v>
      </c>
      <c r="D39" t="s">
        <v>79</v>
      </c>
      <c r="E39" t="s">
        <v>80</v>
      </c>
      <c r="F39">
        <v>16590</v>
      </c>
      <c r="G39">
        <v>4.5</v>
      </c>
      <c r="H39" t="s">
        <v>81</v>
      </c>
      <c r="I39" t="s">
        <v>82</v>
      </c>
      <c r="J39">
        <v>5</v>
      </c>
      <c r="K39">
        <v>5</v>
      </c>
      <c r="L39" t="s">
        <v>83</v>
      </c>
      <c r="M39" t="s">
        <v>210</v>
      </c>
      <c r="N39" t="s">
        <v>211</v>
      </c>
      <c r="O39" t="s">
        <v>211</v>
      </c>
      <c r="P39" t="s">
        <v>84</v>
      </c>
      <c r="Q39" t="s">
        <v>85</v>
      </c>
      <c r="R39">
        <v>1</v>
      </c>
      <c r="S39" t="s">
        <v>86</v>
      </c>
      <c r="T39" t="s">
        <v>87</v>
      </c>
      <c r="U39" t="s">
        <v>88</v>
      </c>
      <c r="V39">
        <v>1</v>
      </c>
      <c r="W39" t="s">
        <v>89</v>
      </c>
      <c r="X39" t="s">
        <v>211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50</v>
      </c>
      <c r="AH39">
        <v>20</v>
      </c>
      <c r="AI39">
        <v>30</v>
      </c>
      <c r="AJ39">
        <v>4.8092543491686797E-2</v>
      </c>
      <c r="AK39">
        <v>5.2022583189278004E-3</v>
      </c>
      <c r="AL39">
        <v>0.92985082638106242</v>
      </c>
      <c r="AM39">
        <v>-1.162035446229408</v>
      </c>
      <c r="AN39">
        <v>1.7109828453392598E-2</v>
      </c>
      <c r="AO39">
        <v>0.87576052312962527</v>
      </c>
      <c r="AP39">
        <v>1.7109828453392598E-2</v>
      </c>
      <c r="AQ39">
        <v>1.7109828453392598E-2</v>
      </c>
      <c r="AR39">
        <v>0.87576052312962527</v>
      </c>
      <c r="AS39">
        <v>0.2161580371323987</v>
      </c>
      <c r="AT39">
        <v>-0.56958683296039303</v>
      </c>
      <c r="AU39">
        <v>0.2</v>
      </c>
      <c r="AV39" t="s">
        <v>93</v>
      </c>
      <c r="AW39">
        <v>1.7109828453392598E-2</v>
      </c>
      <c r="AX39">
        <v>0.87576052312962527</v>
      </c>
      <c r="AY39">
        <v>1.7109828453392598E-2</v>
      </c>
      <c r="AZ39">
        <v>1.7109828453392598E-2</v>
      </c>
      <c r="BA39">
        <v>0.87576052312962527</v>
      </c>
      <c r="BB39">
        <v>0.2161580371323987</v>
      </c>
      <c r="BC39">
        <v>-0.56958683296039303</v>
      </c>
      <c r="BY39" t="str">
        <f>CHOOSE(MATCH("-1", _xlfn.TAKE(_xlfn.TEXTSPLIT(SUBSTITUTE(SUBSTITUTE(W39,"[",""),"]",""), ", "), 3), 0), "theta", "phi", "lambda")</f>
        <v>phi</v>
      </c>
    </row>
    <row r="40" spans="1:77" x14ac:dyDescent="0.3">
      <c r="A40" t="s">
        <v>180</v>
      </c>
      <c r="B40" t="s">
        <v>181</v>
      </c>
      <c r="C40">
        <v>7</v>
      </c>
      <c r="D40" t="s">
        <v>79</v>
      </c>
      <c r="E40" t="s">
        <v>80</v>
      </c>
      <c r="F40">
        <v>16590</v>
      </c>
      <c r="G40">
        <v>4.5</v>
      </c>
      <c r="H40" t="s">
        <v>81</v>
      </c>
      <c r="I40" t="s">
        <v>82</v>
      </c>
      <c r="J40">
        <v>5</v>
      </c>
      <c r="K40">
        <v>5</v>
      </c>
      <c r="L40" t="s">
        <v>83</v>
      </c>
      <c r="M40" t="s">
        <v>210</v>
      </c>
      <c r="N40" t="s">
        <v>211</v>
      </c>
      <c r="O40" t="s">
        <v>211</v>
      </c>
      <c r="P40" t="s">
        <v>84</v>
      </c>
      <c r="Q40" t="s">
        <v>102</v>
      </c>
      <c r="R40">
        <v>1</v>
      </c>
      <c r="S40" t="s">
        <v>86</v>
      </c>
      <c r="T40" t="s">
        <v>87</v>
      </c>
      <c r="U40" t="s">
        <v>88</v>
      </c>
      <c r="V40">
        <v>1</v>
      </c>
      <c r="W40" t="s">
        <v>103</v>
      </c>
      <c r="X40" t="s">
        <v>211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50</v>
      </c>
      <c r="AH40">
        <v>20</v>
      </c>
      <c r="AI40">
        <v>30</v>
      </c>
      <c r="AJ40">
        <v>4.9436165147274801E-2</v>
      </c>
      <c r="AK40">
        <v>5.8612406085737003E-3</v>
      </c>
      <c r="AL40">
        <v>0.92096486566665881</v>
      </c>
      <c r="AM40">
        <v>-2.0282848891814309</v>
      </c>
      <c r="AN40">
        <v>1.69026258294812E-2</v>
      </c>
      <c r="AO40">
        <v>0.87726508208362386</v>
      </c>
      <c r="AP40">
        <v>1.69026258294812E-2</v>
      </c>
      <c r="AQ40">
        <v>1.69026258294812E-2</v>
      </c>
      <c r="AR40">
        <v>0.87726508208362386</v>
      </c>
      <c r="AS40">
        <v>0.31620467112052297</v>
      </c>
      <c r="AT40">
        <v>-1.296054751863561</v>
      </c>
      <c r="AU40">
        <v>0.2</v>
      </c>
      <c r="AV40" t="s">
        <v>93</v>
      </c>
      <c r="AW40">
        <v>1.69026258294812E-2</v>
      </c>
      <c r="AX40">
        <v>0.87726508208362386</v>
      </c>
      <c r="AY40">
        <v>1.69026258294812E-2</v>
      </c>
      <c r="AZ40">
        <v>1.69026258294812E-2</v>
      </c>
      <c r="BA40">
        <v>0.87726508208362386</v>
      </c>
      <c r="BB40">
        <v>0.31620467112052297</v>
      </c>
      <c r="BC40">
        <v>-1.296054751863561</v>
      </c>
      <c r="BY40" t="str">
        <f>CHOOSE(MATCH("-1", _xlfn.TAKE(_xlfn.TEXTSPLIT(SUBSTITUTE(SUBSTITUTE(W40,"[",""),"]",""), ", "), 3), 0), "theta", "phi", "lambda")</f>
        <v>phi</v>
      </c>
    </row>
    <row r="41" spans="1:77" x14ac:dyDescent="0.3">
      <c r="A41" t="s">
        <v>182</v>
      </c>
      <c r="B41" t="s">
        <v>183</v>
      </c>
      <c r="C41">
        <v>7</v>
      </c>
      <c r="D41" t="s">
        <v>96</v>
      </c>
      <c r="E41" t="s">
        <v>80</v>
      </c>
      <c r="F41">
        <v>16590</v>
      </c>
      <c r="G41">
        <v>4.5</v>
      </c>
      <c r="H41" t="s">
        <v>81</v>
      </c>
      <c r="I41" t="s">
        <v>82</v>
      </c>
      <c r="J41">
        <v>5</v>
      </c>
      <c r="K41">
        <v>5</v>
      </c>
      <c r="L41" t="s">
        <v>83</v>
      </c>
      <c r="M41" t="s">
        <v>210</v>
      </c>
      <c r="N41" t="s">
        <v>211</v>
      </c>
      <c r="O41" t="s">
        <v>211</v>
      </c>
      <c r="P41" t="s">
        <v>84</v>
      </c>
      <c r="Q41" t="s">
        <v>107</v>
      </c>
      <c r="R41">
        <v>1</v>
      </c>
      <c r="S41" t="s">
        <v>86</v>
      </c>
      <c r="T41" t="s">
        <v>87</v>
      </c>
      <c r="U41" t="s">
        <v>88</v>
      </c>
      <c r="V41">
        <v>1</v>
      </c>
      <c r="W41" t="s">
        <v>108</v>
      </c>
      <c r="X41" t="s">
        <v>211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50</v>
      </c>
      <c r="AH41">
        <v>20</v>
      </c>
      <c r="AI41">
        <v>30</v>
      </c>
      <c r="AJ41">
        <v>4.6055473048429003E-2</v>
      </c>
      <c r="AK41">
        <v>4.3974424953674004E-3</v>
      </c>
      <c r="AL41">
        <v>0.94070326035820517</v>
      </c>
      <c r="AM41">
        <v>-3.4384469355219069</v>
      </c>
      <c r="AN41">
        <v>5.6876048489069003E-3</v>
      </c>
      <c r="AO41">
        <v>0.95870063495969815</v>
      </c>
      <c r="AP41">
        <v>5.6876048489069003E-3</v>
      </c>
      <c r="AQ41">
        <v>5.6876048489069003E-3</v>
      </c>
      <c r="AR41">
        <v>0.95870063495969815</v>
      </c>
      <c r="AS41">
        <v>0.37447288041810778</v>
      </c>
      <c r="AT41">
        <v>-1.7191572897426011</v>
      </c>
      <c r="AU41">
        <v>0.2</v>
      </c>
      <c r="AV41" t="s">
        <v>93</v>
      </c>
      <c r="AW41">
        <v>5.6876048489069003E-3</v>
      </c>
      <c r="AX41">
        <v>0.95870063495969815</v>
      </c>
      <c r="AY41">
        <v>5.6876048489069003E-3</v>
      </c>
      <c r="AZ41">
        <v>5.6876048489069003E-3</v>
      </c>
      <c r="BA41">
        <v>0.95870063495969815</v>
      </c>
      <c r="BB41">
        <v>0.37447288041810778</v>
      </c>
      <c r="BC41">
        <v>-1.7191572897426011</v>
      </c>
      <c r="BY41" t="str">
        <f>CHOOSE(MATCH("-1", _xlfn.TAKE(_xlfn.TEXTSPLIT(SUBSTITUTE(SUBSTITUTE(W41,"[",""),"]",""), ", "), 3), 0), "theta", "phi", "lambda")</f>
        <v>theta</v>
      </c>
    </row>
    <row r="42" spans="1:77" x14ac:dyDescent="0.3">
      <c r="A42" t="s">
        <v>184</v>
      </c>
      <c r="B42" t="s">
        <v>185</v>
      </c>
      <c r="C42">
        <v>7</v>
      </c>
      <c r="D42" t="s">
        <v>79</v>
      </c>
      <c r="E42" t="s">
        <v>80</v>
      </c>
      <c r="F42">
        <v>16590</v>
      </c>
      <c r="G42">
        <v>4.5</v>
      </c>
      <c r="H42" t="s">
        <v>81</v>
      </c>
      <c r="I42" t="s">
        <v>82</v>
      </c>
      <c r="J42">
        <v>5</v>
      </c>
      <c r="K42">
        <v>5</v>
      </c>
      <c r="L42" t="s">
        <v>83</v>
      </c>
      <c r="M42" t="s">
        <v>210</v>
      </c>
      <c r="N42" t="s">
        <v>211</v>
      </c>
      <c r="O42" t="s">
        <v>211</v>
      </c>
      <c r="P42" t="s">
        <v>84</v>
      </c>
      <c r="Q42" t="s">
        <v>112</v>
      </c>
      <c r="R42">
        <v>1</v>
      </c>
      <c r="S42" t="s">
        <v>86</v>
      </c>
      <c r="T42" t="s">
        <v>87</v>
      </c>
      <c r="U42" t="s">
        <v>88</v>
      </c>
      <c r="V42">
        <v>1</v>
      </c>
      <c r="W42" t="s">
        <v>113</v>
      </c>
      <c r="X42" t="s">
        <v>211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50</v>
      </c>
      <c r="AH42">
        <v>20</v>
      </c>
      <c r="AI42">
        <v>30</v>
      </c>
      <c r="AJ42">
        <v>4.0165078697730901E-2</v>
      </c>
      <c r="AK42">
        <v>3.7131005246380001E-3</v>
      </c>
      <c r="AL42">
        <v>0.94993118038377478</v>
      </c>
      <c r="AM42">
        <v>-4.0373329272948846</v>
      </c>
      <c r="AN42">
        <v>4.8015745369415002E-3</v>
      </c>
      <c r="AO42">
        <v>0.965134360625022</v>
      </c>
      <c r="AP42">
        <v>4.8015745369415002E-3</v>
      </c>
      <c r="AQ42">
        <v>4.8015745369415002E-3</v>
      </c>
      <c r="AR42">
        <v>0.965134360625022</v>
      </c>
      <c r="AS42">
        <v>0.41828417117955208</v>
      </c>
      <c r="AT42">
        <v>-2.037283906853038</v>
      </c>
      <c r="AU42">
        <v>0.2</v>
      </c>
      <c r="AV42" t="s">
        <v>93</v>
      </c>
      <c r="AW42">
        <v>4.8015745369415002E-3</v>
      </c>
      <c r="AX42">
        <v>0.965134360625022</v>
      </c>
      <c r="AY42">
        <v>4.8015745369415002E-3</v>
      </c>
      <c r="AZ42">
        <v>4.8015745369415002E-3</v>
      </c>
      <c r="BA42">
        <v>0.965134360625022</v>
      </c>
      <c r="BB42">
        <v>0.41828417117955208</v>
      </c>
      <c r="BC42">
        <v>-2.037283906853038</v>
      </c>
      <c r="BY42" t="str">
        <f>CHOOSE(MATCH("-1", _xlfn.TAKE(_xlfn.TEXTSPLIT(SUBSTITUTE(SUBSTITUTE(W42,"[",""),"]",""), ", "), 3), 0), "theta", "phi", "lambda")</f>
        <v>theta</v>
      </c>
    </row>
    <row r="43" spans="1:77" x14ac:dyDescent="0.3">
      <c r="A43" t="s">
        <v>186</v>
      </c>
      <c r="B43" t="s">
        <v>187</v>
      </c>
      <c r="C43">
        <v>8</v>
      </c>
      <c r="D43" t="s">
        <v>79</v>
      </c>
      <c r="E43" t="s">
        <v>80</v>
      </c>
      <c r="F43">
        <v>16590</v>
      </c>
      <c r="G43">
        <v>4.5</v>
      </c>
      <c r="H43" t="s">
        <v>81</v>
      </c>
      <c r="I43" t="s">
        <v>82</v>
      </c>
      <c r="J43">
        <v>5</v>
      </c>
      <c r="K43">
        <v>5</v>
      </c>
      <c r="L43" t="s">
        <v>83</v>
      </c>
      <c r="M43" t="s">
        <v>210</v>
      </c>
      <c r="N43" t="s">
        <v>211</v>
      </c>
      <c r="O43" t="s">
        <v>211</v>
      </c>
      <c r="P43" t="s">
        <v>84</v>
      </c>
      <c r="Q43" t="s">
        <v>116</v>
      </c>
      <c r="R43">
        <v>1</v>
      </c>
      <c r="S43" t="s">
        <v>86</v>
      </c>
      <c r="T43" t="s">
        <v>87</v>
      </c>
      <c r="U43" t="s">
        <v>88</v>
      </c>
      <c r="V43">
        <v>1</v>
      </c>
      <c r="W43" t="s">
        <v>117</v>
      </c>
      <c r="X43" t="s">
        <v>211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50</v>
      </c>
      <c r="AH43">
        <v>20</v>
      </c>
      <c r="AI43">
        <v>30</v>
      </c>
      <c r="AJ43">
        <v>6.2147064932504603E-2</v>
      </c>
      <c r="AK43">
        <v>9.4822456777604001E-3</v>
      </c>
      <c r="AL43">
        <v>0.87213789520476426</v>
      </c>
      <c r="AM43">
        <v>-1.762579297302038</v>
      </c>
      <c r="AN43">
        <v>2.8918970732529699E-2</v>
      </c>
      <c r="AO43">
        <v>0.79001088145178056</v>
      </c>
      <c r="AP43">
        <v>2.8918970732529699E-2</v>
      </c>
      <c r="AQ43">
        <v>2.8918970732529699E-2</v>
      </c>
      <c r="AR43">
        <v>0.79001088145178056</v>
      </c>
      <c r="AS43">
        <v>0.28512669352819597</v>
      </c>
      <c r="AT43">
        <v>-1.0703884520068661</v>
      </c>
      <c r="AU43">
        <v>0.2</v>
      </c>
      <c r="AV43" t="s">
        <v>93</v>
      </c>
      <c r="AW43">
        <v>2.8918970732529699E-2</v>
      </c>
      <c r="AX43">
        <v>0.79001088145178056</v>
      </c>
      <c r="AY43">
        <v>2.8918970732529699E-2</v>
      </c>
      <c r="AZ43">
        <v>2.8918970732529699E-2</v>
      </c>
      <c r="BA43">
        <v>0.79001088145178056</v>
      </c>
      <c r="BB43">
        <v>0.28512669352819597</v>
      </c>
      <c r="BC43">
        <v>-1.0703884520068661</v>
      </c>
      <c r="BY43" t="str">
        <f>CHOOSE(MATCH("-1", _xlfn.TAKE(_xlfn.TEXTSPLIT(SUBSTITUTE(SUBSTITUTE(W43,"[",""),"]",""), ", "), 3), 0), "theta", "phi", "lambda")</f>
        <v>lambda</v>
      </c>
    </row>
    <row r="44" spans="1:77" x14ac:dyDescent="0.3">
      <c r="A44" t="s">
        <v>188</v>
      </c>
      <c r="B44" t="s">
        <v>189</v>
      </c>
      <c r="C44">
        <v>8</v>
      </c>
      <c r="D44" t="s">
        <v>96</v>
      </c>
      <c r="E44" t="s">
        <v>80</v>
      </c>
      <c r="F44">
        <v>16590</v>
      </c>
      <c r="G44">
        <v>4.5</v>
      </c>
      <c r="H44" t="s">
        <v>81</v>
      </c>
      <c r="I44" t="s">
        <v>82</v>
      </c>
      <c r="J44">
        <v>5</v>
      </c>
      <c r="K44">
        <v>5</v>
      </c>
      <c r="L44" t="s">
        <v>83</v>
      </c>
      <c r="M44" t="s">
        <v>210</v>
      </c>
      <c r="N44" t="s">
        <v>211</v>
      </c>
      <c r="O44" t="s">
        <v>211</v>
      </c>
      <c r="P44" t="s">
        <v>84</v>
      </c>
      <c r="Q44" t="s">
        <v>97</v>
      </c>
      <c r="R44">
        <v>1</v>
      </c>
      <c r="S44" t="s">
        <v>86</v>
      </c>
      <c r="T44" t="s">
        <v>87</v>
      </c>
      <c r="U44" t="s">
        <v>88</v>
      </c>
      <c r="V44">
        <v>1</v>
      </c>
      <c r="W44" t="s">
        <v>98</v>
      </c>
      <c r="X44" t="s">
        <v>211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50</v>
      </c>
      <c r="AH44">
        <v>20</v>
      </c>
      <c r="AI44">
        <v>30</v>
      </c>
      <c r="AJ44">
        <v>5.5571151514485398E-2</v>
      </c>
      <c r="AK44">
        <v>8.7006174762684994E-3</v>
      </c>
      <c r="AL44">
        <v>0.8826776587171643</v>
      </c>
      <c r="AM44">
        <v>-1.8209305451859441</v>
      </c>
      <c r="AN44">
        <v>2.76140522251377E-2</v>
      </c>
      <c r="AO44">
        <v>0.79948627702096942</v>
      </c>
      <c r="AP44">
        <v>2.76140522251377E-2</v>
      </c>
      <c r="AQ44">
        <v>2.76140522251377E-2</v>
      </c>
      <c r="AR44">
        <v>0.79948627702096942</v>
      </c>
      <c r="AS44">
        <v>0.25698563325197232</v>
      </c>
      <c r="AT44">
        <v>-0.86604796917739346</v>
      </c>
      <c r="AU44">
        <v>0.2</v>
      </c>
      <c r="AV44" t="s">
        <v>93</v>
      </c>
      <c r="AW44">
        <v>2.76140522251377E-2</v>
      </c>
      <c r="AX44">
        <v>0.79948627702096942</v>
      </c>
      <c r="AY44">
        <v>2.76140522251377E-2</v>
      </c>
      <c r="AZ44">
        <v>2.76140522251377E-2</v>
      </c>
      <c r="BA44">
        <v>0.79948627702096942</v>
      </c>
      <c r="BB44">
        <v>0.25698563325197232</v>
      </c>
      <c r="BC44">
        <v>-0.86604796917739346</v>
      </c>
      <c r="BY44" t="str">
        <f>CHOOSE(MATCH("-1", _xlfn.TAKE(_xlfn.TEXTSPLIT(SUBSTITUTE(SUBSTITUTE(W44,"[",""),"]",""), ", "), 3), 0), "theta", "phi", "lambda")</f>
        <v>lambda</v>
      </c>
    </row>
    <row r="45" spans="1:77" x14ac:dyDescent="0.3">
      <c r="A45" t="s">
        <v>190</v>
      </c>
      <c r="B45" t="s">
        <v>191</v>
      </c>
      <c r="C45">
        <v>8</v>
      </c>
      <c r="D45" t="s">
        <v>96</v>
      </c>
      <c r="E45" t="s">
        <v>80</v>
      </c>
      <c r="F45">
        <v>16590</v>
      </c>
      <c r="G45">
        <v>4.5</v>
      </c>
      <c r="H45" t="s">
        <v>81</v>
      </c>
      <c r="I45" t="s">
        <v>82</v>
      </c>
      <c r="J45">
        <v>5</v>
      </c>
      <c r="K45">
        <v>5</v>
      </c>
      <c r="L45" t="s">
        <v>83</v>
      </c>
      <c r="M45" t="s">
        <v>210</v>
      </c>
      <c r="N45" t="s">
        <v>211</v>
      </c>
      <c r="O45" t="s">
        <v>211</v>
      </c>
      <c r="P45" t="s">
        <v>84</v>
      </c>
      <c r="Q45" t="s">
        <v>85</v>
      </c>
      <c r="R45">
        <v>1</v>
      </c>
      <c r="S45" t="s">
        <v>86</v>
      </c>
      <c r="T45" t="s">
        <v>87</v>
      </c>
      <c r="U45" t="s">
        <v>88</v>
      </c>
      <c r="V45">
        <v>1</v>
      </c>
      <c r="W45" t="s">
        <v>89</v>
      </c>
      <c r="X45" t="s">
        <v>211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50</v>
      </c>
      <c r="AH45">
        <v>20</v>
      </c>
      <c r="AI45">
        <v>30</v>
      </c>
      <c r="AJ45">
        <v>5.1374346842583303E-2</v>
      </c>
      <c r="AK45">
        <v>1.07545870568723E-2</v>
      </c>
      <c r="AL45">
        <v>0.85498117386681471</v>
      </c>
      <c r="AM45">
        <v>-2.8227754962424569</v>
      </c>
      <c r="AN45">
        <v>2.5082395243048901E-2</v>
      </c>
      <c r="AO45">
        <v>0.81786938003843823</v>
      </c>
      <c r="AP45">
        <v>2.5082395243048901E-2</v>
      </c>
      <c r="AQ45">
        <v>2.5082395243048901E-2</v>
      </c>
      <c r="AR45">
        <v>0.81786938003843823</v>
      </c>
      <c r="AS45">
        <v>0.33169308855954388</v>
      </c>
      <c r="AT45">
        <v>-1.408520688352386</v>
      </c>
      <c r="AU45">
        <v>0.2</v>
      </c>
      <c r="AV45" t="s">
        <v>93</v>
      </c>
      <c r="AW45">
        <v>2.5082395243048901E-2</v>
      </c>
      <c r="AX45">
        <v>0.81786938003843823</v>
      </c>
      <c r="AY45">
        <v>2.5082395243048901E-2</v>
      </c>
      <c r="AZ45">
        <v>2.5082395243048901E-2</v>
      </c>
      <c r="BA45">
        <v>0.81786938003843823</v>
      </c>
      <c r="BB45">
        <v>0.33169308855954388</v>
      </c>
      <c r="BC45">
        <v>-1.408520688352386</v>
      </c>
      <c r="BY45" t="str">
        <f>CHOOSE(MATCH("-1", _xlfn.TAKE(_xlfn.TEXTSPLIT(SUBSTITUTE(SUBSTITUTE(W45,"[",""),"]",""), ", "), 3), 0), "theta", "phi", "lambda")</f>
        <v>phi</v>
      </c>
    </row>
    <row r="46" spans="1:77" x14ac:dyDescent="0.3">
      <c r="A46" t="s">
        <v>192</v>
      </c>
      <c r="B46" t="s">
        <v>193</v>
      </c>
      <c r="C46">
        <v>8</v>
      </c>
      <c r="D46" t="s">
        <v>96</v>
      </c>
      <c r="E46" t="s">
        <v>80</v>
      </c>
      <c r="F46">
        <v>16590</v>
      </c>
      <c r="G46">
        <v>4.5</v>
      </c>
      <c r="H46" t="s">
        <v>81</v>
      </c>
      <c r="I46" t="s">
        <v>82</v>
      </c>
      <c r="J46">
        <v>5</v>
      </c>
      <c r="K46">
        <v>5</v>
      </c>
      <c r="L46" t="s">
        <v>83</v>
      </c>
      <c r="M46" t="s">
        <v>210</v>
      </c>
      <c r="N46" t="s">
        <v>211</v>
      </c>
      <c r="O46" t="s">
        <v>211</v>
      </c>
      <c r="P46" t="s">
        <v>84</v>
      </c>
      <c r="Q46" t="s">
        <v>102</v>
      </c>
      <c r="R46">
        <v>1</v>
      </c>
      <c r="S46" t="s">
        <v>86</v>
      </c>
      <c r="T46" t="s">
        <v>87</v>
      </c>
      <c r="U46" t="s">
        <v>88</v>
      </c>
      <c r="V46">
        <v>1</v>
      </c>
      <c r="W46" t="s">
        <v>103</v>
      </c>
      <c r="X46" t="s">
        <v>211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50</v>
      </c>
      <c r="AH46">
        <v>20</v>
      </c>
      <c r="AI46">
        <v>30</v>
      </c>
      <c r="AJ46">
        <v>6.4084629203895294E-2</v>
      </c>
      <c r="AK46">
        <v>1.31452489418125E-2</v>
      </c>
      <c r="AL46">
        <v>0.82274460556326134</v>
      </c>
      <c r="AM46">
        <v>-3.7076682777147729</v>
      </c>
      <c r="AN46">
        <v>2.6428468126128899E-2</v>
      </c>
      <c r="AO46">
        <v>0.80809515049085334</v>
      </c>
      <c r="AP46">
        <v>2.6428468126128899E-2</v>
      </c>
      <c r="AQ46">
        <v>2.6428468126128899E-2</v>
      </c>
      <c r="AR46">
        <v>0.80809515049085334</v>
      </c>
      <c r="AS46">
        <v>0.388322138107696</v>
      </c>
      <c r="AT46">
        <v>-1.819720807084954</v>
      </c>
      <c r="AU46">
        <v>0.2</v>
      </c>
      <c r="AV46" t="s">
        <v>93</v>
      </c>
      <c r="AW46">
        <v>2.6428468126128899E-2</v>
      </c>
      <c r="AX46">
        <v>0.80809515049085334</v>
      </c>
      <c r="AY46">
        <v>2.6428468126128899E-2</v>
      </c>
      <c r="AZ46">
        <v>2.6428468126128899E-2</v>
      </c>
      <c r="BA46">
        <v>0.80809515049085334</v>
      </c>
      <c r="BB46">
        <v>0.388322138107696</v>
      </c>
      <c r="BC46">
        <v>-1.819720807084954</v>
      </c>
      <c r="BY46" t="str">
        <f>CHOOSE(MATCH("-1", _xlfn.TAKE(_xlfn.TEXTSPLIT(SUBSTITUTE(SUBSTITUTE(W46,"[",""),"]",""), ", "), 3), 0), "theta", "phi", "lambda")</f>
        <v>phi</v>
      </c>
    </row>
    <row r="47" spans="1:77" x14ac:dyDescent="0.3">
      <c r="A47" t="s">
        <v>194</v>
      </c>
      <c r="B47" t="s">
        <v>195</v>
      </c>
      <c r="C47">
        <v>8</v>
      </c>
      <c r="D47" t="s">
        <v>96</v>
      </c>
      <c r="E47" t="s">
        <v>80</v>
      </c>
      <c r="F47">
        <v>16590</v>
      </c>
      <c r="G47">
        <v>4.5</v>
      </c>
      <c r="H47" t="s">
        <v>81</v>
      </c>
      <c r="I47" t="s">
        <v>82</v>
      </c>
      <c r="J47">
        <v>5</v>
      </c>
      <c r="K47">
        <v>5</v>
      </c>
      <c r="L47" t="s">
        <v>83</v>
      </c>
      <c r="M47" t="s">
        <v>210</v>
      </c>
      <c r="N47" t="s">
        <v>211</v>
      </c>
      <c r="O47" t="s">
        <v>211</v>
      </c>
      <c r="P47" t="s">
        <v>84</v>
      </c>
      <c r="Q47" t="s">
        <v>107</v>
      </c>
      <c r="R47">
        <v>1</v>
      </c>
      <c r="S47" t="s">
        <v>86</v>
      </c>
      <c r="T47" t="s">
        <v>87</v>
      </c>
      <c r="U47" t="s">
        <v>88</v>
      </c>
      <c r="V47">
        <v>1</v>
      </c>
      <c r="W47" t="s">
        <v>108</v>
      </c>
      <c r="X47" t="s">
        <v>211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50</v>
      </c>
      <c r="AH47">
        <v>20</v>
      </c>
      <c r="AI47">
        <v>30</v>
      </c>
      <c r="AJ47">
        <v>3.2528074603679201E-2</v>
      </c>
      <c r="AK47">
        <v>3.2876836029744E-3</v>
      </c>
      <c r="AL47">
        <v>0.95566765936438181</v>
      </c>
      <c r="AM47">
        <v>-1.5944894730660659</v>
      </c>
      <c r="AN47">
        <v>4.6410918694595998E-3</v>
      </c>
      <c r="AO47">
        <v>0.96629967228837477</v>
      </c>
      <c r="AP47">
        <v>4.6410918694595998E-3</v>
      </c>
      <c r="AQ47">
        <v>4.6410918694595998E-3</v>
      </c>
      <c r="AR47">
        <v>0.96629967228837477</v>
      </c>
      <c r="AS47">
        <v>0.2278302041372432</v>
      </c>
      <c r="AT47">
        <v>-0.65434185704352377</v>
      </c>
      <c r="AU47">
        <v>0.2</v>
      </c>
      <c r="AV47" t="s">
        <v>93</v>
      </c>
      <c r="AW47">
        <v>4.6410918694595998E-3</v>
      </c>
      <c r="AX47">
        <v>0.96629967228837477</v>
      </c>
      <c r="AY47">
        <v>4.6410918694595998E-3</v>
      </c>
      <c r="AZ47">
        <v>4.6410918694595998E-3</v>
      </c>
      <c r="BA47">
        <v>0.96629967228837477</v>
      </c>
      <c r="BB47">
        <v>0.2278302041372432</v>
      </c>
      <c r="BC47">
        <v>-0.65434185704352377</v>
      </c>
      <c r="BY47" t="str">
        <f>CHOOSE(MATCH("-1", _xlfn.TAKE(_xlfn.TEXTSPLIT(SUBSTITUTE(SUBSTITUTE(W47,"[",""),"]",""), ", "), 3), 0), "theta", "phi", "lambda")</f>
        <v>theta</v>
      </c>
    </row>
    <row r="48" spans="1:77" x14ac:dyDescent="0.3">
      <c r="A48" t="s">
        <v>196</v>
      </c>
      <c r="B48" t="s">
        <v>197</v>
      </c>
      <c r="C48">
        <v>8</v>
      </c>
      <c r="D48" t="s">
        <v>79</v>
      </c>
      <c r="E48" t="s">
        <v>80</v>
      </c>
      <c r="F48">
        <v>16590</v>
      </c>
      <c r="G48">
        <v>4.5</v>
      </c>
      <c r="H48" t="s">
        <v>81</v>
      </c>
      <c r="I48" t="s">
        <v>82</v>
      </c>
      <c r="J48">
        <v>5</v>
      </c>
      <c r="K48">
        <v>5</v>
      </c>
      <c r="L48" t="s">
        <v>83</v>
      </c>
      <c r="M48" t="s">
        <v>210</v>
      </c>
      <c r="N48" t="s">
        <v>211</v>
      </c>
      <c r="O48" t="s">
        <v>211</v>
      </c>
      <c r="P48" t="s">
        <v>84</v>
      </c>
      <c r="Q48" t="s">
        <v>112</v>
      </c>
      <c r="R48">
        <v>1</v>
      </c>
      <c r="S48" t="s">
        <v>86</v>
      </c>
      <c r="T48" t="s">
        <v>87</v>
      </c>
      <c r="U48" t="s">
        <v>88</v>
      </c>
      <c r="V48">
        <v>1</v>
      </c>
      <c r="W48" t="s">
        <v>113</v>
      </c>
      <c r="X48" t="s">
        <v>211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50</v>
      </c>
      <c r="AH48">
        <v>20</v>
      </c>
      <c r="AI48">
        <v>30</v>
      </c>
      <c r="AJ48">
        <v>3.4737652063353601E-2</v>
      </c>
      <c r="AK48">
        <v>3.4174209889584E-3</v>
      </c>
      <c r="AL48">
        <v>0.95391823250852037</v>
      </c>
      <c r="AM48">
        <v>-1.4039357954185681</v>
      </c>
      <c r="AN48">
        <v>4.5799643815163998E-3</v>
      </c>
      <c r="AO48">
        <v>0.96674353688615045</v>
      </c>
      <c r="AP48">
        <v>4.5799643815163998E-3</v>
      </c>
      <c r="AQ48">
        <v>4.5799643815163998E-3</v>
      </c>
      <c r="AR48">
        <v>0.96674353688615045</v>
      </c>
      <c r="AS48">
        <v>0.22169110721557059</v>
      </c>
      <c r="AT48">
        <v>-0.60976407579441383</v>
      </c>
      <c r="AU48">
        <v>0.2</v>
      </c>
      <c r="AV48" t="s">
        <v>93</v>
      </c>
      <c r="AW48">
        <v>4.5799643815163998E-3</v>
      </c>
      <c r="AX48">
        <v>0.96674353688615045</v>
      </c>
      <c r="AY48">
        <v>4.5799643815163998E-3</v>
      </c>
      <c r="AZ48">
        <v>4.5799643815163998E-3</v>
      </c>
      <c r="BA48">
        <v>0.96674353688615045</v>
      </c>
      <c r="BB48">
        <v>0.22169110721557059</v>
      </c>
      <c r="BC48">
        <v>-0.60976407579441383</v>
      </c>
      <c r="BY48" t="str">
        <f>CHOOSE(MATCH("-1", _xlfn.TAKE(_xlfn.TEXTSPLIT(SUBSTITUTE(SUBSTITUTE(W48,"[",""),"]",""), ", "), 3), 0), "theta", "phi", "lambda")</f>
        <v>theta</v>
      </c>
    </row>
    <row r="49" spans="1:77" x14ac:dyDescent="0.3">
      <c r="A49" t="s">
        <v>198</v>
      </c>
      <c r="B49" t="s">
        <v>199</v>
      </c>
      <c r="C49">
        <v>9</v>
      </c>
      <c r="D49" t="s">
        <v>96</v>
      </c>
      <c r="E49" t="s">
        <v>80</v>
      </c>
      <c r="F49">
        <v>16590</v>
      </c>
      <c r="G49">
        <v>4.5</v>
      </c>
      <c r="H49" t="s">
        <v>81</v>
      </c>
      <c r="I49" t="s">
        <v>82</v>
      </c>
      <c r="J49">
        <v>5</v>
      </c>
      <c r="K49">
        <v>5</v>
      </c>
      <c r="L49" t="s">
        <v>83</v>
      </c>
      <c r="M49" t="s">
        <v>210</v>
      </c>
      <c r="N49" t="s">
        <v>211</v>
      </c>
      <c r="O49" t="s">
        <v>211</v>
      </c>
      <c r="P49" t="s">
        <v>84</v>
      </c>
      <c r="Q49" t="s">
        <v>116</v>
      </c>
      <c r="R49">
        <v>1</v>
      </c>
      <c r="S49" t="s">
        <v>86</v>
      </c>
      <c r="T49" t="s">
        <v>87</v>
      </c>
      <c r="U49" t="s">
        <v>88</v>
      </c>
      <c r="V49">
        <v>1</v>
      </c>
      <c r="W49" t="s">
        <v>117</v>
      </c>
      <c r="X49" t="s">
        <v>211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50</v>
      </c>
      <c r="AH49">
        <v>20</v>
      </c>
      <c r="AI49">
        <v>30</v>
      </c>
      <c r="AJ49">
        <v>6.7618653459117994E-2</v>
      </c>
      <c r="AK49">
        <v>1.8035397951385E-2</v>
      </c>
      <c r="AL49">
        <v>0.75680402920878453</v>
      </c>
      <c r="AM49">
        <v>-2.43785827770635E-2</v>
      </c>
      <c r="AN49">
        <v>2.8978597000834199E-2</v>
      </c>
      <c r="AO49">
        <v>0.7895779176495975</v>
      </c>
      <c r="AP49">
        <v>2.8978597000834199E-2</v>
      </c>
      <c r="AQ49">
        <v>2.8978597000834199E-2</v>
      </c>
      <c r="AR49">
        <v>0.7895779176495975</v>
      </c>
      <c r="AS49">
        <v>0.14011359046295771</v>
      </c>
      <c r="AT49">
        <v>-1.7405827823834701E-2</v>
      </c>
      <c r="AU49">
        <v>0.2</v>
      </c>
      <c r="AV49" t="s">
        <v>93</v>
      </c>
      <c r="AW49">
        <v>2.8978597000834199E-2</v>
      </c>
      <c r="AX49">
        <v>0.7895779176495975</v>
      </c>
      <c r="AY49">
        <v>2.8978597000834199E-2</v>
      </c>
      <c r="AZ49">
        <v>2.8978597000834199E-2</v>
      </c>
      <c r="BA49">
        <v>0.7895779176495975</v>
      </c>
      <c r="BB49">
        <v>0.14011359046295771</v>
      </c>
      <c r="BC49">
        <v>-1.7405827823834701E-2</v>
      </c>
      <c r="BY49" t="str">
        <f>CHOOSE(MATCH("-1", _xlfn.TAKE(_xlfn.TEXTSPLIT(SUBSTITUTE(SUBSTITUTE(W49,"[",""),"]",""), ", "), 3), 0), "theta", "phi", "lambda")</f>
        <v>lambda</v>
      </c>
    </row>
    <row r="50" spans="1:77" x14ac:dyDescent="0.3">
      <c r="A50" t="s">
        <v>200</v>
      </c>
      <c r="B50" t="s">
        <v>201</v>
      </c>
      <c r="C50">
        <v>9</v>
      </c>
      <c r="D50" t="s">
        <v>96</v>
      </c>
      <c r="E50" t="s">
        <v>80</v>
      </c>
      <c r="F50">
        <v>16590</v>
      </c>
      <c r="G50">
        <v>4.5</v>
      </c>
      <c r="H50" t="s">
        <v>81</v>
      </c>
      <c r="I50" t="s">
        <v>82</v>
      </c>
      <c r="J50">
        <v>5</v>
      </c>
      <c r="K50">
        <v>5</v>
      </c>
      <c r="L50" t="s">
        <v>83</v>
      </c>
      <c r="M50" t="s">
        <v>210</v>
      </c>
      <c r="N50" t="s">
        <v>211</v>
      </c>
      <c r="O50" t="s">
        <v>211</v>
      </c>
      <c r="P50" t="s">
        <v>84</v>
      </c>
      <c r="Q50" t="s">
        <v>97</v>
      </c>
      <c r="R50">
        <v>1</v>
      </c>
      <c r="S50" t="s">
        <v>86</v>
      </c>
      <c r="T50" t="s">
        <v>87</v>
      </c>
      <c r="U50" t="s">
        <v>88</v>
      </c>
      <c r="V50">
        <v>1</v>
      </c>
      <c r="W50" t="s">
        <v>98</v>
      </c>
      <c r="X50" t="s">
        <v>211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50</v>
      </c>
      <c r="AH50">
        <v>20</v>
      </c>
      <c r="AI50">
        <v>30</v>
      </c>
      <c r="AJ50">
        <v>6.4247961550906896E-2</v>
      </c>
      <c r="AK50">
        <v>1.1463358164387099E-2</v>
      </c>
      <c r="AL50">
        <v>0.8454238423332685</v>
      </c>
      <c r="AM50">
        <v>-1.282508541246981</v>
      </c>
      <c r="AN50">
        <v>1.99143545539711E-2</v>
      </c>
      <c r="AO50">
        <v>0.85539603750346482</v>
      </c>
      <c r="AP50">
        <v>1.99143545539711E-2</v>
      </c>
      <c r="AQ50">
        <v>1.99143545539711E-2</v>
      </c>
      <c r="AR50">
        <v>0.85539603750346482</v>
      </c>
      <c r="AS50">
        <v>0.21990867279035009</v>
      </c>
      <c r="AT50">
        <v>-0.5968212972535083</v>
      </c>
      <c r="AU50">
        <v>0.2</v>
      </c>
      <c r="AV50" t="s">
        <v>93</v>
      </c>
      <c r="AW50">
        <v>1.99143545539711E-2</v>
      </c>
      <c r="AX50">
        <v>0.85539603750346482</v>
      </c>
      <c r="AY50">
        <v>1.99143545539711E-2</v>
      </c>
      <c r="AZ50">
        <v>1.99143545539711E-2</v>
      </c>
      <c r="BA50">
        <v>0.85539603750346482</v>
      </c>
      <c r="BB50">
        <v>0.21990867279035009</v>
      </c>
      <c r="BC50">
        <v>-0.5968212972535083</v>
      </c>
      <c r="BY50" t="str">
        <f>CHOOSE(MATCH("-1", _xlfn.TAKE(_xlfn.TEXTSPLIT(SUBSTITUTE(SUBSTITUTE(W50,"[",""),"]",""), ", "), 3), 0), "theta", "phi", "lambda")</f>
        <v>lambda</v>
      </c>
    </row>
    <row r="51" spans="1:77" x14ac:dyDescent="0.3">
      <c r="A51" t="s">
        <v>202</v>
      </c>
      <c r="B51" t="s">
        <v>203</v>
      </c>
      <c r="C51">
        <v>9</v>
      </c>
      <c r="D51" t="s">
        <v>96</v>
      </c>
      <c r="E51" t="s">
        <v>80</v>
      </c>
      <c r="F51">
        <v>16590</v>
      </c>
      <c r="G51">
        <v>4.5</v>
      </c>
      <c r="H51" t="s">
        <v>81</v>
      </c>
      <c r="I51" t="s">
        <v>82</v>
      </c>
      <c r="J51">
        <v>5</v>
      </c>
      <c r="K51">
        <v>5</v>
      </c>
      <c r="L51" t="s">
        <v>83</v>
      </c>
      <c r="M51" t="s">
        <v>210</v>
      </c>
      <c r="N51" t="s">
        <v>211</v>
      </c>
      <c r="O51" t="s">
        <v>211</v>
      </c>
      <c r="P51" t="s">
        <v>84</v>
      </c>
      <c r="Q51" t="s">
        <v>85</v>
      </c>
      <c r="R51">
        <v>1</v>
      </c>
      <c r="S51" t="s">
        <v>86</v>
      </c>
      <c r="T51" t="s">
        <v>87</v>
      </c>
      <c r="U51" t="s">
        <v>88</v>
      </c>
      <c r="V51">
        <v>1</v>
      </c>
      <c r="W51" t="s">
        <v>89</v>
      </c>
      <c r="X51" t="s">
        <v>211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50</v>
      </c>
      <c r="AH51">
        <v>20</v>
      </c>
      <c r="AI51">
        <v>30</v>
      </c>
      <c r="AJ51">
        <v>5.9585304355369399E-2</v>
      </c>
      <c r="AK51">
        <v>1.20652304169383E-2</v>
      </c>
      <c r="AL51">
        <v>0.83730797446353589</v>
      </c>
      <c r="AM51">
        <v>-3.8362924503526119</v>
      </c>
      <c r="AN51">
        <v>2.0434892159967698E-2</v>
      </c>
      <c r="AO51">
        <v>0.85161626145038927</v>
      </c>
      <c r="AP51">
        <v>2.0434892159967698E-2</v>
      </c>
      <c r="AQ51">
        <v>2.0434892159967698E-2</v>
      </c>
      <c r="AR51">
        <v>0.85161626145038927</v>
      </c>
      <c r="AS51">
        <v>0.4103488665170415</v>
      </c>
      <c r="AT51">
        <v>-1.9796633349833139</v>
      </c>
      <c r="AU51">
        <v>0.2</v>
      </c>
      <c r="AV51" t="s">
        <v>93</v>
      </c>
      <c r="AW51">
        <v>2.0434892159967698E-2</v>
      </c>
      <c r="AX51">
        <v>0.85161626145038927</v>
      </c>
      <c r="AY51">
        <v>2.0434892159967698E-2</v>
      </c>
      <c r="AZ51">
        <v>2.0434892159967698E-2</v>
      </c>
      <c r="BA51">
        <v>0.85161626145038927</v>
      </c>
      <c r="BB51">
        <v>0.4103488665170415</v>
      </c>
      <c r="BC51">
        <v>-1.9796633349833139</v>
      </c>
      <c r="BY51" t="str">
        <f>CHOOSE(MATCH("-1", _xlfn.TAKE(_xlfn.TEXTSPLIT(SUBSTITUTE(SUBSTITUTE(W51,"[",""),"]",""), ", "), 3), 0), "theta", "phi", "lambda")</f>
        <v>phi</v>
      </c>
    </row>
    <row r="52" spans="1:77" x14ac:dyDescent="0.3">
      <c r="A52" t="s">
        <v>204</v>
      </c>
      <c r="B52" t="s">
        <v>205</v>
      </c>
      <c r="C52">
        <v>9</v>
      </c>
      <c r="D52" t="s">
        <v>79</v>
      </c>
      <c r="E52" t="s">
        <v>80</v>
      </c>
      <c r="F52">
        <v>16590</v>
      </c>
      <c r="G52">
        <v>4.5</v>
      </c>
      <c r="H52" t="s">
        <v>81</v>
      </c>
      <c r="I52" t="s">
        <v>82</v>
      </c>
      <c r="J52">
        <v>5</v>
      </c>
      <c r="K52">
        <v>5</v>
      </c>
      <c r="L52" t="s">
        <v>83</v>
      </c>
      <c r="M52" t="s">
        <v>210</v>
      </c>
      <c r="N52" t="s">
        <v>211</v>
      </c>
      <c r="O52" t="s">
        <v>211</v>
      </c>
      <c r="P52" t="s">
        <v>84</v>
      </c>
      <c r="Q52" t="s">
        <v>102</v>
      </c>
      <c r="R52">
        <v>1</v>
      </c>
      <c r="S52" t="s">
        <v>86</v>
      </c>
      <c r="T52" t="s">
        <v>87</v>
      </c>
      <c r="U52" t="s">
        <v>88</v>
      </c>
      <c r="V52">
        <v>1</v>
      </c>
      <c r="W52" t="s">
        <v>103</v>
      </c>
      <c r="X52" t="s">
        <v>211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50</v>
      </c>
      <c r="AH52">
        <v>20</v>
      </c>
      <c r="AI52">
        <v>30</v>
      </c>
      <c r="AJ52">
        <v>4.4182514632656003E-2</v>
      </c>
      <c r="AK52">
        <v>5.4903118277584003E-3</v>
      </c>
      <c r="AL52">
        <v>0.92596660642047723</v>
      </c>
      <c r="AM52">
        <v>-5.0215330763131538</v>
      </c>
      <c r="AN52">
        <v>1.19851322416961E-2</v>
      </c>
      <c r="AO52">
        <v>0.91297244364625196</v>
      </c>
      <c r="AP52">
        <v>1.19851322416961E-2</v>
      </c>
      <c r="AQ52">
        <v>1.19851322416961E-2</v>
      </c>
      <c r="AR52">
        <v>0.91297244364625196</v>
      </c>
      <c r="AS52">
        <v>0.48395554743942698</v>
      </c>
      <c r="AT52">
        <v>-2.5141430088662191</v>
      </c>
      <c r="AU52">
        <v>0.2</v>
      </c>
      <c r="AV52" t="s">
        <v>93</v>
      </c>
      <c r="AW52">
        <v>1.19851322416961E-2</v>
      </c>
      <c r="AX52">
        <v>0.91297244364625196</v>
      </c>
      <c r="AY52">
        <v>1.19851322416961E-2</v>
      </c>
      <c r="AZ52">
        <v>1.19851322416961E-2</v>
      </c>
      <c r="BA52">
        <v>0.91297244364625196</v>
      </c>
      <c r="BB52">
        <v>0.48395554743942698</v>
      </c>
      <c r="BC52">
        <v>-2.5141430088662191</v>
      </c>
      <c r="BY52" t="str">
        <f>CHOOSE(MATCH("-1", _xlfn.TAKE(_xlfn.TEXTSPLIT(SUBSTITUTE(SUBSTITUTE(W52,"[",""),"]",""), ", "), 3), 0), "theta", "phi", "lambda")</f>
        <v>phi</v>
      </c>
    </row>
    <row r="53" spans="1:77" x14ac:dyDescent="0.3">
      <c r="A53" t="s">
        <v>206</v>
      </c>
      <c r="B53" t="s">
        <v>207</v>
      </c>
      <c r="C53">
        <v>9</v>
      </c>
      <c r="D53" t="s">
        <v>79</v>
      </c>
      <c r="E53" t="s">
        <v>80</v>
      </c>
      <c r="F53">
        <v>16590</v>
      </c>
      <c r="G53">
        <v>4.5</v>
      </c>
      <c r="H53" t="s">
        <v>81</v>
      </c>
      <c r="I53" t="s">
        <v>82</v>
      </c>
      <c r="J53">
        <v>5</v>
      </c>
      <c r="K53">
        <v>5</v>
      </c>
      <c r="L53" t="s">
        <v>83</v>
      </c>
      <c r="M53" t="s">
        <v>210</v>
      </c>
      <c r="N53" t="s">
        <v>211</v>
      </c>
      <c r="O53" t="s">
        <v>211</v>
      </c>
      <c r="P53" t="s">
        <v>84</v>
      </c>
      <c r="Q53" t="s">
        <v>107</v>
      </c>
      <c r="R53">
        <v>1</v>
      </c>
      <c r="S53" t="s">
        <v>86</v>
      </c>
      <c r="T53" t="s">
        <v>87</v>
      </c>
      <c r="U53" t="s">
        <v>88</v>
      </c>
      <c r="V53">
        <v>1</v>
      </c>
      <c r="W53" t="s">
        <v>108</v>
      </c>
      <c r="X53" t="s">
        <v>211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50</v>
      </c>
      <c r="AH53">
        <v>20</v>
      </c>
      <c r="AI53">
        <v>30</v>
      </c>
      <c r="AJ53">
        <v>4.5555474049411203E-2</v>
      </c>
      <c r="AK53">
        <v>2.7522281190483998E-3</v>
      </c>
      <c r="AL53">
        <v>0.96288793898226843</v>
      </c>
      <c r="AM53">
        <v>-4.2158464717324762</v>
      </c>
      <c r="AN53">
        <v>3.5600456923679E-3</v>
      </c>
      <c r="AO53">
        <v>0.97414946528194324</v>
      </c>
      <c r="AP53">
        <v>3.5600456923679E-3</v>
      </c>
      <c r="AQ53">
        <v>3.5600456923679E-3</v>
      </c>
      <c r="AR53">
        <v>0.97414946528194324</v>
      </c>
      <c r="AS53">
        <v>0.42670322757024548</v>
      </c>
      <c r="AT53">
        <v>-2.098417141740295</v>
      </c>
      <c r="AU53">
        <v>0.2</v>
      </c>
      <c r="AV53" t="s">
        <v>93</v>
      </c>
      <c r="AW53">
        <v>3.5600456923679E-3</v>
      </c>
      <c r="AX53">
        <v>0.97414946528194324</v>
      </c>
      <c r="AY53">
        <v>3.5600456923679E-3</v>
      </c>
      <c r="AZ53">
        <v>3.5600456923679E-3</v>
      </c>
      <c r="BA53">
        <v>0.97414946528194324</v>
      </c>
      <c r="BB53">
        <v>0.42670322757024548</v>
      </c>
      <c r="BC53">
        <v>-2.098417141740295</v>
      </c>
      <c r="BY53" t="str">
        <f>CHOOSE(MATCH("-1", _xlfn.TAKE(_xlfn.TEXTSPLIT(SUBSTITUTE(SUBSTITUTE(W53,"[",""),"]",""), ", "), 3), 0), "theta", "phi", "lambda")</f>
        <v>theta</v>
      </c>
    </row>
    <row r="54" spans="1:77" x14ac:dyDescent="0.3">
      <c r="A54" t="s">
        <v>208</v>
      </c>
      <c r="B54" t="s">
        <v>209</v>
      </c>
      <c r="C54">
        <v>9</v>
      </c>
      <c r="D54" t="s">
        <v>96</v>
      </c>
      <c r="E54" t="s">
        <v>80</v>
      </c>
      <c r="F54">
        <v>16590</v>
      </c>
      <c r="G54">
        <v>4.5</v>
      </c>
      <c r="H54" t="s">
        <v>81</v>
      </c>
      <c r="I54" t="s">
        <v>82</v>
      </c>
      <c r="J54">
        <v>5</v>
      </c>
      <c r="K54">
        <v>5</v>
      </c>
      <c r="L54" t="s">
        <v>83</v>
      </c>
      <c r="M54" t="s">
        <v>210</v>
      </c>
      <c r="N54" t="s">
        <v>211</v>
      </c>
      <c r="O54" t="s">
        <v>211</v>
      </c>
      <c r="P54" t="s">
        <v>84</v>
      </c>
      <c r="Q54" t="s">
        <v>112</v>
      </c>
      <c r="R54">
        <v>1</v>
      </c>
      <c r="S54" t="s">
        <v>86</v>
      </c>
      <c r="T54" t="s">
        <v>87</v>
      </c>
      <c r="U54" t="s">
        <v>88</v>
      </c>
      <c r="V54">
        <v>1</v>
      </c>
      <c r="W54" t="s">
        <v>113</v>
      </c>
      <c r="X54" t="s">
        <v>211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50</v>
      </c>
      <c r="AH54">
        <v>20</v>
      </c>
      <c r="AI54">
        <v>30</v>
      </c>
      <c r="AJ54">
        <v>4.053475388997E-2</v>
      </c>
      <c r="AK54">
        <v>3.1233496179879001E-3</v>
      </c>
      <c r="AL54">
        <v>0.95788359954604596</v>
      </c>
      <c r="AM54">
        <v>-1.1109420710658959</v>
      </c>
      <c r="AN54">
        <v>5.8933550011351999E-3</v>
      </c>
      <c r="AO54">
        <v>0.9572066228281052</v>
      </c>
      <c r="AP54">
        <v>5.8933550011351999E-3</v>
      </c>
      <c r="AQ54">
        <v>5.8933550011351999E-3</v>
      </c>
      <c r="AR54">
        <v>0.9572066228281052</v>
      </c>
      <c r="AS54">
        <v>0.20333645072803019</v>
      </c>
      <c r="AT54">
        <v>-0.47648553788509451</v>
      </c>
      <c r="AU54">
        <v>0.2</v>
      </c>
      <c r="AV54" t="s">
        <v>93</v>
      </c>
      <c r="AW54">
        <v>5.8933550011351999E-3</v>
      </c>
      <c r="AX54">
        <v>0.9572066228281052</v>
      </c>
      <c r="AY54">
        <v>5.8933550011351999E-3</v>
      </c>
      <c r="AZ54">
        <v>5.8933550011351999E-3</v>
      </c>
      <c r="BA54">
        <v>0.9572066228281052</v>
      </c>
      <c r="BB54">
        <v>0.20333645072803019</v>
      </c>
      <c r="BC54">
        <v>-0.47648553788509451</v>
      </c>
      <c r="BY54" t="str">
        <f>CHOOSE(MATCH("-1", _xlfn.TAKE(_xlfn.TEXTSPLIT(SUBSTITUTE(SUBSTITUTE(W54,"[",""),"]",""), ", "), 3), 0), "theta", "phi", "lambda")</f>
        <v>theta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E33A-CC10-445D-82F2-176C7423C3AF}">
  <dimension ref="A3:D13"/>
  <sheetViews>
    <sheetView tabSelected="1" workbookViewId="0">
      <selection activeCell="E13" sqref="E13"/>
    </sheetView>
  </sheetViews>
  <sheetFormatPr baseColWidth="10" defaultRowHeight="14.4" x14ac:dyDescent="0.3"/>
  <cols>
    <col min="1" max="1" width="18.77734375" bestFit="1" customWidth="1"/>
    <col min="2" max="2" width="25.44140625" bestFit="1" customWidth="1"/>
    <col min="3" max="3" width="26.6640625" bestFit="1" customWidth="1"/>
    <col min="4" max="4" width="18.44140625" bestFit="1" customWidth="1"/>
  </cols>
  <sheetData>
    <row r="3" spans="1:4" x14ac:dyDescent="0.3">
      <c r="A3" s="2" t="s">
        <v>212</v>
      </c>
      <c r="B3" t="s">
        <v>214</v>
      </c>
      <c r="C3" t="s">
        <v>215</v>
      </c>
      <c r="D3" t="s">
        <v>216</v>
      </c>
    </row>
    <row r="4" spans="1:4" x14ac:dyDescent="0.3">
      <c r="A4" s="3" t="s">
        <v>99</v>
      </c>
      <c r="B4" s="4">
        <v>0.80563563709130237</v>
      </c>
      <c r="C4" s="4">
        <v>-0.96557078453091683</v>
      </c>
      <c r="D4" s="4">
        <v>17</v>
      </c>
    </row>
    <row r="5" spans="1:4" x14ac:dyDescent="0.3">
      <c r="A5" s="5" t="s">
        <v>117</v>
      </c>
      <c r="B5" s="4">
        <v>0.80471958360443963</v>
      </c>
      <c r="C5" s="4">
        <v>-0.91561747816417116</v>
      </c>
      <c r="D5" s="4">
        <v>8</v>
      </c>
    </row>
    <row r="6" spans="1:4" x14ac:dyDescent="0.3">
      <c r="A6" s="5" t="s">
        <v>98</v>
      </c>
      <c r="B6" s="4">
        <v>0.80644990685740281</v>
      </c>
      <c r="C6" s="4">
        <v>-1.0099737235235797</v>
      </c>
      <c r="D6" s="4">
        <v>9</v>
      </c>
    </row>
    <row r="7" spans="1:4" x14ac:dyDescent="0.3">
      <c r="A7" s="3" t="s">
        <v>94</v>
      </c>
      <c r="B7" s="4">
        <v>0.84285822405639321</v>
      </c>
      <c r="C7" s="4">
        <v>-2.0356178108648231</v>
      </c>
      <c r="D7" s="4">
        <v>19</v>
      </c>
    </row>
    <row r="8" spans="1:4" x14ac:dyDescent="0.3">
      <c r="A8" s="5" t="s">
        <v>89</v>
      </c>
      <c r="B8" s="4">
        <v>0.84383869122141753</v>
      </c>
      <c r="C8" s="4">
        <v>-1.7727824076390228</v>
      </c>
      <c r="D8" s="4">
        <v>9</v>
      </c>
    </row>
    <row r="9" spans="1:4" x14ac:dyDescent="0.3">
      <c r="A9" s="5" t="s">
        <v>103</v>
      </c>
      <c r="B9" s="4">
        <v>0.84197580360787172</v>
      </c>
      <c r="C9" s="4">
        <v>-2.2721696737680439</v>
      </c>
      <c r="D9" s="4">
        <v>10</v>
      </c>
    </row>
    <row r="10" spans="1:4" x14ac:dyDescent="0.3">
      <c r="A10" s="3" t="s">
        <v>109</v>
      </c>
      <c r="B10" s="4">
        <v>0.95936574836766741</v>
      </c>
      <c r="C10" s="4">
        <v>-1.3354677271527855</v>
      </c>
      <c r="D10" s="4">
        <v>17</v>
      </c>
    </row>
    <row r="11" spans="1:4" x14ac:dyDescent="0.3">
      <c r="A11" s="5" t="s">
        <v>108</v>
      </c>
      <c r="B11" s="4">
        <v>0.9609711314606757</v>
      </c>
      <c r="C11" s="4">
        <v>-1.1987225469501617</v>
      </c>
      <c r="D11" s="4">
        <v>8</v>
      </c>
    </row>
    <row r="12" spans="1:4" x14ac:dyDescent="0.3">
      <c r="A12" s="5" t="s">
        <v>113</v>
      </c>
      <c r="B12" s="4">
        <v>0.957938741173882</v>
      </c>
      <c r="C12" s="4">
        <v>-1.4570189984440072</v>
      </c>
      <c r="D12" s="4">
        <v>9</v>
      </c>
    </row>
    <row r="13" spans="1:4" x14ac:dyDescent="0.3">
      <c r="A13" s="3" t="s">
        <v>213</v>
      </c>
      <c r="B13" s="4">
        <v>0.86828924169573496</v>
      </c>
      <c r="C13" s="4">
        <v>-1.4678187378312184</v>
      </c>
      <c r="D13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2026-04-21T07:56:28Z</dcterms:created>
  <dcterms:modified xsi:type="dcterms:W3CDTF">2026-04-21T08:00:30Z</dcterms:modified>
</cp:coreProperties>
</file>