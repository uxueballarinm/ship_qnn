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delta_study/"/>
    </mc:Choice>
  </mc:AlternateContent>
  <xr:revisionPtr revIDLastSave="39" documentId="11_5C2193A1D350D137CF393F11595ED87656CF36CB" xr6:coauthVersionLast="47" xr6:coauthVersionMax="47" xr10:uidLastSave="{22D17D5E-4B82-4269-B215-062307B6FC98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<sst xmlns="http://schemas.openxmlformats.org/spreadsheetml/2006/main" count="950" uniqueCount="146">
  <si>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</si>
  <si>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</si>
  <si>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</si>
  <si>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</si>
  <si>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</si>
  <si>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</si>
  <si>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</si>
  <si>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</si>
  <si>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</si>
  <si>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</si>
  <si>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</si>
  <si>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</si>
  <si>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</si>
  <si>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</si>
  <si>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</si>
  <si>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</si>
  <si>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</si>
  <si>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</si>
  <si>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</si>
  <si>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</si>
  <si>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</si>
  <si>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</si>
  <si>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</si>
  <si>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</si>
  <si>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</si>
  <si>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</si>
  <si>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</si>
  <si>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</si>
  <si>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</si>
  <si>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</si>
  <si>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</si>
  <si>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</si>
  <si>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</si>
  <si>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</si>
  <si>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</si>
  <si>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</si>
  <si>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</si>
  <si>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</si>
  <si>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</si>
  <si>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</si>
  <si>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</si>
  <si>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</si>
  <si>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</si>
  <si>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</si>
  <si>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</si>
  <si>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</si>
  <si>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</si>
  <si>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</si>
  <si>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24/04/2026 16:40:18</t>
  </si>
  <si>
    <t>04-24_16-40-18_multihead_4heads_run5_spsa_serial_f5_w5_h5_effsu2_lin_r1.pkl</t>
  </si>
  <si>
    <t>Best (Lowest Val Loss)</t>
  </si>
  <si>
    <t>data/reduce_row_number_absolutes</t>
  </si>
  <si>
    <t>[['sv', 'yr'], ['wv', 'rarad'], ['yr', 'rarad'], ['ya', 'yr']]</t>
  </si>
  <si>
    <t>['delta Surge Velocity', 'delta Sway Velocity', 'delta Yaw Rate', 'delta Yaw Angle']</t>
  </si>
  <si>
    <t>delta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</si>
  <si>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</si>
  <si>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</si>
  <si>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</si>
  <si>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</si>
  <si>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</si>
  <si>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</si>
  <si>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spsa</t>
  </si>
  <si>
    <t>[0.1, 0.001]</t>
  </si>
  <si>
    <t>[1.0, 1.0, 1.0, 1.0]</t>
  </si>
  <si>
    <t>uniform</t>
  </si>
  <si>
    <t>04-24_16-40-18_multihead_4heads_run8_spsa_serial_f5_w5_h5_effsu2_lin_r1.pkl</t>
  </si>
  <si>
    <t>24/04/2026 16:40:19</t>
  </si>
  <si>
    <t>04-24_16-40-19_multihead_4heads_run0_spsa_serial_f5_w5_h5_effsu2_lin_r1.pkl</t>
  </si>
  <si>
    <t>Final (Last Iteration)</t>
  </si>
  <si>
    <t>04-24_16-40-19_multihead_4heads_run1_spsa_serial_f5_w5_h5_effsu2_lin_r1.pkl</t>
  </si>
  <si>
    <t>04-24_16-40-19_multihead_4heads_run3_spsa_serial_f5_w5_h5_effsu2_lin_r1.pkl</t>
  </si>
  <si>
    <t>24/04/2026 16:40:23</t>
  </si>
  <si>
    <t>04-24_16-40-23_multihead_4heads_run2_spsa_serial_f5_w5_h5_effsu2_lin_r1.pkl</t>
  </si>
  <si>
    <t>04-24_16-40-23_multihead_4heads_run4_spsa_serial_f5_w5_h5_effsu2_lin_r1.pkl</t>
  </si>
  <si>
    <t>04-24_16-40-23_multihead_4heads_run6_spsa_serial_f5_w5_h5_effsu2_lin_r1.pkl</t>
  </si>
  <si>
    <t>04-24_16-40-23_multihead_4heads_run7_spsa_serial_f5_w5_h5_effsu2_lin_r1.pkl</t>
  </si>
  <si>
    <t>04-24_16-40-23_multihead_4heads_run9_spsa_serial_f5_w5_h5_effsu2_lin_r1.pkl</t>
  </si>
  <si>
    <t>24/04/2026 17:41:01</t>
  </si>
  <si>
    <t>04-24_17-41-01_multihead_4heads_run0_spsa_serial_f6_w5_h5_effsu2_lin_r1.pkl</t>
  </si>
  <si>
    <t>[['dsv', 'yr'], ['dwv', 'rarad'], ['dyr', 'rarad'], ['dya', 'yr']]</t>
  </si>
  <si>
    <t>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</t>
  </si>
  <si>
    <t>24/04/2026 17:41:02</t>
  </si>
  <si>
    <t>04-24_17-41-02_multihead_4heads_run1_spsa_serial_f6_w5_h5_effsu2_lin_r1.pkl</t>
  </si>
  <si>
    <t>24/04/2026 17:41:04</t>
  </si>
  <si>
    <t>04-24_17-41-04_multihead_4heads_run2_spsa_serial_f6_w5_h5_effsu2_lin_r1.pkl</t>
  </si>
  <si>
    <t>24/04/2026 17:41:05</t>
  </si>
  <si>
    <t>04-24_17-41-05_multihead_4heads_run3_spsa_serial_f6_w5_h5_effsu2_lin_r1.pkl</t>
  </si>
  <si>
    <t>24/04/2026 17:41:08</t>
  </si>
  <si>
    <t>04-24_17-41-08_multihead_4heads_run4_spsa_serial_f6_w5_h5_effsu2_lin_r1.pkl</t>
  </si>
  <si>
    <t>24/04/2026 17:41:15</t>
  </si>
  <si>
    <t>04-24_17-41-15_multihead_4heads_run5_spsa_serial_f6_w5_h5_effsu2_lin_r1.pkl</t>
  </si>
  <si>
    <t>24/04/2026 17:50:15</t>
  </si>
  <si>
    <t>04-24_17-50-15_multihead_4heads_run6_spsa_serial_f6_w5_h5_effsu2_lin_r1.pkl</t>
  </si>
  <si>
    <t>04-24_17-50-15_multihead_4heads_run7_spsa_serial_f6_w5_h5_effsu2_lin_r1.pkl</t>
  </si>
  <si>
    <t>04-24_17-50-15_multihead_4heads_run8_spsa_serial_f6_w5_h5_effsu2_lin_r1.pkl</t>
  </si>
  <si>
    <t>24/04/2026 17:50:22</t>
  </si>
  <si>
    <t>04-24_17-50-22_multihead_4heads_run9_spsa_serial_f6_w5_h5_effsu2_lin_r1.pkl</t>
  </si>
  <si>
    <t>24/04/2026 18:41:45</t>
  </si>
  <si>
    <t>04-24_18-41-45_multihead_4heads_run0_spsa_serial_f5_w5_h5_effsu2_lin_r1.pkl</t>
  </si>
  <si>
    <t>[['dsv', 'dyr'], ['dwv', 'rarad'], ['dyr', 'rarad'], ['dya', 'dyr']]</t>
  </si>
  <si>
    <t>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</t>
  </si>
  <si>
    <t>04-24_18-41-45_multihead_4heads_run1_spsa_serial_f5_w5_h5_effsu2_lin_r1.pkl</t>
  </si>
  <si>
    <t>24/04/2026 18:41:53</t>
  </si>
  <si>
    <t>04-24_18-41-53_multihead_4heads_run2_spsa_serial_f5_w5_h5_effsu2_lin_r1.pkl</t>
  </si>
  <si>
    <t>04-24_18-41-53_multihead_4heads_run3_spsa_serial_f5_w5_h5_effsu2_lin_r1.pkl</t>
  </si>
  <si>
    <t>24/04/2026 18:41:54</t>
  </si>
  <si>
    <t>04-24_18-41-54_multihead_4heads_run4_spsa_serial_f5_w5_h5_effsu2_lin_r1.pkl</t>
  </si>
  <si>
    <t>24/04/2026 18:42:11</t>
  </si>
  <si>
    <t>04-24_18-42-11_multihead_4heads_run5_spsa_serial_f5_w5_h5_effsu2_lin_r1.pkl</t>
  </si>
  <si>
    <t>24/04/2026 19:00:02</t>
  </si>
  <si>
    <t>04-24_19-00-02_multihead_4heads_run6_spsa_serial_f5_w5_h5_effsu2_lin_r1.pkl</t>
  </si>
  <si>
    <t>24/04/2026 19:00:32</t>
  </si>
  <si>
    <t>04-24_19-00-32_multihead_4heads_run7_spsa_serial_f5_w5_h5_effsu2_lin_r1.pkl</t>
  </si>
  <si>
    <t>24/04/2026 19:00:39</t>
  </si>
  <si>
    <t>04-24_19-00-39_multihead_4heads_run8_spsa_serial_f5_w5_h5_effsu2_lin_r1.pkl</t>
  </si>
  <si>
    <t>24/04/2026 19:00:57</t>
  </si>
  <si>
    <t>04-24_19-00-57_multihead_4heads_run9_spsa_serial_f5_w5_h5_effsu2_lin_r1.pkl</t>
  </si>
  <si>
    <t>24/04/2026 19:42:37</t>
  </si>
  <si>
    <t>04-24_19-42-37_multihead_4heads_run0_spsa_serial_f5_w5_h5_effsu2_lin_r1.pkl</t>
  </si>
  <si>
    <t>24/04/2026 19:42:39</t>
  </si>
  <si>
    <t>04-24_19-42-39_multihead_4heads_run1_spsa_serial_f5_w5_h5_effsu2_lin_r1.pkl</t>
  </si>
  <si>
    <t>24/04/2026 19:42:43</t>
  </si>
  <si>
    <t>04-24_19-42-43_multihead_4heads_run2_spsa_serial_f5_w5_h5_effsu2_lin_r1.pkl</t>
  </si>
  <si>
    <t>24/04/2026 19:42:49</t>
  </si>
  <si>
    <t>04-24_19-42-49_multihead_4heads_run3_spsa_serial_f5_w5_h5_effsu2_lin_r1.pkl</t>
  </si>
  <si>
    <t>24/04/2026 19:42:51</t>
  </si>
  <si>
    <t>04-24_19-42-51_multihead_4heads_run4_spsa_serial_f5_w5_h5_effsu2_lin_r1.pkl</t>
  </si>
  <si>
    <t>24/04/2026 19:43:06</t>
  </si>
  <si>
    <t>04-24_19-43-06_multihead_4heads_run5_spsa_serial_f5_w5_h5_effsu2_lin_r1.pkl</t>
  </si>
  <si>
    <t>24/04/2026 20:10:12</t>
  </si>
  <si>
    <t>04-24_20-10-12_multihead_4heads_run6_spsa_serial_f5_w5_h5_effsu2_lin_r1.pkl</t>
  </si>
  <si>
    <t>24/04/2026 20:10:37</t>
  </si>
  <si>
    <t>04-24_20-10-37_multihead_4heads_run7_spsa_serial_f5_w5_h5_effsu2_lin_r1.pkl</t>
  </si>
  <si>
    <t>24/04/2026 20:10:51</t>
  </si>
  <si>
    <t>04-24_20-10-51_multihead_4heads_run8_spsa_serial_f5_w5_h5_effsu2_lin_r1.pkl</t>
  </si>
  <si>
    <t>24/04/2026 20:11:22</t>
  </si>
  <si>
    <t>04-24_20-11-22_multihead_4heads_run9_spsa_serial_f5_w5_h5_effsu2_lin_r1.pkl</t>
  </si>
  <si>
    <t>true</t>
  </si>
  <si>
    <t>false</t>
  </si>
  <si>
    <t>freeze</t>
  </si>
  <si>
    <t>Etiquetas de fila</t>
  </si>
  <si>
    <t>Total general</t>
  </si>
  <si>
    <t>Promedio de Val Global Open R2</t>
  </si>
  <si>
    <t>Promedio de global open R2</t>
  </si>
  <si>
    <t>Promedio de step R2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</si>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</sst>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9.355133217592" createdVersion="8" refreshedVersion="8" minRefreshableVersion="3" recordCount="40" xr:uid="{E7CB364F-C092-410C-8789-B248C874B8F4}">
  <cacheSource type="worksheet">
    <worksheetSource name="Tabla1"/>
  </cacheSource>
  <cacheFields count="49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5"/>
        <n v="8"/>
        <n v="0"/>
        <n v="1"/>
        <n v="3"/>
        <n v="2"/>
        <n v="4"/>
        <n v="6"/>
        <n v="7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3">
        <s v="[['sv', 'yr'], ['wv', 'rarad'], ['yr', 'rarad'], ['ya', 'yr']]"/>
        <s v="[['dsv', 'yr'], ['dwv', 'rarad'], ['dyr', 'rarad'], ['dya', 'yr']]"/>
        <s v="[['dsv', 'dyr'], ['dwv', 'rarad'], ['dyr', 'rarad'], ['dya', 'dyr']]"/>
      </sharedItems>
    </cacheField>
    <cacheField name="targets" numFmtId="0">
      <sharedItems count="1">
        <s v="['delta Surge Velocity', 'delta Sway Velocity', 'delta Yaw Rate', 'delta Yaw Angle']"/>
      </sharedItems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 count="2">
        <s v="false"/>
        <s v="true"/>
      </sharedItems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6000" maxValue="6000"/>
    </cacheField>
    <cacheField name="iterations" numFmtId="0">
      <sharedItems containsSemiMixedTypes="0" containsString="0" containsNumber="1" containsInteger="1" minValue="6000" maxValue="6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/>
    </cacheField>
    <cacheField name="perturbation" numFmtId="0">
      <sharedItems containsSemiMixedTypes="0" containsString="0" containsNumber="1" minValue="0.01" maxValue="0.01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2.21887648492766E-2" maxValue="1.420403697042002"/>
    </cacheField>
    <cacheField name="Val Global Open MSE" numFmtId="0">
      <sharedItems containsSemiMixedTypes="0" containsString="0" containsNumber="1" minValue="9.0683776207078157" maxValue="7990.3899743421616"/>
    </cacheField>
    <cacheField name="Val Global Open R2" numFmtId="0">
      <sharedItems containsSemiMixedTypes="0" containsString="0" containsNumber="1" minValue="-246.5261531094838" maxValue="-3.9327785315212669"/>
    </cacheField>
    <cacheField name="Val Global Closed R2" numFmtId="0">
      <sharedItems containsSemiMixedTypes="0" containsString="0" containsNumber="1" minValue="-17496.673933385551" maxValue="0.36719649228288909"/>
    </cacheField>
    <cacheField name="step MSE" numFmtId="0">
      <sharedItems containsSemiMixedTypes="0" containsString="0" containsNumber="1" minValue="7.5007017874270901E-2" maxValue="0.39776895312833238"/>
    </cacheField>
    <cacheField name="step R2" numFmtId="0">
      <sharedItems containsSemiMixedTypes="0" containsString="0" containsNumber="1" minValue="0.36764686249798018" maxValue="0.70064565443781701"/>
    </cacheField>
    <cacheField name="local MSE" numFmtId="0">
      <sharedItems containsSemiMixedTypes="0" containsString="0" containsNumber="1" minValue="0.62327576754614089" maxValue="3.7853660470599131"/>
    </cacheField>
    <cacheField name="global open MSE" numFmtId="0">
      <sharedItems containsSemiMixedTypes="0" containsString="0" containsNumber="1" minValue="51.522697265493854" maxValue="26317.697217530778"/>
    </cacheField>
    <cacheField name="global open R2" numFmtId="0">
      <sharedItems containsSemiMixedTypes="0" containsString="0" containsNumber="1" minValue="-704.64147633235291" maxValue="-5.7460989809091378"/>
    </cacheField>
    <cacheField name="global closed MSE" numFmtId="0">
      <sharedItems containsSemiMixedTypes="0" containsString="0" containsNumber="1" minValue="134.11774413114381" maxValue="13276654.32160018"/>
    </cacheField>
    <cacheField name="global closed R2" numFmtId="0">
      <sharedItems containsSemiMixedTypes="0" containsString="0" containsNumber="1" minValue="-26786.661020748499" maxValue="-7.2719038534728803E-2"/>
    </cacheField>
    <cacheField name="recursivity" numFmtId="0">
      <sharedItems containsSemiMixedTypes="0" containsString="0" containsNumber="1" minValue="0.66666666666666663" maxValue="0.8"/>
    </cacheField>
    <cacheField name="initialization" numFmtId="0">
      <sharedItems/>
    </cacheField>
    <cacheField name="free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24/04/2026 16:40:18"/>
    <s v="04-24_16-40-18_multihead_4heads_run5_spsa_serial_f5_w5_h5_effsu2_lin_r1.pkl"/>
    <x v="0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3.17043249113673E-2"/>
    <n v="908.03630022122877"/>
    <n v="-80.026445962195382"/>
    <n v="-10.52287370092459"/>
    <n v="9.54635775630127E-2"/>
    <n v="0.57024126313026369"/>
    <n v="0.73501051754605651"/>
    <n v="4209.890196717316"/>
    <n v="-307.86912780705302"/>
    <n v="576.61097967842318"/>
    <n v="-10.231250188037739"/>
    <n v="0.8"/>
    <s v="uniform"/>
    <s v="false"/>
  </r>
  <r>
    <s v="24/04/2026 16:40:18"/>
    <s v="04-24_16-40-18_multihead_4heads_run8_spsa_serial_f5_w5_h5_effsu2_lin_r1.pkl"/>
    <x v="1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4737866343186199E-2"/>
    <n v="419.77031920789682"/>
    <n v="-25.384760630692199"/>
    <n v="-1.203522655425372"/>
    <n v="7.9527360680043999E-2"/>
    <n v="0.6621069507233881"/>
    <n v="0.67970928378323114"/>
    <n v="1257.3077138438721"/>
    <n v="-93.106495521089144"/>
    <n v="7306.8132562592082"/>
    <n v="-14.954168631995611"/>
    <n v="0.8"/>
    <s v="uniform"/>
    <s v="false"/>
  </r>
  <r>
    <s v="24/04/2026 16:40:19"/>
    <s v="04-24_16-40-19_multihead_4heads_run0_spsa_serial_f5_w5_h5_effsu2_lin_r1.pkl"/>
    <x v="2"/>
    <s v="Final (Last Iteration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57125235757103E-2"/>
    <n v="7990.3899743421616"/>
    <n v="-42.166367110236408"/>
    <n v="-1.29905938676883"/>
    <n v="8.1772420904304297E-2"/>
    <n v="0.65442980617040147"/>
    <n v="0.62536283660525172"/>
    <n v="26317.697217530778"/>
    <n v="-121.8285024135789"/>
    <n v="262.65217828497453"/>
    <n v="-4.4615529502785138"/>
    <n v="0.8"/>
    <s v="uniform"/>
    <s v="false"/>
  </r>
  <r>
    <s v="24/04/2026 16:40:19"/>
    <s v="04-24_16-40-19_multihead_4heads_run1_spsa_serial_f5_w5_h5_effsu2_lin_r1.pkl"/>
    <x v="3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21887648492766E-2"/>
    <n v="2266.7425617534368"/>
    <n v="-10.57472383910717"/>
    <n v="0.36719649228288909"/>
    <n v="7.9746740132822805E-2"/>
    <n v="0.70064565443781701"/>
    <n v="0.62327576754614089"/>
    <n v="5369.9518125546874"/>
    <n v="-18.62013235309669"/>
    <n v="204.74267771916871"/>
    <n v="-0.19092717529157119"/>
    <n v="0.8"/>
    <s v="uniform"/>
    <s v="false"/>
  </r>
  <r>
    <s v="24/04/2026 16:40:19"/>
    <s v="04-24_16-40-19_multihead_4heads_run3_spsa_serial_f5_w5_h5_effsu2_lin_r1.pkl"/>
    <x v="4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6213920171391202E-2"/>
    <n v="1545.706293107766"/>
    <n v="-73.201275592733708"/>
    <n v="0.25450877711563302"/>
    <n v="7.9220327108535799E-2"/>
    <n v="0.65202495845778063"/>
    <n v="0.63894845340019246"/>
    <n v="4147.9925363126604"/>
    <n v="-286.81418647765832"/>
    <n v="134.11774413114381"/>
    <n v="-7.2719038534728803E-2"/>
    <n v="0.8"/>
    <s v="uniform"/>
    <s v="false"/>
  </r>
  <r>
    <s v="24/04/2026 16:40:23"/>
    <s v="04-24_16-40-23_multihead_4heads_run2_spsa_serial_f5_w5_h5_effsu2_lin_r1.pkl"/>
    <x v="5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6461211238543999E-2"/>
    <n v="3195.9074206926239"/>
    <n v="-50.040804526366301"/>
    <n v="-1.097392886132917"/>
    <n v="7.7278979369275996E-2"/>
    <n v="0.64087780820099127"/>
    <n v="0.64236596600848794"/>
    <n v="7311.1998838918926"/>
    <n v="-127.04798538294391"/>
    <n v="365.44976725308908"/>
    <n v="-1.4791492272072391"/>
    <n v="0.8"/>
    <s v="uniform"/>
    <s v="false"/>
  </r>
  <r>
    <s v="24/04/2026 16:40:23"/>
    <s v="04-24_16-40-23_multihead_4heads_run4_spsa_serial_f5_w5_h5_effsu2_lin_r1.pkl"/>
    <x v="6"/>
    <s v="Final (Last Iteration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8809940097450502E-2"/>
    <n v="2050.5145914055761"/>
    <n v="-55.110250766462777"/>
    <n v="-1.0429709465688679"/>
    <n v="7.6449186636066604E-2"/>
    <n v="0.62956135347061937"/>
    <n v="0.647507626784948"/>
    <n v="5013.7701921543739"/>
    <n v="-100.9794981736046"/>
    <n v="281.66233587471578"/>
    <n v="-1.3676880973226671"/>
    <n v="0.8"/>
    <s v="uniform"/>
    <s v="false"/>
  </r>
  <r>
    <s v="24/04/2026 16:40:23"/>
    <s v="04-24_16-40-23_multihead_4heads_run6_spsa_serial_f5_w5_h5_effsu2_lin_r1.pkl"/>
    <x v="7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6738863328516799E-2"/>
    <n v="1684.4404481299409"/>
    <n v="-19.69232933470705"/>
    <n v="-2.2879026201867689"/>
    <n v="8.3717557894688599E-2"/>
    <n v="0.60621809487508183"/>
    <n v="0.65944012372826899"/>
    <n v="1525.1644695987579"/>
    <n v="-50.591869139087393"/>
    <n v="295.15149836523102"/>
    <n v="-0.98813045106097763"/>
    <n v="0.8"/>
    <s v="uniform"/>
    <s v="false"/>
  </r>
  <r>
    <s v="24/04/2026 16:40:23"/>
    <s v="04-24_16-40-23_multihead_4heads_run7_spsa_serial_f5_w5_h5_effsu2_lin_r1.pkl"/>
    <x v="8"/>
    <s v="Best (Lowest Val Loss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48164536986831E-2"/>
    <n v="1039.9011014526129"/>
    <n v="-22.656575581144541"/>
    <n v="-13.50173954973833"/>
    <n v="8.48270629676003E-2"/>
    <n v="0.65924932581974982"/>
    <n v="0.75303603485215087"/>
    <n v="3098.5367874332601"/>
    <n v="-55.963402023311779"/>
    <n v="13257.82157537945"/>
    <n v="-27.03798939925084"/>
    <n v="0.8"/>
    <s v="uniform"/>
    <s v="false"/>
  </r>
  <r>
    <s v="24/04/2026 16:40:23"/>
    <s v="04-24_16-40-23_multihead_4heads_run9_spsa_serial_f5_w5_h5_effsu2_lin_r1.pkl"/>
    <x v="9"/>
    <s v="Final (Last Iteration)"/>
    <s v="data/reduce_row_number_absolutes"/>
    <n v="16590"/>
    <n v="4.5"/>
    <x v="0"/>
    <x v="0"/>
    <n v="5"/>
    <n v="5"/>
    <s v="delta"/>
    <s v="true"/>
    <s v="false"/>
    <x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2.7142369397341701E-2"/>
    <n v="532.1010960385936"/>
    <n v="-151.02790582515459"/>
    <n v="9.41594101640498E-2"/>
    <n v="7.5007017874270901E-2"/>
    <n v="0.62979089446726366"/>
    <n v="0.64229132312169701"/>
    <n v="1239.1286408167109"/>
    <n v="-524.86967371909441"/>
    <n v="287.07150367490379"/>
    <n v="-0.33299895252074979"/>
    <n v="0.8"/>
    <s v="uniform"/>
    <s v="false"/>
  </r>
  <r>
    <s v="24/04/2026 17:41:01"/>
    <s v="04-24_17-41-01_multihead_4heads_run0_spsa_serial_f6_w5_h5_effsu2_lin_r1.pkl"/>
    <x v="2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2936195103250497E-2"/>
    <n v="24.735413038201731"/>
    <n v="-23.816248787174029"/>
    <n v="-1591.6994921023111"/>
    <n v="0.16017443600187981"/>
    <n v="0.4968377762103075"/>
    <n v="1.3409064467462131"/>
    <n v="135.95808165902861"/>
    <n v="-83.560591865777582"/>
    <n v="929999.96313546237"/>
    <n v="-2669.5465989515201"/>
    <n v="0.66666666666666663"/>
    <s v="uniform"/>
    <s v="false"/>
  </r>
  <r>
    <s v="24/04/2026 17:41:02"/>
    <s v="04-24_17-41-02_multihead_4heads_run1_spsa_serial_f6_w5_h5_effsu2_lin_r1.pkl"/>
    <x v="3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5285628541056203E-2"/>
    <n v="555.28324917408986"/>
    <n v="-31.840254295556001"/>
    <n v="-258.41782221869931"/>
    <n v="0.15234349699338939"/>
    <n v="0.45102652597604032"/>
    <n v="1.1988416857383379"/>
    <n v="773.37861538653794"/>
    <n v="-94.760229849823105"/>
    <n v="30426.363130111269"/>
    <n v="-199.26083645205671"/>
    <n v="0.66666666666666663"/>
    <s v="uniform"/>
    <s v="false"/>
  </r>
  <r>
    <s v="24/04/2026 17:41:04"/>
    <s v="04-24_17-41-04_multihead_4heads_run2_spsa_serial_f6_w5_h5_effsu2_lin_r1.pkl"/>
    <x v="5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6131239205506701E-2"/>
    <n v="3490.5780631099528"/>
    <n v="-13.68414563832892"/>
    <n v="-781.97298310151336"/>
    <n v="0.18570354325902241"/>
    <n v="0.4664951728375557"/>
    <n v="1.6433752234107639"/>
    <n v="8567.8737121377744"/>
    <n v="-42.504661167727171"/>
    <n v="191574.65699550809"/>
    <n v="-1809.0849048625"/>
    <n v="0.66666666666666663"/>
    <s v="uniform"/>
    <s v="false"/>
  </r>
  <r>
    <s v="24/04/2026 17:41:05"/>
    <s v="04-24_17-41-05_multihead_4heads_run3_spsa_serial_f6_w5_h5_effsu2_lin_r1.pkl"/>
    <x v="4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7.2936552981812397E-2"/>
    <n v="7874.7670546892532"/>
    <n v="-76.596863390242135"/>
    <n v="-638.81836379456206"/>
    <n v="0.39776895312833238"/>
    <n v="0.4114945270713023"/>
    <n v="3.7853660470599131"/>
    <n v="18827.17101731868"/>
    <n v="-221.66988581180141"/>
    <n v="997657.83403990115"/>
    <n v="-2139.9379376540392"/>
    <n v="0.66666666666666663"/>
    <s v="uniform"/>
    <s v="false"/>
  </r>
  <r>
    <s v="24/04/2026 17:41:08"/>
    <s v="04-24_17-41-08_multihead_4heads_run4_spsa_serial_f6_w5_h5_effsu2_lin_r1.pkl"/>
    <x v="6"/>
    <s v="Best (Lowest Val Loss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0841292023007599E-2"/>
    <n v="260.32851003403948"/>
    <n v="-5.4721480961575963"/>
    <n v="-595.42157383516064"/>
    <n v="0.1860445446102634"/>
    <n v="0.51237673355843893"/>
    <n v="1.3389148035219549"/>
    <n v="1076.6480715604239"/>
    <n v="-21.203219619750708"/>
    <n v="421986.41163828102"/>
    <n v="-884.01774654438259"/>
    <n v="0.66666666666666663"/>
    <s v="uniform"/>
    <s v="false"/>
  </r>
  <r>
    <s v="24/04/2026 17:41:15"/>
    <s v="04-24_17-41-15_multihead_4heads_run5_spsa_serial_f6_w5_h5_effsu2_lin_r1.pkl"/>
    <x v="0"/>
    <s v="Best (Lowest Val Loss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4.8337188410170102E-2"/>
    <n v="93.385173140410245"/>
    <n v="-29.78871482758127"/>
    <n v="-591.45557434510647"/>
    <n v="0.1741388962860865"/>
    <n v="0.52515975073098409"/>
    <n v="1.394717387049166"/>
    <n v="99.613698213753963"/>
    <n v="-65.250450436907187"/>
    <n v="54519.363372990883"/>
    <n v="-1177.196487779438"/>
    <n v="0.66666666666666663"/>
    <s v="uniform"/>
    <s v="false"/>
  </r>
  <r>
    <s v="24/04/2026 17:50:15"/>
    <s v="04-24_17-50-15_multihead_4heads_run6_spsa_serial_f6_w5_h5_effsu2_lin_r1.pkl"/>
    <x v="7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3602264881731997E-2"/>
    <n v="3795.9239629252679"/>
    <n v="-104.52635811481289"/>
    <n v="-335.69312517158818"/>
    <n v="0.159951613050754"/>
    <n v="0.45918031913345259"/>
    <n v="1.238722754337471"/>
    <n v="8218.7859551699366"/>
    <n v="-313.51896978820662"/>
    <n v="25484.102506822001"/>
    <n v="-906.12737205429801"/>
    <n v="0.66666666666666663"/>
    <s v="uniform"/>
    <s v="false"/>
  </r>
  <r>
    <s v="24/04/2026 17:50:15"/>
    <s v="04-24_17-50-15_multihead_4heads_run7_spsa_serial_f6_w5_h5_effsu2_lin_r1.pkl"/>
    <x v="8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53522800116149E-2"/>
    <n v="317.79539047807179"/>
    <n v="-3.9327785315212669"/>
    <n v="-404.90417546087269"/>
    <n v="0.16354880193419299"/>
    <n v="0.47792141760072671"/>
    <n v="1.3853159176222869"/>
    <n v="497.14109212089733"/>
    <n v="-5.7460989809091378"/>
    <n v="150944.10633042839"/>
    <n v="-318.93312968742538"/>
    <n v="0.66666666666666663"/>
    <s v="uniform"/>
    <s v="false"/>
  </r>
  <r>
    <s v="24/04/2026 17:50:15"/>
    <s v="04-24_17-50-15_multihead_4heads_run8_spsa_serial_f6_w5_h5_effsu2_lin_r1.pkl"/>
    <x v="1"/>
    <s v="Final (Last Iteration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1170083398946201E-2"/>
    <n v="344.5141814698128"/>
    <n v="-126.03566377255621"/>
    <n v="-243.61914137586061"/>
    <n v="0.15654894517139351"/>
    <n v="0.52248034660729903"/>
    <n v="1.2035071310158281"/>
    <n v="573.91772988423816"/>
    <n v="-370.23521952395328"/>
    <n v="29773.168924048408"/>
    <n v="-667.55635133056296"/>
    <n v="0.66666666666666663"/>
    <s v="uniform"/>
    <s v="false"/>
  </r>
  <r>
    <s v="24/04/2026 17:50:22"/>
    <s v="04-24_17-50-22_multihead_4heads_run9_spsa_serial_f6_w5_h5_effsu2_lin_r1.pkl"/>
    <x v="9"/>
    <s v="Best (Lowest Val Loss)"/>
    <s v="data/reduce_row_number_absolutes"/>
    <n v="16590"/>
    <n v="4.5"/>
    <x v="1"/>
    <x v="0"/>
    <n v="5"/>
    <n v="5"/>
    <s v="delta"/>
    <s v="true"/>
    <s v="false"/>
    <x v="0"/>
    <s v="multihead"/>
    <s v="[{'features': ['dsv', '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3244026216409703E-2"/>
    <n v="47.258580927494563"/>
    <n v="-12.7213995495226"/>
    <n v="-656.66773141259"/>
    <n v="0.20130240538097149"/>
    <n v="0.4997593534874652"/>
    <n v="1.4447412262478201"/>
    <n v="324.31424498754512"/>
    <n v="-39.174021800559061"/>
    <n v="342098.39498701191"/>
    <n v="-1223.874758603997"/>
    <n v="0.66666666666666663"/>
    <s v="uniform"/>
    <s v="false"/>
  </r>
  <r>
    <s v="24/04/2026 18:41:45"/>
    <s v="04-24_18-41-45_multihead_4heads_run0_spsa_serial_f5_w5_h5_effsu2_lin_r1.pkl"/>
    <x v="2"/>
    <s v="Final (Last Iteration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4966205405523799E-2"/>
    <n v="2025.0262959381209"/>
    <n v="-35.142612656227953"/>
    <n v="-242.73450591354771"/>
    <n v="0.11928644085413539"/>
    <n v="0.43228972572219782"/>
    <n v="0.91853665874680224"/>
    <n v="2711.0884845225792"/>
    <n v="-108.8362296790494"/>
    <n v="2461954.6224333108"/>
    <n v="-5455.4513869801231"/>
    <n v="0.8"/>
    <s v="uniform"/>
    <s v="false"/>
  </r>
  <r>
    <s v="24/04/2026 18:41:45"/>
    <s v="04-24_18-41-45_multihead_4heads_run1_spsa_serial_f5_w5_h5_effsu2_lin_r1.pkl"/>
    <x v="3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57099733296487E-2"/>
    <n v="1030.1228653708879"/>
    <n v="-6.7493239168485619"/>
    <n v="-3975.783717229609"/>
    <n v="0.1026618467777841"/>
    <n v="0.4263750068132432"/>
    <n v="0.77291946055779215"/>
    <n v="2539.6312722487928"/>
    <n v="-32.209415003650037"/>
    <n v="5852547.6039097235"/>
    <n v="-12879.952984027341"/>
    <n v="0.8"/>
    <s v="uniform"/>
    <s v="false"/>
  </r>
  <r>
    <s v="24/04/2026 18:41:53"/>
    <s v="04-24_18-41-53_multihead_4heads_run2_spsa_serial_f5_w5_h5_effsu2_lin_r1.pkl"/>
    <x v="5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9369672522079101E-2"/>
    <n v="387.23350561268558"/>
    <n v="-75.141279790493854"/>
    <n v="-785.96449100600728"/>
    <n v="0.20440910601658069"/>
    <n v="0.42359533367159929"/>
    <n v="1.8621853026346169"/>
    <n v="2878.8806509067058"/>
    <n v="-166.01034943512471"/>
    <n v="548956.28710001905"/>
    <n v="-1215.50156443899"/>
    <n v="0.8"/>
    <s v="uniform"/>
    <s v="false"/>
  </r>
  <r>
    <s v="24/04/2026 18:41:53"/>
    <s v="04-24_18-41-53_multihead_4heads_run3_spsa_serial_f5_w5_h5_effsu2_lin_r1.pkl"/>
    <x v="4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43613552369634E-2"/>
    <n v="232.52170604612931"/>
    <n v="-112.481470158074"/>
    <n v="-13869.04272750977"/>
    <n v="0.1224115491186378"/>
    <n v="0.433358154497482"/>
    <n v="0.84248096229044778"/>
    <n v="1644.7920786324989"/>
    <n v="-224.50585587603771"/>
    <n v="10311206.61994138"/>
    <n v="-21024.953240247549"/>
    <n v="0.8"/>
    <s v="uniform"/>
    <s v="false"/>
  </r>
  <r>
    <s v="24/04/2026 18:41:54"/>
    <s v="04-24_18-41-54_multihead_4heads_run4_spsa_serial_f5_w5_h5_effsu2_lin_r1.pkl"/>
    <x v="6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0353650411164901E-2"/>
    <n v="1099.419627721752"/>
    <n v="-18.510865037827021"/>
    <n v="-77.258027292531438"/>
    <n v="0.1334819566647919"/>
    <n v="0.48538739527711389"/>
    <n v="0.86262309810689697"/>
    <n v="3517.6510371725062"/>
    <n v="-40.406616401354633"/>
    <n v="1325.8448749491019"/>
    <n v="-103.53672018173449"/>
    <n v="0.8"/>
    <s v="uniform"/>
    <s v="false"/>
  </r>
  <r>
    <s v="24/04/2026 18:42:11"/>
    <s v="04-24_18-42-11_multihead_4heads_run5_spsa_serial_f5_w5_h5_effsu2_lin_r1.pkl"/>
    <x v="0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7233534376159897E-2"/>
    <n v="2358.5273563630649"/>
    <n v="-50.699179989637017"/>
    <n v="-338.96519137672283"/>
    <n v="0.17245264840042579"/>
    <n v="0.4226023733892697"/>
    <n v="1.4637499396193181"/>
    <n v="6047.2149514206421"/>
    <n v="-91.792672556505281"/>
    <n v="129560.19200621441"/>
    <n v="-546.5252108688378"/>
    <n v="0.8"/>
    <s v="uniform"/>
    <s v="false"/>
  </r>
  <r>
    <s v="24/04/2026 19:00:02"/>
    <s v="04-24_19-00-02_multihead_4heads_run6_spsa_serial_f5_w5_h5_effsu2_lin_r1.pkl"/>
    <x v="7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8744265512312502E-2"/>
    <n v="155.44867539289001"/>
    <n v="-7.352716796074855"/>
    <n v="-14309.056023597581"/>
    <n v="0.11761473987029331"/>
    <n v="0.41078137128352299"/>
    <n v="0.85273827228648424"/>
    <n v="1680.528651029123"/>
    <n v="-21.25241436347526"/>
    <n v="10594737.637595501"/>
    <n v="-21985.25717977207"/>
    <n v="0.8"/>
    <s v="uniform"/>
    <s v="false"/>
  </r>
  <r>
    <s v="24/04/2026 19:00:32"/>
    <s v="04-24_19-00-32_multihead_4heads_run7_spsa_serial_f5_w5_h5_effsu2_lin_r1.pkl"/>
    <x v="8"/>
    <s v="Best (Lowest Val Loss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6.1477506665171898E-2"/>
    <n v="1071.7363264891169"/>
    <n v="-246.5261531094838"/>
    <n v="-1955.9205174185461"/>
    <n v="0.12942395412142499"/>
    <n v="0.36764686249798018"/>
    <n v="1.147246917943112"/>
    <n v="1431.4867191799369"/>
    <n v="-704.64147633235291"/>
    <n v="7396102.2722773599"/>
    <n v="-16101.559049037351"/>
    <n v="0.8"/>
    <s v="uniform"/>
    <s v="false"/>
  </r>
  <r>
    <s v="24/04/2026 19:00:39"/>
    <s v="04-24_19-00-39_multihead_4heads_run8_spsa_serial_f5_w5_h5_effsu2_lin_r1.pkl"/>
    <x v="1"/>
    <s v="Final (Last Iteration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4.8087893501350801E-2"/>
    <n v="183.8074434870274"/>
    <n v="-96.597765144150245"/>
    <n v="-281.0546064817496"/>
    <n v="0.10103612718801711"/>
    <n v="0.48654335653034431"/>
    <n v="0.77830039674948115"/>
    <n v="419.63904806664078"/>
    <n v="-300.36511524648807"/>
    <n v="142044.4166508108"/>
    <n v="-611.44088876130945"/>
    <n v="0.8"/>
    <s v="uniform"/>
    <s v="false"/>
  </r>
  <r>
    <s v="24/04/2026 19:00:57"/>
    <s v="04-24_19-00-57_multihead_4heads_run9_spsa_serial_f5_w5_h5_effsu2_lin_r1.pkl"/>
    <x v="9"/>
    <s v="Final (Last Iteration)"/>
    <s v="data/reduce_row_number_absolutes"/>
    <n v="16590"/>
    <n v="4.5"/>
    <x v="2"/>
    <x v="0"/>
    <n v="5"/>
    <n v="5"/>
    <s v="delta"/>
    <s v="true"/>
    <s v="false"/>
    <x v="0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5.71189028629039E-2"/>
    <n v="137.7107360283668"/>
    <n v="-26.878157385991571"/>
    <n v="-17343.830003515461"/>
    <n v="0.1405437679523123"/>
    <n v="0.42676476472308938"/>
    <n v="0.94115740524916058"/>
    <n v="1609.9258723430701"/>
    <n v="-71.465724443063664"/>
    <n v="13276654.32160018"/>
    <n v="-26557.783079010082"/>
    <n v="0.8"/>
    <s v="uniform"/>
    <s v="false"/>
  </r>
  <r>
    <s v="24/04/2026 19:42:37"/>
    <s v="04-24_19-42-37_multihead_4heads_run0_spsa_serial_f5_w5_h5_effsu2_lin_r1.pkl"/>
    <x v="2"/>
    <s v="Best (Lowest Val Loss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1.138233461130163"/>
    <n v="2229.8121043081819"/>
    <n v="-20.238693355890149"/>
    <n v="-417.31806246642458"/>
    <n v="0.12947004710457641"/>
    <n v="0.44476634108900193"/>
    <n v="1.1206679446073811"/>
    <n v="9232.5086268739487"/>
    <n v="-60.288599236065863"/>
    <n v="44870.570350678252"/>
    <n v="-986.78127364904503"/>
    <n v="0.8"/>
    <s v="uniform"/>
    <s v="false"/>
  </r>
  <r>
    <s v="24/04/2026 19:42:39"/>
    <s v="04-24_19-42-39_multihead_4heads_run1_spsa_serial_f5_w5_h5_effsu2_lin_r1.pkl"/>
    <x v="3"/>
    <s v="Final (Last Iteration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81195867423221912"/>
    <n v="949.93251641313304"/>
    <n v="-12.82105929691587"/>
    <n v="-7896.3514604761713"/>
    <n v="0.1047672571879719"/>
    <n v="0.45973353793158639"/>
    <n v="0.77163690694909715"/>
    <n v="3233.2263605694638"/>
    <n v="-35.884783649868169"/>
    <n v="6062032.5853994619"/>
    <n v="-12491.499423231689"/>
    <n v="0.8"/>
    <s v="uniform"/>
    <s v="false"/>
  </r>
  <r>
    <s v="24/04/2026 19:42:43"/>
    <s v="04-24_19-42-43_multihead_4heads_run2_spsa_serial_f5_w5_h5_effsu2_lin_r1.pkl"/>
    <x v="5"/>
    <s v="Best (Lowest Val Loss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1.0182714045841941"/>
    <n v="339.53952809518358"/>
    <n v="-226.480752420762"/>
    <n v="-17496.673933385551"/>
    <n v="0.12132155911401531"/>
    <n v="0.41022768339639909"/>
    <n v="0.9455139852564336"/>
    <n v="740.99937511993005"/>
    <n v="-524.18141030156119"/>
    <n v="12812830.449337119"/>
    <n v="-26786.661020748499"/>
    <n v="0.8"/>
    <s v="uniform"/>
    <s v="false"/>
  </r>
  <r>
    <s v="24/04/2026 19:42:49"/>
    <s v="04-24_19-42-49_multihead_4heads_run3_spsa_serial_f5_w5_h5_effsu2_lin_r1.pkl"/>
    <x v="4"/>
    <s v="Final (Last Iteration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89355827097215534"/>
    <n v="203.65484314682541"/>
    <n v="-32.152206695605017"/>
    <n v="-10425.852665914161"/>
    <n v="0.1122150098498735"/>
    <n v="0.44698288158923549"/>
    <n v="0.83902173246459888"/>
    <n v="1432.8935166831741"/>
    <n v="-125.15483254145229"/>
    <n v="7933452.8722286886"/>
    <n v="-16150.239548521749"/>
    <n v="0.8"/>
    <s v="uniform"/>
    <s v="false"/>
  </r>
  <r>
    <s v="24/04/2026 19:42:51"/>
    <s v="04-24_19-42-51_multihead_4heads_run4_spsa_serial_f5_w5_h5_effsu2_lin_r1.pkl"/>
    <x v="6"/>
    <s v="Best (Lowest Val Loss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81376184565840171"/>
    <n v="9.0683776207078157"/>
    <n v="-6.4897110359490764"/>
    <n v="-6844.4260415832068"/>
    <n v="0.13122573919644109"/>
    <n v="0.47110380253169332"/>
    <n v="0.76052353139419027"/>
    <n v="51.522697265493854"/>
    <n v="-8.6796228876003223"/>
    <n v="959339.69105765875"/>
    <n v="-1996.189833183249"/>
    <n v="0.8"/>
    <s v="uniform"/>
    <s v="false"/>
  </r>
  <r>
    <s v="24/04/2026 19:43:06"/>
    <s v="04-24_19-43-06_multihead_4heads_run5_spsa_serial_f5_w5_h5_effsu2_lin_r1.pkl"/>
    <x v="0"/>
    <s v="Final (Last Iteration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1.182909348643757"/>
    <n v="438.7874975503666"/>
    <n v="-18.14776059464943"/>
    <n v="-533.17387570132394"/>
    <n v="0.14758333476919239"/>
    <n v="0.4432868889903524"/>
    <n v="1.1586302258616969"/>
    <n v="2047.8401036965249"/>
    <n v="-28.511099726680321"/>
    <n v="169284.49511971211"/>
    <n v="-808.45821216405977"/>
    <n v="0.8"/>
    <s v="uniform"/>
    <s v="false"/>
  </r>
  <r>
    <s v="24/04/2026 20:10:12"/>
    <s v="04-24_20-10-12_multihead_4heads_run6_spsa_serial_f5_w5_h5_effsu2_lin_r1.pkl"/>
    <x v="7"/>
    <s v="Final (Last Iteration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80927925696103564"/>
    <n v="1392.806345167683"/>
    <n v="-8.0993533202466281"/>
    <n v="-195.97637469821231"/>
    <n v="0.1112656585206022"/>
    <n v="0.4625990838469034"/>
    <n v="0.7877082883629698"/>
    <n v="2082.3749304369712"/>
    <n v="-16.158677946791681"/>
    <n v="102652.6344997492"/>
    <n v="-264.4665408226644"/>
    <n v="0.8"/>
    <s v="uniform"/>
    <s v="false"/>
  </r>
  <r>
    <s v="24/04/2026 20:10:37"/>
    <s v="04-24_20-10-37_multihead_4heads_run7_spsa_serial_f5_w5_h5_effsu2_lin_r1.pkl"/>
    <x v="8"/>
    <s v="Best (Lowest Val Loss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96857813937383919"/>
    <n v="317.07670120127659"/>
    <n v="-61.996249240018749"/>
    <n v="-7500.175808953225"/>
    <n v="0.11957099757937829"/>
    <n v="0.39944369745005232"/>
    <n v="0.91524522266972719"/>
    <n v="824.2842588534354"/>
    <n v="-147.5554134199437"/>
    <n v="5754019.2721164664"/>
    <n v="-11987.44726982869"/>
    <n v="0.8"/>
    <s v="uniform"/>
    <s v="false"/>
  </r>
  <r>
    <s v="24/04/2026 20:10:51"/>
    <s v="04-24_20-10-51_multihead_4heads_run8_spsa_serial_f5_w5_h5_effsu2_lin_r1.pkl"/>
    <x v="1"/>
    <s v="Final (Last Iteration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0.86532879348991687"/>
    <n v="2049.497662401935"/>
    <n v="-31.557220137937041"/>
    <n v="-12835.529822480859"/>
    <n v="0.1098867538099655"/>
    <n v="0.43937726487104489"/>
    <n v="0.81629699578413784"/>
    <n v="6227.4295325562298"/>
    <n v="-68.780175071648543"/>
    <n v="9644185.3619545046"/>
    <n v="-19499.675846788439"/>
    <n v="0.8"/>
    <s v="uniform"/>
    <s v="false"/>
  </r>
  <r>
    <s v="24/04/2026 20:11:22"/>
    <s v="04-24_20-11-22_multihead_4heads_run9_spsa_serial_f5_w5_h5_effsu2_lin_r1.pkl"/>
    <x v="9"/>
    <s v="Best (Lowest Val Loss)"/>
    <s v="data/reduce_row_number_absolutes"/>
    <n v="16590"/>
    <n v="4.5"/>
    <x v="2"/>
    <x v="0"/>
    <n v="5"/>
    <n v="5"/>
    <s v="delta"/>
    <s v="true"/>
    <s v="false"/>
    <x v="1"/>
    <s v="multihead"/>
    <s v="[{'features': ['dsv', 'dyr'], 'output_dim': 1, 'reps': 1, 'encoding': 'serial', 'ansatz': 'effsu2', 'entangle': 'lin', 'map': [0, 1, -1]}, {'features': ['dwv', 'rarad'], 'output_dim': 1, 'reps': 1, 'encoding': 'serial', 'ansatz': 'effsu2', 'entangle': 'lin', 'map': [0, 1, -1]}, {'features': ['dyr', 'rarad'], 'output_dim': 1, 'reps': 1, 'encoding': 'serial', 'ansatz': 'effsu2', 'entangle': 'lin', 'map': [0, 1, -1]}, {'features': ['dya', 'dyr'], 'output_dim': 1, 'reps': 1, 'encoding': 'serial', 'ansatz': 'effsu2', 'entangle': 'lin', 'map': [0, 1, -1]}]"/>
    <n v="4"/>
    <s v="serial"/>
    <s v="effsu2"/>
    <s v="lin"/>
    <n v="1"/>
    <s v="[0, 1, -1]"/>
    <s v="false"/>
    <s v="spsa"/>
    <n v="6000"/>
    <n v="6000"/>
    <m/>
    <n v="32"/>
    <s v="[0.1, 0.001]"/>
    <n v="0.01"/>
    <s v="[1.0, 1.0, 1.0, 1.0]"/>
    <n v="160"/>
    <n v="40"/>
    <n v="120"/>
    <n v="1.420403697042002"/>
    <n v="137.90103538001779"/>
    <n v="-10.739556928210501"/>
    <n v="-730.2009796917298"/>
    <n v="0.180132829055691"/>
    <n v="0.43922338500623909"/>
    <n v="1.3722150307899319"/>
    <n v="874.76206614678085"/>
    <n v="-34.098800364245342"/>
    <n v="386409.39002151182"/>
    <n v="-1205.235942844389"/>
    <n v="0.8"/>
    <s v="uniform"/>
    <s v="fal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F07B2-6D55-445A-A05B-1F27C0D45B33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L6" firstHeaderRow="0" firstDataRow="1" firstDataCol="1" rowPageCount="1" colPageCount="1"/>
  <pivotFields count="49">
    <pivotField showAll="0"/>
    <pivotField dataField="1" showAll="0"/>
    <pivotField axis="axisRow" showAll="0">
      <items count="11">
        <item x="2"/>
        <item x="3"/>
        <item x="5"/>
        <item x="4"/>
        <item x="6"/>
        <item x="0"/>
        <item x="7"/>
        <item x="8"/>
        <item x="1"/>
        <item x="9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4"/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7" item="0" hier="-1"/>
  </pageFields>
  <dataFields count="4">
    <dataField name="Promedio de step R2" fld="40" subtotal="average" baseField="14" baseItem="0"/>
    <dataField name="Promedio de Val Global Open R2" fld="37" subtotal="average" baseField="14" baseItem="0"/>
    <dataField name="Promedio de global open R2" fld="43" subtotal="average" baseField="14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9AE1A-D57D-44A9-BBD0-4C8FAAC49E23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49">
    <pivotField showAll="0"/>
    <pivotField dataField="1" showAll="0"/>
    <pivotField axis="axisRow" showAll="0">
      <items count="11">
        <item x="2"/>
        <item x="3"/>
        <item x="5"/>
        <item x="4"/>
        <item x="6"/>
        <item x="0"/>
        <item x="7"/>
        <item x="8"/>
        <item x="1"/>
        <item x="9"/>
        <item t="default"/>
      </items>
    </pivotField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7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4" item="0" hier="-1"/>
  </pageFields>
  <dataFields count="4">
    <dataField name="Promedio de Val Global Open R2" fld="37" subtotal="average" baseField="7" baseItem="0"/>
    <dataField name="Promedio de step R2" fld="40" subtotal="average" baseField="7" baseItem="1"/>
    <dataField name="Promedio de global open R2" fld="43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E66E2-789D-4B59-ABCD-9F65F6B3BD27}" name="Tabla1" displayName="Tabla1" ref="A1:AW41" totalsRowShown="0" headerRowDxfId="0" headerRowBorderDxfId="1" tableBorderDxfId="2">
  <autoFilter ref="A1:AW41" xr:uid="{DC0E66E2-789D-4B59-ABCD-9F65F6B3BD27}"/>
  <tableColumns count="49">
    <tableColumn id="1" xr3:uid="{C61EE1BC-6A51-4FEF-8099-FE6CE43638CA}" name="date"/>
    <tableColumn id="2" xr3:uid="{255901CA-6745-4D55-BD79-429ABD259653}" name="model_id"/>
    <tableColumn id="3" xr3:uid="{B96B6EBD-C99C-46A9-B77C-F520DD654010}" name="run"/>
    <tableColumn id="4" xr3:uid="{A220B677-0DB7-4358-BEA3-2F183FB21DAF}" name="weight_selection"/>
    <tableColumn id="5" xr3:uid="{68DD9C80-4EF7-4832-85C6-489722D63C47}" name="data"/>
    <tableColumn id="6" xr3:uid="{62C55AC2-37A7-49F2-AAF3-51E1957298BA}" name="data_n"/>
    <tableColumn id="7" xr3:uid="{409DC630-8F7A-4241-9B3A-E343DBFA7E48}" name="data_dt"/>
    <tableColumn id="8" xr3:uid="{8D3CD73A-EA41-4CA3-9C01-4FB2CBE20E47}" name="features"/>
    <tableColumn id="9" xr3:uid="{290C8040-4174-49F4-ACAB-A792ECE8C3FB}" name="targets"/>
    <tableColumn id="10" xr3:uid="{21E67900-F838-4B28-BB0C-08C2EF26F705}" name="window_size"/>
    <tableColumn id="11" xr3:uid="{5F90F9DF-E979-46F9-A956-6375AAA6E3B5}" name="horizon"/>
    <tableColumn id="12" xr3:uid="{C94D6C1F-F1CA-4C73-9A7A-B6096ECBC882}" name="predict"/>
    <tableColumn id="13" xr3:uid="{B3B76376-7A8F-4BFA-85C5-0C8C01BED30C}" name="norm"/>
    <tableColumn id="14" xr3:uid="{E51B5A60-0C78-466B-9531-B3BAB3894B3F}" name="reconstruct_train"/>
    <tableColumn id="15" xr3:uid="{699CB450-32F2-490E-BCC0-2BB57268558D}" name="reconstruct_val"/>
    <tableColumn id="16" xr3:uid="{0DB760B2-CCDD-487D-B652-3AEDA25F5DD4}" name="model"/>
    <tableColumn id="17" xr3:uid="{C054419C-E323-44D9-BF1C-698C58B20AD5}" name="heads_config"/>
    <tableColumn id="18" xr3:uid="{41D19103-65A3-493A-8E34-13E2FE4128E9}" name="head_number"/>
    <tableColumn id="19" xr3:uid="{2331C870-690E-45E7-B42C-E5FB80426EC1}" name="encoding"/>
    <tableColumn id="20" xr3:uid="{45A97DD4-534F-477B-907D-646B00C42C4F}" name="ansatz"/>
    <tableColumn id="21" xr3:uid="{C15B2E20-E89E-4A25-A3D8-959825ED6CA9}" name="entangle"/>
    <tableColumn id="22" xr3:uid="{8EAF84D1-68D7-493F-9176-D4CA5A8BFA24}" name="reps"/>
    <tableColumn id="23" xr3:uid="{C2B79500-0602-43CE-8146-FE8D583B4200}" name="map"/>
    <tableColumn id="24" xr3:uid="{9AC43DF0-5DF9-4AAB-B5CA-677FC29A08EC}" name="reorder"/>
    <tableColumn id="25" xr3:uid="{BD86D201-678C-4D6C-86DD-B972F7F84044}" name="optimizer"/>
    <tableColumn id="26" xr3:uid="{B2C9F70E-4035-4B2C-9E8A-6F5B975175D0}" name="maxiter"/>
    <tableColumn id="27" xr3:uid="{DD90AC4A-D4C9-41C9-8819-88263386C47E}" name="iterations"/>
    <tableColumn id="28" xr3:uid="{D63EDA31-E09C-4B00-8144-972BCA6EF636}" name="tolerance"/>
    <tableColumn id="29" xr3:uid="{D24AE544-E51C-483E-B971-2E3071263099}" name="batch_size"/>
    <tableColumn id="30" xr3:uid="{3C32025E-0D29-4C91-BE6E-F1AC9A40DDB2}" name="learning_rate"/>
    <tableColumn id="31" xr3:uid="{DD2C9720-8013-47D4-BBA8-1B9FCE5A8390}" name="perturbation"/>
    <tableColumn id="32" xr3:uid="{9D43C2A7-46C5-49B7-BF75-E895AA6952FC}" name="weights"/>
    <tableColumn id="33" xr3:uid="{7F257538-1D0F-4F61-BBC4-C83591E68F67}" name="total params"/>
    <tableColumn id="34" xr3:uid="{48F9E043-EBCE-4B17-B83C-539B8B7ECAEC}" name="q params"/>
    <tableColumn id="35" xr3:uid="{3D52CDA6-7ECA-4062-987F-DC11493293B2}" name="c params"/>
    <tableColumn id="36" xr3:uid="{9C5B4BFF-56FE-49B5-A5A8-909230FA0E00}" name="final val loss"/>
    <tableColumn id="37" xr3:uid="{462EB9AD-2951-4EE0-BE52-FB91BB213B0D}" name="Val Global Open MSE"/>
    <tableColumn id="38" xr3:uid="{76232BA5-975E-4501-AC73-BB9683BF5D10}" name="Val Global Open R2"/>
    <tableColumn id="39" xr3:uid="{41EC39F0-83DA-4AEC-A2AD-39B3E69893BA}" name="Val Global Closed R2"/>
    <tableColumn id="40" xr3:uid="{F4F00CAE-9745-44A5-82E4-9FB97ECBBBAB}" name="step MSE"/>
    <tableColumn id="41" xr3:uid="{C7CEBBBB-A99C-4AC5-A5FF-F0C9F89D5A8E}" name="step R2"/>
    <tableColumn id="42" xr3:uid="{9D0D5560-27BE-4452-B176-29C15A3B4BDF}" name="local MSE"/>
    <tableColumn id="43" xr3:uid="{1F0E9B20-567D-469A-991C-30EAAB9D80FD}" name="global open MSE"/>
    <tableColumn id="44" xr3:uid="{FD5160C7-AEFB-4936-AD7E-F09A81E01BC7}" name="global open R2"/>
    <tableColumn id="45" xr3:uid="{1332024C-9530-463F-91C1-52C1DFDBA2F4}" name="global closed MSE"/>
    <tableColumn id="46" xr3:uid="{F7B65882-B693-454A-9987-E13117207A6A}" name="global closed R2"/>
    <tableColumn id="47" xr3:uid="{0408D82A-5847-426A-99EE-029CCC79829F}" name="recursivity"/>
    <tableColumn id="48" xr3:uid="{960F85BA-A7C4-4C26-A01D-3C7B8DED4EFF}" name="initialization"/>
    <tableColumn id="49" xr3:uid="{512E08B8-A9F1-450E-82EC-630E6A6CD9B8}" name="freez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1"/>
  <sheetViews>
    <sheetView workbookViewId="0">
      <selection activeCell="G51" sqref="G5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139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x14ac:dyDescent="0.3">
      <c r="A2" t="s">
        <v>48</v>
      </c>
      <c r="B2" t="s">
        <v>49</v>
      </c>
      <c r="C2">
        <v>5</v>
      </c>
      <c r="D2" t="s">
        <v>50</v>
      </c>
      <c r="E2" t="s">
        <v>51</v>
      </c>
      <c r="F2">
        <v>16590</v>
      </c>
      <c r="G2">
        <v>4.5</v>
      </c>
      <c r="H2" t="s">
        <v>52</v>
      </c>
      <c r="I2" t="s">
        <v>53</v>
      </c>
      <c r="J2">
        <v>5</v>
      </c>
      <c r="K2">
        <v>5</v>
      </c>
      <c r="L2" t="s">
        <v>54</v>
      </c>
      <c r="M2" t="s">
        <v>137</v>
      </c>
      <c r="N2" t="s">
        <v>138</v>
      </c>
      <c r="O2" t="s">
        <v>138</v>
      </c>
      <c r="P2" t="s">
        <v>55</v>
      </c>
      <c r="Q2" t="s">
        <v>56</v>
      </c>
      <c r="R2">
        <v>4</v>
      </c>
      <c r="S2" t="s">
        <v>57</v>
      </c>
      <c r="T2" t="s">
        <v>58</v>
      </c>
      <c r="U2" t="s">
        <v>59</v>
      </c>
      <c r="V2">
        <v>1</v>
      </c>
      <c r="W2" t="s">
        <v>60</v>
      </c>
      <c r="X2" t="s">
        <v>138</v>
      </c>
      <c r="Y2" t="s">
        <v>61</v>
      </c>
      <c r="Z2">
        <v>6000</v>
      </c>
      <c r="AA2">
        <v>6000</v>
      </c>
      <c r="AC2">
        <v>32</v>
      </c>
      <c r="AD2" t="s">
        <v>62</v>
      </c>
      <c r="AE2">
        <v>0.01</v>
      </c>
      <c r="AF2" t="s">
        <v>63</v>
      </c>
      <c r="AG2">
        <v>160</v>
      </c>
      <c r="AH2">
        <v>40</v>
      </c>
      <c r="AI2">
        <v>120</v>
      </c>
      <c r="AJ2">
        <v>3.17043249113673E-2</v>
      </c>
      <c r="AK2">
        <v>908.03630022122877</v>
      </c>
      <c r="AL2">
        <v>-80.026445962195382</v>
      </c>
      <c r="AM2">
        <v>-10.52287370092459</v>
      </c>
      <c r="AN2">
        <v>9.54635775630127E-2</v>
      </c>
      <c r="AO2">
        <v>0.57024126313026369</v>
      </c>
      <c r="AP2">
        <v>0.73501051754605651</v>
      </c>
      <c r="AQ2">
        <v>4209.890196717316</v>
      </c>
      <c r="AR2">
        <v>-307.86912780705302</v>
      </c>
      <c r="AS2">
        <v>576.61097967842318</v>
      </c>
      <c r="AT2">
        <v>-10.231250188037739</v>
      </c>
      <c r="AU2">
        <v>0.8</v>
      </c>
      <c r="AV2" t="s">
        <v>64</v>
      </c>
      <c r="AW2" t="s">
        <v>138</v>
      </c>
    </row>
    <row r="3" spans="1:76" x14ac:dyDescent="0.3">
      <c r="A3" t="s">
        <v>48</v>
      </c>
      <c r="B3" t="s">
        <v>65</v>
      </c>
      <c r="C3">
        <v>8</v>
      </c>
      <c r="D3" t="s">
        <v>50</v>
      </c>
      <c r="E3" t="s">
        <v>51</v>
      </c>
      <c r="F3">
        <v>16590</v>
      </c>
      <c r="G3">
        <v>4.5</v>
      </c>
      <c r="H3" t="s">
        <v>52</v>
      </c>
      <c r="I3" t="s">
        <v>53</v>
      </c>
      <c r="J3">
        <v>5</v>
      </c>
      <c r="K3">
        <v>5</v>
      </c>
      <c r="L3" t="s">
        <v>54</v>
      </c>
      <c r="M3" t="s">
        <v>137</v>
      </c>
      <c r="N3" t="s">
        <v>138</v>
      </c>
      <c r="O3" t="s">
        <v>138</v>
      </c>
      <c r="P3" t="s">
        <v>55</v>
      </c>
      <c r="Q3" t="s">
        <v>56</v>
      </c>
      <c r="R3">
        <v>4</v>
      </c>
      <c r="S3" t="s">
        <v>57</v>
      </c>
      <c r="T3" t="s">
        <v>58</v>
      </c>
      <c r="U3" t="s">
        <v>59</v>
      </c>
      <c r="V3">
        <v>1</v>
      </c>
      <c r="W3" t="s">
        <v>60</v>
      </c>
      <c r="X3" t="s">
        <v>138</v>
      </c>
      <c r="Y3" t="s">
        <v>61</v>
      </c>
      <c r="Z3">
        <v>6000</v>
      </c>
      <c r="AA3">
        <v>6000</v>
      </c>
      <c r="AC3">
        <v>32</v>
      </c>
      <c r="AD3" t="s">
        <v>62</v>
      </c>
      <c r="AE3">
        <v>0.01</v>
      </c>
      <c r="AF3" t="s">
        <v>63</v>
      </c>
      <c r="AG3">
        <v>160</v>
      </c>
      <c r="AH3">
        <v>40</v>
      </c>
      <c r="AI3">
        <v>120</v>
      </c>
      <c r="AJ3">
        <v>2.4737866343186199E-2</v>
      </c>
      <c r="AK3">
        <v>419.77031920789682</v>
      </c>
      <c r="AL3">
        <v>-25.384760630692199</v>
      </c>
      <c r="AM3">
        <v>-1.203522655425372</v>
      </c>
      <c r="AN3">
        <v>7.9527360680043999E-2</v>
      </c>
      <c r="AO3">
        <v>0.6621069507233881</v>
      </c>
      <c r="AP3">
        <v>0.67970928378323114</v>
      </c>
      <c r="AQ3">
        <v>1257.3077138438721</v>
      </c>
      <c r="AR3">
        <v>-93.106495521089144</v>
      </c>
      <c r="AS3">
        <v>7306.8132562592082</v>
      </c>
      <c r="AT3">
        <v>-14.954168631995611</v>
      </c>
      <c r="AU3">
        <v>0.8</v>
      </c>
      <c r="AV3" t="s">
        <v>64</v>
      </c>
      <c r="AW3" t="s">
        <v>138</v>
      </c>
    </row>
    <row r="4" spans="1:76" x14ac:dyDescent="0.3">
      <c r="A4" t="s">
        <v>66</v>
      </c>
      <c r="B4" t="s">
        <v>67</v>
      </c>
      <c r="C4">
        <v>0</v>
      </c>
      <c r="D4" t="s">
        <v>68</v>
      </c>
      <c r="E4" t="s">
        <v>51</v>
      </c>
      <c r="F4">
        <v>16590</v>
      </c>
      <c r="G4">
        <v>4.5</v>
      </c>
      <c r="H4" t="s">
        <v>52</v>
      </c>
      <c r="I4" t="s">
        <v>53</v>
      </c>
      <c r="J4">
        <v>5</v>
      </c>
      <c r="K4">
        <v>5</v>
      </c>
      <c r="L4" t="s">
        <v>54</v>
      </c>
      <c r="M4" t="s">
        <v>137</v>
      </c>
      <c r="N4" t="s">
        <v>138</v>
      </c>
      <c r="O4" t="s">
        <v>138</v>
      </c>
      <c r="P4" t="s">
        <v>55</v>
      </c>
      <c r="Q4" t="s">
        <v>56</v>
      </c>
      <c r="R4">
        <v>4</v>
      </c>
      <c r="S4" t="s">
        <v>57</v>
      </c>
      <c r="T4" t="s">
        <v>58</v>
      </c>
      <c r="U4" t="s">
        <v>59</v>
      </c>
      <c r="V4">
        <v>1</v>
      </c>
      <c r="W4" t="s">
        <v>60</v>
      </c>
      <c r="X4" t="s">
        <v>138</v>
      </c>
      <c r="Y4" t="s">
        <v>61</v>
      </c>
      <c r="Z4">
        <v>6000</v>
      </c>
      <c r="AA4">
        <v>6000</v>
      </c>
      <c r="AC4">
        <v>32</v>
      </c>
      <c r="AD4" t="s">
        <v>62</v>
      </c>
      <c r="AE4">
        <v>0.01</v>
      </c>
      <c r="AF4" t="s">
        <v>63</v>
      </c>
      <c r="AG4">
        <v>160</v>
      </c>
      <c r="AH4">
        <v>40</v>
      </c>
      <c r="AI4">
        <v>120</v>
      </c>
      <c r="AJ4">
        <v>2.57125235757103E-2</v>
      </c>
      <c r="AK4">
        <v>7990.3899743421616</v>
      </c>
      <c r="AL4">
        <v>-42.166367110236408</v>
      </c>
      <c r="AM4">
        <v>-1.29905938676883</v>
      </c>
      <c r="AN4">
        <v>8.1772420904304297E-2</v>
      </c>
      <c r="AO4">
        <v>0.65442980617040147</v>
      </c>
      <c r="AP4">
        <v>0.62536283660525172</v>
      </c>
      <c r="AQ4">
        <v>26317.697217530778</v>
      </c>
      <c r="AR4">
        <v>-121.8285024135789</v>
      </c>
      <c r="AS4">
        <v>262.65217828497453</v>
      </c>
      <c r="AT4">
        <v>-4.4615529502785138</v>
      </c>
      <c r="AU4">
        <v>0.8</v>
      </c>
      <c r="AV4" t="s">
        <v>64</v>
      </c>
      <c r="AW4" t="s">
        <v>138</v>
      </c>
    </row>
    <row r="5" spans="1:76" x14ac:dyDescent="0.3">
      <c r="A5" t="s">
        <v>66</v>
      </c>
      <c r="B5" t="s">
        <v>69</v>
      </c>
      <c r="C5">
        <v>1</v>
      </c>
      <c r="D5" t="s">
        <v>50</v>
      </c>
      <c r="E5" t="s">
        <v>51</v>
      </c>
      <c r="F5">
        <v>16590</v>
      </c>
      <c r="G5">
        <v>4.5</v>
      </c>
      <c r="H5" t="s">
        <v>52</v>
      </c>
      <c r="I5" t="s">
        <v>53</v>
      </c>
      <c r="J5">
        <v>5</v>
      </c>
      <c r="K5">
        <v>5</v>
      </c>
      <c r="L5" t="s">
        <v>54</v>
      </c>
      <c r="M5" t="s">
        <v>137</v>
      </c>
      <c r="N5" t="s">
        <v>138</v>
      </c>
      <c r="O5" t="s">
        <v>138</v>
      </c>
      <c r="P5" t="s">
        <v>55</v>
      </c>
      <c r="Q5" t="s">
        <v>56</v>
      </c>
      <c r="R5">
        <v>4</v>
      </c>
      <c r="S5" t="s">
        <v>57</v>
      </c>
      <c r="T5" t="s">
        <v>58</v>
      </c>
      <c r="U5" t="s">
        <v>59</v>
      </c>
      <c r="V5">
        <v>1</v>
      </c>
      <c r="W5" t="s">
        <v>60</v>
      </c>
      <c r="X5" t="s">
        <v>138</v>
      </c>
      <c r="Y5" t="s">
        <v>61</v>
      </c>
      <c r="Z5">
        <v>6000</v>
      </c>
      <c r="AA5">
        <v>6000</v>
      </c>
      <c r="AC5">
        <v>32</v>
      </c>
      <c r="AD5" t="s">
        <v>62</v>
      </c>
      <c r="AE5">
        <v>0.01</v>
      </c>
      <c r="AF5" t="s">
        <v>63</v>
      </c>
      <c r="AG5">
        <v>160</v>
      </c>
      <c r="AH5">
        <v>40</v>
      </c>
      <c r="AI5">
        <v>120</v>
      </c>
      <c r="AJ5">
        <v>2.21887648492766E-2</v>
      </c>
      <c r="AK5">
        <v>2266.7425617534368</v>
      </c>
      <c r="AL5">
        <v>-10.57472383910717</v>
      </c>
      <c r="AM5">
        <v>0.36719649228288909</v>
      </c>
      <c r="AN5">
        <v>7.9746740132822805E-2</v>
      </c>
      <c r="AO5">
        <v>0.70064565443781701</v>
      </c>
      <c r="AP5">
        <v>0.62327576754614089</v>
      </c>
      <c r="AQ5">
        <v>5369.9518125546874</v>
      </c>
      <c r="AR5">
        <v>-18.62013235309669</v>
      </c>
      <c r="AS5">
        <v>204.74267771916871</v>
      </c>
      <c r="AT5">
        <v>-0.19092717529157119</v>
      </c>
      <c r="AU5">
        <v>0.8</v>
      </c>
      <c r="AV5" t="s">
        <v>64</v>
      </c>
      <c r="AW5" t="s">
        <v>138</v>
      </c>
    </row>
    <row r="6" spans="1:76" x14ac:dyDescent="0.3">
      <c r="A6" t="s">
        <v>66</v>
      </c>
      <c r="B6" t="s">
        <v>70</v>
      </c>
      <c r="C6">
        <v>3</v>
      </c>
      <c r="D6" t="s">
        <v>50</v>
      </c>
      <c r="E6" t="s">
        <v>51</v>
      </c>
      <c r="F6">
        <v>16590</v>
      </c>
      <c r="G6">
        <v>4.5</v>
      </c>
      <c r="H6" t="s">
        <v>52</v>
      </c>
      <c r="I6" t="s">
        <v>53</v>
      </c>
      <c r="J6">
        <v>5</v>
      </c>
      <c r="K6">
        <v>5</v>
      </c>
      <c r="L6" t="s">
        <v>54</v>
      </c>
      <c r="M6" t="s">
        <v>137</v>
      </c>
      <c r="N6" t="s">
        <v>138</v>
      </c>
      <c r="O6" t="s">
        <v>138</v>
      </c>
      <c r="P6" t="s">
        <v>55</v>
      </c>
      <c r="Q6" t="s">
        <v>56</v>
      </c>
      <c r="R6">
        <v>4</v>
      </c>
      <c r="S6" t="s">
        <v>57</v>
      </c>
      <c r="T6" t="s">
        <v>58</v>
      </c>
      <c r="U6" t="s">
        <v>59</v>
      </c>
      <c r="V6">
        <v>1</v>
      </c>
      <c r="W6" t="s">
        <v>60</v>
      </c>
      <c r="X6" t="s">
        <v>138</v>
      </c>
      <c r="Y6" t="s">
        <v>61</v>
      </c>
      <c r="Z6">
        <v>6000</v>
      </c>
      <c r="AA6">
        <v>6000</v>
      </c>
      <c r="AC6">
        <v>32</v>
      </c>
      <c r="AD6" t="s">
        <v>62</v>
      </c>
      <c r="AE6">
        <v>0.01</v>
      </c>
      <c r="AF6" t="s">
        <v>63</v>
      </c>
      <c r="AG6">
        <v>160</v>
      </c>
      <c r="AH6">
        <v>40</v>
      </c>
      <c r="AI6">
        <v>120</v>
      </c>
      <c r="AJ6">
        <v>2.6213920171391202E-2</v>
      </c>
      <c r="AK6">
        <v>1545.706293107766</v>
      </c>
      <c r="AL6">
        <v>-73.201275592733708</v>
      </c>
      <c r="AM6">
        <v>0.25450877711563302</v>
      </c>
      <c r="AN6">
        <v>7.9220327108535799E-2</v>
      </c>
      <c r="AO6">
        <v>0.65202495845778063</v>
      </c>
      <c r="AP6">
        <v>0.63894845340019246</v>
      </c>
      <c r="AQ6">
        <v>4147.9925363126604</v>
      </c>
      <c r="AR6">
        <v>-286.81418647765832</v>
      </c>
      <c r="AS6">
        <v>134.11774413114381</v>
      </c>
      <c r="AT6">
        <v>-7.2719038534728803E-2</v>
      </c>
      <c r="AU6">
        <v>0.8</v>
      </c>
      <c r="AV6" t="s">
        <v>64</v>
      </c>
      <c r="AW6" t="s">
        <v>138</v>
      </c>
    </row>
    <row r="7" spans="1:76" x14ac:dyDescent="0.3">
      <c r="A7" t="s">
        <v>71</v>
      </c>
      <c r="B7" t="s">
        <v>72</v>
      </c>
      <c r="C7">
        <v>2</v>
      </c>
      <c r="D7" t="s">
        <v>50</v>
      </c>
      <c r="E7" t="s">
        <v>51</v>
      </c>
      <c r="F7">
        <v>16590</v>
      </c>
      <c r="G7">
        <v>4.5</v>
      </c>
      <c r="H7" t="s">
        <v>52</v>
      </c>
      <c r="I7" t="s">
        <v>53</v>
      </c>
      <c r="J7">
        <v>5</v>
      </c>
      <c r="K7">
        <v>5</v>
      </c>
      <c r="L7" t="s">
        <v>54</v>
      </c>
      <c r="M7" t="s">
        <v>137</v>
      </c>
      <c r="N7" t="s">
        <v>138</v>
      </c>
      <c r="O7" t="s">
        <v>138</v>
      </c>
      <c r="P7" t="s">
        <v>55</v>
      </c>
      <c r="Q7" t="s">
        <v>56</v>
      </c>
      <c r="R7">
        <v>4</v>
      </c>
      <c r="S7" t="s">
        <v>57</v>
      </c>
      <c r="T7" t="s">
        <v>58</v>
      </c>
      <c r="U7" t="s">
        <v>59</v>
      </c>
      <c r="V7">
        <v>1</v>
      </c>
      <c r="W7" t="s">
        <v>60</v>
      </c>
      <c r="X7" t="s">
        <v>138</v>
      </c>
      <c r="Y7" t="s">
        <v>61</v>
      </c>
      <c r="Z7">
        <v>6000</v>
      </c>
      <c r="AA7">
        <v>6000</v>
      </c>
      <c r="AC7">
        <v>32</v>
      </c>
      <c r="AD7" t="s">
        <v>62</v>
      </c>
      <c r="AE7">
        <v>0.01</v>
      </c>
      <c r="AF7" t="s">
        <v>63</v>
      </c>
      <c r="AG7">
        <v>160</v>
      </c>
      <c r="AH7">
        <v>40</v>
      </c>
      <c r="AI7">
        <v>120</v>
      </c>
      <c r="AJ7">
        <v>2.6461211238543999E-2</v>
      </c>
      <c r="AK7">
        <v>3195.9074206926239</v>
      </c>
      <c r="AL7">
        <v>-50.040804526366301</v>
      </c>
      <c r="AM7">
        <v>-1.097392886132917</v>
      </c>
      <c r="AN7">
        <v>7.7278979369275996E-2</v>
      </c>
      <c r="AO7">
        <v>0.64087780820099127</v>
      </c>
      <c r="AP7">
        <v>0.64236596600848794</v>
      </c>
      <c r="AQ7">
        <v>7311.1998838918926</v>
      </c>
      <c r="AR7">
        <v>-127.04798538294391</v>
      </c>
      <c r="AS7">
        <v>365.44976725308908</v>
      </c>
      <c r="AT7">
        <v>-1.4791492272072391</v>
      </c>
      <c r="AU7">
        <v>0.8</v>
      </c>
      <c r="AV7" t="s">
        <v>64</v>
      </c>
      <c r="AW7" t="s">
        <v>138</v>
      </c>
    </row>
    <row r="8" spans="1:76" x14ac:dyDescent="0.3">
      <c r="A8" t="s">
        <v>71</v>
      </c>
      <c r="B8" t="s">
        <v>73</v>
      </c>
      <c r="C8">
        <v>4</v>
      </c>
      <c r="D8" t="s">
        <v>68</v>
      </c>
      <c r="E8" t="s">
        <v>51</v>
      </c>
      <c r="F8">
        <v>16590</v>
      </c>
      <c r="G8">
        <v>4.5</v>
      </c>
      <c r="H8" t="s">
        <v>52</v>
      </c>
      <c r="I8" t="s">
        <v>53</v>
      </c>
      <c r="J8">
        <v>5</v>
      </c>
      <c r="K8">
        <v>5</v>
      </c>
      <c r="L8" t="s">
        <v>54</v>
      </c>
      <c r="M8" t="s">
        <v>137</v>
      </c>
      <c r="N8" t="s">
        <v>138</v>
      </c>
      <c r="O8" t="s">
        <v>138</v>
      </c>
      <c r="P8" t="s">
        <v>55</v>
      </c>
      <c r="Q8" t="s">
        <v>56</v>
      </c>
      <c r="R8">
        <v>4</v>
      </c>
      <c r="S8" t="s">
        <v>57</v>
      </c>
      <c r="T8" t="s">
        <v>58</v>
      </c>
      <c r="U8" t="s">
        <v>59</v>
      </c>
      <c r="V8">
        <v>1</v>
      </c>
      <c r="W8" t="s">
        <v>60</v>
      </c>
      <c r="X8" t="s">
        <v>138</v>
      </c>
      <c r="Y8" t="s">
        <v>61</v>
      </c>
      <c r="Z8">
        <v>6000</v>
      </c>
      <c r="AA8">
        <v>6000</v>
      </c>
      <c r="AC8">
        <v>32</v>
      </c>
      <c r="AD8" t="s">
        <v>62</v>
      </c>
      <c r="AE8">
        <v>0.01</v>
      </c>
      <c r="AF8" t="s">
        <v>63</v>
      </c>
      <c r="AG8">
        <v>160</v>
      </c>
      <c r="AH8">
        <v>40</v>
      </c>
      <c r="AI8">
        <v>120</v>
      </c>
      <c r="AJ8">
        <v>2.8809940097450502E-2</v>
      </c>
      <c r="AK8">
        <v>2050.5145914055761</v>
      </c>
      <c r="AL8">
        <v>-55.110250766462777</v>
      </c>
      <c r="AM8">
        <v>-1.0429709465688679</v>
      </c>
      <c r="AN8">
        <v>7.6449186636066604E-2</v>
      </c>
      <c r="AO8">
        <v>0.62956135347061937</v>
      </c>
      <c r="AP8">
        <v>0.647507626784948</v>
      </c>
      <c r="AQ8">
        <v>5013.7701921543739</v>
      </c>
      <c r="AR8">
        <v>-100.9794981736046</v>
      </c>
      <c r="AS8">
        <v>281.66233587471578</v>
      </c>
      <c r="AT8">
        <v>-1.3676880973226671</v>
      </c>
      <c r="AU8">
        <v>0.8</v>
      </c>
      <c r="AV8" t="s">
        <v>64</v>
      </c>
      <c r="AW8" t="s">
        <v>138</v>
      </c>
    </row>
    <row r="9" spans="1:76" x14ac:dyDescent="0.3">
      <c r="A9" t="s">
        <v>71</v>
      </c>
      <c r="B9" t="s">
        <v>74</v>
      </c>
      <c r="C9">
        <v>6</v>
      </c>
      <c r="D9" t="s">
        <v>50</v>
      </c>
      <c r="E9" t="s">
        <v>51</v>
      </c>
      <c r="F9">
        <v>16590</v>
      </c>
      <c r="G9">
        <v>4.5</v>
      </c>
      <c r="H9" t="s">
        <v>52</v>
      </c>
      <c r="I9" t="s">
        <v>53</v>
      </c>
      <c r="J9">
        <v>5</v>
      </c>
      <c r="K9">
        <v>5</v>
      </c>
      <c r="L9" t="s">
        <v>54</v>
      </c>
      <c r="M9" t="s">
        <v>137</v>
      </c>
      <c r="N9" t="s">
        <v>138</v>
      </c>
      <c r="O9" t="s">
        <v>138</v>
      </c>
      <c r="P9" t="s">
        <v>55</v>
      </c>
      <c r="Q9" t="s">
        <v>56</v>
      </c>
      <c r="R9">
        <v>4</v>
      </c>
      <c r="S9" t="s">
        <v>57</v>
      </c>
      <c r="T9" t="s">
        <v>58</v>
      </c>
      <c r="U9" t="s">
        <v>59</v>
      </c>
      <c r="V9">
        <v>1</v>
      </c>
      <c r="W9" t="s">
        <v>60</v>
      </c>
      <c r="X9" t="s">
        <v>138</v>
      </c>
      <c r="Y9" t="s">
        <v>61</v>
      </c>
      <c r="Z9">
        <v>6000</v>
      </c>
      <c r="AA9">
        <v>6000</v>
      </c>
      <c r="AC9">
        <v>32</v>
      </c>
      <c r="AD9" t="s">
        <v>62</v>
      </c>
      <c r="AE9">
        <v>0.01</v>
      </c>
      <c r="AF9" t="s">
        <v>63</v>
      </c>
      <c r="AG9">
        <v>160</v>
      </c>
      <c r="AH9">
        <v>40</v>
      </c>
      <c r="AI9">
        <v>120</v>
      </c>
      <c r="AJ9">
        <v>2.6738863328516799E-2</v>
      </c>
      <c r="AK9">
        <v>1684.4404481299409</v>
      </c>
      <c r="AL9">
        <v>-19.69232933470705</v>
      </c>
      <c r="AM9">
        <v>-2.2879026201867689</v>
      </c>
      <c r="AN9">
        <v>8.3717557894688599E-2</v>
      </c>
      <c r="AO9">
        <v>0.60621809487508183</v>
      </c>
      <c r="AP9">
        <v>0.65944012372826899</v>
      </c>
      <c r="AQ9">
        <v>1525.1644695987579</v>
      </c>
      <c r="AR9">
        <v>-50.591869139087393</v>
      </c>
      <c r="AS9">
        <v>295.15149836523102</v>
      </c>
      <c r="AT9">
        <v>-0.98813045106097763</v>
      </c>
      <c r="AU9">
        <v>0.8</v>
      </c>
      <c r="AV9" t="s">
        <v>64</v>
      </c>
      <c r="AW9" t="s">
        <v>138</v>
      </c>
    </row>
    <row r="10" spans="1:76" x14ac:dyDescent="0.3">
      <c r="A10" t="s">
        <v>71</v>
      </c>
      <c r="B10" t="s">
        <v>75</v>
      </c>
      <c r="C10">
        <v>7</v>
      </c>
      <c r="D10" t="s">
        <v>50</v>
      </c>
      <c r="E10" t="s">
        <v>51</v>
      </c>
      <c r="F10">
        <v>16590</v>
      </c>
      <c r="G10">
        <v>4.5</v>
      </c>
      <c r="H10" t="s">
        <v>52</v>
      </c>
      <c r="I10" t="s">
        <v>53</v>
      </c>
      <c r="J10">
        <v>5</v>
      </c>
      <c r="K10">
        <v>5</v>
      </c>
      <c r="L10" t="s">
        <v>54</v>
      </c>
      <c r="M10" t="s">
        <v>137</v>
      </c>
      <c r="N10" t="s">
        <v>138</v>
      </c>
      <c r="O10" t="s">
        <v>138</v>
      </c>
      <c r="P10" t="s">
        <v>55</v>
      </c>
      <c r="Q10" t="s">
        <v>56</v>
      </c>
      <c r="R10">
        <v>4</v>
      </c>
      <c r="S10" t="s">
        <v>57</v>
      </c>
      <c r="T10" t="s">
        <v>58</v>
      </c>
      <c r="U10" t="s">
        <v>59</v>
      </c>
      <c r="V10">
        <v>1</v>
      </c>
      <c r="W10" t="s">
        <v>60</v>
      </c>
      <c r="X10" t="s">
        <v>138</v>
      </c>
      <c r="Y10" t="s">
        <v>61</v>
      </c>
      <c r="Z10">
        <v>6000</v>
      </c>
      <c r="AA10">
        <v>6000</v>
      </c>
      <c r="AC10">
        <v>32</v>
      </c>
      <c r="AD10" t="s">
        <v>62</v>
      </c>
      <c r="AE10">
        <v>0.01</v>
      </c>
      <c r="AF10" t="s">
        <v>63</v>
      </c>
      <c r="AG10">
        <v>160</v>
      </c>
      <c r="AH10">
        <v>40</v>
      </c>
      <c r="AI10">
        <v>120</v>
      </c>
      <c r="AJ10">
        <v>2.48164536986831E-2</v>
      </c>
      <c r="AK10">
        <v>1039.9011014526129</v>
      </c>
      <c r="AL10">
        <v>-22.656575581144541</v>
      </c>
      <c r="AM10">
        <v>-13.50173954973833</v>
      </c>
      <c r="AN10">
        <v>8.48270629676003E-2</v>
      </c>
      <c r="AO10">
        <v>0.65924932581974982</v>
      </c>
      <c r="AP10">
        <v>0.75303603485215087</v>
      </c>
      <c r="AQ10">
        <v>3098.5367874332601</v>
      </c>
      <c r="AR10">
        <v>-55.963402023311779</v>
      </c>
      <c r="AS10">
        <v>13257.82157537945</v>
      </c>
      <c r="AT10">
        <v>-27.03798939925084</v>
      </c>
      <c r="AU10">
        <v>0.8</v>
      </c>
      <c r="AV10" t="s">
        <v>64</v>
      </c>
      <c r="AW10" t="s">
        <v>138</v>
      </c>
    </row>
    <row r="11" spans="1:76" x14ac:dyDescent="0.3">
      <c r="A11" t="s">
        <v>71</v>
      </c>
      <c r="B11" t="s">
        <v>76</v>
      </c>
      <c r="C11">
        <v>9</v>
      </c>
      <c r="D11" t="s">
        <v>68</v>
      </c>
      <c r="E11" t="s">
        <v>51</v>
      </c>
      <c r="F11">
        <v>16590</v>
      </c>
      <c r="G11">
        <v>4.5</v>
      </c>
      <c r="H11" t="s">
        <v>52</v>
      </c>
      <c r="I11" t="s">
        <v>53</v>
      </c>
      <c r="J11">
        <v>5</v>
      </c>
      <c r="K11">
        <v>5</v>
      </c>
      <c r="L11" t="s">
        <v>54</v>
      </c>
      <c r="M11" t="s">
        <v>137</v>
      </c>
      <c r="N11" t="s">
        <v>138</v>
      </c>
      <c r="O11" t="s">
        <v>138</v>
      </c>
      <c r="P11" t="s">
        <v>55</v>
      </c>
      <c r="Q11" t="s">
        <v>56</v>
      </c>
      <c r="R11">
        <v>4</v>
      </c>
      <c r="S11" t="s">
        <v>57</v>
      </c>
      <c r="T11" t="s">
        <v>58</v>
      </c>
      <c r="U11" t="s">
        <v>59</v>
      </c>
      <c r="V11">
        <v>1</v>
      </c>
      <c r="W11" t="s">
        <v>60</v>
      </c>
      <c r="X11" t="s">
        <v>138</v>
      </c>
      <c r="Y11" t="s">
        <v>61</v>
      </c>
      <c r="Z11">
        <v>6000</v>
      </c>
      <c r="AA11">
        <v>6000</v>
      </c>
      <c r="AC11">
        <v>32</v>
      </c>
      <c r="AD11" t="s">
        <v>62</v>
      </c>
      <c r="AE11">
        <v>0.01</v>
      </c>
      <c r="AF11" t="s">
        <v>63</v>
      </c>
      <c r="AG11">
        <v>160</v>
      </c>
      <c r="AH11">
        <v>40</v>
      </c>
      <c r="AI11">
        <v>120</v>
      </c>
      <c r="AJ11">
        <v>2.7142369397341701E-2</v>
      </c>
      <c r="AK11">
        <v>532.1010960385936</v>
      </c>
      <c r="AL11">
        <v>-151.02790582515459</v>
      </c>
      <c r="AM11">
        <v>9.41594101640498E-2</v>
      </c>
      <c r="AN11">
        <v>7.5007017874270901E-2</v>
      </c>
      <c r="AO11">
        <v>0.62979089446726366</v>
      </c>
      <c r="AP11">
        <v>0.64229132312169701</v>
      </c>
      <c r="AQ11">
        <v>1239.1286408167109</v>
      </c>
      <c r="AR11">
        <v>-524.86967371909441</v>
      </c>
      <c r="AS11">
        <v>287.07150367490379</v>
      </c>
      <c r="AT11">
        <v>-0.33299895252074979</v>
      </c>
      <c r="AU11">
        <v>0.8</v>
      </c>
      <c r="AV11" t="s">
        <v>64</v>
      </c>
      <c r="AW11" t="s">
        <v>138</v>
      </c>
    </row>
    <row r="12" spans="1:76" x14ac:dyDescent="0.3">
      <c r="A12" t="s">
        <v>77</v>
      </c>
      <c r="B12" t="s">
        <v>78</v>
      </c>
      <c r="C12">
        <v>0</v>
      </c>
      <c r="D12" t="s">
        <v>68</v>
      </c>
      <c r="E12" t="s">
        <v>51</v>
      </c>
      <c r="F12">
        <v>16590</v>
      </c>
      <c r="G12">
        <v>4.5</v>
      </c>
      <c r="H12" t="s">
        <v>79</v>
      </c>
      <c r="I12" t="s">
        <v>53</v>
      </c>
      <c r="J12">
        <v>5</v>
      </c>
      <c r="K12">
        <v>5</v>
      </c>
      <c r="L12" t="s">
        <v>54</v>
      </c>
      <c r="M12" t="s">
        <v>137</v>
      </c>
      <c r="N12" t="s">
        <v>138</v>
      </c>
      <c r="O12" t="s">
        <v>138</v>
      </c>
      <c r="P12" t="s">
        <v>55</v>
      </c>
      <c r="Q12" t="s">
        <v>80</v>
      </c>
      <c r="R12">
        <v>4</v>
      </c>
      <c r="S12" t="s">
        <v>57</v>
      </c>
      <c r="T12" t="s">
        <v>58</v>
      </c>
      <c r="U12" t="s">
        <v>59</v>
      </c>
      <c r="V12">
        <v>1</v>
      </c>
      <c r="W12" t="s">
        <v>60</v>
      </c>
      <c r="X12" t="s">
        <v>138</v>
      </c>
      <c r="Y12" t="s">
        <v>61</v>
      </c>
      <c r="Z12">
        <v>6000</v>
      </c>
      <c r="AA12">
        <v>6000</v>
      </c>
      <c r="AC12">
        <v>32</v>
      </c>
      <c r="AD12" t="s">
        <v>62</v>
      </c>
      <c r="AE12">
        <v>0.01</v>
      </c>
      <c r="AF12" t="s">
        <v>63</v>
      </c>
      <c r="AG12">
        <v>160</v>
      </c>
      <c r="AH12">
        <v>40</v>
      </c>
      <c r="AI12">
        <v>120</v>
      </c>
      <c r="AJ12">
        <v>5.2936195103250497E-2</v>
      </c>
      <c r="AK12">
        <v>24.735413038201731</v>
      </c>
      <c r="AL12">
        <v>-23.816248787174029</v>
      </c>
      <c r="AM12">
        <v>-1591.6994921023111</v>
      </c>
      <c r="AN12">
        <v>0.16017443600187981</v>
      </c>
      <c r="AO12">
        <v>0.4968377762103075</v>
      </c>
      <c r="AP12">
        <v>1.3409064467462131</v>
      </c>
      <c r="AQ12">
        <v>135.95808165902861</v>
      </c>
      <c r="AR12">
        <v>-83.560591865777582</v>
      </c>
      <c r="AS12">
        <v>929999.96313546237</v>
      </c>
      <c r="AT12">
        <v>-2669.5465989515201</v>
      </c>
      <c r="AU12">
        <v>0.66666666666666663</v>
      </c>
      <c r="AV12" t="s">
        <v>64</v>
      </c>
      <c r="AW12" t="s">
        <v>138</v>
      </c>
    </row>
    <row r="13" spans="1:76" x14ac:dyDescent="0.3">
      <c r="A13" t="s">
        <v>81</v>
      </c>
      <c r="B13" t="s">
        <v>82</v>
      </c>
      <c r="C13">
        <v>1</v>
      </c>
      <c r="D13" t="s">
        <v>68</v>
      </c>
      <c r="E13" t="s">
        <v>51</v>
      </c>
      <c r="F13">
        <v>16590</v>
      </c>
      <c r="G13">
        <v>4.5</v>
      </c>
      <c r="H13" t="s">
        <v>79</v>
      </c>
      <c r="I13" t="s">
        <v>53</v>
      </c>
      <c r="J13">
        <v>5</v>
      </c>
      <c r="K13">
        <v>5</v>
      </c>
      <c r="L13" t="s">
        <v>54</v>
      </c>
      <c r="M13" t="s">
        <v>137</v>
      </c>
      <c r="N13" t="s">
        <v>138</v>
      </c>
      <c r="O13" t="s">
        <v>138</v>
      </c>
      <c r="P13" t="s">
        <v>55</v>
      </c>
      <c r="Q13" t="s">
        <v>80</v>
      </c>
      <c r="R13">
        <v>4</v>
      </c>
      <c r="S13" t="s">
        <v>57</v>
      </c>
      <c r="T13" t="s">
        <v>58</v>
      </c>
      <c r="U13" t="s">
        <v>59</v>
      </c>
      <c r="V13">
        <v>1</v>
      </c>
      <c r="W13" t="s">
        <v>60</v>
      </c>
      <c r="X13" t="s">
        <v>138</v>
      </c>
      <c r="Y13" t="s">
        <v>61</v>
      </c>
      <c r="Z13">
        <v>6000</v>
      </c>
      <c r="AA13">
        <v>6000</v>
      </c>
      <c r="AC13">
        <v>32</v>
      </c>
      <c r="AD13" t="s">
        <v>62</v>
      </c>
      <c r="AE13">
        <v>0.01</v>
      </c>
      <c r="AF13" t="s">
        <v>63</v>
      </c>
      <c r="AG13">
        <v>160</v>
      </c>
      <c r="AH13">
        <v>40</v>
      </c>
      <c r="AI13">
        <v>120</v>
      </c>
      <c r="AJ13">
        <v>5.5285628541056203E-2</v>
      </c>
      <c r="AK13">
        <v>555.28324917408986</v>
      </c>
      <c r="AL13">
        <v>-31.840254295556001</v>
      </c>
      <c r="AM13">
        <v>-258.41782221869931</v>
      </c>
      <c r="AN13">
        <v>0.15234349699338939</v>
      </c>
      <c r="AO13">
        <v>0.45102652597604032</v>
      </c>
      <c r="AP13">
        <v>1.1988416857383379</v>
      </c>
      <c r="AQ13">
        <v>773.37861538653794</v>
      </c>
      <c r="AR13">
        <v>-94.760229849823105</v>
      </c>
      <c r="AS13">
        <v>30426.363130111269</v>
      </c>
      <c r="AT13">
        <v>-199.26083645205671</v>
      </c>
      <c r="AU13">
        <v>0.66666666666666663</v>
      </c>
      <c r="AV13" t="s">
        <v>64</v>
      </c>
      <c r="AW13" t="s">
        <v>138</v>
      </c>
    </row>
    <row r="14" spans="1:76" x14ac:dyDescent="0.3">
      <c r="A14" t="s">
        <v>83</v>
      </c>
      <c r="B14" t="s">
        <v>84</v>
      </c>
      <c r="C14">
        <v>2</v>
      </c>
      <c r="D14" t="s">
        <v>68</v>
      </c>
      <c r="E14" t="s">
        <v>51</v>
      </c>
      <c r="F14">
        <v>16590</v>
      </c>
      <c r="G14">
        <v>4.5</v>
      </c>
      <c r="H14" t="s">
        <v>79</v>
      </c>
      <c r="I14" t="s">
        <v>53</v>
      </c>
      <c r="J14">
        <v>5</v>
      </c>
      <c r="K14">
        <v>5</v>
      </c>
      <c r="L14" t="s">
        <v>54</v>
      </c>
      <c r="M14" t="s">
        <v>137</v>
      </c>
      <c r="N14" t="s">
        <v>138</v>
      </c>
      <c r="O14" t="s">
        <v>138</v>
      </c>
      <c r="P14" t="s">
        <v>55</v>
      </c>
      <c r="Q14" t="s">
        <v>80</v>
      </c>
      <c r="R14">
        <v>4</v>
      </c>
      <c r="S14" t="s">
        <v>57</v>
      </c>
      <c r="T14" t="s">
        <v>58</v>
      </c>
      <c r="U14" t="s">
        <v>59</v>
      </c>
      <c r="V14">
        <v>1</v>
      </c>
      <c r="W14" t="s">
        <v>60</v>
      </c>
      <c r="X14" t="s">
        <v>138</v>
      </c>
      <c r="Y14" t="s">
        <v>61</v>
      </c>
      <c r="Z14">
        <v>6000</v>
      </c>
      <c r="AA14">
        <v>6000</v>
      </c>
      <c r="AC14">
        <v>32</v>
      </c>
      <c r="AD14" t="s">
        <v>62</v>
      </c>
      <c r="AE14">
        <v>0.01</v>
      </c>
      <c r="AF14" t="s">
        <v>63</v>
      </c>
      <c r="AG14">
        <v>160</v>
      </c>
      <c r="AH14">
        <v>40</v>
      </c>
      <c r="AI14">
        <v>120</v>
      </c>
      <c r="AJ14">
        <v>5.6131239205506701E-2</v>
      </c>
      <c r="AK14">
        <v>3490.5780631099528</v>
      </c>
      <c r="AL14">
        <v>-13.68414563832892</v>
      </c>
      <c r="AM14">
        <v>-781.97298310151336</v>
      </c>
      <c r="AN14">
        <v>0.18570354325902241</v>
      </c>
      <c r="AO14">
        <v>0.4664951728375557</v>
      </c>
      <c r="AP14">
        <v>1.6433752234107639</v>
      </c>
      <c r="AQ14">
        <v>8567.8737121377744</v>
      </c>
      <c r="AR14">
        <v>-42.504661167727171</v>
      </c>
      <c r="AS14">
        <v>191574.65699550809</v>
      </c>
      <c r="AT14">
        <v>-1809.0849048625</v>
      </c>
      <c r="AU14">
        <v>0.66666666666666663</v>
      </c>
      <c r="AV14" t="s">
        <v>64</v>
      </c>
      <c r="AW14" t="s">
        <v>138</v>
      </c>
    </row>
    <row r="15" spans="1:76" x14ac:dyDescent="0.3">
      <c r="A15" t="s">
        <v>85</v>
      </c>
      <c r="B15" t="s">
        <v>86</v>
      </c>
      <c r="C15">
        <v>3</v>
      </c>
      <c r="D15" t="s">
        <v>68</v>
      </c>
      <c r="E15" t="s">
        <v>51</v>
      </c>
      <c r="F15">
        <v>16590</v>
      </c>
      <c r="G15">
        <v>4.5</v>
      </c>
      <c r="H15" t="s">
        <v>79</v>
      </c>
      <c r="I15" t="s">
        <v>53</v>
      </c>
      <c r="J15">
        <v>5</v>
      </c>
      <c r="K15">
        <v>5</v>
      </c>
      <c r="L15" t="s">
        <v>54</v>
      </c>
      <c r="M15" t="s">
        <v>137</v>
      </c>
      <c r="N15" t="s">
        <v>138</v>
      </c>
      <c r="O15" t="s">
        <v>138</v>
      </c>
      <c r="P15" t="s">
        <v>55</v>
      </c>
      <c r="Q15" t="s">
        <v>80</v>
      </c>
      <c r="R15">
        <v>4</v>
      </c>
      <c r="S15" t="s">
        <v>57</v>
      </c>
      <c r="T15" t="s">
        <v>58</v>
      </c>
      <c r="U15" t="s">
        <v>59</v>
      </c>
      <c r="V15">
        <v>1</v>
      </c>
      <c r="W15" t="s">
        <v>60</v>
      </c>
      <c r="X15" t="s">
        <v>138</v>
      </c>
      <c r="Y15" t="s">
        <v>61</v>
      </c>
      <c r="Z15">
        <v>6000</v>
      </c>
      <c r="AA15">
        <v>6000</v>
      </c>
      <c r="AC15">
        <v>32</v>
      </c>
      <c r="AD15" t="s">
        <v>62</v>
      </c>
      <c r="AE15">
        <v>0.01</v>
      </c>
      <c r="AF15" t="s">
        <v>63</v>
      </c>
      <c r="AG15">
        <v>160</v>
      </c>
      <c r="AH15">
        <v>40</v>
      </c>
      <c r="AI15">
        <v>120</v>
      </c>
      <c r="AJ15">
        <v>7.2936552981812397E-2</v>
      </c>
      <c r="AK15">
        <v>7874.7670546892532</v>
      </c>
      <c r="AL15">
        <v>-76.596863390242135</v>
      </c>
      <c r="AM15">
        <v>-638.81836379456206</v>
      </c>
      <c r="AN15">
        <v>0.39776895312833238</v>
      </c>
      <c r="AO15">
        <v>0.4114945270713023</v>
      </c>
      <c r="AP15">
        <v>3.7853660470599131</v>
      </c>
      <c r="AQ15">
        <v>18827.17101731868</v>
      </c>
      <c r="AR15">
        <v>-221.66988581180141</v>
      </c>
      <c r="AS15">
        <v>997657.83403990115</v>
      </c>
      <c r="AT15">
        <v>-2139.9379376540392</v>
      </c>
      <c r="AU15">
        <v>0.66666666666666663</v>
      </c>
      <c r="AV15" t="s">
        <v>64</v>
      </c>
      <c r="AW15" t="s">
        <v>138</v>
      </c>
    </row>
    <row r="16" spans="1:76" x14ac:dyDescent="0.3">
      <c r="A16" t="s">
        <v>87</v>
      </c>
      <c r="B16" t="s">
        <v>88</v>
      </c>
      <c r="C16">
        <v>4</v>
      </c>
      <c r="D16" t="s">
        <v>50</v>
      </c>
      <c r="E16" t="s">
        <v>51</v>
      </c>
      <c r="F16">
        <v>16590</v>
      </c>
      <c r="G16">
        <v>4.5</v>
      </c>
      <c r="H16" t="s">
        <v>79</v>
      </c>
      <c r="I16" t="s">
        <v>53</v>
      </c>
      <c r="J16">
        <v>5</v>
      </c>
      <c r="K16">
        <v>5</v>
      </c>
      <c r="L16" t="s">
        <v>54</v>
      </c>
      <c r="M16" t="s">
        <v>137</v>
      </c>
      <c r="N16" t="s">
        <v>138</v>
      </c>
      <c r="O16" t="s">
        <v>138</v>
      </c>
      <c r="P16" t="s">
        <v>55</v>
      </c>
      <c r="Q16" t="s">
        <v>80</v>
      </c>
      <c r="R16">
        <v>4</v>
      </c>
      <c r="S16" t="s">
        <v>57</v>
      </c>
      <c r="T16" t="s">
        <v>58</v>
      </c>
      <c r="U16" t="s">
        <v>59</v>
      </c>
      <c r="V16">
        <v>1</v>
      </c>
      <c r="W16" t="s">
        <v>60</v>
      </c>
      <c r="X16" t="s">
        <v>138</v>
      </c>
      <c r="Y16" t="s">
        <v>61</v>
      </c>
      <c r="Z16">
        <v>6000</v>
      </c>
      <c r="AA16">
        <v>6000</v>
      </c>
      <c r="AC16">
        <v>32</v>
      </c>
      <c r="AD16" t="s">
        <v>62</v>
      </c>
      <c r="AE16">
        <v>0.01</v>
      </c>
      <c r="AF16" t="s">
        <v>63</v>
      </c>
      <c r="AG16">
        <v>160</v>
      </c>
      <c r="AH16">
        <v>40</v>
      </c>
      <c r="AI16">
        <v>120</v>
      </c>
      <c r="AJ16">
        <v>5.0841292023007599E-2</v>
      </c>
      <c r="AK16">
        <v>260.32851003403948</v>
      </c>
      <c r="AL16">
        <v>-5.4721480961575963</v>
      </c>
      <c r="AM16">
        <v>-595.42157383516064</v>
      </c>
      <c r="AN16">
        <v>0.1860445446102634</v>
      </c>
      <c r="AO16">
        <v>0.51237673355843893</v>
      </c>
      <c r="AP16">
        <v>1.3389148035219549</v>
      </c>
      <c r="AQ16">
        <v>1076.6480715604239</v>
      </c>
      <c r="AR16">
        <v>-21.203219619750708</v>
      </c>
      <c r="AS16">
        <v>421986.41163828102</v>
      </c>
      <c r="AT16">
        <v>-884.01774654438259</v>
      </c>
      <c r="AU16">
        <v>0.66666666666666663</v>
      </c>
      <c r="AV16" t="s">
        <v>64</v>
      </c>
      <c r="AW16" t="s">
        <v>138</v>
      </c>
    </row>
    <row r="17" spans="1:49" x14ac:dyDescent="0.3">
      <c r="A17" t="s">
        <v>89</v>
      </c>
      <c r="B17" t="s">
        <v>90</v>
      </c>
      <c r="C17">
        <v>5</v>
      </c>
      <c r="D17" t="s">
        <v>50</v>
      </c>
      <c r="E17" t="s">
        <v>51</v>
      </c>
      <c r="F17">
        <v>16590</v>
      </c>
      <c r="G17">
        <v>4.5</v>
      </c>
      <c r="H17" t="s">
        <v>79</v>
      </c>
      <c r="I17" t="s">
        <v>53</v>
      </c>
      <c r="J17">
        <v>5</v>
      </c>
      <c r="K17">
        <v>5</v>
      </c>
      <c r="L17" t="s">
        <v>54</v>
      </c>
      <c r="M17" t="s">
        <v>137</v>
      </c>
      <c r="N17" t="s">
        <v>138</v>
      </c>
      <c r="O17" t="s">
        <v>138</v>
      </c>
      <c r="P17" t="s">
        <v>55</v>
      </c>
      <c r="Q17" t="s">
        <v>80</v>
      </c>
      <c r="R17">
        <v>4</v>
      </c>
      <c r="S17" t="s">
        <v>57</v>
      </c>
      <c r="T17" t="s">
        <v>58</v>
      </c>
      <c r="U17" t="s">
        <v>59</v>
      </c>
      <c r="V17">
        <v>1</v>
      </c>
      <c r="W17" t="s">
        <v>60</v>
      </c>
      <c r="X17" t="s">
        <v>138</v>
      </c>
      <c r="Y17" t="s">
        <v>61</v>
      </c>
      <c r="Z17">
        <v>6000</v>
      </c>
      <c r="AA17">
        <v>6000</v>
      </c>
      <c r="AC17">
        <v>32</v>
      </c>
      <c r="AD17" t="s">
        <v>62</v>
      </c>
      <c r="AE17">
        <v>0.01</v>
      </c>
      <c r="AF17" t="s">
        <v>63</v>
      </c>
      <c r="AG17">
        <v>160</v>
      </c>
      <c r="AH17">
        <v>40</v>
      </c>
      <c r="AI17">
        <v>120</v>
      </c>
      <c r="AJ17">
        <v>4.8337188410170102E-2</v>
      </c>
      <c r="AK17">
        <v>93.385173140410245</v>
      </c>
      <c r="AL17">
        <v>-29.78871482758127</v>
      </c>
      <c r="AM17">
        <v>-591.45557434510647</v>
      </c>
      <c r="AN17">
        <v>0.1741388962860865</v>
      </c>
      <c r="AO17">
        <v>0.52515975073098409</v>
      </c>
      <c r="AP17">
        <v>1.394717387049166</v>
      </c>
      <c r="AQ17">
        <v>99.613698213753963</v>
      </c>
      <c r="AR17">
        <v>-65.250450436907187</v>
      </c>
      <c r="AS17">
        <v>54519.363372990883</v>
      </c>
      <c r="AT17">
        <v>-1177.196487779438</v>
      </c>
      <c r="AU17">
        <v>0.66666666666666663</v>
      </c>
      <c r="AV17" t="s">
        <v>64</v>
      </c>
      <c r="AW17" t="s">
        <v>138</v>
      </c>
    </row>
    <row r="18" spans="1:49" x14ac:dyDescent="0.3">
      <c r="A18" t="s">
        <v>91</v>
      </c>
      <c r="B18" t="s">
        <v>92</v>
      </c>
      <c r="C18">
        <v>6</v>
      </c>
      <c r="D18" t="s">
        <v>68</v>
      </c>
      <c r="E18" t="s">
        <v>51</v>
      </c>
      <c r="F18">
        <v>16590</v>
      </c>
      <c r="G18">
        <v>4.5</v>
      </c>
      <c r="H18" t="s">
        <v>79</v>
      </c>
      <c r="I18" t="s">
        <v>53</v>
      </c>
      <c r="J18">
        <v>5</v>
      </c>
      <c r="K18">
        <v>5</v>
      </c>
      <c r="L18" t="s">
        <v>54</v>
      </c>
      <c r="M18" t="s">
        <v>137</v>
      </c>
      <c r="N18" t="s">
        <v>138</v>
      </c>
      <c r="O18" t="s">
        <v>138</v>
      </c>
      <c r="P18" t="s">
        <v>55</v>
      </c>
      <c r="Q18" t="s">
        <v>80</v>
      </c>
      <c r="R18">
        <v>4</v>
      </c>
      <c r="S18" t="s">
        <v>57</v>
      </c>
      <c r="T18" t="s">
        <v>58</v>
      </c>
      <c r="U18" t="s">
        <v>59</v>
      </c>
      <c r="V18">
        <v>1</v>
      </c>
      <c r="W18" t="s">
        <v>60</v>
      </c>
      <c r="X18" t="s">
        <v>138</v>
      </c>
      <c r="Y18" t="s">
        <v>61</v>
      </c>
      <c r="Z18">
        <v>6000</v>
      </c>
      <c r="AA18">
        <v>6000</v>
      </c>
      <c r="AC18">
        <v>32</v>
      </c>
      <c r="AD18" t="s">
        <v>62</v>
      </c>
      <c r="AE18">
        <v>0.01</v>
      </c>
      <c r="AF18" t="s">
        <v>63</v>
      </c>
      <c r="AG18">
        <v>160</v>
      </c>
      <c r="AH18">
        <v>40</v>
      </c>
      <c r="AI18">
        <v>120</v>
      </c>
      <c r="AJ18">
        <v>5.3602264881731997E-2</v>
      </c>
      <c r="AK18">
        <v>3795.9239629252679</v>
      </c>
      <c r="AL18">
        <v>-104.52635811481289</v>
      </c>
      <c r="AM18">
        <v>-335.69312517158818</v>
      </c>
      <c r="AN18">
        <v>0.159951613050754</v>
      </c>
      <c r="AO18">
        <v>0.45918031913345259</v>
      </c>
      <c r="AP18">
        <v>1.238722754337471</v>
      </c>
      <c r="AQ18">
        <v>8218.7859551699366</v>
      </c>
      <c r="AR18">
        <v>-313.51896978820662</v>
      </c>
      <c r="AS18">
        <v>25484.102506822001</v>
      </c>
      <c r="AT18">
        <v>-906.12737205429801</v>
      </c>
      <c r="AU18">
        <v>0.66666666666666663</v>
      </c>
      <c r="AV18" t="s">
        <v>64</v>
      </c>
      <c r="AW18" t="s">
        <v>138</v>
      </c>
    </row>
    <row r="19" spans="1:49" x14ac:dyDescent="0.3">
      <c r="A19" t="s">
        <v>91</v>
      </c>
      <c r="B19" t="s">
        <v>93</v>
      </c>
      <c r="C19">
        <v>7</v>
      </c>
      <c r="D19" t="s">
        <v>68</v>
      </c>
      <c r="E19" t="s">
        <v>51</v>
      </c>
      <c r="F19">
        <v>16590</v>
      </c>
      <c r="G19">
        <v>4.5</v>
      </c>
      <c r="H19" t="s">
        <v>79</v>
      </c>
      <c r="I19" t="s">
        <v>53</v>
      </c>
      <c r="J19">
        <v>5</v>
      </c>
      <c r="K19">
        <v>5</v>
      </c>
      <c r="L19" t="s">
        <v>54</v>
      </c>
      <c r="M19" t="s">
        <v>137</v>
      </c>
      <c r="N19" t="s">
        <v>138</v>
      </c>
      <c r="O19" t="s">
        <v>138</v>
      </c>
      <c r="P19" t="s">
        <v>55</v>
      </c>
      <c r="Q19" t="s">
        <v>80</v>
      </c>
      <c r="R19">
        <v>4</v>
      </c>
      <c r="S19" t="s">
        <v>57</v>
      </c>
      <c r="T19" t="s">
        <v>58</v>
      </c>
      <c r="U19" t="s">
        <v>59</v>
      </c>
      <c r="V19">
        <v>1</v>
      </c>
      <c r="W19" t="s">
        <v>60</v>
      </c>
      <c r="X19" t="s">
        <v>138</v>
      </c>
      <c r="Y19" t="s">
        <v>61</v>
      </c>
      <c r="Z19">
        <v>6000</v>
      </c>
      <c r="AA19">
        <v>6000</v>
      </c>
      <c r="AC19">
        <v>32</v>
      </c>
      <c r="AD19" t="s">
        <v>62</v>
      </c>
      <c r="AE19">
        <v>0.01</v>
      </c>
      <c r="AF19" t="s">
        <v>63</v>
      </c>
      <c r="AG19">
        <v>160</v>
      </c>
      <c r="AH19">
        <v>40</v>
      </c>
      <c r="AI19">
        <v>120</v>
      </c>
      <c r="AJ19">
        <v>5.53522800116149E-2</v>
      </c>
      <c r="AK19">
        <v>317.79539047807179</v>
      </c>
      <c r="AL19">
        <v>-3.9327785315212669</v>
      </c>
      <c r="AM19">
        <v>-404.90417546087269</v>
      </c>
      <c r="AN19">
        <v>0.16354880193419299</v>
      </c>
      <c r="AO19">
        <v>0.47792141760072671</v>
      </c>
      <c r="AP19">
        <v>1.3853159176222869</v>
      </c>
      <c r="AQ19">
        <v>497.14109212089733</v>
      </c>
      <c r="AR19">
        <v>-5.7460989809091378</v>
      </c>
      <c r="AS19">
        <v>150944.10633042839</v>
      </c>
      <c r="AT19">
        <v>-318.93312968742538</v>
      </c>
      <c r="AU19">
        <v>0.66666666666666663</v>
      </c>
      <c r="AV19" t="s">
        <v>64</v>
      </c>
      <c r="AW19" t="s">
        <v>138</v>
      </c>
    </row>
    <row r="20" spans="1:49" x14ac:dyDescent="0.3">
      <c r="A20" t="s">
        <v>91</v>
      </c>
      <c r="B20" t="s">
        <v>94</v>
      </c>
      <c r="C20">
        <v>8</v>
      </c>
      <c r="D20" t="s">
        <v>68</v>
      </c>
      <c r="E20" t="s">
        <v>51</v>
      </c>
      <c r="F20">
        <v>16590</v>
      </c>
      <c r="G20">
        <v>4.5</v>
      </c>
      <c r="H20" t="s">
        <v>79</v>
      </c>
      <c r="I20" t="s">
        <v>53</v>
      </c>
      <c r="J20">
        <v>5</v>
      </c>
      <c r="K20">
        <v>5</v>
      </c>
      <c r="L20" t="s">
        <v>54</v>
      </c>
      <c r="M20" t="s">
        <v>137</v>
      </c>
      <c r="N20" t="s">
        <v>138</v>
      </c>
      <c r="O20" t="s">
        <v>138</v>
      </c>
      <c r="P20" t="s">
        <v>55</v>
      </c>
      <c r="Q20" t="s">
        <v>80</v>
      </c>
      <c r="R20">
        <v>4</v>
      </c>
      <c r="S20" t="s">
        <v>57</v>
      </c>
      <c r="T20" t="s">
        <v>58</v>
      </c>
      <c r="U20" t="s">
        <v>59</v>
      </c>
      <c r="V20">
        <v>1</v>
      </c>
      <c r="W20" t="s">
        <v>60</v>
      </c>
      <c r="X20" t="s">
        <v>138</v>
      </c>
      <c r="Y20" t="s">
        <v>61</v>
      </c>
      <c r="Z20">
        <v>6000</v>
      </c>
      <c r="AA20">
        <v>6000</v>
      </c>
      <c r="AC20">
        <v>32</v>
      </c>
      <c r="AD20" t="s">
        <v>62</v>
      </c>
      <c r="AE20">
        <v>0.01</v>
      </c>
      <c r="AF20" t="s">
        <v>63</v>
      </c>
      <c r="AG20">
        <v>160</v>
      </c>
      <c r="AH20">
        <v>40</v>
      </c>
      <c r="AI20">
        <v>120</v>
      </c>
      <c r="AJ20">
        <v>5.1170083398946201E-2</v>
      </c>
      <c r="AK20">
        <v>344.5141814698128</v>
      </c>
      <c r="AL20">
        <v>-126.03566377255621</v>
      </c>
      <c r="AM20">
        <v>-243.61914137586061</v>
      </c>
      <c r="AN20">
        <v>0.15654894517139351</v>
      </c>
      <c r="AO20">
        <v>0.52248034660729903</v>
      </c>
      <c r="AP20">
        <v>1.2035071310158281</v>
      </c>
      <c r="AQ20">
        <v>573.91772988423816</v>
      </c>
      <c r="AR20">
        <v>-370.23521952395328</v>
      </c>
      <c r="AS20">
        <v>29773.168924048408</v>
      </c>
      <c r="AT20">
        <v>-667.55635133056296</v>
      </c>
      <c r="AU20">
        <v>0.66666666666666663</v>
      </c>
      <c r="AV20" t="s">
        <v>64</v>
      </c>
      <c r="AW20" t="s">
        <v>138</v>
      </c>
    </row>
    <row r="21" spans="1:49" x14ac:dyDescent="0.3">
      <c r="A21" t="s">
        <v>95</v>
      </c>
      <c r="B21" t="s">
        <v>96</v>
      </c>
      <c r="C21">
        <v>9</v>
      </c>
      <c r="D21" t="s">
        <v>50</v>
      </c>
      <c r="E21" t="s">
        <v>51</v>
      </c>
      <c r="F21">
        <v>16590</v>
      </c>
      <c r="G21">
        <v>4.5</v>
      </c>
      <c r="H21" t="s">
        <v>79</v>
      </c>
      <c r="I21" t="s">
        <v>53</v>
      </c>
      <c r="J21">
        <v>5</v>
      </c>
      <c r="K21">
        <v>5</v>
      </c>
      <c r="L21" t="s">
        <v>54</v>
      </c>
      <c r="M21" t="s">
        <v>137</v>
      </c>
      <c r="N21" t="s">
        <v>138</v>
      </c>
      <c r="O21" t="s">
        <v>138</v>
      </c>
      <c r="P21" t="s">
        <v>55</v>
      </c>
      <c r="Q21" t="s">
        <v>80</v>
      </c>
      <c r="R21">
        <v>4</v>
      </c>
      <c r="S21" t="s">
        <v>57</v>
      </c>
      <c r="T21" t="s">
        <v>58</v>
      </c>
      <c r="U21" t="s">
        <v>59</v>
      </c>
      <c r="V21">
        <v>1</v>
      </c>
      <c r="W21" t="s">
        <v>60</v>
      </c>
      <c r="X21" t="s">
        <v>138</v>
      </c>
      <c r="Y21" t="s">
        <v>61</v>
      </c>
      <c r="Z21">
        <v>6000</v>
      </c>
      <c r="AA21">
        <v>6000</v>
      </c>
      <c r="AC21">
        <v>32</v>
      </c>
      <c r="AD21" t="s">
        <v>62</v>
      </c>
      <c r="AE21">
        <v>0.01</v>
      </c>
      <c r="AF21" t="s">
        <v>63</v>
      </c>
      <c r="AG21">
        <v>160</v>
      </c>
      <c r="AH21">
        <v>40</v>
      </c>
      <c r="AI21">
        <v>120</v>
      </c>
      <c r="AJ21">
        <v>5.3244026216409703E-2</v>
      </c>
      <c r="AK21">
        <v>47.258580927494563</v>
      </c>
      <c r="AL21">
        <v>-12.7213995495226</v>
      </c>
      <c r="AM21">
        <v>-656.66773141259</v>
      </c>
      <c r="AN21">
        <v>0.20130240538097149</v>
      </c>
      <c r="AO21">
        <v>0.4997593534874652</v>
      </c>
      <c r="AP21">
        <v>1.4447412262478201</v>
      </c>
      <c r="AQ21">
        <v>324.31424498754512</v>
      </c>
      <c r="AR21">
        <v>-39.174021800559061</v>
      </c>
      <c r="AS21">
        <v>342098.39498701191</v>
      </c>
      <c r="AT21">
        <v>-1223.874758603997</v>
      </c>
      <c r="AU21">
        <v>0.66666666666666663</v>
      </c>
      <c r="AV21" t="s">
        <v>64</v>
      </c>
      <c r="AW21" t="s">
        <v>138</v>
      </c>
    </row>
    <row r="22" spans="1:49" x14ac:dyDescent="0.3">
      <c r="A22" t="s">
        <v>97</v>
      </c>
      <c r="B22" t="s">
        <v>98</v>
      </c>
      <c r="C22">
        <v>0</v>
      </c>
      <c r="D22" t="s">
        <v>68</v>
      </c>
      <c r="E22" t="s">
        <v>51</v>
      </c>
      <c r="F22">
        <v>16590</v>
      </c>
      <c r="G22">
        <v>4.5</v>
      </c>
      <c r="H22" t="s">
        <v>99</v>
      </c>
      <c r="I22" t="s">
        <v>53</v>
      </c>
      <c r="J22">
        <v>5</v>
      </c>
      <c r="K22">
        <v>5</v>
      </c>
      <c r="L22" t="s">
        <v>54</v>
      </c>
      <c r="M22" t="s">
        <v>137</v>
      </c>
      <c r="N22" t="s">
        <v>138</v>
      </c>
      <c r="O22" t="s">
        <v>138</v>
      </c>
      <c r="P22" t="s">
        <v>55</v>
      </c>
      <c r="Q22" t="s">
        <v>100</v>
      </c>
      <c r="R22">
        <v>4</v>
      </c>
      <c r="S22" t="s">
        <v>57</v>
      </c>
      <c r="T22" t="s">
        <v>58</v>
      </c>
      <c r="U22" t="s">
        <v>59</v>
      </c>
      <c r="V22">
        <v>1</v>
      </c>
      <c r="W22" t="s">
        <v>60</v>
      </c>
      <c r="X22" t="s">
        <v>138</v>
      </c>
      <c r="Y22" t="s">
        <v>61</v>
      </c>
      <c r="Z22">
        <v>6000</v>
      </c>
      <c r="AA22">
        <v>6000</v>
      </c>
      <c r="AC22">
        <v>32</v>
      </c>
      <c r="AD22" t="s">
        <v>62</v>
      </c>
      <c r="AE22">
        <v>0.01</v>
      </c>
      <c r="AF22" t="s">
        <v>63</v>
      </c>
      <c r="AG22">
        <v>160</v>
      </c>
      <c r="AH22">
        <v>40</v>
      </c>
      <c r="AI22">
        <v>120</v>
      </c>
      <c r="AJ22">
        <v>5.4966205405523799E-2</v>
      </c>
      <c r="AK22">
        <v>2025.0262959381209</v>
      </c>
      <c r="AL22">
        <v>-35.142612656227953</v>
      </c>
      <c r="AM22">
        <v>-242.73450591354771</v>
      </c>
      <c r="AN22">
        <v>0.11928644085413539</v>
      </c>
      <c r="AO22">
        <v>0.43228972572219782</v>
      </c>
      <c r="AP22">
        <v>0.91853665874680224</v>
      </c>
      <c r="AQ22">
        <v>2711.0884845225792</v>
      </c>
      <c r="AR22">
        <v>-108.8362296790494</v>
      </c>
      <c r="AS22">
        <v>2461954.6224333108</v>
      </c>
      <c r="AT22">
        <v>-5455.4513869801231</v>
      </c>
      <c r="AU22">
        <v>0.8</v>
      </c>
      <c r="AV22" t="s">
        <v>64</v>
      </c>
      <c r="AW22" t="s">
        <v>138</v>
      </c>
    </row>
    <row r="23" spans="1:49" x14ac:dyDescent="0.3">
      <c r="A23" t="s">
        <v>97</v>
      </c>
      <c r="B23" t="s">
        <v>101</v>
      </c>
      <c r="C23">
        <v>1</v>
      </c>
      <c r="D23" t="s">
        <v>50</v>
      </c>
      <c r="E23" t="s">
        <v>51</v>
      </c>
      <c r="F23">
        <v>16590</v>
      </c>
      <c r="G23">
        <v>4.5</v>
      </c>
      <c r="H23" t="s">
        <v>99</v>
      </c>
      <c r="I23" t="s">
        <v>53</v>
      </c>
      <c r="J23">
        <v>5</v>
      </c>
      <c r="K23">
        <v>5</v>
      </c>
      <c r="L23" t="s">
        <v>54</v>
      </c>
      <c r="M23" t="s">
        <v>137</v>
      </c>
      <c r="N23" t="s">
        <v>138</v>
      </c>
      <c r="O23" t="s">
        <v>138</v>
      </c>
      <c r="P23" t="s">
        <v>55</v>
      </c>
      <c r="Q23" t="s">
        <v>100</v>
      </c>
      <c r="R23">
        <v>4</v>
      </c>
      <c r="S23" t="s">
        <v>57</v>
      </c>
      <c r="T23" t="s">
        <v>58</v>
      </c>
      <c r="U23" t="s">
        <v>59</v>
      </c>
      <c r="V23">
        <v>1</v>
      </c>
      <c r="W23" t="s">
        <v>60</v>
      </c>
      <c r="X23" t="s">
        <v>138</v>
      </c>
      <c r="Y23" t="s">
        <v>61</v>
      </c>
      <c r="Z23">
        <v>6000</v>
      </c>
      <c r="AA23">
        <v>6000</v>
      </c>
      <c r="AC23">
        <v>32</v>
      </c>
      <c r="AD23" t="s">
        <v>62</v>
      </c>
      <c r="AE23">
        <v>0.01</v>
      </c>
      <c r="AF23" t="s">
        <v>63</v>
      </c>
      <c r="AG23">
        <v>160</v>
      </c>
      <c r="AH23">
        <v>40</v>
      </c>
      <c r="AI23">
        <v>120</v>
      </c>
      <c r="AJ23">
        <v>5.57099733296487E-2</v>
      </c>
      <c r="AK23">
        <v>1030.1228653708879</v>
      </c>
      <c r="AL23">
        <v>-6.7493239168485619</v>
      </c>
      <c r="AM23">
        <v>-3975.783717229609</v>
      </c>
      <c r="AN23">
        <v>0.1026618467777841</v>
      </c>
      <c r="AO23">
        <v>0.4263750068132432</v>
      </c>
      <c r="AP23">
        <v>0.77291946055779215</v>
      </c>
      <c r="AQ23">
        <v>2539.6312722487928</v>
      </c>
      <c r="AR23">
        <v>-32.209415003650037</v>
      </c>
      <c r="AS23">
        <v>5852547.6039097235</v>
      </c>
      <c r="AT23">
        <v>-12879.952984027341</v>
      </c>
      <c r="AU23">
        <v>0.8</v>
      </c>
      <c r="AV23" t="s">
        <v>64</v>
      </c>
      <c r="AW23" t="s">
        <v>138</v>
      </c>
    </row>
    <row r="24" spans="1:49" x14ac:dyDescent="0.3">
      <c r="A24" t="s">
        <v>102</v>
      </c>
      <c r="B24" t="s">
        <v>103</v>
      </c>
      <c r="C24">
        <v>2</v>
      </c>
      <c r="D24" t="s">
        <v>50</v>
      </c>
      <c r="E24" t="s">
        <v>51</v>
      </c>
      <c r="F24">
        <v>16590</v>
      </c>
      <c r="G24">
        <v>4.5</v>
      </c>
      <c r="H24" t="s">
        <v>99</v>
      </c>
      <c r="I24" t="s">
        <v>53</v>
      </c>
      <c r="J24">
        <v>5</v>
      </c>
      <c r="K24">
        <v>5</v>
      </c>
      <c r="L24" t="s">
        <v>54</v>
      </c>
      <c r="M24" t="s">
        <v>137</v>
      </c>
      <c r="N24" t="s">
        <v>138</v>
      </c>
      <c r="O24" t="s">
        <v>138</v>
      </c>
      <c r="P24" t="s">
        <v>55</v>
      </c>
      <c r="Q24" t="s">
        <v>100</v>
      </c>
      <c r="R24">
        <v>4</v>
      </c>
      <c r="S24" t="s">
        <v>57</v>
      </c>
      <c r="T24" t="s">
        <v>58</v>
      </c>
      <c r="U24" t="s">
        <v>59</v>
      </c>
      <c r="V24">
        <v>1</v>
      </c>
      <c r="W24" t="s">
        <v>60</v>
      </c>
      <c r="X24" t="s">
        <v>138</v>
      </c>
      <c r="Y24" t="s">
        <v>61</v>
      </c>
      <c r="Z24">
        <v>6000</v>
      </c>
      <c r="AA24">
        <v>6000</v>
      </c>
      <c r="AC24">
        <v>32</v>
      </c>
      <c r="AD24" t="s">
        <v>62</v>
      </c>
      <c r="AE24">
        <v>0.01</v>
      </c>
      <c r="AF24" t="s">
        <v>63</v>
      </c>
      <c r="AG24">
        <v>160</v>
      </c>
      <c r="AH24">
        <v>40</v>
      </c>
      <c r="AI24">
        <v>120</v>
      </c>
      <c r="AJ24">
        <v>5.9369672522079101E-2</v>
      </c>
      <c r="AK24">
        <v>387.23350561268558</v>
      </c>
      <c r="AL24">
        <v>-75.141279790493854</v>
      </c>
      <c r="AM24">
        <v>-785.96449100600728</v>
      </c>
      <c r="AN24">
        <v>0.20440910601658069</v>
      </c>
      <c r="AO24">
        <v>0.42359533367159929</v>
      </c>
      <c r="AP24">
        <v>1.8621853026346169</v>
      </c>
      <c r="AQ24">
        <v>2878.8806509067058</v>
      </c>
      <c r="AR24">
        <v>-166.01034943512471</v>
      </c>
      <c r="AS24">
        <v>548956.28710001905</v>
      </c>
      <c r="AT24">
        <v>-1215.50156443899</v>
      </c>
      <c r="AU24">
        <v>0.8</v>
      </c>
      <c r="AV24" t="s">
        <v>64</v>
      </c>
      <c r="AW24" t="s">
        <v>138</v>
      </c>
    </row>
    <row r="25" spans="1:49" x14ac:dyDescent="0.3">
      <c r="A25" t="s">
        <v>102</v>
      </c>
      <c r="B25" t="s">
        <v>104</v>
      </c>
      <c r="C25">
        <v>3</v>
      </c>
      <c r="D25" t="s">
        <v>50</v>
      </c>
      <c r="E25" t="s">
        <v>51</v>
      </c>
      <c r="F25">
        <v>16590</v>
      </c>
      <c r="G25">
        <v>4.5</v>
      </c>
      <c r="H25" t="s">
        <v>99</v>
      </c>
      <c r="I25" t="s">
        <v>53</v>
      </c>
      <c r="J25">
        <v>5</v>
      </c>
      <c r="K25">
        <v>5</v>
      </c>
      <c r="L25" t="s">
        <v>54</v>
      </c>
      <c r="M25" t="s">
        <v>137</v>
      </c>
      <c r="N25" t="s">
        <v>138</v>
      </c>
      <c r="O25" t="s">
        <v>138</v>
      </c>
      <c r="P25" t="s">
        <v>55</v>
      </c>
      <c r="Q25" t="s">
        <v>100</v>
      </c>
      <c r="R25">
        <v>4</v>
      </c>
      <c r="S25" t="s">
        <v>57</v>
      </c>
      <c r="T25" t="s">
        <v>58</v>
      </c>
      <c r="U25" t="s">
        <v>59</v>
      </c>
      <c r="V25">
        <v>1</v>
      </c>
      <c r="W25" t="s">
        <v>60</v>
      </c>
      <c r="X25" t="s">
        <v>138</v>
      </c>
      <c r="Y25" t="s">
        <v>61</v>
      </c>
      <c r="Z25">
        <v>6000</v>
      </c>
      <c r="AA25">
        <v>6000</v>
      </c>
      <c r="AC25">
        <v>32</v>
      </c>
      <c r="AD25" t="s">
        <v>62</v>
      </c>
      <c r="AE25">
        <v>0.01</v>
      </c>
      <c r="AF25" t="s">
        <v>63</v>
      </c>
      <c r="AG25">
        <v>160</v>
      </c>
      <c r="AH25">
        <v>40</v>
      </c>
      <c r="AI25">
        <v>120</v>
      </c>
      <c r="AJ25">
        <v>5.43613552369634E-2</v>
      </c>
      <c r="AK25">
        <v>232.52170604612931</v>
      </c>
      <c r="AL25">
        <v>-112.481470158074</v>
      </c>
      <c r="AM25">
        <v>-13869.04272750977</v>
      </c>
      <c r="AN25">
        <v>0.1224115491186378</v>
      </c>
      <c r="AO25">
        <v>0.433358154497482</v>
      </c>
      <c r="AP25">
        <v>0.84248096229044778</v>
      </c>
      <c r="AQ25">
        <v>1644.7920786324989</v>
      </c>
      <c r="AR25">
        <v>-224.50585587603771</v>
      </c>
      <c r="AS25">
        <v>10311206.61994138</v>
      </c>
      <c r="AT25">
        <v>-21024.953240247549</v>
      </c>
      <c r="AU25">
        <v>0.8</v>
      </c>
      <c r="AV25" t="s">
        <v>64</v>
      </c>
      <c r="AW25" t="s">
        <v>138</v>
      </c>
    </row>
    <row r="26" spans="1:49" x14ac:dyDescent="0.3">
      <c r="A26" t="s">
        <v>105</v>
      </c>
      <c r="B26" t="s">
        <v>106</v>
      </c>
      <c r="C26">
        <v>4</v>
      </c>
      <c r="D26" t="s">
        <v>50</v>
      </c>
      <c r="E26" t="s">
        <v>51</v>
      </c>
      <c r="F26">
        <v>16590</v>
      </c>
      <c r="G26">
        <v>4.5</v>
      </c>
      <c r="H26" t="s">
        <v>99</v>
      </c>
      <c r="I26" t="s">
        <v>53</v>
      </c>
      <c r="J26">
        <v>5</v>
      </c>
      <c r="K26">
        <v>5</v>
      </c>
      <c r="L26" t="s">
        <v>54</v>
      </c>
      <c r="M26" t="s">
        <v>137</v>
      </c>
      <c r="N26" t="s">
        <v>138</v>
      </c>
      <c r="O26" t="s">
        <v>138</v>
      </c>
      <c r="P26" t="s">
        <v>55</v>
      </c>
      <c r="Q26" t="s">
        <v>100</v>
      </c>
      <c r="R26">
        <v>4</v>
      </c>
      <c r="S26" t="s">
        <v>57</v>
      </c>
      <c r="T26" t="s">
        <v>58</v>
      </c>
      <c r="U26" t="s">
        <v>59</v>
      </c>
      <c r="V26">
        <v>1</v>
      </c>
      <c r="W26" t="s">
        <v>60</v>
      </c>
      <c r="X26" t="s">
        <v>138</v>
      </c>
      <c r="Y26" t="s">
        <v>61</v>
      </c>
      <c r="Z26">
        <v>6000</v>
      </c>
      <c r="AA26">
        <v>6000</v>
      </c>
      <c r="AC26">
        <v>32</v>
      </c>
      <c r="AD26" t="s">
        <v>62</v>
      </c>
      <c r="AE26">
        <v>0.01</v>
      </c>
      <c r="AF26" t="s">
        <v>63</v>
      </c>
      <c r="AG26">
        <v>160</v>
      </c>
      <c r="AH26">
        <v>40</v>
      </c>
      <c r="AI26">
        <v>120</v>
      </c>
      <c r="AJ26">
        <v>5.0353650411164901E-2</v>
      </c>
      <c r="AK26">
        <v>1099.419627721752</v>
      </c>
      <c r="AL26">
        <v>-18.510865037827021</v>
      </c>
      <c r="AM26">
        <v>-77.258027292531438</v>
      </c>
      <c r="AN26">
        <v>0.1334819566647919</v>
      </c>
      <c r="AO26">
        <v>0.48538739527711389</v>
      </c>
      <c r="AP26">
        <v>0.86262309810689697</v>
      </c>
      <c r="AQ26">
        <v>3517.6510371725062</v>
      </c>
      <c r="AR26">
        <v>-40.406616401354633</v>
      </c>
      <c r="AS26">
        <v>1325.8448749491019</v>
      </c>
      <c r="AT26">
        <v>-103.53672018173449</v>
      </c>
      <c r="AU26">
        <v>0.8</v>
      </c>
      <c r="AV26" t="s">
        <v>64</v>
      </c>
      <c r="AW26" t="s">
        <v>138</v>
      </c>
    </row>
    <row r="27" spans="1:49" x14ac:dyDescent="0.3">
      <c r="A27" t="s">
        <v>107</v>
      </c>
      <c r="B27" t="s">
        <v>108</v>
      </c>
      <c r="C27">
        <v>5</v>
      </c>
      <c r="D27" t="s">
        <v>50</v>
      </c>
      <c r="E27" t="s">
        <v>51</v>
      </c>
      <c r="F27">
        <v>16590</v>
      </c>
      <c r="G27">
        <v>4.5</v>
      </c>
      <c r="H27" t="s">
        <v>99</v>
      </c>
      <c r="I27" t="s">
        <v>53</v>
      </c>
      <c r="J27">
        <v>5</v>
      </c>
      <c r="K27">
        <v>5</v>
      </c>
      <c r="L27" t="s">
        <v>54</v>
      </c>
      <c r="M27" t="s">
        <v>137</v>
      </c>
      <c r="N27" t="s">
        <v>138</v>
      </c>
      <c r="O27" t="s">
        <v>138</v>
      </c>
      <c r="P27" t="s">
        <v>55</v>
      </c>
      <c r="Q27" t="s">
        <v>100</v>
      </c>
      <c r="R27">
        <v>4</v>
      </c>
      <c r="S27" t="s">
        <v>57</v>
      </c>
      <c r="T27" t="s">
        <v>58</v>
      </c>
      <c r="U27" t="s">
        <v>59</v>
      </c>
      <c r="V27">
        <v>1</v>
      </c>
      <c r="W27" t="s">
        <v>60</v>
      </c>
      <c r="X27" t="s">
        <v>138</v>
      </c>
      <c r="Y27" t="s">
        <v>61</v>
      </c>
      <c r="Z27">
        <v>6000</v>
      </c>
      <c r="AA27">
        <v>6000</v>
      </c>
      <c r="AC27">
        <v>32</v>
      </c>
      <c r="AD27" t="s">
        <v>62</v>
      </c>
      <c r="AE27">
        <v>0.01</v>
      </c>
      <c r="AF27" t="s">
        <v>63</v>
      </c>
      <c r="AG27">
        <v>160</v>
      </c>
      <c r="AH27">
        <v>40</v>
      </c>
      <c r="AI27">
        <v>120</v>
      </c>
      <c r="AJ27">
        <v>5.7233534376159897E-2</v>
      </c>
      <c r="AK27">
        <v>2358.5273563630649</v>
      </c>
      <c r="AL27">
        <v>-50.699179989637017</v>
      </c>
      <c r="AM27">
        <v>-338.96519137672283</v>
      </c>
      <c r="AN27">
        <v>0.17245264840042579</v>
      </c>
      <c r="AO27">
        <v>0.4226023733892697</v>
      </c>
      <c r="AP27">
        <v>1.4637499396193181</v>
      </c>
      <c r="AQ27">
        <v>6047.2149514206421</v>
      </c>
      <c r="AR27">
        <v>-91.792672556505281</v>
      </c>
      <c r="AS27">
        <v>129560.19200621441</v>
      </c>
      <c r="AT27">
        <v>-546.5252108688378</v>
      </c>
      <c r="AU27">
        <v>0.8</v>
      </c>
      <c r="AV27" t="s">
        <v>64</v>
      </c>
      <c r="AW27" t="s">
        <v>138</v>
      </c>
    </row>
    <row r="28" spans="1:49" x14ac:dyDescent="0.3">
      <c r="A28" t="s">
        <v>109</v>
      </c>
      <c r="B28" t="s">
        <v>110</v>
      </c>
      <c r="C28">
        <v>6</v>
      </c>
      <c r="D28" t="s">
        <v>50</v>
      </c>
      <c r="E28" t="s">
        <v>51</v>
      </c>
      <c r="F28">
        <v>16590</v>
      </c>
      <c r="G28">
        <v>4.5</v>
      </c>
      <c r="H28" t="s">
        <v>99</v>
      </c>
      <c r="I28" t="s">
        <v>53</v>
      </c>
      <c r="J28">
        <v>5</v>
      </c>
      <c r="K28">
        <v>5</v>
      </c>
      <c r="L28" t="s">
        <v>54</v>
      </c>
      <c r="M28" t="s">
        <v>137</v>
      </c>
      <c r="N28" t="s">
        <v>138</v>
      </c>
      <c r="O28" t="s">
        <v>138</v>
      </c>
      <c r="P28" t="s">
        <v>55</v>
      </c>
      <c r="Q28" t="s">
        <v>100</v>
      </c>
      <c r="R28">
        <v>4</v>
      </c>
      <c r="S28" t="s">
        <v>57</v>
      </c>
      <c r="T28" t="s">
        <v>58</v>
      </c>
      <c r="U28" t="s">
        <v>59</v>
      </c>
      <c r="V28">
        <v>1</v>
      </c>
      <c r="W28" t="s">
        <v>60</v>
      </c>
      <c r="X28" t="s">
        <v>138</v>
      </c>
      <c r="Y28" t="s">
        <v>61</v>
      </c>
      <c r="Z28">
        <v>6000</v>
      </c>
      <c r="AA28">
        <v>6000</v>
      </c>
      <c r="AC28">
        <v>32</v>
      </c>
      <c r="AD28" t="s">
        <v>62</v>
      </c>
      <c r="AE28">
        <v>0.01</v>
      </c>
      <c r="AF28" t="s">
        <v>63</v>
      </c>
      <c r="AG28">
        <v>160</v>
      </c>
      <c r="AH28">
        <v>40</v>
      </c>
      <c r="AI28">
        <v>120</v>
      </c>
      <c r="AJ28">
        <v>5.8744265512312502E-2</v>
      </c>
      <c r="AK28">
        <v>155.44867539289001</v>
      </c>
      <c r="AL28">
        <v>-7.352716796074855</v>
      </c>
      <c r="AM28">
        <v>-14309.056023597581</v>
      </c>
      <c r="AN28">
        <v>0.11761473987029331</v>
      </c>
      <c r="AO28">
        <v>0.41078137128352299</v>
      </c>
      <c r="AP28">
        <v>0.85273827228648424</v>
      </c>
      <c r="AQ28">
        <v>1680.528651029123</v>
      </c>
      <c r="AR28">
        <v>-21.25241436347526</v>
      </c>
      <c r="AS28">
        <v>10594737.637595501</v>
      </c>
      <c r="AT28">
        <v>-21985.25717977207</v>
      </c>
      <c r="AU28">
        <v>0.8</v>
      </c>
      <c r="AV28" t="s">
        <v>64</v>
      </c>
      <c r="AW28" t="s">
        <v>138</v>
      </c>
    </row>
    <row r="29" spans="1:49" x14ac:dyDescent="0.3">
      <c r="A29" t="s">
        <v>111</v>
      </c>
      <c r="B29" t="s">
        <v>112</v>
      </c>
      <c r="C29">
        <v>7</v>
      </c>
      <c r="D29" t="s">
        <v>50</v>
      </c>
      <c r="E29" t="s">
        <v>51</v>
      </c>
      <c r="F29">
        <v>16590</v>
      </c>
      <c r="G29">
        <v>4.5</v>
      </c>
      <c r="H29" t="s">
        <v>99</v>
      </c>
      <c r="I29" t="s">
        <v>53</v>
      </c>
      <c r="J29">
        <v>5</v>
      </c>
      <c r="K29">
        <v>5</v>
      </c>
      <c r="L29" t="s">
        <v>54</v>
      </c>
      <c r="M29" t="s">
        <v>137</v>
      </c>
      <c r="N29" t="s">
        <v>138</v>
      </c>
      <c r="O29" t="s">
        <v>138</v>
      </c>
      <c r="P29" t="s">
        <v>55</v>
      </c>
      <c r="Q29" t="s">
        <v>100</v>
      </c>
      <c r="R29">
        <v>4</v>
      </c>
      <c r="S29" t="s">
        <v>57</v>
      </c>
      <c r="T29" t="s">
        <v>58</v>
      </c>
      <c r="U29" t="s">
        <v>59</v>
      </c>
      <c r="V29">
        <v>1</v>
      </c>
      <c r="W29" t="s">
        <v>60</v>
      </c>
      <c r="X29" t="s">
        <v>138</v>
      </c>
      <c r="Y29" t="s">
        <v>61</v>
      </c>
      <c r="Z29">
        <v>6000</v>
      </c>
      <c r="AA29">
        <v>6000</v>
      </c>
      <c r="AC29">
        <v>32</v>
      </c>
      <c r="AD29" t="s">
        <v>62</v>
      </c>
      <c r="AE29">
        <v>0.01</v>
      </c>
      <c r="AF29" t="s">
        <v>63</v>
      </c>
      <c r="AG29">
        <v>160</v>
      </c>
      <c r="AH29">
        <v>40</v>
      </c>
      <c r="AI29">
        <v>120</v>
      </c>
      <c r="AJ29">
        <v>6.1477506665171898E-2</v>
      </c>
      <c r="AK29">
        <v>1071.7363264891169</v>
      </c>
      <c r="AL29">
        <v>-246.5261531094838</v>
      </c>
      <c r="AM29">
        <v>-1955.9205174185461</v>
      </c>
      <c r="AN29">
        <v>0.12942395412142499</v>
      </c>
      <c r="AO29">
        <v>0.36764686249798018</v>
      </c>
      <c r="AP29">
        <v>1.147246917943112</v>
      </c>
      <c r="AQ29">
        <v>1431.4867191799369</v>
      </c>
      <c r="AR29">
        <v>-704.64147633235291</v>
      </c>
      <c r="AS29">
        <v>7396102.2722773599</v>
      </c>
      <c r="AT29">
        <v>-16101.559049037351</v>
      </c>
      <c r="AU29">
        <v>0.8</v>
      </c>
      <c r="AV29" t="s">
        <v>64</v>
      </c>
      <c r="AW29" t="s">
        <v>138</v>
      </c>
    </row>
    <row r="30" spans="1:49" x14ac:dyDescent="0.3">
      <c r="A30" t="s">
        <v>113</v>
      </c>
      <c r="B30" t="s">
        <v>114</v>
      </c>
      <c r="C30">
        <v>8</v>
      </c>
      <c r="D30" t="s">
        <v>68</v>
      </c>
      <c r="E30" t="s">
        <v>51</v>
      </c>
      <c r="F30">
        <v>16590</v>
      </c>
      <c r="G30">
        <v>4.5</v>
      </c>
      <c r="H30" t="s">
        <v>99</v>
      </c>
      <c r="I30" t="s">
        <v>53</v>
      </c>
      <c r="J30">
        <v>5</v>
      </c>
      <c r="K30">
        <v>5</v>
      </c>
      <c r="L30" t="s">
        <v>54</v>
      </c>
      <c r="M30" t="s">
        <v>137</v>
      </c>
      <c r="N30" t="s">
        <v>138</v>
      </c>
      <c r="O30" t="s">
        <v>138</v>
      </c>
      <c r="P30" t="s">
        <v>55</v>
      </c>
      <c r="Q30" t="s">
        <v>100</v>
      </c>
      <c r="R30">
        <v>4</v>
      </c>
      <c r="S30" t="s">
        <v>57</v>
      </c>
      <c r="T30" t="s">
        <v>58</v>
      </c>
      <c r="U30" t="s">
        <v>59</v>
      </c>
      <c r="V30">
        <v>1</v>
      </c>
      <c r="W30" t="s">
        <v>60</v>
      </c>
      <c r="X30" t="s">
        <v>138</v>
      </c>
      <c r="Y30" t="s">
        <v>61</v>
      </c>
      <c r="Z30">
        <v>6000</v>
      </c>
      <c r="AA30">
        <v>6000</v>
      </c>
      <c r="AC30">
        <v>32</v>
      </c>
      <c r="AD30" t="s">
        <v>62</v>
      </c>
      <c r="AE30">
        <v>0.01</v>
      </c>
      <c r="AF30" t="s">
        <v>63</v>
      </c>
      <c r="AG30">
        <v>160</v>
      </c>
      <c r="AH30">
        <v>40</v>
      </c>
      <c r="AI30">
        <v>120</v>
      </c>
      <c r="AJ30">
        <v>4.8087893501350801E-2</v>
      </c>
      <c r="AK30">
        <v>183.8074434870274</v>
      </c>
      <c r="AL30">
        <v>-96.597765144150245</v>
      </c>
      <c r="AM30">
        <v>-281.0546064817496</v>
      </c>
      <c r="AN30">
        <v>0.10103612718801711</v>
      </c>
      <c r="AO30">
        <v>0.48654335653034431</v>
      </c>
      <c r="AP30">
        <v>0.77830039674948115</v>
      </c>
      <c r="AQ30">
        <v>419.63904806664078</v>
      </c>
      <c r="AR30">
        <v>-300.36511524648807</v>
      </c>
      <c r="AS30">
        <v>142044.4166508108</v>
      </c>
      <c r="AT30">
        <v>-611.44088876130945</v>
      </c>
      <c r="AU30">
        <v>0.8</v>
      </c>
      <c r="AV30" t="s">
        <v>64</v>
      </c>
      <c r="AW30" t="s">
        <v>138</v>
      </c>
    </row>
    <row r="31" spans="1:49" x14ac:dyDescent="0.3">
      <c r="A31" t="s">
        <v>115</v>
      </c>
      <c r="B31" t="s">
        <v>116</v>
      </c>
      <c r="C31">
        <v>9</v>
      </c>
      <c r="D31" t="s">
        <v>68</v>
      </c>
      <c r="E31" t="s">
        <v>51</v>
      </c>
      <c r="F31">
        <v>16590</v>
      </c>
      <c r="G31">
        <v>4.5</v>
      </c>
      <c r="H31" t="s">
        <v>99</v>
      </c>
      <c r="I31" t="s">
        <v>53</v>
      </c>
      <c r="J31">
        <v>5</v>
      </c>
      <c r="K31">
        <v>5</v>
      </c>
      <c r="L31" t="s">
        <v>54</v>
      </c>
      <c r="M31" t="s">
        <v>137</v>
      </c>
      <c r="N31" t="s">
        <v>138</v>
      </c>
      <c r="O31" t="s">
        <v>138</v>
      </c>
      <c r="P31" t="s">
        <v>55</v>
      </c>
      <c r="Q31" t="s">
        <v>100</v>
      </c>
      <c r="R31">
        <v>4</v>
      </c>
      <c r="S31" t="s">
        <v>57</v>
      </c>
      <c r="T31" t="s">
        <v>58</v>
      </c>
      <c r="U31" t="s">
        <v>59</v>
      </c>
      <c r="V31">
        <v>1</v>
      </c>
      <c r="W31" t="s">
        <v>60</v>
      </c>
      <c r="X31" t="s">
        <v>138</v>
      </c>
      <c r="Y31" t="s">
        <v>61</v>
      </c>
      <c r="Z31">
        <v>6000</v>
      </c>
      <c r="AA31">
        <v>6000</v>
      </c>
      <c r="AC31">
        <v>32</v>
      </c>
      <c r="AD31" t="s">
        <v>62</v>
      </c>
      <c r="AE31">
        <v>0.01</v>
      </c>
      <c r="AF31" t="s">
        <v>63</v>
      </c>
      <c r="AG31">
        <v>160</v>
      </c>
      <c r="AH31">
        <v>40</v>
      </c>
      <c r="AI31">
        <v>120</v>
      </c>
      <c r="AJ31">
        <v>5.71189028629039E-2</v>
      </c>
      <c r="AK31">
        <v>137.7107360283668</v>
      </c>
      <c r="AL31">
        <v>-26.878157385991571</v>
      </c>
      <c r="AM31">
        <v>-17343.830003515461</v>
      </c>
      <c r="AN31">
        <v>0.1405437679523123</v>
      </c>
      <c r="AO31">
        <v>0.42676476472308938</v>
      </c>
      <c r="AP31">
        <v>0.94115740524916058</v>
      </c>
      <c r="AQ31">
        <v>1609.9258723430701</v>
      </c>
      <c r="AR31">
        <v>-71.465724443063664</v>
      </c>
      <c r="AS31">
        <v>13276654.32160018</v>
      </c>
      <c r="AT31">
        <v>-26557.783079010082</v>
      </c>
      <c r="AU31">
        <v>0.8</v>
      </c>
      <c r="AV31" t="s">
        <v>64</v>
      </c>
      <c r="AW31" t="s">
        <v>138</v>
      </c>
    </row>
    <row r="32" spans="1:49" x14ac:dyDescent="0.3">
      <c r="A32" t="s">
        <v>117</v>
      </c>
      <c r="B32" t="s">
        <v>118</v>
      </c>
      <c r="C32">
        <v>0</v>
      </c>
      <c r="D32" t="s">
        <v>50</v>
      </c>
      <c r="E32" t="s">
        <v>51</v>
      </c>
      <c r="F32">
        <v>16590</v>
      </c>
      <c r="G32">
        <v>4.5</v>
      </c>
      <c r="H32" t="s">
        <v>99</v>
      </c>
      <c r="I32" t="s">
        <v>53</v>
      </c>
      <c r="J32">
        <v>5</v>
      </c>
      <c r="K32">
        <v>5</v>
      </c>
      <c r="L32" t="s">
        <v>54</v>
      </c>
      <c r="M32" t="s">
        <v>137</v>
      </c>
      <c r="N32" t="s">
        <v>138</v>
      </c>
      <c r="O32" t="s">
        <v>137</v>
      </c>
      <c r="P32" t="s">
        <v>55</v>
      </c>
      <c r="Q32" t="s">
        <v>100</v>
      </c>
      <c r="R32">
        <v>4</v>
      </c>
      <c r="S32" t="s">
        <v>57</v>
      </c>
      <c r="T32" t="s">
        <v>58</v>
      </c>
      <c r="U32" t="s">
        <v>59</v>
      </c>
      <c r="V32">
        <v>1</v>
      </c>
      <c r="W32" t="s">
        <v>60</v>
      </c>
      <c r="X32" t="s">
        <v>138</v>
      </c>
      <c r="Y32" t="s">
        <v>61</v>
      </c>
      <c r="Z32">
        <v>6000</v>
      </c>
      <c r="AA32">
        <v>6000</v>
      </c>
      <c r="AC32">
        <v>32</v>
      </c>
      <c r="AD32" t="s">
        <v>62</v>
      </c>
      <c r="AE32">
        <v>0.01</v>
      </c>
      <c r="AF32" t="s">
        <v>63</v>
      </c>
      <c r="AG32">
        <v>160</v>
      </c>
      <c r="AH32">
        <v>40</v>
      </c>
      <c r="AI32">
        <v>120</v>
      </c>
      <c r="AJ32">
        <v>1.138233461130163</v>
      </c>
      <c r="AK32">
        <v>2229.8121043081819</v>
      </c>
      <c r="AL32">
        <v>-20.238693355890149</v>
      </c>
      <c r="AM32">
        <v>-417.31806246642458</v>
      </c>
      <c r="AN32">
        <v>0.12947004710457641</v>
      </c>
      <c r="AO32">
        <v>0.44476634108900193</v>
      </c>
      <c r="AP32">
        <v>1.1206679446073811</v>
      </c>
      <c r="AQ32">
        <v>9232.5086268739487</v>
      </c>
      <c r="AR32">
        <v>-60.288599236065863</v>
      </c>
      <c r="AS32">
        <v>44870.570350678252</v>
      </c>
      <c r="AT32">
        <v>-986.78127364904503</v>
      </c>
      <c r="AU32">
        <v>0.8</v>
      </c>
      <c r="AV32" t="s">
        <v>64</v>
      </c>
      <c r="AW32" t="s">
        <v>138</v>
      </c>
    </row>
    <row r="33" spans="1:49" x14ac:dyDescent="0.3">
      <c r="A33" t="s">
        <v>119</v>
      </c>
      <c r="B33" t="s">
        <v>120</v>
      </c>
      <c r="C33">
        <v>1</v>
      </c>
      <c r="D33" t="s">
        <v>68</v>
      </c>
      <c r="E33" t="s">
        <v>51</v>
      </c>
      <c r="F33">
        <v>16590</v>
      </c>
      <c r="G33">
        <v>4.5</v>
      </c>
      <c r="H33" t="s">
        <v>99</v>
      </c>
      <c r="I33" t="s">
        <v>53</v>
      </c>
      <c r="J33">
        <v>5</v>
      </c>
      <c r="K33">
        <v>5</v>
      </c>
      <c r="L33" t="s">
        <v>54</v>
      </c>
      <c r="M33" t="s">
        <v>137</v>
      </c>
      <c r="N33" t="s">
        <v>138</v>
      </c>
      <c r="O33" t="s">
        <v>137</v>
      </c>
      <c r="P33" t="s">
        <v>55</v>
      </c>
      <c r="Q33" t="s">
        <v>100</v>
      </c>
      <c r="R33">
        <v>4</v>
      </c>
      <c r="S33" t="s">
        <v>57</v>
      </c>
      <c r="T33" t="s">
        <v>58</v>
      </c>
      <c r="U33" t="s">
        <v>59</v>
      </c>
      <c r="V33">
        <v>1</v>
      </c>
      <c r="W33" t="s">
        <v>60</v>
      </c>
      <c r="X33" t="s">
        <v>138</v>
      </c>
      <c r="Y33" t="s">
        <v>61</v>
      </c>
      <c r="Z33">
        <v>6000</v>
      </c>
      <c r="AA33">
        <v>6000</v>
      </c>
      <c r="AC33">
        <v>32</v>
      </c>
      <c r="AD33" t="s">
        <v>62</v>
      </c>
      <c r="AE33">
        <v>0.01</v>
      </c>
      <c r="AF33" t="s">
        <v>63</v>
      </c>
      <c r="AG33">
        <v>160</v>
      </c>
      <c r="AH33">
        <v>40</v>
      </c>
      <c r="AI33">
        <v>120</v>
      </c>
      <c r="AJ33">
        <v>0.81195867423221912</v>
      </c>
      <c r="AK33">
        <v>949.93251641313304</v>
      </c>
      <c r="AL33">
        <v>-12.82105929691587</v>
      </c>
      <c r="AM33">
        <v>-7896.3514604761713</v>
      </c>
      <c r="AN33">
        <v>0.1047672571879719</v>
      </c>
      <c r="AO33">
        <v>0.45973353793158639</v>
      </c>
      <c r="AP33">
        <v>0.77163690694909715</v>
      </c>
      <c r="AQ33">
        <v>3233.2263605694638</v>
      </c>
      <c r="AR33">
        <v>-35.884783649868169</v>
      </c>
      <c r="AS33">
        <v>6062032.5853994619</v>
      </c>
      <c r="AT33">
        <v>-12491.499423231689</v>
      </c>
      <c r="AU33">
        <v>0.8</v>
      </c>
      <c r="AV33" t="s">
        <v>64</v>
      </c>
      <c r="AW33" t="s">
        <v>138</v>
      </c>
    </row>
    <row r="34" spans="1:49" x14ac:dyDescent="0.3">
      <c r="A34" t="s">
        <v>121</v>
      </c>
      <c r="B34" t="s">
        <v>122</v>
      </c>
      <c r="C34">
        <v>2</v>
      </c>
      <c r="D34" t="s">
        <v>50</v>
      </c>
      <c r="E34" t="s">
        <v>51</v>
      </c>
      <c r="F34">
        <v>16590</v>
      </c>
      <c r="G34">
        <v>4.5</v>
      </c>
      <c r="H34" t="s">
        <v>99</v>
      </c>
      <c r="I34" t="s">
        <v>53</v>
      </c>
      <c r="J34">
        <v>5</v>
      </c>
      <c r="K34">
        <v>5</v>
      </c>
      <c r="L34" t="s">
        <v>54</v>
      </c>
      <c r="M34" t="s">
        <v>137</v>
      </c>
      <c r="N34" t="s">
        <v>138</v>
      </c>
      <c r="O34" t="s">
        <v>137</v>
      </c>
      <c r="P34" t="s">
        <v>55</v>
      </c>
      <c r="Q34" t="s">
        <v>100</v>
      </c>
      <c r="R34">
        <v>4</v>
      </c>
      <c r="S34" t="s">
        <v>57</v>
      </c>
      <c r="T34" t="s">
        <v>58</v>
      </c>
      <c r="U34" t="s">
        <v>59</v>
      </c>
      <c r="V34">
        <v>1</v>
      </c>
      <c r="W34" t="s">
        <v>60</v>
      </c>
      <c r="X34" t="s">
        <v>138</v>
      </c>
      <c r="Y34" t="s">
        <v>61</v>
      </c>
      <c r="Z34">
        <v>6000</v>
      </c>
      <c r="AA34">
        <v>6000</v>
      </c>
      <c r="AC34">
        <v>32</v>
      </c>
      <c r="AD34" t="s">
        <v>62</v>
      </c>
      <c r="AE34">
        <v>0.01</v>
      </c>
      <c r="AF34" t="s">
        <v>63</v>
      </c>
      <c r="AG34">
        <v>160</v>
      </c>
      <c r="AH34">
        <v>40</v>
      </c>
      <c r="AI34">
        <v>120</v>
      </c>
      <c r="AJ34">
        <v>1.0182714045841941</v>
      </c>
      <c r="AK34">
        <v>339.53952809518358</v>
      </c>
      <c r="AL34">
        <v>-226.480752420762</v>
      </c>
      <c r="AM34">
        <v>-17496.673933385551</v>
      </c>
      <c r="AN34">
        <v>0.12132155911401531</v>
      </c>
      <c r="AO34">
        <v>0.41022768339639909</v>
      </c>
      <c r="AP34">
        <v>0.9455139852564336</v>
      </c>
      <c r="AQ34">
        <v>740.99937511993005</v>
      </c>
      <c r="AR34">
        <v>-524.18141030156119</v>
      </c>
      <c r="AS34">
        <v>12812830.449337119</v>
      </c>
      <c r="AT34">
        <v>-26786.661020748499</v>
      </c>
      <c r="AU34">
        <v>0.8</v>
      </c>
      <c r="AV34" t="s">
        <v>64</v>
      </c>
      <c r="AW34" t="s">
        <v>138</v>
      </c>
    </row>
    <row r="35" spans="1:49" x14ac:dyDescent="0.3">
      <c r="A35" t="s">
        <v>123</v>
      </c>
      <c r="B35" t="s">
        <v>124</v>
      </c>
      <c r="C35">
        <v>3</v>
      </c>
      <c r="D35" t="s">
        <v>68</v>
      </c>
      <c r="E35" t="s">
        <v>51</v>
      </c>
      <c r="F35">
        <v>16590</v>
      </c>
      <c r="G35">
        <v>4.5</v>
      </c>
      <c r="H35" t="s">
        <v>99</v>
      </c>
      <c r="I35" t="s">
        <v>53</v>
      </c>
      <c r="J35">
        <v>5</v>
      </c>
      <c r="K35">
        <v>5</v>
      </c>
      <c r="L35" t="s">
        <v>54</v>
      </c>
      <c r="M35" t="s">
        <v>137</v>
      </c>
      <c r="N35" t="s">
        <v>138</v>
      </c>
      <c r="O35" t="s">
        <v>137</v>
      </c>
      <c r="P35" t="s">
        <v>55</v>
      </c>
      <c r="Q35" t="s">
        <v>100</v>
      </c>
      <c r="R35">
        <v>4</v>
      </c>
      <c r="S35" t="s">
        <v>57</v>
      </c>
      <c r="T35" t="s">
        <v>58</v>
      </c>
      <c r="U35" t="s">
        <v>59</v>
      </c>
      <c r="V35">
        <v>1</v>
      </c>
      <c r="W35" t="s">
        <v>60</v>
      </c>
      <c r="X35" t="s">
        <v>138</v>
      </c>
      <c r="Y35" t="s">
        <v>61</v>
      </c>
      <c r="Z35">
        <v>6000</v>
      </c>
      <c r="AA35">
        <v>6000</v>
      </c>
      <c r="AC35">
        <v>32</v>
      </c>
      <c r="AD35" t="s">
        <v>62</v>
      </c>
      <c r="AE35">
        <v>0.01</v>
      </c>
      <c r="AF35" t="s">
        <v>63</v>
      </c>
      <c r="AG35">
        <v>160</v>
      </c>
      <c r="AH35">
        <v>40</v>
      </c>
      <c r="AI35">
        <v>120</v>
      </c>
      <c r="AJ35">
        <v>0.89355827097215534</v>
      </c>
      <c r="AK35">
        <v>203.65484314682541</v>
      </c>
      <c r="AL35">
        <v>-32.152206695605017</v>
      </c>
      <c r="AM35">
        <v>-10425.852665914161</v>
      </c>
      <c r="AN35">
        <v>0.1122150098498735</v>
      </c>
      <c r="AO35">
        <v>0.44698288158923549</v>
      </c>
      <c r="AP35">
        <v>0.83902173246459888</v>
      </c>
      <c r="AQ35">
        <v>1432.8935166831741</v>
      </c>
      <c r="AR35">
        <v>-125.15483254145229</v>
      </c>
      <c r="AS35">
        <v>7933452.8722286886</v>
      </c>
      <c r="AT35">
        <v>-16150.239548521749</v>
      </c>
      <c r="AU35">
        <v>0.8</v>
      </c>
      <c r="AV35" t="s">
        <v>64</v>
      </c>
      <c r="AW35" t="s">
        <v>138</v>
      </c>
    </row>
    <row r="36" spans="1:49" x14ac:dyDescent="0.3">
      <c r="A36" t="s">
        <v>125</v>
      </c>
      <c r="B36" t="s">
        <v>126</v>
      </c>
      <c r="C36">
        <v>4</v>
      </c>
      <c r="D36" t="s">
        <v>50</v>
      </c>
      <c r="E36" t="s">
        <v>51</v>
      </c>
      <c r="F36">
        <v>16590</v>
      </c>
      <c r="G36">
        <v>4.5</v>
      </c>
      <c r="H36" t="s">
        <v>99</v>
      </c>
      <c r="I36" t="s">
        <v>53</v>
      </c>
      <c r="J36">
        <v>5</v>
      </c>
      <c r="K36">
        <v>5</v>
      </c>
      <c r="L36" t="s">
        <v>54</v>
      </c>
      <c r="M36" t="s">
        <v>137</v>
      </c>
      <c r="N36" t="s">
        <v>138</v>
      </c>
      <c r="O36" t="s">
        <v>137</v>
      </c>
      <c r="P36" t="s">
        <v>55</v>
      </c>
      <c r="Q36" t="s">
        <v>100</v>
      </c>
      <c r="R36">
        <v>4</v>
      </c>
      <c r="S36" t="s">
        <v>57</v>
      </c>
      <c r="T36" t="s">
        <v>58</v>
      </c>
      <c r="U36" t="s">
        <v>59</v>
      </c>
      <c r="V36">
        <v>1</v>
      </c>
      <c r="W36" t="s">
        <v>60</v>
      </c>
      <c r="X36" t="s">
        <v>138</v>
      </c>
      <c r="Y36" t="s">
        <v>61</v>
      </c>
      <c r="Z36">
        <v>6000</v>
      </c>
      <c r="AA36">
        <v>6000</v>
      </c>
      <c r="AC36">
        <v>32</v>
      </c>
      <c r="AD36" t="s">
        <v>62</v>
      </c>
      <c r="AE36">
        <v>0.01</v>
      </c>
      <c r="AF36" t="s">
        <v>63</v>
      </c>
      <c r="AG36">
        <v>160</v>
      </c>
      <c r="AH36">
        <v>40</v>
      </c>
      <c r="AI36">
        <v>120</v>
      </c>
      <c r="AJ36">
        <v>0.81376184565840171</v>
      </c>
      <c r="AK36">
        <v>9.0683776207078157</v>
      </c>
      <c r="AL36">
        <v>-6.4897110359490764</v>
      </c>
      <c r="AM36">
        <v>-6844.4260415832068</v>
      </c>
      <c r="AN36">
        <v>0.13122573919644109</v>
      </c>
      <c r="AO36">
        <v>0.47110380253169332</v>
      </c>
      <c r="AP36">
        <v>0.76052353139419027</v>
      </c>
      <c r="AQ36">
        <v>51.522697265493854</v>
      </c>
      <c r="AR36">
        <v>-8.6796228876003223</v>
      </c>
      <c r="AS36">
        <v>959339.69105765875</v>
      </c>
      <c r="AT36">
        <v>-1996.189833183249</v>
      </c>
      <c r="AU36">
        <v>0.8</v>
      </c>
      <c r="AV36" t="s">
        <v>64</v>
      </c>
      <c r="AW36" t="s">
        <v>138</v>
      </c>
    </row>
    <row r="37" spans="1:49" x14ac:dyDescent="0.3">
      <c r="A37" t="s">
        <v>127</v>
      </c>
      <c r="B37" t="s">
        <v>128</v>
      </c>
      <c r="C37">
        <v>5</v>
      </c>
      <c r="D37" t="s">
        <v>68</v>
      </c>
      <c r="E37" t="s">
        <v>51</v>
      </c>
      <c r="F37">
        <v>16590</v>
      </c>
      <c r="G37">
        <v>4.5</v>
      </c>
      <c r="H37" t="s">
        <v>99</v>
      </c>
      <c r="I37" t="s">
        <v>53</v>
      </c>
      <c r="J37">
        <v>5</v>
      </c>
      <c r="K37">
        <v>5</v>
      </c>
      <c r="L37" t="s">
        <v>54</v>
      </c>
      <c r="M37" t="s">
        <v>137</v>
      </c>
      <c r="N37" t="s">
        <v>138</v>
      </c>
      <c r="O37" t="s">
        <v>137</v>
      </c>
      <c r="P37" t="s">
        <v>55</v>
      </c>
      <c r="Q37" t="s">
        <v>100</v>
      </c>
      <c r="R37">
        <v>4</v>
      </c>
      <c r="S37" t="s">
        <v>57</v>
      </c>
      <c r="T37" t="s">
        <v>58</v>
      </c>
      <c r="U37" t="s">
        <v>59</v>
      </c>
      <c r="V37">
        <v>1</v>
      </c>
      <c r="W37" t="s">
        <v>60</v>
      </c>
      <c r="X37" t="s">
        <v>138</v>
      </c>
      <c r="Y37" t="s">
        <v>61</v>
      </c>
      <c r="Z37">
        <v>6000</v>
      </c>
      <c r="AA37">
        <v>6000</v>
      </c>
      <c r="AC37">
        <v>32</v>
      </c>
      <c r="AD37" t="s">
        <v>62</v>
      </c>
      <c r="AE37">
        <v>0.01</v>
      </c>
      <c r="AF37" t="s">
        <v>63</v>
      </c>
      <c r="AG37">
        <v>160</v>
      </c>
      <c r="AH37">
        <v>40</v>
      </c>
      <c r="AI37">
        <v>120</v>
      </c>
      <c r="AJ37">
        <v>1.182909348643757</v>
      </c>
      <c r="AK37">
        <v>438.7874975503666</v>
      </c>
      <c r="AL37">
        <v>-18.14776059464943</v>
      </c>
      <c r="AM37">
        <v>-533.17387570132394</v>
      </c>
      <c r="AN37">
        <v>0.14758333476919239</v>
      </c>
      <c r="AO37">
        <v>0.4432868889903524</v>
      </c>
      <c r="AP37">
        <v>1.1586302258616969</v>
      </c>
      <c r="AQ37">
        <v>2047.8401036965249</v>
      </c>
      <c r="AR37">
        <v>-28.511099726680321</v>
      </c>
      <c r="AS37">
        <v>169284.49511971211</v>
      </c>
      <c r="AT37">
        <v>-808.45821216405977</v>
      </c>
      <c r="AU37">
        <v>0.8</v>
      </c>
      <c r="AV37" t="s">
        <v>64</v>
      </c>
      <c r="AW37" t="s">
        <v>138</v>
      </c>
    </row>
    <row r="38" spans="1:49" x14ac:dyDescent="0.3">
      <c r="A38" t="s">
        <v>129</v>
      </c>
      <c r="B38" t="s">
        <v>130</v>
      </c>
      <c r="C38">
        <v>6</v>
      </c>
      <c r="D38" t="s">
        <v>68</v>
      </c>
      <c r="E38" t="s">
        <v>51</v>
      </c>
      <c r="F38">
        <v>16590</v>
      </c>
      <c r="G38">
        <v>4.5</v>
      </c>
      <c r="H38" t="s">
        <v>99</v>
      </c>
      <c r="I38" t="s">
        <v>53</v>
      </c>
      <c r="J38">
        <v>5</v>
      </c>
      <c r="K38">
        <v>5</v>
      </c>
      <c r="L38" t="s">
        <v>54</v>
      </c>
      <c r="M38" t="s">
        <v>137</v>
      </c>
      <c r="N38" t="s">
        <v>138</v>
      </c>
      <c r="O38" t="s">
        <v>137</v>
      </c>
      <c r="P38" t="s">
        <v>55</v>
      </c>
      <c r="Q38" t="s">
        <v>100</v>
      </c>
      <c r="R38">
        <v>4</v>
      </c>
      <c r="S38" t="s">
        <v>57</v>
      </c>
      <c r="T38" t="s">
        <v>58</v>
      </c>
      <c r="U38" t="s">
        <v>59</v>
      </c>
      <c r="V38">
        <v>1</v>
      </c>
      <c r="W38" t="s">
        <v>60</v>
      </c>
      <c r="X38" t="s">
        <v>138</v>
      </c>
      <c r="Y38" t="s">
        <v>61</v>
      </c>
      <c r="Z38">
        <v>6000</v>
      </c>
      <c r="AA38">
        <v>6000</v>
      </c>
      <c r="AC38">
        <v>32</v>
      </c>
      <c r="AD38" t="s">
        <v>62</v>
      </c>
      <c r="AE38">
        <v>0.01</v>
      </c>
      <c r="AF38" t="s">
        <v>63</v>
      </c>
      <c r="AG38">
        <v>160</v>
      </c>
      <c r="AH38">
        <v>40</v>
      </c>
      <c r="AI38">
        <v>120</v>
      </c>
      <c r="AJ38">
        <v>0.80927925696103564</v>
      </c>
      <c r="AK38">
        <v>1392.806345167683</v>
      </c>
      <c r="AL38">
        <v>-8.0993533202466281</v>
      </c>
      <c r="AM38">
        <v>-195.97637469821231</v>
      </c>
      <c r="AN38">
        <v>0.1112656585206022</v>
      </c>
      <c r="AO38">
        <v>0.4625990838469034</v>
      </c>
      <c r="AP38">
        <v>0.7877082883629698</v>
      </c>
      <c r="AQ38">
        <v>2082.3749304369712</v>
      </c>
      <c r="AR38">
        <v>-16.158677946791681</v>
      </c>
      <c r="AS38">
        <v>102652.6344997492</v>
      </c>
      <c r="AT38">
        <v>-264.4665408226644</v>
      </c>
      <c r="AU38">
        <v>0.8</v>
      </c>
      <c r="AV38" t="s">
        <v>64</v>
      </c>
      <c r="AW38" t="s">
        <v>138</v>
      </c>
    </row>
    <row r="39" spans="1:49" x14ac:dyDescent="0.3">
      <c r="A39" t="s">
        <v>131</v>
      </c>
      <c r="B39" t="s">
        <v>132</v>
      </c>
      <c r="C39">
        <v>7</v>
      </c>
      <c r="D39" t="s">
        <v>50</v>
      </c>
      <c r="E39" t="s">
        <v>51</v>
      </c>
      <c r="F39">
        <v>16590</v>
      </c>
      <c r="G39">
        <v>4.5</v>
      </c>
      <c r="H39" t="s">
        <v>99</v>
      </c>
      <c r="I39" t="s">
        <v>53</v>
      </c>
      <c r="J39">
        <v>5</v>
      </c>
      <c r="K39">
        <v>5</v>
      </c>
      <c r="L39" t="s">
        <v>54</v>
      </c>
      <c r="M39" t="s">
        <v>137</v>
      </c>
      <c r="N39" t="s">
        <v>138</v>
      </c>
      <c r="O39" t="s">
        <v>137</v>
      </c>
      <c r="P39" t="s">
        <v>55</v>
      </c>
      <c r="Q39" t="s">
        <v>100</v>
      </c>
      <c r="R39">
        <v>4</v>
      </c>
      <c r="S39" t="s">
        <v>57</v>
      </c>
      <c r="T39" t="s">
        <v>58</v>
      </c>
      <c r="U39" t="s">
        <v>59</v>
      </c>
      <c r="V39">
        <v>1</v>
      </c>
      <c r="W39" t="s">
        <v>60</v>
      </c>
      <c r="X39" t="s">
        <v>138</v>
      </c>
      <c r="Y39" t="s">
        <v>61</v>
      </c>
      <c r="Z39">
        <v>6000</v>
      </c>
      <c r="AA39">
        <v>6000</v>
      </c>
      <c r="AC39">
        <v>32</v>
      </c>
      <c r="AD39" t="s">
        <v>62</v>
      </c>
      <c r="AE39">
        <v>0.01</v>
      </c>
      <c r="AF39" t="s">
        <v>63</v>
      </c>
      <c r="AG39">
        <v>160</v>
      </c>
      <c r="AH39">
        <v>40</v>
      </c>
      <c r="AI39">
        <v>120</v>
      </c>
      <c r="AJ39">
        <v>0.96857813937383919</v>
      </c>
      <c r="AK39">
        <v>317.07670120127659</v>
      </c>
      <c r="AL39">
        <v>-61.996249240018749</v>
      </c>
      <c r="AM39">
        <v>-7500.175808953225</v>
      </c>
      <c r="AN39">
        <v>0.11957099757937829</v>
      </c>
      <c r="AO39">
        <v>0.39944369745005232</v>
      </c>
      <c r="AP39">
        <v>0.91524522266972719</v>
      </c>
      <c r="AQ39">
        <v>824.2842588534354</v>
      </c>
      <c r="AR39">
        <v>-147.5554134199437</v>
      </c>
      <c r="AS39">
        <v>5754019.2721164664</v>
      </c>
      <c r="AT39">
        <v>-11987.44726982869</v>
      </c>
      <c r="AU39">
        <v>0.8</v>
      </c>
      <c r="AV39" t="s">
        <v>64</v>
      </c>
      <c r="AW39" t="s">
        <v>138</v>
      </c>
    </row>
    <row r="40" spans="1:49" x14ac:dyDescent="0.3">
      <c r="A40" t="s">
        <v>133</v>
      </c>
      <c r="B40" t="s">
        <v>134</v>
      </c>
      <c r="C40">
        <v>8</v>
      </c>
      <c r="D40" t="s">
        <v>68</v>
      </c>
      <c r="E40" t="s">
        <v>51</v>
      </c>
      <c r="F40">
        <v>16590</v>
      </c>
      <c r="G40">
        <v>4.5</v>
      </c>
      <c r="H40" t="s">
        <v>99</v>
      </c>
      <c r="I40" t="s">
        <v>53</v>
      </c>
      <c r="J40">
        <v>5</v>
      </c>
      <c r="K40">
        <v>5</v>
      </c>
      <c r="L40" t="s">
        <v>54</v>
      </c>
      <c r="M40" t="s">
        <v>137</v>
      </c>
      <c r="N40" t="s">
        <v>138</v>
      </c>
      <c r="O40" t="s">
        <v>137</v>
      </c>
      <c r="P40" t="s">
        <v>55</v>
      </c>
      <c r="Q40" t="s">
        <v>100</v>
      </c>
      <c r="R40">
        <v>4</v>
      </c>
      <c r="S40" t="s">
        <v>57</v>
      </c>
      <c r="T40" t="s">
        <v>58</v>
      </c>
      <c r="U40" t="s">
        <v>59</v>
      </c>
      <c r="V40">
        <v>1</v>
      </c>
      <c r="W40" t="s">
        <v>60</v>
      </c>
      <c r="X40" t="s">
        <v>138</v>
      </c>
      <c r="Y40" t="s">
        <v>61</v>
      </c>
      <c r="Z40">
        <v>6000</v>
      </c>
      <c r="AA40">
        <v>6000</v>
      </c>
      <c r="AC40">
        <v>32</v>
      </c>
      <c r="AD40" t="s">
        <v>62</v>
      </c>
      <c r="AE40">
        <v>0.01</v>
      </c>
      <c r="AF40" t="s">
        <v>63</v>
      </c>
      <c r="AG40">
        <v>160</v>
      </c>
      <c r="AH40">
        <v>40</v>
      </c>
      <c r="AI40">
        <v>120</v>
      </c>
      <c r="AJ40">
        <v>0.86532879348991687</v>
      </c>
      <c r="AK40">
        <v>2049.497662401935</v>
      </c>
      <c r="AL40">
        <v>-31.557220137937041</v>
      </c>
      <c r="AM40">
        <v>-12835.529822480859</v>
      </c>
      <c r="AN40">
        <v>0.1098867538099655</v>
      </c>
      <c r="AO40">
        <v>0.43937726487104489</v>
      </c>
      <c r="AP40">
        <v>0.81629699578413784</v>
      </c>
      <c r="AQ40">
        <v>6227.4295325562298</v>
      </c>
      <c r="AR40">
        <v>-68.780175071648543</v>
      </c>
      <c r="AS40">
        <v>9644185.3619545046</v>
      </c>
      <c r="AT40">
        <v>-19499.675846788439</v>
      </c>
      <c r="AU40">
        <v>0.8</v>
      </c>
      <c r="AV40" t="s">
        <v>64</v>
      </c>
      <c r="AW40" t="s">
        <v>138</v>
      </c>
    </row>
    <row r="41" spans="1:49" x14ac:dyDescent="0.3">
      <c r="A41" t="s">
        <v>135</v>
      </c>
      <c r="B41" t="s">
        <v>136</v>
      </c>
      <c r="C41">
        <v>9</v>
      </c>
      <c r="D41" t="s">
        <v>50</v>
      </c>
      <c r="E41" t="s">
        <v>51</v>
      </c>
      <c r="F41">
        <v>16590</v>
      </c>
      <c r="G41">
        <v>4.5</v>
      </c>
      <c r="H41" t="s">
        <v>99</v>
      </c>
      <c r="I41" t="s">
        <v>53</v>
      </c>
      <c r="J41">
        <v>5</v>
      </c>
      <c r="K41">
        <v>5</v>
      </c>
      <c r="L41" t="s">
        <v>54</v>
      </c>
      <c r="M41" t="s">
        <v>137</v>
      </c>
      <c r="N41" t="s">
        <v>138</v>
      </c>
      <c r="O41" t="s">
        <v>137</v>
      </c>
      <c r="P41" t="s">
        <v>55</v>
      </c>
      <c r="Q41" t="s">
        <v>100</v>
      </c>
      <c r="R41">
        <v>4</v>
      </c>
      <c r="S41" t="s">
        <v>57</v>
      </c>
      <c r="T41" t="s">
        <v>58</v>
      </c>
      <c r="U41" t="s">
        <v>59</v>
      </c>
      <c r="V41">
        <v>1</v>
      </c>
      <c r="W41" t="s">
        <v>60</v>
      </c>
      <c r="X41" t="s">
        <v>138</v>
      </c>
      <c r="Y41" t="s">
        <v>61</v>
      </c>
      <c r="Z41">
        <v>6000</v>
      </c>
      <c r="AA41">
        <v>6000</v>
      </c>
      <c r="AC41">
        <v>32</v>
      </c>
      <c r="AD41" t="s">
        <v>62</v>
      </c>
      <c r="AE41">
        <v>0.01</v>
      </c>
      <c r="AF41" t="s">
        <v>63</v>
      </c>
      <c r="AG41">
        <v>160</v>
      </c>
      <c r="AH41">
        <v>40</v>
      </c>
      <c r="AI41">
        <v>120</v>
      </c>
      <c r="AJ41">
        <v>1.420403697042002</v>
      </c>
      <c r="AK41">
        <v>137.90103538001779</v>
      </c>
      <c r="AL41">
        <v>-10.739556928210501</v>
      </c>
      <c r="AM41">
        <v>-730.2009796917298</v>
      </c>
      <c r="AN41">
        <v>0.180132829055691</v>
      </c>
      <c r="AO41">
        <v>0.43922338500623909</v>
      </c>
      <c r="AP41">
        <v>1.3722150307899319</v>
      </c>
      <c r="AQ41">
        <v>874.76206614678085</v>
      </c>
      <c r="AR41">
        <v>-34.098800364245342</v>
      </c>
      <c r="AS41">
        <v>386409.39002151182</v>
      </c>
      <c r="AT41">
        <v>-1205.235942844389</v>
      </c>
      <c r="AU41">
        <v>0.8</v>
      </c>
      <c r="AV41" t="s">
        <v>64</v>
      </c>
      <c r="AW41" t="s">
        <v>138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B4B3-B3A6-478E-8EEE-A7FB17E88A44}">
  <dimension ref="A1:L7"/>
  <sheetViews>
    <sheetView tabSelected="1" workbookViewId="0">
      <selection activeCell="B35" sqref="B35"/>
    </sheetView>
  </sheetViews>
  <sheetFormatPr baseColWidth="10" defaultRowHeight="14.4" x14ac:dyDescent="0.3"/>
  <cols>
    <col min="1" max="1" width="53.33203125" bestFit="1" customWidth="1"/>
    <col min="2" max="2" width="29.44140625" bestFit="1" customWidth="1"/>
    <col min="3" max="3" width="18.88671875" bestFit="1" customWidth="1"/>
    <col min="4" max="4" width="25.44140625" bestFit="1" customWidth="1"/>
    <col min="5" max="5" width="18.44140625" bestFit="1" customWidth="1"/>
    <col min="8" max="8" width="17.109375" bestFit="1" customWidth="1"/>
    <col min="9" max="9" width="51.33203125" bestFit="1" customWidth="1"/>
    <col min="10" max="10" width="29.44140625" bestFit="1" customWidth="1"/>
    <col min="11" max="11" width="25.44140625" bestFit="1" customWidth="1"/>
    <col min="12" max="12" width="18.44140625" bestFit="1" customWidth="1"/>
  </cols>
  <sheetData>
    <row r="1" spans="1:12" x14ac:dyDescent="0.3">
      <c r="A1" s="3" t="s">
        <v>14</v>
      </c>
      <c r="B1" t="s">
        <v>138</v>
      </c>
      <c r="H1" s="3" t="s">
        <v>7</v>
      </c>
      <c r="I1" t="s">
        <v>99</v>
      </c>
    </row>
    <row r="3" spans="1:12" x14ac:dyDescent="0.3">
      <c r="A3" s="3" t="s">
        <v>140</v>
      </c>
      <c r="B3" t="s">
        <v>142</v>
      </c>
      <c r="C3" t="s">
        <v>144</v>
      </c>
      <c r="D3" t="s">
        <v>143</v>
      </c>
      <c r="E3" t="s">
        <v>145</v>
      </c>
      <c r="H3" s="3" t="s">
        <v>140</v>
      </c>
      <c r="I3" t="s">
        <v>144</v>
      </c>
      <c r="J3" t="s">
        <v>142</v>
      </c>
      <c r="K3" t="s">
        <v>143</v>
      </c>
      <c r="L3" t="s">
        <v>145</v>
      </c>
    </row>
    <row r="4" spans="1:12" x14ac:dyDescent="0.3">
      <c r="A4" s="4" t="s">
        <v>99</v>
      </c>
      <c r="B4" s="5">
        <v>-67.60795239848089</v>
      </c>
      <c r="C4" s="5">
        <v>0.43153443444058431</v>
      </c>
      <c r="D4" s="5">
        <v>-176.14858693371019</v>
      </c>
      <c r="E4" s="5">
        <v>10</v>
      </c>
      <c r="H4" s="4" t="s">
        <v>138</v>
      </c>
      <c r="I4" s="5">
        <v>0.43153443444058431</v>
      </c>
      <c r="J4" s="5">
        <v>-67.607952398480876</v>
      </c>
      <c r="K4" s="5">
        <v>-176.14858693371016</v>
      </c>
      <c r="L4" s="5">
        <v>10</v>
      </c>
    </row>
    <row r="5" spans="1:12" x14ac:dyDescent="0.3">
      <c r="A5" s="4" t="s">
        <v>79</v>
      </c>
      <c r="B5" s="5">
        <v>-42.841457500345285</v>
      </c>
      <c r="C5" s="5">
        <v>0.48227319232135724</v>
      </c>
      <c r="D5" s="5">
        <v>-125.76233488454152</v>
      </c>
      <c r="E5" s="5">
        <v>10</v>
      </c>
      <c r="H5" s="4" t="s">
        <v>137</v>
      </c>
      <c r="I5" s="5">
        <v>0.44167445667025085</v>
      </c>
      <c r="J5" s="5">
        <v>-42.872256302618439</v>
      </c>
      <c r="K5" s="5">
        <v>-104.92934151458573</v>
      </c>
      <c r="L5" s="5">
        <v>10</v>
      </c>
    </row>
    <row r="6" spans="1:12" x14ac:dyDescent="0.3">
      <c r="A6" s="4" t="s">
        <v>52</v>
      </c>
      <c r="B6" s="5">
        <v>-52.98814391688002</v>
      </c>
      <c r="C6" s="5">
        <v>0.64051461097533569</v>
      </c>
      <c r="D6" s="5">
        <v>-168.7690873010518</v>
      </c>
      <c r="E6" s="5">
        <v>10</v>
      </c>
      <c r="H6" s="4" t="s">
        <v>141</v>
      </c>
      <c r="I6" s="5">
        <v>0.43660444555541755</v>
      </c>
      <c r="J6" s="5">
        <v>-55.240104350549665</v>
      </c>
      <c r="K6" s="5">
        <v>-140.53896422414795</v>
      </c>
      <c r="L6" s="5">
        <v>20</v>
      </c>
    </row>
    <row r="7" spans="1:12" x14ac:dyDescent="0.3">
      <c r="A7" s="4" t="s">
        <v>141</v>
      </c>
      <c r="B7" s="5">
        <v>-54.47918460523541</v>
      </c>
      <c r="C7" s="5">
        <v>0.51810741257909254</v>
      </c>
      <c r="D7" s="5">
        <v>-156.89333637310114</v>
      </c>
      <c r="E7" s="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2026-04-27T06:28:46Z</dcterms:created>
  <dcterms:modified xsi:type="dcterms:W3CDTF">2026-04-27T06:37:06Z</dcterms:modified>
</cp:coreProperties>
</file>