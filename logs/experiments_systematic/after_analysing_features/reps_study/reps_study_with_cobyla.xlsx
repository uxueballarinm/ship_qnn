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fter_analysing_features/reps_study/"/>
    </mc:Choice>
  </mc:AlternateContent>
  <xr:revisionPtr revIDLastSave="10" documentId="11_7011F2A9D3F0504EBFB82111595ED87656CD58DC" xr6:coauthVersionLast="47" xr6:coauthVersionMax="47" xr10:uidLastSave="{2105164E-D2C7-4001-A2B1-B0C0FE5A599D}"/>
  <bookViews>
    <workbookView xWindow="28680" yWindow="-5580" windowWidth="51840" windowHeight="21120" activeTab="1" xr2:uid="{00000000-000D-0000-FFFF-FFFF00000000}"/>
  </bookViews>
  <sheets>
    <sheet name="Hoja1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<sst xmlns="http://schemas.openxmlformats.org/spreadsheetml/2006/main" count="94" uniqueCount="94">
  <si>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</si>
  <si>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</si>
  <si>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</si>
  <si>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</si>
  <si>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</si>
  <si>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</si>
  <si>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</si>
  <si>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</si>
  <si>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</si>
  <si>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</si>
  <si>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</si>
  <si>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</si>
  <si>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</si>
  <si>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</si>
  <si>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</si>
  <si>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</si>
  <si>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</si>
  <si>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</si>
  <si>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</si>
  <si>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</si>
  <si>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</si>
  <si>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</si>
  <si>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</si>
  <si>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</si>
  <si>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</si>
  <si>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</si>
  <si>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</si>
  <si>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</si>
  <si>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</si>
  <si>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</si>
  <si>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</si>
  <si>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</si>
  <si>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</si>
  <si>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</si>
  <si>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</si>
  <si>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</si>
  <si>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</si>
  <si>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</si>
  <si>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</si>
  <si>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</si>
  <si>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</si>
  <si>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</si>
  <si>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</si>
  <si>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</si>
  <si>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</si>
  <si>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</si>
  <si>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</si>
  <si>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</si>
  <si>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</si>
  <si>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</si>
  <si>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</si>
  <si>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</si>
  <si>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</si>
  <si>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</si>
  <si>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</si>
  <si>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</si>
  <si>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</si>
  <si>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</si>
  <si>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</si>
  <si>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</si>
  <si>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</si>
  <si>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</si>
  <si>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</si>
  <si>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</si>
  <si>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</si>
  <si>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</si>
  <si>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</si>
  <si>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</si>
  <si>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</si>
  <si>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</si>
  <si>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</si>
  <si>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</si>
  <si>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</si>
  <si>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28/04/2026 22:04:31</t>
  </si>
  <si>
    <t>04-28_22-04-31_multihead_4heads_run0_cobyla_serial_f5_w5_h5_effsu2_lin_r1.pkl</t>
  </si>
  <si>
    <t>Final (Last Iteration)</t>
  </si>
  <si>
    <t>data/reduce_row_number_cobyla</t>
  </si>
  <si>
    <t>[['sv', 'yr'], ['wv', 'rarad'], ['yr', 'rarad'], ['ya', 'yr']]</t>
  </si>
  <si>
    <t>['Surge Velocity', 'Sway Velocity', 'Yaw Rate', 'Yaw Angle']</t>
  </si>
  <si>
    <t>motion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</si>
  <si>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</si>
  <si>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</si>
  <si>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</si>
  <si>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</si>
  <si>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</si>
  <si>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</si>
  <si>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cobyla</t>
  </si>
  <si>
    <t>[1.0, 1.0, 1.0, 1.0]</t>
  </si>
  <si>
    <t>uniform</t>
  </si>
  <si>
    <t>Etiquetas de fila</t>
  </si>
  <si>
    <t>Total general</t>
  </si>
  <si>
    <t>Promedio de Val Global Open R2</t>
  </si>
  <si>
    <t>Promedio de global open R2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</si>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</sst>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6.413812847219" createdVersion="8" refreshedVersion="8" minRefreshableVersion="3" recordCount="4" xr:uid="{98BB4187-1FD4-4288-91A1-10D676BB5FC9}">
  <cacheSource type="worksheet">
    <worksheetSource name="Tabla1"/>
  </cacheSource>
  <cacheFields count="73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0" count="1">
        <n v="0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5397" maxValue="5397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 count="1">
        <n v="1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2000" maxValue="2000"/>
    </cacheField>
    <cacheField name="iterations" numFmtId="0">
      <sharedItems containsSemiMixedTypes="0" containsString="0" containsNumber="1" containsInteger="1" minValue="2000" maxValue="2000"/>
    </cacheField>
    <cacheField name="tolerance" numFmtId="0">
      <sharedItems containsSemiMixedTypes="0" containsString="0" containsNumber="1" minValue="1E-3" maxValue="1E-3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0.01" maxValue="0.01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2649833648402498E-2" maxValue="5.42421112639404E-2"/>
    </cacheField>
    <cacheField name="Val Step MSE" numFmtId="0">
      <sharedItems containsSemiMixedTypes="0" containsString="0" containsNumber="1" minValue="22.074802225521172" maxValue="23.622251238115769"/>
    </cacheField>
    <cacheField name="Val Step R2" numFmtId="0">
      <sharedItems containsSemiMixedTypes="0" containsString="0" containsNumber="1" minValue="0.7805961653057174" maxValue="0.78524164467405833"/>
    </cacheField>
    <cacheField name="Val Global Open MSE" numFmtId="0">
      <sharedItems containsSemiMixedTypes="0" containsString="0" containsNumber="1" minValue="22.074802225521172" maxValue="23.622251238115769"/>
    </cacheField>
    <cacheField name="Val Global Open R2" numFmtId="0">
      <sharedItems containsSemiMixedTypes="0" containsString="0" containsNumber="1" minValue="0.7805961653057174" maxValue="0.78524164467405833"/>
    </cacheField>
    <cacheField name="Val Global Closed R2" numFmtId="0">
      <sharedItems containsSemiMixedTypes="0" containsString="0" containsNumber="1" minValue="-0.18142289844828849" maxValue="-1.6217177678017902E-2"/>
    </cacheField>
    <cacheField name="step MSE" numFmtId="0">
      <sharedItems containsSemiMixedTypes="0" containsString="0" containsNumber="1" minValue="27.778629857963882" maxValue="28.89827165500548"/>
    </cacheField>
    <cacheField name="step R2" numFmtId="0">
      <sharedItems containsSemiMixedTypes="0" containsString="0" containsNumber="1" minValue="0.77598298657788467" maxValue="0.78103568444087501"/>
    </cacheField>
    <cacheField name="local MSE" numFmtId="0">
      <sharedItems containsSemiMixedTypes="0" containsString="0" containsNumber="1" minValue="27.778629857963882" maxValue="28.89827165500548"/>
    </cacheField>
    <cacheField name="global open MSE" numFmtId="0">
      <sharedItems containsSemiMixedTypes="0" containsString="0" containsNumber="1" minValue="27.778629857963882" maxValue="28.89827165500548"/>
    </cacheField>
    <cacheField name="global open R2" numFmtId="0">
      <sharedItems containsSemiMixedTypes="0" containsString="0" containsNumber="1" minValue="0.77598298657788467" maxValue="0.78103568444087501"/>
    </cacheField>
    <cacheField name="global closed MSE" numFmtId="0">
      <sharedItems containsSemiMixedTypes="0" containsString="0" containsNumber="1" minValue="109.9399160026128" maxValue="123.1039927582999"/>
    </cacheField>
    <cacheField name="global closed R2" numFmtId="0">
      <sharedItems containsSemiMixedTypes="0" containsString="0" containsNumber="1" minValue="-8.3606202856013695E-2" maxValue="1.9619984289544999E-3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8782119333609099E-2" maxValue="1.9416028684257298E-2"/>
    </cacheField>
    <cacheField name="Surge Velocity Step R2" numFmtId="0">
      <sharedItems containsSemiMixedTypes="0" containsString="0" containsNumber="1" minValue="0.85489868077831099" maxValue="0.85963605959772948"/>
    </cacheField>
    <cacheField name="Surge Velocity Local MSE" numFmtId="0">
      <sharedItems containsSemiMixedTypes="0" containsString="0" containsNumber="1" minValue="1.8782119333609099E-2" maxValue="1.9416028684257298E-2"/>
    </cacheField>
    <cacheField name="Surge Velocity Global open MSE" numFmtId="0">
      <sharedItems containsSemiMixedTypes="0" containsString="0" containsNumber="1" minValue="1.8782119333609099E-2" maxValue="1.9416028684257298E-2"/>
    </cacheField>
    <cacheField name="Surge Velocity Global open R2" numFmtId="0">
      <sharedItems containsSemiMixedTypes="0" containsString="0" containsNumber="1" minValue="0.85489868077831099" maxValue="0.85963605959772948"/>
    </cacheField>
    <cacheField name="Sway Velocity Step MSE" numFmtId="0">
      <sharedItems containsSemiMixedTypes="0" containsString="0" containsNumber="1" minValue="6.2940740873021095E-2" maxValue="6.6207383888370705E-2"/>
    </cacheField>
    <cacheField name="Sway Velocity Step R2" numFmtId="0">
      <sharedItems containsSemiMixedTypes="0" containsString="0" containsNumber="1" minValue="0.77040485724705521" maxValue="0.7817329799636491"/>
    </cacheField>
    <cacheField name="Sway Velocity Local MSE" numFmtId="0">
      <sharedItems containsSemiMixedTypes="0" containsString="0" containsNumber="1" minValue="6.2940740873021095E-2" maxValue="6.6207383888370705E-2"/>
    </cacheField>
    <cacheField name="Sway Velocity Global open MSE" numFmtId="0">
      <sharedItems containsSemiMixedTypes="0" containsString="0" containsNumber="1" minValue="6.2940740873021095E-2" maxValue="6.6207383888370705E-2"/>
    </cacheField>
    <cacheField name="Sway Velocity Global open R2" numFmtId="0">
      <sharedItems containsSemiMixedTypes="0" containsString="0" containsNumber="1" minValue="0.77040485724705521" maxValue="0.7817329799636491"/>
    </cacheField>
    <cacheField name="Yaw Rate Step MSE" numFmtId="0">
      <sharedItems containsSemiMixedTypes="0" containsString="0" containsNumber="1" minValue="4.8167349270802802E-2" maxValue="5.1072612016229701E-2"/>
    </cacheField>
    <cacheField name="Yaw Rate Step R2" numFmtId="0">
      <sharedItems containsSemiMixedTypes="0" containsString="0" containsNumber="1" minValue="0.7941979361829048" maxValue="0.80590497534412442"/>
    </cacheField>
    <cacheField name="Yaw Rate Local MSE" numFmtId="0">
      <sharedItems containsSemiMixedTypes="0" containsString="0" containsNumber="1" minValue="4.8167349270802802E-2" maxValue="5.1072612016229701E-2"/>
    </cacheField>
    <cacheField name="Yaw Rate Global open MSE" numFmtId="0">
      <sharedItems containsSemiMixedTypes="0" containsString="0" containsNumber="1" minValue="4.8167349270802802E-2" maxValue="5.1072612016229701E-2"/>
    </cacheField>
    <cacheField name="Yaw Rate Global open R2" numFmtId="0">
      <sharedItems containsSemiMixedTypes="0" containsString="0" containsNumber="1" minValue="0.7941979361829048" maxValue="0.80590497534412442"/>
    </cacheField>
    <cacheField name="Yaw Angle Step MSE" numFmtId="0">
      <sharedItems containsSemiMixedTypes="0" containsString="0" containsNumber="1" minValue="110.9781011129963" maxValue="115.4599926983268"/>
    </cacheField>
    <cacheField name="Yaw Angle Step R2" numFmtId="0">
      <sharedItems containsSemiMixedTypes="0" containsString="0" containsNumber="1" minValue="0.66952689432911683" maxValue="0.68235510085217022"/>
    </cacheField>
    <cacheField name="Yaw Angle Local MSE" numFmtId="0">
      <sharedItems containsSemiMixedTypes="0" containsString="0" containsNumber="1" minValue="110.9781011129963" maxValue="115.4599926983268"/>
    </cacheField>
    <cacheField name="Yaw Angle Global open MSE" numFmtId="0">
      <sharedItems containsSemiMixedTypes="0" containsString="0" containsNumber="1" minValue="110.9781011129963" maxValue="115.4599926983268"/>
    </cacheField>
    <cacheField name="Yaw Angle Global open R2" numFmtId="0">
      <sharedItems containsSemiMixedTypes="0" containsString="0" containsNumber="1" minValue="0.66952689432911683" maxValue="0.68235510085217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28/04/2026 22:04:31"/>
    <s v="04-28_22-04-31_multihead_4heads_run0_cobyla_serial_f5_w5_h5_effsu2_lin_r1.pkl"/>
    <x v="0"/>
    <s v="Final (Last Iteration)"/>
    <s v="data/reduce_row_number_cobyla"/>
    <n v="5397"/>
    <n v="4.5"/>
    <s v="[['sv', 'yr'], ['wv', 'rarad'], [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b v="0"/>
    <b v="0"/>
    <b v="0"/>
    <s v="lin"/>
    <x v="0"/>
    <s v="[0, 1, -1]"/>
    <b v="0"/>
    <s v="cobyla"/>
    <n v="2000"/>
    <n v="2000"/>
    <n v="1E-3"/>
    <n v="32"/>
    <n v="0.01"/>
    <n v="0.1"/>
    <s v="[1.0, 1.0, 1.0, 1.0]"/>
    <n v="160"/>
    <n v="40"/>
    <n v="120"/>
    <n v="5.2649833648402498E-2"/>
    <n v="22.510959961909862"/>
    <n v="0.78524164467405833"/>
    <n v="22.510959961909862"/>
    <n v="0.78524164467405833"/>
    <n v="-2.1661586224687501E-2"/>
    <n v="27.92604129130655"/>
    <n v="0.78103568444087501"/>
    <n v="27.92604129130655"/>
    <n v="27.92604129130655"/>
    <n v="0.78103568444087501"/>
    <n v="121.527197721421"/>
    <n v="-3.1721540827304599E-2"/>
    <n v="0.8"/>
    <s v="uniform"/>
    <n v="1.8782119333609099E-2"/>
    <n v="0.85963605959772948"/>
    <n v="1.8782119333609099E-2"/>
    <n v="1.8782119333609099E-2"/>
    <n v="0.85963605959772948"/>
    <n v="6.4031661383930794E-2"/>
    <n v="0.77794986642367392"/>
    <n v="6.4031661383930794E-2"/>
    <n v="6.4031661383930794E-2"/>
    <n v="0.77794986642367392"/>
    <n v="4.8167349270802802E-2"/>
    <n v="0.80590497534412442"/>
    <n v="4.8167349270802802E-2"/>
    <n v="4.8167349270802802E-2"/>
    <n v="0.80590497534412442"/>
    <n v="111.5731840352379"/>
    <n v="0.68065183639797322"/>
    <n v="111.5731840352379"/>
    <n v="111.5731840352379"/>
    <n v="0.68065183639797322"/>
  </r>
  <r>
    <s v="29/04/2026 08:04:19"/>
    <s v="04-29_08-04-19_multihead_4heads_run0_cobyla_serial_f5_w5_h5_effsu2_lin_r1.pkl"/>
    <x v="0"/>
    <s v="Best (Lowest Val Loss)"/>
    <s v="data/reduce_row_number_cobyla"/>
    <n v="5397"/>
    <n v="4.5"/>
    <s v="[['sv', 'yr'], ['wv', 'rarad'], [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b v="0"/>
    <b v="0"/>
    <b v="0"/>
    <s v="lin"/>
    <x v="0"/>
    <s v="[0, 1, -1]"/>
    <b v="0"/>
    <s v="cobyla"/>
    <n v="2000"/>
    <n v="2000"/>
    <n v="1E-3"/>
    <n v="32"/>
    <n v="0.01"/>
    <n v="0.1"/>
    <s v="[1.0, 1.0, 1.0, 1.0]"/>
    <n v="160"/>
    <n v="40"/>
    <n v="120"/>
    <n v="5.4170310010660597E-2"/>
    <n v="23.622251238115769"/>
    <n v="0.7805961653057174"/>
    <n v="23.622251238115769"/>
    <n v="0.7805961653057174"/>
    <n v="-0.18142289844828849"/>
    <n v="28.89827165500548"/>
    <n v="0.77603782141082789"/>
    <n v="28.89827165500548"/>
    <n v="28.89827165500548"/>
    <n v="0.77603782141082789"/>
    <n v="109.9399160026128"/>
    <n v="-2.0223488232907701E-2"/>
    <n v="0.8"/>
    <s v="uniform"/>
    <n v="1.8841404948670998E-2"/>
    <n v="0.85919300190059422"/>
    <n v="1.8841404948670998E-2"/>
    <n v="1.8841404948670998E-2"/>
    <n v="0.85919300190059422"/>
    <n v="6.3767056589364504E-2"/>
    <n v="0.77886746763389525"/>
    <n v="6.3767056589364504E-2"/>
    <n v="6.3767056589364504E-2"/>
    <n v="0.77886746763389525"/>
    <n v="5.0485460156912798E-2"/>
    <n v="0.79656392177970692"/>
    <n v="5.0485460156912798E-2"/>
    <n v="5.0485460156912798E-2"/>
    <n v="0.79656392177970692"/>
    <n v="115.4599926983268"/>
    <n v="0.66952689432911683"/>
    <n v="115.4599926983268"/>
    <n v="115.4599926983268"/>
    <n v="0.66952689432911683"/>
  </r>
  <r>
    <s v="30/04/2026 04:05:52"/>
    <s v="04-30_04-05-52_multihead_4heads_run0_cobyla_serial_f5_w5_h5_effsu2_lin_r1.pkl"/>
    <x v="0"/>
    <s v="Final (Last Iteration)"/>
    <s v="data/reduce_row_number_cobyla"/>
    <n v="5397"/>
    <n v="4.5"/>
    <s v="[['sv', 'yr'], ['wv', 'rarad'], [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b v="0"/>
    <b v="0"/>
    <b v="0"/>
    <s v="lin"/>
    <x v="0"/>
    <s v="[0, 1, -1]"/>
    <b v="0"/>
    <s v="cobyla"/>
    <n v="2000"/>
    <n v="2000"/>
    <n v="1E-3"/>
    <n v="32"/>
    <n v="0.01"/>
    <n v="0.1"/>
    <s v="[1.0, 1.0, 1.0, 1.0]"/>
    <n v="160"/>
    <n v="40"/>
    <n v="120"/>
    <n v="5.35255829157101E-2"/>
    <n v="22.652418219166801"/>
    <n v="0.78173161761329868"/>
    <n v="22.652418219166801"/>
    <n v="0.78173161761329868"/>
    <n v="-0.137554996376721"/>
    <n v="27.9527499692486"/>
    <n v="0.77812736117774939"/>
    <n v="27.9527499692486"/>
    <n v="27.9527499692486"/>
    <n v="0.77812736117774939"/>
    <n v="123.1039927582999"/>
    <n v="-8.3606202856013695E-2"/>
    <n v="0.8"/>
    <s v="uniform"/>
    <n v="1.9416028684257298E-2"/>
    <n v="0.85489868077831099"/>
    <n v="1.9416028684257298E-2"/>
    <n v="1.9416028684257298E-2"/>
    <n v="0.85489868077831099"/>
    <n v="6.2940740873021095E-2"/>
    <n v="0.7817329799636491"/>
    <n v="6.2940740873021095E-2"/>
    <n v="6.2940740873021095E-2"/>
    <n v="0.7817329799636491"/>
    <n v="5.0743116918807202E-2"/>
    <n v="0.79552566876579323"/>
    <n v="5.0743116918807202E-2"/>
    <n v="5.0743116918807202E-2"/>
    <n v="0.79552566876579323"/>
    <n v="111.6778999905181"/>
    <n v="0.68035211520324612"/>
    <n v="111.6778999905181"/>
    <n v="111.6778999905181"/>
    <n v="0.68035211520324612"/>
  </r>
  <r>
    <s v="01/05/2026 00:05:54"/>
    <s v="05-01_00-05-54_multihead_4heads_run0_cobyla_serial_f5_w5_h5_effsu2_lin_r1.pkl"/>
    <x v="0"/>
    <s v="Best (Lowest Val Loss)"/>
    <s v="data/reduce_row_number_cobyla"/>
    <n v="5397"/>
    <n v="4.5"/>
    <s v="[['sv', 'yr'], ['wv', 'rarad'], [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b v="0"/>
    <b v="0"/>
    <b v="0"/>
    <s v="lin"/>
    <x v="0"/>
    <s v="[0, 1, -1]"/>
    <b v="0"/>
    <s v="cobyla"/>
    <n v="2000"/>
    <n v="2000"/>
    <n v="1E-3"/>
    <n v="32"/>
    <n v="0.01"/>
    <n v="0.1"/>
    <s v="[1.0, 1.0, 1.0, 1.0]"/>
    <n v="160"/>
    <n v="40"/>
    <n v="120"/>
    <n v="5.42421112639404E-2"/>
    <n v="22.074802225521172"/>
    <n v="0.78152387999411588"/>
    <n v="22.074802225521172"/>
    <n v="0.78152387999411588"/>
    <n v="-1.6217177678017902E-2"/>
    <n v="27.778629857963882"/>
    <n v="0.77598298657788467"/>
    <n v="27.778629857963882"/>
    <n v="27.778629857963882"/>
    <n v="0.77598298657788467"/>
    <n v="112.6581390424371"/>
    <n v="1.9619984289544999E-3"/>
    <n v="0.8"/>
    <s v="uniform"/>
    <n v="1.9138322954509599E-2"/>
    <n v="0.85697405202940957"/>
    <n v="1.9138322954509599E-2"/>
    <n v="1.9138322954509599E-2"/>
    <n v="0.85697405202940957"/>
    <n v="6.6207383888370705E-2"/>
    <n v="0.77040485724705521"/>
    <n v="6.6207383888370705E-2"/>
    <n v="6.6207383888370705E-2"/>
    <n v="0.77040485724705521"/>
    <n v="5.1072612016229701E-2"/>
    <n v="0.7941979361829048"/>
    <n v="5.1072612016229701E-2"/>
    <n v="5.1072612016229701E-2"/>
    <n v="0.7941979361829048"/>
    <n v="110.9781011129963"/>
    <n v="0.68235510085217022"/>
    <n v="110.9781011129963"/>
    <n v="110.9781011129963"/>
    <n v="0.68235510085217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90EEF-9DA8-4B47-BA42-CFCF43806B1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73">
    <pivotField showAll="0"/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42" subtotal="average" baseField="24" baseItem="0"/>
    <dataField name="Promedio de global open R2" fld="48" subtotal="average" baseField="24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2F4E7-0770-4D27-9AFD-6C34D64EB573}" name="Tabla1" displayName="Tabla1" ref="A1:BU2" totalsRowShown="0" headerRowDxfId="0" headerRowBorderDxfId="1" tableBorderDxfId="2">
  <autoFilter ref="A1:BU2" xr:uid="{2852F4E7-0770-4D27-9AFD-6C34D64EB573}"/>
  <tableColumns count="73">
    <tableColumn id="1" xr3:uid="{DDB7393F-F171-4A17-9263-AAD232E56675}" name="date"/>
    <tableColumn id="2" xr3:uid="{015913DA-77E3-433B-967A-22761301EA81}" name="model_id"/>
    <tableColumn id="3" xr3:uid="{725A0972-AB5A-4965-B9B6-2F568CC3631F}" name="run"/>
    <tableColumn id="4" xr3:uid="{CEB0C88E-4446-4091-BD12-4794ACC904FD}" name="weight_selection"/>
    <tableColumn id="5" xr3:uid="{7B0FC18C-CE6B-4216-BF2D-81371E628805}" name="data"/>
    <tableColumn id="6" xr3:uid="{78CC4A11-3149-4F06-9CF0-572979811584}" name="data_n"/>
    <tableColumn id="7" xr3:uid="{8B1D2224-150A-4AA6-813F-B575D7762183}" name="data_dt"/>
    <tableColumn id="8" xr3:uid="{F03E2610-E517-4DA0-B31B-53C07162C1C5}" name="features"/>
    <tableColumn id="9" xr3:uid="{4DEB7A2B-A510-4E14-84DB-2FD882DFB594}" name="targets"/>
    <tableColumn id="10" xr3:uid="{025F28D1-AE09-4AE5-82CD-C3DD4149CD87}" name="window_size"/>
    <tableColumn id="11" xr3:uid="{8A736C9F-DBB7-4BEA-8A12-A46F083ACB1D}" name="horizon"/>
    <tableColumn id="12" xr3:uid="{AAAE8369-F290-477C-BAC6-87C05440CE58}" name="predict"/>
    <tableColumn id="13" xr3:uid="{A56C76C6-35E1-4542-8CB1-DCFF1F94A2BF}" name="norm"/>
    <tableColumn id="14" xr3:uid="{7FE32724-F13F-48E6-8AB7-D9ADA661CCB8}" name="reconstruct_train"/>
    <tableColumn id="15" xr3:uid="{7711C8AF-DF67-4F71-A3A2-E38E940C988D}" name="reconstruct_val"/>
    <tableColumn id="16" xr3:uid="{99F76937-F788-4BBF-8723-4D278BD8AAF7}" name="model"/>
    <tableColumn id="17" xr3:uid="{B0C84F2C-EA34-4233-8AF8-836CF37D00EE}" name="heads_config"/>
    <tableColumn id="18" xr3:uid="{FB0B2A6A-7303-4D6B-80BC-B7AEBC9857A2}" name="head_number"/>
    <tableColumn id="19" xr3:uid="{4AD5D08F-D8C1-4035-953F-1B5B2FB349D7}" name="encoding"/>
    <tableColumn id="20" xr3:uid="{47F9B970-9892-43EB-B5D8-E3D054A9730C}" name="ansatz"/>
    <tableColumn id="21" xr3:uid="{E5C58671-B727-493E-888A-BF3D6CAF458A}" name="freeze_qnn"/>
    <tableColumn id="22" xr3:uid="{E53293FF-BA83-4DB2-AD87-FD183B9A1A6D}" name="use_hadamard"/>
    <tableColumn id="23" xr3:uid="{F6BCBB9D-0A86-4845-9094-C184F96FB1AB}" name="trainable_encoding"/>
    <tableColumn id="24" xr3:uid="{7209B430-A29E-46A0-9837-0FB1B8631BB4}" name="entangle"/>
    <tableColumn id="25" xr3:uid="{D6CF1905-4118-4E87-93A5-4EA8F0A7EDD9}" name="reps"/>
    <tableColumn id="26" xr3:uid="{D734E17B-7A70-45D8-9AF9-B1F516DC1629}" name="map"/>
    <tableColumn id="27" xr3:uid="{54820BFE-E104-4A68-ADAF-EE72AFA571C8}" name="reorder"/>
    <tableColumn id="28" xr3:uid="{9777C878-D095-42CB-94CE-3D949CE7ECA5}" name="optimizer"/>
    <tableColumn id="29" xr3:uid="{FD8EB60E-CD53-4C8C-8A5B-5540DBC350F3}" name="maxiter"/>
    <tableColumn id="30" xr3:uid="{19A8725F-78DD-44DA-843D-48D3DEF7EA99}" name="iterations"/>
    <tableColumn id="31" xr3:uid="{8EB42849-3324-4DB5-B151-C2A9E9D18420}" name="tolerance"/>
    <tableColumn id="32" xr3:uid="{E33CB87E-473C-4D1D-AF69-2977BD8CB4E9}" name="batch_size"/>
    <tableColumn id="33" xr3:uid="{3C7F242B-0088-4D67-99D5-E8A789792487}" name="learning_rate"/>
    <tableColumn id="34" xr3:uid="{688A4DFC-78AE-4E64-B101-F54CDFADFD9B}" name="perturbation"/>
    <tableColumn id="35" xr3:uid="{426BC917-5B5B-4683-A160-C219B363550F}" name="weights"/>
    <tableColumn id="36" xr3:uid="{2D485CB2-43BC-465A-B863-4393BB4FF38E}" name="total params"/>
    <tableColumn id="37" xr3:uid="{51E6AF12-44FD-474A-915F-884DB1730D9F}" name="q params"/>
    <tableColumn id="38" xr3:uid="{2ED4D5D3-94B7-4C4F-AB2E-AC8BD54D77E7}" name="c params"/>
    <tableColumn id="39" xr3:uid="{CC5039A3-8364-48B5-BDE1-4CC31118E250}" name="final val loss"/>
    <tableColumn id="40" xr3:uid="{31977997-2A35-45B7-98F3-E70F7773FCC4}" name="Val Step MSE"/>
    <tableColumn id="41" xr3:uid="{3362B13A-2F53-44D3-9E1C-0C5E33AE562A}" name="Val Step R2"/>
    <tableColumn id="42" xr3:uid="{89EE6E15-2259-4E6E-BED9-A7F91906C1B8}" name="Val Global Open MSE"/>
    <tableColumn id="43" xr3:uid="{5A619959-9B53-4840-BC1C-2CD68C9E43C8}" name="Val Global Open R2"/>
    <tableColumn id="44" xr3:uid="{D2EA9DFB-E97D-470D-AA57-163C1A49443C}" name="Val Global Closed R2"/>
    <tableColumn id="45" xr3:uid="{95F9D2DF-EAF0-40BD-B325-C8ABBAD0C767}" name="step MSE"/>
    <tableColumn id="46" xr3:uid="{C2CE18B9-5FBC-4A57-B510-F3E09B319A44}" name="step R2"/>
    <tableColumn id="47" xr3:uid="{BD841D39-73FE-45E7-82D1-618248BF5101}" name="local MSE"/>
    <tableColumn id="48" xr3:uid="{361025C4-A985-4645-A554-F9DA43F90920}" name="global open MSE"/>
    <tableColumn id="49" xr3:uid="{40FF0B24-61C9-4E9A-A189-2BBA1EC2F534}" name="global open R2"/>
    <tableColumn id="50" xr3:uid="{F4C092B0-E1EC-4CC0-939C-D9CFD955D229}" name="global closed MSE"/>
    <tableColumn id="51" xr3:uid="{696845E3-50F6-46B4-9820-E0343370CC00}" name="global closed R2"/>
    <tableColumn id="52" xr3:uid="{6DB01901-F4AD-41B1-ABDD-8432A5D1428D}" name="recursivity"/>
    <tableColumn id="53" xr3:uid="{7A882580-74E6-4CF3-9B16-1ECFE0BD8510}" name="initialization"/>
    <tableColumn id="54" xr3:uid="{54984F98-4C78-484B-B43F-33492B0A4EDE}" name="Surge Velocity Step MSE"/>
    <tableColumn id="55" xr3:uid="{303D4CA8-D8AF-4A64-AC3A-02A917ED083D}" name="Surge Velocity Step R2"/>
    <tableColumn id="56" xr3:uid="{40FB36F8-2717-430C-A0DC-42BE4548B144}" name="Surge Velocity Local MSE"/>
    <tableColumn id="57" xr3:uid="{4F59E20D-FC8D-4EC3-A1E4-076558AA7D80}" name="Surge Velocity Global open MSE"/>
    <tableColumn id="58" xr3:uid="{309ABEF5-246E-40F2-9ED8-B7541D0EAFAC}" name="Surge Velocity Global open R2"/>
    <tableColumn id="59" xr3:uid="{0EDB51EB-FCFC-42DE-A1EF-BEB8587958F1}" name="Sway Velocity Step MSE"/>
    <tableColumn id="60" xr3:uid="{5CDA603A-7AC6-4013-B517-5C4BC23D05BE}" name="Sway Velocity Step R2"/>
    <tableColumn id="61" xr3:uid="{616A9A23-9E0A-45E9-8227-27827E7CE997}" name="Sway Velocity Local MSE"/>
    <tableColumn id="62" xr3:uid="{8F65BF06-851E-4626-9928-6E444A16B4D8}" name="Sway Velocity Global open MSE"/>
    <tableColumn id="63" xr3:uid="{DF0382DA-6984-4D8C-B3E2-0AAD16A36B83}" name="Sway Velocity Global open R2"/>
    <tableColumn id="64" xr3:uid="{9FEF3100-C69D-4DA0-917C-EF191466366C}" name="Yaw Rate Step MSE"/>
    <tableColumn id="65" xr3:uid="{42EE789B-89E3-45BA-A914-27D21FC9C926}" name="Yaw Rate Step R2"/>
    <tableColumn id="66" xr3:uid="{B6D211F0-326C-4AAA-ADAE-42A49923F82A}" name="Yaw Rate Local MSE"/>
    <tableColumn id="67" xr3:uid="{2CADA411-BA4B-45D9-97CB-8C6AEBE1821E}" name="Yaw Rate Global open MSE"/>
    <tableColumn id="68" xr3:uid="{DAEC0EC1-A38E-4AB0-81C0-A28527E0F9E4}" name="Yaw Rate Global open R2"/>
    <tableColumn id="69" xr3:uid="{7C79F02D-0C8F-4996-A084-6EA0E06039E8}" name="Yaw Angle Step MSE"/>
    <tableColumn id="70" xr3:uid="{614AB15B-8250-4896-B9C7-1AE31415E071}" name="Yaw Angle Step R2"/>
    <tableColumn id="71" xr3:uid="{A8220CE8-015B-44D5-BCA7-FACF6196FAE0}" name="Yaw Angle Local MSE"/>
    <tableColumn id="72" xr3:uid="{AAD94F8D-CA8C-4880-ACD2-7DF36BF379BA}" name="Yaw Angle Global open MSE"/>
    <tableColumn id="73" xr3:uid="{D6B12D35-6062-40A7-98E1-AE0BB8E9BA9A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0395-BA9D-4E50-874D-0C04CC16FAB4}">
  <dimension ref="A3:D6"/>
  <sheetViews>
    <sheetView workbookViewId="0">
      <selection activeCell="A3" sqref="A3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  <col min="4" max="4" width="18.44140625" bestFit="1" customWidth="1"/>
  </cols>
  <sheetData>
    <row r="3" spans="1:4" x14ac:dyDescent="0.3">
      <c r="A3" s="2" t="s">
        <v>89</v>
      </c>
      <c r="B3" t="s">
        <v>91</v>
      </c>
      <c r="C3" t="s">
        <v>92</v>
      </c>
      <c r="D3" t="s">
        <v>93</v>
      </c>
    </row>
    <row r="4" spans="1:4" x14ac:dyDescent="0.3">
      <c r="A4" s="3">
        <v>1</v>
      </c>
      <c r="B4" s="5">
        <v>0.78227332689679763</v>
      </c>
      <c r="C4" s="5">
        <v>0.77779596340183421</v>
      </c>
      <c r="D4" s="5">
        <v>4</v>
      </c>
    </row>
    <row r="5" spans="1:4" x14ac:dyDescent="0.3">
      <c r="A5" s="4">
        <v>0</v>
      </c>
      <c r="B5" s="5">
        <v>0.78227332689679763</v>
      </c>
      <c r="C5" s="5">
        <v>0.77779596340183421</v>
      </c>
      <c r="D5" s="5">
        <v>4</v>
      </c>
    </row>
    <row r="6" spans="1:4" x14ac:dyDescent="0.3">
      <c r="A6" s="3" t="s">
        <v>90</v>
      </c>
      <c r="B6" s="5">
        <v>0.78227332689679763</v>
      </c>
      <c r="C6" s="5">
        <v>0.77779596340183421</v>
      </c>
      <c r="D6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2.77734375" customWidth="1"/>
    <col min="22" max="22" width="15.5546875" customWidth="1"/>
    <col min="23" max="23" width="19.5546875" customWidth="1"/>
    <col min="24" max="24" width="10.5546875" customWidth="1"/>
    <col min="27" max="27" width="9.44140625" customWidth="1"/>
    <col min="28" max="28" width="11.21875" customWidth="1"/>
    <col min="29" max="29" width="9.5546875" customWidth="1"/>
    <col min="30" max="30" width="11.21875" customWidth="1"/>
    <col min="31" max="31" width="11.109375" customWidth="1"/>
    <col min="32" max="32" width="12" customWidth="1"/>
    <col min="33" max="33" width="14.44140625" customWidth="1"/>
    <col min="34" max="34" width="13.88671875" customWidth="1"/>
    <col min="35" max="35" width="9.77734375" customWidth="1"/>
    <col min="36" max="36" width="13.6640625" customWidth="1"/>
    <col min="37" max="37" width="10.6640625" customWidth="1"/>
    <col min="38" max="38" width="10.44140625" customWidth="1"/>
    <col min="39" max="39" width="13.44140625" customWidth="1"/>
    <col min="40" max="40" width="14.21875" customWidth="1"/>
    <col min="41" max="41" width="12.5546875" customWidth="1"/>
    <col min="42" max="42" width="21.109375" customWidth="1"/>
    <col min="43" max="43" width="19.44140625" customWidth="1"/>
    <col min="44" max="44" width="20.5546875" customWidth="1"/>
    <col min="45" max="45" width="10.88671875" customWidth="1"/>
    <col min="46" max="46" width="9.21875" customWidth="1"/>
    <col min="47" max="47" width="11.109375" customWidth="1"/>
    <col min="48" max="48" width="17.21875" customWidth="1"/>
    <col min="49" max="49" width="15.5546875" customWidth="1"/>
    <col min="50" max="50" width="18.33203125" customWidth="1"/>
    <col min="51" max="51" width="16.6640625" customWidth="1"/>
    <col min="52" max="52" width="12" customWidth="1"/>
    <col min="53" max="53" width="13.77734375" customWidth="1"/>
    <col min="54" max="54" width="23.77734375" customWidth="1"/>
    <col min="55" max="55" width="22.109375" customWidth="1"/>
    <col min="56" max="56" width="24.21875" customWidth="1"/>
    <col min="57" max="57" width="30.44140625" customWidth="1"/>
    <col min="58" max="58" width="28.77734375" customWidth="1"/>
    <col min="59" max="59" width="23.33203125" customWidth="1"/>
    <col min="60" max="60" width="21.6640625" customWidth="1"/>
    <col min="61" max="61" width="23.77734375" customWidth="1"/>
    <col min="62" max="62" width="30" customWidth="1"/>
    <col min="63" max="63" width="28.33203125" customWidth="1"/>
    <col min="64" max="64" width="19.33203125" customWidth="1"/>
    <col min="65" max="65" width="17.6640625" customWidth="1"/>
    <col min="66" max="66" width="19.77734375" customWidth="1"/>
    <col min="67" max="67" width="26" customWidth="1"/>
    <col min="68" max="68" width="24.332031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0</v>
      </c>
      <c r="D2" t="s">
        <v>75</v>
      </c>
      <c r="E2" t="s">
        <v>76</v>
      </c>
      <c r="F2">
        <v>5397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4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1</v>
      </c>
      <c r="Z2" t="s">
        <v>85</v>
      </c>
      <c r="AA2" t="b">
        <v>0</v>
      </c>
      <c r="AB2" t="s">
        <v>86</v>
      </c>
      <c r="AC2">
        <v>2000</v>
      </c>
      <c r="AD2">
        <v>2000</v>
      </c>
      <c r="AE2">
        <v>1E-3</v>
      </c>
      <c r="AF2">
        <v>32</v>
      </c>
      <c r="AG2">
        <v>0.01</v>
      </c>
      <c r="AH2">
        <v>0.1</v>
      </c>
      <c r="AI2" t="s">
        <v>87</v>
      </c>
      <c r="AJ2">
        <v>160</v>
      </c>
      <c r="AK2">
        <v>40</v>
      </c>
      <c r="AL2">
        <v>120</v>
      </c>
      <c r="AM2">
        <v>5.2649833648402498E-2</v>
      </c>
      <c r="AN2">
        <v>22.510959961909862</v>
      </c>
      <c r="AO2">
        <v>0.78524164467405833</v>
      </c>
      <c r="AP2">
        <v>22.510959961909862</v>
      </c>
      <c r="AQ2">
        <v>0.78524164467405833</v>
      </c>
      <c r="AR2">
        <v>-2.1661586224687501E-2</v>
      </c>
      <c r="AS2">
        <v>27.92604129130655</v>
      </c>
      <c r="AT2">
        <v>0.78103568444087501</v>
      </c>
      <c r="AU2">
        <v>27.92604129130655</v>
      </c>
      <c r="AV2">
        <v>27.92604129130655</v>
      </c>
      <c r="AW2">
        <v>0.78103568444087501</v>
      </c>
      <c r="AX2">
        <v>121.527197721421</v>
      </c>
      <c r="AY2">
        <v>-3.1721540827304599E-2</v>
      </c>
      <c r="AZ2">
        <v>0.8</v>
      </c>
      <c r="BA2" t="s">
        <v>88</v>
      </c>
      <c r="BB2">
        <v>1.8782119333609099E-2</v>
      </c>
      <c r="BC2">
        <v>0.85963605959772948</v>
      </c>
      <c r="BD2">
        <v>1.8782119333609099E-2</v>
      </c>
      <c r="BE2">
        <v>1.8782119333609099E-2</v>
      </c>
      <c r="BF2">
        <v>0.85963605959772948</v>
      </c>
      <c r="BG2">
        <v>6.4031661383930794E-2</v>
      </c>
      <c r="BH2">
        <v>0.77794986642367392</v>
      </c>
      <c r="BI2">
        <v>6.4031661383930794E-2</v>
      </c>
      <c r="BJ2">
        <v>6.4031661383930794E-2</v>
      </c>
      <c r="BK2">
        <v>0.77794986642367392</v>
      </c>
      <c r="BL2">
        <v>4.8167349270802802E-2</v>
      </c>
      <c r="BM2">
        <v>0.80590497534412442</v>
      </c>
      <c r="BN2">
        <v>4.8167349270802802E-2</v>
      </c>
      <c r="BO2">
        <v>4.8167349270802802E-2</v>
      </c>
      <c r="BP2">
        <v>0.80590497534412442</v>
      </c>
      <c r="BQ2">
        <v>111.5731840352379</v>
      </c>
      <c r="BR2">
        <v>0.68065183639797322</v>
      </c>
      <c r="BS2">
        <v>111.5731840352379</v>
      </c>
      <c r="BT2">
        <v>111.5731840352379</v>
      </c>
      <c r="BU2">
        <v>0.68065183639797322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2026-05-04T07:55:23Z</dcterms:created>
  <dcterms:modified xsi:type="dcterms:W3CDTF">2026-05-04T07:59:11Z</dcterms:modified>
</cp:coreProperties>
</file>