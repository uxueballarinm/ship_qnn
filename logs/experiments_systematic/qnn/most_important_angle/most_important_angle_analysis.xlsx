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nn/most_important_angle/"/>
    </mc:Choice>
  </mc:AlternateContent>
  <xr:revisionPtr revIDLastSave="122" documentId="11_1D1953ACD35056443F5B2211595ED87656CA0C19" xr6:coauthVersionLast="47" xr6:coauthVersionMax="47" xr10:uidLastSave="{5E051632-66B3-419A-AE9B-BCD054C6DB18}"/>
  <bookViews>
    <workbookView xWindow="-108" yWindow="-108" windowWidth="23256" windowHeight="12456" activeTab="3" xr2:uid="{00000000-000D-0000-FFFF-FFFF00000000}"/>
  </bookViews>
  <sheets>
    <sheet name="Sheet1" sheetId="1" r:id="rId1"/>
    <sheet name="Map_analysis" sheetId="2" r:id="rId2"/>
    <sheet name="Hoja2" sheetId="3" r:id="rId3"/>
    <sheet name="Hoja1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21" i="1" l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</calcChain>
</file>

<file path=xl/sharedStrings.xml><?xml version="1.0" encoding="utf-8"?>
<sst xmlns="http://schemas.openxmlformats.org/spreadsheetml/2006/main" count="2374" uniqueCount="372">
  <si>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</si>
  <si>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</si>
  <si>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</si>
  <si>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</si>
  <si>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</si>
  <si>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</si>
  <si>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</si>
  <si>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</si>
  <si>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</si>
  <si>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</si>
  <si>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</si>
  <si>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</si>
  <si>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</si>
  <si>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</si>
  <si>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</si>
  <si>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</si>
  <si>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</si>
  <si>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</si>
  <si>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</si>
  <si>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</si>
  <si>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</si>
  <si>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</si>
  <si>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</si>
  <si>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</si>
  <si>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</si>
  <si>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</si>
  <si>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</si>
  <si>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</si>
  <si>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</si>
  <si>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</si>
  <si>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</si>
  <si>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</si>
  <si>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</si>
  <si>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</si>
  <si>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</si>
  <si>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</si>
  <si>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</si>
  <si>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</si>
  <si>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</si>
  <si>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</si>
  <si>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</si>
  <si>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</si>
  <si>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</si>
  <si>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</si>
  <si>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</si>
  <si>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</si>
  <si>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</si>
  <si>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</si>
  <si>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</si>
  <si>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</si>
  <si>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</si>
  <si>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</si>
  <si>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</si>
  <si>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</si>
  <si>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</si>
  <si>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</si>
  <si>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</si>
  <si>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</si>
  <si>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</si>
  <si>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</si>
  <si>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</si>
  <si>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</si>
  <si>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</si>
  <si>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</si>
  <si>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</si>
  <si>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</si>
  <si>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</si>
  <si>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</si>
  <si>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</si>
  <si>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</si>
  <si>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</si>
  <si>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</si>
  <si>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</si>
  <si>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</si>
  <si>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</si>
  <si>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</si>
  <si>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01/04/2026 17:05:54</t>
  </si>
  <si>
    <t>04-01_17-05-54_multihead_2heads_run0_spsa_serial_f5_w5_h5_effsu2_lin_r1.pkl</t>
  </si>
  <si>
    <t>Best (Lowest Val Loss)</t>
  </si>
  <si>
    <t>data/reduce_row_number_absolutes</t>
  </si>
  <si>
    <t>[['sv', 'wv', 'rarad'], ['yr', 'ya', 'rarad']]</t>
  </si>
  <si>
    <t>['Surge Velocity', 'Sway Velocity', 'Yaw Rate', 'Yaw Angle']</t>
  </si>
  <si>
    <t>motion</t>
  </si>
  <si>
    <t>multihead</t>
  </si>
  <si>
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</si>
  <si>
    <t>serial</t>
  </si>
  <si>
    <t>effsu2</t>
  </si>
  <si>
    <t>lin</t>
  </si>
  <si>
    <t>[0, 2, -1, 1, 2, -1]</t>
  </si>
  <si>
    <t>spsa</t>
  </si>
  <si>
    <t>[0.1, 0.001]</t>
  </si>
  <si>
    <t>[1.0, 1.0, 1.0, 1.0]</t>
  </si>
  <si>
    <t>identity</t>
  </si>
  <si>
    <t>01/04/2026 17:06:24</t>
  </si>
  <si>
    <t>04-01_17-06-24_multihead_2heads_run1_spsa_serial_f5_w5_h5_effsu2_lin_r1.pkl</t>
  </si>
  <si>
    <t>Final (Last Iteration)</t>
  </si>
  <si>
    <t>01/04/2026 17:06:53</t>
  </si>
  <si>
    <t>04-01_17-06-53_multihead_2heads_run2_spsa_serial_f5_w5_h5_effsu2_lin_r1.pkl</t>
  </si>
  <si>
    <t>01/04/2026 17:07:23</t>
  </si>
  <si>
    <t>04-01_17-07-23_multihead_2heads_run3_spsa_serial_f5_w5_h5_effsu2_lin_r1.pkl</t>
  </si>
  <si>
    <t>01/04/2026 17:07:54</t>
  </si>
  <si>
    <t>04-01_17-07-54_multihead_2heads_run4_spsa_serial_f5_w5_h5_effsu2_lin_r1.pkl</t>
  </si>
  <si>
    <t>01/04/2026 17:08:23</t>
  </si>
  <si>
    <t>04-01_17-08-23_multihead_2heads_run5_spsa_serial_f5_w5_h5_effsu2_lin_r1.pkl</t>
  </si>
  <si>
    <t>01/04/2026 17:08:54</t>
  </si>
  <si>
    <t>04-01_17-08-54_multihead_2heads_run6_spsa_serial_f5_w5_h5_effsu2_lin_r1.pkl</t>
  </si>
  <si>
    <t>01/04/2026 17:09:23</t>
  </si>
  <si>
    <t>04-01_17-09-23_multihead_2heads_run7_spsa_serial_f5_w5_h5_effsu2_lin_r1.pkl</t>
  </si>
  <si>
    <t>01/04/2026 17:09:54</t>
  </si>
  <si>
    <t>04-01_17-09-54_multihead_2heads_run8_spsa_serial_f5_w5_h5_effsu2_lin_r1.pkl</t>
  </si>
  <si>
    <t>01/04/2026 17:10:24</t>
  </si>
  <si>
    <t>04-01_17-10-24_multihead_2heads_run9_spsa_serial_f5_w5_h5_effsu2_lin_r1.pkl</t>
  </si>
  <si>
    <t>01/04/2026 18:25:00</t>
  </si>
  <si>
    <t>04-01_18-25-00_multihead_2heads_run0_spsa_serial_f5_w5_h5_effsu2_lin_r1.pkl</t>
  </si>
  <si>
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</si>
  <si>
    <t>[2, -1, 0, 2, -1, 1]</t>
  </si>
  <si>
    <t>01/04/2026 18:25:42</t>
  </si>
  <si>
    <t>04-01_18-25-42_multihead_2heads_run1_spsa_serial_f5_w5_h5_effsu2_lin_r1.pkl</t>
  </si>
  <si>
    <t>01/04/2026 18:26:23</t>
  </si>
  <si>
    <t>04-01_18-26-23_multihead_2heads_run2_spsa_serial_f5_w5_h5_effsu2_lin_r1.pkl</t>
  </si>
  <si>
    <t>01/04/2026 18:27:14</t>
  </si>
  <si>
    <t>04-01_18-27-14_multihead_2heads_run3_spsa_serial_f5_w5_h5_effsu2_lin_r1.pkl</t>
  </si>
  <si>
    <t>01/04/2026 18:27:48</t>
  </si>
  <si>
    <t>04-01_18-27-48_multihead_2heads_run4_spsa_serial_f5_w5_h5_effsu2_lin_r1.pkl</t>
  </si>
  <si>
    <t>01/04/2026 18:28:43</t>
  </si>
  <si>
    <t>04-01_18-28-43_multihead_2heads_run5_spsa_serial_f5_w5_h5_effsu2_lin_r1.pkl</t>
  </si>
  <si>
    <t>01/04/2026 18:29:19</t>
  </si>
  <si>
    <t>04-01_18-29-19_multihead_2heads_run6_spsa_serial_f5_w5_h5_effsu2_lin_r1.pkl</t>
  </si>
  <si>
    <t>01/04/2026 18:30:08</t>
  </si>
  <si>
    <t>04-01_18-30-08_multihead_2heads_run7_spsa_serial_f5_w5_h5_effsu2_lin_r1.pkl</t>
  </si>
  <si>
    <t>01/04/2026 18:31:11</t>
  </si>
  <si>
    <t>04-01_18-31-11_multihead_2heads_run8_spsa_serial_f5_w5_h5_effsu2_lin_r1.pkl</t>
  </si>
  <si>
    <t>01/04/2026 18:32:09</t>
  </si>
  <si>
    <t>04-01_18-32-09_multihead_2heads_run9_spsa_serial_f5_w5_h5_effsu2_lin_r1.pkl</t>
  </si>
  <si>
    <t>01/04/2026 19:37:08</t>
  </si>
  <si>
    <t>04-01_19-37-08_multihead_2heads_run0_spsa_serial_f5_w5_h5_effsu2_lin_r1.pkl</t>
  </si>
  <si>
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</si>
  <si>
    <t>[-1, 2, 0, -1, 2, 1]</t>
  </si>
  <si>
    <t>01/04/2026 19:38:06</t>
  </si>
  <si>
    <t>04-01_19-38-06_multihead_2heads_run1_spsa_serial_f5_w5_h5_effsu2_lin_r1.pkl</t>
  </si>
  <si>
    <t>01/04/2026 19:39:44</t>
  </si>
  <si>
    <t>04-01_19-39-44_multihead_2heads_run2_spsa_serial_f5_w5_h5_effsu2_lin_r1.pkl</t>
  </si>
  <si>
    <t>01/04/2026 19:41:08</t>
  </si>
  <si>
    <t>04-01_19-41-08_multihead_2heads_run3_spsa_serial_f5_w5_h5_effsu2_lin_r1.pkl</t>
  </si>
  <si>
    <t>01/04/2026 19:42:10</t>
  </si>
  <si>
    <t>04-01_19-42-10_multihead_2heads_run4_spsa_serial_f5_w5_h5_effsu2_lin_r1.pkl</t>
  </si>
  <si>
    <t>01/04/2026 19:43:21</t>
  </si>
  <si>
    <t>04-01_19-43-21_multihead_2heads_run5_spsa_serial_f5_w5_h5_effsu2_lin_r1.pkl</t>
  </si>
  <si>
    <t>01/04/2026 19:44:15</t>
  </si>
  <si>
    <t>04-01_19-44-15_multihead_2heads_run6_spsa_serial_f5_w5_h5_effsu2_lin_r1.pkl</t>
  </si>
  <si>
    <t>01/04/2026 19:45:48</t>
  </si>
  <si>
    <t>04-01_19-45-48_multihead_2heads_run7_spsa_serial_f5_w5_h5_effsu2_lin_r1.pkl</t>
  </si>
  <si>
    <t>01/04/2026 19:47:27</t>
  </si>
  <si>
    <t>04-01_19-47-27_multihead_2heads_run8_spsa_serial_f5_w5_h5_effsu2_lin_r1.pkl</t>
  </si>
  <si>
    <t>01/04/2026 19:48:31</t>
  </si>
  <si>
    <t>04-01_19-48-31_multihead_2heads_run9_spsa_serial_f5_w5_h5_effsu2_lin_r1.pkl</t>
  </si>
  <si>
    <t>01/04/2026 20:54:04</t>
  </si>
  <si>
    <t>04-01_20-54-04_multihead_2heads_run0_spsa_serial_f5_w5_h5_effsu2_lin_r1.pkl</t>
  </si>
  <si>
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</si>
  <si>
    <t>[2, 0, -1, 2, 1, -1]</t>
  </si>
  <si>
    <t>01/04/2026 20:55:21</t>
  </si>
  <si>
    <t>04-01_20-55-21_multihead_2heads_run1_spsa_serial_f5_w5_h5_effsu2_lin_r1.pkl</t>
  </si>
  <si>
    <t>01/04/2026 20:57:33</t>
  </si>
  <si>
    <t>04-01_20-57-33_multihead_2heads_run2_spsa_serial_f5_w5_h5_effsu2_lin_r1.pkl</t>
  </si>
  <si>
    <t>01/04/2026 20:59:21</t>
  </si>
  <si>
    <t>04-01_20-59-21_multihead_2heads_run3_spsa_serial_f5_w5_h5_effsu2_lin_r1.pkl</t>
  </si>
  <si>
    <t>01/04/2026 21:00:43</t>
  </si>
  <si>
    <t>04-01_21-00-43_multihead_2heads_run4_spsa_serial_f5_w5_h5_effsu2_lin_r1.pkl</t>
  </si>
  <si>
    <t>01/04/2026 21:02:37</t>
  </si>
  <si>
    <t>04-01_21-02-37_multihead_2heads_run5_spsa_serial_f5_w5_h5_effsu2_lin_r1.pkl</t>
  </si>
  <si>
    <t>01/04/2026 21:04:01</t>
  </si>
  <si>
    <t>04-01_21-04-01_multihead_2heads_run6_spsa_serial_f5_w5_h5_effsu2_lin_r1.pkl</t>
  </si>
  <si>
    <t>01/04/2026 21:06:00</t>
  </si>
  <si>
    <t>04-01_21-06-00_multihead_2heads_run7_spsa_serial_f5_w5_h5_effsu2_lin_r1.pkl</t>
  </si>
  <si>
    <t>01/04/2026 21:08:18</t>
  </si>
  <si>
    <t>04-01_21-08-18_multihead_2heads_run8_spsa_serial_f5_w5_h5_effsu2_lin_r1.pkl</t>
  </si>
  <si>
    <t>01/04/2026 21:09:46</t>
  </si>
  <si>
    <t>04-01_21-09-46_multihead_2heads_run9_spsa_serial_f5_w5_h5_effsu2_lin_r1.pkl</t>
  </si>
  <si>
    <t>01/04/2026 22:05:56</t>
  </si>
  <si>
    <t>04-01_22-05-56_multihead_2heads_run0_spsa_serial_f5_w5_h5_effsu2_lin_r1.pkl</t>
  </si>
  <si>
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</si>
  <si>
    <t>[0, -1, 2, 1, -1, 2]</t>
  </si>
  <si>
    <t>01/04/2026 22:07:47</t>
  </si>
  <si>
    <t>04-01_22-07-47_multihead_2heads_run1_spsa_serial_f5_w5_h5_effsu2_lin_r1.pkl</t>
  </si>
  <si>
    <t>01/04/2026 22:10:33</t>
  </si>
  <si>
    <t>04-01_22-10-33_multihead_2heads_run2_spsa_serial_f5_w5_h5_effsu2_lin_r1.pkl</t>
  </si>
  <si>
    <t>01/04/2026 22:12:57</t>
  </si>
  <si>
    <t>04-01_22-12-57_multihead_2heads_run3_spsa_serial_f5_w5_h5_effsu2_lin_r1.pkl</t>
  </si>
  <si>
    <t>01/04/2026 22:15:08</t>
  </si>
  <si>
    <t>04-01_22-15-08_multihead_2heads_run4_spsa_serial_f5_w5_h5_effsu2_lin_r1.pkl</t>
  </si>
  <si>
    <t>01/04/2026 22:17:12</t>
  </si>
  <si>
    <t>04-01_22-17-12_multihead_2heads_run5_spsa_serial_f5_w5_h5_effsu2_lin_r1.pkl</t>
  </si>
  <si>
    <t>01/04/2026 22:18:51</t>
  </si>
  <si>
    <t>04-01_22-18-51_multihead_2heads_run6_spsa_serial_f5_w5_h5_effsu2_lin_r1.pkl</t>
  </si>
  <si>
    <t>01/04/2026 22:21:25</t>
  </si>
  <si>
    <t>04-01_22-21-25_multihead_2heads_run7_spsa_serial_f5_w5_h5_effsu2_lin_r1.pkl</t>
  </si>
  <si>
    <t>01/04/2026 22:24:21</t>
  </si>
  <si>
    <t>04-01_22-24-21_multihead_2heads_run8_spsa_serial_f5_w5_h5_effsu2_lin_r1.pkl</t>
  </si>
  <si>
    <t>01/04/2026 22:26:40</t>
  </si>
  <si>
    <t>04-01_22-26-40_multihead_2heads_run9_spsa_serial_f5_w5_h5_effsu2_lin_r1.pkl</t>
  </si>
  <si>
    <t>01/04/2026 23:23:06</t>
  </si>
  <si>
    <t>04-01_23-23-06_multihead_2heads_run0_spsa_serial_f5_w5_h5_effsu2_lin_r1.pkl</t>
  </si>
  <si>
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</si>
  <si>
    <t>[-1, 0, 2, -1, 1, 2]</t>
  </si>
  <si>
    <t>01/04/2026 23:25:31</t>
  </si>
  <si>
    <t>04-01_23-25-31_multihead_2heads_run1_spsa_serial_f5_w5_h5_effsu2_lin_r1.pkl</t>
  </si>
  <si>
    <t>01/04/2026 23:28:13</t>
  </si>
  <si>
    <t>04-01_23-28-13_multihead_2heads_run2_spsa_serial_f5_w5_h5_effsu2_lin_r1.pkl</t>
  </si>
  <si>
    <t>01/04/2026 23:31:24</t>
  </si>
  <si>
    <t>04-01_23-31-24_multihead_2heads_run3_spsa_serial_f5_w5_h5_effsu2_lin_r1.pkl</t>
  </si>
  <si>
    <t>01/04/2026 23:33:58</t>
  </si>
  <si>
    <t>04-01_23-33-58_multihead_2heads_run4_spsa_serial_f5_w5_h5_effsu2_lin_r1.pkl</t>
  </si>
  <si>
    <t>01/04/2026 23:36:31</t>
  </si>
  <si>
    <t>04-01_23-36-31_multihead_2heads_run5_spsa_serial_f5_w5_h5_effsu2_lin_r1.pkl</t>
  </si>
  <si>
    <t>01/04/2026 23:38:56</t>
  </si>
  <si>
    <t>04-01_23-38-56_multihead_2heads_run6_spsa_serial_f5_w5_h5_effsu2_lin_r1.pkl</t>
  </si>
  <si>
    <t>01/04/2026 23:41:57</t>
  </si>
  <si>
    <t>04-01_23-41-57_multihead_2heads_run7_spsa_serial_f5_w5_h5_effsu2_lin_r1.pkl</t>
  </si>
  <si>
    <t>01/04/2026 23:45:18</t>
  </si>
  <si>
    <t>04-01_23-45-18_multihead_2heads_run8_spsa_serial_f5_w5_h5_effsu2_lin_r1.pkl</t>
  </si>
  <si>
    <t>01/04/2026 23:48:13</t>
  </si>
  <si>
    <t>04-01_23-48-13_multihead_2heads_run9_spsa_serial_f5_w5_h5_effsu2_lin_r1.pkl</t>
  </si>
  <si>
    <t>Etiquetas de fila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</si>
  <si>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</si>
  <si>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</si>
  <si>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</si>
  <si>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</si>
  <si>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</si>
  <si>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</si>
  <si>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</si>
  <si>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</si>
  <si>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</si>
  <si>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</si>
  <si>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</si>
  <si>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empty_position</t>
  </si>
  <si>
    <t>Cuenta de model_id</t>
  </si>
  <si>
    <t>lambda</t>
  </si>
  <si>
    <t>phi</t>
  </si>
  <si>
    <t>theta</t>
  </si>
  <si>
    <t>20/04/2026 10:10:30</t>
  </si>
  <si>
    <t>04-20_10-10-30_multihead_1heads_run0_spsa_serial_f5_w5_h5_effsu2_lin_r1.pkl</t>
  </si>
  <si>
    <t>['sv', 'wv', 'yr', 'ya']</t>
  </si>
  <si>
    <t>['Surge Velocity']</t>
  </si>
  <si>
    <t>custom</t>
  </si>
  <si>
    <t>true</t>
  </si>
  <si>
    <t>false</t>
  </si>
  <si>
    <t>[{'features': ['sv', 'wv', 'yr', 'ya'], 'output_dim': 1, 'reps': 1, 'encoding': 'serial', 'ansatz': 'effsu2', 'entangle': 'lin', 'map': [1, -1, 3, 0, 2, -1]}]</t>
  </si>
  <si>
    <t>[1, -1, 3, 0, 2, -1]</t>
  </si>
  <si>
    <t>04-20_10-10-30_multihead_1heads_run1_spsa_serial_f5_w5_h5_effsu2_lin_r1.pkl</t>
  </si>
  <si>
    <t>[{'features': ['sv', 'wv', 'yr', 'ya'], 'output_dim': 1, 'reps': 1, 'encoding': 'serial', 'ansatz': 'effsu2', 'entangle': 'lin', 'map': [3, 1, -1, 0, 2, -1]}]</t>
  </si>
  <si>
    <t>[3, 1, -1, 0, 2, -1]</t>
  </si>
  <si>
    <t>20/04/2026 10:10:35</t>
  </si>
  <si>
    <t>04-20_10-10-35_multihead_1heads_run0_spsa_serial_f5_w5_h5_effsu2_lin_r1.pkl</t>
  </si>
  <si>
    <t>[{'features': ['sv', 'wv', 'yr', 'ya'], 'output_dim': 1, 'reps': 1, 'encoding': 'serial', 'ansatz': 'effsu2', 'entangle': 'lin', 'map': [3, -1, 1, 0, 2, -1]}]</t>
  </si>
  <si>
    <t>[3, -1, 1, 0, 2, -1]</t>
  </si>
  <si>
    <t>04-20_10-10-35_multihead_1heads_run1_spsa_serial_f5_w5_h5_effsu2_lin_r1.pkl</t>
  </si>
  <si>
    <t>20/04/2026 11:09:27</t>
  </si>
  <si>
    <t>04-20_11-09-27_multihead_1heads_run1_spsa_serial_f5_w5_h5_effsu2_lin_r1.pkl</t>
  </si>
  <si>
    <t>[{'features': ['sv', 'wv', 'yr', 'ya'], 'output_dim': 1, 'reps': 1, 'encoding': 'serial', 'ansatz': 'effsu2', 'entangle': 'lin', 'map': [-1, 1, 3, 0, 2, -1]}]</t>
  </si>
  <si>
    <t>[-1, 1, 3, 0, 2, -1]</t>
  </si>
  <si>
    <t>20/04/2026 11:11:07</t>
  </si>
  <si>
    <t>04-20_11-11-07_multihead_1heads_run1_spsa_serial_f5_w5_h5_effsu2_lin_r1.pkl</t>
  </si>
  <si>
    <t>[{'features': ['sv', 'wv', 'yr', 'ya'], 'output_dim': 1, 'reps': 1, 'encoding': 'serial', 'ansatz': 'effsu2', 'entangle': 'lin', 'map': [-1, 3, 1, 0, 2, -1]}]</t>
  </si>
  <si>
    <t>[-1, 3, 1, 0, 2, -1]</t>
  </si>
  <si>
    <t>20/04/2026 11:11:22</t>
  </si>
  <si>
    <t>04-20_11-11-22_multihead_1heads_run2_spsa_serial_f5_w5_h5_effsu2_lin_r1.pkl</t>
  </si>
  <si>
    <t>[{'features': ['sv', 'wv', 'yr', 'ya'], 'output_dim': 1, 'reps': 1, 'encoding': 'serial', 'ansatz': 'effsu2', 'entangle': 'lin', 'map': [1, 3, -1, 0, 2, -1]}]</t>
  </si>
  <si>
    <t>[1, 3, -1, 0, 2, -1]</t>
  </si>
  <si>
    <t>20/04/2026 11:13:07</t>
  </si>
  <si>
    <t>04-20_11-13-07_multihead_1heads_run2_spsa_serial_f5_w5_h5_effsu2_lin_r1.pkl</t>
  </si>
  <si>
    <t>20/04/2026 11:15:02</t>
  </si>
  <si>
    <t>04-20_11-15-02_multihead_1heads_run2_spsa_serial_f5_w5_h5_effsu2_lin_r1.pkl</t>
  </si>
  <si>
    <t>20/04/2026 11:15:07</t>
  </si>
  <si>
    <t>04-20_11-15-07_multihead_1heads_run2_spsa_serial_f5_w5_h5_effsu2_lin_r1.pkl</t>
  </si>
  <si>
    <t>20/04/2026 11:16:06</t>
  </si>
  <si>
    <t>04-20_11-16-06_multihead_1heads_run2_spsa_serial_f5_w5_h5_effsu2_lin_r1.pkl</t>
  </si>
  <si>
    <t>20/04/2026 11:16:30</t>
  </si>
  <si>
    <t>04-20_11-16-30_multihead_1heads_run2_spsa_serial_f5_w5_h5_effsu2_lin_r1.pkl</t>
  </si>
  <si>
    <t>20/04/2026 11:18:43</t>
  </si>
  <si>
    <t>04-20_11-18-43_multihead_1heads_run3_spsa_serial_f5_w5_h5_effsu2_lin_r1.pkl</t>
  </si>
  <si>
    <t>20/04/2026 11:19:24</t>
  </si>
  <si>
    <t>04-20_11-19-24_multihead_1heads_run3_spsa_serial_f5_w5_h5_effsu2_lin_r1.pkl</t>
  </si>
  <si>
    <t>20/04/2026 12:15:06</t>
  </si>
  <si>
    <t>04-20_12-15-06_multihead_1heads_run3_spsa_serial_f5_w5_h5_effsu2_lin_r1.pkl</t>
  </si>
  <si>
    <t>20/04/2026 12:15:39</t>
  </si>
  <si>
    <t>04-20_12-15-39_multihead_1heads_run3_spsa_serial_f5_w5_h5_effsu2_lin_r1.pkl</t>
  </si>
  <si>
    <t>20/04/2026 12:19:03</t>
  </si>
  <si>
    <t>04-20_12-19-03_multihead_1heads_run3_spsa_serial_f5_w5_h5_effsu2_lin_r1.pkl</t>
  </si>
  <si>
    <t>20/04/2026 12:19:20</t>
  </si>
  <si>
    <t>04-20_12-19-20_multihead_1heads_run4_spsa_serial_f5_w5_h5_effsu2_lin_r1.pkl</t>
  </si>
  <si>
    <t>20/04/2026 12:20:32</t>
  </si>
  <si>
    <t>04-20_12-20-32_multihead_1heads_run4_spsa_serial_f5_w5_h5_effsu2_lin_r1.pkl</t>
  </si>
  <si>
    <t>20/04/2026 12:24:25</t>
  </si>
  <si>
    <t>04-20_12-24-25_multihead_1heads_run4_spsa_serial_f5_w5_h5_effsu2_lin_r1.pkl</t>
  </si>
  <si>
    <t>20/04/2026 12:24:30</t>
  </si>
  <si>
    <t>04-20_12-24-30_multihead_1heads_run4_spsa_serial_f5_w5_h5_effsu2_lin_r1.pkl</t>
  </si>
  <si>
    <t>20/04/2026 12:27:03</t>
  </si>
  <si>
    <t>04-20_12-27-03_multihead_1heads_run4_spsa_serial_f5_w5_h5_effsu2_lin_r1.pkl</t>
  </si>
  <si>
    <t>20/04/2026 12:27:14</t>
  </si>
  <si>
    <t>04-20_12-27-14_multihead_1heads_run4_spsa_serial_f5_w5_h5_effsu2_lin_r1.pkl</t>
  </si>
  <si>
    <t>20/04/2026 13:16:45</t>
  </si>
  <si>
    <t>04-20_13-16-45_multihead_1heads_run5_spsa_serial_f5_w5_h5_effsu2_lin_r1.pkl</t>
  </si>
  <si>
    <t>20/04/2026 13:18:48</t>
  </si>
  <si>
    <t>04-20_13-18-48_multihead_1heads_run5_spsa_serial_f5_w5_h5_effsu2_lin_r1.pkl</t>
  </si>
  <si>
    <t>20/04/2026 13:21:11</t>
  </si>
  <si>
    <t>04-20_13-21-11_multihead_1heads_run5_spsa_serial_f5_w5_h5_effsu2_lin_r1.pkl</t>
  </si>
  <si>
    <t>20/04/2026 13:21:38</t>
  </si>
  <si>
    <t>04-20_13-21-38_multihead_1heads_run5_spsa_serial_f5_w5_h5_effsu2_lin_r1.pkl</t>
  </si>
  <si>
    <t>20/04/2026 13:25:12</t>
  </si>
  <si>
    <t>04-20_13-25-12_multihead_1heads_run5_spsa_serial_f5_w5_h5_effsu2_lin_r1.pkl</t>
  </si>
  <si>
    <t>20/04/2026 13:25:58</t>
  </si>
  <si>
    <t>04-20_13-25-58_multihead_1heads_run6_spsa_serial_f5_w5_h5_effsu2_lin_r1.pkl</t>
  </si>
  <si>
    <t>20/04/2026 13:26:18</t>
  </si>
  <si>
    <t>04-20_13-26-18_multihead_1heads_run6_spsa_serial_f5_w5_h5_effsu2_lin_r1.pkl</t>
  </si>
  <si>
    <t>20/04/2026 13:22:16</t>
  </si>
  <si>
    <t>04-20_13-22-16_multihead_1heads_run5_spsa_serial_f5_w5_h5_effsu2_lin_r1.pkl</t>
  </si>
  <si>
    <t>20/04/2026 13:30:24</t>
  </si>
  <si>
    <t>04-20_13-30-24_multihead_1heads_run6_spsa_serial_f5_w5_h5_effsu2_lin_r1.pkl</t>
  </si>
  <si>
    <t>20/04/2026 13:34:22</t>
  </si>
  <si>
    <t>04-20_13-34-22_multihead_1heads_run6_spsa_serial_f5_w5_h5_effsu2_lin_r1.pkl</t>
  </si>
  <si>
    <t>20/04/2026 14:21:51</t>
  </si>
  <si>
    <t>04-20_14-21-51_multihead_1heads_run6_spsa_serial_f5_w5_h5_effsu2_lin_r1.pkl</t>
  </si>
  <si>
    <t>20/04/2026 14:23:05</t>
  </si>
  <si>
    <t>04-20_14-23-05_multihead_1heads_run6_spsa_serial_f5_w5_h5_effsu2_lin_r1.pkl</t>
  </si>
  <si>
    <t>20/04/2026 14:24:38</t>
  </si>
  <si>
    <t>04-20_14-24-38_multihead_1heads_run7_spsa_serial_f5_w5_h5_effsu2_lin_r1.pkl</t>
  </si>
  <si>
    <t>20/04/2026 14:24:55</t>
  </si>
  <si>
    <t>04-20_14-24-55_multihead_1heads_run7_spsa_serial_f5_w5_h5_effsu2_lin_r1.pkl</t>
  </si>
  <si>
    <t>20/04/2026 14:30:30</t>
  </si>
  <si>
    <t>04-20_14-30-30_multihead_1heads_run7_spsa_serial_f5_w5_h5_effsu2_lin_r1.pkl</t>
  </si>
  <si>
    <t>20/04/2026 14:34:27</t>
  </si>
  <si>
    <t>04-20_14-34-27_multihead_1heads_run7_spsa_serial_f5_w5_h5_effsu2_lin_r1.pkl</t>
  </si>
  <si>
    <t>20/04/2026 14:38:07</t>
  </si>
  <si>
    <t>04-20_14-38-07_multihead_1heads_run7_spsa_serial_f5_w5_h5_effsu2_lin_r1.pkl</t>
  </si>
  <si>
    <t>20/04/2026 14:40:18</t>
  </si>
  <si>
    <t>04-20_14-40-18_multihead_1heads_run7_spsa_serial_f5_w5_h5_effsu2_lin_r1.pkl</t>
  </si>
  <si>
    <t>20/04/2026 14:45:31</t>
  </si>
  <si>
    <t>04-20_14-45-31_multihead_1heads_run8_spsa_serial_f5_w5_h5_effsu2_lin_r1.pkl</t>
  </si>
  <si>
    <t>20/04/2026 14:51:19</t>
  </si>
  <si>
    <t>04-20_14-51-19_multihead_1heads_run8_spsa_serial_f5_w5_h5_effsu2_lin_r1.pkl</t>
  </si>
  <si>
    <t>20/04/2026 15:31:51</t>
  </si>
  <si>
    <t>04-20_15-31-51_multihead_1heads_run8_spsa_serial_f5_w5_h5_effsu2_lin_r1.pkl</t>
  </si>
  <si>
    <t>20/04/2026 15:33:12</t>
  </si>
  <si>
    <t>04-20_15-33-12_multihead_1heads_run8_spsa_serial_f5_w5_h5_effsu2_lin_r1.pkl</t>
  </si>
  <si>
    <t>20/04/2026 15:35:51</t>
  </si>
  <si>
    <t>04-20_15-35-51_multihead_1heads_run8_spsa_serial_f5_w5_h5_effsu2_lin_r1.pkl</t>
  </si>
  <si>
    <t>20/04/2026 15:39:11</t>
  </si>
  <si>
    <t>04-20_15-39-11_multihead_1heads_run8_spsa_serial_f5_w5_h5_effsu2_lin_r1.pkl</t>
  </si>
  <si>
    <t>20/04/2026 15:40:18</t>
  </si>
  <si>
    <t>04-20_15-40-18_multihead_1heads_run9_spsa_serial_f5_w5_h5_effsu2_lin_r1.pkl</t>
  </si>
  <si>
    <t>20/04/2026 15:43:16</t>
  </si>
  <si>
    <t>04-20_15-43-16_multihead_1heads_run9_spsa_serial_f5_w5_h5_effsu2_lin_r1.pkl</t>
  </si>
  <si>
    <t>20/04/2026 15:45:48</t>
  </si>
  <si>
    <t>04-20_15-45-48_multihead_1heads_run9_spsa_serial_f5_w5_h5_effsu2_lin_r1.pkl</t>
  </si>
  <si>
    <t>20/04/2026 15:48:49</t>
  </si>
  <si>
    <t>04-20_15-48-49_multihead_1heads_run9_spsa_serial_f5_w5_h5_effsu2_lin_r1.pkl</t>
  </si>
  <si>
    <t>20/04/2026 16:02:51</t>
  </si>
  <si>
    <t>04-20_16-02-51_multihead_1heads_run9_spsa_serial_f5_w5_h5_effsu2_lin_r1.pkl</t>
  </si>
  <si>
    <t>20/04/2026 16:08:06</t>
  </si>
  <si>
    <t>04-20_16-08-06_multihead_1heads_run9_spsa_serial_f5_w5_h5_effsu2_lin_r1.pkl</t>
  </si>
  <si>
    <t>21/04/2026 10:01:28</t>
  </si>
  <si>
    <t>04-21_10-01-28_multihead_1heads_run0_spsa_serial_f5_w5_h5_effsu2_lin_r1.pkl</t>
  </si>
  <si>
    <t>04-21_10-01-28_multihead_1heads_run1_spsa_serial_f5_w5_h5_effsu2_lin_r1.pkl</t>
  </si>
  <si>
    <t>21/04/2026 10:02:09</t>
  </si>
  <si>
    <t>04-21_10-02-09_multihead_1heads_run3_spsa_serial_f5_w5_h5_effsu2_lin_r1.pkl</t>
  </si>
  <si>
    <t>21/04/2026 14:13:05</t>
  </si>
  <si>
    <t>04-21_14-13-05_multihead_1heads_run0_spsa_serial_f5_w5_h5_effsu2_lin_r1.pkl</t>
  </si>
  <si>
    <t>04-21_14-13-05_multihead_1heads_run1_spsa_serial_f5_w5_h5_effsu2_lin_r1.pkl</t>
  </si>
  <si>
    <t>21/04/2026 14:13:10</t>
  </si>
  <si>
    <t>04-21_14-13-10_multihead_1heads_run0_spsa_serial_f5_w5_h5_effsu2_lin_r1.pkl</t>
  </si>
  <si>
    <t>21/04/2026 15:21:47</t>
  </si>
  <si>
    <t>04-21_15-21-47_multihead_1heads_run0_spsa_serial_f5_w5_h5_effsu2_lin_r1.pkl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</si>
</sst>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6.645966666663" createdVersion="8" refreshedVersion="8" minRefreshableVersion="3" recordCount="120" xr:uid="{7929E385-F89A-409C-8FF7-90394B432FAC}">
  <cacheSource type="worksheet">
    <worksheetSource name="Tabla1"/>
  </cacheSource>
  <cacheFields count="77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 count="2">
        <s v="['Surge Velocity', 'Sway Velocity', 'Yaw Rate', 'Yaw Angle']"/>
        <s v="['Surge Velocity']"/>
      </sharedItems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2" count="2">
        <n v="2"/>
        <n v="1"/>
      </sharedItems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12">
        <s v="[0, 2, -1, 1, 2, -1]"/>
        <s v="[2, -1, 0, 2, -1, 1]"/>
        <s v="[-1, 2, 0, -1, 2, 1]"/>
        <s v="[2, 0, -1, 2, 1, -1]"/>
        <s v="[0, -1, 2, 1, -1, 2]"/>
        <s v="[-1, 0, 2, -1, 1, 2]"/>
        <s v="[1, -1, 3, 0, 2, -1]"/>
        <s v="[3, 1, -1, 0, 2, -1]"/>
        <s v="[3, -1, 1, 0, 2, -1]"/>
        <s v="[-1, 1, 3, 0, 2, -1]"/>
        <s v="[-1, 3, 1, 0, 2, -1]"/>
        <s v="[1, 3, -1, 0, 2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50" maxValue="160"/>
    </cacheField>
    <cacheField name="q params" numFmtId="0">
      <sharedItems containsSemiMixedTypes="0" containsString="0" containsNumber="1" containsInteger="1" minValue="20" maxValue="40"/>
    </cacheField>
    <cacheField name="c params" numFmtId="0">
      <sharedItems containsSemiMixedTypes="0" containsString="0" containsNumber="1" containsInteger="1" minValue="30" maxValue="120"/>
    </cacheField>
    <cacheField name="final val loss" numFmtId="0">
      <sharedItems containsSemiMixedTypes="0" containsString="0" containsNumber="1" minValue="2.24642650873744E-2" maxValue="0.30260835815534037"/>
    </cacheField>
    <cacheField name="Val Global Open MSE" numFmtId="0">
      <sharedItems containsSemiMixedTypes="0" containsString="0" containsNumber="1" minValue="2.0593836758858999E-3" maxValue="85.119060001332912"/>
    </cacheField>
    <cacheField name="Val Global Open R2" numFmtId="0">
      <sharedItems containsSemiMixedTypes="0" containsString="0" containsNumber="1" minValue="-2.2648414384625198E-2" maxValue="0.97223050948813716"/>
    </cacheField>
    <cacheField name="Val Global Closed R2" numFmtId="0">
      <sharedItems containsSemiMixedTypes="0" containsString="0" containsNumber="1" minValue="-10.57829376760848" maxValue="0.53275317866106875"/>
    </cacheField>
    <cacheField name="step MSE" numFmtId="0">
      <sharedItems containsSemiMixedTypes="0" containsString="0" containsNumber="1" minValue="3.2702830315038001E-3" maxValue="89.208945626842407"/>
    </cacheField>
    <cacheField name="step R2" numFmtId="0">
      <sharedItems containsSemiMixedTypes="0" containsString="0" containsNumber="1" minValue="-1.75451461636934E-2" maxValue="0.97625351685092243"/>
    </cacheField>
    <cacheField name="local MSE" numFmtId="0">
      <sharedItems containsSemiMixedTypes="0" containsString="0" containsNumber="1" minValue="3.2702830315038001E-3" maxValue="89.208945626842407"/>
    </cacheField>
    <cacheField name="global open MSE" numFmtId="0">
      <sharedItems containsSemiMixedTypes="0" containsString="0" containsNumber="1" minValue="3.2702830315038001E-3" maxValue="89.208945626842407"/>
    </cacheField>
    <cacheField name="global open R2" numFmtId="0">
      <sharedItems containsSemiMixedTypes="0" containsString="0" containsNumber="1" minValue="-1.75451461636934E-2" maxValue="0.97625351685092243"/>
    </cacheField>
    <cacheField name="global closed MSE" numFmtId="0">
      <sharedItems containsSemiMixedTypes="0" containsString="0" containsNumber="1" minValue="0.1380846134446852" maxValue="172.67561774314771"/>
    </cacheField>
    <cacheField name="global closed R2" numFmtId="0">
      <sharedItems containsSemiMixedTypes="0" containsString="0" containsNumber="1" minValue="-5.4110972600397194" maxValue="0.50586561434065525"/>
    </cacheField>
    <cacheField name="recursivity" numFmtId="0">
      <sharedItems containsSemiMixedTypes="0" containsString="0" containsNumber="1" minValue="0.2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2702830315038001E-3" maxValue="0.1520138856366936"/>
    </cacheField>
    <cacheField name="Surge Velocity Step R2" numFmtId="0">
      <sharedItems containsSemiMixedTypes="0" containsString="0" containsNumber="1" minValue="-0.1038173573733798" maxValue="0.97625351685092243"/>
    </cacheField>
    <cacheField name="Surge Velocity Local MSE" numFmtId="0">
      <sharedItems containsSemiMixedTypes="0" containsString="0" containsNumber="1" minValue="3.2702830315038001E-3" maxValue="0.1520138856366936"/>
    </cacheField>
    <cacheField name="Surge Velocity Global open MSE" numFmtId="0">
      <sharedItems containsSemiMixedTypes="0" containsString="0" containsNumber="1" minValue="3.2702830315038001E-3" maxValue="0.1520138856366936"/>
    </cacheField>
    <cacheField name="Surge Velocity Global open R2" numFmtId="0">
      <sharedItems containsSemiMixedTypes="0" containsString="0" containsNumber="1" minValue="-0.1038173573733798" maxValue="0.97625351685092243"/>
    </cacheField>
    <cacheField name="Surge Velocity Global closed MSE" numFmtId="0">
      <sharedItems containsSemiMixedTypes="0" containsString="0" containsNumber="1" minValue="2.0596024234629098E-2" maxValue="0.88291400672705245"/>
    </cacheField>
    <cacheField name="Surge Velocity Global closed R2" numFmtId="0">
      <sharedItems containsSemiMixedTypes="0" containsString="0" containsNumber="1" minValue="-5.4110972600397194" maxValue="0.85044623425125632"/>
    </cacheField>
    <cacheField name="Sway Velocity Step MSE" numFmtId="0">
      <sharedItems containsString="0" containsBlank="1" containsNumber="1" minValue="5.5543358729165403E-2" maxValue="0.2891578462868496"/>
    </cacheField>
    <cacheField name="Sway Velocity Step R2" numFmtId="0">
      <sharedItems containsString="0" containsBlank="1" containsNumber="1" minValue="-1.8701784696772E-3" maxValue="0.80755412506568724"/>
    </cacheField>
    <cacheField name="Sway Velocity Local MSE" numFmtId="0">
      <sharedItems containsString="0" containsBlank="1" containsNumber="1" minValue="5.5543358729165403E-2" maxValue="0.2891578462868496"/>
    </cacheField>
    <cacheField name="Sway Velocity Global open MSE" numFmtId="0">
      <sharedItems containsString="0" containsBlank="1" containsNumber="1" minValue="5.5543358729165403E-2" maxValue="0.2891578462868496"/>
    </cacheField>
    <cacheField name="Sway Velocity Global open R2" numFmtId="0">
      <sharedItems containsString="0" containsBlank="1" containsNumber="1" minValue="-1.8701784696772E-3" maxValue="0.80755412506568724"/>
    </cacheField>
    <cacheField name="Sway Velocity Global closed MSE" numFmtId="0">
      <sharedItems containsString="0" containsBlank="1" containsNumber="1" minValue="6.6406139241946993E-2" maxValue="0.61859004168021292"/>
    </cacheField>
    <cacheField name="Sway Velocity Global closed R2" numFmtId="0">
      <sharedItems containsString="0" containsBlank="1" containsNumber="1" minValue="-1.143282374716958" maxValue="0.76991691068340395"/>
    </cacheField>
    <cacheField name="Yaw Rate Step MSE" numFmtId="0">
      <sharedItems containsString="0" containsBlank="1" containsNumber="1" minValue="2.7547025458311E-2" maxValue="0.24514329162309009"/>
    </cacheField>
    <cacheField name="Yaw Rate Step R2" numFmtId="0">
      <sharedItems containsString="0" containsBlank="1" containsNumber="1" minValue="1.58272234233926E-2" maxValue="0.88940740596150625"/>
    </cacheField>
    <cacheField name="Yaw Rate Local MSE" numFmtId="0">
      <sharedItems containsString="0" containsBlank="1" containsNumber="1" minValue="2.7547025458311E-2" maxValue="0.24514329162309009"/>
    </cacheField>
    <cacheField name="Yaw Rate Global open MSE" numFmtId="0">
      <sharedItems containsString="0" containsBlank="1" containsNumber="1" minValue="2.7547025458311E-2" maxValue="0.24514329162309009"/>
    </cacheField>
    <cacheField name="Yaw Rate Global open R2" numFmtId="0">
      <sharedItems containsString="0" containsBlank="1" containsNumber="1" minValue="1.58272234233926E-2" maxValue="0.88940740596150625"/>
    </cacheField>
    <cacheField name="Yaw Rate Global closed MSE" numFmtId="0">
      <sharedItems containsString="0" containsBlank="1" containsNumber="1" minValue="4.4338824407123702E-2" maxValue="0.76778596140385347"/>
    </cacheField>
    <cacheField name="Yaw Rate Global closed R2" numFmtId="0">
      <sharedItems containsString="0" containsBlank="1" containsNumber="1" minValue="-2.0824177828743702" maxValue="0.82199364446001644"/>
    </cacheField>
    <cacheField name="Yaw Angle Step MSE" numFmtId="0">
      <sharedItems containsString="0" containsBlank="1" containsNumber="1" minValue="46.148911740717118" maxValue="356.19718579967753"/>
    </cacheField>
    <cacheField name="Yaw Angle Step R2" numFmtId="0">
      <sharedItems containsString="0" containsBlank="1" containsNumber="1" minValue="-1.3799981096621601E-2" maxValue="0.86865206207249313"/>
    </cacheField>
    <cacheField name="Yaw Angle Local MSE" numFmtId="0">
      <sharedItems containsString="0" containsBlank="1" containsNumber="1" minValue="46.148911740717118" maxValue="356.19718579967753"/>
    </cacheField>
    <cacheField name="Yaw Angle Global open MSE" numFmtId="0">
      <sharedItems containsString="0" containsBlank="1" containsNumber="1" minValue="46.148911740717118" maxValue="356.19718579967753"/>
    </cacheField>
    <cacheField name="Yaw Angle Global open R2" numFmtId="0">
      <sharedItems containsString="0" containsBlank="1" containsNumber="1" minValue="-1.3799981096621601E-2" maxValue="0.86865206207249313"/>
    </cacheField>
    <cacheField name="Yaw Angle Global closed MSE" numFmtId="0">
      <sharedItems containsString="0" containsBlank="1" containsNumber="1" minValue="343.83708421665062" maxValue="690.22885512939479"/>
    </cacheField>
    <cacheField name="Yaw Angle Global closed R2" numFmtId="0">
      <sharedItems containsString="0" containsBlank="1" containsNumber="1" minValue="-0.96451299499053122" maxValue="2.1379046842897698E-2"/>
    </cacheField>
    <cacheField name="empty_position" numFmtId="0">
      <sharedItems containsMixedTypes="1" containsNumber="1" containsInteger="1" minValue="1" maxValue="3" count="6">
        <s v="lambda"/>
        <s v="phi"/>
        <s v="theta"/>
        <n v="3" u="1"/>
        <n v="2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01/04/2026 17:05:54"/>
    <s v="04-01_17-05-54_multihead_2heads_run0_spsa_serial_f5_w5_h5_effsu2_lin_r1.pkl"/>
    <x v="0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9724445744306903E-2"/>
    <n v="8.7628685331425853"/>
    <n v="0.8252851321428154"/>
    <n v="0.42427251914803599"/>
    <n v="12.531717538667589"/>
    <n v="0.75879878804231926"/>
    <n v="12.531717538667589"/>
    <n v="12.531717538667589"/>
    <n v="0.75879878804231926"/>
    <n v="87.259987468958542"/>
    <n v="0.23435339340377659"/>
    <n v="0.8"/>
    <s v="identity"/>
    <n v="3.9657504291359502E-2"/>
    <n v="0.71203524333605039"/>
    <n v="3.9657504291359502E-2"/>
    <n v="3.9657504291359502E-2"/>
    <n v="0.71203524333605039"/>
    <n v="9.4009217837267595E-2"/>
    <n v="0.31737152848079658"/>
    <n v="0.10194120128402211"/>
    <n v="0.64679551035761951"/>
    <n v="0.10194120128402211"/>
    <n v="0.10194120128402211"/>
    <n v="0.64679551035761951"/>
    <n v="0.14120913344848959"/>
    <n v="0.51074051233165241"/>
    <n v="4.5208388078655203E-2"/>
    <n v="0.81850262136346319"/>
    <n v="4.5208388078655203E-2"/>
    <n v="4.5208388078655203E-2"/>
    <n v="0.81850262136346319"/>
    <n v="0.223822303177559"/>
    <n v="0.10142424816294129"/>
    <n v="49.94006306101614"/>
    <n v="0.85786177711214218"/>
    <n v="49.94006306101614"/>
    <n v="49.94006306101614"/>
    <n v="0.85786177711214218"/>
    <n v="348.58090922137183"/>
    <n v="7.8772846397098008E-3"/>
    <x v="0"/>
  </r>
  <r>
    <s v="01/04/2026 17:06:24"/>
    <s v="04-01_17-06-24_multihead_2heads_run1_spsa_serial_f5_w5_h5_effsu2_lin_r1.pkl"/>
    <x v="1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8874706767310102E-2"/>
    <n v="23.325459583224589"/>
    <n v="0.80748748034675877"/>
    <n v="-1.1614794707571799E-2"/>
    <n v="29.532545427947049"/>
    <n v="0.75192849535791129"/>
    <n v="29.532545427947049"/>
    <n v="29.532545427947049"/>
    <n v="0.75192849535791129"/>
    <n v="112.48209473206001"/>
    <n v="0.11396634787771839"/>
    <n v="0.8"/>
    <s v="identity"/>
    <n v="2.7144374058481201E-2"/>
    <n v="0.80289674778528997"/>
    <n v="2.7144374058481201E-2"/>
    <n v="2.7144374058481201E-2"/>
    <n v="0.80289674778528997"/>
    <n v="5.3257060290745499E-2"/>
    <n v="0.61328488311849605"/>
    <n v="8.6555651495769798E-2"/>
    <n v="0.70010315429725245"/>
    <n v="8.6555651495769798E-2"/>
    <n v="8.6555651495769798E-2"/>
    <n v="0.70010315429725245"/>
    <n v="0.16430237239289749"/>
    <n v="0.43072737168968939"/>
    <n v="3.97299763518719E-2"/>
    <n v="0.84049671161443351"/>
    <n v="3.97299763518719E-2"/>
    <n v="3.97299763518719E-2"/>
    <n v="0.84049671161443351"/>
    <n v="0.32608264642801121"/>
    <n v="-0.30911868484626431"/>
    <n v="117.9767517098819"/>
    <n v="0.66421736773466833"/>
    <n v="117.9767517098819"/>
    <n v="117.9767517098819"/>
    <n v="0.66421736773466833"/>
    <n v="449.38473684912941"/>
    <n v="-0.27902817845106642"/>
    <x v="0"/>
  </r>
  <r>
    <s v="01/04/2026 17:06:53"/>
    <s v="04-01_17-06-53_multihead_2heads_run2_spsa_serial_f5_w5_h5_effsu2_lin_r1.pkl"/>
    <x v="2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1690504822555002E-2"/>
    <n v="25.538430422190959"/>
    <n v="0.77180788327745597"/>
    <n v="7.7096067909118896E-2"/>
    <n v="28.957008836572019"/>
    <n v="0.72524586795107981"/>
    <n v="28.957008836572019"/>
    <n v="28.957008836572019"/>
    <n v="0.72524586795107981"/>
    <n v="112.2161980150141"/>
    <n v="9.8575577376354001E-3"/>
    <n v="0.8"/>
    <s v="identity"/>
    <n v="3.43297454369937E-2"/>
    <n v="0.75072166119003281"/>
    <n v="3.43297454369937E-2"/>
    <n v="3.43297454369937E-2"/>
    <n v="0.75072166119003281"/>
    <n v="6.5657383394779695E-2"/>
    <n v="0.52324250427960461"/>
    <n v="0.1004459236073393"/>
    <n v="0.65197632814291273"/>
    <n v="0.1004459236073393"/>
    <n v="0.1004459236073393"/>
    <n v="0.65197632814291273"/>
    <n v="0.15295023374277261"/>
    <n v="0.47006010749977201"/>
    <n v="4.2980580640090499E-2"/>
    <n v="0.82744656356956392"/>
    <n v="4.2980580640090499E-2"/>
    <n v="4.2980580640090499E-2"/>
    <n v="0.82744656356956392"/>
    <n v="0.41799954350063551"/>
    <n v="-0.67813595310321984"/>
    <n v="115.650279096604"/>
    <n v="0.67083891890180603"/>
    <n v="115.650279096604"/>
    <n v="115.650279096604"/>
    <n v="0.67083891890180603"/>
    <n v="448.22818489941761"/>
    <n v="-0.2757364277256284"/>
    <x v="0"/>
  </r>
  <r>
    <s v="01/04/2026 17:07:23"/>
    <s v="04-01_17-07-23_multihead_2heads_run3_spsa_serial_f5_w5_h5_effsu2_lin_r1.pkl"/>
    <x v="3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014471225624983"/>
    <n v="8.4127950873907871"/>
    <n v="0.80948319838006255"/>
    <n v="7.8286663395255501E-2"/>
    <n v="11.586251330354649"/>
    <n v="0.74623264049406324"/>
    <n v="11.586251330354649"/>
    <n v="11.586251330354649"/>
    <n v="0.74623264049406324"/>
    <n v="142.09887506572571"/>
    <n v="4.6875074022020402E-2"/>
    <n v="0.8"/>
    <s v="identity"/>
    <n v="4.6871129797830903E-2"/>
    <n v="0.65965499524039539"/>
    <n v="4.6871129797830903E-2"/>
    <n v="4.6871129797830903E-2"/>
    <n v="0.65965499524039539"/>
    <n v="8.1329860048707694E-2"/>
    <n v="0.4094400599096219"/>
    <n v="0.1012997294433271"/>
    <n v="0.64901807327878203"/>
    <n v="0.1012997294433271"/>
    <n v="0.1012997294433271"/>
    <n v="0.64901807327878203"/>
    <n v="0.1748807393739302"/>
    <n v="0.39407558944930199"/>
    <n v="4.7922721460398998E-2"/>
    <n v="0.80760543138458085"/>
    <n v="4.7922721460398998E-2"/>
    <n v="4.7922721460398998E-2"/>
    <n v="0.80760543138458085"/>
    <n v="0.2490107782452145"/>
    <n v="3.0048792894860001E-4"/>
    <n v="46.148911740717118"/>
    <n v="0.86865206207249313"/>
    <n v="46.148911740717118"/>
    <n v="46.148911740717118"/>
    <n v="0.86865206207249313"/>
    <n v="567.89027888523412"/>
    <n v="-0.61631584119979532"/>
    <x v="0"/>
  </r>
  <r>
    <s v="01/04/2026 17:07:54"/>
    <s v="04-01_17-07-54_multihead_2heads_run4_spsa_serial_f5_w5_h5_effsu2_lin_r1.pkl"/>
    <x v="4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2884732204157605E-2"/>
    <n v="6.957304115482116"/>
    <n v="0.79165671172393304"/>
    <n v="5.9787591698561203E-2"/>
    <n v="12.47543912042725"/>
    <n v="0.71791490548861703"/>
    <n v="12.47543912042725"/>
    <n v="12.47543912042725"/>
    <n v="0.71791490548861703"/>
    <n v="118.4614023685895"/>
    <n v="-0.1722378118908825"/>
    <n v="0.8"/>
    <s v="identity"/>
    <n v="6.4657857867557705E-2"/>
    <n v="0.53050035195229861"/>
    <n v="6.4657857867557705E-2"/>
    <n v="6.4657857867557705E-2"/>
    <n v="0.53050035195229861"/>
    <n v="0.10343692930340551"/>
    <n v="0.2489141535966222"/>
    <n v="0.1030046783689155"/>
    <n v="0.64311078939803834"/>
    <n v="0.1030046783689155"/>
    <n v="0.1030046783689155"/>
    <n v="0.64311078939803834"/>
    <n v="0.2414279639047921"/>
    <n v="0.163503669739896"/>
    <n v="3.9981559583805101E-2"/>
    <n v="0.83948668451447706"/>
    <n v="3.9981559583805101E-2"/>
    <n v="3.9981559583805101E-2"/>
    <n v="0.83948668451447706"/>
    <n v="0.4371319809803631"/>
    <n v="-0.75494663795790728"/>
    <n v="49.694112385888708"/>
    <n v="0.85856179608965066"/>
    <n v="49.694112385888708"/>
    <n v="49.694112385888708"/>
    <n v="0.85856179608965066"/>
    <n v="473.06361260016882"/>
    <n v="-0.34642243294215519"/>
    <x v="0"/>
  </r>
  <r>
    <s v="01/04/2026 17:08:23"/>
    <s v="04-01_17-08-23_multihead_2heads_run5_spsa_serial_f5_w5_h5_effsu2_lin_r1.pkl"/>
    <x v="5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2345978059393805E-2"/>
    <n v="21.81243016980774"/>
    <n v="0.80311518394507297"/>
    <n v="0.18257283013443809"/>
    <n v="27.27638910615293"/>
    <n v="0.76122091199804354"/>
    <n v="27.27638910615293"/>
    <n v="27.27638910615293"/>
    <n v="0.76122091199804354"/>
    <n v="100.4440838589661"/>
    <n v="0.1437588295621208"/>
    <n v="0.8"/>
    <s v="identity"/>
    <n v="2.7631753343453101E-2"/>
    <n v="0.79935774401518755"/>
    <n v="2.7631753343453101E-2"/>
    <n v="2.7631753343453101E-2"/>
    <n v="0.79935774401518755"/>
    <n v="6.9022590692812594E-2"/>
    <n v="0.49880674822238519"/>
    <n v="7.5580744591611501E-2"/>
    <n v="0.73812886267747579"/>
    <n v="7.5580744591611501E-2"/>
    <n v="7.5580744591611501E-2"/>
    <n v="0.73812886267747579"/>
    <n v="0.15846164583987349"/>
    <n v="0.4509642417217955"/>
    <n v="4.5456245922189102E-2"/>
    <n v="0.81750755051958257"/>
    <n v="4.5456245922189102E-2"/>
    <n v="4.5456245922189102E-2"/>
    <n v="0.81750755051958257"/>
    <n v="0.30705551997008018"/>
    <n v="-0.2327307904340136"/>
    <n v="108.95688768075409"/>
    <n v="0.68988949077992612"/>
    <n v="108.95688768075409"/>
    <n v="108.95688768075409"/>
    <n v="0.68988949077992612"/>
    <n v="401.24179567936318"/>
    <n v="-0.1420048812617016"/>
    <x v="0"/>
  </r>
  <r>
    <s v="01/04/2026 17:08:54"/>
    <s v="04-01_17-08-54_multihead_2heads_run6_spsa_serial_f5_w5_h5_effsu2_lin_r1.pkl"/>
    <x v="6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2399032514290302E-2"/>
    <n v="8.3144352311538157"/>
    <n v="0.83628586788874049"/>
    <n v="0.26555712407623799"/>
    <n v="12.91605655047525"/>
    <n v="0.76201996737095212"/>
    <n v="12.91605655047525"/>
    <n v="12.91605655047525"/>
    <n v="0.76201996737095212"/>
    <n v="112.54059895530089"/>
    <n v="0.23860059128462779"/>
    <n v="0.8"/>
    <s v="identity"/>
    <n v="3.9469194589839898E-2"/>
    <n v="0.71340261524571813"/>
    <n v="3.9469194589839898E-2"/>
    <n v="3.9469194589839898E-2"/>
    <n v="0.71340261524571813"/>
    <n v="5.41866470025563E-2"/>
    <n v="0.60653488167367575"/>
    <n v="0.113131599261444"/>
    <n v="0.60802317143355489"/>
    <n v="0.113131599261444"/>
    <n v="0.113131599261444"/>
    <n v="0.60802317143355489"/>
    <n v="0.25561781195128569"/>
    <n v="0.1143388769550748"/>
    <n v="3.1590200287113998E-2"/>
    <n v="0.87317533788776214"/>
    <n v="3.1590200287113998E-2"/>
    <n v="3.1590200287113998E-2"/>
    <n v="0.87317533788776214"/>
    <n v="0.1211693185424995"/>
    <n v="0.51354351213812777"/>
    <n v="51.48003520776254"/>
    <n v="0.85347874491677045"/>
    <n v="51.48003520776254"/>
    <n v="51.48003520776254"/>
    <n v="0.85347874491677045"/>
    <n v="449.73142204370799"/>
    <n v="-0.28001490562837761"/>
    <x v="0"/>
  </r>
  <r>
    <s v="01/04/2026 17:09:23"/>
    <s v="04-01_17-09-23_multihead_2heads_run7_spsa_serial_f5_w5_h5_effsu2_lin_r1.pkl"/>
    <x v="7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1463554088295707E-2"/>
    <n v="16.590054390352421"/>
    <n v="0.8299833960396451"/>
    <n v="-0.15097403955881489"/>
    <n v="22.336163204536341"/>
    <n v="0.76615036794527724"/>
    <n v="22.336163204536341"/>
    <n v="22.336163204536341"/>
    <n v="0.76615036794527724"/>
    <n v="131.9766111654437"/>
    <n v="-5.2526202297977199E-2"/>
    <n v="0.8"/>
    <s v="identity"/>
    <n v="2.5845914189720098E-2"/>
    <n v="0.81232524528726602"/>
    <n v="2.5845914189720098E-2"/>
    <n v="2.5845914189720098E-2"/>
    <n v="0.81232524528726602"/>
    <n v="5.5427816397302397E-2"/>
    <n v="0.59752238708725591"/>
    <n v="8.5918961420028001E-2"/>
    <n v="0.70230914942415101"/>
    <n v="8.5918961420028001E-2"/>
    <n v="8.5918961420028001E-2"/>
    <n v="0.70230914942415101"/>
    <n v="0.1173097980452239"/>
    <n v="0.5935466050358551"/>
    <n v="4.8870472156110997E-2"/>
    <n v="0.80380051211664749"/>
    <n v="4.8870472156110997E-2"/>
    <n v="4.8870472156110997E-2"/>
    <n v="0.80380051211664749"/>
    <n v="0.47338672915457058"/>
    <n v="-0.90049798443144313"/>
    <n v="89.184017470379629"/>
    <n v="0.74616656495304201"/>
    <n v="89.184017470379629"/>
    <n v="89.184017470379629"/>
    <n v="0.74616656495304201"/>
    <n v="527.26032031817897"/>
    <n v="-0.5006758168835943"/>
    <x v="0"/>
  </r>
  <r>
    <s v="01/04/2026 17:09:54"/>
    <s v="04-01_17-09-54_multihead_2heads_run8_spsa_serial_f5_w5_h5_effsu2_lin_r1.pkl"/>
    <x v="8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9919329460487002E-2"/>
    <n v="10.14387265147362"/>
    <n v="0.85293349153274067"/>
    <n v="0.26703648513866463"/>
    <n v="13.7293534366678"/>
    <n v="0.80625569477521664"/>
    <n v="13.7293534366678"/>
    <n v="13.7293534366678"/>
    <n v="0.80625569477521664"/>
    <n v="139.7231259947996"/>
    <n v="0.12921928959105769"/>
    <n v="0.8"/>
    <s v="identity"/>
    <n v="3.0548518300934899E-2"/>
    <n v="0.77817825916772132"/>
    <n v="3.0548518300934899E-2"/>
    <n v="3.0548518300934899E-2"/>
    <n v="0.77817825916772132"/>
    <n v="6.4567910027136896E-2"/>
    <n v="0.53115348957258179"/>
    <n v="7.0770742989352098E-2"/>
    <n v="0.75479449089949036"/>
    <n v="7.0770742989352098E-2"/>
    <n v="7.0770742989352098E-2"/>
    <n v="0.75479449089949036"/>
    <n v="0.24847010132936351"/>
    <n v="0.1391041676376277"/>
    <n v="3.7871350041848002E-2"/>
    <n v="0.84795850836213726"/>
    <n v="3.7871350041848002E-2"/>
    <n v="3.7871350041848002E-2"/>
    <n v="0.84795850836213726"/>
    <n v="0.14047549768684969"/>
    <n v="0.43603530945480018"/>
    <n v="54.778223135339061"/>
    <n v="0.84409152067151583"/>
    <n v="54.778223135339061"/>
    <n v="54.778223135339061"/>
    <n v="0.84409152067151583"/>
    <n v="558.43899047015452"/>
    <n v="-0.58941580830078433"/>
    <x v="0"/>
  </r>
  <r>
    <s v="01/04/2026 17:10:24"/>
    <s v="04-01_17-10-24_multihead_2heads_run9_spsa_serial_f5_w5_h5_effsu2_lin_r1.pkl"/>
    <x v="9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9010842498737197E-2"/>
    <n v="18.38847509806655"/>
    <n v="0.82413372191115042"/>
    <n v="0.22476997083885"/>
    <n v="24.687915158015969"/>
    <n v="0.75917956290448241"/>
    <n v="24.687915158015969"/>
    <n v="24.687915158015969"/>
    <n v="0.75917956290448241"/>
    <n v="110.73484195198471"/>
    <n v="5.5393157173853902E-2"/>
    <n v="0.8"/>
    <s v="identity"/>
    <n v="3.86184496695966E-2"/>
    <n v="0.71958012334459132"/>
    <n v="3.86184496695966E-2"/>
    <n v="3.86184496695966E-2"/>
    <n v="0.71958012334459132"/>
    <n v="6.2226225422953099E-2"/>
    <n v="0.54815714750005273"/>
    <n v="7.6590428886517001E-2"/>
    <n v="0.73463052224603009"/>
    <n v="7.6590428886517001E-2"/>
    <n v="7.6590428886517001E-2"/>
    <n v="0.73463052224603009"/>
    <n v="0.15488212238828319"/>
    <n v="0.46336652595973937"/>
    <n v="3.40880367015403E-2"/>
    <n v="0.86314731475425654"/>
    <n v="3.40880367015403E-2"/>
    <n v="3.40880367015403E-2"/>
    <n v="0.86314731475425654"/>
    <n v="0.38134282435475669"/>
    <n v="-0.53097082032260756"/>
    <n v="98.602363716806238"/>
    <n v="0.71936029127305112"/>
    <n v="98.602363716806238"/>
    <n v="98.602363716806238"/>
    <n v="0.71936029127305112"/>
    <n v="442.34091663577311"/>
    <n v="-0.25898022444178181"/>
    <x v="0"/>
  </r>
  <r>
    <s v="01/04/2026 18:25:00"/>
    <s v="04-01_18-25-00_multihead_2heads_run0_spsa_serial_f5_w5_h5_effsu2_lin_r1.pkl"/>
    <x v="0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52806720069511"/>
    <n v="27.2369683869033"/>
    <n v="0.70229024032293008"/>
    <n v="0.35963921825457518"/>
    <n v="45.483007745920489"/>
    <n v="0.65807205124985013"/>
    <n v="45.483007745920489"/>
    <n v="45.483007745920489"/>
    <n v="0.65807205124985013"/>
    <n v="118.9792829624747"/>
    <n v="0.38251815588434851"/>
    <n v="0.8"/>
    <s v="identity"/>
    <n v="4.9502282018727001E-2"/>
    <n v="0.64054942814596727"/>
    <n v="4.9502282018727001E-2"/>
    <n v="4.9502282018727001E-2"/>
    <n v="0.64054942814596727"/>
    <n v="4.5009141470317697E-2"/>
    <n v="0.67317543797184309"/>
    <n v="7.7991501953418793E-2"/>
    <n v="0.7297761033132184"/>
    <n v="7.7991501953418793E-2"/>
    <n v="7.7991501953418793E-2"/>
    <n v="0.7297761033132184"/>
    <n v="0.1214511241554912"/>
    <n v="0.57919779457653719"/>
    <n v="5.4984670728065399E-2"/>
    <n v="0.7792539387829055"/>
    <n v="5.4984670728065399E-2"/>
    <n v="5.4984670728065399E-2"/>
    <n v="0.7792539387829055"/>
    <n v="9.1785953574623394E-2"/>
    <n v="0.63150842846984001"/>
    <n v="181.74955252898181"/>
    <n v="0.48270873475730869"/>
    <n v="181.74955252898181"/>
    <n v="181.74955252898181"/>
    <n v="0.48270873475730869"/>
    <n v="475.65888563069961"/>
    <n v="-0.35380903748083448"/>
    <x v="1"/>
  </r>
  <r>
    <s v="01/04/2026 18:25:42"/>
    <s v="04-01_18-25-42_multihead_2heads_run1_spsa_serial_f5_w5_h5_effsu2_lin_r1.pkl"/>
    <x v="1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9.4634257205366099E-2"/>
    <n v="33.681464154114607"/>
    <n v="0.72201819555335367"/>
    <n v="0.34855789728952441"/>
    <n v="48.695080760453457"/>
    <n v="0.677068806498895"/>
    <n v="48.695080760453457"/>
    <n v="48.695080760453457"/>
    <n v="0.677068806498895"/>
    <n v="141.72892744668189"/>
    <n v="0.36220949109720391"/>
    <n v="0.8"/>
    <s v="identity"/>
    <n v="4.6107854787033303E-2"/>
    <n v="0.66519735870172636"/>
    <n v="4.6107854787033303E-2"/>
    <n v="4.6107854787033303E-2"/>
    <n v="0.66519735870172636"/>
    <n v="4.6395907318696902E-2"/>
    <n v="0.66310572488186947"/>
    <n v="5.5543358729165403E-2"/>
    <n v="0.80755412506568724"/>
    <n v="5.5543358729165403E-2"/>
    <n v="5.5543358729165403E-2"/>
    <n v="0.80755412506568724"/>
    <n v="6.6406139241946993E-2"/>
    <n v="0.76991691068340395"/>
    <n v="5.2441415864623898E-2"/>
    <n v="0.7894643026232655"/>
    <n v="5.2441415864623898E-2"/>
    <n v="5.2441415864623898E-2"/>
    <n v="0.7894643026232655"/>
    <n v="9.2467274140513797E-2"/>
    <n v="0.62877314190078315"/>
    <n v="194.62623041243401"/>
    <n v="0.44605943960489602"/>
    <n v="194.62623041243401"/>
    <n v="194.62623041243401"/>
    <n v="0.44605943960489602"/>
    <n v="566.71044046602367"/>
    <n v="-0.61295781307723352"/>
    <x v="1"/>
  </r>
  <r>
    <s v="01/04/2026 18:26:23"/>
    <s v="04-01_18-26-23_multihead_2heads_run2_spsa_serial_f5_w5_h5_effsu2_lin_r1.pkl"/>
    <x v="2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9.5889453135766106E-2"/>
    <n v="23.513699376078861"/>
    <n v="0.68226041842270113"/>
    <n v="0.36365189241607321"/>
    <n v="46.41497156576024"/>
    <n v="0.61404191993327584"/>
    <n v="46.41497156576024"/>
    <n v="46.41497156576024"/>
    <n v="0.61404191993327584"/>
    <n v="124.9479256039434"/>
    <n v="0.35770925179555901"/>
    <n v="0.8"/>
    <s v="identity"/>
    <n v="7.3405960941207798E-2"/>
    <n v="0.4669778127030581"/>
    <n v="7.3405960941207798E-2"/>
    <n v="7.3405960941207798E-2"/>
    <n v="0.4669778127030581"/>
    <n v="7.6185783546191696E-2"/>
    <n v="0.44679270639551"/>
    <n v="7.0107567671521501E-2"/>
    <n v="0.75709225173345529"/>
    <n v="7.0107567671521501E-2"/>
    <n v="7.0107567671521501E-2"/>
    <n v="0.75709225173345529"/>
    <n v="0.1021345900966304"/>
    <n v="0.64612545942630328"/>
    <n v="5.9795563463836299E-2"/>
    <n v="0.7599397261433215"/>
    <n v="5.9795563463836299E-2"/>
    <n v="5.9795563463836299E-2"/>
    <n v="0.7599397261433215"/>
    <n v="5.9846242619820703E-2"/>
    <n v="0.75973626536195793"/>
    <n v="185.4565771709637"/>
    <n v="0.47215788915326867"/>
    <n v="185.4565771709637"/>
    <n v="185.4565771709637"/>
    <n v="0.47215788915326867"/>
    <n v="499.55353579951361"/>
    <n v="-0.42181742400154532"/>
    <x v="1"/>
  </r>
  <r>
    <s v="01/04/2026 18:27:14"/>
    <s v="04-01_18-27-14_multihead_2heads_run3_spsa_serial_f5_w5_h5_effsu2_lin_r1.pkl"/>
    <x v="3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242070095722121"/>
    <n v="20.420297296144671"/>
    <n v="0.79359245587617189"/>
    <n v="0.41267792510298018"/>
    <n v="37.590194965550438"/>
    <n v="0.73073573722672291"/>
    <n v="37.590194965550438"/>
    <n v="37.590194965550438"/>
    <n v="0.73073573722672291"/>
    <n v="138.81504256345701"/>
    <n v="0.41268662503553488"/>
    <n v="0.8"/>
    <s v="identity"/>
    <n v="2.9551103378907598E-2"/>
    <n v="0.78542078111777602"/>
    <n v="2.9551103378907598E-2"/>
    <n v="2.9551103378907598E-2"/>
    <n v="0.78542078111777602"/>
    <n v="2.7178441433587198E-2"/>
    <n v="0.80264937459431684"/>
    <n v="6.6203539123984897E-2"/>
    <n v="0.77061887682040231"/>
    <n v="6.6203539123984897E-2"/>
    <n v="6.6203539123984897E-2"/>
    <n v="0.77061887682040231"/>
    <n v="7.9020762156508398E-2"/>
    <n v="0.72620993654097676"/>
    <n v="5.1202462082490401E-2"/>
    <n v="0.79443831017508992"/>
    <n v="5.1202462082490401E-2"/>
    <n v="5.1202462082490401E-2"/>
    <n v="0.79443831017508992"/>
    <n v="7.4291828974321905E-2"/>
    <n v="0.7017418053151161"/>
    <n v="150.2138227576169"/>
    <n v="0.57246498079362107"/>
    <n v="150.2138227576169"/>
    <n v="150.2138227576169"/>
    <n v="0.57246498079362107"/>
    <n v="555.07967922126477"/>
    <n v="-0.57985461630827539"/>
    <x v="1"/>
  </r>
  <r>
    <s v="01/04/2026 18:27:48"/>
    <s v="04-01_18-27-48_multihead_2heads_run4_spsa_serial_f5_w5_h5_effsu2_lin_r1.pkl"/>
    <x v="4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13953949353302"/>
    <n v="16.92164857618387"/>
    <n v="0.78288112246167596"/>
    <n v="0.32282646722857278"/>
    <n v="31.366528625748561"/>
    <n v="0.73402202997231902"/>
    <n v="31.366528625748561"/>
    <n v="31.366528625748561"/>
    <n v="0.73402202997231902"/>
    <n v="123.7976134483001"/>
    <n v="0.38634200337569491"/>
    <n v="0.8"/>
    <s v="identity"/>
    <n v="3.1869725991964998E-2"/>
    <n v="0.76858458306408095"/>
    <n v="3.1869725991964998E-2"/>
    <n v="3.1869725991964998E-2"/>
    <n v="0.76858458306408095"/>
    <n v="3.0736438480663601E-2"/>
    <n v="0.77681371568989011"/>
    <n v="7.5344244554922002E-2"/>
    <n v="0.73894828479245134"/>
    <n v="7.5344244554922002E-2"/>
    <n v="7.5344244554922002E-2"/>
    <n v="0.73894828479245134"/>
    <n v="0.13384379639260599"/>
    <n v="0.5362598321267904"/>
    <n v="5.3504464640743599E-2"/>
    <n v="0.78519649803149771"/>
    <n v="5.3504464640743599E-2"/>
    <n v="5.3504464640743599E-2"/>
    <n v="0.78519649803149771"/>
    <n v="8.9429004348878599E-2"/>
    <n v="0.64097083410367572"/>
    <n v="125.3053960678066"/>
    <n v="0.64335875400124498"/>
    <n v="125.3053960678066"/>
    <n v="125.3053960678066"/>
    <n v="0.64335875400124498"/>
    <n v="494.9364445539801"/>
    <n v="-0.4086763684175867"/>
    <x v="1"/>
  </r>
  <r>
    <s v="01/04/2026 18:28:43"/>
    <s v="04-01_18-28-43_multihead_2heads_run5_spsa_serial_f5_w5_h5_effsu2_lin_r1.pkl"/>
    <x v="5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1405306589551"/>
    <n v="17.446412105195321"/>
    <n v="0.68318443423349406"/>
    <n v="0.3244139387427068"/>
    <n v="34.046080563219888"/>
    <n v="0.62129618354296845"/>
    <n v="34.046080563219888"/>
    <n v="34.046080563219888"/>
    <n v="0.62129618354296845"/>
    <n v="117.42712693037529"/>
    <n v="0.33315668973963192"/>
    <n v="0.8"/>
    <s v="identity"/>
    <n v="8.6249093074562494E-2"/>
    <n v="0.37372006777758582"/>
    <n v="8.6249093074562494E-2"/>
    <n v="8.6249093074562494E-2"/>
    <n v="0.37372006777758582"/>
    <n v="8.8329918312635605E-2"/>
    <n v="0.35861058612842189"/>
    <n v="7.7367430983816196E-2"/>
    <n v="0.73193837593255884"/>
    <n v="7.7367430983816196E-2"/>
    <n v="7.7367430983816196E-2"/>
    <n v="0.73193837593255884"/>
    <n v="9.6933186113058997E-2"/>
    <n v="0.66414721330305648"/>
    <n v="5.8161578599467703E-2"/>
    <n v="0.76649965854123636"/>
    <n v="5.8161578599467703E-2"/>
    <n v="5.8161578599467703E-2"/>
    <n v="0.76649965854123636"/>
    <n v="8.8185305855896304E-2"/>
    <n v="0.64596389016879752"/>
    <n v="135.96254415022179"/>
    <n v="0.61302663192049223"/>
    <n v="135.96254415022179"/>
    <n v="135.96254415022179"/>
    <n v="0.61302663192049223"/>
    <n v="469.43505931121649"/>
    <n v="-0.3360949306417389"/>
    <x v="1"/>
  </r>
  <r>
    <s v="01/04/2026 18:29:19"/>
    <s v="04-01_18-29-19_multihead_2heads_run6_spsa_serial_f5_w5_h5_effsu2_lin_r1.pkl"/>
    <x v="6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27902376094679"/>
    <n v="32.1243959802623"/>
    <n v="0.76934509328444856"/>
    <n v="0.51999578257050949"/>
    <n v="51.063929043690408"/>
    <n v="0.70684998100410379"/>
    <n v="51.063929043690408"/>
    <n v="51.063929043690408"/>
    <n v="0.70684998100410379"/>
    <n v="107.09701379952379"/>
    <n v="0.50586561434065525"/>
    <n v="0.8"/>
    <s v="identity"/>
    <n v="2.2006811725184299E-2"/>
    <n v="0.84020209298009696"/>
    <n v="2.2006811725184299E-2"/>
    <n v="2.2006811725184299E-2"/>
    <n v="0.84020209298009696"/>
    <n v="2.0596024234629098E-2"/>
    <n v="0.85044623425125632"/>
    <n v="5.6982646181353597E-2"/>
    <n v="0.80256730144976318"/>
    <n v="5.6982646181353597E-2"/>
    <n v="5.6982646181353597E-2"/>
    <n v="0.80256730144976318"/>
    <n v="8.6444264231277101E-2"/>
    <n v="0.70048908737840365"/>
    <n v="5.8388833721244301E-2"/>
    <n v="0.76558730110853135"/>
    <n v="5.8388833721244301E-2"/>
    <n v="5.8388833721244301E-2"/>
    <n v="0.76558730110853135"/>
    <n v="7.6899823817548604E-2"/>
    <n v="0.69127153093329774"/>
    <n v="204.11833788313419"/>
    <n v="0.41904322847802039"/>
    <n v="204.11833788313419"/>
    <n v="204.11833788313419"/>
    <n v="0.41904322847802039"/>
    <n v="428.20411508581111"/>
    <n v="-0.21874439520033909"/>
    <x v="1"/>
  </r>
  <r>
    <s v="01/04/2026 18:30:08"/>
    <s v="04-01_18-30-08_multihead_2heads_run7_spsa_serial_f5_w5_h5_effsu2_lin_r1.pkl"/>
    <x v="7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2535962167826059"/>
    <n v="52.870512513379182"/>
    <n v="0.67703330736874534"/>
    <n v="0.53275317866106875"/>
    <n v="61.407388019909298"/>
    <n v="0.63969430469746369"/>
    <n v="61.407388019909298"/>
    <n v="61.407388019909298"/>
    <n v="0.63969430469746369"/>
    <n v="108.2958820195819"/>
    <n v="0.4853014749644915"/>
    <n v="0.8"/>
    <s v="identity"/>
    <n v="3.8463189218429998E-2"/>
    <n v="0.72070751496538654"/>
    <n v="3.8463189218429998E-2"/>
    <n v="3.8463189218429998E-2"/>
    <n v="0.72070751496538654"/>
    <n v="3.2505040909977898E-2"/>
    <n v="0.76397137532346115"/>
    <n v="7.4235094331061804E-2"/>
    <n v="0.74279125342359198"/>
    <n v="7.4235094331061804E-2"/>
    <n v="7.4235094331061804E-2"/>
    <n v="0.74279125342359198"/>
    <n v="0.1053840261556636"/>
    <n v="0.63486685750284066"/>
    <n v="5.1332413876101601E-2"/>
    <n v="0.79391659482774102"/>
    <n v="5.1332413876101601E-2"/>
    <n v="5.1332413876101601E-2"/>
    <n v="0.79391659482774102"/>
    <n v="5.6110973086520299E-2"/>
    <n v="0.77473219106529045"/>
    <n v="245.46552138221"/>
    <n v="0.30136185557313822"/>
    <n v="245.46552138221"/>
    <n v="245.46552138221"/>
    <n v="0.30136185557313822"/>
    <n v="432.98952803817753"/>
    <n v="-0.232364524033634"/>
    <x v="1"/>
  </r>
  <r>
    <s v="01/04/2026 18:31:11"/>
    <s v="04-01_18-31-11_multihead_2heads_run8_spsa_serial_f5_w5_h5_effsu2_lin_r1.pkl"/>
    <x v="8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14907763072455"/>
    <n v="23.679463579887361"/>
    <n v="0.74265509995515033"/>
    <n v="0.37102097976756682"/>
    <n v="40.86188568126348"/>
    <n v="0.67617164033858068"/>
    <n v="40.86188568126348"/>
    <n v="40.86188568126348"/>
    <n v="0.67617164033858068"/>
    <n v="127.1416865742993"/>
    <n v="0.39804487350218448"/>
    <n v="0.8"/>
    <s v="identity"/>
    <n v="4.3389955109688502E-2"/>
    <n v="0.68493282449083703"/>
    <n v="4.3389955109688502E-2"/>
    <n v="4.3389955109688502E-2"/>
    <n v="0.68493282449083703"/>
    <n v="4.1377787663742102E-2"/>
    <n v="0.69954376179748246"/>
    <n v="7.8815006370732493E-2"/>
    <n v="0.72692283639295563"/>
    <n v="7.8815006370732493E-2"/>
    <n v="7.8815006370732493E-2"/>
    <n v="0.72692283639295563"/>
    <n v="0.1096571394415246"/>
    <n v="0.62006143262746072"/>
    <n v="6.0400351710497902E-2"/>
    <n v="0.7575116926286497"/>
    <n v="6.0400351710497902E-2"/>
    <n v="6.0400351710497902E-2"/>
    <n v="0.7575116926286497"/>
    <n v="6.9889411272272703E-2"/>
    <n v="0.71941611989573839"/>
    <n v="163.26493741186371"/>
    <n v="0.53531920784187648"/>
    <n v="163.26493741186371"/>
    <n v="163.26493741186371"/>
    <n v="0.53531920784187648"/>
    <n v="508.34582195882012"/>
    <n v="-0.44684182031194752"/>
    <x v="1"/>
  </r>
  <r>
    <s v="01/04/2026 18:32:09"/>
    <s v="04-01_18-32-09_multihead_2heads_run9_spsa_serial_f5_w5_h5_effsu2_lin_r1.pkl"/>
    <x v="9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42582708049814"/>
    <n v="45.192661757699049"/>
    <n v="0.69191076593884615"/>
    <n v="0.44503950860771752"/>
    <n v="53.942777932144352"/>
    <n v="0.65631558504486653"/>
    <n v="53.942777932144352"/>
    <n v="53.942777932144352"/>
    <n v="0.65631558504486653"/>
    <n v="126.09286629436779"/>
    <n v="0.4009587518176056"/>
    <n v="0.8"/>
    <s v="identity"/>
    <n v="4.3224450659001802E-2"/>
    <n v="0.68613460079321442"/>
    <n v="4.3224450659001802E-2"/>
    <n v="4.3224450659001802E-2"/>
    <n v="0.68613460079321442"/>
    <n v="5.2106438142463102E-2"/>
    <n v="0.62163988762175437"/>
    <n v="6.1096909186325501E-2"/>
    <n v="0.78831225887010137"/>
    <n v="6.1096909186325501E-2"/>
    <n v="6.1096909186325501E-2"/>
    <n v="0.78831225887010137"/>
    <n v="8.0981665166896102E-2"/>
    <n v="0.71941582642359148"/>
    <n v="5.8666088831118297E-2"/>
    <n v="0.76447420953870659"/>
    <n v="5.8666088831118297E-2"/>
    <n v="5.8666088831118297E-2"/>
    <n v="0.76447420953870659"/>
    <n v="7.5294524521747994E-2"/>
    <n v="0.69771629984671191"/>
    <n v="215.60812427990101"/>
    <n v="0.38634127097744281"/>
    <n v="215.60812427990101"/>
    <n v="215.60812427990101"/>
    <n v="0.38634127097744281"/>
    <n v="504.16308254964071"/>
    <n v="-0.4349370066216367"/>
    <x v="1"/>
  </r>
  <r>
    <s v="01/04/2026 19:37:08"/>
    <s v="04-01_19-37-08_multihead_2heads_run0_spsa_serial_f5_w5_h5_effsu2_lin_r1.pkl"/>
    <x v="0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711689422708229"/>
    <n v="85.119060001332912"/>
    <n v="3.8134128965063303E-2"/>
    <n v="9.8151299876202497E-2"/>
    <n v="88.998564446118522"/>
    <n v="2.9896109975074098E-2"/>
    <n v="88.998564446118522"/>
    <n v="88.998564446118522"/>
    <n v="2.9896109975074098E-2"/>
    <n v="87.138379752076474"/>
    <n v="6.9337224461259894E-2"/>
    <n v="0.8"/>
    <s v="identity"/>
    <n v="0.14880377870839009"/>
    <n v="-8.05078305387434E-2"/>
    <n v="0.14880377870839009"/>
    <n v="0.14880377870839009"/>
    <n v="-8.05078305387434E-2"/>
    <n v="0.14928962465360829"/>
    <n v="-8.4035700279689401E-2"/>
    <n v="0.28817964561846049"/>
    <n v="1.5190779202248999E-3"/>
    <n v="0.28817964561846049"/>
    <n v="0.28817964561846049"/>
    <n v="1.5190779202248999E-3"/>
    <n v="0.2864244843750231"/>
    <n v="7.6003367578677998E-3"/>
    <n v="0.19677968583024169"/>
    <n v="0.2099918031810413"/>
    <n v="0.19677968583024169"/>
    <n v="0.19677968583024169"/>
    <n v="0.2099918031810413"/>
    <n v="0.16336930303019739"/>
    <n v="0.3441239223554981"/>
    <n v="355.36049467431639"/>
    <n v="-1.14186106622358E-2"/>
    <n v="355.36049467431639"/>
    <n v="355.36049467431639"/>
    <n v="-1.14186106622358E-2"/>
    <n v="347.95443559624732"/>
    <n v="9.6603390113573998E-3"/>
    <x v="2"/>
  </r>
  <r>
    <s v="01/04/2026 19:38:06"/>
    <s v="04-01_19-38-06_multihead_2heads_run1_spsa_serial_f5_w5_h5_effsu2_lin_r1.pkl"/>
    <x v="1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588916228270221"/>
    <n v="78.059735450434289"/>
    <n v="0.15183261056401709"/>
    <n v="3.5334944759873498E-2"/>
    <n v="83.136198082334928"/>
    <n v="0.15733592864899049"/>
    <n v="83.136198082334928"/>
    <n v="83.136198082334928"/>
    <n v="0.15733592864899049"/>
    <n v="113.4471782871538"/>
    <n v="4.9241951387171898E-2"/>
    <n v="0.8"/>
    <s v="identity"/>
    <n v="0.15197670109728009"/>
    <n v="-0.1035473495391707"/>
    <n v="0.15197670109728009"/>
    <n v="0.15197670109728009"/>
    <n v="-0.1035473495391707"/>
    <n v="0.1536664318282098"/>
    <n v="-0.1158169793974916"/>
    <n v="0.27910244753118091"/>
    <n v="3.2969630566428397E-2"/>
    <n v="0.27910244753118091"/>
    <n v="0.27910244753118091"/>
    <n v="3.2969630566428397E-2"/>
    <n v="0.26529013934381279"/>
    <n v="8.0826328375102396E-2"/>
    <n v="8.8444357954332004E-2"/>
    <n v="0.64492387793225037"/>
    <n v="8.8444357954332004E-2"/>
    <n v="8.8444357954332004E-2"/>
    <n v="0.64492387793225037"/>
    <n v="0.1190654640811757"/>
    <n v="0.52198982234716884"/>
    <n v="332.02526882275743"/>
    <n v="5.4997555636451902E-2"/>
    <n v="332.02526882275743"/>
    <n v="332.02526882275743"/>
    <n v="5.4997555636451902E-2"/>
    <n v="453.25069111336069"/>
    <n v="-0.29003136577608468"/>
    <x v="2"/>
  </r>
  <r>
    <s v="01/04/2026 19:39:44"/>
    <s v="04-01_19-39-44_multihead_2heads_run2_spsa_serial_f5_w5_h5_effsu2_lin_r1.pkl"/>
    <x v="2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070735739954359"/>
    <n v="83.103475810318542"/>
    <n v="0.14120146996876751"/>
    <n v="1.6688329839773499E-2"/>
    <n v="87.769679166016729"/>
    <n v="0.14264153216549441"/>
    <n v="87.769679166016729"/>
    <n v="87.769679166016729"/>
    <n v="0.14264153216549441"/>
    <n v="106.72211173062659"/>
    <n v="3.26876268714874E-2"/>
    <n v="0.8"/>
    <s v="identity"/>
    <n v="0.1479208873753167"/>
    <n v="-7.4096897918744797E-2"/>
    <n v="0.1479208873753167"/>
    <n v="0.1479208873753167"/>
    <n v="-7.4096897918744797E-2"/>
    <n v="0.1469601692877173"/>
    <n v="-6.71208424341216E-2"/>
    <n v="0.2872343546970631"/>
    <n v="4.7943090657312998E-3"/>
    <n v="0.2872343546970631"/>
    <n v="0.2872343546970631"/>
    <n v="4.7943090657312998E-3"/>
    <n v="0.28621678917500798"/>
    <n v="8.3199562659617005E-3"/>
    <n v="9.0267338442530806E-2"/>
    <n v="0.63760518788433296"/>
    <n v="9.0267338442530806E-2"/>
    <n v="9.0267338442530806E-2"/>
    <n v="0.63760518788433296"/>
    <n v="0.1487302836675857"/>
    <n v="0.4028949547466748"/>
    <n v="350.55329408355198"/>
    <n v="2.2635296306564999E-3"/>
    <n v="350.55329408355198"/>
    <n v="350.55329408355198"/>
    <n v="2.2635296306564999E-3"/>
    <n v="426.3065396803762"/>
    <n v="-0.2133435610925673"/>
    <x v="2"/>
  </r>
  <r>
    <s v="01/04/2026 19:41:08"/>
    <s v="04-01_19-41-08_multihead_2heads_run3_spsa_serial_f5_w5_h5_effsu2_lin_r1.pkl"/>
    <x v="3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30212112454235551"/>
    <n v="84.183357489787412"/>
    <n v="-2.2648414384625198E-2"/>
    <n v="-1.3769368146362201E-2"/>
    <n v="88.4325460782524"/>
    <n v="-1.6769273977752699E-2"/>
    <n v="88.4325460782524"/>
    <n v="88.4325460782524"/>
    <n v="-1.6769273977752699E-2"/>
    <n v="88.367837733320144"/>
    <n v="-9.3604089023510001E-3"/>
    <n v="0.8"/>
    <s v="identity"/>
    <n v="0.1484794087597448"/>
    <n v="-7.8152485314684397E-2"/>
    <n v="0.1484794087597448"/>
    <n v="0.1484794087597448"/>
    <n v="-7.8152485314684397E-2"/>
    <n v="0.1470246364947197"/>
    <n v="-6.7588957710384895E-2"/>
    <n v="0.28915215116448778"/>
    <n v="-1.8504460870694E-3"/>
    <n v="0.28915215116448778"/>
    <n v="0.28915215116448778"/>
    <n v="-1.8504460870694E-3"/>
    <n v="0.28905309044991567"/>
    <n v="-1.5072218686635001E-3"/>
    <n v="0.24466127447921249"/>
    <n v="1.776236979312E-2"/>
    <n v="0.24466127447921249"/>
    <n v="0.24466127447921249"/>
    <n v="1.776236979312E-2"/>
    <n v="0.24017543839092231"/>
    <n v="3.5771582809105702E-2"/>
    <n v="353.04789147860618"/>
    <n v="-4.8365343023917002E-3"/>
    <n v="353.04789147860618"/>
    <n v="353.04789147860618"/>
    <n v="-4.8365343023917002E-3"/>
    <n v="352.79509776794532"/>
    <n v="-4.1170388394670999E-3"/>
    <x v="2"/>
  </r>
  <r>
    <s v="01/04/2026 19:42:10"/>
    <s v="04-01_19-42-10_multihead_2heads_run4_spsa_serial_f5_w5_h5_effsu2_lin_r1.pkl"/>
    <x v="4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8269356162539239"/>
    <n v="83.397385771481197"/>
    <n v="-5.6529899663275004E-3"/>
    <n v="7.8941654098669007E-3"/>
    <n v="87.895465441678581"/>
    <n v="-4.9826660902409E-3"/>
    <n v="87.895465441678581"/>
    <n v="87.895465441678581"/>
    <n v="-4.9826660902409E-3"/>
    <n v="86.536243339659578"/>
    <n v="7.3487460909386002E-3"/>
    <n v="0.8"/>
    <s v="identity"/>
    <n v="0.1491055342008015"/>
    <n v="-8.2698965570989297E-2"/>
    <n v="0.1491055342008015"/>
    <n v="0.1491055342008015"/>
    <n v="-8.2698965570989297E-2"/>
    <n v="0.15129094042511751"/>
    <n v="-9.8567840399155199E-2"/>
    <n v="0.28886748322204048"/>
    <n v="-8.6413246644110003E-4"/>
    <n v="0.28886748322204048"/>
    <n v="0.28886748322204048"/>
    <n v="-8.6413246644110003E-4"/>
    <n v="0.28883918087374949"/>
    <n v="-7.6607087448539999E-4"/>
    <n v="0.23354638724294269"/>
    <n v="6.23851263867383E-2"/>
    <n v="0.23354638724294269"/>
    <n v="0.23354638724294269"/>
    <n v="6.23851263867383E-2"/>
    <n v="0.2211789921599786"/>
    <n v="0.1120363058142166"/>
    <n v="350.91034236204712"/>
    <n v="1.2473072897183999E-3"/>
    <n v="350.91034236204712"/>
    <n v="350.91034236204712"/>
    <n v="1.2473072897183999E-3"/>
    <n v="345.48366424518031"/>
    <n v="1.6692589823172E-2"/>
    <x v="2"/>
  </r>
  <r>
    <s v="01/04/2026 19:43:21"/>
    <s v="04-01_19-43-21_multihead_2heads_run5_spsa_serial_f5_w5_h5_effsu2_lin_r1.pkl"/>
    <x v="5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932548450212102"/>
    <n v="84.799430372517179"/>
    <n v="1.31118097891707E-2"/>
    <n v="6.3439367729591495E-2"/>
    <n v="89.208945626842407"/>
    <n v="1.9777073159744699E-2"/>
    <n v="89.208945626842407"/>
    <n v="89.208945626842407"/>
    <n v="1.9777073159744699E-2"/>
    <n v="89.101271491705859"/>
    <n v="3.6297008516007E-2"/>
    <n v="0.8"/>
    <s v="identity"/>
    <n v="0.14813464386915659"/>
    <n v="-7.5649046442305801E-2"/>
    <n v="0.14813464386915659"/>
    <n v="0.14813464386915659"/>
    <n v="-7.5649046442305801E-2"/>
    <n v="0.1538120459806343"/>
    <n v="-0.11687432641715501"/>
    <n v="0.25024195849047659"/>
    <n v="0.1329650610111863"/>
    <n v="0.25024195849047659"/>
    <n v="0.25024195849047659"/>
    <n v="0.1329650610111863"/>
    <n v="0.23084023182660529"/>
    <n v="0.20018790004170581"/>
    <n v="0.24022010533254951"/>
    <n v="3.5592259166711201E-2"/>
    <n v="0.24022010533254951"/>
    <n v="0.24022010533254951"/>
    <n v="3.5592259166711201E-2"/>
    <n v="0.2305249455142756"/>
    <n v="7.4515259239562703E-2"/>
    <n v="356.19718579967753"/>
    <n v="-1.3799981096621601E-2"/>
    <n v="356.19718579967753"/>
    <n v="356.19718579967753"/>
    <n v="-1.3799981096621601E-2"/>
    <n v="355.78990874350211"/>
    <n v="-1.2640798800094701E-2"/>
    <x v="2"/>
  </r>
  <r>
    <s v="01/04/2026 19:44:15"/>
    <s v="04-01_19-44-15_multihead_2heads_run6_spsa_serial_f5_w5_h5_effsu2_lin_r1.pkl"/>
    <x v="6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145943433621591"/>
    <n v="79.394650328572283"/>
    <n v="0.13816208575874561"/>
    <n v="-1.7868392099992E-3"/>
    <n v="83.842677468310981"/>
    <n v="0.1305220753468094"/>
    <n v="83.842677468310981"/>
    <n v="83.842677468310981"/>
    <n v="0.1305220753468094"/>
    <n v="115.419532358175"/>
    <n v="-1.5149844133702199E-2"/>
    <n v="0.8"/>
    <s v="identity"/>
    <n v="0.14876736615263009"/>
    <n v="-8.0243428304000497E-2"/>
    <n v="0.14876736615263009"/>
    <n v="0.14876736615263009"/>
    <n v="-8.0243428304000497E-2"/>
    <n v="0.1525919767646188"/>
    <n v="-0.1080150464099749"/>
    <n v="0.28855521528142702"/>
    <n v="2.1780925296979999E-4"/>
    <n v="0.28855521528142702"/>
    <n v="0.28855521528142702"/>
    <n v="2.1780925296979999E-4"/>
    <n v="0.28784582641659068"/>
    <n v="2.6756901569277001E-3"/>
    <n v="0.1108236849013748"/>
    <n v="0.55507795886361566"/>
    <n v="0.1108236849013748"/>
    <n v="0.1108236849013748"/>
    <n v="0.55507795886361566"/>
    <n v="0.16015011565084269"/>
    <n v="0.35704794144850749"/>
    <n v="334.8225636069094"/>
    <n v="4.7035961574645103E-2"/>
    <n v="334.8225636069094"/>
    <n v="334.8225636069094"/>
    <n v="4.7035961574645103E-2"/>
    <n v="461.07754151387019"/>
    <n v="-0.3123079617302848"/>
    <x v="2"/>
  </r>
  <r>
    <s v="01/04/2026 19:45:48"/>
    <s v="04-01_19-45-48_multihead_2heads_run7_spsa_serial_f5_w5_h5_effsu2_lin_r1.pkl"/>
    <x v="7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474487896059468"/>
    <n v="83.107206078595908"/>
    <n v="4.6600982161603202E-2"/>
    <n v="0.18175402959168641"/>
    <n v="88.088982692459339"/>
    <n v="3.7534766364860903E-2"/>
    <n v="88.088982692459339"/>
    <n v="88.088982692459339"/>
    <n v="3.7534766364860903E-2"/>
    <n v="87.975664438526152"/>
    <n v="0.12537880854106101"/>
    <n v="0.8"/>
    <s v="identity"/>
    <n v="0.151950355994285"/>
    <n v="-0.1033560500283001"/>
    <n v="0.151950355994285"/>
    <n v="0.151950355994285"/>
    <n v="-0.1033560500283001"/>
    <n v="0.1544457516923331"/>
    <n v="-0.1214758492392973"/>
    <n v="0.26088187660645462"/>
    <n v="9.6100017234428695E-2"/>
    <n v="0.26088187660645462"/>
    <n v="0.26088187660645462"/>
    <n v="9.6100017234428695E-2"/>
    <n v="0.22243797836549731"/>
    <n v="0.2292999137142554"/>
    <n v="0.20960789123069681"/>
    <n v="0.1584906160840181"/>
    <n v="0.20960789123069681"/>
    <n v="0.20960789123069681"/>
    <n v="0.1584906160840181"/>
    <n v="0.15100424862873429"/>
    <n v="0.39376570468711208"/>
    <n v="351.73349064600689"/>
    <n v="-1.0955178307121001E-3"/>
    <n v="351.73349064600689"/>
    <n v="351.73349064600689"/>
    <n v="-1.0955178307121001E-3"/>
    <n v="351.37476977541809"/>
    <n v="-7.4534997831499084E-5"/>
    <x v="2"/>
  </r>
  <r>
    <s v="01/04/2026 19:47:27"/>
    <s v="04-01_19-47-27_multihead_2heads_run8_spsa_serial_f5_w5_h5_effsu2_lin_r1.pkl"/>
    <x v="8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973718747795689"/>
    <n v="83.921941342579288"/>
    <n v="3.6922866384876199E-2"/>
    <n v="9.2649241705692706E-2"/>
    <n v="88.656988917738261"/>
    <n v="3.1926850776017597E-2"/>
    <n v="88.656988917738261"/>
    <n v="88.656988917738261"/>
    <n v="3.1926850776017597E-2"/>
    <n v="89.731489103794431"/>
    <n v="7.7621125127016993E-2"/>
    <n v="0.8"/>
    <s v="identity"/>
    <n v="0.14518968568167501"/>
    <n v="-5.4264842292363197E-2"/>
    <n v="0.14518968568167501"/>
    <n v="0.14518968568167501"/>
    <n v="-5.4264842292363197E-2"/>
    <n v="0.14145218673111051"/>
    <n v="-2.7125767480095299E-2"/>
    <n v="0.2788274659400819"/>
    <n v="3.3922383048465399E-2"/>
    <n v="0.2788274659400819"/>
    <n v="0.2788274659400819"/>
    <n v="3.3922383048465399E-2"/>
    <n v="0.27116780510484922"/>
    <n v="6.0461471876783301E-2"/>
    <n v="0.21033336596900029"/>
    <n v="0.15557806447877121"/>
    <n v="0.21033336596900029"/>
    <n v="0.21033336596900029"/>
    <n v="0.15557806447877121"/>
    <n v="0.17509658504539041"/>
    <n v="0.2970425944261384"/>
    <n v="353.99360515336241"/>
    <n v="-7.5282021308114002E-3"/>
    <n v="353.99360515336241"/>
    <n v="353.99360515336241"/>
    <n v="-7.5282021308114002E-3"/>
    <n v="358.33823983829632"/>
    <n v="-1.989379831476E-2"/>
    <x v="2"/>
  </r>
  <r>
    <s v="01/04/2026 19:48:31"/>
    <s v="04-01_19-48-31_multihead_2heads_run9_spsa_serial_f5_w5_h5_effsu2_lin_r1.pkl"/>
    <x v="9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7030420662155658"/>
    <n v="81.63872374366494"/>
    <n v="4.2897084867501399E-2"/>
    <n v="6.9217887942161105E-2"/>
    <n v="86.857899752094255"/>
    <n v="3.3740812614739199E-2"/>
    <n v="86.857899752094255"/>
    <n v="86.857899752094255"/>
    <n v="3.3740812614739199E-2"/>
    <n v="90.113971055018055"/>
    <n v="5.0629144221607802E-2"/>
    <n v="0.8"/>
    <s v="identity"/>
    <n v="0.14978934855849149"/>
    <n v="-8.7664341951429497E-2"/>
    <n v="0.14978934855849149"/>
    <n v="0.14978934855849149"/>
    <n v="-8.7664341951429497E-2"/>
    <n v="0.1542540744224373"/>
    <n v="-0.1200840244290915"/>
    <n v="0.2891578462868496"/>
    <n v="-1.8701784696772E-3"/>
    <n v="0.2891578462868496"/>
    <n v="0.2891578462868496"/>
    <n v="-1.8701784696772E-3"/>
    <n v="0.28835242795813798"/>
    <n v="9.2042401644220001E-4"/>
    <n v="0.1963937896376364"/>
    <n v="0.21154105433465109"/>
    <n v="0.1963937896376364"/>
    <n v="0.1963937896376364"/>
    <n v="0.21154105433465109"/>
    <n v="0.1629324636782723"/>
    <n v="0.34587769418035841"/>
    <n v="346.7962580238945"/>
    <n v="1.29567165453958E-2"/>
    <n v="346.7962580238945"/>
    <n v="346.7962580238945"/>
    <n v="1.29567165453958E-2"/>
    <n v="359.85034525401312"/>
    <n v="-2.4197516881284398E-2"/>
    <x v="2"/>
  </r>
  <r>
    <s v="01/04/2026 20:54:04"/>
    <s v="04-01_20-54-04_multihead_2heads_run0_spsa_serial_f5_w5_h5_effsu2_lin_r1.pkl"/>
    <x v="0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27540274835026"/>
    <n v="28.308455623950248"/>
    <n v="0.69741141629842618"/>
    <n v="0.49532371834913258"/>
    <n v="35.798968151097547"/>
    <n v="0.69505087137502464"/>
    <n v="35.798968151097547"/>
    <n v="35.798968151097547"/>
    <n v="0.69505087137502464"/>
    <n v="99.643652854657304"/>
    <n v="0.48457819224327942"/>
    <n v="0.8"/>
    <s v="identity"/>
    <n v="4.3622895637751902E-2"/>
    <n v="0.68324137507465266"/>
    <n v="4.3622895637751902E-2"/>
    <n v="4.3622895637751902E-2"/>
    <n v="0.68324137507465266"/>
    <n v="4.5173922441561001E-2"/>
    <n v="0.67197891506565366"/>
    <n v="9.8466784789038697E-2"/>
    <n v="0.65883362143987556"/>
    <n v="9.8466784789038697E-2"/>
    <n v="9.8466784789038697E-2"/>
    <n v="0.65883362143987556"/>
    <n v="0.1054348686465453"/>
    <n v="0.63469069913097709"/>
    <n v="3.8564679277899298E-2"/>
    <n v="0.84517501078074941"/>
    <n v="3.8564679277899298E-2"/>
    <n v="3.8564679277899298E-2"/>
    <n v="0.84517501078074941"/>
    <n v="5.8420087661170399E-2"/>
    <n v="0.76546182642540872"/>
    <n v="143.01521824468571"/>
    <n v="0.59295347820481625"/>
    <n v="143.01521824468571"/>
    <n v="143.01521824468571"/>
    <n v="0.59295347820481625"/>
    <n v="398.36558253988022"/>
    <n v="-0.1338186716489235"/>
    <x v="0"/>
  </r>
  <r>
    <s v="01/04/2026 20:55:21"/>
    <s v="04-01_20-55-21_multihead_2heads_run1_spsa_serial_f5_w5_h5_effsu2_lin_r1.pkl"/>
    <x v="1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151818285067346"/>
    <n v="32.06534158924616"/>
    <n v="0.68311603604424687"/>
    <n v="0.48032990883672599"/>
    <n v="38.951345869879049"/>
    <n v="0.66661406932489853"/>
    <n v="38.951345869879049"/>
    <n v="38.951345869879049"/>
    <n v="0.66661406932489853"/>
    <n v="101.4356303243945"/>
    <n v="0.4681753840220364"/>
    <n v="0.8"/>
    <s v="identity"/>
    <n v="4.0489805096998503E-2"/>
    <n v="0.70599166335667995"/>
    <n v="4.0489805096998503E-2"/>
    <n v="4.0489805096998503E-2"/>
    <n v="0.70599166335667995"/>
    <n v="4.8915549933278499E-2"/>
    <n v="0.64480986170658161"/>
    <n v="0.10070479099292751"/>
    <n v="0.6510794079412664"/>
    <n v="0.10070479099292751"/>
    <n v="0.10070479099292751"/>
    <n v="0.6510794079412664"/>
    <n v="0.1133635996826918"/>
    <n v="0.60721933952504759"/>
    <n v="6.1709147158413698E-2"/>
    <n v="0.75225729287976129"/>
    <n v="6.1709147158413698E-2"/>
    <n v="6.1709147158413698E-2"/>
    <n v="0.75225729287976129"/>
    <n v="5.6077744731439699E-2"/>
    <n v="0.77486559240074715"/>
    <n v="155.60247973626861"/>
    <n v="0.55712791312188026"/>
    <n v="155.60247973626861"/>
    <n v="155.60247973626861"/>
    <n v="0.55712791312188026"/>
    <n v="405.52416440322958"/>
    <n v="-0.1541932575442308"/>
    <x v="0"/>
  </r>
  <r>
    <s v="01/04/2026 20:57:33"/>
    <s v="04-01_20-57-33_multihead_2heads_run2_spsa_serial_f5_w5_h5_effsu2_lin_r1.pkl"/>
    <x v="2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9.5077321181690794E-2"/>
    <n v="30.992209402920182"/>
    <n v="0.71316887047282485"/>
    <n v="0.45104040657746591"/>
    <n v="40.192271588478242"/>
    <n v="0.69085227298718588"/>
    <n v="40.192271588478242"/>
    <n v="40.192271588478242"/>
    <n v="0.69085227298718588"/>
    <n v="102.5345878126241"/>
    <n v="0.46208244721876168"/>
    <n v="0.8"/>
    <s v="identity"/>
    <n v="4.5832679624566497E-2"/>
    <n v="0.66719548617131064"/>
    <n v="4.5832679624566497E-2"/>
    <n v="4.5832679624566497E-2"/>
    <n v="0.66719548617131064"/>
    <n v="4.6691580114140298E-2"/>
    <n v="0.6609587580942855"/>
    <n v="7.5549285690966805E-2"/>
    <n v="0.73823786104915423"/>
    <n v="7.5549285690966805E-2"/>
    <n v="7.5549285690966805E-2"/>
    <n v="0.73823786104915423"/>
    <n v="0.11550189654932889"/>
    <n v="0.59981059758389477"/>
    <n v="4.6061827942393101E-2"/>
    <n v="0.81507633025520998"/>
    <n v="4.6061827942393101E-2"/>
    <n v="4.6061827942393101E-2"/>
    <n v="0.81507633025520998"/>
    <n v="6.1212636353043803E-2"/>
    <n v="0.75425062671600762"/>
    <n v="160.60164256065451"/>
    <n v="0.54289941447306811"/>
    <n v="160.60164256065451"/>
    <n v="160.60164256065451"/>
    <n v="0.54289941447306811"/>
    <n v="409.91494513747961"/>
    <n v="-0.1666901935191418"/>
    <x v="0"/>
  </r>
  <r>
    <s v="01/04/2026 20:59:21"/>
    <s v="04-01_20-59-21_multihead_2heads_run3_spsa_serial_f5_w5_h5_effsu2_lin_r1.pkl"/>
    <x v="3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5273526693292719"/>
    <n v="50.93382456191862"/>
    <n v="0.61248534860054471"/>
    <n v="0.45694323327436948"/>
    <n v="60.316634898690808"/>
    <n v="0.60560820690516626"/>
    <n v="60.316634898690808"/>
    <n v="60.316634898690808"/>
    <n v="0.60560820690516626"/>
    <n v="93.699273022019881"/>
    <n v="0.45351028875029498"/>
    <n v="0.8"/>
    <s v="identity"/>
    <n v="4.24256614163099E-2"/>
    <n v="0.69193484349652734"/>
    <n v="4.24256614163099E-2"/>
    <n v="4.24256614163099E-2"/>
    <n v="0.69193484349652734"/>
    <n v="5.6598471421504398E-2"/>
    <n v="0.58902191800314396"/>
    <n v="0.1088899544914296"/>
    <n v="0.62271956462263545"/>
    <n v="0.1088899544914296"/>
    <n v="0.1088899544914296"/>
    <n v="0.62271956462263545"/>
    <n v="0.1058033522118699"/>
    <n v="0.63341398227858847"/>
    <n v="5.13393546549284E-2"/>
    <n v="0.79388872979613279"/>
    <n v="5.13393546549284E-2"/>
    <n v="5.13393546549284E-2"/>
    <n v="0.79388872979613279"/>
    <n v="8.5277226323408103E-2"/>
    <n v="0.65763890966064176"/>
    <n v="241.06388462420051"/>
    <n v="0.31388968970536452"/>
    <n v="241.06388462420051"/>
    <n v="241.06388462420051"/>
    <n v="0.31388968970536452"/>
    <n v="374.54941303812268"/>
    <n v="-6.6033654941199005E-2"/>
    <x v="0"/>
  </r>
  <r>
    <s v="01/04/2026 21:00:43"/>
    <s v="04-01_21-00-43_multihead_2heads_run4_spsa_serial_f5_w5_h5_effsu2_lin_r1.pkl"/>
    <x v="4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527647301292719"/>
    <n v="21.385906967831321"/>
    <n v="0.70808538700647394"/>
    <n v="0.39217595143075301"/>
    <n v="32.119861986746692"/>
    <n v="0.69512466602922574"/>
    <n v="32.119861986746692"/>
    <n v="32.119861986746692"/>
    <n v="0.69512466602922574"/>
    <n v="108.69587017664971"/>
    <n v="0.39694328854594207"/>
    <n v="0.8"/>
    <s v="identity"/>
    <n v="4.5871932272506001E-2"/>
    <n v="0.66691046119522368"/>
    <n v="4.5871932272506001E-2"/>
    <n v="4.5871932272506001E-2"/>
    <n v="0.66691046119522368"/>
    <n v="7.0632701296239303E-2"/>
    <n v="0.48711526343525918"/>
    <n v="9.88215058417279E-2"/>
    <n v="0.65760458875434336"/>
    <n v="9.88215058417279E-2"/>
    <n v="9.88215058417279E-2"/>
    <n v="0.65760458875434336"/>
    <n v="0.1255802457738131"/>
    <n v="0.56489127007515005"/>
    <n v="4.4556403574274699E-2"/>
    <n v="0.82112013292461028"/>
    <n v="4.4556403574274699E-2"/>
    <n v="4.4556403574274699E-2"/>
    <n v="0.82112013292461028"/>
    <n v="5.6662665215362902E-2"/>
    <n v="0.77251732166925857"/>
    <n v="128.29019810529931"/>
    <n v="0.63486348124271996"/>
    <n v="128.29019810529931"/>
    <n v="128.29019810529931"/>
    <n v="0.63486348124271996"/>
    <n v="434.53060509431538"/>
    <n v="-0.23675070099590709"/>
    <x v="0"/>
  </r>
  <r>
    <s v="01/04/2026 21:02:37"/>
    <s v="04-01_21-02-37_multihead_2heads_run5_spsa_serial_f5_w5_h5_effsu2_lin_r1.pkl"/>
    <x v="5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30145139858272"/>
    <n v="40.408530157462351"/>
    <n v="0.67182443646436185"/>
    <n v="0.38055976548492981"/>
    <n v="48.393236233424538"/>
    <n v="0.6597865293456654"/>
    <n v="48.393236233424538"/>
    <n v="48.393236233424538"/>
    <n v="0.6597865293456654"/>
    <n v="100.7332976957354"/>
    <n v="0.3952703425776154"/>
    <n v="0.8"/>
    <s v="identity"/>
    <n v="4.5312055902339998E-2"/>
    <n v="0.67097588753956061"/>
    <n v="4.5312055902339998E-2"/>
    <n v="4.5312055902339998E-2"/>
    <n v="0.67097588753956061"/>
    <n v="7.5745343374105406E-2"/>
    <n v="0.44999087151573691"/>
    <n v="7.3345588460717398E-2"/>
    <n v="0.74587320128188273"/>
    <n v="7.3345588460717398E-2"/>
    <n v="7.3345588460717398E-2"/>
    <n v="0.74587320128188273"/>
    <n v="0.13764887146163349"/>
    <n v="0.52307605970819449"/>
    <n v="5.6606970378739498E-2"/>
    <n v="0.77274091882191898"/>
    <n v="5.6606970378739498E-2"/>
    <n v="5.6606970378739498E-2"/>
    <n v="0.77274091882191898"/>
    <n v="6.1262208961475002E-2"/>
    <n v="0.75405160837306684"/>
    <n v="193.39768031895679"/>
    <n v="0.44955610973929738"/>
    <n v="193.39768031895679"/>
    <n v="193.39768031895679"/>
    <n v="0.44955610973929738"/>
    <n v="402.6585343591442"/>
    <n v="-0.1460371692865389"/>
    <x v="0"/>
  </r>
  <r>
    <s v="01/04/2026 21:04:01"/>
    <s v="04-01_21-04-01_multihead_2heads_run6_spsa_serial_f5_w5_h5_effsu2_lin_r1.pkl"/>
    <x v="6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33846172471521"/>
    <n v="29.183842726337829"/>
    <n v="0.7179099058641305"/>
    <n v="0.46888034853199922"/>
    <n v="34.808667884757199"/>
    <n v="0.71961708835353577"/>
    <n v="34.808667884757199"/>
    <n v="34.808667884757199"/>
    <n v="0.71961708835353577"/>
    <n v="109.7326938262275"/>
    <n v="0.47717474781983671"/>
    <n v="0.8"/>
    <s v="identity"/>
    <n v="3.0520568506654602E-2"/>
    <n v="0.7783812108121213"/>
    <n v="3.0520568506654602E-2"/>
    <n v="3.0520568506654602E-2"/>
    <n v="0.7783812108121213"/>
    <n v="3.6711225722765597E-2"/>
    <n v="0.73342903516006608"/>
    <n v="0.10251378713280521"/>
    <n v="0.64481162268562309"/>
    <n v="0.10251378713280521"/>
    <n v="0.10251378713280521"/>
    <n v="0.64481162268562309"/>
    <n v="0.10654158746565399"/>
    <n v="0.6308561547979965"/>
    <n v="3.70943985304205E-2"/>
    <n v="0.85107772292927553"/>
    <n v="3.70943985304205E-2"/>
    <n v="3.70943985304205E-2"/>
    <n v="0.85107772292927553"/>
    <n v="5.1527400907400697E-2"/>
    <n v="0.7931337835718445"/>
    <n v="139.0645427848593"/>
    <n v="0.60419779698711951"/>
    <n v="139.0645427848593"/>
    <n v="139.0645427848593"/>
    <n v="0.60419779698711951"/>
    <n v="438.73599509081509"/>
    <n v="-0.24871998225056849"/>
    <x v="0"/>
  </r>
  <r>
    <s v="01/04/2026 21:06:00"/>
    <s v="04-01_21-06-00_multihead_2heads_run7_spsa_serial_f5_w5_h5_effsu2_lin_r1.pkl"/>
    <x v="7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11171955893195"/>
    <n v="12.62660715316964"/>
    <n v="0.80995295394024935"/>
    <n v="0.44136733291854358"/>
    <n v="19.920317265076701"/>
    <n v="0.80397837215899892"/>
    <n v="19.920317265076701"/>
    <n v="19.920317265076701"/>
    <n v="0.80397837215899892"/>
    <n v="124.32683366891909"/>
    <n v="0.46091609626850139"/>
    <n v="0.8"/>
    <s v="identity"/>
    <n v="2.8887850126594099E-2"/>
    <n v="0.79023685728852611"/>
    <n v="2.8887850126594099E-2"/>
    <n v="2.8887850126594099E-2"/>
    <n v="0.79023685728852611"/>
    <n v="3.5757055385145502E-2"/>
    <n v="0.74035754551387045"/>
    <n v="5.70806155166311E-2"/>
    <n v="0.80222785862751445"/>
    <n v="5.70806155166311E-2"/>
    <n v="5.70806155166311E-2"/>
    <n v="0.80222785862751445"/>
    <n v="8.0730762046918994E-2"/>
    <n v="0.72028515214591904"/>
    <n v="3.7391586758235597E-2"/>
    <n v="0.84988460619580064"/>
    <n v="3.7391586758235597E-2"/>
    <n v="3.7391586758235597E-2"/>
    <n v="0.84988460619580064"/>
    <n v="5.0322456158114703E-2"/>
    <n v="0.79797125561390825"/>
    <n v="79.557909007905351"/>
    <n v="0.77356416652415283"/>
    <n v="79.557909007905351"/>
    <n v="79.557909007905351"/>
    <n v="0.77356416652415283"/>
    <n v="497.1405244020861"/>
    <n v="-0.41494956819969281"/>
    <x v="0"/>
  </r>
  <r>
    <s v="01/04/2026 21:08:18"/>
    <s v="04-01_21-08-18_multihead_2heads_run8_spsa_serial_f5_w5_h5_effsu2_lin_r1.pkl"/>
    <x v="8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319334115132017"/>
    <n v="65.335270152088185"/>
    <n v="0.58111027172286223"/>
    <n v="0.45737508766099783"/>
    <n v="69.946267598742921"/>
    <n v="0.59023215706160459"/>
    <n v="69.946267598742921"/>
    <n v="69.946267598742921"/>
    <n v="0.59023215706160459"/>
    <n v="89.717642185121534"/>
    <n v="0.46695580274417942"/>
    <n v="0.8"/>
    <s v="identity"/>
    <n v="3.7958140953627199E-2"/>
    <n v="0.7243748183743195"/>
    <n v="3.7958140953627199E-2"/>
    <n v="3.7958140953627199E-2"/>
    <n v="0.7243748183743195"/>
    <n v="7.0473030185929597E-2"/>
    <n v="0.48827468214423259"/>
    <n v="0.11405505661735831"/>
    <n v="0.60482358892919075"/>
    <n v="0.11405505661735831"/>
    <n v="0.11405505661735831"/>
    <n v="0.60482358892919075"/>
    <n v="0.112902542832217"/>
    <n v="0.6088168030384935"/>
    <n v="4.2969039429435599E-2"/>
    <n v="0.82749289787983671"/>
    <n v="4.2969039429435599E-2"/>
    <n v="4.2969039429435599E-2"/>
    <n v="0.82749289787983671"/>
    <n v="5.1941608320358303E-2"/>
    <n v="0.79147087182341336"/>
    <n v="279.59008815797142"/>
    <n v="0.204237323063065"/>
    <n v="279.59008815797142"/>
    <n v="279.59008815797142"/>
    <n v="0.204237323063065"/>
    <n v="358.6352515591463"/>
    <n v="-2.0739146029417701E-2"/>
    <x v="0"/>
  </r>
  <r>
    <s v="01/04/2026 21:09:46"/>
    <s v="04-01_21-09-46_multihead_2heads_run9_spsa_serial_f5_w5_h5_effsu2_lin_r1.pkl"/>
    <x v="9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1573167884973"/>
    <n v="29.8001556165603"/>
    <n v="0.73988416389696954"/>
    <n v="0.43721856566875661"/>
    <n v="32.043135594163253"/>
    <n v="0.7508440298812048"/>
    <n v="32.043135594163253"/>
    <n v="32.043135594163253"/>
    <n v="0.7508440298812048"/>
    <n v="122.88543338142971"/>
    <n v="0.4404156045678268"/>
    <n v="0.8"/>
    <s v="identity"/>
    <n v="3.30736311542974E-2"/>
    <n v="0.75984267498609182"/>
    <n v="3.30736311542974E-2"/>
    <n v="3.30736311542974E-2"/>
    <n v="0.75984267498609182"/>
    <n v="5.0699884503291798E-2"/>
    <n v="0.63185328565767152"/>
    <n v="6.7237799021153594E-2"/>
    <n v="0.76703538717602127"/>
    <n v="6.7237799021153594E-2"/>
    <n v="6.7237799021153594E-2"/>
    <n v="0.76703538717602127"/>
    <n v="8.4761886648771004E-2"/>
    <n v="0.70631816637620026"/>
    <n v="3.9629171414012503E-2"/>
    <n v="0.84090141155514508"/>
    <n v="3.9629171414012503E-2"/>
    <n v="3.9629171414012503E-2"/>
    <n v="0.84090141155514508"/>
    <n v="4.4338824407123702E-2"/>
    <n v="0.82199364446001644"/>
    <n v="128.03260177506391"/>
    <n v="0.6355966458075577"/>
    <n v="128.03260177506391"/>
    <n v="128.03260177506391"/>
    <n v="0.6355966458075577"/>
    <n v="491.3619329301597"/>
    <n v="-0.3985026782225809"/>
    <x v="0"/>
  </r>
  <r>
    <s v="01/04/2026 22:05:56"/>
    <s v="04-01_22-05-56_multihead_2heads_run0_spsa_serial_f5_w5_h5_effsu2_lin_r1.pkl"/>
    <x v="0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6249341225149596E-2"/>
    <n v="18.169409265738899"/>
    <n v="0.79849675175198775"/>
    <n v="-0.74804087730895719"/>
    <n v="27.909971368079649"/>
    <n v="0.74127040648812503"/>
    <n v="27.909971368079649"/>
    <n v="27.909971368079649"/>
    <n v="0.74127040648812503"/>
    <n v="129.47968667991171"/>
    <n v="-0.53222945192385618"/>
    <n v="0.8"/>
    <s v="identity"/>
    <n v="2.6141569873637801E-2"/>
    <n v="0.81017840275148378"/>
    <n v="2.6141569873637801E-2"/>
    <n v="2.6141569873637801E-2"/>
    <n v="0.81017840275148378"/>
    <n v="6.4013490606935494E-2"/>
    <n v="0.53517929140456533"/>
    <n v="0.1204267453988162"/>
    <n v="0.58274704817954159"/>
    <n v="0.1204267453988162"/>
    <n v="0.1204267453988162"/>
    <n v="0.58274704817954159"/>
    <n v="0.61859004168021292"/>
    <n v="-1.143282374716958"/>
    <n v="2.7547025458311E-2"/>
    <n v="0.88940740596150625"/>
    <n v="2.7547025458311E-2"/>
    <n v="2.7547025458311E-2"/>
    <n v="0.88940740596150625"/>
    <n v="0.51065614485428612"/>
    <n v="-1.050122900078623"/>
    <n v="111.4657701315877"/>
    <n v="0.68274876905996518"/>
    <n v="111.4657701315877"/>
    <n v="111.4657701315877"/>
    <n v="0.68274876905996518"/>
    <n v="516.72548704250437"/>
    <n v="-0.4706918243044349"/>
    <x v="1"/>
  </r>
  <r>
    <s v="01/04/2026 22:07:47"/>
    <s v="04-01_22-07-47_multihead_2heads_run1_spsa_serial_f5_w5_h5_effsu2_lin_r1.pkl"/>
    <x v="1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2222436836307"/>
    <n v="23.54104520253675"/>
    <n v="0.77262847344465346"/>
    <n v="0.3294370603210518"/>
    <n v="29.430858186324901"/>
    <n v="0.72759846800884309"/>
    <n v="29.430858186324901"/>
    <n v="29.430858186324901"/>
    <n v="0.72759846800884309"/>
    <n v="161.01986173038509"/>
    <n v="0.10109098649509771"/>
    <n v="0.8"/>
    <s v="identity"/>
    <n v="2.39915084791185E-2"/>
    <n v="0.82579062841592621"/>
    <n v="2.39915084791185E-2"/>
    <n v="2.39915084791185E-2"/>
    <n v="0.82579062841592621"/>
    <n v="7.5137787723563207E-2"/>
    <n v="0.4544025110829375"/>
    <n v="0.12569782183687361"/>
    <n v="0.56448389412877753"/>
    <n v="0.12569782183687361"/>
    <n v="0.12569782183687361"/>
    <n v="0.56448389412877753"/>
    <n v="0.1044661539120042"/>
    <n v="0.63804708878612137"/>
    <n v="3.62041209554545E-2"/>
    <n v="0.85465190579627115"/>
    <n v="3.62041209554545E-2"/>
    <n v="3.62041209554545E-2"/>
    <n v="0.85465190579627115"/>
    <n v="0.21322727794567639"/>
    <n v="0.14395992324228721"/>
    <n v="117.53753929402851"/>
    <n v="0.6654674436943927"/>
    <n v="117.53753929402851"/>
    <n v="117.53753929402851"/>
    <n v="0.6654674436943927"/>
    <n v="643.68661570196025"/>
    <n v="-0.83204557713096472"/>
    <x v="1"/>
  </r>
  <r>
    <s v="01/04/2026 22:10:33"/>
    <s v="04-01_22-10-33_multihead_2heads_run2_spsa_serial_f5_w5_h5_effsu2_lin_r1.pkl"/>
    <x v="2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0108567269228404E-2"/>
    <n v="19.585083947965959"/>
    <n v="0.8149774201290092"/>
    <n v="-0.1189217127114615"/>
    <n v="29.950241103541199"/>
    <n v="0.77105278727789139"/>
    <n v="29.950241103541199"/>
    <n v="29.950241103541199"/>
    <n v="0.77105278727789139"/>
    <n v="164.82686465571129"/>
    <n v="-0.1167106413526716"/>
    <n v="0.8"/>
    <s v="identity"/>
    <n v="1.71477486612037E-2"/>
    <n v="0.87548517339166065"/>
    <n v="1.71477486612037E-2"/>
    <n v="1.71477486612037E-2"/>
    <n v="0.87548517339166065"/>
    <n v="5.5251266234209701E-2"/>
    <n v="0.59880436954334948"/>
    <n v="8.3240431098599799E-2"/>
    <n v="0.7115896849020078"/>
    <n v="8.3240431098599799E-2"/>
    <n v="8.3240431098599799E-2"/>
    <n v="0.7115896849020078"/>
    <n v="9.1876922600933095E-2"/>
    <n v="0.68166608644564453"/>
    <n v="4.0424061932455298E-2"/>
    <n v="0.83771017754898258"/>
    <n v="4.0424061932455298E-2"/>
    <n v="4.0424061932455298E-2"/>
    <n v="0.83771017754898258"/>
    <n v="0.46642629823993509"/>
    <n v="-0.87255405590673818"/>
    <n v="119.66015217247271"/>
    <n v="0.6594261132689121"/>
    <n v="119.66015217247271"/>
    <n v="119.66015217247271"/>
    <n v="0.6594261132689121"/>
    <n v="658.69390413577287"/>
    <n v="-0.87475896549295817"/>
    <x v="1"/>
  </r>
  <r>
    <s v="01/04/2026 22:12:57"/>
    <s v="04-01_22-12-57_multihead_2heads_run3_spsa_serial_f5_w5_h5_effsu2_lin_r1.pkl"/>
    <x v="3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01735091554147"/>
    <n v="12.179107156829129"/>
    <n v="0.80394788172933551"/>
    <n v="0.1361841583200962"/>
    <n v="18.926318262277821"/>
    <n v="0.74072967801544309"/>
    <n v="18.926318262277821"/>
    <n v="18.926318262277821"/>
    <n v="0.74072967801544309"/>
    <n v="98.31087145915744"/>
    <n v="9.6207259375419102E-2"/>
    <n v="0.8"/>
    <s v="identity"/>
    <n v="2.8527786360058E-2"/>
    <n v="0.79285138578109837"/>
    <n v="2.8527786360058E-2"/>
    <n v="2.8527786360058E-2"/>
    <n v="0.79285138578109837"/>
    <n v="4.3017702971504798E-2"/>
    <n v="0.6876358563206304"/>
    <n v="0.1224719282067406"/>
    <n v="0.57566092656433998"/>
    <n v="0.1224719282067406"/>
    <n v="0.1224719282067406"/>
    <n v="0.57566092656433998"/>
    <n v="0.20691323645560061"/>
    <n v="0.28308982862645271"/>
    <n v="4.7497641332049201E-2"/>
    <n v="0.80931199364625106"/>
    <n v="4.7497641332049201E-2"/>
    <n v="4.7497641332049201E-2"/>
    <n v="0.80931199364625106"/>
    <n v="0.36575950682633712"/>
    <n v="-0.46840872947902068"/>
    <n v="75.506775693212617"/>
    <n v="0.78509440607007985"/>
    <n v="75.506775693212617"/>
    <n v="75.506775693212617"/>
    <n v="0.78509440607007985"/>
    <n v="392.62779539037831"/>
    <n v="-0.1174879179664034"/>
    <x v="1"/>
  </r>
  <r>
    <s v="01/04/2026 22:15:08"/>
    <s v="04-01_22-15-08_multihead_2heads_run4_spsa_serial_f5_w5_h5_effsu2_lin_r1.pkl"/>
    <x v="4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77168109274115"/>
    <n v="24.5460940671698"/>
    <n v="0.71258407551819125"/>
    <n v="-0.2223102827364562"/>
    <n v="38.124699586122581"/>
    <n v="0.65949050144604671"/>
    <n v="38.124699586122581"/>
    <n v="38.124699586122581"/>
    <n v="0.65949050144604671"/>
    <n v="135.76805741769789"/>
    <n v="-0.13799215489902561"/>
    <n v="0.8"/>
    <s v="identity"/>
    <n v="4.7497875498349197E-2"/>
    <n v="0.65510401109842942"/>
    <n v="4.7497875498349197E-2"/>
    <n v="4.7497875498349197E-2"/>
    <n v="0.65510401109842942"/>
    <n v="0.14442245708049339"/>
    <n v="-4.8693770653016603E-2"/>
    <n v="0.12169240655056229"/>
    <n v="0.57836180261119496"/>
    <n v="0.12169240655056229"/>
    <n v="0.12169240655056229"/>
    <n v="0.57836180261119496"/>
    <n v="8.9555350770697997E-2"/>
    <n v="0.68970983699142918"/>
    <n v="4.0367260610887801E-2"/>
    <n v="0.83793821688870973"/>
    <n v="4.0367260610887801E-2"/>
    <n v="4.0367260610887801E-2"/>
    <n v="0.83793821688870973"/>
    <n v="0.4107771864740542"/>
    <n v="-0.64914047408678099"/>
    <n v="152.2892408018304"/>
    <n v="0.56655797518584927"/>
    <n v="152.2892408018304"/>
    <n v="152.2892408018304"/>
    <n v="0.56655797518584927"/>
    <n v="542.42747467646689"/>
    <n v="-0.543844211847752"/>
    <x v="1"/>
  </r>
  <r>
    <s v="01/04/2026 22:17:12"/>
    <s v="04-01_22-17-12_multihead_2heads_run5_spsa_serial_f5_w5_h5_effsu2_lin_r1.pkl"/>
    <x v="5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71208738899785"/>
    <n v="20.170612486155111"/>
    <n v="0.76106717073792451"/>
    <n v="-0.60586345450411816"/>
    <n v="27.571817423794151"/>
    <n v="0.7136436239790388"/>
    <n v="27.571817423794151"/>
    <n v="27.571817423794151"/>
    <n v="0.7136436239790388"/>
    <n v="144.05327309434631"/>
    <n v="-0.58570943871161285"/>
    <n v="0.8"/>
    <s v="identity"/>
    <n v="2.6920072702569301E-2"/>
    <n v="0.80452546564156324"/>
    <n v="2.6920072702569301E-2"/>
    <n v="2.6920072702569301E-2"/>
    <n v="0.80452546564156324"/>
    <n v="4.9613101401901803E-2"/>
    <n v="0.63974473613925076"/>
    <n v="0.12505197417246139"/>
    <n v="0.56672161834452295"/>
    <n v="0.12505197417246139"/>
    <n v="0.12505197417246139"/>
    <n v="0.56672161834452295"/>
    <n v="0.36467617759065157"/>
    <n v="-0.2635250670802971"/>
    <n v="5.0652130164179299E-2"/>
    <n v="0.79664771875607532"/>
    <n v="5.0652130164179299E-2"/>
    <n v="5.0652130164179299E-2"/>
    <n v="0.79664771875607532"/>
    <n v="0.76778596140385347"/>
    <n v="-2.0824177828743702"/>
    <n v="110.0846455181367"/>
    <n v="0.68667969317399269"/>
    <n v="110.0846455181367"/>
    <n v="110.0846455181367"/>
    <n v="0.68667969317399269"/>
    <n v="575.03101713698686"/>
    <n v="-0.6366396410310331"/>
    <x v="1"/>
  </r>
  <r>
    <s v="01/04/2026 22:18:51"/>
    <s v="04-01_22-18-51_multihead_2heads_run6_spsa_serial_f5_w5_h5_effsu2_lin_r1.pkl"/>
    <x v="6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9333900776864395E-2"/>
    <n v="15.802558494470929"/>
    <n v="0.81931857332305236"/>
    <n v="9.1552300206178994E-2"/>
    <n v="20.792606687902939"/>
    <n v="0.77565732132211995"/>
    <n v="20.792606687902939"/>
    <n v="20.792606687902939"/>
    <n v="0.77565732132211995"/>
    <n v="172.67561774314771"/>
    <n v="-2.2979208967357002E-3"/>
    <n v="0.8"/>
    <s v="identity"/>
    <n v="2.64497389829947E-2"/>
    <n v="0.80794069656767187"/>
    <n v="2.64497389829947E-2"/>
    <n v="2.64497389829947E-2"/>
    <n v="0.80794069656767187"/>
    <n v="6.3517380783122093E-2"/>
    <n v="0.53878169017488242"/>
    <n v="0.1004371095337529"/>
    <n v="0.65200686702536204"/>
    <n v="0.1004371095337529"/>
    <n v="0.1004371095337529"/>
    <n v="0.65200686702536204"/>
    <n v="0.1144854414996456"/>
    <n v="0.60333239723453369"/>
    <n v="3.01512023349612E-2"/>
    <n v="0.87895245950786227"/>
    <n v="3.01512023349612E-2"/>
    <n v="3.01512023349612E-2"/>
    <n v="0.87895245950786227"/>
    <n v="0.29561302091343528"/>
    <n v="-0.1867927760058323"/>
    <n v="83.013388700759904"/>
    <n v="0.76372926218758153"/>
    <n v="83.013388700759904"/>
    <n v="83.013388700759904"/>
    <n v="0.76372926218758153"/>
    <n v="690.22885512939479"/>
    <n v="-0.96451299499053122"/>
    <x v="1"/>
  </r>
  <r>
    <s v="01/04/2026 22:21:25"/>
    <s v="04-01_22-21-25_multihead_2heads_run7_spsa_serial_f5_w5_h5_effsu2_lin_r1.pkl"/>
    <x v="7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2553595440258596E-2"/>
    <n v="22.375412015597831"/>
    <n v="0.78800249044146498"/>
    <n v="-0.13574672875866201"/>
    <n v="28.754683913121269"/>
    <n v="0.73636377737178271"/>
    <n v="28.754683913121269"/>
    <n v="28.754683913121269"/>
    <n v="0.73636377737178271"/>
    <n v="158.64919559797039"/>
    <n v="-8.92708142145959E-2"/>
    <n v="0.8"/>
    <s v="identity"/>
    <n v="1.6112403183246599E-2"/>
    <n v="0.88300312022040228"/>
    <n v="1.6112403183246599E-2"/>
    <n v="1.6112403183246599E-2"/>
    <n v="0.88300312022040228"/>
    <n v="3.56368446531019E-2"/>
    <n v="0.74123043085599871"/>
    <n v="0.1218638343202387"/>
    <n v="0.57776784200315412"/>
    <n v="0.1218638343202387"/>
    <n v="0.1218638343202387"/>
    <n v="0.57776784200315412"/>
    <n v="9.0136620527346903E-2"/>
    <n v="0.68769586143340433"/>
    <n v="4.6947305138506902E-2"/>
    <n v="0.81152141939093725"/>
    <n v="4.6947305138506902E-2"/>
    <n v="4.6947305138506902E-2"/>
    <n v="0.81152141939093725"/>
    <n v="0.49358758988996121"/>
    <n v="-0.98159805071330664"/>
    <n v="114.8338121098426"/>
    <n v="0.67316272787263332"/>
    <n v="114.8338121098426"/>
    <n v="114.8338121098426"/>
    <n v="0.67316272787263332"/>
    <n v="633.97742133681015"/>
    <n v="-0.80441149843448567"/>
    <x v="1"/>
  </r>
  <r>
    <s v="01/04/2026 22:24:21"/>
    <s v="04-01_22-24-21_multihead_2heads_run8_spsa_serial_f5_w5_h5_effsu2_lin_r1.pkl"/>
    <x v="8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54484950321779"/>
    <n v="16.806512324233619"/>
    <n v="0.80332454938637898"/>
    <n v="-2.3216547281913442"/>
    <n v="24.054734218758661"/>
    <n v="0.76732061985253774"/>
    <n v="24.054734218758661"/>
    <n v="24.054734218758661"/>
    <n v="0.76732061985253774"/>
    <n v="149.25930077243089"/>
    <n v="-1.3226715198062029"/>
    <n v="0.8"/>
    <s v="identity"/>
    <n v="1.7834004146115599E-2"/>
    <n v="0.87050207127131363"/>
    <n v="1.7834004146115599E-2"/>
    <n v="1.7834004146115599E-2"/>
    <n v="0.87050207127131363"/>
    <n v="0.77822861694299417"/>
    <n v="-4.6509459763391678"/>
    <n v="9.8663539535161299E-2"/>
    <n v="0.6581519082678351"/>
    <n v="9.8663539535161299E-2"/>
    <n v="9.8663539535161299E-2"/>
    <n v="0.6581519082678351"/>
    <n v="0.29293716153722921"/>
    <n v="-1.49646986184919E-2"/>
    <n v="4.6324661923175699E-2"/>
    <n v="0.81402113495725681"/>
    <n v="4.6324661923175699E-2"/>
    <n v="4.6324661923175699E-2"/>
    <n v="0.81402113495725681"/>
    <n v="0.2314527944746409"/>
    <n v="7.07902391440898E-2"/>
    <n v="96.056114669429959"/>
    <n v="0.72660736491374267"/>
    <n v="96.056114669429959"/>
    <n v="96.056114669429959"/>
    <n v="0.72660736491374267"/>
    <n v="595.73458451676925"/>
    <n v="-0.69556564341124338"/>
    <x v="1"/>
  </r>
  <r>
    <s v="01/04/2026 22:26:40"/>
    <s v="04-01_22-26-40_multihead_2heads_run9_spsa_serial_f5_w5_h5_effsu2_lin_r1.pkl"/>
    <x v="9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6637037345785506E-2"/>
    <n v="19.359343235606381"/>
    <n v="0.82077660875733593"/>
    <n v="-0.15143971073403781"/>
    <n v="25.646406032515952"/>
    <n v="0.79045011946976684"/>
    <n v="25.646406032515952"/>
    <n v="25.646406032515952"/>
    <n v="0.79045011946976684"/>
    <n v="138.79209621949289"/>
    <n v="-0.1138610591289248"/>
    <n v="0.8"/>
    <s v="identity"/>
    <n v="2.4222578178805299E-2"/>
    <n v="0.82411276363265928"/>
    <n v="2.4222578178805299E-2"/>
    <n v="2.4222578178805299E-2"/>
    <n v="0.82411276363265928"/>
    <n v="5.88125313529149E-2"/>
    <n v="0.57294498021341633"/>
    <n v="6.3243357650896906E-2"/>
    <n v="0.78087527338314078"/>
    <n v="6.3243357650896906E-2"/>
    <n v="6.3243357650896906E-2"/>
    <n v="0.78087527338314078"/>
    <n v="0.1515693133395902"/>
    <n v="0.47484470175704252"/>
    <n v="3.7753207041457099E-2"/>
    <n v="0.84843281513985069"/>
    <n v="3.7753207041457099E-2"/>
    <n v="3.7753207041457099E-2"/>
    <n v="0.84843281513985069"/>
    <n v="0.47951234405608989"/>
    <n v="-0.92509039071738119"/>
    <n v="102.4604049871928"/>
    <n v="0.70837962572341495"/>
    <n v="102.4604049871928"/>
    <n v="102.4604049871928"/>
    <n v="0.70837962572341495"/>
    <n v="554.4784906892238"/>
    <n v="-0.5781435277687903"/>
    <x v="1"/>
  </r>
  <r>
    <s v="01/04/2026 23:23:06"/>
    <s v="04-01_23-23-06_multihead_2heads_run0_spsa_serial_f5_w5_h5_effsu2_lin_r1.pkl"/>
    <x v="0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740615203998469"/>
    <n v="85.103726086160123"/>
    <n v="3.7414986019466301E-2"/>
    <n v="9.7098109666696103E-2"/>
    <n v="89.023102960160315"/>
    <n v="2.9285452620487901E-2"/>
    <n v="89.023102960160315"/>
    <n v="89.023102960160315"/>
    <n v="2.9285452620487901E-2"/>
    <n v="87.136130344118726"/>
    <n v="6.9630844319837598E-2"/>
    <n v="0.8"/>
    <s v="identity"/>
    <n v="0.1488901342345719"/>
    <n v="-8.1134883312938097E-2"/>
    <n v="0.1488901342345719"/>
    <n v="0.1488901342345719"/>
    <n v="-8.1134883312938097E-2"/>
    <n v="0.14936406703366559"/>
    <n v="-8.4576248209816005E-2"/>
    <n v="0.2881041446419062"/>
    <n v="1.7806726783351E-3"/>
    <n v="0.2881041446419062"/>
    <n v="0.2881041446419062"/>
    <n v="1.7806726783351E-3"/>
    <n v="0.28608929025430468"/>
    <n v="8.7617127947227005E-3"/>
    <n v="0.19722781927034899"/>
    <n v="0.2081926891644714"/>
    <n v="0.19722781927034899"/>
    <n v="0.19722781927034899"/>
    <n v="0.2081926891644714"/>
    <n v="0.1632374969378923"/>
    <n v="0.3446530821255851"/>
    <n v="355.45818974249391"/>
    <n v="-1.169666804792E-2"/>
    <n v="355.45818974249391"/>
    <n v="355.45818974249391"/>
    <n v="-1.169666804792E-2"/>
    <n v="347.9458305222484"/>
    <n v="9.6848305688576001E-3"/>
    <x v="2"/>
  </r>
  <r>
    <s v="01/04/2026 23:25:31"/>
    <s v="04-01_23-25-31_multihead_2heads_run1_spsa_serial_f5_w5_h5_effsu2_lin_r1.pkl"/>
    <x v="1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60506078879373"/>
    <n v="78.154539546726284"/>
    <n v="0.15156909500044979"/>
    <n v="3.4137658840062E-2"/>
    <n v="83.150177750339395"/>
    <n v="0.15746937746790679"/>
    <n v="83.150177750339395"/>
    <n v="83.150177750339395"/>
    <n v="0.15746937746790679"/>
    <n v="113.4663111097581"/>
    <n v="4.8998578374708501E-2"/>
    <n v="0.8"/>
    <s v="identity"/>
    <n v="0.1520138856366936"/>
    <n v="-0.1038173573733798"/>
    <n v="0.1520138856366936"/>
    <n v="0.1520138856366936"/>
    <n v="-0.1038173573733798"/>
    <n v="0.1539431089925587"/>
    <n v="-0.1178260133427662"/>
    <n v="0.2791479819418991"/>
    <n v="3.2811863558620903E-2"/>
    <n v="0.2791479819418991"/>
    <n v="0.2791479819418991"/>
    <n v="3.2811863558620903E-2"/>
    <n v="0.26511139613241269"/>
    <n v="8.1445635426268995E-2"/>
    <n v="8.8165062225938895E-2"/>
    <n v="0.64604516193997763"/>
    <n v="8.8165062225938895E-2"/>
    <n v="8.8165062225938895E-2"/>
    <n v="0.64604516193997763"/>
    <n v="0.11890748718232511"/>
    <n v="0.52262404962765996"/>
    <n v="332.08138407155229"/>
    <n v="5.4837841746405699E-2"/>
    <n v="332.08138407155229"/>
    <n v="332.08138407155229"/>
    <n v="5.4837841746405699E-2"/>
    <n v="453.32728244672518"/>
    <n v="-0.29024935821233239"/>
    <x v="2"/>
  </r>
  <r>
    <s v="01/04/2026 23:28:13"/>
    <s v="04-01_23-28-13_multihead_2heads_run2_spsa_serial_f5_w5_h5_effsu2_lin_r1.pkl"/>
    <x v="2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04263332403455"/>
    <n v="82.951247721798623"/>
    <n v="0.1409839820094623"/>
    <n v="1.7790430751722899E-2"/>
    <n v="87.530584648417459"/>
    <n v="0.14345143036389099"/>
    <n v="87.530584648417459"/>
    <n v="87.530584648417459"/>
    <n v="0.14345143036389099"/>
    <n v="106.70823022444"/>
    <n v="3.31349138015486E-2"/>
    <n v="0.8"/>
    <s v="identity"/>
    <n v="0.14795013225782719"/>
    <n v="-7.43092535781915E-2"/>
    <n v="0.14795013225782719"/>
    <n v="0.14795013225782719"/>
    <n v="-7.43092535781915E-2"/>
    <n v="0.14691698428364439"/>
    <n v="-6.6807263468132899E-2"/>
    <n v="0.28723969796970489"/>
    <n v="4.7757957672541996E-3"/>
    <n v="0.28723969796970489"/>
    <n v="0.28723969796970489"/>
    <n v="4.7757957672541996E-3"/>
    <n v="0.28664333563309907"/>
    <n v="6.8420638913262001E-3"/>
    <n v="9.0080804784295199E-2"/>
    <n v="0.63835406152119745"/>
    <n v="9.0080804784295199E-2"/>
    <n v="9.0080804784295199E-2"/>
    <n v="0.63835406152119745"/>
    <n v="0.14803376165120899"/>
    <n v="0.4056912703311869"/>
    <n v="349.59706795865748"/>
    <n v="4.9851177453007003E-3"/>
    <n v="349.59706795865748"/>
    <n v="349.59706795865748"/>
    <n v="4.9851177453007003E-3"/>
    <n v="426.25132681619112"/>
    <n v="-0.21318641554819259"/>
    <x v="2"/>
  </r>
  <r>
    <s v="01/04/2026 23:31:24"/>
    <s v="04-01_23-31-24_multihead_2heads_run3_spsa_serial_f5_w5_h5_effsu2_lin_r1.pkl"/>
    <x v="3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30260835815534037"/>
    <n v="84.208693110122738"/>
    <n v="-2.2603526906905699E-2"/>
    <n v="-1.47022429768476E-2"/>
    <n v="88.5416672057775"/>
    <n v="-1.75451461636934E-2"/>
    <n v="88.5416672057775"/>
    <n v="88.5416672057775"/>
    <n v="-1.75451461636934E-2"/>
    <n v="88.317248210689144"/>
    <n v="-9.7401341827645007E-3"/>
    <n v="0.8"/>
    <s v="identity"/>
    <n v="0.14857067645048999"/>
    <n v="-7.8815206754834E-2"/>
    <n v="0.14857067645048999"/>
    <n v="0.14857067645048999"/>
    <n v="-7.8815206754834E-2"/>
    <n v="0.14707926464280971"/>
    <n v="-6.7985628697448203E-2"/>
    <n v="0.28893982535751589"/>
    <n v="-1.1147825148846999E-3"/>
    <n v="0.28893982535751589"/>
    <n v="0.28893982535751589"/>
    <n v="-1.1147825148846999E-3"/>
    <n v="0.28905980163128198"/>
    <n v="-1.5304746787101E-3"/>
    <n v="0.24514329162309009"/>
    <n v="1.58272234233926E-2"/>
    <n v="0.24514329162309009"/>
    <n v="0.24514329162309009"/>
    <n v="1.58272234233926E-2"/>
    <n v="0.24059297741019281"/>
    <n v="3.4095295715122001E-2"/>
    <n v="353.4840150296784"/>
    <n v="-6.0778188084446997E-3"/>
    <n v="353.4840150296784"/>
    <n v="353.4840150296784"/>
    <n v="-6.0778188084446997E-3"/>
    <n v="352.5922607990729"/>
    <n v="-3.5397290700290998E-3"/>
    <x v="2"/>
  </r>
  <r>
    <s v="01/04/2026 23:33:58"/>
    <s v="04-01_23-33-58_multihead_2heads_run4_spsa_serial_f5_w5_h5_effsu2_lin_r1.pkl"/>
    <x v="4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8193541659844651"/>
    <n v="83.374727355923113"/>
    <n v="-4.5640148673968999E-3"/>
    <n v="1.01992446748051E-2"/>
    <n v="87.819647948725489"/>
    <n v="-3.2810163866231002E-3"/>
    <n v="87.819647948725489"/>
    <n v="87.819647948725489"/>
    <n v="-3.2810163866231002E-3"/>
    <n v="86.124551072235732"/>
    <n v="8.4939346493805006E-3"/>
    <n v="0.8"/>
    <s v="identity"/>
    <n v="0.1489316150124827"/>
    <n v="-8.1436087393496198E-2"/>
    <n v="0.1489316150124827"/>
    <n v="0.1489316150124827"/>
    <n v="-8.1436087393496198E-2"/>
    <n v="0.15155573038599479"/>
    <n v="-0.1004905578775647"/>
    <n v="0.28885430898899911"/>
    <n v="-8.1848656273179996E-4"/>
    <n v="0.28885430898899911"/>
    <n v="0.28885430898899911"/>
    <n v="-8.1848656273179996E-4"/>
    <n v="0.2888301360240611"/>
    <n v="-7.3473240213220003E-4"/>
    <n v="0.23239094477827979"/>
    <n v="6.7023862413707794E-2"/>
    <n v="0.23239094477827979"/>
    <n v="0.23239094477827979"/>
    <n v="6.7023862413707794E-2"/>
    <n v="0.22073420588181231"/>
    <n v="0.1138219820343073"/>
    <n v="350.60841492612138"/>
    <n v="2.1066459960218001E-3"/>
    <n v="350.60841492612138"/>
    <n v="350.60841492612138"/>
    <n v="2.1066459960218001E-3"/>
    <n v="343.83708421665062"/>
    <n v="2.1379046842897698E-2"/>
    <x v="2"/>
  </r>
  <r>
    <s v="01/04/2026 23:36:31"/>
    <s v="04-01_23-36-31_multihead_2heads_run5_spsa_serial_f5_w5_h5_effsu2_lin_r1.pkl"/>
    <x v="5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39204573891651"/>
    <n v="84.630654220393808"/>
    <n v="1.3415175134198799E-2"/>
    <n v="6.12785029017699E-2"/>
    <n v="89.19471472800906"/>
    <n v="1.9799516531277601E-2"/>
    <n v="89.19471472800906"/>
    <n v="89.19471472800906"/>
    <n v="1.9799516531277601E-2"/>
    <n v="89.101033779248468"/>
    <n v="3.45813324878275E-2"/>
    <n v="0.8"/>
    <s v="identity"/>
    <n v="0.14809487619877071"/>
    <n v="-7.5360281737355303E-2"/>
    <n v="0.14809487619877071"/>
    <n v="0.14809487619877071"/>
    <n v="-7.5360281737355303E-2"/>
    <n v="0.1542186910751582"/>
    <n v="-0.119827095578644"/>
    <n v="0.2500425776407712"/>
    <n v="0.13365587307125271"/>
    <n v="0.2500425776407712"/>
    <n v="0.2500425776407712"/>
    <n v="0.13365587307125271"/>
    <n v="0.23079438119275711"/>
    <n v="0.2003467626951192"/>
    <n v="0.24048211425018709"/>
    <n v="3.4540376236316103E-2"/>
    <n v="0.24048211425018709"/>
    <n v="0.24048211425018709"/>
    <n v="3.4540376236316103E-2"/>
    <n v="0.2315400740565868"/>
    <n v="7.0439839229274895E-2"/>
    <n v="356.14023934394532"/>
    <n v="-1.3637901445107301E-2"/>
    <n v="356.14023934394532"/>
    <n v="356.14023934394532"/>
    <n v="-1.3637901445107301E-2"/>
    <n v="355.78758197067009"/>
    <n v="-1.26341763944521E-2"/>
    <x v="2"/>
  </r>
  <r>
    <s v="01/04/2026 23:38:56"/>
    <s v="04-01_23-38-56_multihead_2heads_run6_spsa_serial_f5_w5_h5_effsu2_lin_r1.pkl"/>
    <x v="6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27359096195018"/>
    <n v="79.735447953378042"/>
    <n v="0.1329432683162115"/>
    <n v="3.2634603548531999E-3"/>
    <n v="84.157937359044269"/>
    <n v="0.1252742203137307"/>
    <n v="84.157937359044269"/>
    <n v="84.157937359044269"/>
    <n v="0.1252742203137307"/>
    <n v="113.22562116667289"/>
    <n v="-1.0614357472168301E-2"/>
    <n v="0.8"/>
    <s v="identity"/>
    <n v="0.1489556418995934"/>
    <n v="-8.1610553659688501E-2"/>
    <n v="0.1489556418995934"/>
    <n v="0.1489556418995934"/>
    <n v="-8.1610553659688501E-2"/>
    <n v="0.1528626343914081"/>
    <n v="-0.10998037072955449"/>
    <n v="0.28865650089748168"/>
    <n v="-1.3312377387390001E-4"/>
    <n v="0.28865650089748168"/>
    <n v="0.28865650089748168"/>
    <n v="-1.3312377387390001E-4"/>
    <n v="0.2880726004339676"/>
    <n v="1.889966621567E-3"/>
    <n v="0.11473337588847531"/>
    <n v="0.53938178619311394"/>
    <n v="0.11473337588847531"/>
    <n v="0.11473337588847531"/>
    <n v="0.53938178619311394"/>
    <n v="0.16116846527900891"/>
    <n v="0.35295958979734721"/>
    <n v="336.07940391749258"/>
    <n v="4.3458772495371202E-2"/>
    <n v="336.07940391749258"/>
    <n v="336.07940391749258"/>
    <n v="4.3458772495371202E-2"/>
    <n v="452.30038096658672"/>
    <n v="-0.28732661557803763"/>
    <x v="2"/>
  </r>
  <r>
    <s v="01/04/2026 23:41:57"/>
    <s v="04-01_23-41-57_multihead_2heads_run7_spsa_serial_f5_w5_h5_effsu2_lin_r1.pkl"/>
    <x v="7"/>
    <s v="Final (Last Iteration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446652286004529"/>
    <n v="82.95782892814016"/>
    <n v="4.71482926873735E-2"/>
    <n v="0.18026469911022511"/>
    <n v="87.9781469133423"/>
    <n v="3.8048491079008998E-2"/>
    <n v="87.9781469133423"/>
    <n v="87.9781469133423"/>
    <n v="3.8048491079008998E-2"/>
    <n v="88.173693097475763"/>
    <n v="0.1249665228191226"/>
    <n v="0.8"/>
    <s v="identity"/>
    <n v="0.15177358188566711"/>
    <n v="-0.1020724414381417"/>
    <n v="0.15177358188566711"/>
    <n v="0.15177358188566711"/>
    <n v="-0.1020724414381417"/>
    <n v="0.1539665450329383"/>
    <n v="-0.1179961892977503"/>
    <n v="0.26126823251287451"/>
    <n v="9.4761376537355099E-2"/>
    <n v="0.26126823251287451"/>
    <n v="0.26126823251287451"/>
    <n v="9.4761376537355099E-2"/>
    <n v="0.22294561361099891"/>
    <n v="0.22754106601034879"/>
    <n v="0.20939664095191149"/>
    <n v="0.15933871913447559"/>
    <n v="0.20939664095191149"/>
    <n v="0.20939664095191149"/>
    <n v="0.15933871913447559"/>
    <n v="0.15128231027628"/>
    <n v="0.39264937512364478"/>
    <n v="351.2901491980179"/>
    <n v="1.663100823342E-4"/>
    <n v="351.2901491980179"/>
    <n v="351.2901491980179"/>
    <n v="1.663100823342E-4"/>
    <n v="352.16657792098317"/>
    <n v="-2.3281605597624002E-3"/>
    <x v="2"/>
  </r>
  <r>
    <s v="01/04/2026 23:45:18"/>
    <s v="04-01_23-45-18_multihead_2heads_run8_spsa_serial_f5_w5_h5_effsu2_lin_r1.pkl"/>
    <x v="8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93595101728218"/>
    <n v="83.959856539947666"/>
    <n v="3.6408837137191397E-2"/>
    <n v="9.1699140504814994E-2"/>
    <n v="88.650423797507329"/>
    <n v="3.1530722703292602E-2"/>
    <n v="88.650423797507329"/>
    <n v="88.650423797507329"/>
    <n v="3.1530722703292602E-2"/>
    <n v="89.765559824456247"/>
    <n v="7.6469652857002704E-2"/>
    <n v="0.8"/>
    <s v="identity"/>
    <n v="0.14514637466590419"/>
    <n v="-5.3950348318519699E-2"/>
    <n v="0.14514637466590419"/>
    <n v="0.14514637466590419"/>
    <n v="-5.3950348318519699E-2"/>
    <n v="0.1415440196732104"/>
    <n v="-2.7792593375926399E-2"/>
    <n v="0.27899716299752969"/>
    <n v="3.3334418988647703E-2"/>
    <n v="0.27899716299752969"/>
    <n v="0.27899716299752969"/>
    <n v="3.3334418988647703E-2"/>
    <n v="0.27150147332920499"/>
    <n v="5.9305382744920698E-2"/>
    <n v="0.21067887943315269"/>
    <n v="0.1541909372067663"/>
    <n v="0.21067887943315269"/>
    <n v="0.21067887943315269"/>
    <n v="0.1541909372067663"/>
    <n v="0.17569389238467331"/>
    <n v="0.29464459438836671"/>
    <n v="353.96687277293222"/>
    <n v="-7.4521170637327E-3"/>
    <n v="353.96687277293222"/>
    <n v="353.96687277293222"/>
    <n v="-7.4521170637327E-3"/>
    <n v="358.47349991243829"/>
    <n v="-2.0278772329365102E-2"/>
    <x v="2"/>
  </r>
  <r>
    <s v="01/04/2026 23:48:13"/>
    <s v="04-01_23-48-13_multihead_2heads_run9_spsa_serial_f5_w5_h5_effsu2_lin_r1.pkl"/>
    <x v="9"/>
    <s v="Best (Lowest Val Loss)"/>
    <s v="data/reduce_row_number_absolutes"/>
    <n v="16590"/>
    <n v="4.5"/>
    <s v="[['sv', 'wv', 'rarad'], ['yr', 'ya', 'rarad']]"/>
    <x v="0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5556083488031"/>
    <n v="81.489906650013467"/>
    <n v="4.6798803501230099E-2"/>
    <n v="7.3598025118216601E-2"/>
    <n v="86.72778908429386"/>
    <n v="3.6864487448789701E-2"/>
    <n v="86.72778908429386"/>
    <n v="86.72778908429386"/>
    <n v="3.6864487448789701E-2"/>
    <n v="90.423303911284194"/>
    <n v="5.4007498147292297E-2"/>
    <n v="0.8"/>
    <s v="identity"/>
    <n v="0.1497544644858527"/>
    <n v="-8.7411038480412304E-2"/>
    <n v="0.1497544644858527"/>
    <n v="0.1497544644858527"/>
    <n v="-8.7411038480412304E-2"/>
    <n v="0.15426679447593339"/>
    <n v="-0.1201763884639748"/>
    <n v="0.28914246830041351"/>
    <n v="-1.8168970311375999E-3"/>
    <n v="0.28914246830041351"/>
    <n v="0.28914246830041351"/>
    <n v="-1.8168970311375999E-3"/>
    <n v="0.28810203265925399"/>
    <n v="1.7879902471436E-3"/>
    <n v="0.19372494130132539"/>
    <n v="0.22225563624312719"/>
    <n v="0.19372494130132539"/>
    <n v="0.19372494130132539"/>
    <n v="0.22225563624312719"/>
    <n v="0.15887932014087469"/>
    <n v="0.36214978346598858"/>
    <n v="346.27853446308762"/>
    <n v="1.44302490635738E-2"/>
    <n v="346.27853446308762"/>
    <n v="346.27853446308762"/>
    <n v="1.44302490635738E-2"/>
    <n v="361.09196749785991"/>
    <n v="-2.7731392659991101E-2"/>
    <x v="2"/>
  </r>
  <r>
    <s v="20/04/2026 10:10:30"/>
    <s v="04-20_10-10-30_multihead_1heads_run0_spsa_serial_f5_w5_h5_effsu2_lin_r1.pkl"/>
    <x v="0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4.7248207714292001E-2"/>
    <n v="1.0464300244513501E-2"/>
    <n v="0.85889550851747065"/>
    <n v="-1.885615780897391"/>
    <n v="2.2610852593551101E-2"/>
    <n v="0.83581597527595752"/>
    <n v="2.2610852593551101E-2"/>
    <n v="2.2610852593551101E-2"/>
    <n v="0.83581597527595752"/>
    <n v="0.26176926173260118"/>
    <n v="-0.90078329698003523"/>
    <n v="0.2"/>
    <s v="identity"/>
    <n v="2.2610852593551101E-2"/>
    <n v="0.83581597527595752"/>
    <n v="2.2610852593551101E-2"/>
    <n v="2.2610852593551101E-2"/>
    <n v="0.83581597527595752"/>
    <n v="0.26176926173260118"/>
    <n v="-0.90078329698003523"/>
    <m/>
    <m/>
    <m/>
    <m/>
    <m/>
    <m/>
    <m/>
    <m/>
    <m/>
    <m/>
    <m/>
    <m/>
    <m/>
    <m/>
    <m/>
    <m/>
    <m/>
    <m/>
    <m/>
    <m/>
    <m/>
    <x v="1"/>
  </r>
  <r>
    <s v="20/04/2026 10:10:30"/>
    <s v="04-20_10-10-30_multihead_1heads_run1_spsa_serial_f5_w5_h5_effsu2_lin_r1.pkl"/>
    <x v="1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4.8480080369323102E-2"/>
    <n v="7.6162721849387001E-3"/>
    <n v="0.89729937133524285"/>
    <n v="-2.291559570388646"/>
    <n v="1.7091476343652E-2"/>
    <n v="0.875893783174859"/>
    <n v="1.7091476343652E-2"/>
    <n v="1.7091476343652E-2"/>
    <n v="0.875893783174859"/>
    <n v="0.2903861264519253"/>
    <n v="-1.108578735261833"/>
    <n v="0.2"/>
    <s v="identity"/>
    <n v="1.7091476343652E-2"/>
    <n v="0.875893783174859"/>
    <n v="1.7091476343652E-2"/>
    <n v="1.7091476343652E-2"/>
    <n v="0.875893783174859"/>
    <n v="0.2903861264519253"/>
    <n v="-1.108578735261833"/>
    <m/>
    <m/>
    <m/>
    <m/>
    <m/>
    <m/>
    <m/>
    <m/>
    <m/>
    <m/>
    <m/>
    <m/>
    <m/>
    <m/>
    <m/>
    <m/>
    <m/>
    <m/>
    <m/>
    <m/>
    <m/>
    <x v="0"/>
  </r>
  <r>
    <s v="20/04/2026 10:10:35"/>
    <s v="04-20_10-10-35_multihead_1heads_run0_spsa_serial_f5_w5_h5_effsu2_lin_r1.pkl"/>
    <x v="0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6.0240989444892798E-2"/>
    <n v="1.6195592919927899E-2"/>
    <n v="0.78161264013590892"/>
    <n v="-2.302921141554374"/>
    <n v="3.6939246404070897E-2"/>
    <n v="0.73177331019250336"/>
    <n v="3.6939246404070897E-2"/>
    <n v="3.6939246404070897E-2"/>
    <n v="0.73177331019250336"/>
    <n v="0.28999589305429069"/>
    <n v="-1.105745136239404"/>
    <n v="0.2"/>
    <s v="identity"/>
    <n v="3.6939246404070897E-2"/>
    <n v="0.73177331019250336"/>
    <n v="3.6939246404070897E-2"/>
    <n v="3.6939246404070897E-2"/>
    <n v="0.73177331019250336"/>
    <n v="0.28999589305429069"/>
    <n v="-1.105745136239404"/>
    <m/>
    <m/>
    <m/>
    <m/>
    <m/>
    <m/>
    <m/>
    <m/>
    <m/>
    <m/>
    <m/>
    <m/>
    <m/>
    <m/>
    <m/>
    <m/>
    <m/>
    <m/>
    <m/>
    <m/>
    <m/>
    <x v="1"/>
  </r>
  <r>
    <s v="20/04/2026 10:10:35"/>
    <s v="04-20_10-10-35_multihead_1heads_run1_spsa_serial_f5_w5_h5_effsu2_lin_r1.pkl"/>
    <x v="1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5.6683387557609398E-2"/>
    <n v="9.3586392104329005E-3"/>
    <n v="0.87380465048783673"/>
    <n v="-1.8154285949579321"/>
    <n v="2.1656259633181098E-2"/>
    <n v="0.84274755441735982"/>
    <n v="2.1656259633181098E-2"/>
    <n v="2.1656259633181098E-2"/>
    <n v="0.84274755441735982"/>
    <n v="0.2480696686918914"/>
    <n v="-0.80130653849872391"/>
    <n v="0.2"/>
    <s v="identity"/>
    <n v="2.1656259633181098E-2"/>
    <n v="0.84274755441735982"/>
    <n v="2.1656259633181098E-2"/>
    <n v="2.1656259633181098E-2"/>
    <n v="0.84274755441735982"/>
    <n v="0.2480696686918914"/>
    <n v="-0.80130653849872391"/>
    <m/>
    <m/>
    <m/>
    <m/>
    <m/>
    <m/>
    <m/>
    <m/>
    <m/>
    <m/>
    <m/>
    <m/>
    <m/>
    <m/>
    <m/>
    <m/>
    <m/>
    <m/>
    <m/>
    <m/>
    <m/>
    <x v="1"/>
  </r>
  <r>
    <s v="20/04/2026 11:09:27"/>
    <s v="04-20_11-09-27_multihead_1heads_run1_spsa_serial_f5_w5_h5_effsu2_lin_r1.pkl"/>
    <x v="1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50"/>
    <n v="20"/>
    <n v="30"/>
    <n v="6.4496830573854094E-2"/>
    <n v="5.3522335277362996E-3"/>
    <n v="0.92782850524353599"/>
    <n v="-0.90042845732223342"/>
    <n v="9.3660935363108992E-3"/>
    <n v="0.93199005095579801"/>
    <n v="9.3660935363108992E-3"/>
    <n v="9.3660935363108992E-3"/>
    <n v="0.93199005095579801"/>
    <n v="0.19226604191040439"/>
    <n v="-0.39610005628955669"/>
    <n v="0.2"/>
    <s v="identity"/>
    <n v="9.3660935363108992E-3"/>
    <n v="0.93199005095579801"/>
    <n v="9.3660935363108992E-3"/>
    <n v="9.3660935363108992E-3"/>
    <n v="0.93199005095579801"/>
    <n v="0.19226604191040439"/>
    <n v="-0.39610005628955669"/>
    <m/>
    <m/>
    <m/>
    <m/>
    <m/>
    <m/>
    <m/>
    <m/>
    <m/>
    <m/>
    <m/>
    <m/>
    <m/>
    <m/>
    <m/>
    <m/>
    <m/>
    <m/>
    <m/>
    <m/>
    <m/>
    <x v="2"/>
  </r>
  <r>
    <s v="20/04/2026 11:11:07"/>
    <s v="04-20_11-11-07_multihead_1heads_run1_spsa_serial_f5_w5_h5_effsu2_lin_r1.pkl"/>
    <x v="1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3.8080197924237898E-2"/>
    <n v="4.4417853538777996E-3"/>
    <n v="0.94010532486755682"/>
    <n v="-3.7300006317040069"/>
    <n v="5.0129152939597001E-3"/>
    <n v="0.96359975347423443"/>
    <n v="5.0129152939597001E-3"/>
    <n v="5.0129152939597001E-3"/>
    <n v="0.96359975347423443"/>
    <n v="0.39489227655563358"/>
    <n v="-1.867428507133569"/>
    <n v="0.2"/>
    <s v="identity"/>
    <n v="5.0129152939597001E-3"/>
    <n v="0.96359975347423443"/>
    <n v="5.0129152939597001E-3"/>
    <n v="5.0129152939597001E-3"/>
    <n v="0.96359975347423443"/>
    <n v="0.39489227655563358"/>
    <n v="-1.867428507133569"/>
    <m/>
    <m/>
    <m/>
    <m/>
    <m/>
    <m/>
    <m/>
    <m/>
    <m/>
    <m/>
    <m/>
    <m/>
    <m/>
    <m/>
    <m/>
    <m/>
    <m/>
    <m/>
    <m/>
    <m/>
    <m/>
    <x v="2"/>
  </r>
  <r>
    <s v="20/04/2026 11:11:22"/>
    <s v="04-20_11-11-22_multihead_1heads_run2_spsa_serial_f5_w5_h5_effsu2_lin_r1.pkl"/>
    <x v="2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50"/>
    <n v="20"/>
    <n v="30"/>
    <n v="6.8456149389815202E-2"/>
    <n v="1.85711730570743E-2"/>
    <n v="0.74957943969292784"/>
    <n v="-1.9690206018100771"/>
    <n v="5.0042310087147997E-2"/>
    <n v="0.63662812613533015"/>
    <n v="5.0042310087147997E-2"/>
    <n v="5.0042310087147997E-2"/>
    <n v="0.63662812613533015"/>
    <n v="0.27077619133558872"/>
    <n v="-0.96618525148423562"/>
    <n v="0.2"/>
    <s v="identity"/>
    <n v="5.0042310087147997E-2"/>
    <n v="0.63662812613533015"/>
    <n v="5.0042310087147997E-2"/>
    <n v="5.0042310087147997E-2"/>
    <n v="0.63662812613533015"/>
    <n v="0.27077619133558872"/>
    <n v="-0.96618525148423562"/>
    <m/>
    <m/>
    <m/>
    <m/>
    <m/>
    <m/>
    <m/>
    <m/>
    <m/>
    <m/>
    <m/>
    <m/>
    <m/>
    <m/>
    <m/>
    <m/>
    <m/>
    <m/>
    <m/>
    <m/>
    <m/>
    <x v="0"/>
  </r>
  <r>
    <s v="20/04/2026 11:13:07"/>
    <s v="04-20_11-13-07_multihead_1heads_run2_spsa_serial_f5_w5_h5_effsu2_lin_r1.pkl"/>
    <x v="2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6.5453290324481203E-2"/>
    <n v="1.20846680005536E-2"/>
    <n v="0.83704587090308713"/>
    <n v="-1.3583435968995401"/>
    <n v="3.03227928835056E-2"/>
    <n v="0.77981731755186312"/>
    <n v="3.03227928835056E-2"/>
    <n v="3.03227928835056E-2"/>
    <n v="0.77981731755186312"/>
    <n v="0.22815200175606981"/>
    <n v="-0.65667852382718261"/>
    <n v="0.2"/>
    <s v="identity"/>
    <n v="3.03227928835056E-2"/>
    <n v="0.77981731755186312"/>
    <n v="3.03227928835056E-2"/>
    <n v="3.03227928835056E-2"/>
    <n v="0.77981731755186312"/>
    <n v="0.22815200175606981"/>
    <n v="-0.65667852382718261"/>
    <m/>
    <m/>
    <m/>
    <m/>
    <m/>
    <m/>
    <m/>
    <m/>
    <m/>
    <m/>
    <m/>
    <m/>
    <m/>
    <m/>
    <m/>
    <m/>
    <m/>
    <m/>
    <m/>
    <m/>
    <m/>
    <x v="0"/>
  </r>
  <r>
    <s v="20/04/2026 11:15:02"/>
    <s v="04-20_11-15-02_multihead_1heads_run2_spsa_serial_f5_w5_h5_effsu2_lin_r1.pkl"/>
    <x v="2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6.0002592433821098E-2"/>
    <n v="6.2387889357878997E-3"/>
    <n v="0.91587386450300556"/>
    <n v="-5.9148474813355554"/>
    <n v="1.7052338181516E-2"/>
    <n v="0.87617797683598753"/>
    <n v="1.7052338181516E-2"/>
    <n v="1.7052338181516E-2"/>
    <n v="0.87617797683598753"/>
    <n v="0.56082390936730764"/>
    <n v="-3.0723067040673149"/>
    <n v="0.2"/>
    <s v="identity"/>
    <n v="1.7052338181516E-2"/>
    <n v="0.87617797683598753"/>
    <n v="1.7052338181516E-2"/>
    <n v="1.7052338181516E-2"/>
    <n v="0.87617797683598753"/>
    <n v="0.56082390936730764"/>
    <n v="-3.0723067040673149"/>
    <m/>
    <m/>
    <m/>
    <m/>
    <m/>
    <m/>
    <m/>
    <m/>
    <m/>
    <m/>
    <m/>
    <m/>
    <m/>
    <m/>
    <m/>
    <m/>
    <m/>
    <m/>
    <m/>
    <m/>
    <m/>
    <x v="1"/>
  </r>
  <r>
    <s v="20/04/2026 11:15:07"/>
    <s v="04-20_11-15-07_multihead_1heads_run2_spsa_serial_f5_w5_h5_effsu2_lin_r1.pkl"/>
    <x v="2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5.7171847750843101E-2"/>
    <n v="7.6475000658915004E-3"/>
    <n v="0.89687828304850092"/>
    <n v="-6.1183232313559737"/>
    <n v="1.93556904337936E-2"/>
    <n v="0.85945266134549669"/>
    <n v="1.93556904337936E-2"/>
    <n v="1.93556904337936E-2"/>
    <n v="0.85945266134549669"/>
    <n v="0.56724325439101397"/>
    <n v="-3.118919448886365"/>
    <n v="0.2"/>
    <s v="identity"/>
    <n v="1.93556904337936E-2"/>
    <n v="0.85945266134549669"/>
    <n v="1.93556904337936E-2"/>
    <n v="1.93556904337936E-2"/>
    <n v="0.85945266134549669"/>
    <n v="0.56724325439101397"/>
    <n v="-3.118919448886365"/>
    <m/>
    <m/>
    <m/>
    <m/>
    <m/>
    <m/>
    <m/>
    <m/>
    <m/>
    <m/>
    <m/>
    <m/>
    <m/>
    <m/>
    <m/>
    <m/>
    <m/>
    <m/>
    <m/>
    <m/>
    <m/>
    <x v="1"/>
  </r>
  <r>
    <s v="20/04/2026 11:16:06"/>
    <s v="04-20_11-16-06_multihead_1heads_run2_spsa_serial_f5_w5_h5_effsu2_lin_r1.pkl"/>
    <x v="2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50"/>
    <n v="20"/>
    <n v="30"/>
    <n v="5.4409025860473498E-2"/>
    <n v="2.0593836758858999E-3"/>
    <n v="0.97223050948813716"/>
    <n v="-3.225001755204624"/>
    <n v="3.7009503113680999E-3"/>
    <n v="0.97312631556417162"/>
    <n v="3.7009503113680999E-3"/>
    <n v="3.7009503113680999E-3"/>
    <n v="0.97312631556417162"/>
    <n v="0.35529422376353198"/>
    <n v="-1.5798954452225551"/>
    <n v="0.2"/>
    <s v="identity"/>
    <n v="3.7009503113680999E-3"/>
    <n v="0.97312631556417162"/>
    <n v="3.7009503113680999E-3"/>
    <n v="3.7009503113680999E-3"/>
    <n v="0.97312631556417162"/>
    <n v="0.35529422376353198"/>
    <n v="-1.5798954452225551"/>
    <m/>
    <m/>
    <m/>
    <m/>
    <m/>
    <m/>
    <m/>
    <m/>
    <m/>
    <m/>
    <m/>
    <m/>
    <m/>
    <m/>
    <m/>
    <m/>
    <m/>
    <m/>
    <m/>
    <m/>
    <m/>
    <x v="2"/>
  </r>
  <r>
    <s v="20/04/2026 11:16:30"/>
    <s v="04-20_11-16-30_multihead_1heads_run2_spsa_serial_f5_w5_h5_effsu2_lin_r1.pkl"/>
    <x v="2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5.0194963805749997E-2"/>
    <n v="5.2899538507181999E-3"/>
    <n v="0.92866830742332662"/>
    <n v="-4.2744544161415456"/>
    <n v="8.9998274716991001E-3"/>
    <n v="0.93464961615171438"/>
    <n v="8.9998274716991001E-3"/>
    <n v="8.9998274716991001E-3"/>
    <n v="0.93464961615171438"/>
    <n v="0.43684166438215211"/>
    <n v="-2.1720353015731528"/>
    <n v="0.2"/>
    <s v="identity"/>
    <n v="8.9998274716991001E-3"/>
    <n v="0.93464961615171438"/>
    <n v="8.9998274716991001E-3"/>
    <n v="8.9998274716991001E-3"/>
    <n v="0.93464961615171438"/>
    <n v="0.43684166438215211"/>
    <n v="-2.1720353015731528"/>
    <m/>
    <m/>
    <m/>
    <m/>
    <m/>
    <m/>
    <m/>
    <m/>
    <m/>
    <m/>
    <m/>
    <m/>
    <m/>
    <m/>
    <m/>
    <m/>
    <m/>
    <m/>
    <m/>
    <m/>
    <m/>
    <x v="2"/>
  </r>
  <r>
    <s v="20/04/2026 11:18:43"/>
    <s v="04-20_11-18-43_multihead_1heads_run3_spsa_serial_f5_w5_h5_effsu2_lin_r1.pkl"/>
    <x v="3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50"/>
    <n v="20"/>
    <n v="30"/>
    <n v="5.5017248535077501E-2"/>
    <n v="1.07919475055233E-2"/>
    <n v="0.85447739177099558"/>
    <n v="-1.926898384686843"/>
    <n v="2.5587909075263399E-2"/>
    <n v="0.81419869600813699"/>
    <n v="2.5587909075263399E-2"/>
    <n v="2.5587909075263399E-2"/>
    <n v="0.81419869600813699"/>
    <n v="0.26938665550521868"/>
    <n v="-0.95609542474353681"/>
    <n v="0.2"/>
    <s v="identity"/>
    <n v="2.5587909075263399E-2"/>
    <n v="0.81419869600813699"/>
    <n v="2.5587909075263399E-2"/>
    <n v="2.5587909075263399E-2"/>
    <n v="0.81419869600813699"/>
    <n v="0.26938665550521868"/>
    <n v="-0.95609542474353681"/>
    <m/>
    <m/>
    <m/>
    <m/>
    <m/>
    <m/>
    <m/>
    <m/>
    <m/>
    <m/>
    <m/>
    <m/>
    <m/>
    <m/>
    <m/>
    <m/>
    <m/>
    <m/>
    <m/>
    <m/>
    <m/>
    <x v="0"/>
  </r>
  <r>
    <s v="20/04/2026 11:19:24"/>
    <s v="04-20_11-19-24_multihead_1heads_run3_spsa_serial_f5_w5_h5_effsu2_lin_r1.pkl"/>
    <x v="3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8.5200045366279106E-2"/>
    <n v="2.21080177881453E-2"/>
    <n v="0.70188731833086127"/>
    <n v="-1.5909544567836229"/>
    <n v="5.3696447521268703E-2"/>
    <n v="0.61009436371542725"/>
    <n v="5.3696447521268703E-2"/>
    <n v="5.3696447521268703E-2"/>
    <n v="0.61009436371542725"/>
    <n v="0.2409997797216813"/>
    <n v="-0.74997000350170828"/>
    <n v="0.2"/>
    <s v="identity"/>
    <n v="5.3696447521268703E-2"/>
    <n v="0.61009436371542725"/>
    <n v="5.3696447521268703E-2"/>
    <n v="5.3696447521268703E-2"/>
    <n v="0.61009436371542725"/>
    <n v="0.2409997797216813"/>
    <n v="-0.74997000350170828"/>
    <m/>
    <m/>
    <m/>
    <m/>
    <m/>
    <m/>
    <m/>
    <m/>
    <m/>
    <m/>
    <m/>
    <m/>
    <m/>
    <m/>
    <m/>
    <m/>
    <m/>
    <m/>
    <m/>
    <m/>
    <m/>
    <x v="0"/>
  </r>
  <r>
    <s v="20/04/2026 12:15:06"/>
    <s v="04-20_12-15-06_multihead_1heads_run3_spsa_serial_f5_w5_h5_effsu2_lin_r1.pkl"/>
    <x v="3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6.5733973428768799E-2"/>
    <n v="7.8672651471376996E-3"/>
    <n v="0.8939148894808211"/>
    <n v="-6.403943227549588"/>
    <n v="1.54064007611975E-2"/>
    <n v="0.88812961063633655"/>
    <n v="1.54064007611975E-2"/>
    <n v="1.54064007611975E-2"/>
    <n v="0.88812961063633655"/>
    <n v="0.59483969104880874"/>
    <n v="-3.319305260070287"/>
    <n v="0.2"/>
    <s v="identity"/>
    <n v="1.54064007611975E-2"/>
    <n v="0.88812961063633655"/>
    <n v="1.54064007611975E-2"/>
    <n v="1.54064007611975E-2"/>
    <n v="0.88812961063633655"/>
    <n v="0.59483969104880874"/>
    <n v="-3.319305260070287"/>
    <m/>
    <m/>
    <m/>
    <m/>
    <m/>
    <m/>
    <m/>
    <m/>
    <m/>
    <m/>
    <m/>
    <m/>
    <m/>
    <m/>
    <m/>
    <m/>
    <m/>
    <m/>
    <m/>
    <m/>
    <m/>
    <x v="1"/>
  </r>
  <r>
    <s v="20/04/2026 12:15:39"/>
    <s v="04-20_12-15-39_multihead_1heads_run3_spsa_serial_f5_w5_h5_effsu2_lin_r1.pkl"/>
    <x v="3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5.4259214064186399E-2"/>
    <n v="9.0782543341297005E-3"/>
    <n v="0.87758546377355129"/>
    <n v="-5.3654930177461324"/>
    <n v="2.1272780274163201E-2"/>
    <n v="0.8455321103867407"/>
    <n v="2.1272780274163201E-2"/>
    <n v="2.1272780274163201E-2"/>
    <n v="0.8455321103867407"/>
    <n v="0.5668290467064736"/>
    <n v="-3.1159117655432409"/>
    <n v="0.2"/>
    <s v="identity"/>
    <n v="2.1272780274163201E-2"/>
    <n v="0.8455321103867407"/>
    <n v="2.1272780274163201E-2"/>
    <n v="2.1272780274163201E-2"/>
    <n v="0.8455321103867407"/>
    <n v="0.5668290467064736"/>
    <n v="-3.1159117655432409"/>
    <m/>
    <m/>
    <m/>
    <m/>
    <m/>
    <m/>
    <m/>
    <m/>
    <m/>
    <m/>
    <m/>
    <m/>
    <m/>
    <m/>
    <m/>
    <m/>
    <m/>
    <m/>
    <m/>
    <m/>
    <m/>
    <x v="1"/>
  </r>
  <r>
    <s v="20/04/2026 12:19:03"/>
    <s v="04-20_12-19-03_multihead_1heads_run3_spsa_serial_f5_w5_h5_effsu2_lin_r1.pkl"/>
    <x v="3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2.67619870139079E-2"/>
    <n v="2.6463098163750998E-3"/>
    <n v="0.96431618051664525"/>
    <n v="-2.020735331013237"/>
    <n v="4.9444545714894001E-3"/>
    <n v="0.96409686683624396"/>
    <n v="4.9444545714894001E-3"/>
    <n v="4.9444545714894001E-3"/>
    <n v="0.96409686683624396"/>
    <n v="0.25692313941752781"/>
    <n v="-0.86559418313739034"/>
    <n v="0.2"/>
    <s v="identity"/>
    <n v="4.9444545714894001E-3"/>
    <n v="0.96409686683624396"/>
    <n v="4.9444545714894001E-3"/>
    <n v="4.9444545714894001E-3"/>
    <n v="0.96409686683624396"/>
    <n v="0.25692313941752781"/>
    <n v="-0.86559418313739034"/>
    <m/>
    <m/>
    <m/>
    <m/>
    <m/>
    <m/>
    <m/>
    <m/>
    <m/>
    <m/>
    <m/>
    <m/>
    <m/>
    <m/>
    <m/>
    <m/>
    <m/>
    <m/>
    <m/>
    <m/>
    <m/>
    <x v="2"/>
  </r>
  <r>
    <s v="20/04/2026 12:19:20"/>
    <s v="04-20_12-19-20_multihead_1heads_run4_spsa_serial_f5_w5_h5_effsu2_lin_r1.pkl"/>
    <x v="4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50"/>
    <n v="20"/>
    <n v="30"/>
    <n v="5.78066489011013E-2"/>
    <n v="8.6639202858959999E-3"/>
    <n v="0.88317249719325486"/>
    <n v="-2.979390494752959"/>
    <n v="1.1573620783028199E-2"/>
    <n v="0.91596054890343437"/>
    <n v="1.1573620783028199E-2"/>
    <n v="1.1573620783028199E-2"/>
    <n v="0.91596054890343437"/>
    <n v="0.33778736216662231"/>
    <n v="-1.4527729943828549"/>
    <n v="0.2"/>
    <s v="identity"/>
    <n v="1.1573620783028199E-2"/>
    <n v="0.91596054890343437"/>
    <n v="1.1573620783028199E-2"/>
    <n v="1.1573620783028199E-2"/>
    <n v="0.91596054890343437"/>
    <n v="0.33778736216662231"/>
    <n v="-1.4527729943828549"/>
    <m/>
    <m/>
    <m/>
    <m/>
    <m/>
    <m/>
    <m/>
    <m/>
    <m/>
    <m/>
    <m/>
    <m/>
    <m/>
    <m/>
    <m/>
    <m/>
    <m/>
    <m/>
    <m/>
    <m/>
    <m/>
    <x v="0"/>
  </r>
  <r>
    <s v="20/04/2026 12:20:32"/>
    <s v="04-20_12-20-32_multihead_1heads_run4_spsa_serial_f5_w5_h5_effsu2_lin_r1.pkl"/>
    <x v="4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5.7199536293765701E-2"/>
    <n v="1.21598314830397E-2"/>
    <n v="0.83603233872927452"/>
    <n v="-3.6802391747726579"/>
    <n v="2.4849394188784998E-2"/>
    <n v="0.81956126895309622"/>
    <n v="2.4849394188784998E-2"/>
    <n v="2.4849394188784998E-2"/>
    <n v="0.81956126895309622"/>
    <n v="0.3912420157487993"/>
    <n v="-1.8409228940400839"/>
    <n v="0.2"/>
    <s v="identity"/>
    <n v="2.4849394188784998E-2"/>
    <n v="0.81956126895309622"/>
    <n v="2.4849394188784998E-2"/>
    <n v="2.4849394188784998E-2"/>
    <n v="0.81956126895309622"/>
    <n v="0.3912420157487993"/>
    <n v="-1.8409228940400839"/>
    <m/>
    <m/>
    <m/>
    <m/>
    <m/>
    <m/>
    <m/>
    <m/>
    <m/>
    <m/>
    <m/>
    <m/>
    <m/>
    <m/>
    <m/>
    <m/>
    <m/>
    <m/>
    <m/>
    <m/>
    <m/>
    <x v="0"/>
  </r>
  <r>
    <s v="20/04/2026 12:24:25"/>
    <s v="04-20_12-24-25_multihead_1heads_run4_spsa_serial_f5_w5_h5_effsu2_lin_r1.pkl"/>
    <x v="4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6.8925807087228202E-2"/>
    <n v="1.3721784316036399E-2"/>
    <n v="0.81497038952390344"/>
    <n v="-0.3773681869260283"/>
    <n v="3.4897353667638298E-2"/>
    <n v="0.74660009154164642"/>
    <n v="3.4897353667638298E-2"/>
    <n v="3.4897353667638298E-2"/>
    <n v="0.74660009154164642"/>
    <n v="0.15850949369052861"/>
    <n v="-0.15098387039610009"/>
    <n v="0.2"/>
    <s v="identity"/>
    <n v="3.4897353667638298E-2"/>
    <n v="0.74660009154164642"/>
    <n v="3.4897353667638298E-2"/>
    <n v="3.4897353667638298E-2"/>
    <n v="0.74660009154164642"/>
    <n v="0.15850949369052861"/>
    <n v="-0.15098387039610009"/>
    <m/>
    <m/>
    <m/>
    <m/>
    <m/>
    <m/>
    <m/>
    <m/>
    <m/>
    <m/>
    <m/>
    <m/>
    <m/>
    <m/>
    <m/>
    <m/>
    <m/>
    <m/>
    <m/>
    <m/>
    <m/>
    <x v="1"/>
  </r>
  <r>
    <s v="20/04/2026 12:24:30"/>
    <s v="04-20_12-24-30_multihead_1heads_run4_spsa_serial_f5_w5_h5_effsu2_lin_r1.pkl"/>
    <x v="4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4.1721321904571201E-2"/>
    <n v="7.1116363966016996E-3"/>
    <n v="0.90410406678867439"/>
    <n v="-4.4508715736486488"/>
    <n v="1.52751308105334E-2"/>
    <n v="0.88908280020476127"/>
    <n v="1.52751308105334E-2"/>
    <n v="1.52751308105334E-2"/>
    <n v="0.88908280020476127"/>
    <n v="0.44542792035812118"/>
    <n v="-2.2343826216316418"/>
    <n v="0.2"/>
    <s v="identity"/>
    <n v="1.52751308105334E-2"/>
    <n v="0.88908280020476127"/>
    <n v="1.52751308105334E-2"/>
    <n v="1.52751308105334E-2"/>
    <n v="0.88908280020476127"/>
    <n v="0.44542792035812118"/>
    <n v="-2.2343826216316418"/>
    <m/>
    <m/>
    <m/>
    <m/>
    <m/>
    <m/>
    <m/>
    <m/>
    <m/>
    <m/>
    <m/>
    <m/>
    <m/>
    <m/>
    <m/>
    <m/>
    <m/>
    <m/>
    <m/>
    <m/>
    <m/>
    <x v="1"/>
  </r>
  <r>
    <s v="20/04/2026 12:27:03"/>
    <s v="04-20_12-27-03_multihead_1heads_run4_spsa_serial_f5_w5_h5_effsu2_lin_r1.pkl"/>
    <x v="4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50"/>
    <n v="20"/>
    <n v="30"/>
    <n v="3.71034780613166E-2"/>
    <n v="3.1577606183996998E-3"/>
    <n v="0.95741958890022583"/>
    <n v="-2.3574406668050001"/>
    <n v="3.9866886802030002E-3"/>
    <n v="0.97105148555856735"/>
    <n v="3.9866886802030002E-3"/>
    <n v="3.9866886802030002E-3"/>
    <n v="0.97105148555856735"/>
    <n v="0.26167105349634678"/>
    <n v="-0.90007017820565083"/>
    <n v="0.2"/>
    <s v="identity"/>
    <n v="3.9866886802030002E-3"/>
    <n v="0.97105148555856735"/>
    <n v="3.9866886802030002E-3"/>
    <n v="3.9866886802030002E-3"/>
    <n v="0.97105148555856735"/>
    <n v="0.26167105349634678"/>
    <n v="-0.90007017820565083"/>
    <m/>
    <m/>
    <m/>
    <m/>
    <m/>
    <m/>
    <m/>
    <m/>
    <m/>
    <m/>
    <m/>
    <m/>
    <m/>
    <m/>
    <m/>
    <m/>
    <m/>
    <m/>
    <m/>
    <m/>
    <m/>
    <x v="2"/>
  </r>
  <r>
    <s v="20/04/2026 12:27:14"/>
    <s v="04-20_12-27-14_multihead_1heads_run4_spsa_serial_f5_w5_h5_effsu2_lin_r1.pkl"/>
    <x v="4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3.1519097878912897E-2"/>
    <n v="4.4824463222737998E-3"/>
    <n v="0.93955703734381979"/>
    <n v="-4.1848272183227646"/>
    <n v="8.3128831487221996E-3"/>
    <n v="0.93963772012705282"/>
    <n v="8.3128831487221996E-3"/>
    <n v="8.3128831487221996E-3"/>
    <n v="0.93963772012705282"/>
    <n v="0.4260765382453886"/>
    <n v="-2.093866566958523"/>
    <n v="0.2"/>
    <s v="identity"/>
    <n v="8.3128831487221996E-3"/>
    <n v="0.93963772012705282"/>
    <n v="8.3128831487221996E-3"/>
    <n v="8.3128831487221996E-3"/>
    <n v="0.93963772012705282"/>
    <n v="0.4260765382453886"/>
    <n v="-2.093866566958523"/>
    <m/>
    <m/>
    <m/>
    <m/>
    <m/>
    <m/>
    <m/>
    <m/>
    <m/>
    <m/>
    <m/>
    <m/>
    <m/>
    <m/>
    <m/>
    <m/>
    <m/>
    <m/>
    <m/>
    <m/>
    <m/>
    <x v="2"/>
  </r>
  <r>
    <s v="20/04/2026 13:16:45"/>
    <s v="04-20_13-16-45_multihead_1heads_run5_spsa_serial_f5_w5_h5_effsu2_lin_r1.pkl"/>
    <x v="5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50"/>
    <n v="20"/>
    <n v="30"/>
    <n v="5.0196923442521697E-2"/>
    <n v="1.2200807290801301E-2"/>
    <n v="0.83547980579518555"/>
    <n v="-3.1038976805017779"/>
    <n v="1.9881665676896899E-2"/>
    <n v="0.85563340101638685"/>
    <n v="1.9881665676896899E-2"/>
    <n v="1.9881665676896899E-2"/>
    <n v="0.85563340101638685"/>
    <n v="0.3518643226906637"/>
    <n v="-1.554989928713663"/>
    <n v="0.2"/>
    <s v="identity"/>
    <n v="1.9881665676896899E-2"/>
    <n v="0.85563340101638685"/>
    <n v="1.9881665676896899E-2"/>
    <n v="1.9881665676896899E-2"/>
    <n v="0.85563340101638685"/>
    <n v="0.3518643226906637"/>
    <n v="-1.554989928713663"/>
    <m/>
    <m/>
    <m/>
    <m/>
    <m/>
    <m/>
    <m/>
    <m/>
    <m/>
    <m/>
    <m/>
    <m/>
    <m/>
    <m/>
    <m/>
    <m/>
    <m/>
    <m/>
    <m/>
    <m/>
    <m/>
    <x v="0"/>
  </r>
  <r>
    <s v="20/04/2026 13:18:48"/>
    <s v="04-20_13-18-48_multihead_1heads_run5_spsa_serial_f5_w5_h5_effsu2_lin_r1.pkl"/>
    <x v="5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5.88544808159773E-2"/>
    <n v="6.6297643559473998E-3"/>
    <n v="0.91060180745621877"/>
    <n v="-3.3179672862364642"/>
    <n v="1.3489828045643901E-2"/>
    <n v="0.90204640660030755"/>
    <n v="1.3489828045643901E-2"/>
    <n v="1.3489828045643901E-2"/>
    <n v="0.90204640660030755"/>
    <n v="0.36557718208270468"/>
    <n v="-1.6545630180584801"/>
    <n v="0.2"/>
    <s v="identity"/>
    <n v="1.3489828045643901E-2"/>
    <n v="0.90204640660030755"/>
    <n v="1.3489828045643901E-2"/>
    <n v="1.3489828045643901E-2"/>
    <n v="0.90204640660030755"/>
    <n v="0.36557718208270468"/>
    <n v="-1.6545630180584801"/>
    <m/>
    <m/>
    <m/>
    <m/>
    <m/>
    <m/>
    <m/>
    <m/>
    <m/>
    <m/>
    <m/>
    <m/>
    <m/>
    <m/>
    <m/>
    <m/>
    <m/>
    <m/>
    <m/>
    <m/>
    <m/>
    <x v="0"/>
  </r>
  <r>
    <s v="20/04/2026 13:21:11"/>
    <s v="04-20_13-21-11_multihead_1heads_run5_spsa_serial_f5_w5_h5_effsu2_lin_r1.pkl"/>
    <x v="5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6.2184568859306302E-2"/>
    <n v="9.0167292883473003E-3"/>
    <n v="0.8784150902268939"/>
    <n v="-4.4494700101308817"/>
    <n v="2.1002065340660899E-2"/>
    <n v="0.84749785082715123"/>
    <n v="2.1002065340660899E-2"/>
    <n v="2.1002065340660899E-2"/>
    <n v="0.84749785082715123"/>
    <n v="0.44787766496017578"/>
    <n v="-2.2521709348607519"/>
    <n v="0.2"/>
    <s v="identity"/>
    <n v="2.1002065340660899E-2"/>
    <n v="0.84749785082715123"/>
    <n v="2.1002065340660899E-2"/>
    <n v="2.1002065340660899E-2"/>
    <n v="0.84749785082715123"/>
    <n v="0.44787766496017578"/>
    <n v="-2.2521709348607519"/>
    <m/>
    <m/>
    <m/>
    <m/>
    <m/>
    <m/>
    <m/>
    <m/>
    <m/>
    <m/>
    <m/>
    <m/>
    <m/>
    <m/>
    <m/>
    <m/>
    <m/>
    <m/>
    <m/>
    <m/>
    <m/>
    <x v="1"/>
  </r>
  <r>
    <s v="20/04/2026 13:21:38"/>
    <s v="04-20_13-21-38_multihead_1heads_run5_spsa_serial_f5_w5_h5_effsu2_lin_r1.pkl"/>
    <x v="5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4.6944063251730603E-2"/>
    <n v="7.0865749347328996E-3"/>
    <n v="0.90444200480174419"/>
    <n v="-10.57829376760848"/>
    <n v="1.53008537723746E-2"/>
    <n v="0.88889601824307074"/>
    <n v="1.53008537723746E-2"/>
    <n v="1.53008537723746E-2"/>
    <n v="0.88889601824307074"/>
    <n v="0.88291400672705245"/>
    <n v="-5.4110972600397194"/>
    <n v="0.2"/>
    <s v="identity"/>
    <n v="1.53008537723746E-2"/>
    <n v="0.88889601824307074"/>
    <n v="1.53008537723746E-2"/>
    <n v="1.53008537723746E-2"/>
    <n v="0.88889601824307074"/>
    <n v="0.88291400672705245"/>
    <n v="-5.4110972600397194"/>
    <m/>
    <m/>
    <m/>
    <m/>
    <m/>
    <m/>
    <m/>
    <m/>
    <m/>
    <m/>
    <m/>
    <m/>
    <m/>
    <m/>
    <m/>
    <m/>
    <m/>
    <m/>
    <m/>
    <m/>
    <m/>
    <x v="1"/>
  </r>
  <r>
    <s v="20/04/2026 13:25:12"/>
    <s v="04-20_13-25-12_multihead_1heads_run5_spsa_serial_f5_w5_h5_effsu2_lin_r1.pkl"/>
    <x v="5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3.3359146521690503E-2"/>
    <n v="3.2071934111955998E-3"/>
    <n v="0.9567530188547344"/>
    <n v="-3.723661111432599"/>
    <n v="3.9668280052121002E-3"/>
    <n v="0.97119569973803044"/>
    <n v="3.9668280052121002E-3"/>
    <n v="3.9668280052121002E-3"/>
    <n v="0.97119569973803044"/>
    <n v="0.39193362545159749"/>
    <n v="-1.845944874705068"/>
    <n v="0.2"/>
    <s v="identity"/>
    <n v="3.9668280052121002E-3"/>
    <n v="0.97119569973803044"/>
    <n v="3.9668280052121002E-3"/>
    <n v="3.9668280052121002E-3"/>
    <n v="0.97119569973803044"/>
    <n v="0.39193362545159749"/>
    <n v="-1.845944874705068"/>
    <m/>
    <m/>
    <m/>
    <m/>
    <m/>
    <m/>
    <m/>
    <m/>
    <m/>
    <m/>
    <m/>
    <m/>
    <m/>
    <m/>
    <m/>
    <m/>
    <m/>
    <m/>
    <m/>
    <m/>
    <m/>
    <x v="2"/>
  </r>
  <r>
    <s v="20/04/2026 13:25:58"/>
    <s v="04-20_13-25-58_multihead_1heads_run6_spsa_serial_f5_w5_h5_effsu2_lin_r1.pkl"/>
    <x v="6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50"/>
    <n v="20"/>
    <n v="30"/>
    <n v="5.6433138155235901E-2"/>
    <n v="1.0729479728576E-2"/>
    <n v="0.85531973035974351"/>
    <n v="-1.1480594199516609"/>
    <n v="2.5013300277087699E-2"/>
    <n v="0.81837109882824299"/>
    <n v="2.5013300277087699E-2"/>
    <n v="2.5013300277087699E-2"/>
    <n v="0.81837109882824299"/>
    <n v="0.21223521934247749"/>
    <n v="-0.54110210376481982"/>
    <n v="0.2"/>
    <s v="identity"/>
    <n v="2.5013300277087699E-2"/>
    <n v="0.81837109882824299"/>
    <n v="2.5013300277087699E-2"/>
    <n v="2.5013300277087699E-2"/>
    <n v="0.81837109882824299"/>
    <n v="0.21223521934247749"/>
    <n v="-0.54110210376481982"/>
    <m/>
    <m/>
    <m/>
    <m/>
    <m/>
    <m/>
    <m/>
    <m/>
    <m/>
    <m/>
    <m/>
    <m/>
    <m/>
    <m/>
    <m/>
    <m/>
    <m/>
    <m/>
    <m/>
    <m/>
    <m/>
    <x v="0"/>
  </r>
  <r>
    <s v="20/04/2026 13:26:18"/>
    <s v="04-20_13-26-18_multihead_1heads_run6_spsa_serial_f5_w5_h5_effsu2_lin_r1.pkl"/>
    <x v="6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5.72518538401392E-2"/>
    <n v="1.0126790148221E-2"/>
    <n v="0.86344661937961775"/>
    <n v="-2.0505058973203041"/>
    <n v="2.93135339030813E-2"/>
    <n v="0.78714584267975651"/>
    <n v="2.93135339030813E-2"/>
    <n v="2.93135339030813E-2"/>
    <n v="0.78714584267975651"/>
    <n v="0.27489212474458002"/>
    <n v="-0.9960722497647464"/>
    <n v="0.2"/>
    <s v="identity"/>
    <n v="2.93135339030813E-2"/>
    <n v="0.78714584267975651"/>
    <n v="2.93135339030813E-2"/>
    <n v="2.93135339030813E-2"/>
    <n v="0.78714584267975651"/>
    <n v="0.27489212474458002"/>
    <n v="-0.9960722497647464"/>
    <m/>
    <m/>
    <m/>
    <m/>
    <m/>
    <m/>
    <m/>
    <m/>
    <m/>
    <m/>
    <m/>
    <m/>
    <m/>
    <m/>
    <m/>
    <m/>
    <m/>
    <m/>
    <m/>
    <m/>
    <m/>
    <x v="0"/>
  </r>
  <r>
    <s v="20/04/2026 13:22:16"/>
    <s v="04-20_13-22-16_multihead_1heads_run5_spsa_serial_f5_w5_h5_effsu2_lin_r1.pkl"/>
    <x v="5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50"/>
    <n v="20"/>
    <n v="30"/>
    <n v="2.7456384916299099E-2"/>
    <n v="2.5444583449679E-3"/>
    <n v="0.96568958339537103"/>
    <n v="-3.2446142049114099"/>
    <n v="3.4410505273454002E-3"/>
    <n v="0.97501352403582064"/>
    <n v="3.4410505273454002E-3"/>
    <n v="3.4410505273454002E-3"/>
    <n v="0.97501352403582064"/>
    <n v="0.34855790352521387"/>
    <n v="-1.530981050509614"/>
    <n v="0.2"/>
    <s v="identity"/>
    <n v="3.4410505273454002E-3"/>
    <n v="0.97501352403582064"/>
    <n v="3.4410505273454002E-3"/>
    <n v="3.4410505273454002E-3"/>
    <n v="0.97501352403582064"/>
    <n v="0.34855790352521387"/>
    <n v="-1.530981050509614"/>
    <m/>
    <m/>
    <m/>
    <m/>
    <m/>
    <m/>
    <m/>
    <m/>
    <m/>
    <m/>
    <m/>
    <m/>
    <m/>
    <m/>
    <m/>
    <m/>
    <m/>
    <m/>
    <m/>
    <m/>
    <m/>
    <x v="2"/>
  </r>
  <r>
    <s v="20/04/2026 13:30:24"/>
    <s v="04-20_13-30-24_multihead_1heads_run6_spsa_serial_f5_w5_h5_effsu2_lin_r1.pkl"/>
    <x v="6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5.4676241338796998E-2"/>
    <n v="8.4127303549591994E-3"/>
    <n v="0.88655963504692537"/>
    <n v="-4.4281600771372549"/>
    <n v="1.9957802222043599E-2"/>
    <n v="0.85508055125722549"/>
    <n v="1.9957802222043599E-2"/>
    <n v="1.9957802222043599E-2"/>
    <n v="0.85508055125722549"/>
    <n v="0.45470149254884579"/>
    <n v="-2.301720746080623"/>
    <n v="0.2"/>
    <s v="identity"/>
    <n v="1.9957802222043599E-2"/>
    <n v="0.85508055125722549"/>
    <n v="1.9957802222043599E-2"/>
    <n v="1.9957802222043599E-2"/>
    <n v="0.85508055125722549"/>
    <n v="0.45470149254884579"/>
    <n v="-2.301720746080623"/>
    <m/>
    <m/>
    <m/>
    <m/>
    <m/>
    <m/>
    <m/>
    <m/>
    <m/>
    <m/>
    <m/>
    <m/>
    <m/>
    <m/>
    <m/>
    <m/>
    <m/>
    <m/>
    <m/>
    <m/>
    <m/>
    <x v="1"/>
  </r>
  <r>
    <s v="20/04/2026 13:34:22"/>
    <s v="04-20_13-34-22_multihead_1heads_run6_spsa_serial_f5_w5_h5_effsu2_lin_r1.pkl"/>
    <x v="6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6.6894539677885306E-2"/>
    <n v="1.65820278106295E-2"/>
    <n v="0.77640180926624347"/>
    <n v="-2.6646216383946091"/>
    <n v="3.25092371675288E-2"/>
    <n v="0.76394090506805434"/>
    <n v="3.25092371675288E-2"/>
    <n v="3.25092371675288E-2"/>
    <n v="0.76394090506805434"/>
    <n v="0.31735607035627678"/>
    <n v="-1.304415399026605"/>
    <n v="0.2"/>
    <s v="identity"/>
    <n v="3.25092371675288E-2"/>
    <n v="0.76394090506805434"/>
    <n v="3.25092371675288E-2"/>
    <n v="3.25092371675288E-2"/>
    <n v="0.76394090506805434"/>
    <n v="0.31735607035627678"/>
    <n v="-1.304415399026605"/>
    <m/>
    <m/>
    <m/>
    <m/>
    <m/>
    <m/>
    <m/>
    <m/>
    <m/>
    <m/>
    <m/>
    <m/>
    <m/>
    <m/>
    <m/>
    <m/>
    <m/>
    <m/>
    <m/>
    <m/>
    <m/>
    <x v="1"/>
  </r>
  <r>
    <s v="20/04/2026 14:21:51"/>
    <s v="04-20_14-21-51_multihead_1heads_run6_spsa_serial_f5_w5_h5_effsu2_lin_r1.pkl"/>
    <x v="6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50"/>
    <n v="20"/>
    <n v="30"/>
    <n v="3.70703797372674E-2"/>
    <n v="3.8373171739921998E-3"/>
    <n v="0.94825619718076759"/>
    <n v="-1.594665550791873"/>
    <n v="8.6158343033695007E-3"/>
    <n v="0.93743790304103203"/>
    <n v="8.6158343033695007E-3"/>
    <n v="8.6158343033695007E-3"/>
    <n v="0.93743790304103203"/>
    <n v="0.2356078134592286"/>
    <n v="-0.71081735684749825"/>
    <n v="0.2"/>
    <s v="identity"/>
    <n v="8.6158343033695007E-3"/>
    <n v="0.93743790304103203"/>
    <n v="8.6158343033695007E-3"/>
    <n v="8.6158343033695007E-3"/>
    <n v="0.93743790304103203"/>
    <n v="0.2356078134592286"/>
    <n v="-0.71081735684749825"/>
    <m/>
    <m/>
    <m/>
    <m/>
    <m/>
    <m/>
    <m/>
    <m/>
    <m/>
    <m/>
    <m/>
    <m/>
    <m/>
    <m/>
    <m/>
    <m/>
    <m/>
    <m/>
    <m/>
    <m/>
    <m/>
    <x v="2"/>
  </r>
  <r>
    <s v="20/04/2026 14:23:05"/>
    <s v="04-20_14-23-05_multihead_1heads_run6_spsa_serial_f5_w5_h5_effsu2_lin_r1.pkl"/>
    <x v="6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2.9821245100800201E-2"/>
    <n v="3.6260064706485E-3"/>
    <n v="0.95110558879257301"/>
    <n v="-2.4823730864187681"/>
    <n v="5.6209694794970002E-3"/>
    <n v="0.95918449389838378"/>
    <n v="5.6209694794970002E-3"/>
    <n v="5.6209694794970002E-3"/>
    <n v="0.95918449389838378"/>
    <n v="0.29536999046906831"/>
    <n v="-1.144768031955814"/>
    <n v="0.2"/>
    <s v="identity"/>
    <n v="5.6209694794970002E-3"/>
    <n v="0.95918449389838378"/>
    <n v="5.6209694794970002E-3"/>
    <n v="5.6209694794970002E-3"/>
    <n v="0.95918449389838378"/>
    <n v="0.29536999046906831"/>
    <n v="-1.144768031955814"/>
    <m/>
    <m/>
    <m/>
    <m/>
    <m/>
    <m/>
    <m/>
    <m/>
    <m/>
    <m/>
    <m/>
    <m/>
    <m/>
    <m/>
    <m/>
    <m/>
    <m/>
    <m/>
    <m/>
    <m/>
    <m/>
    <x v="2"/>
  </r>
  <r>
    <s v="20/04/2026 14:24:38"/>
    <s v="04-20_14-24-38_multihead_1heads_run7_spsa_serial_f5_w5_h5_effsu2_lin_r1.pkl"/>
    <x v="7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50"/>
    <n v="20"/>
    <n v="30"/>
    <n v="6.0631302469387797E-2"/>
    <n v="1.16215991870799E-2"/>
    <n v="0.84329006190677025"/>
    <n v="-1.5282417682833569"/>
    <n v="2.51503419845794E-2"/>
    <n v="0.81737599884260725"/>
    <n v="2.51503419845794E-2"/>
    <n v="2.51503419845794E-2"/>
    <n v="0.81737599884260725"/>
    <n v="0.24320735335676061"/>
    <n v="-0.76599984239355834"/>
    <n v="0.2"/>
    <s v="identity"/>
    <n v="2.51503419845794E-2"/>
    <n v="0.81737599884260725"/>
    <n v="2.51503419845794E-2"/>
    <n v="2.51503419845794E-2"/>
    <n v="0.81737599884260725"/>
    <n v="0.24320735335676061"/>
    <n v="-0.76599984239355834"/>
    <m/>
    <m/>
    <m/>
    <m/>
    <m/>
    <m/>
    <m/>
    <m/>
    <m/>
    <m/>
    <m/>
    <m/>
    <m/>
    <m/>
    <m/>
    <m/>
    <m/>
    <m/>
    <m/>
    <m/>
    <m/>
    <x v="0"/>
  </r>
  <r>
    <s v="20/04/2026 14:24:55"/>
    <s v="04-20_14-24-55_multihead_1heads_run7_spsa_serial_f5_w5_h5_effsu2_lin_r1.pkl"/>
    <x v="7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7.2169101162565003E-2"/>
    <n v="1.0322668803032901E-2"/>
    <n v="0.86080531921298709"/>
    <n v="-1.3001383263407591"/>
    <n v="2.3603528526093299E-2"/>
    <n v="0.82860786451688118"/>
    <n v="2.3603528526093299E-2"/>
    <n v="2.3603528526093299E-2"/>
    <n v="0.82860786451688118"/>
    <n v="0.22311574950612939"/>
    <n v="-0.62010882082728092"/>
    <n v="0.2"/>
    <s v="identity"/>
    <n v="2.3603528526093299E-2"/>
    <n v="0.82860786451688118"/>
    <n v="2.3603528526093299E-2"/>
    <n v="2.3603528526093299E-2"/>
    <n v="0.82860786451688118"/>
    <n v="0.22311574950612939"/>
    <n v="-0.62010882082728092"/>
    <m/>
    <m/>
    <m/>
    <m/>
    <m/>
    <m/>
    <m/>
    <m/>
    <m/>
    <m/>
    <m/>
    <m/>
    <m/>
    <m/>
    <m/>
    <m/>
    <m/>
    <m/>
    <m/>
    <m/>
    <m/>
    <x v="0"/>
  </r>
  <r>
    <s v="20/04/2026 14:30:30"/>
    <s v="04-20_14-30-30_multihead_1heads_run7_spsa_serial_f5_w5_h5_effsu2_lin_r1.pkl"/>
    <x v="7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4.8092543491686797E-2"/>
    <n v="5.2022583189278004E-3"/>
    <n v="0.92985082638106242"/>
    <n v="-1.162035446229408"/>
    <n v="1.7109828453392598E-2"/>
    <n v="0.87576052312962527"/>
    <n v="1.7109828453392598E-2"/>
    <n v="1.7109828453392598E-2"/>
    <n v="0.87576052312962527"/>
    <n v="0.2161580371323987"/>
    <n v="-0.56958683296039303"/>
    <n v="0.2"/>
    <s v="identity"/>
    <n v="1.7109828453392598E-2"/>
    <n v="0.87576052312962527"/>
    <n v="1.7109828453392598E-2"/>
    <n v="1.7109828453392598E-2"/>
    <n v="0.87576052312962527"/>
    <n v="0.2161580371323987"/>
    <n v="-0.56958683296039303"/>
    <m/>
    <m/>
    <m/>
    <m/>
    <m/>
    <m/>
    <m/>
    <m/>
    <m/>
    <m/>
    <m/>
    <m/>
    <m/>
    <m/>
    <m/>
    <m/>
    <m/>
    <m/>
    <m/>
    <m/>
    <m/>
    <x v="1"/>
  </r>
  <r>
    <s v="20/04/2026 14:34:27"/>
    <s v="04-20_14-34-27_multihead_1heads_run7_spsa_serial_f5_w5_h5_effsu2_lin_r1.pkl"/>
    <x v="7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4.9436165147274801E-2"/>
    <n v="5.8612406085737003E-3"/>
    <n v="0.92096486566665881"/>
    <n v="-2.0282848891814309"/>
    <n v="1.69026258294812E-2"/>
    <n v="0.87726508208362386"/>
    <n v="1.69026258294812E-2"/>
    <n v="1.69026258294812E-2"/>
    <n v="0.87726508208362386"/>
    <n v="0.31620467112052297"/>
    <n v="-1.296054751863561"/>
    <n v="0.2"/>
    <s v="identity"/>
    <n v="1.69026258294812E-2"/>
    <n v="0.87726508208362386"/>
    <n v="1.69026258294812E-2"/>
    <n v="1.69026258294812E-2"/>
    <n v="0.87726508208362386"/>
    <n v="0.31620467112052297"/>
    <n v="-1.296054751863561"/>
    <m/>
    <m/>
    <m/>
    <m/>
    <m/>
    <m/>
    <m/>
    <m/>
    <m/>
    <m/>
    <m/>
    <m/>
    <m/>
    <m/>
    <m/>
    <m/>
    <m/>
    <m/>
    <m/>
    <m/>
    <m/>
    <x v="1"/>
  </r>
  <r>
    <s v="20/04/2026 14:38:07"/>
    <s v="04-20_14-38-07_multihead_1heads_run7_spsa_serial_f5_w5_h5_effsu2_lin_r1.pkl"/>
    <x v="7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50"/>
    <n v="20"/>
    <n v="30"/>
    <n v="4.6055473048429003E-2"/>
    <n v="4.3974424953674004E-3"/>
    <n v="0.94070326035820517"/>
    <n v="-3.4384469355219069"/>
    <n v="5.6876048489069003E-3"/>
    <n v="0.95870063495969815"/>
    <n v="5.6876048489069003E-3"/>
    <n v="5.6876048489069003E-3"/>
    <n v="0.95870063495969815"/>
    <n v="0.37447288041810778"/>
    <n v="-1.7191572897426011"/>
    <n v="0.2"/>
    <s v="identity"/>
    <n v="5.6876048489069003E-3"/>
    <n v="0.95870063495969815"/>
    <n v="5.6876048489069003E-3"/>
    <n v="5.6876048489069003E-3"/>
    <n v="0.95870063495969815"/>
    <n v="0.37447288041810778"/>
    <n v="-1.7191572897426011"/>
    <m/>
    <m/>
    <m/>
    <m/>
    <m/>
    <m/>
    <m/>
    <m/>
    <m/>
    <m/>
    <m/>
    <m/>
    <m/>
    <m/>
    <m/>
    <m/>
    <m/>
    <m/>
    <m/>
    <m/>
    <m/>
    <x v="2"/>
  </r>
  <r>
    <s v="20/04/2026 14:40:18"/>
    <s v="04-20_14-40-18_multihead_1heads_run7_spsa_serial_f5_w5_h5_effsu2_lin_r1.pkl"/>
    <x v="7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4.0165078697730901E-2"/>
    <n v="3.7131005246380001E-3"/>
    <n v="0.94993118038377478"/>
    <n v="-4.0373329272948846"/>
    <n v="4.8015745369415002E-3"/>
    <n v="0.965134360625022"/>
    <n v="4.8015745369415002E-3"/>
    <n v="4.8015745369415002E-3"/>
    <n v="0.965134360625022"/>
    <n v="0.41828417117955208"/>
    <n v="-2.037283906853038"/>
    <n v="0.2"/>
    <s v="identity"/>
    <n v="4.8015745369415002E-3"/>
    <n v="0.965134360625022"/>
    <n v="4.8015745369415002E-3"/>
    <n v="4.8015745369415002E-3"/>
    <n v="0.965134360625022"/>
    <n v="0.41828417117955208"/>
    <n v="-2.037283906853038"/>
    <m/>
    <m/>
    <m/>
    <m/>
    <m/>
    <m/>
    <m/>
    <m/>
    <m/>
    <m/>
    <m/>
    <m/>
    <m/>
    <m/>
    <m/>
    <m/>
    <m/>
    <m/>
    <m/>
    <m/>
    <m/>
    <x v="2"/>
  </r>
  <r>
    <s v="20/04/2026 14:45:31"/>
    <s v="04-20_14-45-31_multihead_1heads_run8_spsa_serial_f5_w5_h5_effsu2_lin_r1.pkl"/>
    <x v="8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50"/>
    <n v="20"/>
    <n v="30"/>
    <n v="6.2147064932504603E-2"/>
    <n v="9.4822456777604001E-3"/>
    <n v="0.87213789520476426"/>
    <n v="-1.762579297302038"/>
    <n v="2.8918970732529699E-2"/>
    <n v="0.79001088145178056"/>
    <n v="2.8918970732529699E-2"/>
    <n v="2.8918970732529699E-2"/>
    <n v="0.79001088145178056"/>
    <n v="0.28512669352819597"/>
    <n v="-1.0703884520068661"/>
    <n v="0.2"/>
    <s v="identity"/>
    <n v="2.8918970732529699E-2"/>
    <n v="0.79001088145178056"/>
    <n v="2.8918970732529699E-2"/>
    <n v="2.8918970732529699E-2"/>
    <n v="0.79001088145178056"/>
    <n v="0.28512669352819597"/>
    <n v="-1.0703884520068661"/>
    <m/>
    <m/>
    <m/>
    <m/>
    <m/>
    <m/>
    <m/>
    <m/>
    <m/>
    <m/>
    <m/>
    <m/>
    <m/>
    <m/>
    <m/>
    <m/>
    <m/>
    <m/>
    <m/>
    <m/>
    <m/>
    <x v="0"/>
  </r>
  <r>
    <s v="20/04/2026 14:51:19"/>
    <s v="04-20_14-51-19_multihead_1heads_run8_spsa_serial_f5_w5_h5_effsu2_lin_r1.pkl"/>
    <x v="8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5.5571151514485398E-2"/>
    <n v="8.7006174762684994E-3"/>
    <n v="0.8826776587171643"/>
    <n v="-1.8209305451859441"/>
    <n v="2.76140522251377E-2"/>
    <n v="0.79948627702096942"/>
    <n v="2.76140522251377E-2"/>
    <n v="2.76140522251377E-2"/>
    <n v="0.79948627702096942"/>
    <n v="0.25698563325197232"/>
    <n v="-0.86604796917739346"/>
    <n v="0.2"/>
    <s v="identity"/>
    <n v="2.76140522251377E-2"/>
    <n v="0.79948627702096942"/>
    <n v="2.76140522251377E-2"/>
    <n v="2.76140522251377E-2"/>
    <n v="0.79948627702096942"/>
    <n v="0.25698563325197232"/>
    <n v="-0.86604796917739346"/>
    <m/>
    <m/>
    <m/>
    <m/>
    <m/>
    <m/>
    <m/>
    <m/>
    <m/>
    <m/>
    <m/>
    <m/>
    <m/>
    <m/>
    <m/>
    <m/>
    <m/>
    <m/>
    <m/>
    <m/>
    <m/>
    <x v="0"/>
  </r>
  <r>
    <s v="20/04/2026 15:31:51"/>
    <s v="04-20_15-31-51_multihead_1heads_run8_spsa_serial_f5_w5_h5_effsu2_lin_r1.pkl"/>
    <x v="8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5.1374346842583303E-2"/>
    <n v="1.07545870568723E-2"/>
    <n v="0.85498117386681471"/>
    <n v="-2.8227754962424569"/>
    <n v="2.5082395243048901E-2"/>
    <n v="0.81786938003843823"/>
    <n v="2.5082395243048901E-2"/>
    <n v="2.5082395243048901E-2"/>
    <n v="0.81786938003843823"/>
    <n v="0.33169308855954388"/>
    <n v="-1.408520688352386"/>
    <n v="0.2"/>
    <s v="identity"/>
    <n v="2.5082395243048901E-2"/>
    <n v="0.81786938003843823"/>
    <n v="2.5082395243048901E-2"/>
    <n v="2.5082395243048901E-2"/>
    <n v="0.81786938003843823"/>
    <n v="0.33169308855954388"/>
    <n v="-1.408520688352386"/>
    <m/>
    <m/>
    <m/>
    <m/>
    <m/>
    <m/>
    <m/>
    <m/>
    <m/>
    <m/>
    <m/>
    <m/>
    <m/>
    <m/>
    <m/>
    <m/>
    <m/>
    <m/>
    <m/>
    <m/>
    <m/>
    <x v="1"/>
  </r>
  <r>
    <s v="20/04/2026 15:33:12"/>
    <s v="04-20_15-33-12_multihead_1heads_run8_spsa_serial_f5_w5_h5_effsu2_lin_r1.pkl"/>
    <x v="8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6.4084629203895294E-2"/>
    <n v="1.31452489418125E-2"/>
    <n v="0.82274460556326134"/>
    <n v="-3.7076682777147729"/>
    <n v="2.6428468126128899E-2"/>
    <n v="0.80809515049085334"/>
    <n v="2.6428468126128899E-2"/>
    <n v="2.6428468126128899E-2"/>
    <n v="0.80809515049085334"/>
    <n v="0.388322138107696"/>
    <n v="-1.819720807084954"/>
    <n v="0.2"/>
    <s v="identity"/>
    <n v="2.6428468126128899E-2"/>
    <n v="0.80809515049085334"/>
    <n v="2.6428468126128899E-2"/>
    <n v="2.6428468126128899E-2"/>
    <n v="0.80809515049085334"/>
    <n v="0.388322138107696"/>
    <n v="-1.819720807084954"/>
    <m/>
    <m/>
    <m/>
    <m/>
    <m/>
    <m/>
    <m/>
    <m/>
    <m/>
    <m/>
    <m/>
    <m/>
    <m/>
    <m/>
    <m/>
    <m/>
    <m/>
    <m/>
    <m/>
    <m/>
    <m/>
    <x v="1"/>
  </r>
  <r>
    <s v="20/04/2026 15:35:51"/>
    <s v="04-20_15-35-51_multihead_1heads_run8_spsa_serial_f5_w5_h5_effsu2_lin_r1.pkl"/>
    <x v="8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50"/>
    <n v="20"/>
    <n v="30"/>
    <n v="3.2528074603679201E-2"/>
    <n v="3.2876836029744E-3"/>
    <n v="0.95566765936438181"/>
    <n v="-1.5944894730660659"/>
    <n v="4.6410918694595998E-3"/>
    <n v="0.96629967228837477"/>
    <n v="4.6410918694595998E-3"/>
    <n v="4.6410918694595998E-3"/>
    <n v="0.96629967228837477"/>
    <n v="0.2278302041372432"/>
    <n v="-0.65434185704352377"/>
    <n v="0.2"/>
    <s v="identity"/>
    <n v="4.6410918694595998E-3"/>
    <n v="0.96629967228837477"/>
    <n v="4.6410918694595998E-3"/>
    <n v="4.6410918694595998E-3"/>
    <n v="0.96629967228837477"/>
    <n v="0.2278302041372432"/>
    <n v="-0.65434185704352377"/>
    <m/>
    <m/>
    <m/>
    <m/>
    <m/>
    <m/>
    <m/>
    <m/>
    <m/>
    <m/>
    <m/>
    <m/>
    <m/>
    <m/>
    <m/>
    <m/>
    <m/>
    <m/>
    <m/>
    <m/>
    <m/>
    <x v="2"/>
  </r>
  <r>
    <s v="20/04/2026 15:39:11"/>
    <s v="04-20_15-39-11_multihead_1heads_run8_spsa_serial_f5_w5_h5_effsu2_lin_r1.pkl"/>
    <x v="8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3.4737652063353601E-2"/>
    <n v="3.4174209889584E-3"/>
    <n v="0.95391823250852037"/>
    <n v="-1.4039357954185681"/>
    <n v="4.5799643815163998E-3"/>
    <n v="0.96674353688615045"/>
    <n v="4.5799643815163998E-3"/>
    <n v="4.5799643815163998E-3"/>
    <n v="0.96674353688615045"/>
    <n v="0.22169110721557059"/>
    <n v="-0.60976407579441383"/>
    <n v="0.2"/>
    <s v="identity"/>
    <n v="4.5799643815163998E-3"/>
    <n v="0.96674353688615045"/>
    <n v="4.5799643815163998E-3"/>
    <n v="4.5799643815163998E-3"/>
    <n v="0.96674353688615045"/>
    <n v="0.22169110721557059"/>
    <n v="-0.60976407579441383"/>
    <m/>
    <m/>
    <m/>
    <m/>
    <m/>
    <m/>
    <m/>
    <m/>
    <m/>
    <m/>
    <m/>
    <m/>
    <m/>
    <m/>
    <m/>
    <m/>
    <m/>
    <m/>
    <m/>
    <m/>
    <m/>
    <x v="2"/>
  </r>
  <r>
    <s v="20/04/2026 15:40:18"/>
    <s v="04-20_15-40-18_multihead_1heads_run9_spsa_serial_f5_w5_h5_effsu2_lin_r1.pkl"/>
    <x v="9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s v="false"/>
    <s v="spsa"/>
    <n v="4000"/>
    <n v="4000"/>
    <m/>
    <n v="256"/>
    <s v="[0.1, 0.001]"/>
    <n v="0.15"/>
    <s v="[1.0, 1.0, 1.0, 1.0]"/>
    <n v="50"/>
    <n v="20"/>
    <n v="30"/>
    <n v="6.7618653459117994E-2"/>
    <n v="1.8035397951385E-2"/>
    <n v="0.75680402920878453"/>
    <n v="-2.43785827770635E-2"/>
    <n v="2.8978597000834199E-2"/>
    <n v="0.7895779176495975"/>
    <n v="2.8978597000834199E-2"/>
    <n v="2.8978597000834199E-2"/>
    <n v="0.7895779176495975"/>
    <n v="0.14011359046295771"/>
    <n v="-1.7405827823834701E-2"/>
    <n v="0.2"/>
    <s v="identity"/>
    <n v="2.8978597000834199E-2"/>
    <n v="0.7895779176495975"/>
    <n v="2.8978597000834199E-2"/>
    <n v="2.8978597000834199E-2"/>
    <n v="0.7895779176495975"/>
    <n v="0.14011359046295771"/>
    <n v="-1.7405827823834701E-2"/>
    <m/>
    <m/>
    <m/>
    <m/>
    <m/>
    <m/>
    <m/>
    <m/>
    <m/>
    <m/>
    <m/>
    <m/>
    <m/>
    <m/>
    <m/>
    <m/>
    <m/>
    <m/>
    <m/>
    <m/>
    <m/>
    <x v="0"/>
  </r>
  <r>
    <s v="20/04/2026 15:43:16"/>
    <s v="04-20_15-43-16_multihead_1heads_run9_spsa_serial_f5_w5_h5_effsu2_lin_r1.pkl"/>
    <x v="9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50"/>
    <n v="20"/>
    <n v="30"/>
    <n v="6.4247961550906896E-2"/>
    <n v="1.1463358164387099E-2"/>
    <n v="0.8454238423332685"/>
    <n v="-1.282508541246981"/>
    <n v="1.99143545539711E-2"/>
    <n v="0.85539603750346482"/>
    <n v="1.99143545539711E-2"/>
    <n v="1.99143545539711E-2"/>
    <n v="0.85539603750346482"/>
    <n v="0.21990867279035009"/>
    <n v="-0.5968212972535083"/>
    <n v="0.2"/>
    <s v="identity"/>
    <n v="1.99143545539711E-2"/>
    <n v="0.85539603750346482"/>
    <n v="1.99143545539711E-2"/>
    <n v="1.99143545539711E-2"/>
    <n v="0.85539603750346482"/>
    <n v="0.21990867279035009"/>
    <n v="-0.5968212972535083"/>
    <m/>
    <m/>
    <m/>
    <m/>
    <m/>
    <m/>
    <m/>
    <m/>
    <m/>
    <m/>
    <m/>
    <m/>
    <m/>
    <m/>
    <m/>
    <m/>
    <m/>
    <m/>
    <m/>
    <m/>
    <m/>
    <x v="0"/>
  </r>
  <r>
    <s v="20/04/2026 15:45:48"/>
    <s v="04-20_15-45-48_multihead_1heads_run9_spsa_serial_f5_w5_h5_effsu2_lin_r1.pkl"/>
    <x v="9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50"/>
    <n v="20"/>
    <n v="30"/>
    <n v="5.9585304355369399E-2"/>
    <n v="1.20652304169383E-2"/>
    <n v="0.83730797446353589"/>
    <n v="-3.8362924503526119"/>
    <n v="2.0434892159967698E-2"/>
    <n v="0.85161626145038927"/>
    <n v="2.0434892159967698E-2"/>
    <n v="2.0434892159967698E-2"/>
    <n v="0.85161626145038927"/>
    <n v="0.4103488665170415"/>
    <n v="-1.9796633349833139"/>
    <n v="0.2"/>
    <s v="identity"/>
    <n v="2.0434892159967698E-2"/>
    <n v="0.85161626145038927"/>
    <n v="2.0434892159967698E-2"/>
    <n v="2.0434892159967698E-2"/>
    <n v="0.85161626145038927"/>
    <n v="0.4103488665170415"/>
    <n v="-1.9796633349833139"/>
    <m/>
    <m/>
    <m/>
    <m/>
    <m/>
    <m/>
    <m/>
    <m/>
    <m/>
    <m/>
    <m/>
    <m/>
    <m/>
    <m/>
    <m/>
    <m/>
    <m/>
    <m/>
    <m/>
    <m/>
    <m/>
    <x v="1"/>
  </r>
  <r>
    <s v="20/04/2026 15:48:49"/>
    <s v="04-20_15-48-49_multihead_1heads_run9_spsa_serial_f5_w5_h5_effsu2_lin_r1.pkl"/>
    <x v="9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3, -1, 1, 0, 2, -1]}]"/>
    <x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50"/>
    <n v="20"/>
    <n v="30"/>
    <n v="4.4182514632656003E-2"/>
    <n v="5.4903118277584003E-3"/>
    <n v="0.92596660642047723"/>
    <n v="-5.0215330763131538"/>
    <n v="1.19851322416961E-2"/>
    <n v="0.91297244364625196"/>
    <n v="1.19851322416961E-2"/>
    <n v="1.19851322416961E-2"/>
    <n v="0.91297244364625196"/>
    <n v="0.48395554743942698"/>
    <n v="-2.5141430088662191"/>
    <n v="0.2"/>
    <s v="identity"/>
    <n v="1.19851322416961E-2"/>
    <n v="0.91297244364625196"/>
    <n v="1.19851322416961E-2"/>
    <n v="1.19851322416961E-2"/>
    <n v="0.91297244364625196"/>
    <n v="0.48395554743942698"/>
    <n v="-2.5141430088662191"/>
    <m/>
    <m/>
    <m/>
    <m/>
    <m/>
    <m/>
    <m/>
    <m/>
    <m/>
    <m/>
    <m/>
    <m/>
    <m/>
    <m/>
    <m/>
    <m/>
    <m/>
    <m/>
    <m/>
    <m/>
    <m/>
    <x v="1"/>
  </r>
  <r>
    <s v="20/04/2026 16:02:51"/>
    <s v="04-20_16-02-51_multihead_1heads_run9_spsa_serial_f5_w5_h5_effsu2_lin_r1.pkl"/>
    <x v="9"/>
    <s v="Best (Lowest Val Loss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50"/>
    <n v="20"/>
    <n v="30"/>
    <n v="4.5555474049411203E-2"/>
    <n v="2.7522281190483998E-3"/>
    <n v="0.96288793898226843"/>
    <n v="-4.2158464717324762"/>
    <n v="3.5600456923679E-3"/>
    <n v="0.97414946528194324"/>
    <n v="3.5600456923679E-3"/>
    <n v="3.5600456923679E-3"/>
    <n v="0.97414946528194324"/>
    <n v="0.42670322757024548"/>
    <n v="-2.098417141740295"/>
    <n v="0.2"/>
    <s v="identity"/>
    <n v="3.5600456923679E-3"/>
    <n v="0.97414946528194324"/>
    <n v="3.5600456923679E-3"/>
    <n v="3.5600456923679E-3"/>
    <n v="0.97414946528194324"/>
    <n v="0.42670322757024548"/>
    <n v="-2.098417141740295"/>
    <m/>
    <m/>
    <m/>
    <m/>
    <m/>
    <m/>
    <m/>
    <m/>
    <m/>
    <m/>
    <m/>
    <m/>
    <m/>
    <m/>
    <m/>
    <m/>
    <m/>
    <m/>
    <m/>
    <m/>
    <m/>
    <x v="2"/>
  </r>
  <r>
    <s v="20/04/2026 16:08:06"/>
    <s v="04-20_16-08-06_multihead_1heads_run9_spsa_serial_f5_w5_h5_effsu2_lin_r1.pkl"/>
    <x v="9"/>
    <s v="Final (Last Iteration)"/>
    <s v="data/reduce_row_number_absolutes"/>
    <n v="16590"/>
    <n v="4.5"/>
    <s v="['sv', 'wv', 'yr', 'ya']"/>
    <x v="1"/>
    <n v="5"/>
    <n v="5"/>
    <s v="custom"/>
    <s v="true"/>
    <s v="false"/>
    <s v="false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s v="false"/>
    <s v="spsa"/>
    <n v="4000"/>
    <n v="4000"/>
    <m/>
    <n v="256"/>
    <s v="[0.1, 0.001]"/>
    <n v="0.15"/>
    <s v="[1.0, 1.0, 1.0, 1.0]"/>
    <n v="50"/>
    <n v="20"/>
    <n v="30"/>
    <n v="4.053475388997E-2"/>
    <n v="3.1233496179879001E-3"/>
    <n v="0.95788359954604596"/>
    <n v="-1.1109420710658959"/>
    <n v="5.8933550011351999E-3"/>
    <n v="0.9572066228281052"/>
    <n v="5.8933550011351999E-3"/>
    <n v="5.8933550011351999E-3"/>
    <n v="0.9572066228281052"/>
    <n v="0.20333645072803019"/>
    <n v="-0.47648553788509451"/>
    <n v="0.2"/>
    <s v="identity"/>
    <n v="5.8933550011351999E-3"/>
    <n v="0.9572066228281052"/>
    <n v="5.8933550011351999E-3"/>
    <n v="5.8933550011351999E-3"/>
    <n v="0.9572066228281052"/>
    <n v="0.20333645072803019"/>
    <n v="-0.47648553788509451"/>
    <m/>
    <m/>
    <m/>
    <m/>
    <m/>
    <m/>
    <m/>
    <m/>
    <m/>
    <m/>
    <m/>
    <m/>
    <m/>
    <m/>
    <m/>
    <m/>
    <m/>
    <m/>
    <m/>
    <m/>
    <m/>
    <x v="2"/>
  </r>
  <r>
    <s v="21/04/2026 10:01:28"/>
    <s v="04-21_10-01-28_multihead_1heads_run0_spsa_serial_f5_w5_h5_effsu2_lin_r1.pkl"/>
    <x v="0"/>
    <s v="Final (Last Iteration)"/>
    <s v="data/reduce_row_number_absolutes"/>
    <n v="16590"/>
    <n v="4.5"/>
    <s v="['sv', 'wv', 'yr', 'ya']"/>
    <x v="1"/>
    <n v="5"/>
    <n v="5"/>
    <s v="custom"/>
    <b v="1"/>
    <b v="0"/>
    <b v="0"/>
    <s v="multihead"/>
    <s v="[{'features': ['sv', 'wv', 'yr', 'ya'], 'output_dim': 1, 'reps': 1, 'encoding': 'serial', 'ansatz': 'effsu2', 'entangle': 'lin', 'map': [-1, 3, 1, 0, 2, -1]}]"/>
    <x v="1"/>
    <s v="serial"/>
    <s v="effsu2"/>
    <s v="lin"/>
    <n v="1"/>
    <x v="10"/>
    <b v="0"/>
    <s v="spsa"/>
    <n v="4000"/>
    <n v="4000"/>
    <m/>
    <n v="256"/>
    <s v="[0.1, 0.001]"/>
    <n v="0.15"/>
    <s v="[1.0, 1.0, 1.0, 1.0]"/>
    <n v="50"/>
    <n v="20"/>
    <n v="30"/>
    <n v="3.8766153889552103E-2"/>
    <n v="2.5089773185462999E-3"/>
    <n v="0.96616802266732615"/>
    <n v="-2.386468514263159"/>
    <n v="5.4295188471362001E-3"/>
    <n v="0.96057467302705279"/>
    <n v="5.4295188471362001E-3"/>
    <n v="5.4295188471362001E-3"/>
    <n v="0.96057467302705279"/>
    <n v="0.296096714000262"/>
    <n v="-1.1500449844156719"/>
    <n v="0.2"/>
    <s v="identity"/>
    <n v="5.4295188471362001E-3"/>
    <n v="0.96057467302705279"/>
    <n v="5.4295188471362001E-3"/>
    <n v="5.4295188471362001E-3"/>
    <n v="0.96057467302705279"/>
    <n v="0.296096714000262"/>
    <n v="-1.1500449844156719"/>
    <m/>
    <m/>
    <m/>
    <m/>
    <m/>
    <m/>
    <m/>
    <m/>
    <m/>
    <m/>
    <m/>
    <m/>
    <m/>
    <m/>
    <m/>
    <m/>
    <m/>
    <m/>
    <m/>
    <m/>
    <m/>
    <x v="2"/>
  </r>
  <r>
    <s v="21/04/2026 10:01:28"/>
    <s v="04-21_10-01-28_multihead_1heads_run1_spsa_serial_f5_w5_h5_effsu2_lin_r1.pkl"/>
    <x v="1"/>
    <s v="Best (Lowest Val Loss)"/>
    <s v="data/reduce_row_number_absolutes"/>
    <n v="16590"/>
    <n v="4.5"/>
    <s v="['sv', 'wv', 'yr', 'ya']"/>
    <x v="1"/>
    <n v="5"/>
    <n v="5"/>
    <s v="custom"/>
    <b v="1"/>
    <b v="0"/>
    <b v="0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b v="0"/>
    <s v="spsa"/>
    <n v="4000"/>
    <n v="4000"/>
    <m/>
    <n v="256"/>
    <s v="[0.1, 0.001]"/>
    <n v="0.15"/>
    <s v="[1.0, 1.0, 1.0, 1.0]"/>
    <n v="50"/>
    <n v="20"/>
    <n v="30"/>
    <n v="5.1569063731552199E-2"/>
    <n v="1.04468311489981E-2"/>
    <n v="0.85913106825694341"/>
    <n v="-3.066436493182175"/>
    <n v="1.2673517666896599E-2"/>
    <n v="0.9079738754054848"/>
    <n v="1.2673517666896599E-2"/>
    <n v="1.2673517666896599E-2"/>
    <n v="0.9079738754054848"/>
    <n v="0.34646816784154888"/>
    <n v="-1.515806867504617"/>
    <n v="0.2"/>
    <s v="identity"/>
    <n v="1.2673517666896599E-2"/>
    <n v="0.9079738754054848"/>
    <n v="1.2673517666896599E-2"/>
    <n v="1.2673517666896599E-2"/>
    <n v="0.9079738754054848"/>
    <n v="0.34646816784154888"/>
    <n v="-1.515806867504617"/>
    <m/>
    <m/>
    <m/>
    <m/>
    <m/>
    <m/>
    <m/>
    <m/>
    <m/>
    <m/>
    <m/>
    <m/>
    <m/>
    <m/>
    <m/>
    <m/>
    <m/>
    <m/>
    <m/>
    <m/>
    <m/>
    <x v="0"/>
  </r>
  <r>
    <s v="21/04/2026 10:02:09"/>
    <s v="04-21_10-02-09_multihead_1heads_run3_spsa_serial_f5_w5_h5_effsu2_lin_r1.pkl"/>
    <x v="3"/>
    <s v="Best (Lowest Val Loss)"/>
    <s v="data/reduce_row_number_absolutes"/>
    <n v="16590"/>
    <n v="4.5"/>
    <s v="['sv', 'wv', 'yr', 'ya']"/>
    <x v="1"/>
    <n v="5"/>
    <n v="5"/>
    <s v="custom"/>
    <b v="1"/>
    <b v="0"/>
    <b v="0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b v="0"/>
    <s v="spsa"/>
    <n v="4000"/>
    <n v="4000"/>
    <m/>
    <n v="256"/>
    <s v="[0.1, 0.001]"/>
    <n v="0.15"/>
    <s v="[1.0, 1.0, 1.0, 1.0]"/>
    <n v="50"/>
    <n v="20"/>
    <n v="30"/>
    <n v="2.24642650873744E-2"/>
    <n v="2.5405390105896E-3"/>
    <n v="0.96574243314848196"/>
    <n v="-2.4040799780812221"/>
    <n v="3.2702830315038001E-3"/>
    <n v="0.97625351685092243"/>
    <n v="3.2702830315038001E-3"/>
    <n v="3.2702830315038001E-3"/>
    <n v="0.97625351685092243"/>
    <n v="0.28381738660708511"/>
    <n v="-1.060881190880042"/>
    <n v="0.2"/>
    <s v="identity"/>
    <n v="3.2702830315038001E-3"/>
    <n v="0.97625351685092243"/>
    <n v="3.2702830315038001E-3"/>
    <n v="3.2702830315038001E-3"/>
    <n v="0.97625351685092243"/>
    <n v="0.28381738660708511"/>
    <n v="-1.060881190880042"/>
    <m/>
    <m/>
    <m/>
    <m/>
    <m/>
    <m/>
    <m/>
    <m/>
    <m/>
    <m/>
    <m/>
    <m/>
    <m/>
    <m/>
    <m/>
    <m/>
    <m/>
    <m/>
    <m/>
    <m/>
    <m/>
    <x v="2"/>
  </r>
  <r>
    <s v="21/04/2026 14:13:05"/>
    <s v="04-21_14-13-05_multihead_1heads_run0_spsa_serial_f5_w5_h5_effsu2_lin_r1.pkl"/>
    <x v="0"/>
    <s v="Final (Last Iteration)"/>
    <s v="data/reduce_row_number_absolutes"/>
    <n v="16590"/>
    <n v="4.5"/>
    <s v="['sv', 'wv', 'yr', 'ya']"/>
    <x v="1"/>
    <n v="5"/>
    <n v="5"/>
    <s v="custom"/>
    <b v="1"/>
    <b v="0"/>
    <b v="0"/>
    <s v="multihead"/>
    <s v="[{'features': ['sv', 'wv', 'yr', 'ya'], 'output_dim': 1, 'reps': 1, 'encoding': 'serial', 'ansatz': 'effsu2', 'entangle': 'lin', 'map': [3, 1, -1, 0, 2, -1]}]"/>
    <x v="1"/>
    <s v="serial"/>
    <s v="effsu2"/>
    <s v="lin"/>
    <n v="1"/>
    <x v="7"/>
    <b v="0"/>
    <s v="spsa"/>
    <n v="4000"/>
    <n v="4000"/>
    <m/>
    <n v="256"/>
    <s v="[0.1, 0.001]"/>
    <n v="0.15"/>
    <s v="[1.0, 1.0, 1.0, 1.0]"/>
    <n v="50"/>
    <n v="20"/>
    <n v="30"/>
    <n v="5.3185962680325501E-2"/>
    <n v="7.3508856906730003E-3"/>
    <n v="0.9008779408950488"/>
    <n v="-1.6110543931226839"/>
    <n v="1.7837064030679101E-2"/>
    <n v="0.87047985255307869"/>
    <n v="1.7837064030679101E-2"/>
    <n v="1.7837064030679101E-2"/>
    <n v="0.87047985255307869"/>
    <n v="0.2399801646187161"/>
    <n v="-0.74256627953413035"/>
    <n v="0.2"/>
    <s v="identity"/>
    <n v="1.7837064030679101E-2"/>
    <n v="0.87047985255307869"/>
    <n v="1.7837064030679101E-2"/>
    <n v="1.7837064030679101E-2"/>
    <n v="0.87047985255307869"/>
    <n v="0.2399801646187161"/>
    <n v="-0.74256627953413035"/>
    <m/>
    <m/>
    <m/>
    <m/>
    <m/>
    <m/>
    <m/>
    <m/>
    <m/>
    <m/>
    <m/>
    <m/>
    <m/>
    <m/>
    <m/>
    <m/>
    <m/>
    <m/>
    <m/>
    <m/>
    <m/>
    <x v="0"/>
  </r>
  <r>
    <s v="21/04/2026 14:13:05"/>
    <s v="04-21_14-13-05_multihead_1heads_run1_spsa_serial_f5_w5_h5_effsu2_lin_r1.pkl"/>
    <x v="1"/>
    <s v="Best (Lowest Val Loss)"/>
    <s v="data/reduce_row_number_absolutes"/>
    <n v="16590"/>
    <n v="4.5"/>
    <s v="['sv', 'wv', 'yr', 'ya']"/>
    <x v="1"/>
    <n v="5"/>
    <n v="5"/>
    <s v="custom"/>
    <b v="1"/>
    <b v="0"/>
    <b v="0"/>
    <s v="multihead"/>
    <s v="[{'features': ['sv', 'wv', 'yr', 'ya'], 'output_dim': 1, 'reps': 1, 'encoding': 'serial', 'ansatz': 'effsu2', 'entangle': 'lin', 'map': [1, -1, 3, 0, 2, -1]}]"/>
    <x v="1"/>
    <s v="serial"/>
    <s v="effsu2"/>
    <s v="lin"/>
    <n v="1"/>
    <x v="6"/>
    <b v="0"/>
    <s v="spsa"/>
    <n v="4000"/>
    <n v="4000"/>
    <m/>
    <n v="256"/>
    <s v="[0.1, 0.001]"/>
    <n v="0.15"/>
    <s v="[1.0, 1.0, 1.0, 1.0]"/>
    <n v="50"/>
    <n v="20"/>
    <n v="30"/>
    <n v="6.2536495225431005E-2"/>
    <n v="1.23489147440544E-2"/>
    <n v="0.83348267016377964"/>
    <n v="9.8876346463271005E-3"/>
    <n v="2.1080768681095902E-2"/>
    <n v="0.84692636281543709"/>
    <n v="2.1080768681095902E-2"/>
    <n v="2.1080768681095902E-2"/>
    <n v="0.84692636281543709"/>
    <n v="0.1380846134446852"/>
    <n v="-2.6728312880223998E-3"/>
    <n v="0.2"/>
    <s v="identity"/>
    <n v="2.1080768681095902E-2"/>
    <n v="0.84692636281543709"/>
    <n v="2.1080768681095902E-2"/>
    <n v="2.1080768681095902E-2"/>
    <n v="0.84692636281543709"/>
    <n v="0.1380846134446852"/>
    <n v="-2.6728312880223998E-3"/>
    <m/>
    <m/>
    <m/>
    <m/>
    <m/>
    <m/>
    <m/>
    <m/>
    <m/>
    <m/>
    <m/>
    <m/>
    <m/>
    <m/>
    <m/>
    <m/>
    <m/>
    <m/>
    <m/>
    <m/>
    <m/>
    <x v="1"/>
  </r>
  <r>
    <s v="21/04/2026 14:13:10"/>
    <s v="04-21_14-13-10_multihead_1heads_run0_spsa_serial_f5_w5_h5_effsu2_lin_r1.pkl"/>
    <x v="0"/>
    <s v="Best (Lowest Val Loss)"/>
    <s v="data/reduce_row_number_absolutes"/>
    <n v="16590"/>
    <n v="4.5"/>
    <s v="['sv', 'wv', 'yr', 'ya']"/>
    <x v="1"/>
    <n v="5"/>
    <n v="5"/>
    <s v="custom"/>
    <b v="1"/>
    <b v="0"/>
    <b v="0"/>
    <s v="multihead"/>
    <s v="[{'features': ['sv', 'wv', 'yr', 'ya'], 'output_dim': 1, 'reps': 1, 'encoding': 'serial', 'ansatz': 'effsu2', 'entangle': 'lin', 'map': [-1, 1, 3, 0, 2, -1]}]"/>
    <x v="1"/>
    <s v="serial"/>
    <s v="effsu2"/>
    <s v="lin"/>
    <n v="1"/>
    <x v="9"/>
    <b v="0"/>
    <s v="spsa"/>
    <n v="4000"/>
    <n v="4000"/>
    <m/>
    <n v="256"/>
    <s v="[0.1, 0.001]"/>
    <n v="0.15"/>
    <s v="[1.0, 1.0, 1.0, 1.0]"/>
    <n v="50"/>
    <n v="20"/>
    <n v="30"/>
    <n v="4.2700989840118803E-2"/>
    <n v="3.3847154133048998E-3"/>
    <n v="0.95435924657667659"/>
    <n v="-0.5116116181155943"/>
    <n v="5.7054987748822996E-3"/>
    <n v="0.95857070192101235"/>
    <n v="5.7054987748822996E-3"/>
    <n v="5.7054987748822996E-3"/>
    <n v="0.95857070192101235"/>
    <n v="0.16381206966130979"/>
    <n v="-0.18948742795483459"/>
    <n v="0.2"/>
    <s v="identity"/>
    <n v="5.7054987748822996E-3"/>
    <n v="0.95857070192101235"/>
    <n v="5.7054987748822996E-3"/>
    <n v="5.7054987748822996E-3"/>
    <n v="0.95857070192101235"/>
    <n v="0.16381206966130979"/>
    <n v="-0.18948742795483459"/>
    <m/>
    <m/>
    <m/>
    <m/>
    <m/>
    <m/>
    <m/>
    <m/>
    <m/>
    <m/>
    <m/>
    <m/>
    <m/>
    <m/>
    <m/>
    <m/>
    <m/>
    <m/>
    <m/>
    <m/>
    <m/>
    <x v="2"/>
  </r>
  <r>
    <s v="21/04/2026 15:21:47"/>
    <s v="04-21_15-21-47_multihead_1heads_run0_spsa_serial_f5_w5_h5_effsu2_lin_r1.pkl"/>
    <x v="0"/>
    <s v="Best (Lowest Val Loss)"/>
    <s v="data/reduce_row_number_absolutes"/>
    <n v="16590"/>
    <n v="4.5"/>
    <s v="['sv', 'wv', 'yr', 'ya']"/>
    <x v="1"/>
    <n v="5"/>
    <n v="5"/>
    <s v="custom"/>
    <b v="1"/>
    <b v="0"/>
    <b v="0"/>
    <s v="multihead"/>
    <s v="[{'features': ['sv', 'wv', 'yr', 'ya'], 'output_dim': 1, 'reps': 1, 'encoding': 'serial', 'ansatz': 'effsu2', 'entangle': 'lin', 'map': [1, 3, -1, 0, 2, -1]}]"/>
    <x v="1"/>
    <s v="serial"/>
    <s v="effsu2"/>
    <s v="lin"/>
    <n v="1"/>
    <x v="11"/>
    <b v="0"/>
    <s v="spsa"/>
    <n v="4000"/>
    <n v="4000"/>
    <m/>
    <n v="256"/>
    <s v="[0.1, 0.001]"/>
    <n v="0.15"/>
    <s v="[1.0, 1.0, 1.0, 1.0]"/>
    <n v="50"/>
    <n v="20"/>
    <n v="30"/>
    <n v="6.37673935881794E-2"/>
    <n v="1.8202441909228401E-2"/>
    <n v="0.75455154675167213"/>
    <n v="-2.2707038885781321"/>
    <n v="4.8172054115210902E-2"/>
    <n v="0.65020860265501657"/>
    <n v="4.8172054115210902E-2"/>
    <n v="4.8172054115210902E-2"/>
    <n v="0.65020860265501657"/>
    <n v="0.2916651619464577"/>
    <n v="-1.117866186691999"/>
    <n v="0.2"/>
    <s v="identity"/>
    <n v="4.8172054115210902E-2"/>
    <n v="0.65020860265501657"/>
    <n v="4.8172054115210902E-2"/>
    <n v="4.8172054115210902E-2"/>
    <n v="0.65020860265501657"/>
    <n v="0.2916651619464577"/>
    <n v="-1.117866186691999"/>
    <m/>
    <m/>
    <m/>
    <m/>
    <m/>
    <m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89D1A-1F93-476C-9F91-19E0A03DFDF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L16" firstHeaderRow="0" firstDataRow="1" firstDataCol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13">
        <item sd="0" x="4"/>
        <item sd="0" x="0"/>
        <item sd="0" x="5"/>
        <item sd="0" x="2"/>
        <item sd="0" x="3"/>
        <item sd="0" x="1"/>
        <item sd="0" x="6"/>
        <item sd="0" x="7"/>
        <item sd="0" x="8"/>
        <item sd="0" x="9"/>
        <item sd="0" x="10"/>
        <item sd="0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3">
    <field x="17"/>
    <field x="22"/>
    <field x="2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global open R2" fld="43" subtotal="average" baseField="22" baseItem="5"/>
    <dataField name="Promedio de global closed R2" fld="45" subtotal="average" baseField="22" baseItem="5"/>
    <dataField name="Promedio de Surge Velocity Global open R2" fld="52" subtotal="average" baseField="22" baseItem="5"/>
    <dataField name="Promedio de Sway Velocity Global open R2" fld="59" subtotal="average" baseField="22" baseItem="5"/>
    <dataField name="Promedio de Yaw Rate Global open R2" fld="66" subtotal="average" baseField="22" baseItem="5"/>
    <dataField name="Promedio de Yaw Angle Global open R2" fld="73" subtotal="average" baseField="22" baseItem="5"/>
    <dataField name="Promedio de Surge Velocity Global closed R2" fld="54" subtotal="average" baseField="22" baseItem="5"/>
    <dataField name="Promedio de Sway Velocity Global closed R2" fld="61" subtotal="average" baseField="22" baseItem="5"/>
    <dataField name="Promedio de Yaw Rate Global closed R2" fld="68" subtotal="average" baseField="22" baseItem="5"/>
    <dataField name="Promedio de Yaw Angle Global closed R2" fld="75" subtotal="average" baseField="22" baseItem="5"/>
    <dataField name="Cuenta de model_id" fld="1" subtotal="count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EA3A-E22D-44DF-B91B-65C65538219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0" firstDataRow="1" firstDataCol="1" rowPageCount="1" colPageCount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m="1" x="3"/>
        <item sd="0" m="1" x="4"/>
        <item sd="0" m="1" x="5"/>
        <item sd="0" x="0"/>
        <item sd="0" x="1"/>
        <item sd="0" x="2"/>
        <item t="default" sd="0"/>
      </items>
    </pivotField>
  </pivotFields>
  <rowFields count="2">
    <field x="76"/>
    <field x="2"/>
  </rowFields>
  <rowItems count="4"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item="0" hier="-1"/>
  </pageFields>
  <dataFields count="3">
    <dataField name="Promedio de global open R2" fld="43" subtotal="average" baseField="76" baseItem="1"/>
    <dataField name="Promedio de global closed R2" fld="45" subtotal="average" baseField="76" baseItem="1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8D5F5-0609-4ED1-90F5-DD95DA21F3C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0" firstDataRow="1" firstDataCol="1" rowPageCount="1" colPageCount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m="1" x="3"/>
        <item sd="0" m="1" x="4"/>
        <item sd="0" m="1" x="5"/>
        <item sd="0" x="0"/>
        <item sd="0" x="1"/>
        <item sd="0" x="2"/>
        <item t="default" sd="0"/>
      </items>
    </pivotField>
  </pivotFields>
  <rowFields count="2">
    <field x="76"/>
    <field x="2"/>
  </rowFields>
  <rowItems count="4"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item="1" hier="-1"/>
  </pageFields>
  <dataFields count="3">
    <dataField name="Promedio de global open R2" fld="43" subtotal="average" baseField="76" baseItem="1"/>
    <dataField name="Promedio de global closed R2" fld="45" subtotal="average" baseField="76" baseItem="1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987C1-A596-4E52-A1A8-410CF02F30C7}" name="Tabla1" displayName="Tabla1" ref="A1:BY121" totalsRowShown="0" headerRowDxfId="3" headerRowBorderDxfId="2" tableBorderDxfId="1">
  <tableColumns count="77">
    <tableColumn id="1" xr3:uid="{640A63A3-59CB-4F62-9D29-B69BA3FEA993}" name="date"/>
    <tableColumn id="2" xr3:uid="{121B6A13-9B89-4469-BD13-7C2CD6A1CCDC}" name="model_id"/>
    <tableColumn id="3" xr3:uid="{6CF0694B-A398-40B4-94E3-20957402D272}" name="run"/>
    <tableColumn id="4" xr3:uid="{005DA108-1A1C-4015-ABEC-0841FD901259}" name="weight_selection"/>
    <tableColumn id="5" xr3:uid="{74D985B4-8E10-4334-8C2A-CE9CA6883257}" name="data"/>
    <tableColumn id="6" xr3:uid="{17CF0367-D217-4767-BD60-301D2116016A}" name="data_n"/>
    <tableColumn id="7" xr3:uid="{24CDFEE7-848B-41E7-A75B-105657213C7D}" name="data_dt"/>
    <tableColumn id="8" xr3:uid="{58D7CC6A-D296-4838-A2A7-E8E47E9DDE81}" name="features"/>
    <tableColumn id="9" xr3:uid="{4D0B0315-50B3-43E3-838D-AE68510DFA26}" name="targets"/>
    <tableColumn id="10" xr3:uid="{8AE01E03-BBA9-4DA3-8C80-7339EBF8A18B}" name="window_size"/>
    <tableColumn id="11" xr3:uid="{FFAC866E-67F0-492A-9F05-9A1EF1493A61}" name="horizon"/>
    <tableColumn id="12" xr3:uid="{4943B7A7-BB23-4FBF-B212-2DEB24CAD68F}" name="predict"/>
    <tableColumn id="13" xr3:uid="{DE200514-5E73-413C-A655-8F6575E5CF97}" name="norm"/>
    <tableColumn id="14" xr3:uid="{1D826323-29F9-4B89-97F7-04A80DD79B25}" name="reconstruct_train"/>
    <tableColumn id="15" xr3:uid="{D5E9E73A-EB8D-4BFF-97E4-3F8535D43A70}" name="reconstruct_val"/>
    <tableColumn id="16" xr3:uid="{11F6176C-0ABA-4C37-BCD1-418E437BA686}" name="model"/>
    <tableColumn id="17" xr3:uid="{4FE957B2-A9D0-499E-A081-BCDD189A0D70}" name="heads_config"/>
    <tableColumn id="18" xr3:uid="{78B72EF2-5698-4D8C-99A0-55C282BFFF42}" name="head_number"/>
    <tableColumn id="19" xr3:uid="{F1085E0D-0EDB-46A5-BBF9-63A048750513}" name="encoding"/>
    <tableColumn id="20" xr3:uid="{EAE2C6E8-59E9-40C0-8146-2179796B6D8E}" name="ansatz"/>
    <tableColumn id="21" xr3:uid="{EA41E043-83F5-4F40-BA33-CC22FAF5123C}" name="entangle"/>
    <tableColumn id="22" xr3:uid="{F6552BB4-56D9-4073-B199-EF262D3C1F53}" name="reps"/>
    <tableColumn id="23" xr3:uid="{7B4436B0-8504-4620-AFAF-302DCCB3DB4D}" name="map"/>
    <tableColumn id="24" xr3:uid="{9111ADF3-21BF-45A7-99B0-53B762A54C6C}" name="reorder"/>
    <tableColumn id="25" xr3:uid="{49C01BAB-89CB-4621-A5C9-AF4726C7741C}" name="optimizer"/>
    <tableColumn id="26" xr3:uid="{54414A67-8A6C-4782-A16F-1DE359535A7F}" name="maxiter"/>
    <tableColumn id="27" xr3:uid="{E3A3AA18-E1A3-4582-AD18-AB8DF4D1FF79}" name="iterations"/>
    <tableColumn id="28" xr3:uid="{864388F9-F857-4449-9DE2-EA6F971827D8}" name="tolerance"/>
    <tableColumn id="29" xr3:uid="{BFFD6585-E34C-4ED9-BBFF-BF94B36969CF}" name="batch_size"/>
    <tableColumn id="30" xr3:uid="{7A6D2A01-411D-495F-BF19-4C9D1826EDDD}" name="learning_rate"/>
    <tableColumn id="31" xr3:uid="{9A251047-A545-4CFE-87BF-70A2CD2B4EFA}" name="perturbation"/>
    <tableColumn id="32" xr3:uid="{8D08246F-DFF2-4FCD-BDE0-4A52532E2A3A}" name="weights"/>
    <tableColumn id="33" xr3:uid="{93E22884-CA2A-483A-B976-153F3E5A8A94}" name="total params"/>
    <tableColumn id="34" xr3:uid="{582E614A-25AA-4642-B917-03968FD27C3E}" name="q params"/>
    <tableColumn id="35" xr3:uid="{ACAA6E18-A9F5-4106-B371-C3F26C3A2537}" name="c params"/>
    <tableColumn id="36" xr3:uid="{F9403A6E-7029-4748-BC46-741A5032C48B}" name="final val loss"/>
    <tableColumn id="37" xr3:uid="{73637DEA-A5C4-4CEB-93BC-E6FAC32F033C}" name="Val Global Open MSE"/>
    <tableColumn id="38" xr3:uid="{5D88C008-DCD2-4DA4-93E0-981E6B236F75}" name="Val Global Open R2"/>
    <tableColumn id="39" xr3:uid="{FB3F5EC3-0B79-4398-81BF-B3AC096892C2}" name="Val Global Closed R2"/>
    <tableColumn id="40" xr3:uid="{A0D27E0F-B75B-4C00-B330-6BCF806B0156}" name="step MSE"/>
    <tableColumn id="41" xr3:uid="{E7736698-8C0A-4EBB-830F-FED2C727A0E6}" name="step R2"/>
    <tableColumn id="42" xr3:uid="{8DCDF617-AC34-4900-A1CF-3C54B9D7DD42}" name="local MSE"/>
    <tableColumn id="43" xr3:uid="{58FE4430-F1AC-4101-A20C-0E92D59136A7}" name="global open MSE"/>
    <tableColumn id="44" xr3:uid="{9859FB28-4722-4BAF-AC8D-6991AC08A31F}" name="global open R2"/>
    <tableColumn id="45" xr3:uid="{C643968B-2CEA-40FF-A796-0CE63DFD061D}" name="global closed MSE"/>
    <tableColumn id="46" xr3:uid="{CC830AB5-B7A2-4801-B0F9-D846DB9BF3E6}" name="global closed R2"/>
    <tableColumn id="47" xr3:uid="{93F92F04-4E4D-48BF-A136-0CD3B3A04550}" name="recursivity"/>
    <tableColumn id="48" xr3:uid="{7CC95422-8B6D-44B8-AC06-A88C7AB70080}" name="initialization"/>
    <tableColumn id="49" xr3:uid="{BA873182-E407-4070-83B1-E0C489498084}" name="Surge Velocity Step MSE"/>
    <tableColumn id="50" xr3:uid="{A32E4AC2-13D4-4AFD-8273-4CF8875AA658}" name="Surge Velocity Step R2"/>
    <tableColumn id="51" xr3:uid="{2020BC90-4DF3-4BC0-B594-A67497AC9763}" name="Surge Velocity Local MSE"/>
    <tableColumn id="52" xr3:uid="{DF12690F-B41D-46C6-B087-9C5CB46B0E77}" name="Surge Velocity Global open MSE"/>
    <tableColumn id="53" xr3:uid="{733AD974-0F51-4570-BEAA-CB04F2C528C0}" name="Surge Velocity Global open R2"/>
    <tableColumn id="54" xr3:uid="{225F73CD-6E04-4AE4-A745-96E302E2CCB1}" name="Surge Velocity Global closed MSE"/>
    <tableColumn id="55" xr3:uid="{BC35CAE7-3885-429C-A7D7-637CE4DD3603}" name="Surge Velocity Global closed R2"/>
    <tableColumn id="56" xr3:uid="{9A9FA9B5-3123-465E-A1AC-E9E96EFBA12B}" name="Sway Velocity Step MSE"/>
    <tableColumn id="57" xr3:uid="{61F5BCFD-CDB4-4F1E-BD73-E1E9E11D1109}" name="Sway Velocity Step R2"/>
    <tableColumn id="58" xr3:uid="{1197F35A-51CF-4F7D-A7A6-43234742D634}" name="Sway Velocity Local MSE"/>
    <tableColumn id="59" xr3:uid="{D01B7197-526E-46FF-AD2F-538D3B8C73A3}" name="Sway Velocity Global open MSE"/>
    <tableColumn id="60" xr3:uid="{EE42463A-0DBF-4DFD-A260-7D72A586EE32}" name="Sway Velocity Global open R2"/>
    <tableColumn id="61" xr3:uid="{FDF7E77D-EFD8-4D80-B466-393DF93F2858}" name="Sway Velocity Global closed MSE"/>
    <tableColumn id="62" xr3:uid="{0033EFD5-D9F0-47A0-9655-6C14C107D8AD}" name="Sway Velocity Global closed R2"/>
    <tableColumn id="63" xr3:uid="{60D48641-05EF-45CC-8D12-62B968C024C4}" name="Yaw Rate Step MSE"/>
    <tableColumn id="64" xr3:uid="{809E0C55-FCA0-4884-856E-EED876EE960F}" name="Yaw Rate Step R2"/>
    <tableColumn id="65" xr3:uid="{8E9C1E71-EAD5-43AF-8BEA-BA5F6371F463}" name="Yaw Rate Local MSE"/>
    <tableColumn id="66" xr3:uid="{A0381954-A442-481A-BC2E-CC16F917EDDC}" name="Yaw Rate Global open MSE"/>
    <tableColumn id="67" xr3:uid="{CF5A4BA9-74E8-4073-B3B7-8202C672D594}" name="Yaw Rate Global open R2"/>
    <tableColumn id="68" xr3:uid="{3E5D83DE-1289-47A3-96B2-1A49A34D0139}" name="Yaw Rate Global closed MSE"/>
    <tableColumn id="69" xr3:uid="{460EF6C1-E8D7-47CB-BD66-D1B9A69B3C7A}" name="Yaw Rate Global closed R2"/>
    <tableColumn id="70" xr3:uid="{088AE42D-07F9-470C-ABCA-C03C28521B68}" name="Yaw Angle Step MSE"/>
    <tableColumn id="71" xr3:uid="{E7AA34E1-59DE-4930-94E3-70C59E1050B6}" name="Yaw Angle Step R2"/>
    <tableColumn id="72" xr3:uid="{8AF0CF17-CBE6-4D6B-B2C8-4A6BF10DC2C1}" name="Yaw Angle Local MSE"/>
    <tableColumn id="73" xr3:uid="{8413D30D-11B6-42E4-AADF-29F2B236C7F6}" name="Yaw Angle Global open MSE"/>
    <tableColumn id="74" xr3:uid="{66261F99-83A3-4660-A118-BA7A1B976986}" name="Yaw Angle Global open R2"/>
    <tableColumn id="75" xr3:uid="{0D79A83C-8C38-4041-A164-26EDD0E2623E}" name="Yaw Angle Global closed MSE"/>
    <tableColumn id="76" xr3:uid="{D445AD24-1653-4ED1-98E1-4BF376332BB5}" name="Yaw Angle Global closed R2"/>
    <tableColumn id="77" xr3:uid="{6DD02432-9B1A-46B5-8A0A-DA13F862A986}" name="empty_position" dataDxfId="0">
      <calculatedColumnFormula>CHOOSE(MATCH("-1", _xlfn.TAKE(_xlfn.TEXTSPLIT(SUBSTITUTE(SUBSTITUTE(W2,"[",""),"]",""), ", "), 3), 0), "theta", "phi", "lambda")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21"/>
  <sheetViews>
    <sheetView topLeftCell="BS113" zoomScale="131" workbookViewId="0">
      <selection activeCell="CA78" sqref="CA78"/>
    </sheetView>
  </sheetViews>
  <sheetFormatPr baseColWidth="10" defaultColWidth="8.88671875" defaultRowHeight="14.4" x14ac:dyDescent="0.3"/>
  <cols>
    <col min="2" max="2" width="10.77734375" customWidth="1"/>
    <col min="3" max="3" width="9" bestFit="1" customWidth="1"/>
    <col min="4" max="4" width="17" customWidth="1"/>
    <col min="6" max="6" width="9" bestFit="1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3" max="13" width="13.21875" bestFit="1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2" max="22" width="9" bestFit="1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234</v>
      </c>
    </row>
    <row r="2" spans="1:77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160</v>
      </c>
      <c r="AH2">
        <v>40</v>
      </c>
      <c r="AI2">
        <v>120</v>
      </c>
      <c r="AJ2">
        <v>9.9724445744306903E-2</v>
      </c>
      <c r="AK2">
        <v>8.7628685331425853</v>
      </c>
      <c r="AL2">
        <v>0.8252851321428154</v>
      </c>
      <c r="AM2">
        <v>0.42427251914803599</v>
      </c>
      <c r="AN2">
        <v>12.531717538667589</v>
      </c>
      <c r="AO2">
        <v>0.75879878804231926</v>
      </c>
      <c r="AP2">
        <v>12.531717538667589</v>
      </c>
      <c r="AQ2">
        <v>12.531717538667589</v>
      </c>
      <c r="AR2">
        <v>0.75879878804231926</v>
      </c>
      <c r="AS2">
        <v>87.259987468958542</v>
      </c>
      <c r="AT2">
        <v>0.23435339340377659</v>
      </c>
      <c r="AU2">
        <v>0.8</v>
      </c>
      <c r="AV2" t="s">
        <v>92</v>
      </c>
      <c r="AW2">
        <v>3.9657504291359502E-2</v>
      </c>
      <c r="AX2">
        <v>0.71203524333605039</v>
      </c>
      <c r="AY2">
        <v>3.9657504291359502E-2</v>
      </c>
      <c r="AZ2">
        <v>3.9657504291359502E-2</v>
      </c>
      <c r="BA2">
        <v>0.71203524333605039</v>
      </c>
      <c r="BB2">
        <v>9.4009217837267595E-2</v>
      </c>
      <c r="BC2">
        <v>0.31737152848079658</v>
      </c>
      <c r="BD2">
        <v>0.10194120128402211</v>
      </c>
      <c r="BE2">
        <v>0.64679551035761951</v>
      </c>
      <c r="BF2">
        <v>0.10194120128402211</v>
      </c>
      <c r="BG2">
        <v>0.10194120128402211</v>
      </c>
      <c r="BH2">
        <v>0.64679551035761951</v>
      </c>
      <c r="BI2">
        <v>0.14120913344848959</v>
      </c>
      <c r="BJ2">
        <v>0.51074051233165241</v>
      </c>
      <c r="BK2">
        <v>4.5208388078655203E-2</v>
      </c>
      <c r="BL2">
        <v>0.81850262136346319</v>
      </c>
      <c r="BM2">
        <v>4.5208388078655203E-2</v>
      </c>
      <c r="BN2">
        <v>4.5208388078655203E-2</v>
      </c>
      <c r="BO2">
        <v>0.81850262136346319</v>
      </c>
      <c r="BP2">
        <v>0.223822303177559</v>
      </c>
      <c r="BQ2">
        <v>0.10142424816294129</v>
      </c>
      <c r="BR2">
        <v>49.94006306101614</v>
      </c>
      <c r="BS2">
        <v>0.85786177711214218</v>
      </c>
      <c r="BT2">
        <v>49.94006306101614</v>
      </c>
      <c r="BU2">
        <v>49.94006306101614</v>
      </c>
      <c r="BV2">
        <v>0.85786177711214218</v>
      </c>
      <c r="BW2">
        <v>348.58090922137183</v>
      </c>
      <c r="BX2">
        <v>7.8772846397098008E-3</v>
      </c>
      <c r="BY2" t="str">
        <f>CHOOSE(MATCH("-1", _xlfn.TAKE(_xlfn.TEXTSPLIT(SUBSTITUTE(SUBSTITUTE(W2,"[",""),"]",""), ", "), 3), 0), "theta", "phi", "lambda")</f>
        <v>lambda</v>
      </c>
    </row>
    <row r="3" spans="1:77" x14ac:dyDescent="0.3">
      <c r="A3" t="s">
        <v>93</v>
      </c>
      <c r="B3" t="s">
        <v>94</v>
      </c>
      <c r="C3">
        <v>1</v>
      </c>
      <c r="D3" t="s">
        <v>95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84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160</v>
      </c>
      <c r="AH3">
        <v>40</v>
      </c>
      <c r="AI3">
        <v>120</v>
      </c>
      <c r="AJ3">
        <v>8.8874706767310102E-2</v>
      </c>
      <c r="AK3">
        <v>23.325459583224589</v>
      </c>
      <c r="AL3">
        <v>0.80748748034675877</v>
      </c>
      <c r="AM3">
        <v>-1.1614794707571799E-2</v>
      </c>
      <c r="AN3">
        <v>29.532545427947049</v>
      </c>
      <c r="AO3">
        <v>0.75192849535791129</v>
      </c>
      <c r="AP3">
        <v>29.532545427947049</v>
      </c>
      <c r="AQ3">
        <v>29.532545427947049</v>
      </c>
      <c r="AR3">
        <v>0.75192849535791129</v>
      </c>
      <c r="AS3">
        <v>112.48209473206001</v>
      </c>
      <c r="AT3">
        <v>0.11396634787771839</v>
      </c>
      <c r="AU3">
        <v>0.8</v>
      </c>
      <c r="AV3" t="s">
        <v>92</v>
      </c>
      <c r="AW3">
        <v>2.7144374058481201E-2</v>
      </c>
      <c r="AX3">
        <v>0.80289674778528997</v>
      </c>
      <c r="AY3">
        <v>2.7144374058481201E-2</v>
      </c>
      <c r="AZ3">
        <v>2.7144374058481201E-2</v>
      </c>
      <c r="BA3">
        <v>0.80289674778528997</v>
      </c>
      <c r="BB3">
        <v>5.3257060290745499E-2</v>
      </c>
      <c r="BC3">
        <v>0.61328488311849605</v>
      </c>
      <c r="BD3">
        <v>8.6555651495769798E-2</v>
      </c>
      <c r="BE3">
        <v>0.70010315429725245</v>
      </c>
      <c r="BF3">
        <v>8.6555651495769798E-2</v>
      </c>
      <c r="BG3">
        <v>8.6555651495769798E-2</v>
      </c>
      <c r="BH3">
        <v>0.70010315429725245</v>
      </c>
      <c r="BI3">
        <v>0.16430237239289749</v>
      </c>
      <c r="BJ3">
        <v>0.43072737168968939</v>
      </c>
      <c r="BK3">
        <v>3.97299763518719E-2</v>
      </c>
      <c r="BL3">
        <v>0.84049671161443351</v>
      </c>
      <c r="BM3">
        <v>3.97299763518719E-2</v>
      </c>
      <c r="BN3">
        <v>3.97299763518719E-2</v>
      </c>
      <c r="BO3">
        <v>0.84049671161443351</v>
      </c>
      <c r="BP3">
        <v>0.32608264642801121</v>
      </c>
      <c r="BQ3">
        <v>-0.30911868484626431</v>
      </c>
      <c r="BR3">
        <v>117.9767517098819</v>
      </c>
      <c r="BS3">
        <v>0.66421736773466833</v>
      </c>
      <c r="BT3">
        <v>117.9767517098819</v>
      </c>
      <c r="BU3">
        <v>117.9767517098819</v>
      </c>
      <c r="BV3">
        <v>0.66421736773466833</v>
      </c>
      <c r="BW3">
        <v>449.38473684912941</v>
      </c>
      <c r="BX3">
        <v>-0.27902817845106642</v>
      </c>
      <c r="BY3" t="str">
        <f t="shared" ref="BY3:BY33" si="0">CHOOSE(MATCH("-1", _xlfn.TAKE(_xlfn.TEXTSPLIT(SUBSTITUTE(SUBSTITUTE(W3,"[",""),"]",""), ", "), 3), 0), "theta", "phi", "lambda")</f>
        <v>lambda</v>
      </c>
    </row>
    <row r="4" spans="1:77" x14ac:dyDescent="0.3">
      <c r="A4" t="s">
        <v>96</v>
      </c>
      <c r="B4" t="s">
        <v>97</v>
      </c>
      <c r="C4">
        <v>2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84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160</v>
      </c>
      <c r="AH4">
        <v>40</v>
      </c>
      <c r="AI4">
        <v>120</v>
      </c>
      <c r="AJ4">
        <v>9.1690504822555002E-2</v>
      </c>
      <c r="AK4">
        <v>25.538430422190959</v>
      </c>
      <c r="AL4">
        <v>0.77180788327745597</v>
      </c>
      <c r="AM4">
        <v>7.7096067909118896E-2</v>
      </c>
      <c r="AN4">
        <v>28.957008836572019</v>
      </c>
      <c r="AO4">
        <v>0.72524586795107981</v>
      </c>
      <c r="AP4">
        <v>28.957008836572019</v>
      </c>
      <c r="AQ4">
        <v>28.957008836572019</v>
      </c>
      <c r="AR4">
        <v>0.72524586795107981</v>
      </c>
      <c r="AS4">
        <v>112.2161980150141</v>
      </c>
      <c r="AT4">
        <v>9.8575577376354001E-3</v>
      </c>
      <c r="AU4">
        <v>0.8</v>
      </c>
      <c r="AV4" t="s">
        <v>92</v>
      </c>
      <c r="AW4">
        <v>3.43297454369937E-2</v>
      </c>
      <c r="AX4">
        <v>0.75072166119003281</v>
      </c>
      <c r="AY4">
        <v>3.43297454369937E-2</v>
      </c>
      <c r="AZ4">
        <v>3.43297454369937E-2</v>
      </c>
      <c r="BA4">
        <v>0.75072166119003281</v>
      </c>
      <c r="BB4">
        <v>6.5657383394779695E-2</v>
      </c>
      <c r="BC4">
        <v>0.52324250427960461</v>
      </c>
      <c r="BD4">
        <v>0.1004459236073393</v>
      </c>
      <c r="BE4">
        <v>0.65197632814291273</v>
      </c>
      <c r="BF4">
        <v>0.1004459236073393</v>
      </c>
      <c r="BG4">
        <v>0.1004459236073393</v>
      </c>
      <c r="BH4">
        <v>0.65197632814291273</v>
      </c>
      <c r="BI4">
        <v>0.15295023374277261</v>
      </c>
      <c r="BJ4">
        <v>0.47006010749977201</v>
      </c>
      <c r="BK4">
        <v>4.2980580640090499E-2</v>
      </c>
      <c r="BL4">
        <v>0.82744656356956392</v>
      </c>
      <c r="BM4">
        <v>4.2980580640090499E-2</v>
      </c>
      <c r="BN4">
        <v>4.2980580640090499E-2</v>
      </c>
      <c r="BO4">
        <v>0.82744656356956392</v>
      </c>
      <c r="BP4">
        <v>0.41799954350063551</v>
      </c>
      <c r="BQ4">
        <v>-0.67813595310321984</v>
      </c>
      <c r="BR4">
        <v>115.650279096604</v>
      </c>
      <c r="BS4">
        <v>0.67083891890180603</v>
      </c>
      <c r="BT4">
        <v>115.650279096604</v>
      </c>
      <c r="BU4">
        <v>115.650279096604</v>
      </c>
      <c r="BV4">
        <v>0.67083891890180603</v>
      </c>
      <c r="BW4">
        <v>448.22818489941761</v>
      </c>
      <c r="BX4">
        <v>-0.2757364277256284</v>
      </c>
      <c r="BY4" t="str">
        <f t="shared" si="0"/>
        <v>lambda</v>
      </c>
    </row>
    <row r="5" spans="1:77" x14ac:dyDescent="0.3">
      <c r="A5" t="s">
        <v>98</v>
      </c>
      <c r="B5" t="s">
        <v>99</v>
      </c>
      <c r="C5">
        <v>3</v>
      </c>
      <c r="D5" t="s">
        <v>95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160</v>
      </c>
      <c r="AH5">
        <v>40</v>
      </c>
      <c r="AI5">
        <v>120</v>
      </c>
      <c r="AJ5">
        <v>0.1014471225624983</v>
      </c>
      <c r="AK5">
        <v>8.4127950873907871</v>
      </c>
      <c r="AL5">
        <v>0.80948319838006255</v>
      </c>
      <c r="AM5">
        <v>7.8286663395255501E-2</v>
      </c>
      <c r="AN5">
        <v>11.586251330354649</v>
      </c>
      <c r="AO5">
        <v>0.74623264049406324</v>
      </c>
      <c r="AP5">
        <v>11.586251330354649</v>
      </c>
      <c r="AQ5">
        <v>11.586251330354649</v>
      </c>
      <c r="AR5">
        <v>0.74623264049406324</v>
      </c>
      <c r="AS5">
        <v>142.09887506572571</v>
      </c>
      <c r="AT5">
        <v>4.6875074022020402E-2</v>
      </c>
      <c r="AU5">
        <v>0.8</v>
      </c>
      <c r="AV5" t="s">
        <v>92</v>
      </c>
      <c r="AW5">
        <v>4.6871129797830903E-2</v>
      </c>
      <c r="AX5">
        <v>0.65965499524039539</v>
      </c>
      <c r="AY5">
        <v>4.6871129797830903E-2</v>
      </c>
      <c r="AZ5">
        <v>4.6871129797830903E-2</v>
      </c>
      <c r="BA5">
        <v>0.65965499524039539</v>
      </c>
      <c r="BB5">
        <v>8.1329860048707694E-2</v>
      </c>
      <c r="BC5">
        <v>0.4094400599096219</v>
      </c>
      <c r="BD5">
        <v>0.1012997294433271</v>
      </c>
      <c r="BE5">
        <v>0.64901807327878203</v>
      </c>
      <c r="BF5">
        <v>0.1012997294433271</v>
      </c>
      <c r="BG5">
        <v>0.1012997294433271</v>
      </c>
      <c r="BH5">
        <v>0.64901807327878203</v>
      </c>
      <c r="BI5">
        <v>0.1748807393739302</v>
      </c>
      <c r="BJ5">
        <v>0.39407558944930199</v>
      </c>
      <c r="BK5">
        <v>4.7922721460398998E-2</v>
      </c>
      <c r="BL5">
        <v>0.80760543138458085</v>
      </c>
      <c r="BM5">
        <v>4.7922721460398998E-2</v>
      </c>
      <c r="BN5">
        <v>4.7922721460398998E-2</v>
      </c>
      <c r="BO5">
        <v>0.80760543138458085</v>
      </c>
      <c r="BP5">
        <v>0.2490107782452145</v>
      </c>
      <c r="BQ5">
        <v>3.0048792894860001E-4</v>
      </c>
      <c r="BR5">
        <v>46.148911740717118</v>
      </c>
      <c r="BS5">
        <v>0.86865206207249313</v>
      </c>
      <c r="BT5">
        <v>46.148911740717118</v>
      </c>
      <c r="BU5">
        <v>46.148911740717118</v>
      </c>
      <c r="BV5">
        <v>0.86865206207249313</v>
      </c>
      <c r="BW5">
        <v>567.89027888523412</v>
      </c>
      <c r="BX5">
        <v>-0.61631584119979532</v>
      </c>
      <c r="BY5" t="str">
        <f t="shared" si="0"/>
        <v>lambda</v>
      </c>
    </row>
    <row r="6" spans="1:77" x14ac:dyDescent="0.3">
      <c r="A6" t="s">
        <v>100</v>
      </c>
      <c r="B6" t="s">
        <v>101</v>
      </c>
      <c r="C6">
        <v>4</v>
      </c>
      <c r="D6" t="s">
        <v>78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84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88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160</v>
      </c>
      <c r="AH6">
        <v>40</v>
      </c>
      <c r="AI6">
        <v>120</v>
      </c>
      <c r="AJ6">
        <v>9.2884732204157605E-2</v>
      </c>
      <c r="AK6">
        <v>6.957304115482116</v>
      </c>
      <c r="AL6">
        <v>0.79165671172393304</v>
      </c>
      <c r="AM6">
        <v>5.9787591698561203E-2</v>
      </c>
      <c r="AN6">
        <v>12.47543912042725</v>
      </c>
      <c r="AO6">
        <v>0.71791490548861703</v>
      </c>
      <c r="AP6">
        <v>12.47543912042725</v>
      </c>
      <c r="AQ6">
        <v>12.47543912042725</v>
      </c>
      <c r="AR6">
        <v>0.71791490548861703</v>
      </c>
      <c r="AS6">
        <v>118.4614023685895</v>
      </c>
      <c r="AT6">
        <v>-0.1722378118908825</v>
      </c>
      <c r="AU6">
        <v>0.8</v>
      </c>
      <c r="AV6" t="s">
        <v>92</v>
      </c>
      <c r="AW6">
        <v>6.4657857867557705E-2</v>
      </c>
      <c r="AX6">
        <v>0.53050035195229861</v>
      </c>
      <c r="AY6">
        <v>6.4657857867557705E-2</v>
      </c>
      <c r="AZ6">
        <v>6.4657857867557705E-2</v>
      </c>
      <c r="BA6">
        <v>0.53050035195229861</v>
      </c>
      <c r="BB6">
        <v>0.10343692930340551</v>
      </c>
      <c r="BC6">
        <v>0.2489141535966222</v>
      </c>
      <c r="BD6">
        <v>0.1030046783689155</v>
      </c>
      <c r="BE6">
        <v>0.64311078939803834</v>
      </c>
      <c r="BF6">
        <v>0.1030046783689155</v>
      </c>
      <c r="BG6">
        <v>0.1030046783689155</v>
      </c>
      <c r="BH6">
        <v>0.64311078939803834</v>
      </c>
      <c r="BI6">
        <v>0.2414279639047921</v>
      </c>
      <c r="BJ6">
        <v>0.163503669739896</v>
      </c>
      <c r="BK6">
        <v>3.9981559583805101E-2</v>
      </c>
      <c r="BL6">
        <v>0.83948668451447706</v>
      </c>
      <c r="BM6">
        <v>3.9981559583805101E-2</v>
      </c>
      <c r="BN6">
        <v>3.9981559583805101E-2</v>
      </c>
      <c r="BO6">
        <v>0.83948668451447706</v>
      </c>
      <c r="BP6">
        <v>0.4371319809803631</v>
      </c>
      <c r="BQ6">
        <v>-0.75494663795790728</v>
      </c>
      <c r="BR6">
        <v>49.694112385888708</v>
      </c>
      <c r="BS6">
        <v>0.85856179608965066</v>
      </c>
      <c r="BT6">
        <v>49.694112385888708</v>
      </c>
      <c r="BU6">
        <v>49.694112385888708</v>
      </c>
      <c r="BV6">
        <v>0.85856179608965066</v>
      </c>
      <c r="BW6">
        <v>473.06361260016882</v>
      </c>
      <c r="BX6">
        <v>-0.34642243294215519</v>
      </c>
      <c r="BY6" t="str">
        <f t="shared" si="0"/>
        <v>lambda</v>
      </c>
    </row>
    <row r="7" spans="1:77" x14ac:dyDescent="0.3">
      <c r="A7" t="s">
        <v>102</v>
      </c>
      <c r="B7" t="s">
        <v>103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84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160</v>
      </c>
      <c r="AH7">
        <v>40</v>
      </c>
      <c r="AI7">
        <v>120</v>
      </c>
      <c r="AJ7">
        <v>9.2345978059393805E-2</v>
      </c>
      <c r="AK7">
        <v>21.81243016980774</v>
      </c>
      <c r="AL7">
        <v>0.80311518394507297</v>
      </c>
      <c r="AM7">
        <v>0.18257283013443809</v>
      </c>
      <c r="AN7">
        <v>27.27638910615293</v>
      </c>
      <c r="AO7">
        <v>0.76122091199804354</v>
      </c>
      <c r="AP7">
        <v>27.27638910615293</v>
      </c>
      <c r="AQ7">
        <v>27.27638910615293</v>
      </c>
      <c r="AR7">
        <v>0.76122091199804354</v>
      </c>
      <c r="AS7">
        <v>100.4440838589661</v>
      </c>
      <c r="AT7">
        <v>0.1437588295621208</v>
      </c>
      <c r="AU7">
        <v>0.8</v>
      </c>
      <c r="AV7" t="s">
        <v>92</v>
      </c>
      <c r="AW7">
        <v>2.7631753343453101E-2</v>
      </c>
      <c r="AX7">
        <v>0.79935774401518755</v>
      </c>
      <c r="AY7">
        <v>2.7631753343453101E-2</v>
      </c>
      <c r="AZ7">
        <v>2.7631753343453101E-2</v>
      </c>
      <c r="BA7">
        <v>0.79935774401518755</v>
      </c>
      <c r="BB7">
        <v>6.9022590692812594E-2</v>
      </c>
      <c r="BC7">
        <v>0.49880674822238519</v>
      </c>
      <c r="BD7">
        <v>7.5580744591611501E-2</v>
      </c>
      <c r="BE7">
        <v>0.73812886267747579</v>
      </c>
      <c r="BF7">
        <v>7.5580744591611501E-2</v>
      </c>
      <c r="BG7">
        <v>7.5580744591611501E-2</v>
      </c>
      <c r="BH7">
        <v>0.73812886267747579</v>
      </c>
      <c r="BI7">
        <v>0.15846164583987349</v>
      </c>
      <c r="BJ7">
        <v>0.4509642417217955</v>
      </c>
      <c r="BK7">
        <v>4.5456245922189102E-2</v>
      </c>
      <c r="BL7">
        <v>0.81750755051958257</v>
      </c>
      <c r="BM7">
        <v>4.5456245922189102E-2</v>
      </c>
      <c r="BN7">
        <v>4.5456245922189102E-2</v>
      </c>
      <c r="BO7">
        <v>0.81750755051958257</v>
      </c>
      <c r="BP7">
        <v>0.30705551997008018</v>
      </c>
      <c r="BQ7">
        <v>-0.2327307904340136</v>
      </c>
      <c r="BR7">
        <v>108.95688768075409</v>
      </c>
      <c r="BS7">
        <v>0.68988949077992612</v>
      </c>
      <c r="BT7">
        <v>108.95688768075409</v>
      </c>
      <c r="BU7">
        <v>108.95688768075409</v>
      </c>
      <c r="BV7">
        <v>0.68988949077992612</v>
      </c>
      <c r="BW7">
        <v>401.24179567936318</v>
      </c>
      <c r="BX7">
        <v>-0.1420048812617016</v>
      </c>
      <c r="BY7" t="str">
        <f t="shared" si="0"/>
        <v>lambda</v>
      </c>
    </row>
    <row r="8" spans="1:77" x14ac:dyDescent="0.3">
      <c r="A8" t="s">
        <v>104</v>
      </c>
      <c r="B8" t="s">
        <v>105</v>
      </c>
      <c r="C8">
        <v>6</v>
      </c>
      <c r="D8" t="s">
        <v>78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84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88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160</v>
      </c>
      <c r="AH8">
        <v>40</v>
      </c>
      <c r="AI8">
        <v>120</v>
      </c>
      <c r="AJ8">
        <v>8.2399032514290302E-2</v>
      </c>
      <c r="AK8">
        <v>8.3144352311538157</v>
      </c>
      <c r="AL8">
        <v>0.83628586788874049</v>
      </c>
      <c r="AM8">
        <v>0.26555712407623799</v>
      </c>
      <c r="AN8">
        <v>12.91605655047525</v>
      </c>
      <c r="AO8">
        <v>0.76201996737095212</v>
      </c>
      <c r="AP8">
        <v>12.91605655047525</v>
      </c>
      <c r="AQ8">
        <v>12.91605655047525</v>
      </c>
      <c r="AR8">
        <v>0.76201996737095212</v>
      </c>
      <c r="AS8">
        <v>112.54059895530089</v>
      </c>
      <c r="AT8">
        <v>0.23860059128462779</v>
      </c>
      <c r="AU8">
        <v>0.8</v>
      </c>
      <c r="AV8" t="s">
        <v>92</v>
      </c>
      <c r="AW8">
        <v>3.9469194589839898E-2</v>
      </c>
      <c r="AX8">
        <v>0.71340261524571813</v>
      </c>
      <c r="AY8">
        <v>3.9469194589839898E-2</v>
      </c>
      <c r="AZ8">
        <v>3.9469194589839898E-2</v>
      </c>
      <c r="BA8">
        <v>0.71340261524571813</v>
      </c>
      <c r="BB8">
        <v>5.41866470025563E-2</v>
      </c>
      <c r="BC8">
        <v>0.60653488167367575</v>
      </c>
      <c r="BD8">
        <v>0.113131599261444</v>
      </c>
      <c r="BE8">
        <v>0.60802317143355489</v>
      </c>
      <c r="BF8">
        <v>0.113131599261444</v>
      </c>
      <c r="BG8">
        <v>0.113131599261444</v>
      </c>
      <c r="BH8">
        <v>0.60802317143355489</v>
      </c>
      <c r="BI8">
        <v>0.25561781195128569</v>
      </c>
      <c r="BJ8">
        <v>0.1143388769550748</v>
      </c>
      <c r="BK8">
        <v>3.1590200287113998E-2</v>
      </c>
      <c r="BL8">
        <v>0.87317533788776214</v>
      </c>
      <c r="BM8">
        <v>3.1590200287113998E-2</v>
      </c>
      <c r="BN8">
        <v>3.1590200287113998E-2</v>
      </c>
      <c r="BO8">
        <v>0.87317533788776214</v>
      </c>
      <c r="BP8">
        <v>0.1211693185424995</v>
      </c>
      <c r="BQ8">
        <v>0.51354351213812777</v>
      </c>
      <c r="BR8">
        <v>51.48003520776254</v>
      </c>
      <c r="BS8">
        <v>0.85347874491677045</v>
      </c>
      <c r="BT8">
        <v>51.48003520776254</v>
      </c>
      <c r="BU8">
        <v>51.48003520776254</v>
      </c>
      <c r="BV8">
        <v>0.85347874491677045</v>
      </c>
      <c r="BW8">
        <v>449.73142204370799</v>
      </c>
      <c r="BX8">
        <v>-0.28001490562837761</v>
      </c>
      <c r="BY8" t="str">
        <f t="shared" si="0"/>
        <v>lambda</v>
      </c>
    </row>
    <row r="9" spans="1:77" x14ac:dyDescent="0.3">
      <c r="A9" t="s">
        <v>106</v>
      </c>
      <c r="B9" t="s">
        <v>107</v>
      </c>
      <c r="C9">
        <v>7</v>
      </c>
      <c r="D9" t="s">
        <v>95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84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160</v>
      </c>
      <c r="AH9">
        <v>40</v>
      </c>
      <c r="AI9">
        <v>120</v>
      </c>
      <c r="AJ9">
        <v>9.1463554088295707E-2</v>
      </c>
      <c r="AK9">
        <v>16.590054390352421</v>
      </c>
      <c r="AL9">
        <v>0.8299833960396451</v>
      </c>
      <c r="AM9">
        <v>-0.15097403955881489</v>
      </c>
      <c r="AN9">
        <v>22.336163204536341</v>
      </c>
      <c r="AO9">
        <v>0.76615036794527724</v>
      </c>
      <c r="AP9">
        <v>22.336163204536341</v>
      </c>
      <c r="AQ9">
        <v>22.336163204536341</v>
      </c>
      <c r="AR9">
        <v>0.76615036794527724</v>
      </c>
      <c r="AS9">
        <v>131.9766111654437</v>
      </c>
      <c r="AT9">
        <v>-5.2526202297977199E-2</v>
      </c>
      <c r="AU9">
        <v>0.8</v>
      </c>
      <c r="AV9" t="s">
        <v>92</v>
      </c>
      <c r="AW9">
        <v>2.5845914189720098E-2</v>
      </c>
      <c r="AX9">
        <v>0.81232524528726602</v>
      </c>
      <c r="AY9">
        <v>2.5845914189720098E-2</v>
      </c>
      <c r="AZ9">
        <v>2.5845914189720098E-2</v>
      </c>
      <c r="BA9">
        <v>0.81232524528726602</v>
      </c>
      <c r="BB9">
        <v>5.5427816397302397E-2</v>
      </c>
      <c r="BC9">
        <v>0.59752238708725591</v>
      </c>
      <c r="BD9">
        <v>8.5918961420028001E-2</v>
      </c>
      <c r="BE9">
        <v>0.70230914942415101</v>
      </c>
      <c r="BF9">
        <v>8.5918961420028001E-2</v>
      </c>
      <c r="BG9">
        <v>8.5918961420028001E-2</v>
      </c>
      <c r="BH9">
        <v>0.70230914942415101</v>
      </c>
      <c r="BI9">
        <v>0.1173097980452239</v>
      </c>
      <c r="BJ9">
        <v>0.5935466050358551</v>
      </c>
      <c r="BK9">
        <v>4.8870472156110997E-2</v>
      </c>
      <c r="BL9">
        <v>0.80380051211664749</v>
      </c>
      <c r="BM9">
        <v>4.8870472156110997E-2</v>
      </c>
      <c r="BN9">
        <v>4.8870472156110997E-2</v>
      </c>
      <c r="BO9">
        <v>0.80380051211664749</v>
      </c>
      <c r="BP9">
        <v>0.47338672915457058</v>
      </c>
      <c r="BQ9">
        <v>-0.90049798443144313</v>
      </c>
      <c r="BR9">
        <v>89.184017470379629</v>
      </c>
      <c r="BS9">
        <v>0.74616656495304201</v>
      </c>
      <c r="BT9">
        <v>89.184017470379629</v>
      </c>
      <c r="BU9">
        <v>89.184017470379629</v>
      </c>
      <c r="BV9">
        <v>0.74616656495304201</v>
      </c>
      <c r="BW9">
        <v>527.26032031817897</v>
      </c>
      <c r="BX9">
        <v>-0.5006758168835943</v>
      </c>
      <c r="BY9" t="str">
        <f t="shared" si="0"/>
        <v>lambda</v>
      </c>
    </row>
    <row r="10" spans="1:77" x14ac:dyDescent="0.3">
      <c r="A10" t="s">
        <v>108</v>
      </c>
      <c r="B10" t="s">
        <v>109</v>
      </c>
      <c r="C10">
        <v>8</v>
      </c>
      <c r="D10" t="s">
        <v>95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84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88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160</v>
      </c>
      <c r="AH10">
        <v>40</v>
      </c>
      <c r="AI10">
        <v>120</v>
      </c>
      <c r="AJ10">
        <v>8.9919329460487002E-2</v>
      </c>
      <c r="AK10">
        <v>10.14387265147362</v>
      </c>
      <c r="AL10">
        <v>0.85293349153274067</v>
      </c>
      <c r="AM10">
        <v>0.26703648513866463</v>
      </c>
      <c r="AN10">
        <v>13.7293534366678</v>
      </c>
      <c r="AO10">
        <v>0.80625569477521664</v>
      </c>
      <c r="AP10">
        <v>13.7293534366678</v>
      </c>
      <c r="AQ10">
        <v>13.7293534366678</v>
      </c>
      <c r="AR10">
        <v>0.80625569477521664</v>
      </c>
      <c r="AS10">
        <v>139.7231259947996</v>
      </c>
      <c r="AT10">
        <v>0.12921928959105769</v>
      </c>
      <c r="AU10">
        <v>0.8</v>
      </c>
      <c r="AV10" t="s">
        <v>92</v>
      </c>
      <c r="AW10">
        <v>3.0548518300934899E-2</v>
      </c>
      <c r="AX10">
        <v>0.77817825916772132</v>
      </c>
      <c r="AY10">
        <v>3.0548518300934899E-2</v>
      </c>
      <c r="AZ10">
        <v>3.0548518300934899E-2</v>
      </c>
      <c r="BA10">
        <v>0.77817825916772132</v>
      </c>
      <c r="BB10">
        <v>6.4567910027136896E-2</v>
      </c>
      <c r="BC10">
        <v>0.53115348957258179</v>
      </c>
      <c r="BD10">
        <v>7.0770742989352098E-2</v>
      </c>
      <c r="BE10">
        <v>0.75479449089949036</v>
      </c>
      <c r="BF10">
        <v>7.0770742989352098E-2</v>
      </c>
      <c r="BG10">
        <v>7.0770742989352098E-2</v>
      </c>
      <c r="BH10">
        <v>0.75479449089949036</v>
      </c>
      <c r="BI10">
        <v>0.24847010132936351</v>
      </c>
      <c r="BJ10">
        <v>0.1391041676376277</v>
      </c>
      <c r="BK10">
        <v>3.7871350041848002E-2</v>
      </c>
      <c r="BL10">
        <v>0.84795850836213726</v>
      </c>
      <c r="BM10">
        <v>3.7871350041848002E-2</v>
      </c>
      <c r="BN10">
        <v>3.7871350041848002E-2</v>
      </c>
      <c r="BO10">
        <v>0.84795850836213726</v>
      </c>
      <c r="BP10">
        <v>0.14047549768684969</v>
      </c>
      <c r="BQ10">
        <v>0.43603530945480018</v>
      </c>
      <c r="BR10">
        <v>54.778223135339061</v>
      </c>
      <c r="BS10">
        <v>0.84409152067151583</v>
      </c>
      <c r="BT10">
        <v>54.778223135339061</v>
      </c>
      <c r="BU10">
        <v>54.778223135339061</v>
      </c>
      <c r="BV10">
        <v>0.84409152067151583</v>
      </c>
      <c r="BW10">
        <v>558.43899047015452</v>
      </c>
      <c r="BX10">
        <v>-0.58941580830078433</v>
      </c>
      <c r="BY10" t="str">
        <f t="shared" si="0"/>
        <v>lambda</v>
      </c>
    </row>
    <row r="11" spans="1:77" x14ac:dyDescent="0.3">
      <c r="A11" t="s">
        <v>110</v>
      </c>
      <c r="B11" t="s">
        <v>111</v>
      </c>
      <c r="C11">
        <v>9</v>
      </c>
      <c r="D11" t="s">
        <v>95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84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160</v>
      </c>
      <c r="AH11">
        <v>40</v>
      </c>
      <c r="AI11">
        <v>120</v>
      </c>
      <c r="AJ11">
        <v>8.9010842498737197E-2</v>
      </c>
      <c r="AK11">
        <v>18.38847509806655</v>
      </c>
      <c r="AL11">
        <v>0.82413372191115042</v>
      </c>
      <c r="AM11">
        <v>0.22476997083885</v>
      </c>
      <c r="AN11">
        <v>24.687915158015969</v>
      </c>
      <c r="AO11">
        <v>0.75917956290448241</v>
      </c>
      <c r="AP11">
        <v>24.687915158015969</v>
      </c>
      <c r="AQ11">
        <v>24.687915158015969</v>
      </c>
      <c r="AR11">
        <v>0.75917956290448241</v>
      </c>
      <c r="AS11">
        <v>110.73484195198471</v>
      </c>
      <c r="AT11">
        <v>5.5393157173853902E-2</v>
      </c>
      <c r="AU11">
        <v>0.8</v>
      </c>
      <c r="AV11" t="s">
        <v>92</v>
      </c>
      <c r="AW11">
        <v>3.86184496695966E-2</v>
      </c>
      <c r="AX11">
        <v>0.71958012334459132</v>
      </c>
      <c r="AY11">
        <v>3.86184496695966E-2</v>
      </c>
      <c r="AZ11">
        <v>3.86184496695966E-2</v>
      </c>
      <c r="BA11">
        <v>0.71958012334459132</v>
      </c>
      <c r="BB11">
        <v>6.2226225422953099E-2</v>
      </c>
      <c r="BC11">
        <v>0.54815714750005273</v>
      </c>
      <c r="BD11">
        <v>7.6590428886517001E-2</v>
      </c>
      <c r="BE11">
        <v>0.73463052224603009</v>
      </c>
      <c r="BF11">
        <v>7.6590428886517001E-2</v>
      </c>
      <c r="BG11">
        <v>7.6590428886517001E-2</v>
      </c>
      <c r="BH11">
        <v>0.73463052224603009</v>
      </c>
      <c r="BI11">
        <v>0.15488212238828319</v>
      </c>
      <c r="BJ11">
        <v>0.46336652595973937</v>
      </c>
      <c r="BK11">
        <v>3.40880367015403E-2</v>
      </c>
      <c r="BL11">
        <v>0.86314731475425654</v>
      </c>
      <c r="BM11">
        <v>3.40880367015403E-2</v>
      </c>
      <c r="BN11">
        <v>3.40880367015403E-2</v>
      </c>
      <c r="BO11">
        <v>0.86314731475425654</v>
      </c>
      <c r="BP11">
        <v>0.38134282435475669</v>
      </c>
      <c r="BQ11">
        <v>-0.53097082032260756</v>
      </c>
      <c r="BR11">
        <v>98.602363716806238</v>
      </c>
      <c r="BS11">
        <v>0.71936029127305112</v>
      </c>
      <c r="BT11">
        <v>98.602363716806238</v>
      </c>
      <c r="BU11">
        <v>98.602363716806238</v>
      </c>
      <c r="BV11">
        <v>0.71936029127305112</v>
      </c>
      <c r="BW11">
        <v>442.34091663577311</v>
      </c>
      <c r="BX11">
        <v>-0.25898022444178181</v>
      </c>
      <c r="BY11" t="str">
        <f t="shared" si="0"/>
        <v>lambda</v>
      </c>
    </row>
    <row r="12" spans="1:77" x14ac:dyDescent="0.3">
      <c r="A12" t="s">
        <v>112</v>
      </c>
      <c r="B12" t="s">
        <v>113</v>
      </c>
      <c r="C12">
        <v>0</v>
      </c>
      <c r="D12" t="s">
        <v>95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114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115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160</v>
      </c>
      <c r="AH12">
        <v>40</v>
      </c>
      <c r="AI12">
        <v>120</v>
      </c>
      <c r="AJ12">
        <v>0.1052806720069511</v>
      </c>
      <c r="AK12">
        <v>27.2369683869033</v>
      </c>
      <c r="AL12">
        <v>0.70229024032293008</v>
      </c>
      <c r="AM12">
        <v>0.35963921825457518</v>
      </c>
      <c r="AN12">
        <v>45.483007745920489</v>
      </c>
      <c r="AO12">
        <v>0.65807205124985013</v>
      </c>
      <c r="AP12">
        <v>45.483007745920489</v>
      </c>
      <c r="AQ12">
        <v>45.483007745920489</v>
      </c>
      <c r="AR12">
        <v>0.65807205124985013</v>
      </c>
      <c r="AS12">
        <v>118.9792829624747</v>
      </c>
      <c r="AT12">
        <v>0.38251815588434851</v>
      </c>
      <c r="AU12">
        <v>0.8</v>
      </c>
      <c r="AV12" t="s">
        <v>92</v>
      </c>
      <c r="AW12">
        <v>4.9502282018727001E-2</v>
      </c>
      <c r="AX12">
        <v>0.64054942814596727</v>
      </c>
      <c r="AY12">
        <v>4.9502282018727001E-2</v>
      </c>
      <c r="AZ12">
        <v>4.9502282018727001E-2</v>
      </c>
      <c r="BA12">
        <v>0.64054942814596727</v>
      </c>
      <c r="BB12">
        <v>4.5009141470317697E-2</v>
      </c>
      <c r="BC12">
        <v>0.67317543797184309</v>
      </c>
      <c r="BD12">
        <v>7.7991501953418793E-2</v>
      </c>
      <c r="BE12">
        <v>0.7297761033132184</v>
      </c>
      <c r="BF12">
        <v>7.7991501953418793E-2</v>
      </c>
      <c r="BG12">
        <v>7.7991501953418793E-2</v>
      </c>
      <c r="BH12">
        <v>0.7297761033132184</v>
      </c>
      <c r="BI12">
        <v>0.1214511241554912</v>
      </c>
      <c r="BJ12">
        <v>0.57919779457653719</v>
      </c>
      <c r="BK12">
        <v>5.4984670728065399E-2</v>
      </c>
      <c r="BL12">
        <v>0.7792539387829055</v>
      </c>
      <c r="BM12">
        <v>5.4984670728065399E-2</v>
      </c>
      <c r="BN12">
        <v>5.4984670728065399E-2</v>
      </c>
      <c r="BO12">
        <v>0.7792539387829055</v>
      </c>
      <c r="BP12">
        <v>9.1785953574623394E-2</v>
      </c>
      <c r="BQ12">
        <v>0.63150842846984001</v>
      </c>
      <c r="BR12">
        <v>181.74955252898181</v>
      </c>
      <c r="BS12">
        <v>0.48270873475730869</v>
      </c>
      <c r="BT12">
        <v>181.74955252898181</v>
      </c>
      <c r="BU12">
        <v>181.74955252898181</v>
      </c>
      <c r="BV12">
        <v>0.48270873475730869</v>
      </c>
      <c r="BW12">
        <v>475.65888563069961</v>
      </c>
      <c r="BX12">
        <v>-0.35380903748083448</v>
      </c>
      <c r="BY12" t="str">
        <f t="shared" si="0"/>
        <v>phi</v>
      </c>
    </row>
    <row r="13" spans="1:77" x14ac:dyDescent="0.3">
      <c r="A13" t="s">
        <v>116</v>
      </c>
      <c r="B13" t="s">
        <v>117</v>
      </c>
      <c r="C13">
        <v>1</v>
      </c>
      <c r="D13" t="s">
        <v>95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114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115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160</v>
      </c>
      <c r="AH13">
        <v>40</v>
      </c>
      <c r="AI13">
        <v>120</v>
      </c>
      <c r="AJ13">
        <v>9.4634257205366099E-2</v>
      </c>
      <c r="AK13">
        <v>33.681464154114607</v>
      </c>
      <c r="AL13">
        <v>0.72201819555335367</v>
      </c>
      <c r="AM13">
        <v>0.34855789728952441</v>
      </c>
      <c r="AN13">
        <v>48.695080760453457</v>
      </c>
      <c r="AO13">
        <v>0.677068806498895</v>
      </c>
      <c r="AP13">
        <v>48.695080760453457</v>
      </c>
      <c r="AQ13">
        <v>48.695080760453457</v>
      </c>
      <c r="AR13">
        <v>0.677068806498895</v>
      </c>
      <c r="AS13">
        <v>141.72892744668189</v>
      </c>
      <c r="AT13">
        <v>0.36220949109720391</v>
      </c>
      <c r="AU13">
        <v>0.8</v>
      </c>
      <c r="AV13" t="s">
        <v>92</v>
      </c>
      <c r="AW13">
        <v>4.6107854787033303E-2</v>
      </c>
      <c r="AX13">
        <v>0.66519735870172636</v>
      </c>
      <c r="AY13">
        <v>4.6107854787033303E-2</v>
      </c>
      <c r="AZ13">
        <v>4.6107854787033303E-2</v>
      </c>
      <c r="BA13">
        <v>0.66519735870172636</v>
      </c>
      <c r="BB13">
        <v>4.6395907318696902E-2</v>
      </c>
      <c r="BC13">
        <v>0.66310572488186947</v>
      </c>
      <c r="BD13">
        <v>5.5543358729165403E-2</v>
      </c>
      <c r="BE13">
        <v>0.80755412506568724</v>
      </c>
      <c r="BF13">
        <v>5.5543358729165403E-2</v>
      </c>
      <c r="BG13">
        <v>5.5543358729165403E-2</v>
      </c>
      <c r="BH13">
        <v>0.80755412506568724</v>
      </c>
      <c r="BI13">
        <v>6.6406139241946993E-2</v>
      </c>
      <c r="BJ13">
        <v>0.76991691068340395</v>
      </c>
      <c r="BK13">
        <v>5.2441415864623898E-2</v>
      </c>
      <c r="BL13">
        <v>0.7894643026232655</v>
      </c>
      <c r="BM13">
        <v>5.2441415864623898E-2</v>
      </c>
      <c r="BN13">
        <v>5.2441415864623898E-2</v>
      </c>
      <c r="BO13">
        <v>0.7894643026232655</v>
      </c>
      <c r="BP13">
        <v>9.2467274140513797E-2</v>
      </c>
      <c r="BQ13">
        <v>0.62877314190078315</v>
      </c>
      <c r="BR13">
        <v>194.62623041243401</v>
      </c>
      <c r="BS13">
        <v>0.44605943960489602</v>
      </c>
      <c r="BT13">
        <v>194.62623041243401</v>
      </c>
      <c r="BU13">
        <v>194.62623041243401</v>
      </c>
      <c r="BV13">
        <v>0.44605943960489602</v>
      </c>
      <c r="BW13">
        <v>566.71044046602367</v>
      </c>
      <c r="BX13">
        <v>-0.61295781307723352</v>
      </c>
      <c r="BY13" t="str">
        <f t="shared" si="0"/>
        <v>phi</v>
      </c>
    </row>
    <row r="14" spans="1:77" x14ac:dyDescent="0.3">
      <c r="A14" t="s">
        <v>118</v>
      </c>
      <c r="B14" t="s">
        <v>119</v>
      </c>
      <c r="C14">
        <v>2</v>
      </c>
      <c r="D14" t="s">
        <v>95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114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115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9.5889453135766106E-2</v>
      </c>
      <c r="AK14">
        <v>23.513699376078861</v>
      </c>
      <c r="AL14">
        <v>0.68226041842270113</v>
      </c>
      <c r="AM14">
        <v>0.36365189241607321</v>
      </c>
      <c r="AN14">
        <v>46.41497156576024</v>
      </c>
      <c r="AO14">
        <v>0.61404191993327584</v>
      </c>
      <c r="AP14">
        <v>46.41497156576024</v>
      </c>
      <c r="AQ14">
        <v>46.41497156576024</v>
      </c>
      <c r="AR14">
        <v>0.61404191993327584</v>
      </c>
      <c r="AS14">
        <v>124.9479256039434</v>
      </c>
      <c r="AT14">
        <v>0.35770925179555901</v>
      </c>
      <c r="AU14">
        <v>0.8</v>
      </c>
      <c r="AV14" t="s">
        <v>92</v>
      </c>
      <c r="AW14">
        <v>7.3405960941207798E-2</v>
      </c>
      <c r="AX14">
        <v>0.4669778127030581</v>
      </c>
      <c r="AY14">
        <v>7.3405960941207798E-2</v>
      </c>
      <c r="AZ14">
        <v>7.3405960941207798E-2</v>
      </c>
      <c r="BA14">
        <v>0.4669778127030581</v>
      </c>
      <c r="BB14">
        <v>7.6185783546191696E-2</v>
      </c>
      <c r="BC14">
        <v>0.44679270639551</v>
      </c>
      <c r="BD14">
        <v>7.0107567671521501E-2</v>
      </c>
      <c r="BE14">
        <v>0.75709225173345529</v>
      </c>
      <c r="BF14">
        <v>7.0107567671521501E-2</v>
      </c>
      <c r="BG14">
        <v>7.0107567671521501E-2</v>
      </c>
      <c r="BH14">
        <v>0.75709225173345529</v>
      </c>
      <c r="BI14">
        <v>0.1021345900966304</v>
      </c>
      <c r="BJ14">
        <v>0.64612545942630328</v>
      </c>
      <c r="BK14">
        <v>5.9795563463836299E-2</v>
      </c>
      <c r="BL14">
        <v>0.7599397261433215</v>
      </c>
      <c r="BM14">
        <v>5.9795563463836299E-2</v>
      </c>
      <c r="BN14">
        <v>5.9795563463836299E-2</v>
      </c>
      <c r="BO14">
        <v>0.7599397261433215</v>
      </c>
      <c r="BP14">
        <v>5.9846242619820703E-2</v>
      </c>
      <c r="BQ14">
        <v>0.75973626536195793</v>
      </c>
      <c r="BR14">
        <v>185.4565771709637</v>
      </c>
      <c r="BS14">
        <v>0.47215788915326867</v>
      </c>
      <c r="BT14">
        <v>185.4565771709637</v>
      </c>
      <c r="BU14">
        <v>185.4565771709637</v>
      </c>
      <c r="BV14">
        <v>0.47215788915326867</v>
      </c>
      <c r="BW14">
        <v>499.55353579951361</v>
      </c>
      <c r="BX14">
        <v>-0.42181742400154532</v>
      </c>
      <c r="BY14" t="str">
        <f t="shared" si="0"/>
        <v>phi</v>
      </c>
    </row>
    <row r="15" spans="1:77" x14ac:dyDescent="0.3">
      <c r="A15" t="s">
        <v>120</v>
      </c>
      <c r="B15" t="s">
        <v>121</v>
      </c>
      <c r="C15">
        <v>3</v>
      </c>
      <c r="D15" t="s">
        <v>95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114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115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0.1242070095722121</v>
      </c>
      <c r="AK15">
        <v>20.420297296144671</v>
      </c>
      <c r="AL15">
        <v>0.79359245587617189</v>
      </c>
      <c r="AM15">
        <v>0.41267792510298018</v>
      </c>
      <c r="AN15">
        <v>37.590194965550438</v>
      </c>
      <c r="AO15">
        <v>0.73073573722672291</v>
      </c>
      <c r="AP15">
        <v>37.590194965550438</v>
      </c>
      <c r="AQ15">
        <v>37.590194965550438</v>
      </c>
      <c r="AR15">
        <v>0.73073573722672291</v>
      </c>
      <c r="AS15">
        <v>138.81504256345701</v>
      </c>
      <c r="AT15">
        <v>0.41268662503553488</v>
      </c>
      <c r="AU15">
        <v>0.8</v>
      </c>
      <c r="AV15" t="s">
        <v>92</v>
      </c>
      <c r="AW15">
        <v>2.9551103378907598E-2</v>
      </c>
      <c r="AX15">
        <v>0.78542078111777602</v>
      </c>
      <c r="AY15">
        <v>2.9551103378907598E-2</v>
      </c>
      <c r="AZ15">
        <v>2.9551103378907598E-2</v>
      </c>
      <c r="BA15">
        <v>0.78542078111777602</v>
      </c>
      <c r="BB15">
        <v>2.7178441433587198E-2</v>
      </c>
      <c r="BC15">
        <v>0.80264937459431684</v>
      </c>
      <c r="BD15">
        <v>6.6203539123984897E-2</v>
      </c>
      <c r="BE15">
        <v>0.77061887682040231</v>
      </c>
      <c r="BF15">
        <v>6.6203539123984897E-2</v>
      </c>
      <c r="BG15">
        <v>6.6203539123984897E-2</v>
      </c>
      <c r="BH15">
        <v>0.77061887682040231</v>
      </c>
      <c r="BI15">
        <v>7.9020762156508398E-2</v>
      </c>
      <c r="BJ15">
        <v>0.72620993654097676</v>
      </c>
      <c r="BK15">
        <v>5.1202462082490401E-2</v>
      </c>
      <c r="BL15">
        <v>0.79443831017508992</v>
      </c>
      <c r="BM15">
        <v>5.1202462082490401E-2</v>
      </c>
      <c r="BN15">
        <v>5.1202462082490401E-2</v>
      </c>
      <c r="BO15">
        <v>0.79443831017508992</v>
      </c>
      <c r="BP15">
        <v>7.4291828974321905E-2</v>
      </c>
      <c r="BQ15">
        <v>0.7017418053151161</v>
      </c>
      <c r="BR15">
        <v>150.2138227576169</v>
      </c>
      <c r="BS15">
        <v>0.57246498079362107</v>
      </c>
      <c r="BT15">
        <v>150.2138227576169</v>
      </c>
      <c r="BU15">
        <v>150.2138227576169</v>
      </c>
      <c r="BV15">
        <v>0.57246498079362107</v>
      </c>
      <c r="BW15">
        <v>555.07967922126477</v>
      </c>
      <c r="BX15">
        <v>-0.57985461630827539</v>
      </c>
      <c r="BY15" t="str">
        <f t="shared" si="0"/>
        <v>phi</v>
      </c>
    </row>
    <row r="16" spans="1:77" x14ac:dyDescent="0.3">
      <c r="A16" t="s">
        <v>122</v>
      </c>
      <c r="B16" t="s">
        <v>123</v>
      </c>
      <c r="C16">
        <v>4</v>
      </c>
      <c r="D16" t="s">
        <v>78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114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115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0.1113953949353302</v>
      </c>
      <c r="AK16">
        <v>16.92164857618387</v>
      </c>
      <c r="AL16">
        <v>0.78288112246167596</v>
      </c>
      <c r="AM16">
        <v>0.32282646722857278</v>
      </c>
      <c r="AN16">
        <v>31.366528625748561</v>
      </c>
      <c r="AO16">
        <v>0.73402202997231902</v>
      </c>
      <c r="AP16">
        <v>31.366528625748561</v>
      </c>
      <c r="AQ16">
        <v>31.366528625748561</v>
      </c>
      <c r="AR16">
        <v>0.73402202997231902</v>
      </c>
      <c r="AS16">
        <v>123.7976134483001</v>
      </c>
      <c r="AT16">
        <v>0.38634200337569491</v>
      </c>
      <c r="AU16">
        <v>0.8</v>
      </c>
      <c r="AV16" t="s">
        <v>92</v>
      </c>
      <c r="AW16">
        <v>3.1869725991964998E-2</v>
      </c>
      <c r="AX16">
        <v>0.76858458306408095</v>
      </c>
      <c r="AY16">
        <v>3.1869725991964998E-2</v>
      </c>
      <c r="AZ16">
        <v>3.1869725991964998E-2</v>
      </c>
      <c r="BA16">
        <v>0.76858458306408095</v>
      </c>
      <c r="BB16">
        <v>3.0736438480663601E-2</v>
      </c>
      <c r="BC16">
        <v>0.77681371568989011</v>
      </c>
      <c r="BD16">
        <v>7.5344244554922002E-2</v>
      </c>
      <c r="BE16">
        <v>0.73894828479245134</v>
      </c>
      <c r="BF16">
        <v>7.5344244554922002E-2</v>
      </c>
      <c r="BG16">
        <v>7.5344244554922002E-2</v>
      </c>
      <c r="BH16">
        <v>0.73894828479245134</v>
      </c>
      <c r="BI16">
        <v>0.13384379639260599</v>
      </c>
      <c r="BJ16">
        <v>0.5362598321267904</v>
      </c>
      <c r="BK16">
        <v>5.3504464640743599E-2</v>
      </c>
      <c r="BL16">
        <v>0.78519649803149771</v>
      </c>
      <c r="BM16">
        <v>5.3504464640743599E-2</v>
      </c>
      <c r="BN16">
        <v>5.3504464640743599E-2</v>
      </c>
      <c r="BO16">
        <v>0.78519649803149771</v>
      </c>
      <c r="BP16">
        <v>8.9429004348878599E-2</v>
      </c>
      <c r="BQ16">
        <v>0.64097083410367572</v>
      </c>
      <c r="BR16">
        <v>125.3053960678066</v>
      </c>
      <c r="BS16">
        <v>0.64335875400124498</v>
      </c>
      <c r="BT16">
        <v>125.3053960678066</v>
      </c>
      <c r="BU16">
        <v>125.3053960678066</v>
      </c>
      <c r="BV16">
        <v>0.64335875400124498</v>
      </c>
      <c r="BW16">
        <v>494.9364445539801</v>
      </c>
      <c r="BX16">
        <v>-0.4086763684175867</v>
      </c>
      <c r="BY16" t="str">
        <f t="shared" si="0"/>
        <v>phi</v>
      </c>
    </row>
    <row r="17" spans="1:77" x14ac:dyDescent="0.3">
      <c r="A17" t="s">
        <v>124</v>
      </c>
      <c r="B17" t="s">
        <v>125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114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115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0.111405306589551</v>
      </c>
      <c r="AK17">
        <v>17.446412105195321</v>
      </c>
      <c r="AL17">
        <v>0.68318443423349406</v>
      </c>
      <c r="AM17">
        <v>0.3244139387427068</v>
      </c>
      <c r="AN17">
        <v>34.046080563219888</v>
      </c>
      <c r="AO17">
        <v>0.62129618354296845</v>
      </c>
      <c r="AP17">
        <v>34.046080563219888</v>
      </c>
      <c r="AQ17">
        <v>34.046080563219888</v>
      </c>
      <c r="AR17">
        <v>0.62129618354296845</v>
      </c>
      <c r="AS17">
        <v>117.42712693037529</v>
      </c>
      <c r="AT17">
        <v>0.33315668973963192</v>
      </c>
      <c r="AU17">
        <v>0.8</v>
      </c>
      <c r="AV17" t="s">
        <v>92</v>
      </c>
      <c r="AW17">
        <v>8.6249093074562494E-2</v>
      </c>
      <c r="AX17">
        <v>0.37372006777758582</v>
      </c>
      <c r="AY17">
        <v>8.6249093074562494E-2</v>
      </c>
      <c r="AZ17">
        <v>8.6249093074562494E-2</v>
      </c>
      <c r="BA17">
        <v>0.37372006777758582</v>
      </c>
      <c r="BB17">
        <v>8.8329918312635605E-2</v>
      </c>
      <c r="BC17">
        <v>0.35861058612842189</v>
      </c>
      <c r="BD17">
        <v>7.7367430983816196E-2</v>
      </c>
      <c r="BE17">
        <v>0.73193837593255884</v>
      </c>
      <c r="BF17">
        <v>7.7367430983816196E-2</v>
      </c>
      <c r="BG17">
        <v>7.7367430983816196E-2</v>
      </c>
      <c r="BH17">
        <v>0.73193837593255884</v>
      </c>
      <c r="BI17">
        <v>9.6933186113058997E-2</v>
      </c>
      <c r="BJ17">
        <v>0.66414721330305648</v>
      </c>
      <c r="BK17">
        <v>5.8161578599467703E-2</v>
      </c>
      <c r="BL17">
        <v>0.76649965854123636</v>
      </c>
      <c r="BM17">
        <v>5.8161578599467703E-2</v>
      </c>
      <c r="BN17">
        <v>5.8161578599467703E-2</v>
      </c>
      <c r="BO17">
        <v>0.76649965854123636</v>
      </c>
      <c r="BP17">
        <v>8.8185305855896304E-2</v>
      </c>
      <c r="BQ17">
        <v>0.64596389016879752</v>
      </c>
      <c r="BR17">
        <v>135.96254415022179</v>
      </c>
      <c r="BS17">
        <v>0.61302663192049223</v>
      </c>
      <c r="BT17">
        <v>135.96254415022179</v>
      </c>
      <c r="BU17">
        <v>135.96254415022179</v>
      </c>
      <c r="BV17">
        <v>0.61302663192049223</v>
      </c>
      <c r="BW17">
        <v>469.43505931121649</v>
      </c>
      <c r="BX17">
        <v>-0.3360949306417389</v>
      </c>
      <c r="BY17" t="str">
        <f t="shared" si="0"/>
        <v>phi</v>
      </c>
    </row>
    <row r="18" spans="1:77" x14ac:dyDescent="0.3">
      <c r="A18" t="s">
        <v>126</v>
      </c>
      <c r="B18" t="s">
        <v>127</v>
      </c>
      <c r="C18">
        <v>6</v>
      </c>
      <c r="D18" t="s">
        <v>78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114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115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0.1027902376094679</v>
      </c>
      <c r="AK18">
        <v>32.1243959802623</v>
      </c>
      <c r="AL18">
        <v>0.76934509328444856</v>
      </c>
      <c r="AM18">
        <v>0.51999578257050949</v>
      </c>
      <c r="AN18">
        <v>51.063929043690408</v>
      </c>
      <c r="AO18">
        <v>0.70684998100410379</v>
      </c>
      <c r="AP18">
        <v>51.063929043690408</v>
      </c>
      <c r="AQ18">
        <v>51.063929043690408</v>
      </c>
      <c r="AR18">
        <v>0.70684998100410379</v>
      </c>
      <c r="AS18">
        <v>107.09701379952379</v>
      </c>
      <c r="AT18">
        <v>0.50586561434065525</v>
      </c>
      <c r="AU18">
        <v>0.8</v>
      </c>
      <c r="AV18" t="s">
        <v>92</v>
      </c>
      <c r="AW18">
        <v>2.2006811725184299E-2</v>
      </c>
      <c r="AX18">
        <v>0.84020209298009696</v>
      </c>
      <c r="AY18">
        <v>2.2006811725184299E-2</v>
      </c>
      <c r="AZ18">
        <v>2.2006811725184299E-2</v>
      </c>
      <c r="BA18">
        <v>0.84020209298009696</v>
      </c>
      <c r="BB18">
        <v>2.0596024234629098E-2</v>
      </c>
      <c r="BC18">
        <v>0.85044623425125632</v>
      </c>
      <c r="BD18">
        <v>5.6982646181353597E-2</v>
      </c>
      <c r="BE18">
        <v>0.80256730144976318</v>
      </c>
      <c r="BF18">
        <v>5.6982646181353597E-2</v>
      </c>
      <c r="BG18">
        <v>5.6982646181353597E-2</v>
      </c>
      <c r="BH18">
        <v>0.80256730144976318</v>
      </c>
      <c r="BI18">
        <v>8.6444264231277101E-2</v>
      </c>
      <c r="BJ18">
        <v>0.70048908737840365</v>
      </c>
      <c r="BK18">
        <v>5.8388833721244301E-2</v>
      </c>
      <c r="BL18">
        <v>0.76558730110853135</v>
      </c>
      <c r="BM18">
        <v>5.8388833721244301E-2</v>
      </c>
      <c r="BN18">
        <v>5.8388833721244301E-2</v>
      </c>
      <c r="BO18">
        <v>0.76558730110853135</v>
      </c>
      <c r="BP18">
        <v>7.6899823817548604E-2</v>
      </c>
      <c r="BQ18">
        <v>0.69127153093329774</v>
      </c>
      <c r="BR18">
        <v>204.11833788313419</v>
      </c>
      <c r="BS18">
        <v>0.41904322847802039</v>
      </c>
      <c r="BT18">
        <v>204.11833788313419</v>
      </c>
      <c r="BU18">
        <v>204.11833788313419</v>
      </c>
      <c r="BV18">
        <v>0.41904322847802039</v>
      </c>
      <c r="BW18">
        <v>428.20411508581111</v>
      </c>
      <c r="BX18">
        <v>-0.21874439520033909</v>
      </c>
      <c r="BY18" t="str">
        <f t="shared" si="0"/>
        <v>phi</v>
      </c>
    </row>
    <row r="19" spans="1:77" x14ac:dyDescent="0.3">
      <c r="A19" t="s">
        <v>128</v>
      </c>
      <c r="B19" t="s">
        <v>129</v>
      </c>
      <c r="C19">
        <v>7</v>
      </c>
      <c r="D19" t="s">
        <v>95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114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115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0.12535962167826059</v>
      </c>
      <c r="AK19">
        <v>52.870512513379182</v>
      </c>
      <c r="AL19">
        <v>0.67703330736874534</v>
      </c>
      <c r="AM19">
        <v>0.53275317866106875</v>
      </c>
      <c r="AN19">
        <v>61.407388019909298</v>
      </c>
      <c r="AO19">
        <v>0.63969430469746369</v>
      </c>
      <c r="AP19">
        <v>61.407388019909298</v>
      </c>
      <c r="AQ19">
        <v>61.407388019909298</v>
      </c>
      <c r="AR19">
        <v>0.63969430469746369</v>
      </c>
      <c r="AS19">
        <v>108.2958820195819</v>
      </c>
      <c r="AT19">
        <v>0.4853014749644915</v>
      </c>
      <c r="AU19">
        <v>0.8</v>
      </c>
      <c r="AV19" t="s">
        <v>92</v>
      </c>
      <c r="AW19">
        <v>3.8463189218429998E-2</v>
      </c>
      <c r="AX19">
        <v>0.72070751496538654</v>
      </c>
      <c r="AY19">
        <v>3.8463189218429998E-2</v>
      </c>
      <c r="AZ19">
        <v>3.8463189218429998E-2</v>
      </c>
      <c r="BA19">
        <v>0.72070751496538654</v>
      </c>
      <c r="BB19">
        <v>3.2505040909977898E-2</v>
      </c>
      <c r="BC19">
        <v>0.76397137532346115</v>
      </c>
      <c r="BD19">
        <v>7.4235094331061804E-2</v>
      </c>
      <c r="BE19">
        <v>0.74279125342359198</v>
      </c>
      <c r="BF19">
        <v>7.4235094331061804E-2</v>
      </c>
      <c r="BG19">
        <v>7.4235094331061804E-2</v>
      </c>
      <c r="BH19">
        <v>0.74279125342359198</v>
      </c>
      <c r="BI19">
        <v>0.1053840261556636</v>
      </c>
      <c r="BJ19">
        <v>0.63486685750284066</v>
      </c>
      <c r="BK19">
        <v>5.1332413876101601E-2</v>
      </c>
      <c r="BL19">
        <v>0.79391659482774102</v>
      </c>
      <c r="BM19">
        <v>5.1332413876101601E-2</v>
      </c>
      <c r="BN19">
        <v>5.1332413876101601E-2</v>
      </c>
      <c r="BO19">
        <v>0.79391659482774102</v>
      </c>
      <c r="BP19">
        <v>5.6110973086520299E-2</v>
      </c>
      <c r="BQ19">
        <v>0.77473219106529045</v>
      </c>
      <c r="BR19">
        <v>245.46552138221</v>
      </c>
      <c r="BS19">
        <v>0.30136185557313822</v>
      </c>
      <c r="BT19">
        <v>245.46552138221</v>
      </c>
      <c r="BU19">
        <v>245.46552138221</v>
      </c>
      <c r="BV19">
        <v>0.30136185557313822</v>
      </c>
      <c r="BW19">
        <v>432.98952803817753</v>
      </c>
      <c r="BX19">
        <v>-0.232364524033634</v>
      </c>
      <c r="BY19" t="str">
        <f t="shared" si="0"/>
        <v>phi</v>
      </c>
    </row>
    <row r="20" spans="1:77" x14ac:dyDescent="0.3">
      <c r="A20" t="s">
        <v>130</v>
      </c>
      <c r="B20" t="s">
        <v>131</v>
      </c>
      <c r="C20">
        <v>8</v>
      </c>
      <c r="D20" t="s">
        <v>95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114</v>
      </c>
      <c r="R20">
        <v>2</v>
      </c>
      <c r="S20" t="s">
        <v>85</v>
      </c>
      <c r="T20" t="s">
        <v>86</v>
      </c>
      <c r="U20" t="s">
        <v>87</v>
      </c>
      <c r="V20">
        <v>1</v>
      </c>
      <c r="W20" t="s">
        <v>115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0.1014907763072455</v>
      </c>
      <c r="AK20">
        <v>23.679463579887361</v>
      </c>
      <c r="AL20">
        <v>0.74265509995515033</v>
      </c>
      <c r="AM20">
        <v>0.37102097976756682</v>
      </c>
      <c r="AN20">
        <v>40.86188568126348</v>
      </c>
      <c r="AO20">
        <v>0.67617164033858068</v>
      </c>
      <c r="AP20">
        <v>40.86188568126348</v>
      </c>
      <c r="AQ20">
        <v>40.86188568126348</v>
      </c>
      <c r="AR20">
        <v>0.67617164033858068</v>
      </c>
      <c r="AS20">
        <v>127.1416865742993</v>
      </c>
      <c r="AT20">
        <v>0.39804487350218448</v>
      </c>
      <c r="AU20">
        <v>0.8</v>
      </c>
      <c r="AV20" t="s">
        <v>92</v>
      </c>
      <c r="AW20">
        <v>4.3389955109688502E-2</v>
      </c>
      <c r="AX20">
        <v>0.68493282449083703</v>
      </c>
      <c r="AY20">
        <v>4.3389955109688502E-2</v>
      </c>
      <c r="AZ20">
        <v>4.3389955109688502E-2</v>
      </c>
      <c r="BA20">
        <v>0.68493282449083703</v>
      </c>
      <c r="BB20">
        <v>4.1377787663742102E-2</v>
      </c>
      <c r="BC20">
        <v>0.69954376179748246</v>
      </c>
      <c r="BD20">
        <v>7.8815006370732493E-2</v>
      </c>
      <c r="BE20">
        <v>0.72692283639295563</v>
      </c>
      <c r="BF20">
        <v>7.8815006370732493E-2</v>
      </c>
      <c r="BG20">
        <v>7.8815006370732493E-2</v>
      </c>
      <c r="BH20">
        <v>0.72692283639295563</v>
      </c>
      <c r="BI20">
        <v>0.1096571394415246</v>
      </c>
      <c r="BJ20">
        <v>0.62006143262746072</v>
      </c>
      <c r="BK20">
        <v>6.0400351710497902E-2</v>
      </c>
      <c r="BL20">
        <v>0.7575116926286497</v>
      </c>
      <c r="BM20">
        <v>6.0400351710497902E-2</v>
      </c>
      <c r="BN20">
        <v>6.0400351710497902E-2</v>
      </c>
      <c r="BO20">
        <v>0.7575116926286497</v>
      </c>
      <c r="BP20">
        <v>6.9889411272272703E-2</v>
      </c>
      <c r="BQ20">
        <v>0.71941611989573839</v>
      </c>
      <c r="BR20">
        <v>163.26493741186371</v>
      </c>
      <c r="BS20">
        <v>0.53531920784187648</v>
      </c>
      <c r="BT20">
        <v>163.26493741186371</v>
      </c>
      <c r="BU20">
        <v>163.26493741186371</v>
      </c>
      <c r="BV20">
        <v>0.53531920784187648</v>
      </c>
      <c r="BW20">
        <v>508.34582195882012</v>
      </c>
      <c r="BX20">
        <v>-0.44684182031194752</v>
      </c>
      <c r="BY20" t="str">
        <f t="shared" si="0"/>
        <v>phi</v>
      </c>
    </row>
    <row r="21" spans="1:77" x14ac:dyDescent="0.3">
      <c r="A21" t="s">
        <v>132</v>
      </c>
      <c r="B21" t="s">
        <v>133</v>
      </c>
      <c r="C21">
        <v>9</v>
      </c>
      <c r="D21" t="s">
        <v>95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114</v>
      </c>
      <c r="R21">
        <v>2</v>
      </c>
      <c r="S21" t="s">
        <v>85</v>
      </c>
      <c r="T21" t="s">
        <v>86</v>
      </c>
      <c r="U21" t="s">
        <v>87</v>
      </c>
      <c r="V21">
        <v>1</v>
      </c>
      <c r="W21" t="s">
        <v>115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0.1142582708049814</v>
      </c>
      <c r="AK21">
        <v>45.192661757699049</v>
      </c>
      <c r="AL21">
        <v>0.69191076593884615</v>
      </c>
      <c r="AM21">
        <v>0.44503950860771752</v>
      </c>
      <c r="AN21">
        <v>53.942777932144352</v>
      </c>
      <c r="AO21">
        <v>0.65631558504486653</v>
      </c>
      <c r="AP21">
        <v>53.942777932144352</v>
      </c>
      <c r="AQ21">
        <v>53.942777932144352</v>
      </c>
      <c r="AR21">
        <v>0.65631558504486653</v>
      </c>
      <c r="AS21">
        <v>126.09286629436779</v>
      </c>
      <c r="AT21">
        <v>0.4009587518176056</v>
      </c>
      <c r="AU21">
        <v>0.8</v>
      </c>
      <c r="AV21" t="s">
        <v>92</v>
      </c>
      <c r="AW21">
        <v>4.3224450659001802E-2</v>
      </c>
      <c r="AX21">
        <v>0.68613460079321442</v>
      </c>
      <c r="AY21">
        <v>4.3224450659001802E-2</v>
      </c>
      <c r="AZ21">
        <v>4.3224450659001802E-2</v>
      </c>
      <c r="BA21">
        <v>0.68613460079321442</v>
      </c>
      <c r="BB21">
        <v>5.2106438142463102E-2</v>
      </c>
      <c r="BC21">
        <v>0.62163988762175437</v>
      </c>
      <c r="BD21">
        <v>6.1096909186325501E-2</v>
      </c>
      <c r="BE21">
        <v>0.78831225887010137</v>
      </c>
      <c r="BF21">
        <v>6.1096909186325501E-2</v>
      </c>
      <c r="BG21">
        <v>6.1096909186325501E-2</v>
      </c>
      <c r="BH21">
        <v>0.78831225887010137</v>
      </c>
      <c r="BI21">
        <v>8.0981665166896102E-2</v>
      </c>
      <c r="BJ21">
        <v>0.71941582642359148</v>
      </c>
      <c r="BK21">
        <v>5.8666088831118297E-2</v>
      </c>
      <c r="BL21">
        <v>0.76447420953870659</v>
      </c>
      <c r="BM21">
        <v>5.8666088831118297E-2</v>
      </c>
      <c r="BN21">
        <v>5.8666088831118297E-2</v>
      </c>
      <c r="BO21">
        <v>0.76447420953870659</v>
      </c>
      <c r="BP21">
        <v>7.5294524521747994E-2</v>
      </c>
      <c r="BQ21">
        <v>0.69771629984671191</v>
      </c>
      <c r="BR21">
        <v>215.60812427990101</v>
      </c>
      <c r="BS21">
        <v>0.38634127097744281</v>
      </c>
      <c r="BT21">
        <v>215.60812427990101</v>
      </c>
      <c r="BU21">
        <v>215.60812427990101</v>
      </c>
      <c r="BV21">
        <v>0.38634127097744281</v>
      </c>
      <c r="BW21">
        <v>504.16308254964071</v>
      </c>
      <c r="BX21">
        <v>-0.4349370066216367</v>
      </c>
      <c r="BY21" t="str">
        <f t="shared" si="0"/>
        <v>phi</v>
      </c>
    </row>
    <row r="22" spans="1:77" x14ac:dyDescent="0.3">
      <c r="A22" t="s">
        <v>134</v>
      </c>
      <c r="B22" t="s">
        <v>135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136</v>
      </c>
      <c r="R22">
        <v>2</v>
      </c>
      <c r="S22" t="s">
        <v>85</v>
      </c>
      <c r="T22" t="s">
        <v>86</v>
      </c>
      <c r="U22" t="s">
        <v>87</v>
      </c>
      <c r="V22">
        <v>1</v>
      </c>
      <c r="W22" t="s">
        <v>137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0.26711689422708229</v>
      </c>
      <c r="AK22">
        <v>85.119060001332912</v>
      </c>
      <c r="AL22">
        <v>3.8134128965063303E-2</v>
      </c>
      <c r="AM22">
        <v>9.8151299876202497E-2</v>
      </c>
      <c r="AN22">
        <v>88.998564446118522</v>
      </c>
      <c r="AO22">
        <v>2.9896109975074098E-2</v>
      </c>
      <c r="AP22">
        <v>88.998564446118522</v>
      </c>
      <c r="AQ22">
        <v>88.998564446118522</v>
      </c>
      <c r="AR22">
        <v>2.9896109975074098E-2</v>
      </c>
      <c r="AS22">
        <v>87.138379752076474</v>
      </c>
      <c r="AT22">
        <v>6.9337224461259894E-2</v>
      </c>
      <c r="AU22">
        <v>0.8</v>
      </c>
      <c r="AV22" t="s">
        <v>92</v>
      </c>
      <c r="AW22">
        <v>0.14880377870839009</v>
      </c>
      <c r="AX22">
        <v>-8.05078305387434E-2</v>
      </c>
      <c r="AY22">
        <v>0.14880377870839009</v>
      </c>
      <c r="AZ22">
        <v>0.14880377870839009</v>
      </c>
      <c r="BA22">
        <v>-8.05078305387434E-2</v>
      </c>
      <c r="BB22">
        <v>0.14928962465360829</v>
      </c>
      <c r="BC22">
        <v>-8.4035700279689401E-2</v>
      </c>
      <c r="BD22">
        <v>0.28817964561846049</v>
      </c>
      <c r="BE22">
        <v>1.5190779202248999E-3</v>
      </c>
      <c r="BF22">
        <v>0.28817964561846049</v>
      </c>
      <c r="BG22">
        <v>0.28817964561846049</v>
      </c>
      <c r="BH22">
        <v>1.5190779202248999E-3</v>
      </c>
      <c r="BI22">
        <v>0.2864244843750231</v>
      </c>
      <c r="BJ22">
        <v>7.6003367578677998E-3</v>
      </c>
      <c r="BK22">
        <v>0.19677968583024169</v>
      </c>
      <c r="BL22">
        <v>0.2099918031810413</v>
      </c>
      <c r="BM22">
        <v>0.19677968583024169</v>
      </c>
      <c r="BN22">
        <v>0.19677968583024169</v>
      </c>
      <c r="BO22">
        <v>0.2099918031810413</v>
      </c>
      <c r="BP22">
        <v>0.16336930303019739</v>
      </c>
      <c r="BQ22">
        <v>0.3441239223554981</v>
      </c>
      <c r="BR22">
        <v>355.36049467431639</v>
      </c>
      <c r="BS22">
        <v>-1.14186106622358E-2</v>
      </c>
      <c r="BT22">
        <v>355.36049467431639</v>
      </c>
      <c r="BU22">
        <v>355.36049467431639</v>
      </c>
      <c r="BV22">
        <v>-1.14186106622358E-2</v>
      </c>
      <c r="BW22">
        <v>347.95443559624732</v>
      </c>
      <c r="BX22">
        <v>9.6603390113573998E-3</v>
      </c>
      <c r="BY22" t="str">
        <f t="shared" si="0"/>
        <v>theta</v>
      </c>
    </row>
    <row r="23" spans="1:77" x14ac:dyDescent="0.3">
      <c r="A23" t="s">
        <v>138</v>
      </c>
      <c r="B23" t="s">
        <v>139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136</v>
      </c>
      <c r="R23">
        <v>2</v>
      </c>
      <c r="S23" t="s">
        <v>85</v>
      </c>
      <c r="T23" t="s">
        <v>86</v>
      </c>
      <c r="U23" t="s">
        <v>87</v>
      </c>
      <c r="V23">
        <v>1</v>
      </c>
      <c r="W23" t="s">
        <v>137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0.23588916228270221</v>
      </c>
      <c r="AK23">
        <v>78.059735450434289</v>
      </c>
      <c r="AL23">
        <v>0.15183261056401709</v>
      </c>
      <c r="AM23">
        <v>3.5334944759873498E-2</v>
      </c>
      <c r="AN23">
        <v>83.136198082334928</v>
      </c>
      <c r="AO23">
        <v>0.15733592864899049</v>
      </c>
      <c r="AP23">
        <v>83.136198082334928</v>
      </c>
      <c r="AQ23">
        <v>83.136198082334928</v>
      </c>
      <c r="AR23">
        <v>0.15733592864899049</v>
      </c>
      <c r="AS23">
        <v>113.4471782871538</v>
      </c>
      <c r="AT23">
        <v>4.9241951387171898E-2</v>
      </c>
      <c r="AU23">
        <v>0.8</v>
      </c>
      <c r="AV23" t="s">
        <v>92</v>
      </c>
      <c r="AW23">
        <v>0.15197670109728009</v>
      </c>
      <c r="AX23">
        <v>-0.1035473495391707</v>
      </c>
      <c r="AY23">
        <v>0.15197670109728009</v>
      </c>
      <c r="AZ23">
        <v>0.15197670109728009</v>
      </c>
      <c r="BA23">
        <v>-0.1035473495391707</v>
      </c>
      <c r="BB23">
        <v>0.1536664318282098</v>
      </c>
      <c r="BC23">
        <v>-0.1158169793974916</v>
      </c>
      <c r="BD23">
        <v>0.27910244753118091</v>
      </c>
      <c r="BE23">
        <v>3.2969630566428397E-2</v>
      </c>
      <c r="BF23">
        <v>0.27910244753118091</v>
      </c>
      <c r="BG23">
        <v>0.27910244753118091</v>
      </c>
      <c r="BH23">
        <v>3.2969630566428397E-2</v>
      </c>
      <c r="BI23">
        <v>0.26529013934381279</v>
      </c>
      <c r="BJ23">
        <v>8.0826328375102396E-2</v>
      </c>
      <c r="BK23">
        <v>8.8444357954332004E-2</v>
      </c>
      <c r="BL23">
        <v>0.64492387793225037</v>
      </c>
      <c r="BM23">
        <v>8.8444357954332004E-2</v>
      </c>
      <c r="BN23">
        <v>8.8444357954332004E-2</v>
      </c>
      <c r="BO23">
        <v>0.64492387793225037</v>
      </c>
      <c r="BP23">
        <v>0.1190654640811757</v>
      </c>
      <c r="BQ23">
        <v>0.52198982234716884</v>
      </c>
      <c r="BR23">
        <v>332.02526882275743</v>
      </c>
      <c r="BS23">
        <v>5.4997555636451902E-2</v>
      </c>
      <c r="BT23">
        <v>332.02526882275743</v>
      </c>
      <c r="BU23">
        <v>332.02526882275743</v>
      </c>
      <c r="BV23">
        <v>5.4997555636451902E-2</v>
      </c>
      <c r="BW23">
        <v>453.25069111336069</v>
      </c>
      <c r="BX23">
        <v>-0.29003136577608468</v>
      </c>
      <c r="BY23" t="str">
        <f t="shared" si="0"/>
        <v>theta</v>
      </c>
    </row>
    <row r="24" spans="1:77" x14ac:dyDescent="0.3">
      <c r="A24" t="s">
        <v>140</v>
      </c>
      <c r="B24" t="s">
        <v>141</v>
      </c>
      <c r="C24">
        <v>2</v>
      </c>
      <c r="D24" t="s">
        <v>95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136</v>
      </c>
      <c r="R24">
        <v>2</v>
      </c>
      <c r="S24" t="s">
        <v>85</v>
      </c>
      <c r="T24" t="s">
        <v>86</v>
      </c>
      <c r="U24" t="s">
        <v>87</v>
      </c>
      <c r="V24">
        <v>1</v>
      </c>
      <c r="W24" t="s">
        <v>137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0.23070735739954359</v>
      </c>
      <c r="AK24">
        <v>83.103475810318542</v>
      </c>
      <c r="AL24">
        <v>0.14120146996876751</v>
      </c>
      <c r="AM24">
        <v>1.6688329839773499E-2</v>
      </c>
      <c r="AN24">
        <v>87.769679166016729</v>
      </c>
      <c r="AO24">
        <v>0.14264153216549441</v>
      </c>
      <c r="AP24">
        <v>87.769679166016729</v>
      </c>
      <c r="AQ24">
        <v>87.769679166016729</v>
      </c>
      <c r="AR24">
        <v>0.14264153216549441</v>
      </c>
      <c r="AS24">
        <v>106.72211173062659</v>
      </c>
      <c r="AT24">
        <v>3.26876268714874E-2</v>
      </c>
      <c r="AU24">
        <v>0.8</v>
      </c>
      <c r="AV24" t="s">
        <v>92</v>
      </c>
      <c r="AW24">
        <v>0.1479208873753167</v>
      </c>
      <c r="AX24">
        <v>-7.4096897918744797E-2</v>
      </c>
      <c r="AY24">
        <v>0.1479208873753167</v>
      </c>
      <c r="AZ24">
        <v>0.1479208873753167</v>
      </c>
      <c r="BA24">
        <v>-7.4096897918744797E-2</v>
      </c>
      <c r="BB24">
        <v>0.1469601692877173</v>
      </c>
      <c r="BC24">
        <v>-6.71208424341216E-2</v>
      </c>
      <c r="BD24">
        <v>0.2872343546970631</v>
      </c>
      <c r="BE24">
        <v>4.7943090657312998E-3</v>
      </c>
      <c r="BF24">
        <v>0.2872343546970631</v>
      </c>
      <c r="BG24">
        <v>0.2872343546970631</v>
      </c>
      <c r="BH24">
        <v>4.7943090657312998E-3</v>
      </c>
      <c r="BI24">
        <v>0.28621678917500798</v>
      </c>
      <c r="BJ24">
        <v>8.3199562659617005E-3</v>
      </c>
      <c r="BK24">
        <v>9.0267338442530806E-2</v>
      </c>
      <c r="BL24">
        <v>0.63760518788433296</v>
      </c>
      <c r="BM24">
        <v>9.0267338442530806E-2</v>
      </c>
      <c r="BN24">
        <v>9.0267338442530806E-2</v>
      </c>
      <c r="BO24">
        <v>0.63760518788433296</v>
      </c>
      <c r="BP24">
        <v>0.1487302836675857</v>
      </c>
      <c r="BQ24">
        <v>0.4028949547466748</v>
      </c>
      <c r="BR24">
        <v>350.55329408355198</v>
      </c>
      <c r="BS24">
        <v>2.2635296306564999E-3</v>
      </c>
      <c r="BT24">
        <v>350.55329408355198</v>
      </c>
      <c r="BU24">
        <v>350.55329408355198</v>
      </c>
      <c r="BV24">
        <v>2.2635296306564999E-3</v>
      </c>
      <c r="BW24">
        <v>426.3065396803762</v>
      </c>
      <c r="BX24">
        <v>-0.2133435610925673</v>
      </c>
      <c r="BY24" t="str">
        <f t="shared" si="0"/>
        <v>theta</v>
      </c>
    </row>
    <row r="25" spans="1:77" x14ac:dyDescent="0.3">
      <c r="A25" t="s">
        <v>142</v>
      </c>
      <c r="B25" t="s">
        <v>143</v>
      </c>
      <c r="C25">
        <v>3</v>
      </c>
      <c r="D25" t="s">
        <v>78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136</v>
      </c>
      <c r="R25">
        <v>2</v>
      </c>
      <c r="S25" t="s">
        <v>85</v>
      </c>
      <c r="T25" t="s">
        <v>86</v>
      </c>
      <c r="U25" t="s">
        <v>87</v>
      </c>
      <c r="V25">
        <v>1</v>
      </c>
      <c r="W25" t="s">
        <v>137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0.30212112454235551</v>
      </c>
      <c r="AK25">
        <v>84.183357489787412</v>
      </c>
      <c r="AL25">
        <v>-2.2648414384625198E-2</v>
      </c>
      <c r="AM25">
        <v>-1.3769368146362201E-2</v>
      </c>
      <c r="AN25">
        <v>88.4325460782524</v>
      </c>
      <c r="AO25">
        <v>-1.6769273977752699E-2</v>
      </c>
      <c r="AP25">
        <v>88.4325460782524</v>
      </c>
      <c r="AQ25">
        <v>88.4325460782524</v>
      </c>
      <c r="AR25">
        <v>-1.6769273977752699E-2</v>
      </c>
      <c r="AS25">
        <v>88.367837733320144</v>
      </c>
      <c r="AT25">
        <v>-9.3604089023510001E-3</v>
      </c>
      <c r="AU25">
        <v>0.8</v>
      </c>
      <c r="AV25" t="s">
        <v>92</v>
      </c>
      <c r="AW25">
        <v>0.1484794087597448</v>
      </c>
      <c r="AX25">
        <v>-7.8152485314684397E-2</v>
      </c>
      <c r="AY25">
        <v>0.1484794087597448</v>
      </c>
      <c r="AZ25">
        <v>0.1484794087597448</v>
      </c>
      <c r="BA25">
        <v>-7.8152485314684397E-2</v>
      </c>
      <c r="BB25">
        <v>0.1470246364947197</v>
      </c>
      <c r="BC25">
        <v>-6.7588957710384895E-2</v>
      </c>
      <c r="BD25">
        <v>0.28915215116448778</v>
      </c>
      <c r="BE25">
        <v>-1.8504460870694E-3</v>
      </c>
      <c r="BF25">
        <v>0.28915215116448778</v>
      </c>
      <c r="BG25">
        <v>0.28915215116448778</v>
      </c>
      <c r="BH25">
        <v>-1.8504460870694E-3</v>
      </c>
      <c r="BI25">
        <v>0.28905309044991567</v>
      </c>
      <c r="BJ25">
        <v>-1.5072218686635001E-3</v>
      </c>
      <c r="BK25">
        <v>0.24466127447921249</v>
      </c>
      <c r="BL25">
        <v>1.776236979312E-2</v>
      </c>
      <c r="BM25">
        <v>0.24466127447921249</v>
      </c>
      <c r="BN25">
        <v>0.24466127447921249</v>
      </c>
      <c r="BO25">
        <v>1.776236979312E-2</v>
      </c>
      <c r="BP25">
        <v>0.24017543839092231</v>
      </c>
      <c r="BQ25">
        <v>3.5771582809105702E-2</v>
      </c>
      <c r="BR25">
        <v>353.04789147860618</v>
      </c>
      <c r="BS25">
        <v>-4.8365343023917002E-3</v>
      </c>
      <c r="BT25">
        <v>353.04789147860618</v>
      </c>
      <c r="BU25">
        <v>353.04789147860618</v>
      </c>
      <c r="BV25">
        <v>-4.8365343023917002E-3</v>
      </c>
      <c r="BW25">
        <v>352.79509776794532</v>
      </c>
      <c r="BX25">
        <v>-4.1170388394670999E-3</v>
      </c>
      <c r="BY25" t="str">
        <f t="shared" si="0"/>
        <v>theta</v>
      </c>
    </row>
    <row r="26" spans="1:77" x14ac:dyDescent="0.3">
      <c r="A26" t="s">
        <v>144</v>
      </c>
      <c r="B26" t="s">
        <v>145</v>
      </c>
      <c r="C26">
        <v>4</v>
      </c>
      <c r="D26" t="s">
        <v>78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136</v>
      </c>
      <c r="R26">
        <v>2</v>
      </c>
      <c r="S26" t="s">
        <v>85</v>
      </c>
      <c r="T26" t="s">
        <v>86</v>
      </c>
      <c r="U26" t="s">
        <v>87</v>
      </c>
      <c r="V26">
        <v>1</v>
      </c>
      <c r="W26" t="s">
        <v>137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160</v>
      </c>
      <c r="AH26">
        <v>40</v>
      </c>
      <c r="AI26">
        <v>120</v>
      </c>
      <c r="AJ26">
        <v>0.28269356162539239</v>
      </c>
      <c r="AK26">
        <v>83.397385771481197</v>
      </c>
      <c r="AL26">
        <v>-5.6529899663275004E-3</v>
      </c>
      <c r="AM26">
        <v>7.8941654098669007E-3</v>
      </c>
      <c r="AN26">
        <v>87.895465441678581</v>
      </c>
      <c r="AO26">
        <v>-4.9826660902409E-3</v>
      </c>
      <c r="AP26">
        <v>87.895465441678581</v>
      </c>
      <c r="AQ26">
        <v>87.895465441678581</v>
      </c>
      <c r="AR26">
        <v>-4.9826660902409E-3</v>
      </c>
      <c r="AS26">
        <v>86.536243339659578</v>
      </c>
      <c r="AT26">
        <v>7.3487460909386002E-3</v>
      </c>
      <c r="AU26">
        <v>0.8</v>
      </c>
      <c r="AV26" t="s">
        <v>92</v>
      </c>
      <c r="AW26">
        <v>0.1491055342008015</v>
      </c>
      <c r="AX26">
        <v>-8.2698965570989297E-2</v>
      </c>
      <c r="AY26">
        <v>0.1491055342008015</v>
      </c>
      <c r="AZ26">
        <v>0.1491055342008015</v>
      </c>
      <c r="BA26">
        <v>-8.2698965570989297E-2</v>
      </c>
      <c r="BB26">
        <v>0.15129094042511751</v>
      </c>
      <c r="BC26">
        <v>-9.8567840399155199E-2</v>
      </c>
      <c r="BD26">
        <v>0.28886748322204048</v>
      </c>
      <c r="BE26">
        <v>-8.6413246644110003E-4</v>
      </c>
      <c r="BF26">
        <v>0.28886748322204048</v>
      </c>
      <c r="BG26">
        <v>0.28886748322204048</v>
      </c>
      <c r="BH26">
        <v>-8.6413246644110003E-4</v>
      </c>
      <c r="BI26">
        <v>0.28883918087374949</v>
      </c>
      <c r="BJ26">
        <v>-7.6607087448539999E-4</v>
      </c>
      <c r="BK26">
        <v>0.23354638724294269</v>
      </c>
      <c r="BL26">
        <v>6.23851263867383E-2</v>
      </c>
      <c r="BM26">
        <v>0.23354638724294269</v>
      </c>
      <c r="BN26">
        <v>0.23354638724294269</v>
      </c>
      <c r="BO26">
        <v>6.23851263867383E-2</v>
      </c>
      <c r="BP26">
        <v>0.2211789921599786</v>
      </c>
      <c r="BQ26">
        <v>0.1120363058142166</v>
      </c>
      <c r="BR26">
        <v>350.91034236204712</v>
      </c>
      <c r="BS26">
        <v>1.2473072897183999E-3</v>
      </c>
      <c r="BT26">
        <v>350.91034236204712</v>
      </c>
      <c r="BU26">
        <v>350.91034236204712</v>
      </c>
      <c r="BV26">
        <v>1.2473072897183999E-3</v>
      </c>
      <c r="BW26">
        <v>345.48366424518031</v>
      </c>
      <c r="BX26">
        <v>1.6692589823172E-2</v>
      </c>
      <c r="BY26" t="str">
        <f t="shared" si="0"/>
        <v>theta</v>
      </c>
    </row>
    <row r="27" spans="1:77" x14ac:dyDescent="0.3">
      <c r="A27" t="s">
        <v>146</v>
      </c>
      <c r="B27" t="s">
        <v>147</v>
      </c>
      <c r="C27">
        <v>5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136</v>
      </c>
      <c r="R27">
        <v>2</v>
      </c>
      <c r="S27" t="s">
        <v>85</v>
      </c>
      <c r="T27" t="s">
        <v>86</v>
      </c>
      <c r="U27" t="s">
        <v>87</v>
      </c>
      <c r="V27">
        <v>1</v>
      </c>
      <c r="W27" t="s">
        <v>137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160</v>
      </c>
      <c r="AH27">
        <v>40</v>
      </c>
      <c r="AI27">
        <v>120</v>
      </c>
      <c r="AJ27">
        <v>0.26932548450212102</v>
      </c>
      <c r="AK27">
        <v>84.799430372517179</v>
      </c>
      <c r="AL27">
        <v>1.31118097891707E-2</v>
      </c>
      <c r="AM27">
        <v>6.3439367729591495E-2</v>
      </c>
      <c r="AN27">
        <v>89.208945626842407</v>
      </c>
      <c r="AO27">
        <v>1.9777073159744699E-2</v>
      </c>
      <c r="AP27">
        <v>89.208945626842407</v>
      </c>
      <c r="AQ27">
        <v>89.208945626842407</v>
      </c>
      <c r="AR27">
        <v>1.9777073159744699E-2</v>
      </c>
      <c r="AS27">
        <v>89.101271491705859</v>
      </c>
      <c r="AT27">
        <v>3.6297008516007E-2</v>
      </c>
      <c r="AU27">
        <v>0.8</v>
      </c>
      <c r="AV27" t="s">
        <v>92</v>
      </c>
      <c r="AW27">
        <v>0.14813464386915659</v>
      </c>
      <c r="AX27">
        <v>-7.5649046442305801E-2</v>
      </c>
      <c r="AY27">
        <v>0.14813464386915659</v>
      </c>
      <c r="AZ27">
        <v>0.14813464386915659</v>
      </c>
      <c r="BA27">
        <v>-7.5649046442305801E-2</v>
      </c>
      <c r="BB27">
        <v>0.1538120459806343</v>
      </c>
      <c r="BC27">
        <v>-0.11687432641715501</v>
      </c>
      <c r="BD27">
        <v>0.25024195849047659</v>
      </c>
      <c r="BE27">
        <v>0.1329650610111863</v>
      </c>
      <c r="BF27">
        <v>0.25024195849047659</v>
      </c>
      <c r="BG27">
        <v>0.25024195849047659</v>
      </c>
      <c r="BH27">
        <v>0.1329650610111863</v>
      </c>
      <c r="BI27">
        <v>0.23084023182660529</v>
      </c>
      <c r="BJ27">
        <v>0.20018790004170581</v>
      </c>
      <c r="BK27">
        <v>0.24022010533254951</v>
      </c>
      <c r="BL27">
        <v>3.5592259166711201E-2</v>
      </c>
      <c r="BM27">
        <v>0.24022010533254951</v>
      </c>
      <c r="BN27">
        <v>0.24022010533254951</v>
      </c>
      <c r="BO27">
        <v>3.5592259166711201E-2</v>
      </c>
      <c r="BP27">
        <v>0.2305249455142756</v>
      </c>
      <c r="BQ27">
        <v>7.4515259239562703E-2</v>
      </c>
      <c r="BR27">
        <v>356.19718579967753</v>
      </c>
      <c r="BS27">
        <v>-1.3799981096621601E-2</v>
      </c>
      <c r="BT27">
        <v>356.19718579967753</v>
      </c>
      <c r="BU27">
        <v>356.19718579967753</v>
      </c>
      <c r="BV27">
        <v>-1.3799981096621601E-2</v>
      </c>
      <c r="BW27">
        <v>355.78990874350211</v>
      </c>
      <c r="BX27">
        <v>-1.2640798800094701E-2</v>
      </c>
      <c r="BY27" t="str">
        <f t="shared" si="0"/>
        <v>theta</v>
      </c>
    </row>
    <row r="28" spans="1:77" x14ac:dyDescent="0.3">
      <c r="A28" t="s">
        <v>148</v>
      </c>
      <c r="B28" t="s">
        <v>149</v>
      </c>
      <c r="C28">
        <v>6</v>
      </c>
      <c r="D28" t="s">
        <v>95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136</v>
      </c>
      <c r="R28">
        <v>2</v>
      </c>
      <c r="S28" t="s">
        <v>85</v>
      </c>
      <c r="T28" t="s">
        <v>86</v>
      </c>
      <c r="U28" t="s">
        <v>87</v>
      </c>
      <c r="V28">
        <v>1</v>
      </c>
      <c r="W28" t="s">
        <v>137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160</v>
      </c>
      <c r="AH28">
        <v>40</v>
      </c>
      <c r="AI28">
        <v>120</v>
      </c>
      <c r="AJ28">
        <v>0.23145943433621591</v>
      </c>
      <c r="AK28">
        <v>79.394650328572283</v>
      </c>
      <c r="AL28">
        <v>0.13816208575874561</v>
      </c>
      <c r="AM28">
        <v>-1.7868392099992E-3</v>
      </c>
      <c r="AN28">
        <v>83.842677468310981</v>
      </c>
      <c r="AO28">
        <v>0.1305220753468094</v>
      </c>
      <c r="AP28">
        <v>83.842677468310981</v>
      </c>
      <c r="AQ28">
        <v>83.842677468310981</v>
      </c>
      <c r="AR28">
        <v>0.1305220753468094</v>
      </c>
      <c r="AS28">
        <v>115.419532358175</v>
      </c>
      <c r="AT28">
        <v>-1.5149844133702199E-2</v>
      </c>
      <c r="AU28">
        <v>0.8</v>
      </c>
      <c r="AV28" t="s">
        <v>92</v>
      </c>
      <c r="AW28">
        <v>0.14876736615263009</v>
      </c>
      <c r="AX28">
        <v>-8.0243428304000497E-2</v>
      </c>
      <c r="AY28">
        <v>0.14876736615263009</v>
      </c>
      <c r="AZ28">
        <v>0.14876736615263009</v>
      </c>
      <c r="BA28">
        <v>-8.0243428304000497E-2</v>
      </c>
      <c r="BB28">
        <v>0.1525919767646188</v>
      </c>
      <c r="BC28">
        <v>-0.1080150464099749</v>
      </c>
      <c r="BD28">
        <v>0.28855521528142702</v>
      </c>
      <c r="BE28">
        <v>2.1780925296979999E-4</v>
      </c>
      <c r="BF28">
        <v>0.28855521528142702</v>
      </c>
      <c r="BG28">
        <v>0.28855521528142702</v>
      </c>
      <c r="BH28">
        <v>2.1780925296979999E-4</v>
      </c>
      <c r="BI28">
        <v>0.28784582641659068</v>
      </c>
      <c r="BJ28">
        <v>2.6756901569277001E-3</v>
      </c>
      <c r="BK28">
        <v>0.1108236849013748</v>
      </c>
      <c r="BL28">
        <v>0.55507795886361566</v>
      </c>
      <c r="BM28">
        <v>0.1108236849013748</v>
      </c>
      <c r="BN28">
        <v>0.1108236849013748</v>
      </c>
      <c r="BO28">
        <v>0.55507795886361566</v>
      </c>
      <c r="BP28">
        <v>0.16015011565084269</v>
      </c>
      <c r="BQ28">
        <v>0.35704794144850749</v>
      </c>
      <c r="BR28">
        <v>334.8225636069094</v>
      </c>
      <c r="BS28">
        <v>4.7035961574645103E-2</v>
      </c>
      <c r="BT28">
        <v>334.8225636069094</v>
      </c>
      <c r="BU28">
        <v>334.8225636069094</v>
      </c>
      <c r="BV28">
        <v>4.7035961574645103E-2</v>
      </c>
      <c r="BW28">
        <v>461.07754151387019</v>
      </c>
      <c r="BX28">
        <v>-0.3123079617302848</v>
      </c>
      <c r="BY28" t="str">
        <f t="shared" si="0"/>
        <v>theta</v>
      </c>
    </row>
    <row r="29" spans="1:77" x14ac:dyDescent="0.3">
      <c r="A29" t="s">
        <v>150</v>
      </c>
      <c r="B29" t="s">
        <v>151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136</v>
      </c>
      <c r="R29">
        <v>2</v>
      </c>
      <c r="S29" t="s">
        <v>85</v>
      </c>
      <c r="T29" t="s">
        <v>86</v>
      </c>
      <c r="U29" t="s">
        <v>87</v>
      </c>
      <c r="V29">
        <v>1</v>
      </c>
      <c r="W29" t="s">
        <v>137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160</v>
      </c>
      <c r="AH29">
        <v>40</v>
      </c>
      <c r="AI29">
        <v>120</v>
      </c>
      <c r="AJ29">
        <v>0.26474487896059468</v>
      </c>
      <c r="AK29">
        <v>83.107206078595908</v>
      </c>
      <c r="AL29">
        <v>4.6600982161603202E-2</v>
      </c>
      <c r="AM29">
        <v>0.18175402959168641</v>
      </c>
      <c r="AN29">
        <v>88.088982692459339</v>
      </c>
      <c r="AO29">
        <v>3.7534766364860903E-2</v>
      </c>
      <c r="AP29">
        <v>88.088982692459339</v>
      </c>
      <c r="AQ29">
        <v>88.088982692459339</v>
      </c>
      <c r="AR29">
        <v>3.7534766364860903E-2</v>
      </c>
      <c r="AS29">
        <v>87.975664438526152</v>
      </c>
      <c r="AT29">
        <v>0.12537880854106101</v>
      </c>
      <c r="AU29">
        <v>0.8</v>
      </c>
      <c r="AV29" t="s">
        <v>92</v>
      </c>
      <c r="AW29">
        <v>0.151950355994285</v>
      </c>
      <c r="AX29">
        <v>-0.1033560500283001</v>
      </c>
      <c r="AY29">
        <v>0.151950355994285</v>
      </c>
      <c r="AZ29">
        <v>0.151950355994285</v>
      </c>
      <c r="BA29">
        <v>-0.1033560500283001</v>
      </c>
      <c r="BB29">
        <v>0.1544457516923331</v>
      </c>
      <c r="BC29">
        <v>-0.1214758492392973</v>
      </c>
      <c r="BD29">
        <v>0.26088187660645462</v>
      </c>
      <c r="BE29">
        <v>9.6100017234428695E-2</v>
      </c>
      <c r="BF29">
        <v>0.26088187660645462</v>
      </c>
      <c r="BG29">
        <v>0.26088187660645462</v>
      </c>
      <c r="BH29">
        <v>9.6100017234428695E-2</v>
      </c>
      <c r="BI29">
        <v>0.22243797836549731</v>
      </c>
      <c r="BJ29">
        <v>0.2292999137142554</v>
      </c>
      <c r="BK29">
        <v>0.20960789123069681</v>
      </c>
      <c r="BL29">
        <v>0.1584906160840181</v>
      </c>
      <c r="BM29">
        <v>0.20960789123069681</v>
      </c>
      <c r="BN29">
        <v>0.20960789123069681</v>
      </c>
      <c r="BO29">
        <v>0.1584906160840181</v>
      </c>
      <c r="BP29">
        <v>0.15100424862873429</v>
      </c>
      <c r="BQ29">
        <v>0.39376570468711208</v>
      </c>
      <c r="BR29">
        <v>351.73349064600689</v>
      </c>
      <c r="BS29">
        <v>-1.0955178307121001E-3</v>
      </c>
      <c r="BT29">
        <v>351.73349064600689</v>
      </c>
      <c r="BU29">
        <v>351.73349064600689</v>
      </c>
      <c r="BV29">
        <v>-1.0955178307121001E-3</v>
      </c>
      <c r="BW29">
        <v>351.37476977541809</v>
      </c>
      <c r="BX29">
        <v>-7.4534997831499084E-5</v>
      </c>
      <c r="BY29" t="str">
        <f t="shared" si="0"/>
        <v>theta</v>
      </c>
    </row>
    <row r="30" spans="1:77" x14ac:dyDescent="0.3">
      <c r="A30" t="s">
        <v>152</v>
      </c>
      <c r="B30" t="s">
        <v>153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136</v>
      </c>
      <c r="R30">
        <v>2</v>
      </c>
      <c r="S30" t="s">
        <v>85</v>
      </c>
      <c r="T30" t="s">
        <v>86</v>
      </c>
      <c r="U30" t="s">
        <v>87</v>
      </c>
      <c r="V30">
        <v>1</v>
      </c>
      <c r="W30" t="s">
        <v>137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160</v>
      </c>
      <c r="AH30">
        <v>40</v>
      </c>
      <c r="AI30">
        <v>120</v>
      </c>
      <c r="AJ30">
        <v>0.26973718747795689</v>
      </c>
      <c r="AK30">
        <v>83.921941342579288</v>
      </c>
      <c r="AL30">
        <v>3.6922866384876199E-2</v>
      </c>
      <c r="AM30">
        <v>9.2649241705692706E-2</v>
      </c>
      <c r="AN30">
        <v>88.656988917738261</v>
      </c>
      <c r="AO30">
        <v>3.1926850776017597E-2</v>
      </c>
      <c r="AP30">
        <v>88.656988917738261</v>
      </c>
      <c r="AQ30">
        <v>88.656988917738261</v>
      </c>
      <c r="AR30">
        <v>3.1926850776017597E-2</v>
      </c>
      <c r="AS30">
        <v>89.731489103794431</v>
      </c>
      <c r="AT30">
        <v>7.7621125127016993E-2</v>
      </c>
      <c r="AU30">
        <v>0.8</v>
      </c>
      <c r="AV30" t="s">
        <v>92</v>
      </c>
      <c r="AW30">
        <v>0.14518968568167501</v>
      </c>
      <c r="AX30">
        <v>-5.4264842292363197E-2</v>
      </c>
      <c r="AY30">
        <v>0.14518968568167501</v>
      </c>
      <c r="AZ30">
        <v>0.14518968568167501</v>
      </c>
      <c r="BA30">
        <v>-5.4264842292363197E-2</v>
      </c>
      <c r="BB30">
        <v>0.14145218673111051</v>
      </c>
      <c r="BC30">
        <v>-2.7125767480095299E-2</v>
      </c>
      <c r="BD30">
        <v>0.2788274659400819</v>
      </c>
      <c r="BE30">
        <v>3.3922383048465399E-2</v>
      </c>
      <c r="BF30">
        <v>0.2788274659400819</v>
      </c>
      <c r="BG30">
        <v>0.2788274659400819</v>
      </c>
      <c r="BH30">
        <v>3.3922383048465399E-2</v>
      </c>
      <c r="BI30">
        <v>0.27116780510484922</v>
      </c>
      <c r="BJ30">
        <v>6.0461471876783301E-2</v>
      </c>
      <c r="BK30">
        <v>0.21033336596900029</v>
      </c>
      <c r="BL30">
        <v>0.15557806447877121</v>
      </c>
      <c r="BM30">
        <v>0.21033336596900029</v>
      </c>
      <c r="BN30">
        <v>0.21033336596900029</v>
      </c>
      <c r="BO30">
        <v>0.15557806447877121</v>
      </c>
      <c r="BP30">
        <v>0.17509658504539041</v>
      </c>
      <c r="BQ30">
        <v>0.2970425944261384</v>
      </c>
      <c r="BR30">
        <v>353.99360515336241</v>
      </c>
      <c r="BS30">
        <v>-7.5282021308114002E-3</v>
      </c>
      <c r="BT30">
        <v>353.99360515336241</v>
      </c>
      <c r="BU30">
        <v>353.99360515336241</v>
      </c>
      <c r="BV30">
        <v>-7.5282021308114002E-3</v>
      </c>
      <c r="BW30">
        <v>358.33823983829632</v>
      </c>
      <c r="BX30">
        <v>-1.989379831476E-2</v>
      </c>
      <c r="BY30" t="str">
        <f t="shared" si="0"/>
        <v>theta</v>
      </c>
    </row>
    <row r="31" spans="1:77" x14ac:dyDescent="0.3">
      <c r="A31" t="s">
        <v>154</v>
      </c>
      <c r="B31" t="s">
        <v>155</v>
      </c>
      <c r="C31">
        <v>9</v>
      </c>
      <c r="D31" t="s">
        <v>78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136</v>
      </c>
      <c r="R31">
        <v>2</v>
      </c>
      <c r="S31" t="s">
        <v>85</v>
      </c>
      <c r="T31" t="s">
        <v>86</v>
      </c>
      <c r="U31" t="s">
        <v>87</v>
      </c>
      <c r="V31">
        <v>1</v>
      </c>
      <c r="W31" t="s">
        <v>137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160</v>
      </c>
      <c r="AH31">
        <v>40</v>
      </c>
      <c r="AI31">
        <v>120</v>
      </c>
      <c r="AJ31">
        <v>0.27030420662155658</v>
      </c>
      <c r="AK31">
        <v>81.63872374366494</v>
      </c>
      <c r="AL31">
        <v>4.2897084867501399E-2</v>
      </c>
      <c r="AM31">
        <v>6.9217887942161105E-2</v>
      </c>
      <c r="AN31">
        <v>86.857899752094255</v>
      </c>
      <c r="AO31">
        <v>3.3740812614739199E-2</v>
      </c>
      <c r="AP31">
        <v>86.857899752094255</v>
      </c>
      <c r="AQ31">
        <v>86.857899752094255</v>
      </c>
      <c r="AR31">
        <v>3.3740812614739199E-2</v>
      </c>
      <c r="AS31">
        <v>90.113971055018055</v>
      </c>
      <c r="AT31">
        <v>5.0629144221607802E-2</v>
      </c>
      <c r="AU31">
        <v>0.8</v>
      </c>
      <c r="AV31" t="s">
        <v>92</v>
      </c>
      <c r="AW31">
        <v>0.14978934855849149</v>
      </c>
      <c r="AX31">
        <v>-8.7664341951429497E-2</v>
      </c>
      <c r="AY31">
        <v>0.14978934855849149</v>
      </c>
      <c r="AZ31">
        <v>0.14978934855849149</v>
      </c>
      <c r="BA31">
        <v>-8.7664341951429497E-2</v>
      </c>
      <c r="BB31">
        <v>0.1542540744224373</v>
      </c>
      <c r="BC31">
        <v>-0.1200840244290915</v>
      </c>
      <c r="BD31">
        <v>0.2891578462868496</v>
      </c>
      <c r="BE31">
        <v>-1.8701784696772E-3</v>
      </c>
      <c r="BF31">
        <v>0.2891578462868496</v>
      </c>
      <c r="BG31">
        <v>0.2891578462868496</v>
      </c>
      <c r="BH31">
        <v>-1.8701784696772E-3</v>
      </c>
      <c r="BI31">
        <v>0.28835242795813798</v>
      </c>
      <c r="BJ31">
        <v>9.2042401644220001E-4</v>
      </c>
      <c r="BK31">
        <v>0.1963937896376364</v>
      </c>
      <c r="BL31">
        <v>0.21154105433465109</v>
      </c>
      <c r="BM31">
        <v>0.1963937896376364</v>
      </c>
      <c r="BN31">
        <v>0.1963937896376364</v>
      </c>
      <c r="BO31">
        <v>0.21154105433465109</v>
      </c>
      <c r="BP31">
        <v>0.1629324636782723</v>
      </c>
      <c r="BQ31">
        <v>0.34587769418035841</v>
      </c>
      <c r="BR31">
        <v>346.7962580238945</v>
      </c>
      <c r="BS31">
        <v>1.29567165453958E-2</v>
      </c>
      <c r="BT31">
        <v>346.7962580238945</v>
      </c>
      <c r="BU31">
        <v>346.7962580238945</v>
      </c>
      <c r="BV31">
        <v>1.29567165453958E-2</v>
      </c>
      <c r="BW31">
        <v>359.85034525401312</v>
      </c>
      <c r="BX31">
        <v>-2.4197516881284398E-2</v>
      </c>
      <c r="BY31" t="str">
        <f t="shared" si="0"/>
        <v>theta</v>
      </c>
    </row>
    <row r="32" spans="1:77" x14ac:dyDescent="0.3">
      <c r="A32" t="s">
        <v>156</v>
      </c>
      <c r="B32" t="s">
        <v>157</v>
      </c>
      <c r="C32">
        <v>0</v>
      </c>
      <c r="D32" t="s">
        <v>95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158</v>
      </c>
      <c r="R32">
        <v>2</v>
      </c>
      <c r="S32" t="s">
        <v>85</v>
      </c>
      <c r="T32" t="s">
        <v>86</v>
      </c>
      <c r="U32" t="s">
        <v>87</v>
      </c>
      <c r="V32">
        <v>1</v>
      </c>
      <c r="W32" t="s">
        <v>159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160</v>
      </c>
      <c r="AH32">
        <v>40</v>
      </c>
      <c r="AI32">
        <v>120</v>
      </c>
      <c r="AJ32">
        <v>0.1227540274835026</v>
      </c>
      <c r="AK32">
        <v>28.308455623950248</v>
      </c>
      <c r="AL32">
        <v>0.69741141629842618</v>
      </c>
      <c r="AM32">
        <v>0.49532371834913258</v>
      </c>
      <c r="AN32">
        <v>35.798968151097547</v>
      </c>
      <c r="AO32">
        <v>0.69505087137502464</v>
      </c>
      <c r="AP32">
        <v>35.798968151097547</v>
      </c>
      <c r="AQ32">
        <v>35.798968151097547</v>
      </c>
      <c r="AR32">
        <v>0.69505087137502464</v>
      </c>
      <c r="AS32">
        <v>99.643652854657304</v>
      </c>
      <c r="AT32">
        <v>0.48457819224327942</v>
      </c>
      <c r="AU32">
        <v>0.8</v>
      </c>
      <c r="AV32" t="s">
        <v>92</v>
      </c>
      <c r="AW32">
        <v>4.3622895637751902E-2</v>
      </c>
      <c r="AX32">
        <v>0.68324137507465266</v>
      </c>
      <c r="AY32">
        <v>4.3622895637751902E-2</v>
      </c>
      <c r="AZ32">
        <v>4.3622895637751902E-2</v>
      </c>
      <c r="BA32">
        <v>0.68324137507465266</v>
      </c>
      <c r="BB32">
        <v>4.5173922441561001E-2</v>
      </c>
      <c r="BC32">
        <v>0.67197891506565366</v>
      </c>
      <c r="BD32">
        <v>9.8466784789038697E-2</v>
      </c>
      <c r="BE32">
        <v>0.65883362143987556</v>
      </c>
      <c r="BF32">
        <v>9.8466784789038697E-2</v>
      </c>
      <c r="BG32">
        <v>9.8466784789038697E-2</v>
      </c>
      <c r="BH32">
        <v>0.65883362143987556</v>
      </c>
      <c r="BI32">
        <v>0.1054348686465453</v>
      </c>
      <c r="BJ32">
        <v>0.63469069913097709</v>
      </c>
      <c r="BK32">
        <v>3.8564679277899298E-2</v>
      </c>
      <c r="BL32">
        <v>0.84517501078074941</v>
      </c>
      <c r="BM32">
        <v>3.8564679277899298E-2</v>
      </c>
      <c r="BN32">
        <v>3.8564679277899298E-2</v>
      </c>
      <c r="BO32">
        <v>0.84517501078074941</v>
      </c>
      <c r="BP32">
        <v>5.8420087661170399E-2</v>
      </c>
      <c r="BQ32">
        <v>0.76546182642540872</v>
      </c>
      <c r="BR32">
        <v>143.01521824468571</v>
      </c>
      <c r="BS32">
        <v>0.59295347820481625</v>
      </c>
      <c r="BT32">
        <v>143.01521824468571</v>
      </c>
      <c r="BU32">
        <v>143.01521824468571</v>
      </c>
      <c r="BV32">
        <v>0.59295347820481625</v>
      </c>
      <c r="BW32">
        <v>398.36558253988022</v>
      </c>
      <c r="BX32">
        <v>-0.1338186716489235</v>
      </c>
      <c r="BY32" t="str">
        <f t="shared" si="0"/>
        <v>lambda</v>
      </c>
    </row>
    <row r="33" spans="1:77" x14ac:dyDescent="0.3">
      <c r="A33" t="s">
        <v>160</v>
      </c>
      <c r="B33" t="s">
        <v>161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158</v>
      </c>
      <c r="R33">
        <v>2</v>
      </c>
      <c r="S33" t="s">
        <v>85</v>
      </c>
      <c r="T33" t="s">
        <v>86</v>
      </c>
      <c r="U33" t="s">
        <v>87</v>
      </c>
      <c r="V33">
        <v>1</v>
      </c>
      <c r="W33" t="s">
        <v>159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160</v>
      </c>
      <c r="AH33">
        <v>40</v>
      </c>
      <c r="AI33">
        <v>120</v>
      </c>
      <c r="AJ33">
        <v>0.1151818285067346</v>
      </c>
      <c r="AK33">
        <v>32.06534158924616</v>
      </c>
      <c r="AL33">
        <v>0.68311603604424687</v>
      </c>
      <c r="AM33">
        <v>0.48032990883672599</v>
      </c>
      <c r="AN33">
        <v>38.951345869879049</v>
      </c>
      <c r="AO33">
        <v>0.66661406932489853</v>
      </c>
      <c r="AP33">
        <v>38.951345869879049</v>
      </c>
      <c r="AQ33">
        <v>38.951345869879049</v>
      </c>
      <c r="AR33">
        <v>0.66661406932489853</v>
      </c>
      <c r="AS33">
        <v>101.4356303243945</v>
      </c>
      <c r="AT33">
        <v>0.4681753840220364</v>
      </c>
      <c r="AU33">
        <v>0.8</v>
      </c>
      <c r="AV33" t="s">
        <v>92</v>
      </c>
      <c r="AW33">
        <v>4.0489805096998503E-2</v>
      </c>
      <c r="AX33">
        <v>0.70599166335667995</v>
      </c>
      <c r="AY33">
        <v>4.0489805096998503E-2</v>
      </c>
      <c r="AZ33">
        <v>4.0489805096998503E-2</v>
      </c>
      <c r="BA33">
        <v>0.70599166335667995</v>
      </c>
      <c r="BB33">
        <v>4.8915549933278499E-2</v>
      </c>
      <c r="BC33">
        <v>0.64480986170658161</v>
      </c>
      <c r="BD33">
        <v>0.10070479099292751</v>
      </c>
      <c r="BE33">
        <v>0.6510794079412664</v>
      </c>
      <c r="BF33">
        <v>0.10070479099292751</v>
      </c>
      <c r="BG33">
        <v>0.10070479099292751</v>
      </c>
      <c r="BH33">
        <v>0.6510794079412664</v>
      </c>
      <c r="BI33">
        <v>0.1133635996826918</v>
      </c>
      <c r="BJ33">
        <v>0.60721933952504759</v>
      </c>
      <c r="BK33">
        <v>6.1709147158413698E-2</v>
      </c>
      <c r="BL33">
        <v>0.75225729287976129</v>
      </c>
      <c r="BM33">
        <v>6.1709147158413698E-2</v>
      </c>
      <c r="BN33">
        <v>6.1709147158413698E-2</v>
      </c>
      <c r="BO33">
        <v>0.75225729287976129</v>
      </c>
      <c r="BP33">
        <v>5.6077744731439699E-2</v>
      </c>
      <c r="BQ33">
        <v>0.77486559240074715</v>
      </c>
      <c r="BR33">
        <v>155.60247973626861</v>
      </c>
      <c r="BS33">
        <v>0.55712791312188026</v>
      </c>
      <c r="BT33">
        <v>155.60247973626861</v>
      </c>
      <c r="BU33">
        <v>155.60247973626861</v>
      </c>
      <c r="BV33">
        <v>0.55712791312188026</v>
      </c>
      <c r="BW33">
        <v>405.52416440322958</v>
      </c>
      <c r="BX33">
        <v>-0.1541932575442308</v>
      </c>
      <c r="BY33" t="str">
        <f t="shared" si="0"/>
        <v>lambda</v>
      </c>
    </row>
    <row r="34" spans="1:77" x14ac:dyDescent="0.3">
      <c r="A34" t="s">
        <v>162</v>
      </c>
      <c r="B34" t="s">
        <v>163</v>
      </c>
      <c r="C34">
        <v>2</v>
      </c>
      <c r="D34" t="s">
        <v>95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158</v>
      </c>
      <c r="R34">
        <v>2</v>
      </c>
      <c r="S34" t="s">
        <v>85</v>
      </c>
      <c r="T34" t="s">
        <v>86</v>
      </c>
      <c r="U34" t="s">
        <v>87</v>
      </c>
      <c r="V34">
        <v>1</v>
      </c>
      <c r="W34" t="s">
        <v>159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160</v>
      </c>
      <c r="AH34">
        <v>40</v>
      </c>
      <c r="AI34">
        <v>120</v>
      </c>
      <c r="AJ34">
        <v>9.5077321181690794E-2</v>
      </c>
      <c r="AK34">
        <v>30.992209402920182</v>
      </c>
      <c r="AL34">
        <v>0.71316887047282485</v>
      </c>
      <c r="AM34">
        <v>0.45104040657746591</v>
      </c>
      <c r="AN34">
        <v>40.192271588478242</v>
      </c>
      <c r="AO34">
        <v>0.69085227298718588</v>
      </c>
      <c r="AP34">
        <v>40.192271588478242</v>
      </c>
      <c r="AQ34">
        <v>40.192271588478242</v>
      </c>
      <c r="AR34">
        <v>0.69085227298718588</v>
      </c>
      <c r="AS34">
        <v>102.5345878126241</v>
      </c>
      <c r="AT34">
        <v>0.46208244721876168</v>
      </c>
      <c r="AU34">
        <v>0.8</v>
      </c>
      <c r="AV34" t="s">
        <v>92</v>
      </c>
      <c r="AW34">
        <v>4.5832679624566497E-2</v>
      </c>
      <c r="AX34">
        <v>0.66719548617131064</v>
      </c>
      <c r="AY34">
        <v>4.5832679624566497E-2</v>
      </c>
      <c r="AZ34">
        <v>4.5832679624566497E-2</v>
      </c>
      <c r="BA34">
        <v>0.66719548617131064</v>
      </c>
      <c r="BB34">
        <v>4.6691580114140298E-2</v>
      </c>
      <c r="BC34">
        <v>0.6609587580942855</v>
      </c>
      <c r="BD34">
        <v>7.5549285690966805E-2</v>
      </c>
      <c r="BE34">
        <v>0.73823786104915423</v>
      </c>
      <c r="BF34">
        <v>7.5549285690966805E-2</v>
      </c>
      <c r="BG34">
        <v>7.5549285690966805E-2</v>
      </c>
      <c r="BH34">
        <v>0.73823786104915423</v>
      </c>
      <c r="BI34">
        <v>0.11550189654932889</v>
      </c>
      <c r="BJ34">
        <v>0.59981059758389477</v>
      </c>
      <c r="BK34">
        <v>4.6061827942393101E-2</v>
      </c>
      <c r="BL34">
        <v>0.81507633025520998</v>
      </c>
      <c r="BM34">
        <v>4.6061827942393101E-2</v>
      </c>
      <c r="BN34">
        <v>4.6061827942393101E-2</v>
      </c>
      <c r="BO34">
        <v>0.81507633025520998</v>
      </c>
      <c r="BP34">
        <v>6.1212636353043803E-2</v>
      </c>
      <c r="BQ34">
        <v>0.75425062671600762</v>
      </c>
      <c r="BR34">
        <v>160.60164256065451</v>
      </c>
      <c r="BS34">
        <v>0.54289941447306811</v>
      </c>
      <c r="BT34">
        <v>160.60164256065451</v>
      </c>
      <c r="BU34">
        <v>160.60164256065451</v>
      </c>
      <c r="BV34">
        <v>0.54289941447306811</v>
      </c>
      <c r="BW34">
        <v>409.91494513747961</v>
      </c>
      <c r="BX34">
        <v>-0.1666901935191418</v>
      </c>
      <c r="BY34" t="str">
        <f t="shared" ref="BY34:BY97" si="1">CHOOSE(MATCH("-1", _xlfn.TAKE(_xlfn.TEXTSPLIT(SUBSTITUTE(SUBSTITUTE(W34,"[",""),"]",""), ", "), 3), 0), "theta", "phi", "lambda")</f>
        <v>lambda</v>
      </c>
    </row>
    <row r="35" spans="1:77" x14ac:dyDescent="0.3">
      <c r="A35" t="s">
        <v>164</v>
      </c>
      <c r="B35" t="s">
        <v>165</v>
      </c>
      <c r="C35">
        <v>3</v>
      </c>
      <c r="D35" t="s">
        <v>95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158</v>
      </c>
      <c r="R35">
        <v>2</v>
      </c>
      <c r="S35" t="s">
        <v>85</v>
      </c>
      <c r="T35" t="s">
        <v>86</v>
      </c>
      <c r="U35" t="s">
        <v>87</v>
      </c>
      <c r="V35">
        <v>1</v>
      </c>
      <c r="W35" t="s">
        <v>159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160</v>
      </c>
      <c r="AH35">
        <v>40</v>
      </c>
      <c r="AI35">
        <v>120</v>
      </c>
      <c r="AJ35">
        <v>0.15273526693292719</v>
      </c>
      <c r="AK35">
        <v>50.93382456191862</v>
      </c>
      <c r="AL35">
        <v>0.61248534860054471</v>
      </c>
      <c r="AM35">
        <v>0.45694323327436948</v>
      </c>
      <c r="AN35">
        <v>60.316634898690808</v>
      </c>
      <c r="AO35">
        <v>0.60560820690516626</v>
      </c>
      <c r="AP35">
        <v>60.316634898690808</v>
      </c>
      <c r="AQ35">
        <v>60.316634898690808</v>
      </c>
      <c r="AR35">
        <v>0.60560820690516626</v>
      </c>
      <c r="AS35">
        <v>93.699273022019881</v>
      </c>
      <c r="AT35">
        <v>0.45351028875029498</v>
      </c>
      <c r="AU35">
        <v>0.8</v>
      </c>
      <c r="AV35" t="s">
        <v>92</v>
      </c>
      <c r="AW35">
        <v>4.24256614163099E-2</v>
      </c>
      <c r="AX35">
        <v>0.69193484349652734</v>
      </c>
      <c r="AY35">
        <v>4.24256614163099E-2</v>
      </c>
      <c r="AZ35">
        <v>4.24256614163099E-2</v>
      </c>
      <c r="BA35">
        <v>0.69193484349652734</v>
      </c>
      <c r="BB35">
        <v>5.6598471421504398E-2</v>
      </c>
      <c r="BC35">
        <v>0.58902191800314396</v>
      </c>
      <c r="BD35">
        <v>0.1088899544914296</v>
      </c>
      <c r="BE35">
        <v>0.62271956462263545</v>
      </c>
      <c r="BF35">
        <v>0.1088899544914296</v>
      </c>
      <c r="BG35">
        <v>0.1088899544914296</v>
      </c>
      <c r="BH35">
        <v>0.62271956462263545</v>
      </c>
      <c r="BI35">
        <v>0.1058033522118699</v>
      </c>
      <c r="BJ35">
        <v>0.63341398227858847</v>
      </c>
      <c r="BK35">
        <v>5.13393546549284E-2</v>
      </c>
      <c r="BL35">
        <v>0.79388872979613279</v>
      </c>
      <c r="BM35">
        <v>5.13393546549284E-2</v>
      </c>
      <c r="BN35">
        <v>5.13393546549284E-2</v>
      </c>
      <c r="BO35">
        <v>0.79388872979613279</v>
      </c>
      <c r="BP35">
        <v>8.5277226323408103E-2</v>
      </c>
      <c r="BQ35">
        <v>0.65763890966064176</v>
      </c>
      <c r="BR35">
        <v>241.06388462420051</v>
      </c>
      <c r="BS35">
        <v>0.31388968970536452</v>
      </c>
      <c r="BT35">
        <v>241.06388462420051</v>
      </c>
      <c r="BU35">
        <v>241.06388462420051</v>
      </c>
      <c r="BV35">
        <v>0.31388968970536452</v>
      </c>
      <c r="BW35">
        <v>374.54941303812268</v>
      </c>
      <c r="BX35">
        <v>-6.6033654941199005E-2</v>
      </c>
      <c r="BY35" t="str">
        <f t="shared" si="1"/>
        <v>lambda</v>
      </c>
    </row>
    <row r="36" spans="1:77" x14ac:dyDescent="0.3">
      <c r="A36" t="s">
        <v>166</v>
      </c>
      <c r="B36" t="s">
        <v>167</v>
      </c>
      <c r="C36">
        <v>4</v>
      </c>
      <c r="D36" t="s">
        <v>95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158</v>
      </c>
      <c r="R36">
        <v>2</v>
      </c>
      <c r="S36" t="s">
        <v>85</v>
      </c>
      <c r="T36" t="s">
        <v>86</v>
      </c>
      <c r="U36" t="s">
        <v>87</v>
      </c>
      <c r="V36">
        <v>1</v>
      </c>
      <c r="W36" t="s">
        <v>159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160</v>
      </c>
      <c r="AH36">
        <v>40</v>
      </c>
      <c r="AI36">
        <v>120</v>
      </c>
      <c r="AJ36">
        <v>0.12527647301292719</v>
      </c>
      <c r="AK36">
        <v>21.385906967831321</v>
      </c>
      <c r="AL36">
        <v>0.70808538700647394</v>
      </c>
      <c r="AM36">
        <v>0.39217595143075301</v>
      </c>
      <c r="AN36">
        <v>32.119861986746692</v>
      </c>
      <c r="AO36">
        <v>0.69512466602922574</v>
      </c>
      <c r="AP36">
        <v>32.119861986746692</v>
      </c>
      <c r="AQ36">
        <v>32.119861986746692</v>
      </c>
      <c r="AR36">
        <v>0.69512466602922574</v>
      </c>
      <c r="AS36">
        <v>108.69587017664971</v>
      </c>
      <c r="AT36">
        <v>0.39694328854594207</v>
      </c>
      <c r="AU36">
        <v>0.8</v>
      </c>
      <c r="AV36" t="s">
        <v>92</v>
      </c>
      <c r="AW36">
        <v>4.5871932272506001E-2</v>
      </c>
      <c r="AX36">
        <v>0.66691046119522368</v>
      </c>
      <c r="AY36">
        <v>4.5871932272506001E-2</v>
      </c>
      <c r="AZ36">
        <v>4.5871932272506001E-2</v>
      </c>
      <c r="BA36">
        <v>0.66691046119522368</v>
      </c>
      <c r="BB36">
        <v>7.0632701296239303E-2</v>
      </c>
      <c r="BC36">
        <v>0.48711526343525918</v>
      </c>
      <c r="BD36">
        <v>9.88215058417279E-2</v>
      </c>
      <c r="BE36">
        <v>0.65760458875434336</v>
      </c>
      <c r="BF36">
        <v>9.88215058417279E-2</v>
      </c>
      <c r="BG36">
        <v>9.88215058417279E-2</v>
      </c>
      <c r="BH36">
        <v>0.65760458875434336</v>
      </c>
      <c r="BI36">
        <v>0.1255802457738131</v>
      </c>
      <c r="BJ36">
        <v>0.56489127007515005</v>
      </c>
      <c r="BK36">
        <v>4.4556403574274699E-2</v>
      </c>
      <c r="BL36">
        <v>0.82112013292461028</v>
      </c>
      <c r="BM36">
        <v>4.4556403574274699E-2</v>
      </c>
      <c r="BN36">
        <v>4.4556403574274699E-2</v>
      </c>
      <c r="BO36">
        <v>0.82112013292461028</v>
      </c>
      <c r="BP36">
        <v>5.6662665215362902E-2</v>
      </c>
      <c r="BQ36">
        <v>0.77251732166925857</v>
      </c>
      <c r="BR36">
        <v>128.29019810529931</v>
      </c>
      <c r="BS36">
        <v>0.63486348124271996</v>
      </c>
      <c r="BT36">
        <v>128.29019810529931</v>
      </c>
      <c r="BU36">
        <v>128.29019810529931</v>
      </c>
      <c r="BV36">
        <v>0.63486348124271996</v>
      </c>
      <c r="BW36">
        <v>434.53060509431538</v>
      </c>
      <c r="BX36">
        <v>-0.23675070099590709</v>
      </c>
      <c r="BY36" t="str">
        <f t="shared" si="1"/>
        <v>lambda</v>
      </c>
    </row>
    <row r="37" spans="1:77" x14ac:dyDescent="0.3">
      <c r="A37" t="s">
        <v>168</v>
      </c>
      <c r="B37" t="s">
        <v>169</v>
      </c>
      <c r="C37">
        <v>5</v>
      </c>
      <c r="D37" t="s">
        <v>95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158</v>
      </c>
      <c r="R37">
        <v>2</v>
      </c>
      <c r="S37" t="s">
        <v>85</v>
      </c>
      <c r="T37" t="s">
        <v>86</v>
      </c>
      <c r="U37" t="s">
        <v>87</v>
      </c>
      <c r="V37">
        <v>1</v>
      </c>
      <c r="W37" t="s">
        <v>159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160</v>
      </c>
      <c r="AH37">
        <v>40</v>
      </c>
      <c r="AI37">
        <v>120</v>
      </c>
      <c r="AJ37">
        <v>0.1230145139858272</v>
      </c>
      <c r="AK37">
        <v>40.408530157462351</v>
      </c>
      <c r="AL37">
        <v>0.67182443646436185</v>
      </c>
      <c r="AM37">
        <v>0.38055976548492981</v>
      </c>
      <c r="AN37">
        <v>48.393236233424538</v>
      </c>
      <c r="AO37">
        <v>0.6597865293456654</v>
      </c>
      <c r="AP37">
        <v>48.393236233424538</v>
      </c>
      <c r="AQ37">
        <v>48.393236233424538</v>
      </c>
      <c r="AR37">
        <v>0.6597865293456654</v>
      </c>
      <c r="AS37">
        <v>100.7332976957354</v>
      </c>
      <c r="AT37">
        <v>0.3952703425776154</v>
      </c>
      <c r="AU37">
        <v>0.8</v>
      </c>
      <c r="AV37" t="s">
        <v>92</v>
      </c>
      <c r="AW37">
        <v>4.5312055902339998E-2</v>
      </c>
      <c r="AX37">
        <v>0.67097588753956061</v>
      </c>
      <c r="AY37">
        <v>4.5312055902339998E-2</v>
      </c>
      <c r="AZ37">
        <v>4.5312055902339998E-2</v>
      </c>
      <c r="BA37">
        <v>0.67097588753956061</v>
      </c>
      <c r="BB37">
        <v>7.5745343374105406E-2</v>
      </c>
      <c r="BC37">
        <v>0.44999087151573691</v>
      </c>
      <c r="BD37">
        <v>7.3345588460717398E-2</v>
      </c>
      <c r="BE37">
        <v>0.74587320128188273</v>
      </c>
      <c r="BF37">
        <v>7.3345588460717398E-2</v>
      </c>
      <c r="BG37">
        <v>7.3345588460717398E-2</v>
      </c>
      <c r="BH37">
        <v>0.74587320128188273</v>
      </c>
      <c r="BI37">
        <v>0.13764887146163349</v>
      </c>
      <c r="BJ37">
        <v>0.52307605970819449</v>
      </c>
      <c r="BK37">
        <v>5.6606970378739498E-2</v>
      </c>
      <c r="BL37">
        <v>0.77274091882191898</v>
      </c>
      <c r="BM37">
        <v>5.6606970378739498E-2</v>
      </c>
      <c r="BN37">
        <v>5.6606970378739498E-2</v>
      </c>
      <c r="BO37">
        <v>0.77274091882191898</v>
      </c>
      <c r="BP37">
        <v>6.1262208961475002E-2</v>
      </c>
      <c r="BQ37">
        <v>0.75405160837306684</v>
      </c>
      <c r="BR37">
        <v>193.39768031895679</v>
      </c>
      <c r="BS37">
        <v>0.44955610973929738</v>
      </c>
      <c r="BT37">
        <v>193.39768031895679</v>
      </c>
      <c r="BU37">
        <v>193.39768031895679</v>
      </c>
      <c r="BV37">
        <v>0.44955610973929738</v>
      </c>
      <c r="BW37">
        <v>402.6585343591442</v>
      </c>
      <c r="BX37">
        <v>-0.1460371692865389</v>
      </c>
      <c r="BY37" t="str">
        <f t="shared" si="1"/>
        <v>lambda</v>
      </c>
    </row>
    <row r="38" spans="1:77" x14ac:dyDescent="0.3">
      <c r="A38" t="s">
        <v>170</v>
      </c>
      <c r="B38" t="s">
        <v>171</v>
      </c>
      <c r="C38">
        <v>6</v>
      </c>
      <c r="D38" t="s">
        <v>78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158</v>
      </c>
      <c r="R38">
        <v>2</v>
      </c>
      <c r="S38" t="s">
        <v>85</v>
      </c>
      <c r="T38" t="s">
        <v>86</v>
      </c>
      <c r="U38" t="s">
        <v>87</v>
      </c>
      <c r="V38">
        <v>1</v>
      </c>
      <c r="W38" t="s">
        <v>159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0.1033846172471521</v>
      </c>
      <c r="AK38">
        <v>29.183842726337829</v>
      </c>
      <c r="AL38">
        <v>0.7179099058641305</v>
      </c>
      <c r="AM38">
        <v>0.46888034853199922</v>
      </c>
      <c r="AN38">
        <v>34.808667884757199</v>
      </c>
      <c r="AO38">
        <v>0.71961708835353577</v>
      </c>
      <c r="AP38">
        <v>34.808667884757199</v>
      </c>
      <c r="AQ38">
        <v>34.808667884757199</v>
      </c>
      <c r="AR38">
        <v>0.71961708835353577</v>
      </c>
      <c r="AS38">
        <v>109.7326938262275</v>
      </c>
      <c r="AT38">
        <v>0.47717474781983671</v>
      </c>
      <c r="AU38">
        <v>0.8</v>
      </c>
      <c r="AV38" t="s">
        <v>92</v>
      </c>
      <c r="AW38">
        <v>3.0520568506654602E-2</v>
      </c>
      <c r="AX38">
        <v>0.7783812108121213</v>
      </c>
      <c r="AY38">
        <v>3.0520568506654602E-2</v>
      </c>
      <c r="AZ38">
        <v>3.0520568506654602E-2</v>
      </c>
      <c r="BA38">
        <v>0.7783812108121213</v>
      </c>
      <c r="BB38">
        <v>3.6711225722765597E-2</v>
      </c>
      <c r="BC38">
        <v>0.73342903516006608</v>
      </c>
      <c r="BD38">
        <v>0.10251378713280521</v>
      </c>
      <c r="BE38">
        <v>0.64481162268562309</v>
      </c>
      <c r="BF38">
        <v>0.10251378713280521</v>
      </c>
      <c r="BG38">
        <v>0.10251378713280521</v>
      </c>
      <c r="BH38">
        <v>0.64481162268562309</v>
      </c>
      <c r="BI38">
        <v>0.10654158746565399</v>
      </c>
      <c r="BJ38">
        <v>0.6308561547979965</v>
      </c>
      <c r="BK38">
        <v>3.70943985304205E-2</v>
      </c>
      <c r="BL38">
        <v>0.85107772292927553</v>
      </c>
      <c r="BM38">
        <v>3.70943985304205E-2</v>
      </c>
      <c r="BN38">
        <v>3.70943985304205E-2</v>
      </c>
      <c r="BO38">
        <v>0.85107772292927553</v>
      </c>
      <c r="BP38">
        <v>5.1527400907400697E-2</v>
      </c>
      <c r="BQ38">
        <v>0.7931337835718445</v>
      </c>
      <c r="BR38">
        <v>139.0645427848593</v>
      </c>
      <c r="BS38">
        <v>0.60419779698711951</v>
      </c>
      <c r="BT38">
        <v>139.0645427848593</v>
      </c>
      <c r="BU38">
        <v>139.0645427848593</v>
      </c>
      <c r="BV38">
        <v>0.60419779698711951</v>
      </c>
      <c r="BW38">
        <v>438.73599509081509</v>
      </c>
      <c r="BX38">
        <v>-0.24871998225056849</v>
      </c>
      <c r="BY38" t="str">
        <f t="shared" si="1"/>
        <v>lambda</v>
      </c>
    </row>
    <row r="39" spans="1:77" x14ac:dyDescent="0.3">
      <c r="A39" t="s">
        <v>172</v>
      </c>
      <c r="B39" t="s">
        <v>173</v>
      </c>
      <c r="C39">
        <v>7</v>
      </c>
      <c r="D39" t="s">
        <v>95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158</v>
      </c>
      <c r="R39">
        <v>2</v>
      </c>
      <c r="S39" t="s">
        <v>85</v>
      </c>
      <c r="T39" t="s">
        <v>86</v>
      </c>
      <c r="U39" t="s">
        <v>87</v>
      </c>
      <c r="V39">
        <v>1</v>
      </c>
      <c r="W39" t="s">
        <v>159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0.1011171955893195</v>
      </c>
      <c r="AK39">
        <v>12.62660715316964</v>
      </c>
      <c r="AL39">
        <v>0.80995295394024935</v>
      </c>
      <c r="AM39">
        <v>0.44136733291854358</v>
      </c>
      <c r="AN39">
        <v>19.920317265076701</v>
      </c>
      <c r="AO39">
        <v>0.80397837215899892</v>
      </c>
      <c r="AP39">
        <v>19.920317265076701</v>
      </c>
      <c r="AQ39">
        <v>19.920317265076701</v>
      </c>
      <c r="AR39">
        <v>0.80397837215899892</v>
      </c>
      <c r="AS39">
        <v>124.32683366891909</v>
      </c>
      <c r="AT39">
        <v>0.46091609626850139</v>
      </c>
      <c r="AU39">
        <v>0.8</v>
      </c>
      <c r="AV39" t="s">
        <v>92</v>
      </c>
      <c r="AW39">
        <v>2.8887850126594099E-2</v>
      </c>
      <c r="AX39">
        <v>0.79023685728852611</v>
      </c>
      <c r="AY39">
        <v>2.8887850126594099E-2</v>
      </c>
      <c r="AZ39">
        <v>2.8887850126594099E-2</v>
      </c>
      <c r="BA39">
        <v>0.79023685728852611</v>
      </c>
      <c r="BB39">
        <v>3.5757055385145502E-2</v>
      </c>
      <c r="BC39">
        <v>0.74035754551387045</v>
      </c>
      <c r="BD39">
        <v>5.70806155166311E-2</v>
      </c>
      <c r="BE39">
        <v>0.80222785862751445</v>
      </c>
      <c r="BF39">
        <v>5.70806155166311E-2</v>
      </c>
      <c r="BG39">
        <v>5.70806155166311E-2</v>
      </c>
      <c r="BH39">
        <v>0.80222785862751445</v>
      </c>
      <c r="BI39">
        <v>8.0730762046918994E-2</v>
      </c>
      <c r="BJ39">
        <v>0.72028515214591904</v>
      </c>
      <c r="BK39">
        <v>3.7391586758235597E-2</v>
      </c>
      <c r="BL39">
        <v>0.84988460619580064</v>
      </c>
      <c r="BM39">
        <v>3.7391586758235597E-2</v>
      </c>
      <c r="BN39">
        <v>3.7391586758235597E-2</v>
      </c>
      <c r="BO39">
        <v>0.84988460619580064</v>
      </c>
      <c r="BP39">
        <v>5.0322456158114703E-2</v>
      </c>
      <c r="BQ39">
        <v>0.79797125561390825</v>
      </c>
      <c r="BR39">
        <v>79.557909007905351</v>
      </c>
      <c r="BS39">
        <v>0.77356416652415283</v>
      </c>
      <c r="BT39">
        <v>79.557909007905351</v>
      </c>
      <c r="BU39">
        <v>79.557909007905351</v>
      </c>
      <c r="BV39">
        <v>0.77356416652415283</v>
      </c>
      <c r="BW39">
        <v>497.1405244020861</v>
      </c>
      <c r="BX39">
        <v>-0.41494956819969281</v>
      </c>
      <c r="BY39" t="str">
        <f t="shared" si="1"/>
        <v>lambda</v>
      </c>
    </row>
    <row r="40" spans="1:77" x14ac:dyDescent="0.3">
      <c r="A40" t="s">
        <v>174</v>
      </c>
      <c r="B40" t="s">
        <v>175</v>
      </c>
      <c r="C40">
        <v>8</v>
      </c>
      <c r="D40" t="s">
        <v>78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158</v>
      </c>
      <c r="R40">
        <v>2</v>
      </c>
      <c r="S40" t="s">
        <v>85</v>
      </c>
      <c r="T40" t="s">
        <v>86</v>
      </c>
      <c r="U40" t="s">
        <v>87</v>
      </c>
      <c r="V40">
        <v>1</v>
      </c>
      <c r="W40" t="s">
        <v>159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0.1319334115132017</v>
      </c>
      <c r="AK40">
        <v>65.335270152088185</v>
      </c>
      <c r="AL40">
        <v>0.58111027172286223</v>
      </c>
      <c r="AM40">
        <v>0.45737508766099783</v>
      </c>
      <c r="AN40">
        <v>69.946267598742921</v>
      </c>
      <c r="AO40">
        <v>0.59023215706160459</v>
      </c>
      <c r="AP40">
        <v>69.946267598742921</v>
      </c>
      <c r="AQ40">
        <v>69.946267598742921</v>
      </c>
      <c r="AR40">
        <v>0.59023215706160459</v>
      </c>
      <c r="AS40">
        <v>89.717642185121534</v>
      </c>
      <c r="AT40">
        <v>0.46695580274417942</v>
      </c>
      <c r="AU40">
        <v>0.8</v>
      </c>
      <c r="AV40" t="s">
        <v>92</v>
      </c>
      <c r="AW40">
        <v>3.7958140953627199E-2</v>
      </c>
      <c r="AX40">
        <v>0.7243748183743195</v>
      </c>
      <c r="AY40">
        <v>3.7958140953627199E-2</v>
      </c>
      <c r="AZ40">
        <v>3.7958140953627199E-2</v>
      </c>
      <c r="BA40">
        <v>0.7243748183743195</v>
      </c>
      <c r="BB40">
        <v>7.0473030185929597E-2</v>
      </c>
      <c r="BC40">
        <v>0.48827468214423259</v>
      </c>
      <c r="BD40">
        <v>0.11405505661735831</v>
      </c>
      <c r="BE40">
        <v>0.60482358892919075</v>
      </c>
      <c r="BF40">
        <v>0.11405505661735831</v>
      </c>
      <c r="BG40">
        <v>0.11405505661735831</v>
      </c>
      <c r="BH40">
        <v>0.60482358892919075</v>
      </c>
      <c r="BI40">
        <v>0.112902542832217</v>
      </c>
      <c r="BJ40">
        <v>0.6088168030384935</v>
      </c>
      <c r="BK40">
        <v>4.2969039429435599E-2</v>
      </c>
      <c r="BL40">
        <v>0.82749289787983671</v>
      </c>
      <c r="BM40">
        <v>4.2969039429435599E-2</v>
      </c>
      <c r="BN40">
        <v>4.2969039429435599E-2</v>
      </c>
      <c r="BO40">
        <v>0.82749289787983671</v>
      </c>
      <c r="BP40">
        <v>5.1941608320358303E-2</v>
      </c>
      <c r="BQ40">
        <v>0.79147087182341336</v>
      </c>
      <c r="BR40">
        <v>279.59008815797142</v>
      </c>
      <c r="BS40">
        <v>0.204237323063065</v>
      </c>
      <c r="BT40">
        <v>279.59008815797142</v>
      </c>
      <c r="BU40">
        <v>279.59008815797142</v>
      </c>
      <c r="BV40">
        <v>0.204237323063065</v>
      </c>
      <c r="BW40">
        <v>358.6352515591463</v>
      </c>
      <c r="BX40">
        <v>-2.0739146029417701E-2</v>
      </c>
      <c r="BY40" t="str">
        <f t="shared" si="1"/>
        <v>lambda</v>
      </c>
    </row>
    <row r="41" spans="1:77" x14ac:dyDescent="0.3">
      <c r="A41" t="s">
        <v>176</v>
      </c>
      <c r="B41" t="s">
        <v>177</v>
      </c>
      <c r="C41">
        <v>9</v>
      </c>
      <c r="D41" t="s">
        <v>78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158</v>
      </c>
      <c r="R41">
        <v>2</v>
      </c>
      <c r="S41" t="s">
        <v>85</v>
      </c>
      <c r="T41" t="s">
        <v>86</v>
      </c>
      <c r="U41" t="s">
        <v>87</v>
      </c>
      <c r="V41">
        <v>1</v>
      </c>
      <c r="W41" t="s">
        <v>159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0.11573167884973</v>
      </c>
      <c r="AK41">
        <v>29.8001556165603</v>
      </c>
      <c r="AL41">
        <v>0.73988416389696954</v>
      </c>
      <c r="AM41">
        <v>0.43721856566875661</v>
      </c>
      <c r="AN41">
        <v>32.043135594163253</v>
      </c>
      <c r="AO41">
        <v>0.7508440298812048</v>
      </c>
      <c r="AP41">
        <v>32.043135594163253</v>
      </c>
      <c r="AQ41">
        <v>32.043135594163253</v>
      </c>
      <c r="AR41">
        <v>0.7508440298812048</v>
      </c>
      <c r="AS41">
        <v>122.88543338142971</v>
      </c>
      <c r="AT41">
        <v>0.4404156045678268</v>
      </c>
      <c r="AU41">
        <v>0.8</v>
      </c>
      <c r="AV41" t="s">
        <v>92</v>
      </c>
      <c r="AW41">
        <v>3.30736311542974E-2</v>
      </c>
      <c r="AX41">
        <v>0.75984267498609182</v>
      </c>
      <c r="AY41">
        <v>3.30736311542974E-2</v>
      </c>
      <c r="AZ41">
        <v>3.30736311542974E-2</v>
      </c>
      <c r="BA41">
        <v>0.75984267498609182</v>
      </c>
      <c r="BB41">
        <v>5.0699884503291798E-2</v>
      </c>
      <c r="BC41">
        <v>0.63185328565767152</v>
      </c>
      <c r="BD41">
        <v>6.7237799021153594E-2</v>
      </c>
      <c r="BE41">
        <v>0.76703538717602127</v>
      </c>
      <c r="BF41">
        <v>6.7237799021153594E-2</v>
      </c>
      <c r="BG41">
        <v>6.7237799021153594E-2</v>
      </c>
      <c r="BH41">
        <v>0.76703538717602127</v>
      </c>
      <c r="BI41">
        <v>8.4761886648771004E-2</v>
      </c>
      <c r="BJ41">
        <v>0.70631816637620026</v>
      </c>
      <c r="BK41">
        <v>3.9629171414012503E-2</v>
      </c>
      <c r="BL41">
        <v>0.84090141155514508</v>
      </c>
      <c r="BM41">
        <v>3.9629171414012503E-2</v>
      </c>
      <c r="BN41">
        <v>3.9629171414012503E-2</v>
      </c>
      <c r="BO41">
        <v>0.84090141155514508</v>
      </c>
      <c r="BP41">
        <v>4.4338824407123702E-2</v>
      </c>
      <c r="BQ41">
        <v>0.82199364446001644</v>
      </c>
      <c r="BR41">
        <v>128.03260177506391</v>
      </c>
      <c r="BS41">
        <v>0.6355966458075577</v>
      </c>
      <c r="BT41">
        <v>128.03260177506391</v>
      </c>
      <c r="BU41">
        <v>128.03260177506391</v>
      </c>
      <c r="BV41">
        <v>0.6355966458075577</v>
      </c>
      <c r="BW41">
        <v>491.3619329301597</v>
      </c>
      <c r="BX41">
        <v>-0.3985026782225809</v>
      </c>
      <c r="BY41" t="str">
        <f t="shared" si="1"/>
        <v>lambda</v>
      </c>
    </row>
    <row r="42" spans="1:77" x14ac:dyDescent="0.3">
      <c r="A42" t="s">
        <v>178</v>
      </c>
      <c r="B42" t="s">
        <v>179</v>
      </c>
      <c r="C42">
        <v>0</v>
      </c>
      <c r="D42" t="s">
        <v>95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180</v>
      </c>
      <c r="R42">
        <v>2</v>
      </c>
      <c r="S42" t="s">
        <v>85</v>
      </c>
      <c r="T42" t="s">
        <v>86</v>
      </c>
      <c r="U42" t="s">
        <v>87</v>
      </c>
      <c r="V42">
        <v>1</v>
      </c>
      <c r="W42" t="s">
        <v>181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9.6249341225149596E-2</v>
      </c>
      <c r="AK42">
        <v>18.169409265738899</v>
      </c>
      <c r="AL42">
        <v>0.79849675175198775</v>
      </c>
      <c r="AM42">
        <v>-0.74804087730895719</v>
      </c>
      <c r="AN42">
        <v>27.909971368079649</v>
      </c>
      <c r="AO42">
        <v>0.74127040648812503</v>
      </c>
      <c r="AP42">
        <v>27.909971368079649</v>
      </c>
      <c r="AQ42">
        <v>27.909971368079649</v>
      </c>
      <c r="AR42">
        <v>0.74127040648812503</v>
      </c>
      <c r="AS42">
        <v>129.47968667991171</v>
      </c>
      <c r="AT42">
        <v>-0.53222945192385618</v>
      </c>
      <c r="AU42">
        <v>0.8</v>
      </c>
      <c r="AV42" t="s">
        <v>92</v>
      </c>
      <c r="AW42">
        <v>2.6141569873637801E-2</v>
      </c>
      <c r="AX42">
        <v>0.81017840275148378</v>
      </c>
      <c r="AY42">
        <v>2.6141569873637801E-2</v>
      </c>
      <c r="AZ42">
        <v>2.6141569873637801E-2</v>
      </c>
      <c r="BA42">
        <v>0.81017840275148378</v>
      </c>
      <c r="BB42">
        <v>6.4013490606935494E-2</v>
      </c>
      <c r="BC42">
        <v>0.53517929140456533</v>
      </c>
      <c r="BD42">
        <v>0.1204267453988162</v>
      </c>
      <c r="BE42">
        <v>0.58274704817954159</v>
      </c>
      <c r="BF42">
        <v>0.1204267453988162</v>
      </c>
      <c r="BG42">
        <v>0.1204267453988162</v>
      </c>
      <c r="BH42">
        <v>0.58274704817954159</v>
      </c>
      <c r="BI42">
        <v>0.61859004168021292</v>
      </c>
      <c r="BJ42">
        <v>-1.143282374716958</v>
      </c>
      <c r="BK42">
        <v>2.7547025458311E-2</v>
      </c>
      <c r="BL42">
        <v>0.88940740596150625</v>
      </c>
      <c r="BM42">
        <v>2.7547025458311E-2</v>
      </c>
      <c r="BN42">
        <v>2.7547025458311E-2</v>
      </c>
      <c r="BO42">
        <v>0.88940740596150625</v>
      </c>
      <c r="BP42">
        <v>0.51065614485428612</v>
      </c>
      <c r="BQ42">
        <v>-1.050122900078623</v>
      </c>
      <c r="BR42">
        <v>111.4657701315877</v>
      </c>
      <c r="BS42">
        <v>0.68274876905996518</v>
      </c>
      <c r="BT42">
        <v>111.4657701315877</v>
      </c>
      <c r="BU42">
        <v>111.4657701315877</v>
      </c>
      <c r="BV42">
        <v>0.68274876905996518</v>
      </c>
      <c r="BW42">
        <v>516.72548704250437</v>
      </c>
      <c r="BX42">
        <v>-0.4706918243044349</v>
      </c>
      <c r="BY42" t="str">
        <f t="shared" si="1"/>
        <v>phi</v>
      </c>
    </row>
    <row r="43" spans="1:77" x14ac:dyDescent="0.3">
      <c r="A43" t="s">
        <v>182</v>
      </c>
      <c r="B43" t="s">
        <v>183</v>
      </c>
      <c r="C43">
        <v>1</v>
      </c>
      <c r="D43" t="s">
        <v>95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180</v>
      </c>
      <c r="R43">
        <v>2</v>
      </c>
      <c r="S43" t="s">
        <v>85</v>
      </c>
      <c r="T43" t="s">
        <v>86</v>
      </c>
      <c r="U43" t="s">
        <v>87</v>
      </c>
      <c r="V43">
        <v>1</v>
      </c>
      <c r="W43" t="s">
        <v>181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0.112222436836307</v>
      </c>
      <c r="AK43">
        <v>23.54104520253675</v>
      </c>
      <c r="AL43">
        <v>0.77262847344465346</v>
      </c>
      <c r="AM43">
        <v>0.3294370603210518</v>
      </c>
      <c r="AN43">
        <v>29.430858186324901</v>
      </c>
      <c r="AO43">
        <v>0.72759846800884309</v>
      </c>
      <c r="AP43">
        <v>29.430858186324901</v>
      </c>
      <c r="AQ43">
        <v>29.430858186324901</v>
      </c>
      <c r="AR43">
        <v>0.72759846800884309</v>
      </c>
      <c r="AS43">
        <v>161.01986173038509</v>
      </c>
      <c r="AT43">
        <v>0.10109098649509771</v>
      </c>
      <c r="AU43">
        <v>0.8</v>
      </c>
      <c r="AV43" t="s">
        <v>92</v>
      </c>
      <c r="AW43">
        <v>2.39915084791185E-2</v>
      </c>
      <c r="AX43">
        <v>0.82579062841592621</v>
      </c>
      <c r="AY43">
        <v>2.39915084791185E-2</v>
      </c>
      <c r="AZ43">
        <v>2.39915084791185E-2</v>
      </c>
      <c r="BA43">
        <v>0.82579062841592621</v>
      </c>
      <c r="BB43">
        <v>7.5137787723563207E-2</v>
      </c>
      <c r="BC43">
        <v>0.4544025110829375</v>
      </c>
      <c r="BD43">
        <v>0.12569782183687361</v>
      </c>
      <c r="BE43">
        <v>0.56448389412877753</v>
      </c>
      <c r="BF43">
        <v>0.12569782183687361</v>
      </c>
      <c r="BG43">
        <v>0.12569782183687361</v>
      </c>
      <c r="BH43">
        <v>0.56448389412877753</v>
      </c>
      <c r="BI43">
        <v>0.1044661539120042</v>
      </c>
      <c r="BJ43">
        <v>0.63804708878612137</v>
      </c>
      <c r="BK43">
        <v>3.62041209554545E-2</v>
      </c>
      <c r="BL43">
        <v>0.85465190579627115</v>
      </c>
      <c r="BM43">
        <v>3.62041209554545E-2</v>
      </c>
      <c r="BN43">
        <v>3.62041209554545E-2</v>
      </c>
      <c r="BO43">
        <v>0.85465190579627115</v>
      </c>
      <c r="BP43">
        <v>0.21322727794567639</v>
      </c>
      <c r="BQ43">
        <v>0.14395992324228721</v>
      </c>
      <c r="BR43">
        <v>117.53753929402851</v>
      </c>
      <c r="BS43">
        <v>0.6654674436943927</v>
      </c>
      <c r="BT43">
        <v>117.53753929402851</v>
      </c>
      <c r="BU43">
        <v>117.53753929402851</v>
      </c>
      <c r="BV43">
        <v>0.6654674436943927</v>
      </c>
      <c r="BW43">
        <v>643.68661570196025</v>
      </c>
      <c r="BX43">
        <v>-0.83204557713096472</v>
      </c>
      <c r="BY43" t="str">
        <f t="shared" si="1"/>
        <v>phi</v>
      </c>
    </row>
    <row r="44" spans="1:77" x14ac:dyDescent="0.3">
      <c r="A44" t="s">
        <v>184</v>
      </c>
      <c r="B44" t="s">
        <v>185</v>
      </c>
      <c r="C44">
        <v>2</v>
      </c>
      <c r="D44" t="s">
        <v>78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180</v>
      </c>
      <c r="R44">
        <v>2</v>
      </c>
      <c r="S44" t="s">
        <v>85</v>
      </c>
      <c r="T44" t="s">
        <v>86</v>
      </c>
      <c r="U44" t="s">
        <v>87</v>
      </c>
      <c r="V44">
        <v>1</v>
      </c>
      <c r="W44" t="s">
        <v>181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9.0108567269228404E-2</v>
      </c>
      <c r="AK44">
        <v>19.585083947965959</v>
      </c>
      <c r="AL44">
        <v>0.8149774201290092</v>
      </c>
      <c r="AM44">
        <v>-0.1189217127114615</v>
      </c>
      <c r="AN44">
        <v>29.950241103541199</v>
      </c>
      <c r="AO44">
        <v>0.77105278727789139</v>
      </c>
      <c r="AP44">
        <v>29.950241103541199</v>
      </c>
      <c r="AQ44">
        <v>29.950241103541199</v>
      </c>
      <c r="AR44">
        <v>0.77105278727789139</v>
      </c>
      <c r="AS44">
        <v>164.82686465571129</v>
      </c>
      <c r="AT44">
        <v>-0.1167106413526716</v>
      </c>
      <c r="AU44">
        <v>0.8</v>
      </c>
      <c r="AV44" t="s">
        <v>92</v>
      </c>
      <c r="AW44">
        <v>1.71477486612037E-2</v>
      </c>
      <c r="AX44">
        <v>0.87548517339166065</v>
      </c>
      <c r="AY44">
        <v>1.71477486612037E-2</v>
      </c>
      <c r="AZ44">
        <v>1.71477486612037E-2</v>
      </c>
      <c r="BA44">
        <v>0.87548517339166065</v>
      </c>
      <c r="BB44">
        <v>5.5251266234209701E-2</v>
      </c>
      <c r="BC44">
        <v>0.59880436954334948</v>
      </c>
      <c r="BD44">
        <v>8.3240431098599799E-2</v>
      </c>
      <c r="BE44">
        <v>0.7115896849020078</v>
      </c>
      <c r="BF44">
        <v>8.3240431098599799E-2</v>
      </c>
      <c r="BG44">
        <v>8.3240431098599799E-2</v>
      </c>
      <c r="BH44">
        <v>0.7115896849020078</v>
      </c>
      <c r="BI44">
        <v>9.1876922600933095E-2</v>
      </c>
      <c r="BJ44">
        <v>0.68166608644564453</v>
      </c>
      <c r="BK44">
        <v>4.0424061932455298E-2</v>
      </c>
      <c r="BL44">
        <v>0.83771017754898258</v>
      </c>
      <c r="BM44">
        <v>4.0424061932455298E-2</v>
      </c>
      <c r="BN44">
        <v>4.0424061932455298E-2</v>
      </c>
      <c r="BO44">
        <v>0.83771017754898258</v>
      </c>
      <c r="BP44">
        <v>0.46642629823993509</v>
      </c>
      <c r="BQ44">
        <v>-0.87255405590673818</v>
      </c>
      <c r="BR44">
        <v>119.66015217247271</v>
      </c>
      <c r="BS44">
        <v>0.6594261132689121</v>
      </c>
      <c r="BT44">
        <v>119.66015217247271</v>
      </c>
      <c r="BU44">
        <v>119.66015217247271</v>
      </c>
      <c r="BV44">
        <v>0.6594261132689121</v>
      </c>
      <c r="BW44">
        <v>658.69390413577287</v>
      </c>
      <c r="BX44">
        <v>-0.87475896549295817</v>
      </c>
      <c r="BY44" t="str">
        <f t="shared" si="1"/>
        <v>phi</v>
      </c>
    </row>
    <row r="45" spans="1:77" x14ac:dyDescent="0.3">
      <c r="A45" t="s">
        <v>186</v>
      </c>
      <c r="B45" t="s">
        <v>187</v>
      </c>
      <c r="C45">
        <v>3</v>
      </c>
      <c r="D45" t="s">
        <v>95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180</v>
      </c>
      <c r="R45">
        <v>2</v>
      </c>
      <c r="S45" t="s">
        <v>85</v>
      </c>
      <c r="T45" t="s">
        <v>86</v>
      </c>
      <c r="U45" t="s">
        <v>87</v>
      </c>
      <c r="V45">
        <v>1</v>
      </c>
      <c r="W45" t="s">
        <v>181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0.1101735091554147</v>
      </c>
      <c r="AK45">
        <v>12.179107156829129</v>
      </c>
      <c r="AL45">
        <v>0.80394788172933551</v>
      </c>
      <c r="AM45">
        <v>0.1361841583200962</v>
      </c>
      <c r="AN45">
        <v>18.926318262277821</v>
      </c>
      <c r="AO45">
        <v>0.74072967801544309</v>
      </c>
      <c r="AP45">
        <v>18.926318262277821</v>
      </c>
      <c r="AQ45">
        <v>18.926318262277821</v>
      </c>
      <c r="AR45">
        <v>0.74072967801544309</v>
      </c>
      <c r="AS45">
        <v>98.31087145915744</v>
      </c>
      <c r="AT45">
        <v>9.6207259375419102E-2</v>
      </c>
      <c r="AU45">
        <v>0.8</v>
      </c>
      <c r="AV45" t="s">
        <v>92</v>
      </c>
      <c r="AW45">
        <v>2.8527786360058E-2</v>
      </c>
      <c r="AX45">
        <v>0.79285138578109837</v>
      </c>
      <c r="AY45">
        <v>2.8527786360058E-2</v>
      </c>
      <c r="AZ45">
        <v>2.8527786360058E-2</v>
      </c>
      <c r="BA45">
        <v>0.79285138578109837</v>
      </c>
      <c r="BB45">
        <v>4.3017702971504798E-2</v>
      </c>
      <c r="BC45">
        <v>0.6876358563206304</v>
      </c>
      <c r="BD45">
        <v>0.1224719282067406</v>
      </c>
      <c r="BE45">
        <v>0.57566092656433998</v>
      </c>
      <c r="BF45">
        <v>0.1224719282067406</v>
      </c>
      <c r="BG45">
        <v>0.1224719282067406</v>
      </c>
      <c r="BH45">
        <v>0.57566092656433998</v>
      </c>
      <c r="BI45">
        <v>0.20691323645560061</v>
      </c>
      <c r="BJ45">
        <v>0.28308982862645271</v>
      </c>
      <c r="BK45">
        <v>4.7497641332049201E-2</v>
      </c>
      <c r="BL45">
        <v>0.80931199364625106</v>
      </c>
      <c r="BM45">
        <v>4.7497641332049201E-2</v>
      </c>
      <c r="BN45">
        <v>4.7497641332049201E-2</v>
      </c>
      <c r="BO45">
        <v>0.80931199364625106</v>
      </c>
      <c r="BP45">
        <v>0.36575950682633712</v>
      </c>
      <c r="BQ45">
        <v>-0.46840872947902068</v>
      </c>
      <c r="BR45">
        <v>75.506775693212617</v>
      </c>
      <c r="BS45">
        <v>0.78509440607007985</v>
      </c>
      <c r="BT45">
        <v>75.506775693212617</v>
      </c>
      <c r="BU45">
        <v>75.506775693212617</v>
      </c>
      <c r="BV45">
        <v>0.78509440607007985</v>
      </c>
      <c r="BW45">
        <v>392.62779539037831</v>
      </c>
      <c r="BX45">
        <v>-0.1174879179664034</v>
      </c>
      <c r="BY45" t="str">
        <f t="shared" si="1"/>
        <v>phi</v>
      </c>
    </row>
    <row r="46" spans="1:77" x14ac:dyDescent="0.3">
      <c r="A46" t="s">
        <v>188</v>
      </c>
      <c r="B46" t="s">
        <v>189</v>
      </c>
      <c r="C46">
        <v>4</v>
      </c>
      <c r="D46" t="s">
        <v>78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180</v>
      </c>
      <c r="R46">
        <v>2</v>
      </c>
      <c r="S46" t="s">
        <v>85</v>
      </c>
      <c r="T46" t="s">
        <v>86</v>
      </c>
      <c r="U46" t="s">
        <v>87</v>
      </c>
      <c r="V46">
        <v>1</v>
      </c>
      <c r="W46" t="s">
        <v>181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0.1177168109274115</v>
      </c>
      <c r="AK46">
        <v>24.5460940671698</v>
      </c>
      <c r="AL46">
        <v>0.71258407551819125</v>
      </c>
      <c r="AM46">
        <v>-0.2223102827364562</v>
      </c>
      <c r="AN46">
        <v>38.124699586122581</v>
      </c>
      <c r="AO46">
        <v>0.65949050144604671</v>
      </c>
      <c r="AP46">
        <v>38.124699586122581</v>
      </c>
      <c r="AQ46">
        <v>38.124699586122581</v>
      </c>
      <c r="AR46">
        <v>0.65949050144604671</v>
      </c>
      <c r="AS46">
        <v>135.76805741769789</v>
      </c>
      <c r="AT46">
        <v>-0.13799215489902561</v>
      </c>
      <c r="AU46">
        <v>0.8</v>
      </c>
      <c r="AV46" t="s">
        <v>92</v>
      </c>
      <c r="AW46">
        <v>4.7497875498349197E-2</v>
      </c>
      <c r="AX46">
        <v>0.65510401109842942</v>
      </c>
      <c r="AY46">
        <v>4.7497875498349197E-2</v>
      </c>
      <c r="AZ46">
        <v>4.7497875498349197E-2</v>
      </c>
      <c r="BA46">
        <v>0.65510401109842942</v>
      </c>
      <c r="BB46">
        <v>0.14442245708049339</v>
      </c>
      <c r="BC46">
        <v>-4.8693770653016603E-2</v>
      </c>
      <c r="BD46">
        <v>0.12169240655056229</v>
      </c>
      <c r="BE46">
        <v>0.57836180261119496</v>
      </c>
      <c r="BF46">
        <v>0.12169240655056229</v>
      </c>
      <c r="BG46">
        <v>0.12169240655056229</v>
      </c>
      <c r="BH46">
        <v>0.57836180261119496</v>
      </c>
      <c r="BI46">
        <v>8.9555350770697997E-2</v>
      </c>
      <c r="BJ46">
        <v>0.68970983699142918</v>
      </c>
      <c r="BK46">
        <v>4.0367260610887801E-2</v>
      </c>
      <c r="BL46">
        <v>0.83793821688870973</v>
      </c>
      <c r="BM46">
        <v>4.0367260610887801E-2</v>
      </c>
      <c r="BN46">
        <v>4.0367260610887801E-2</v>
      </c>
      <c r="BO46">
        <v>0.83793821688870973</v>
      </c>
      <c r="BP46">
        <v>0.4107771864740542</v>
      </c>
      <c r="BQ46">
        <v>-0.64914047408678099</v>
      </c>
      <c r="BR46">
        <v>152.2892408018304</v>
      </c>
      <c r="BS46">
        <v>0.56655797518584927</v>
      </c>
      <c r="BT46">
        <v>152.2892408018304</v>
      </c>
      <c r="BU46">
        <v>152.2892408018304</v>
      </c>
      <c r="BV46">
        <v>0.56655797518584927</v>
      </c>
      <c r="BW46">
        <v>542.42747467646689</v>
      </c>
      <c r="BX46">
        <v>-0.543844211847752</v>
      </c>
      <c r="BY46" t="str">
        <f t="shared" si="1"/>
        <v>phi</v>
      </c>
    </row>
    <row r="47" spans="1:77" x14ac:dyDescent="0.3">
      <c r="A47" t="s">
        <v>190</v>
      </c>
      <c r="B47" t="s">
        <v>191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180</v>
      </c>
      <c r="R47">
        <v>2</v>
      </c>
      <c r="S47" t="s">
        <v>85</v>
      </c>
      <c r="T47" t="s">
        <v>86</v>
      </c>
      <c r="U47" t="s">
        <v>87</v>
      </c>
      <c r="V47">
        <v>1</v>
      </c>
      <c r="W47" t="s">
        <v>181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0.1071208738899785</v>
      </c>
      <c r="AK47">
        <v>20.170612486155111</v>
      </c>
      <c r="AL47">
        <v>0.76106717073792451</v>
      </c>
      <c r="AM47">
        <v>-0.60586345450411816</v>
      </c>
      <c r="AN47">
        <v>27.571817423794151</v>
      </c>
      <c r="AO47">
        <v>0.7136436239790388</v>
      </c>
      <c r="AP47">
        <v>27.571817423794151</v>
      </c>
      <c r="AQ47">
        <v>27.571817423794151</v>
      </c>
      <c r="AR47">
        <v>0.7136436239790388</v>
      </c>
      <c r="AS47">
        <v>144.05327309434631</v>
      </c>
      <c r="AT47">
        <v>-0.58570943871161285</v>
      </c>
      <c r="AU47">
        <v>0.8</v>
      </c>
      <c r="AV47" t="s">
        <v>92</v>
      </c>
      <c r="AW47">
        <v>2.6920072702569301E-2</v>
      </c>
      <c r="AX47">
        <v>0.80452546564156324</v>
      </c>
      <c r="AY47">
        <v>2.6920072702569301E-2</v>
      </c>
      <c r="AZ47">
        <v>2.6920072702569301E-2</v>
      </c>
      <c r="BA47">
        <v>0.80452546564156324</v>
      </c>
      <c r="BB47">
        <v>4.9613101401901803E-2</v>
      </c>
      <c r="BC47">
        <v>0.63974473613925076</v>
      </c>
      <c r="BD47">
        <v>0.12505197417246139</v>
      </c>
      <c r="BE47">
        <v>0.56672161834452295</v>
      </c>
      <c r="BF47">
        <v>0.12505197417246139</v>
      </c>
      <c r="BG47">
        <v>0.12505197417246139</v>
      </c>
      <c r="BH47">
        <v>0.56672161834452295</v>
      </c>
      <c r="BI47">
        <v>0.36467617759065157</v>
      </c>
      <c r="BJ47">
        <v>-0.2635250670802971</v>
      </c>
      <c r="BK47">
        <v>5.0652130164179299E-2</v>
      </c>
      <c r="BL47">
        <v>0.79664771875607532</v>
      </c>
      <c r="BM47">
        <v>5.0652130164179299E-2</v>
      </c>
      <c r="BN47">
        <v>5.0652130164179299E-2</v>
      </c>
      <c r="BO47">
        <v>0.79664771875607532</v>
      </c>
      <c r="BP47">
        <v>0.76778596140385347</v>
      </c>
      <c r="BQ47">
        <v>-2.0824177828743702</v>
      </c>
      <c r="BR47">
        <v>110.0846455181367</v>
      </c>
      <c r="BS47">
        <v>0.68667969317399269</v>
      </c>
      <c r="BT47">
        <v>110.0846455181367</v>
      </c>
      <c r="BU47">
        <v>110.0846455181367</v>
      </c>
      <c r="BV47">
        <v>0.68667969317399269</v>
      </c>
      <c r="BW47">
        <v>575.03101713698686</v>
      </c>
      <c r="BX47">
        <v>-0.6366396410310331</v>
      </c>
      <c r="BY47" t="str">
        <f t="shared" si="1"/>
        <v>phi</v>
      </c>
    </row>
    <row r="48" spans="1:77" x14ac:dyDescent="0.3">
      <c r="A48" t="s">
        <v>192</v>
      </c>
      <c r="B48" t="s">
        <v>193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180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181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9.9333900776864395E-2</v>
      </c>
      <c r="AK48">
        <v>15.802558494470929</v>
      </c>
      <c r="AL48">
        <v>0.81931857332305236</v>
      </c>
      <c r="AM48">
        <v>9.1552300206178994E-2</v>
      </c>
      <c r="AN48">
        <v>20.792606687902939</v>
      </c>
      <c r="AO48">
        <v>0.77565732132211995</v>
      </c>
      <c r="AP48">
        <v>20.792606687902939</v>
      </c>
      <c r="AQ48">
        <v>20.792606687902939</v>
      </c>
      <c r="AR48">
        <v>0.77565732132211995</v>
      </c>
      <c r="AS48">
        <v>172.67561774314771</v>
      </c>
      <c r="AT48">
        <v>-2.2979208967357002E-3</v>
      </c>
      <c r="AU48">
        <v>0.8</v>
      </c>
      <c r="AV48" t="s">
        <v>92</v>
      </c>
      <c r="AW48">
        <v>2.64497389829947E-2</v>
      </c>
      <c r="AX48">
        <v>0.80794069656767187</v>
      </c>
      <c r="AY48">
        <v>2.64497389829947E-2</v>
      </c>
      <c r="AZ48">
        <v>2.64497389829947E-2</v>
      </c>
      <c r="BA48">
        <v>0.80794069656767187</v>
      </c>
      <c r="BB48">
        <v>6.3517380783122093E-2</v>
      </c>
      <c r="BC48">
        <v>0.53878169017488242</v>
      </c>
      <c r="BD48">
        <v>0.1004371095337529</v>
      </c>
      <c r="BE48">
        <v>0.65200686702536204</v>
      </c>
      <c r="BF48">
        <v>0.1004371095337529</v>
      </c>
      <c r="BG48">
        <v>0.1004371095337529</v>
      </c>
      <c r="BH48">
        <v>0.65200686702536204</v>
      </c>
      <c r="BI48">
        <v>0.1144854414996456</v>
      </c>
      <c r="BJ48">
        <v>0.60333239723453369</v>
      </c>
      <c r="BK48">
        <v>3.01512023349612E-2</v>
      </c>
      <c r="BL48">
        <v>0.87895245950786227</v>
      </c>
      <c r="BM48">
        <v>3.01512023349612E-2</v>
      </c>
      <c r="BN48">
        <v>3.01512023349612E-2</v>
      </c>
      <c r="BO48">
        <v>0.87895245950786227</v>
      </c>
      <c r="BP48">
        <v>0.29561302091343528</v>
      </c>
      <c r="BQ48">
        <v>-0.1867927760058323</v>
      </c>
      <c r="BR48">
        <v>83.013388700759904</v>
      </c>
      <c r="BS48">
        <v>0.76372926218758153</v>
      </c>
      <c r="BT48">
        <v>83.013388700759904</v>
      </c>
      <c r="BU48">
        <v>83.013388700759904</v>
      </c>
      <c r="BV48">
        <v>0.76372926218758153</v>
      </c>
      <c r="BW48">
        <v>690.22885512939479</v>
      </c>
      <c r="BX48">
        <v>-0.96451299499053122</v>
      </c>
      <c r="BY48" t="str">
        <f t="shared" si="1"/>
        <v>phi</v>
      </c>
    </row>
    <row r="49" spans="1:77" x14ac:dyDescent="0.3">
      <c r="A49" t="s">
        <v>194</v>
      </c>
      <c r="B49" t="s">
        <v>195</v>
      </c>
      <c r="C49">
        <v>7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180</v>
      </c>
      <c r="R49">
        <v>2</v>
      </c>
      <c r="S49" t="s">
        <v>85</v>
      </c>
      <c r="T49" t="s">
        <v>86</v>
      </c>
      <c r="U49" t="s">
        <v>87</v>
      </c>
      <c r="V49">
        <v>1</v>
      </c>
      <c r="W49" t="s">
        <v>181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9.2553595440258596E-2</v>
      </c>
      <c r="AK49">
        <v>22.375412015597831</v>
      </c>
      <c r="AL49">
        <v>0.78800249044146498</v>
      </c>
      <c r="AM49">
        <v>-0.13574672875866201</v>
      </c>
      <c r="AN49">
        <v>28.754683913121269</v>
      </c>
      <c r="AO49">
        <v>0.73636377737178271</v>
      </c>
      <c r="AP49">
        <v>28.754683913121269</v>
      </c>
      <c r="AQ49">
        <v>28.754683913121269</v>
      </c>
      <c r="AR49">
        <v>0.73636377737178271</v>
      </c>
      <c r="AS49">
        <v>158.64919559797039</v>
      </c>
      <c r="AT49">
        <v>-8.92708142145959E-2</v>
      </c>
      <c r="AU49">
        <v>0.8</v>
      </c>
      <c r="AV49" t="s">
        <v>92</v>
      </c>
      <c r="AW49">
        <v>1.6112403183246599E-2</v>
      </c>
      <c r="AX49">
        <v>0.88300312022040228</v>
      </c>
      <c r="AY49">
        <v>1.6112403183246599E-2</v>
      </c>
      <c r="AZ49">
        <v>1.6112403183246599E-2</v>
      </c>
      <c r="BA49">
        <v>0.88300312022040228</v>
      </c>
      <c r="BB49">
        <v>3.56368446531019E-2</v>
      </c>
      <c r="BC49">
        <v>0.74123043085599871</v>
      </c>
      <c r="BD49">
        <v>0.1218638343202387</v>
      </c>
      <c r="BE49">
        <v>0.57776784200315412</v>
      </c>
      <c r="BF49">
        <v>0.1218638343202387</v>
      </c>
      <c r="BG49">
        <v>0.1218638343202387</v>
      </c>
      <c r="BH49">
        <v>0.57776784200315412</v>
      </c>
      <c r="BI49">
        <v>9.0136620527346903E-2</v>
      </c>
      <c r="BJ49">
        <v>0.68769586143340433</v>
      </c>
      <c r="BK49">
        <v>4.6947305138506902E-2</v>
      </c>
      <c r="BL49">
        <v>0.81152141939093725</v>
      </c>
      <c r="BM49">
        <v>4.6947305138506902E-2</v>
      </c>
      <c r="BN49">
        <v>4.6947305138506902E-2</v>
      </c>
      <c r="BO49">
        <v>0.81152141939093725</v>
      </c>
      <c r="BP49">
        <v>0.49358758988996121</v>
      </c>
      <c r="BQ49">
        <v>-0.98159805071330664</v>
      </c>
      <c r="BR49">
        <v>114.8338121098426</v>
      </c>
      <c r="BS49">
        <v>0.67316272787263332</v>
      </c>
      <c r="BT49">
        <v>114.8338121098426</v>
      </c>
      <c r="BU49">
        <v>114.8338121098426</v>
      </c>
      <c r="BV49">
        <v>0.67316272787263332</v>
      </c>
      <c r="BW49">
        <v>633.97742133681015</v>
      </c>
      <c r="BX49">
        <v>-0.80441149843448567</v>
      </c>
      <c r="BY49" t="str">
        <f t="shared" si="1"/>
        <v>phi</v>
      </c>
    </row>
    <row r="50" spans="1:77" x14ac:dyDescent="0.3">
      <c r="A50" t="s">
        <v>196</v>
      </c>
      <c r="B50" t="s">
        <v>197</v>
      </c>
      <c r="C50">
        <v>8</v>
      </c>
      <c r="D50" t="s">
        <v>95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180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181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160</v>
      </c>
      <c r="AH50">
        <v>40</v>
      </c>
      <c r="AI50">
        <v>120</v>
      </c>
      <c r="AJ50">
        <v>0.1054484950321779</v>
      </c>
      <c r="AK50">
        <v>16.806512324233619</v>
      </c>
      <c r="AL50">
        <v>0.80332454938637898</v>
      </c>
      <c r="AM50">
        <v>-2.3216547281913442</v>
      </c>
      <c r="AN50">
        <v>24.054734218758661</v>
      </c>
      <c r="AO50">
        <v>0.76732061985253774</v>
      </c>
      <c r="AP50">
        <v>24.054734218758661</v>
      </c>
      <c r="AQ50">
        <v>24.054734218758661</v>
      </c>
      <c r="AR50">
        <v>0.76732061985253774</v>
      </c>
      <c r="AS50">
        <v>149.25930077243089</v>
      </c>
      <c r="AT50">
        <v>-1.3226715198062029</v>
      </c>
      <c r="AU50">
        <v>0.8</v>
      </c>
      <c r="AV50" t="s">
        <v>92</v>
      </c>
      <c r="AW50">
        <v>1.7834004146115599E-2</v>
      </c>
      <c r="AX50">
        <v>0.87050207127131363</v>
      </c>
      <c r="AY50">
        <v>1.7834004146115599E-2</v>
      </c>
      <c r="AZ50">
        <v>1.7834004146115599E-2</v>
      </c>
      <c r="BA50">
        <v>0.87050207127131363</v>
      </c>
      <c r="BB50">
        <v>0.77822861694299417</v>
      </c>
      <c r="BC50">
        <v>-4.6509459763391678</v>
      </c>
      <c r="BD50">
        <v>9.8663539535161299E-2</v>
      </c>
      <c r="BE50">
        <v>0.6581519082678351</v>
      </c>
      <c r="BF50">
        <v>9.8663539535161299E-2</v>
      </c>
      <c r="BG50">
        <v>9.8663539535161299E-2</v>
      </c>
      <c r="BH50">
        <v>0.6581519082678351</v>
      </c>
      <c r="BI50">
        <v>0.29293716153722921</v>
      </c>
      <c r="BJ50">
        <v>-1.49646986184919E-2</v>
      </c>
      <c r="BK50">
        <v>4.6324661923175699E-2</v>
      </c>
      <c r="BL50">
        <v>0.81402113495725681</v>
      </c>
      <c r="BM50">
        <v>4.6324661923175699E-2</v>
      </c>
      <c r="BN50">
        <v>4.6324661923175699E-2</v>
      </c>
      <c r="BO50">
        <v>0.81402113495725681</v>
      </c>
      <c r="BP50">
        <v>0.2314527944746409</v>
      </c>
      <c r="BQ50">
        <v>7.07902391440898E-2</v>
      </c>
      <c r="BR50">
        <v>96.056114669429959</v>
      </c>
      <c r="BS50">
        <v>0.72660736491374267</v>
      </c>
      <c r="BT50">
        <v>96.056114669429959</v>
      </c>
      <c r="BU50">
        <v>96.056114669429959</v>
      </c>
      <c r="BV50">
        <v>0.72660736491374267</v>
      </c>
      <c r="BW50">
        <v>595.73458451676925</v>
      </c>
      <c r="BX50">
        <v>-0.69556564341124338</v>
      </c>
      <c r="BY50" t="str">
        <f t="shared" si="1"/>
        <v>phi</v>
      </c>
    </row>
    <row r="51" spans="1:77" x14ac:dyDescent="0.3">
      <c r="A51" t="s">
        <v>198</v>
      </c>
      <c r="B51" t="s">
        <v>199</v>
      </c>
      <c r="C51">
        <v>9</v>
      </c>
      <c r="D51" t="s">
        <v>95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180</v>
      </c>
      <c r="R51">
        <v>2</v>
      </c>
      <c r="S51" t="s">
        <v>85</v>
      </c>
      <c r="T51" t="s">
        <v>86</v>
      </c>
      <c r="U51" t="s">
        <v>87</v>
      </c>
      <c r="V51">
        <v>1</v>
      </c>
      <c r="W51" t="s">
        <v>181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160</v>
      </c>
      <c r="AH51">
        <v>40</v>
      </c>
      <c r="AI51">
        <v>120</v>
      </c>
      <c r="AJ51">
        <v>9.6637037345785506E-2</v>
      </c>
      <c r="AK51">
        <v>19.359343235606381</v>
      </c>
      <c r="AL51">
        <v>0.82077660875733593</v>
      </c>
      <c r="AM51">
        <v>-0.15143971073403781</v>
      </c>
      <c r="AN51">
        <v>25.646406032515952</v>
      </c>
      <c r="AO51">
        <v>0.79045011946976684</v>
      </c>
      <c r="AP51">
        <v>25.646406032515952</v>
      </c>
      <c r="AQ51">
        <v>25.646406032515952</v>
      </c>
      <c r="AR51">
        <v>0.79045011946976684</v>
      </c>
      <c r="AS51">
        <v>138.79209621949289</v>
      </c>
      <c r="AT51">
        <v>-0.1138610591289248</v>
      </c>
      <c r="AU51">
        <v>0.8</v>
      </c>
      <c r="AV51" t="s">
        <v>92</v>
      </c>
      <c r="AW51">
        <v>2.4222578178805299E-2</v>
      </c>
      <c r="AX51">
        <v>0.82411276363265928</v>
      </c>
      <c r="AY51">
        <v>2.4222578178805299E-2</v>
      </c>
      <c r="AZ51">
        <v>2.4222578178805299E-2</v>
      </c>
      <c r="BA51">
        <v>0.82411276363265928</v>
      </c>
      <c r="BB51">
        <v>5.88125313529149E-2</v>
      </c>
      <c r="BC51">
        <v>0.57294498021341633</v>
      </c>
      <c r="BD51">
        <v>6.3243357650896906E-2</v>
      </c>
      <c r="BE51">
        <v>0.78087527338314078</v>
      </c>
      <c r="BF51">
        <v>6.3243357650896906E-2</v>
      </c>
      <c r="BG51">
        <v>6.3243357650896906E-2</v>
      </c>
      <c r="BH51">
        <v>0.78087527338314078</v>
      </c>
      <c r="BI51">
        <v>0.1515693133395902</v>
      </c>
      <c r="BJ51">
        <v>0.47484470175704252</v>
      </c>
      <c r="BK51">
        <v>3.7753207041457099E-2</v>
      </c>
      <c r="BL51">
        <v>0.84843281513985069</v>
      </c>
      <c r="BM51">
        <v>3.7753207041457099E-2</v>
      </c>
      <c r="BN51">
        <v>3.7753207041457099E-2</v>
      </c>
      <c r="BO51">
        <v>0.84843281513985069</v>
      </c>
      <c r="BP51">
        <v>0.47951234405608989</v>
      </c>
      <c r="BQ51">
        <v>-0.92509039071738119</v>
      </c>
      <c r="BR51">
        <v>102.4604049871928</v>
      </c>
      <c r="BS51">
        <v>0.70837962572341495</v>
      </c>
      <c r="BT51">
        <v>102.4604049871928</v>
      </c>
      <c r="BU51">
        <v>102.4604049871928</v>
      </c>
      <c r="BV51">
        <v>0.70837962572341495</v>
      </c>
      <c r="BW51">
        <v>554.4784906892238</v>
      </c>
      <c r="BX51">
        <v>-0.5781435277687903</v>
      </c>
      <c r="BY51" t="str">
        <f t="shared" si="1"/>
        <v>phi</v>
      </c>
    </row>
    <row r="52" spans="1:77" x14ac:dyDescent="0.3">
      <c r="A52" t="s">
        <v>200</v>
      </c>
      <c r="B52" t="s">
        <v>201</v>
      </c>
      <c r="C52">
        <v>0</v>
      </c>
      <c r="D52" t="s">
        <v>95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b">
        <v>1</v>
      </c>
      <c r="N52" t="b">
        <v>0</v>
      </c>
      <c r="O52" t="b">
        <v>0</v>
      </c>
      <c r="P52" t="s">
        <v>83</v>
      </c>
      <c r="Q52" t="s">
        <v>202</v>
      </c>
      <c r="R52">
        <v>2</v>
      </c>
      <c r="S52" t="s">
        <v>85</v>
      </c>
      <c r="T52" t="s">
        <v>86</v>
      </c>
      <c r="U52" t="s">
        <v>87</v>
      </c>
      <c r="V52">
        <v>1</v>
      </c>
      <c r="W52" t="s">
        <v>203</v>
      </c>
      <c r="X52" t="b">
        <v>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160</v>
      </c>
      <c r="AH52">
        <v>40</v>
      </c>
      <c r="AI52">
        <v>120</v>
      </c>
      <c r="AJ52">
        <v>0.26740615203998469</v>
      </c>
      <c r="AK52">
        <v>85.103726086160123</v>
      </c>
      <c r="AL52">
        <v>3.7414986019466301E-2</v>
      </c>
      <c r="AM52">
        <v>9.7098109666696103E-2</v>
      </c>
      <c r="AN52">
        <v>89.023102960160315</v>
      </c>
      <c r="AO52">
        <v>2.9285452620487901E-2</v>
      </c>
      <c r="AP52">
        <v>89.023102960160315</v>
      </c>
      <c r="AQ52">
        <v>89.023102960160315</v>
      </c>
      <c r="AR52">
        <v>2.9285452620487901E-2</v>
      </c>
      <c r="AS52">
        <v>87.136130344118726</v>
      </c>
      <c r="AT52">
        <v>6.9630844319837598E-2</v>
      </c>
      <c r="AU52">
        <v>0.8</v>
      </c>
      <c r="AV52" t="s">
        <v>92</v>
      </c>
      <c r="AW52">
        <v>0.1488901342345719</v>
      </c>
      <c r="AX52">
        <v>-8.1134883312938097E-2</v>
      </c>
      <c r="AY52">
        <v>0.1488901342345719</v>
      </c>
      <c r="AZ52">
        <v>0.1488901342345719</v>
      </c>
      <c r="BA52">
        <v>-8.1134883312938097E-2</v>
      </c>
      <c r="BB52">
        <v>0.14936406703366559</v>
      </c>
      <c r="BC52">
        <v>-8.4576248209816005E-2</v>
      </c>
      <c r="BD52">
        <v>0.2881041446419062</v>
      </c>
      <c r="BE52">
        <v>1.7806726783351E-3</v>
      </c>
      <c r="BF52">
        <v>0.2881041446419062</v>
      </c>
      <c r="BG52">
        <v>0.2881041446419062</v>
      </c>
      <c r="BH52">
        <v>1.7806726783351E-3</v>
      </c>
      <c r="BI52">
        <v>0.28608929025430468</v>
      </c>
      <c r="BJ52">
        <v>8.7617127947227005E-3</v>
      </c>
      <c r="BK52">
        <v>0.19722781927034899</v>
      </c>
      <c r="BL52">
        <v>0.2081926891644714</v>
      </c>
      <c r="BM52">
        <v>0.19722781927034899</v>
      </c>
      <c r="BN52">
        <v>0.19722781927034899</v>
      </c>
      <c r="BO52">
        <v>0.2081926891644714</v>
      </c>
      <c r="BP52">
        <v>0.1632374969378923</v>
      </c>
      <c r="BQ52">
        <v>0.3446530821255851</v>
      </c>
      <c r="BR52">
        <v>355.45818974249391</v>
      </c>
      <c r="BS52">
        <v>-1.169666804792E-2</v>
      </c>
      <c r="BT52">
        <v>355.45818974249391</v>
      </c>
      <c r="BU52">
        <v>355.45818974249391</v>
      </c>
      <c r="BV52">
        <v>-1.169666804792E-2</v>
      </c>
      <c r="BW52">
        <v>347.9458305222484</v>
      </c>
      <c r="BX52">
        <v>9.6848305688576001E-3</v>
      </c>
      <c r="BY52" t="str">
        <f t="shared" si="1"/>
        <v>theta</v>
      </c>
    </row>
    <row r="53" spans="1:77" x14ac:dyDescent="0.3">
      <c r="A53" t="s">
        <v>204</v>
      </c>
      <c r="B53" t="s">
        <v>205</v>
      </c>
      <c r="C53">
        <v>1</v>
      </c>
      <c r="D53" t="s">
        <v>78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b">
        <v>1</v>
      </c>
      <c r="N53" t="b">
        <v>0</v>
      </c>
      <c r="O53" t="b">
        <v>0</v>
      </c>
      <c r="P53" t="s">
        <v>83</v>
      </c>
      <c r="Q53" t="s">
        <v>202</v>
      </c>
      <c r="R53">
        <v>2</v>
      </c>
      <c r="S53" t="s">
        <v>85</v>
      </c>
      <c r="T53" t="s">
        <v>86</v>
      </c>
      <c r="U53" t="s">
        <v>87</v>
      </c>
      <c r="V53">
        <v>1</v>
      </c>
      <c r="W53" t="s">
        <v>203</v>
      </c>
      <c r="X53" t="b">
        <v>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160</v>
      </c>
      <c r="AH53">
        <v>40</v>
      </c>
      <c r="AI53">
        <v>120</v>
      </c>
      <c r="AJ53">
        <v>0.2360506078879373</v>
      </c>
      <c r="AK53">
        <v>78.154539546726284</v>
      </c>
      <c r="AL53">
        <v>0.15156909500044979</v>
      </c>
      <c r="AM53">
        <v>3.4137658840062E-2</v>
      </c>
      <c r="AN53">
        <v>83.150177750339395</v>
      </c>
      <c r="AO53">
        <v>0.15746937746790679</v>
      </c>
      <c r="AP53">
        <v>83.150177750339395</v>
      </c>
      <c r="AQ53">
        <v>83.150177750339395</v>
      </c>
      <c r="AR53">
        <v>0.15746937746790679</v>
      </c>
      <c r="AS53">
        <v>113.4663111097581</v>
      </c>
      <c r="AT53">
        <v>4.8998578374708501E-2</v>
      </c>
      <c r="AU53">
        <v>0.8</v>
      </c>
      <c r="AV53" t="s">
        <v>92</v>
      </c>
      <c r="AW53">
        <v>0.1520138856366936</v>
      </c>
      <c r="AX53">
        <v>-0.1038173573733798</v>
      </c>
      <c r="AY53">
        <v>0.1520138856366936</v>
      </c>
      <c r="AZ53">
        <v>0.1520138856366936</v>
      </c>
      <c r="BA53">
        <v>-0.1038173573733798</v>
      </c>
      <c r="BB53">
        <v>0.1539431089925587</v>
      </c>
      <c r="BC53">
        <v>-0.1178260133427662</v>
      </c>
      <c r="BD53">
        <v>0.2791479819418991</v>
      </c>
      <c r="BE53">
        <v>3.2811863558620903E-2</v>
      </c>
      <c r="BF53">
        <v>0.2791479819418991</v>
      </c>
      <c r="BG53">
        <v>0.2791479819418991</v>
      </c>
      <c r="BH53">
        <v>3.2811863558620903E-2</v>
      </c>
      <c r="BI53">
        <v>0.26511139613241269</v>
      </c>
      <c r="BJ53">
        <v>8.1445635426268995E-2</v>
      </c>
      <c r="BK53">
        <v>8.8165062225938895E-2</v>
      </c>
      <c r="BL53">
        <v>0.64604516193997763</v>
      </c>
      <c r="BM53">
        <v>8.8165062225938895E-2</v>
      </c>
      <c r="BN53">
        <v>8.8165062225938895E-2</v>
      </c>
      <c r="BO53">
        <v>0.64604516193997763</v>
      </c>
      <c r="BP53">
        <v>0.11890748718232511</v>
      </c>
      <c r="BQ53">
        <v>0.52262404962765996</v>
      </c>
      <c r="BR53">
        <v>332.08138407155229</v>
      </c>
      <c r="BS53">
        <v>5.4837841746405699E-2</v>
      </c>
      <c r="BT53">
        <v>332.08138407155229</v>
      </c>
      <c r="BU53">
        <v>332.08138407155229</v>
      </c>
      <c r="BV53">
        <v>5.4837841746405699E-2</v>
      </c>
      <c r="BW53">
        <v>453.32728244672518</v>
      </c>
      <c r="BX53">
        <v>-0.29024935821233239</v>
      </c>
      <c r="BY53" t="str">
        <f t="shared" si="1"/>
        <v>theta</v>
      </c>
    </row>
    <row r="54" spans="1:77" x14ac:dyDescent="0.3">
      <c r="A54" t="s">
        <v>206</v>
      </c>
      <c r="B54" t="s">
        <v>207</v>
      </c>
      <c r="C54">
        <v>2</v>
      </c>
      <c r="D54" t="s">
        <v>78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b">
        <v>1</v>
      </c>
      <c r="N54" t="b">
        <v>0</v>
      </c>
      <c r="O54" t="b">
        <v>0</v>
      </c>
      <c r="P54" t="s">
        <v>83</v>
      </c>
      <c r="Q54" t="s">
        <v>202</v>
      </c>
      <c r="R54">
        <v>2</v>
      </c>
      <c r="S54" t="s">
        <v>85</v>
      </c>
      <c r="T54" t="s">
        <v>86</v>
      </c>
      <c r="U54" t="s">
        <v>87</v>
      </c>
      <c r="V54">
        <v>1</v>
      </c>
      <c r="W54" t="s">
        <v>203</v>
      </c>
      <c r="X54" t="b">
        <v>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160</v>
      </c>
      <c r="AH54">
        <v>40</v>
      </c>
      <c r="AI54">
        <v>120</v>
      </c>
      <c r="AJ54">
        <v>0.2304263332403455</v>
      </c>
      <c r="AK54">
        <v>82.951247721798623</v>
      </c>
      <c r="AL54">
        <v>0.1409839820094623</v>
      </c>
      <c r="AM54">
        <v>1.7790430751722899E-2</v>
      </c>
      <c r="AN54">
        <v>87.530584648417459</v>
      </c>
      <c r="AO54">
        <v>0.14345143036389099</v>
      </c>
      <c r="AP54">
        <v>87.530584648417459</v>
      </c>
      <c r="AQ54">
        <v>87.530584648417459</v>
      </c>
      <c r="AR54">
        <v>0.14345143036389099</v>
      </c>
      <c r="AS54">
        <v>106.70823022444</v>
      </c>
      <c r="AT54">
        <v>3.31349138015486E-2</v>
      </c>
      <c r="AU54">
        <v>0.8</v>
      </c>
      <c r="AV54" t="s">
        <v>92</v>
      </c>
      <c r="AW54">
        <v>0.14795013225782719</v>
      </c>
      <c r="AX54">
        <v>-7.43092535781915E-2</v>
      </c>
      <c r="AY54">
        <v>0.14795013225782719</v>
      </c>
      <c r="AZ54">
        <v>0.14795013225782719</v>
      </c>
      <c r="BA54">
        <v>-7.43092535781915E-2</v>
      </c>
      <c r="BB54">
        <v>0.14691698428364439</v>
      </c>
      <c r="BC54">
        <v>-6.6807263468132899E-2</v>
      </c>
      <c r="BD54">
        <v>0.28723969796970489</v>
      </c>
      <c r="BE54">
        <v>4.7757957672541996E-3</v>
      </c>
      <c r="BF54">
        <v>0.28723969796970489</v>
      </c>
      <c r="BG54">
        <v>0.28723969796970489</v>
      </c>
      <c r="BH54">
        <v>4.7757957672541996E-3</v>
      </c>
      <c r="BI54">
        <v>0.28664333563309907</v>
      </c>
      <c r="BJ54">
        <v>6.8420638913262001E-3</v>
      </c>
      <c r="BK54">
        <v>9.0080804784295199E-2</v>
      </c>
      <c r="BL54">
        <v>0.63835406152119745</v>
      </c>
      <c r="BM54">
        <v>9.0080804784295199E-2</v>
      </c>
      <c r="BN54">
        <v>9.0080804784295199E-2</v>
      </c>
      <c r="BO54">
        <v>0.63835406152119745</v>
      </c>
      <c r="BP54">
        <v>0.14803376165120899</v>
      </c>
      <c r="BQ54">
        <v>0.4056912703311869</v>
      </c>
      <c r="BR54">
        <v>349.59706795865748</v>
      </c>
      <c r="BS54">
        <v>4.9851177453007003E-3</v>
      </c>
      <c r="BT54">
        <v>349.59706795865748</v>
      </c>
      <c r="BU54">
        <v>349.59706795865748</v>
      </c>
      <c r="BV54">
        <v>4.9851177453007003E-3</v>
      </c>
      <c r="BW54">
        <v>426.25132681619112</v>
      </c>
      <c r="BX54">
        <v>-0.21318641554819259</v>
      </c>
      <c r="BY54" t="str">
        <f t="shared" si="1"/>
        <v>theta</v>
      </c>
    </row>
    <row r="55" spans="1:77" x14ac:dyDescent="0.3">
      <c r="A55" t="s">
        <v>208</v>
      </c>
      <c r="B55" t="s">
        <v>209</v>
      </c>
      <c r="C55">
        <v>3</v>
      </c>
      <c r="D55" t="s">
        <v>95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b">
        <v>1</v>
      </c>
      <c r="N55" t="b">
        <v>0</v>
      </c>
      <c r="O55" t="b">
        <v>0</v>
      </c>
      <c r="P55" t="s">
        <v>83</v>
      </c>
      <c r="Q55" t="s">
        <v>202</v>
      </c>
      <c r="R55">
        <v>2</v>
      </c>
      <c r="S55" t="s">
        <v>85</v>
      </c>
      <c r="T55" t="s">
        <v>86</v>
      </c>
      <c r="U55" t="s">
        <v>87</v>
      </c>
      <c r="V55">
        <v>1</v>
      </c>
      <c r="W55" t="s">
        <v>203</v>
      </c>
      <c r="X55" t="b">
        <v>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160</v>
      </c>
      <c r="AH55">
        <v>40</v>
      </c>
      <c r="AI55">
        <v>120</v>
      </c>
      <c r="AJ55">
        <v>0.30260835815534037</v>
      </c>
      <c r="AK55">
        <v>84.208693110122738</v>
      </c>
      <c r="AL55">
        <v>-2.2603526906905699E-2</v>
      </c>
      <c r="AM55">
        <v>-1.47022429768476E-2</v>
      </c>
      <c r="AN55">
        <v>88.5416672057775</v>
      </c>
      <c r="AO55">
        <v>-1.75451461636934E-2</v>
      </c>
      <c r="AP55">
        <v>88.5416672057775</v>
      </c>
      <c r="AQ55">
        <v>88.5416672057775</v>
      </c>
      <c r="AR55">
        <v>-1.75451461636934E-2</v>
      </c>
      <c r="AS55">
        <v>88.317248210689144</v>
      </c>
      <c r="AT55">
        <v>-9.7401341827645007E-3</v>
      </c>
      <c r="AU55">
        <v>0.8</v>
      </c>
      <c r="AV55" t="s">
        <v>92</v>
      </c>
      <c r="AW55">
        <v>0.14857067645048999</v>
      </c>
      <c r="AX55">
        <v>-7.8815206754834E-2</v>
      </c>
      <c r="AY55">
        <v>0.14857067645048999</v>
      </c>
      <c r="AZ55">
        <v>0.14857067645048999</v>
      </c>
      <c r="BA55">
        <v>-7.8815206754834E-2</v>
      </c>
      <c r="BB55">
        <v>0.14707926464280971</v>
      </c>
      <c r="BC55">
        <v>-6.7985628697448203E-2</v>
      </c>
      <c r="BD55">
        <v>0.28893982535751589</v>
      </c>
      <c r="BE55">
        <v>-1.1147825148846999E-3</v>
      </c>
      <c r="BF55">
        <v>0.28893982535751589</v>
      </c>
      <c r="BG55">
        <v>0.28893982535751589</v>
      </c>
      <c r="BH55">
        <v>-1.1147825148846999E-3</v>
      </c>
      <c r="BI55">
        <v>0.28905980163128198</v>
      </c>
      <c r="BJ55">
        <v>-1.5304746787101E-3</v>
      </c>
      <c r="BK55">
        <v>0.24514329162309009</v>
      </c>
      <c r="BL55">
        <v>1.58272234233926E-2</v>
      </c>
      <c r="BM55">
        <v>0.24514329162309009</v>
      </c>
      <c r="BN55">
        <v>0.24514329162309009</v>
      </c>
      <c r="BO55">
        <v>1.58272234233926E-2</v>
      </c>
      <c r="BP55">
        <v>0.24059297741019281</v>
      </c>
      <c r="BQ55">
        <v>3.4095295715122001E-2</v>
      </c>
      <c r="BR55">
        <v>353.4840150296784</v>
      </c>
      <c r="BS55">
        <v>-6.0778188084446997E-3</v>
      </c>
      <c r="BT55">
        <v>353.4840150296784</v>
      </c>
      <c r="BU55">
        <v>353.4840150296784</v>
      </c>
      <c r="BV55">
        <v>-6.0778188084446997E-3</v>
      </c>
      <c r="BW55">
        <v>352.5922607990729</v>
      </c>
      <c r="BX55">
        <v>-3.5397290700290998E-3</v>
      </c>
      <c r="BY55" t="str">
        <f t="shared" si="1"/>
        <v>theta</v>
      </c>
    </row>
    <row r="56" spans="1:77" x14ac:dyDescent="0.3">
      <c r="A56" t="s">
        <v>210</v>
      </c>
      <c r="B56" t="s">
        <v>211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b">
        <v>1</v>
      </c>
      <c r="N56" t="b">
        <v>0</v>
      </c>
      <c r="O56" t="b">
        <v>0</v>
      </c>
      <c r="P56" t="s">
        <v>83</v>
      </c>
      <c r="Q56" t="s">
        <v>202</v>
      </c>
      <c r="R56">
        <v>2</v>
      </c>
      <c r="S56" t="s">
        <v>85</v>
      </c>
      <c r="T56" t="s">
        <v>86</v>
      </c>
      <c r="U56" t="s">
        <v>87</v>
      </c>
      <c r="V56">
        <v>1</v>
      </c>
      <c r="W56" t="s">
        <v>203</v>
      </c>
      <c r="X56" t="b">
        <v>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160</v>
      </c>
      <c r="AH56">
        <v>40</v>
      </c>
      <c r="AI56">
        <v>120</v>
      </c>
      <c r="AJ56">
        <v>0.28193541659844651</v>
      </c>
      <c r="AK56">
        <v>83.374727355923113</v>
      </c>
      <c r="AL56">
        <v>-4.5640148673968999E-3</v>
      </c>
      <c r="AM56">
        <v>1.01992446748051E-2</v>
      </c>
      <c r="AN56">
        <v>87.819647948725489</v>
      </c>
      <c r="AO56">
        <v>-3.2810163866231002E-3</v>
      </c>
      <c r="AP56">
        <v>87.819647948725489</v>
      </c>
      <c r="AQ56">
        <v>87.819647948725489</v>
      </c>
      <c r="AR56">
        <v>-3.2810163866231002E-3</v>
      </c>
      <c r="AS56">
        <v>86.124551072235732</v>
      </c>
      <c r="AT56">
        <v>8.4939346493805006E-3</v>
      </c>
      <c r="AU56">
        <v>0.8</v>
      </c>
      <c r="AV56" t="s">
        <v>92</v>
      </c>
      <c r="AW56">
        <v>0.1489316150124827</v>
      </c>
      <c r="AX56">
        <v>-8.1436087393496198E-2</v>
      </c>
      <c r="AY56">
        <v>0.1489316150124827</v>
      </c>
      <c r="AZ56">
        <v>0.1489316150124827</v>
      </c>
      <c r="BA56">
        <v>-8.1436087393496198E-2</v>
      </c>
      <c r="BB56">
        <v>0.15155573038599479</v>
      </c>
      <c r="BC56">
        <v>-0.1004905578775647</v>
      </c>
      <c r="BD56">
        <v>0.28885430898899911</v>
      </c>
      <c r="BE56">
        <v>-8.1848656273179996E-4</v>
      </c>
      <c r="BF56">
        <v>0.28885430898899911</v>
      </c>
      <c r="BG56">
        <v>0.28885430898899911</v>
      </c>
      <c r="BH56">
        <v>-8.1848656273179996E-4</v>
      </c>
      <c r="BI56">
        <v>0.2888301360240611</v>
      </c>
      <c r="BJ56">
        <v>-7.3473240213220003E-4</v>
      </c>
      <c r="BK56">
        <v>0.23239094477827979</v>
      </c>
      <c r="BL56">
        <v>6.7023862413707794E-2</v>
      </c>
      <c r="BM56">
        <v>0.23239094477827979</v>
      </c>
      <c r="BN56">
        <v>0.23239094477827979</v>
      </c>
      <c r="BO56">
        <v>6.7023862413707794E-2</v>
      </c>
      <c r="BP56">
        <v>0.22073420588181231</v>
      </c>
      <c r="BQ56">
        <v>0.1138219820343073</v>
      </c>
      <c r="BR56">
        <v>350.60841492612138</v>
      </c>
      <c r="BS56">
        <v>2.1066459960218001E-3</v>
      </c>
      <c r="BT56">
        <v>350.60841492612138</v>
      </c>
      <c r="BU56">
        <v>350.60841492612138</v>
      </c>
      <c r="BV56">
        <v>2.1066459960218001E-3</v>
      </c>
      <c r="BW56">
        <v>343.83708421665062</v>
      </c>
      <c r="BX56">
        <v>2.1379046842897698E-2</v>
      </c>
      <c r="BY56" t="str">
        <f t="shared" si="1"/>
        <v>theta</v>
      </c>
    </row>
    <row r="57" spans="1:77" x14ac:dyDescent="0.3">
      <c r="A57" t="s">
        <v>212</v>
      </c>
      <c r="B57" t="s">
        <v>213</v>
      </c>
      <c r="C57">
        <v>5</v>
      </c>
      <c r="D57" t="s">
        <v>95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b">
        <v>1</v>
      </c>
      <c r="N57" t="b">
        <v>0</v>
      </c>
      <c r="O57" t="b">
        <v>0</v>
      </c>
      <c r="P57" t="s">
        <v>83</v>
      </c>
      <c r="Q57" t="s">
        <v>202</v>
      </c>
      <c r="R57">
        <v>2</v>
      </c>
      <c r="S57" t="s">
        <v>85</v>
      </c>
      <c r="T57" t="s">
        <v>86</v>
      </c>
      <c r="U57" t="s">
        <v>87</v>
      </c>
      <c r="V57">
        <v>1</v>
      </c>
      <c r="W57" t="s">
        <v>203</v>
      </c>
      <c r="X57" t="b">
        <v>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160</v>
      </c>
      <c r="AH57">
        <v>40</v>
      </c>
      <c r="AI57">
        <v>120</v>
      </c>
      <c r="AJ57">
        <v>0.26939204573891651</v>
      </c>
      <c r="AK57">
        <v>84.630654220393808</v>
      </c>
      <c r="AL57">
        <v>1.3415175134198799E-2</v>
      </c>
      <c r="AM57">
        <v>6.12785029017699E-2</v>
      </c>
      <c r="AN57">
        <v>89.19471472800906</v>
      </c>
      <c r="AO57">
        <v>1.9799516531277601E-2</v>
      </c>
      <c r="AP57">
        <v>89.19471472800906</v>
      </c>
      <c r="AQ57">
        <v>89.19471472800906</v>
      </c>
      <c r="AR57">
        <v>1.9799516531277601E-2</v>
      </c>
      <c r="AS57">
        <v>89.101033779248468</v>
      </c>
      <c r="AT57">
        <v>3.45813324878275E-2</v>
      </c>
      <c r="AU57">
        <v>0.8</v>
      </c>
      <c r="AV57" t="s">
        <v>92</v>
      </c>
      <c r="AW57">
        <v>0.14809487619877071</v>
      </c>
      <c r="AX57">
        <v>-7.5360281737355303E-2</v>
      </c>
      <c r="AY57">
        <v>0.14809487619877071</v>
      </c>
      <c r="AZ57">
        <v>0.14809487619877071</v>
      </c>
      <c r="BA57">
        <v>-7.5360281737355303E-2</v>
      </c>
      <c r="BB57">
        <v>0.1542186910751582</v>
      </c>
      <c r="BC57">
        <v>-0.119827095578644</v>
      </c>
      <c r="BD57">
        <v>0.2500425776407712</v>
      </c>
      <c r="BE57">
        <v>0.13365587307125271</v>
      </c>
      <c r="BF57">
        <v>0.2500425776407712</v>
      </c>
      <c r="BG57">
        <v>0.2500425776407712</v>
      </c>
      <c r="BH57">
        <v>0.13365587307125271</v>
      </c>
      <c r="BI57">
        <v>0.23079438119275711</v>
      </c>
      <c r="BJ57">
        <v>0.2003467626951192</v>
      </c>
      <c r="BK57">
        <v>0.24048211425018709</v>
      </c>
      <c r="BL57">
        <v>3.4540376236316103E-2</v>
      </c>
      <c r="BM57">
        <v>0.24048211425018709</v>
      </c>
      <c r="BN57">
        <v>0.24048211425018709</v>
      </c>
      <c r="BO57">
        <v>3.4540376236316103E-2</v>
      </c>
      <c r="BP57">
        <v>0.2315400740565868</v>
      </c>
      <c r="BQ57">
        <v>7.0439839229274895E-2</v>
      </c>
      <c r="BR57">
        <v>356.14023934394532</v>
      </c>
      <c r="BS57">
        <v>-1.3637901445107301E-2</v>
      </c>
      <c r="BT57">
        <v>356.14023934394532</v>
      </c>
      <c r="BU57">
        <v>356.14023934394532</v>
      </c>
      <c r="BV57">
        <v>-1.3637901445107301E-2</v>
      </c>
      <c r="BW57">
        <v>355.78758197067009</v>
      </c>
      <c r="BX57">
        <v>-1.26341763944521E-2</v>
      </c>
      <c r="BY57" t="str">
        <f t="shared" si="1"/>
        <v>theta</v>
      </c>
    </row>
    <row r="58" spans="1:77" x14ac:dyDescent="0.3">
      <c r="A58" t="s">
        <v>214</v>
      </c>
      <c r="B58" t="s">
        <v>215</v>
      </c>
      <c r="C58">
        <v>6</v>
      </c>
      <c r="D58" t="s">
        <v>95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b">
        <v>1</v>
      </c>
      <c r="N58" t="b">
        <v>0</v>
      </c>
      <c r="O58" t="b">
        <v>0</v>
      </c>
      <c r="P58" t="s">
        <v>83</v>
      </c>
      <c r="Q58" t="s">
        <v>202</v>
      </c>
      <c r="R58">
        <v>2</v>
      </c>
      <c r="S58" t="s">
        <v>85</v>
      </c>
      <c r="T58" t="s">
        <v>86</v>
      </c>
      <c r="U58" t="s">
        <v>87</v>
      </c>
      <c r="V58">
        <v>1</v>
      </c>
      <c r="W58" t="s">
        <v>203</v>
      </c>
      <c r="X58" t="b">
        <v>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160</v>
      </c>
      <c r="AH58">
        <v>40</v>
      </c>
      <c r="AI58">
        <v>120</v>
      </c>
      <c r="AJ58">
        <v>0.2327359096195018</v>
      </c>
      <c r="AK58">
        <v>79.735447953378042</v>
      </c>
      <c r="AL58">
        <v>0.1329432683162115</v>
      </c>
      <c r="AM58">
        <v>3.2634603548531999E-3</v>
      </c>
      <c r="AN58">
        <v>84.157937359044269</v>
      </c>
      <c r="AO58">
        <v>0.1252742203137307</v>
      </c>
      <c r="AP58">
        <v>84.157937359044269</v>
      </c>
      <c r="AQ58">
        <v>84.157937359044269</v>
      </c>
      <c r="AR58">
        <v>0.1252742203137307</v>
      </c>
      <c r="AS58">
        <v>113.22562116667289</v>
      </c>
      <c r="AT58">
        <v>-1.0614357472168301E-2</v>
      </c>
      <c r="AU58">
        <v>0.8</v>
      </c>
      <c r="AV58" t="s">
        <v>92</v>
      </c>
      <c r="AW58">
        <v>0.1489556418995934</v>
      </c>
      <c r="AX58">
        <v>-8.1610553659688501E-2</v>
      </c>
      <c r="AY58">
        <v>0.1489556418995934</v>
      </c>
      <c r="AZ58">
        <v>0.1489556418995934</v>
      </c>
      <c r="BA58">
        <v>-8.1610553659688501E-2</v>
      </c>
      <c r="BB58">
        <v>0.1528626343914081</v>
      </c>
      <c r="BC58">
        <v>-0.10998037072955449</v>
      </c>
      <c r="BD58">
        <v>0.28865650089748168</v>
      </c>
      <c r="BE58">
        <v>-1.3312377387390001E-4</v>
      </c>
      <c r="BF58">
        <v>0.28865650089748168</v>
      </c>
      <c r="BG58">
        <v>0.28865650089748168</v>
      </c>
      <c r="BH58">
        <v>-1.3312377387390001E-4</v>
      </c>
      <c r="BI58">
        <v>0.2880726004339676</v>
      </c>
      <c r="BJ58">
        <v>1.889966621567E-3</v>
      </c>
      <c r="BK58">
        <v>0.11473337588847531</v>
      </c>
      <c r="BL58">
        <v>0.53938178619311394</v>
      </c>
      <c r="BM58">
        <v>0.11473337588847531</v>
      </c>
      <c r="BN58">
        <v>0.11473337588847531</v>
      </c>
      <c r="BO58">
        <v>0.53938178619311394</v>
      </c>
      <c r="BP58">
        <v>0.16116846527900891</v>
      </c>
      <c r="BQ58">
        <v>0.35295958979734721</v>
      </c>
      <c r="BR58">
        <v>336.07940391749258</v>
      </c>
      <c r="BS58">
        <v>4.3458772495371202E-2</v>
      </c>
      <c r="BT58">
        <v>336.07940391749258</v>
      </c>
      <c r="BU58">
        <v>336.07940391749258</v>
      </c>
      <c r="BV58">
        <v>4.3458772495371202E-2</v>
      </c>
      <c r="BW58">
        <v>452.30038096658672</v>
      </c>
      <c r="BX58">
        <v>-0.28732661557803763</v>
      </c>
      <c r="BY58" t="str">
        <f t="shared" si="1"/>
        <v>theta</v>
      </c>
    </row>
    <row r="59" spans="1:77" x14ac:dyDescent="0.3">
      <c r="A59" t="s">
        <v>216</v>
      </c>
      <c r="B59" t="s">
        <v>217</v>
      </c>
      <c r="C59">
        <v>7</v>
      </c>
      <c r="D59" t="s">
        <v>95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b">
        <v>1</v>
      </c>
      <c r="N59" t="b">
        <v>0</v>
      </c>
      <c r="O59" t="b">
        <v>0</v>
      </c>
      <c r="P59" t="s">
        <v>83</v>
      </c>
      <c r="Q59" t="s">
        <v>202</v>
      </c>
      <c r="R59">
        <v>2</v>
      </c>
      <c r="S59" t="s">
        <v>85</v>
      </c>
      <c r="T59" t="s">
        <v>86</v>
      </c>
      <c r="U59" t="s">
        <v>87</v>
      </c>
      <c r="V59">
        <v>1</v>
      </c>
      <c r="W59" t="s">
        <v>203</v>
      </c>
      <c r="X59" t="b">
        <v>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160</v>
      </c>
      <c r="AH59">
        <v>40</v>
      </c>
      <c r="AI59">
        <v>120</v>
      </c>
      <c r="AJ59">
        <v>0.26446652286004529</v>
      </c>
      <c r="AK59">
        <v>82.95782892814016</v>
      </c>
      <c r="AL59">
        <v>4.71482926873735E-2</v>
      </c>
      <c r="AM59">
        <v>0.18026469911022511</v>
      </c>
      <c r="AN59">
        <v>87.9781469133423</v>
      </c>
      <c r="AO59">
        <v>3.8048491079008998E-2</v>
      </c>
      <c r="AP59">
        <v>87.9781469133423</v>
      </c>
      <c r="AQ59">
        <v>87.9781469133423</v>
      </c>
      <c r="AR59">
        <v>3.8048491079008998E-2</v>
      </c>
      <c r="AS59">
        <v>88.173693097475763</v>
      </c>
      <c r="AT59">
        <v>0.1249665228191226</v>
      </c>
      <c r="AU59">
        <v>0.8</v>
      </c>
      <c r="AV59" t="s">
        <v>92</v>
      </c>
      <c r="AW59">
        <v>0.15177358188566711</v>
      </c>
      <c r="AX59">
        <v>-0.1020724414381417</v>
      </c>
      <c r="AY59">
        <v>0.15177358188566711</v>
      </c>
      <c r="AZ59">
        <v>0.15177358188566711</v>
      </c>
      <c r="BA59">
        <v>-0.1020724414381417</v>
      </c>
      <c r="BB59">
        <v>0.1539665450329383</v>
      </c>
      <c r="BC59">
        <v>-0.1179961892977503</v>
      </c>
      <c r="BD59">
        <v>0.26126823251287451</v>
      </c>
      <c r="BE59">
        <v>9.4761376537355099E-2</v>
      </c>
      <c r="BF59">
        <v>0.26126823251287451</v>
      </c>
      <c r="BG59">
        <v>0.26126823251287451</v>
      </c>
      <c r="BH59">
        <v>9.4761376537355099E-2</v>
      </c>
      <c r="BI59">
        <v>0.22294561361099891</v>
      </c>
      <c r="BJ59">
        <v>0.22754106601034879</v>
      </c>
      <c r="BK59">
        <v>0.20939664095191149</v>
      </c>
      <c r="BL59">
        <v>0.15933871913447559</v>
      </c>
      <c r="BM59">
        <v>0.20939664095191149</v>
      </c>
      <c r="BN59">
        <v>0.20939664095191149</v>
      </c>
      <c r="BO59">
        <v>0.15933871913447559</v>
      </c>
      <c r="BP59">
        <v>0.15128231027628</v>
      </c>
      <c r="BQ59">
        <v>0.39264937512364478</v>
      </c>
      <c r="BR59">
        <v>351.2901491980179</v>
      </c>
      <c r="BS59">
        <v>1.663100823342E-4</v>
      </c>
      <c r="BT59">
        <v>351.2901491980179</v>
      </c>
      <c r="BU59">
        <v>351.2901491980179</v>
      </c>
      <c r="BV59">
        <v>1.663100823342E-4</v>
      </c>
      <c r="BW59">
        <v>352.16657792098317</v>
      </c>
      <c r="BX59">
        <v>-2.3281605597624002E-3</v>
      </c>
      <c r="BY59" t="str">
        <f t="shared" si="1"/>
        <v>theta</v>
      </c>
    </row>
    <row r="60" spans="1:77" x14ac:dyDescent="0.3">
      <c r="A60" t="s">
        <v>218</v>
      </c>
      <c r="B60" t="s">
        <v>219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b">
        <v>1</v>
      </c>
      <c r="N60" t="b">
        <v>0</v>
      </c>
      <c r="O60" t="b">
        <v>0</v>
      </c>
      <c r="P60" t="s">
        <v>83</v>
      </c>
      <c r="Q60" t="s">
        <v>202</v>
      </c>
      <c r="R60">
        <v>2</v>
      </c>
      <c r="S60" t="s">
        <v>85</v>
      </c>
      <c r="T60" t="s">
        <v>86</v>
      </c>
      <c r="U60" t="s">
        <v>87</v>
      </c>
      <c r="V60">
        <v>1</v>
      </c>
      <c r="W60" t="s">
        <v>203</v>
      </c>
      <c r="X60" t="b">
        <v>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160</v>
      </c>
      <c r="AH60">
        <v>40</v>
      </c>
      <c r="AI60">
        <v>120</v>
      </c>
      <c r="AJ60">
        <v>0.26993595101728218</v>
      </c>
      <c r="AK60">
        <v>83.959856539947666</v>
      </c>
      <c r="AL60">
        <v>3.6408837137191397E-2</v>
      </c>
      <c r="AM60">
        <v>9.1699140504814994E-2</v>
      </c>
      <c r="AN60">
        <v>88.650423797507329</v>
      </c>
      <c r="AO60">
        <v>3.1530722703292602E-2</v>
      </c>
      <c r="AP60">
        <v>88.650423797507329</v>
      </c>
      <c r="AQ60">
        <v>88.650423797507329</v>
      </c>
      <c r="AR60">
        <v>3.1530722703292602E-2</v>
      </c>
      <c r="AS60">
        <v>89.765559824456247</v>
      </c>
      <c r="AT60">
        <v>7.6469652857002704E-2</v>
      </c>
      <c r="AU60">
        <v>0.8</v>
      </c>
      <c r="AV60" t="s">
        <v>92</v>
      </c>
      <c r="AW60">
        <v>0.14514637466590419</v>
      </c>
      <c r="AX60">
        <v>-5.3950348318519699E-2</v>
      </c>
      <c r="AY60">
        <v>0.14514637466590419</v>
      </c>
      <c r="AZ60">
        <v>0.14514637466590419</v>
      </c>
      <c r="BA60">
        <v>-5.3950348318519699E-2</v>
      </c>
      <c r="BB60">
        <v>0.1415440196732104</v>
      </c>
      <c r="BC60">
        <v>-2.7792593375926399E-2</v>
      </c>
      <c r="BD60">
        <v>0.27899716299752969</v>
      </c>
      <c r="BE60">
        <v>3.3334418988647703E-2</v>
      </c>
      <c r="BF60">
        <v>0.27899716299752969</v>
      </c>
      <c r="BG60">
        <v>0.27899716299752969</v>
      </c>
      <c r="BH60">
        <v>3.3334418988647703E-2</v>
      </c>
      <c r="BI60">
        <v>0.27150147332920499</v>
      </c>
      <c r="BJ60">
        <v>5.9305382744920698E-2</v>
      </c>
      <c r="BK60">
        <v>0.21067887943315269</v>
      </c>
      <c r="BL60">
        <v>0.1541909372067663</v>
      </c>
      <c r="BM60">
        <v>0.21067887943315269</v>
      </c>
      <c r="BN60">
        <v>0.21067887943315269</v>
      </c>
      <c r="BO60">
        <v>0.1541909372067663</v>
      </c>
      <c r="BP60">
        <v>0.17569389238467331</v>
      </c>
      <c r="BQ60">
        <v>0.29464459438836671</v>
      </c>
      <c r="BR60">
        <v>353.96687277293222</v>
      </c>
      <c r="BS60">
        <v>-7.4521170637327E-3</v>
      </c>
      <c r="BT60">
        <v>353.96687277293222</v>
      </c>
      <c r="BU60">
        <v>353.96687277293222</v>
      </c>
      <c r="BV60">
        <v>-7.4521170637327E-3</v>
      </c>
      <c r="BW60">
        <v>358.47349991243829</v>
      </c>
      <c r="BX60">
        <v>-2.0278772329365102E-2</v>
      </c>
      <c r="BY60" t="str">
        <f t="shared" si="1"/>
        <v>theta</v>
      </c>
    </row>
    <row r="61" spans="1:77" x14ac:dyDescent="0.3">
      <c r="A61" t="s">
        <v>220</v>
      </c>
      <c r="B61" t="s">
        <v>221</v>
      </c>
      <c r="C61">
        <v>9</v>
      </c>
      <c r="D61" t="s">
        <v>78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b">
        <v>1</v>
      </c>
      <c r="N61" t="b">
        <v>0</v>
      </c>
      <c r="O61" t="b">
        <v>0</v>
      </c>
      <c r="P61" t="s">
        <v>83</v>
      </c>
      <c r="Q61" t="s">
        <v>202</v>
      </c>
      <c r="R61">
        <v>2</v>
      </c>
      <c r="S61" t="s">
        <v>85</v>
      </c>
      <c r="T61" t="s">
        <v>86</v>
      </c>
      <c r="U61" t="s">
        <v>87</v>
      </c>
      <c r="V61">
        <v>1</v>
      </c>
      <c r="W61" t="s">
        <v>203</v>
      </c>
      <c r="X61" t="b">
        <v>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160</v>
      </c>
      <c r="AH61">
        <v>40</v>
      </c>
      <c r="AI61">
        <v>120</v>
      </c>
      <c r="AJ61">
        <v>0.2695556083488031</v>
      </c>
      <c r="AK61">
        <v>81.489906650013467</v>
      </c>
      <c r="AL61">
        <v>4.6798803501230099E-2</v>
      </c>
      <c r="AM61">
        <v>7.3598025118216601E-2</v>
      </c>
      <c r="AN61">
        <v>86.72778908429386</v>
      </c>
      <c r="AO61">
        <v>3.6864487448789701E-2</v>
      </c>
      <c r="AP61">
        <v>86.72778908429386</v>
      </c>
      <c r="AQ61">
        <v>86.72778908429386</v>
      </c>
      <c r="AR61">
        <v>3.6864487448789701E-2</v>
      </c>
      <c r="AS61">
        <v>90.423303911284194</v>
      </c>
      <c r="AT61">
        <v>5.4007498147292297E-2</v>
      </c>
      <c r="AU61">
        <v>0.8</v>
      </c>
      <c r="AV61" t="s">
        <v>92</v>
      </c>
      <c r="AW61">
        <v>0.1497544644858527</v>
      </c>
      <c r="AX61">
        <v>-8.7411038480412304E-2</v>
      </c>
      <c r="AY61">
        <v>0.1497544644858527</v>
      </c>
      <c r="AZ61">
        <v>0.1497544644858527</v>
      </c>
      <c r="BA61">
        <v>-8.7411038480412304E-2</v>
      </c>
      <c r="BB61">
        <v>0.15426679447593339</v>
      </c>
      <c r="BC61">
        <v>-0.1201763884639748</v>
      </c>
      <c r="BD61">
        <v>0.28914246830041351</v>
      </c>
      <c r="BE61">
        <v>-1.8168970311375999E-3</v>
      </c>
      <c r="BF61">
        <v>0.28914246830041351</v>
      </c>
      <c r="BG61">
        <v>0.28914246830041351</v>
      </c>
      <c r="BH61">
        <v>-1.8168970311375999E-3</v>
      </c>
      <c r="BI61">
        <v>0.28810203265925399</v>
      </c>
      <c r="BJ61">
        <v>1.7879902471436E-3</v>
      </c>
      <c r="BK61">
        <v>0.19372494130132539</v>
      </c>
      <c r="BL61">
        <v>0.22225563624312719</v>
      </c>
      <c r="BM61">
        <v>0.19372494130132539</v>
      </c>
      <c r="BN61">
        <v>0.19372494130132539</v>
      </c>
      <c r="BO61">
        <v>0.22225563624312719</v>
      </c>
      <c r="BP61">
        <v>0.15887932014087469</v>
      </c>
      <c r="BQ61">
        <v>0.36214978346598858</v>
      </c>
      <c r="BR61">
        <v>346.27853446308762</v>
      </c>
      <c r="BS61">
        <v>1.44302490635738E-2</v>
      </c>
      <c r="BT61">
        <v>346.27853446308762</v>
      </c>
      <c r="BU61">
        <v>346.27853446308762</v>
      </c>
      <c r="BV61">
        <v>1.44302490635738E-2</v>
      </c>
      <c r="BW61">
        <v>361.09196749785991</v>
      </c>
      <c r="BX61">
        <v>-2.7731392659991101E-2</v>
      </c>
      <c r="BY61" t="str">
        <f t="shared" si="1"/>
        <v>theta</v>
      </c>
    </row>
    <row r="62" spans="1:77" x14ac:dyDescent="0.3">
      <c r="A62" t="s">
        <v>239</v>
      </c>
      <c r="B62" t="s">
        <v>240</v>
      </c>
      <c r="C62">
        <v>0</v>
      </c>
      <c r="D62" t="s">
        <v>78</v>
      </c>
      <c r="E62" t="s">
        <v>79</v>
      </c>
      <c r="F62">
        <v>16590</v>
      </c>
      <c r="G62">
        <v>4.5</v>
      </c>
      <c r="H62" t="s">
        <v>241</v>
      </c>
      <c r="I62" t="s">
        <v>242</v>
      </c>
      <c r="J62">
        <v>5</v>
      </c>
      <c r="K62">
        <v>5</v>
      </c>
      <c r="L62" t="s">
        <v>243</v>
      </c>
      <c r="M62" t="s">
        <v>244</v>
      </c>
      <c r="N62" t="s">
        <v>245</v>
      </c>
      <c r="O62" t="s">
        <v>245</v>
      </c>
      <c r="P62" t="s">
        <v>83</v>
      </c>
      <c r="Q62" t="s">
        <v>246</v>
      </c>
      <c r="R62">
        <v>1</v>
      </c>
      <c r="S62" t="s">
        <v>85</v>
      </c>
      <c r="T62" t="s">
        <v>86</v>
      </c>
      <c r="U62" t="s">
        <v>87</v>
      </c>
      <c r="V62">
        <v>1</v>
      </c>
      <c r="W62" t="s">
        <v>247</v>
      </c>
      <c r="X62" t="s">
        <v>245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50</v>
      </c>
      <c r="AH62">
        <v>20</v>
      </c>
      <c r="AI62">
        <v>30</v>
      </c>
      <c r="AJ62">
        <v>4.7248207714292001E-2</v>
      </c>
      <c r="AK62">
        <v>1.0464300244513501E-2</v>
      </c>
      <c r="AL62">
        <v>0.85889550851747065</v>
      </c>
      <c r="AM62">
        <v>-1.885615780897391</v>
      </c>
      <c r="AN62">
        <v>2.2610852593551101E-2</v>
      </c>
      <c r="AO62">
        <v>0.83581597527595752</v>
      </c>
      <c r="AP62">
        <v>2.2610852593551101E-2</v>
      </c>
      <c r="AQ62">
        <v>2.2610852593551101E-2</v>
      </c>
      <c r="AR62">
        <v>0.83581597527595752</v>
      </c>
      <c r="AS62">
        <v>0.26176926173260118</v>
      </c>
      <c r="AT62">
        <v>-0.90078329698003523</v>
      </c>
      <c r="AU62">
        <v>0.2</v>
      </c>
      <c r="AV62" t="s">
        <v>92</v>
      </c>
      <c r="AW62">
        <v>2.2610852593551101E-2</v>
      </c>
      <c r="AX62">
        <v>0.83581597527595752</v>
      </c>
      <c r="AY62">
        <v>2.2610852593551101E-2</v>
      </c>
      <c r="AZ62">
        <v>2.2610852593551101E-2</v>
      </c>
      <c r="BA62">
        <v>0.83581597527595752</v>
      </c>
      <c r="BB62">
        <v>0.26176926173260118</v>
      </c>
      <c r="BC62">
        <v>-0.90078329698003523</v>
      </c>
      <c r="BY62" t="str">
        <f t="shared" si="1"/>
        <v>phi</v>
      </c>
    </row>
    <row r="63" spans="1:77" x14ac:dyDescent="0.3">
      <c r="A63" t="s">
        <v>239</v>
      </c>
      <c r="B63" t="s">
        <v>248</v>
      </c>
      <c r="C63">
        <v>1</v>
      </c>
      <c r="D63" t="s">
        <v>95</v>
      </c>
      <c r="E63" t="s">
        <v>79</v>
      </c>
      <c r="F63">
        <v>16590</v>
      </c>
      <c r="G63">
        <v>4.5</v>
      </c>
      <c r="H63" t="s">
        <v>241</v>
      </c>
      <c r="I63" t="s">
        <v>242</v>
      </c>
      <c r="J63">
        <v>5</v>
      </c>
      <c r="K63">
        <v>5</v>
      </c>
      <c r="L63" t="s">
        <v>243</v>
      </c>
      <c r="M63" t="s">
        <v>244</v>
      </c>
      <c r="N63" t="s">
        <v>245</v>
      </c>
      <c r="O63" t="s">
        <v>245</v>
      </c>
      <c r="P63" t="s">
        <v>83</v>
      </c>
      <c r="Q63" t="s">
        <v>249</v>
      </c>
      <c r="R63">
        <v>1</v>
      </c>
      <c r="S63" t="s">
        <v>85</v>
      </c>
      <c r="T63" t="s">
        <v>86</v>
      </c>
      <c r="U63" t="s">
        <v>87</v>
      </c>
      <c r="V63">
        <v>1</v>
      </c>
      <c r="W63" t="s">
        <v>250</v>
      </c>
      <c r="X63" t="s">
        <v>245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50</v>
      </c>
      <c r="AH63">
        <v>20</v>
      </c>
      <c r="AI63">
        <v>30</v>
      </c>
      <c r="AJ63">
        <v>4.8480080369323102E-2</v>
      </c>
      <c r="AK63">
        <v>7.6162721849387001E-3</v>
      </c>
      <c r="AL63">
        <v>0.89729937133524285</v>
      </c>
      <c r="AM63">
        <v>-2.291559570388646</v>
      </c>
      <c r="AN63">
        <v>1.7091476343652E-2</v>
      </c>
      <c r="AO63">
        <v>0.875893783174859</v>
      </c>
      <c r="AP63">
        <v>1.7091476343652E-2</v>
      </c>
      <c r="AQ63">
        <v>1.7091476343652E-2</v>
      </c>
      <c r="AR63">
        <v>0.875893783174859</v>
      </c>
      <c r="AS63">
        <v>0.2903861264519253</v>
      </c>
      <c r="AT63">
        <v>-1.108578735261833</v>
      </c>
      <c r="AU63">
        <v>0.2</v>
      </c>
      <c r="AV63" t="s">
        <v>92</v>
      </c>
      <c r="AW63">
        <v>1.7091476343652E-2</v>
      </c>
      <c r="AX63">
        <v>0.875893783174859</v>
      </c>
      <c r="AY63">
        <v>1.7091476343652E-2</v>
      </c>
      <c r="AZ63">
        <v>1.7091476343652E-2</v>
      </c>
      <c r="BA63">
        <v>0.875893783174859</v>
      </c>
      <c r="BB63">
        <v>0.2903861264519253</v>
      </c>
      <c r="BC63">
        <v>-1.108578735261833</v>
      </c>
      <c r="BY63" t="str">
        <f t="shared" si="1"/>
        <v>lambda</v>
      </c>
    </row>
    <row r="64" spans="1:77" x14ac:dyDescent="0.3">
      <c r="A64" t="s">
        <v>251</v>
      </c>
      <c r="B64" t="s">
        <v>252</v>
      </c>
      <c r="C64">
        <v>0</v>
      </c>
      <c r="D64" t="s">
        <v>78</v>
      </c>
      <c r="E64" t="s">
        <v>79</v>
      </c>
      <c r="F64">
        <v>16590</v>
      </c>
      <c r="G64">
        <v>4.5</v>
      </c>
      <c r="H64" t="s">
        <v>241</v>
      </c>
      <c r="I64" t="s">
        <v>242</v>
      </c>
      <c r="J64">
        <v>5</v>
      </c>
      <c r="K64">
        <v>5</v>
      </c>
      <c r="L64" t="s">
        <v>243</v>
      </c>
      <c r="M64" t="s">
        <v>244</v>
      </c>
      <c r="N64" t="s">
        <v>245</v>
      </c>
      <c r="O64" t="s">
        <v>245</v>
      </c>
      <c r="P64" t="s">
        <v>83</v>
      </c>
      <c r="Q64" t="s">
        <v>253</v>
      </c>
      <c r="R64">
        <v>1</v>
      </c>
      <c r="S64" t="s">
        <v>85</v>
      </c>
      <c r="T64" t="s">
        <v>86</v>
      </c>
      <c r="U64" t="s">
        <v>87</v>
      </c>
      <c r="V64">
        <v>1</v>
      </c>
      <c r="W64" t="s">
        <v>254</v>
      </c>
      <c r="X64" t="s">
        <v>245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50</v>
      </c>
      <c r="AH64">
        <v>20</v>
      </c>
      <c r="AI64">
        <v>30</v>
      </c>
      <c r="AJ64">
        <v>6.0240989444892798E-2</v>
      </c>
      <c r="AK64">
        <v>1.6195592919927899E-2</v>
      </c>
      <c r="AL64">
        <v>0.78161264013590892</v>
      </c>
      <c r="AM64">
        <v>-2.302921141554374</v>
      </c>
      <c r="AN64">
        <v>3.6939246404070897E-2</v>
      </c>
      <c r="AO64">
        <v>0.73177331019250336</v>
      </c>
      <c r="AP64">
        <v>3.6939246404070897E-2</v>
      </c>
      <c r="AQ64">
        <v>3.6939246404070897E-2</v>
      </c>
      <c r="AR64">
        <v>0.73177331019250336</v>
      </c>
      <c r="AS64">
        <v>0.28999589305429069</v>
      </c>
      <c r="AT64">
        <v>-1.105745136239404</v>
      </c>
      <c r="AU64">
        <v>0.2</v>
      </c>
      <c r="AV64" t="s">
        <v>92</v>
      </c>
      <c r="AW64">
        <v>3.6939246404070897E-2</v>
      </c>
      <c r="AX64">
        <v>0.73177331019250336</v>
      </c>
      <c r="AY64">
        <v>3.6939246404070897E-2</v>
      </c>
      <c r="AZ64">
        <v>3.6939246404070897E-2</v>
      </c>
      <c r="BA64">
        <v>0.73177331019250336</v>
      </c>
      <c r="BB64">
        <v>0.28999589305429069</v>
      </c>
      <c r="BC64">
        <v>-1.105745136239404</v>
      </c>
      <c r="BY64" t="str">
        <f t="shared" si="1"/>
        <v>phi</v>
      </c>
    </row>
    <row r="65" spans="1:77" x14ac:dyDescent="0.3">
      <c r="A65" t="s">
        <v>251</v>
      </c>
      <c r="B65" t="s">
        <v>255</v>
      </c>
      <c r="C65">
        <v>1</v>
      </c>
      <c r="D65" t="s">
        <v>95</v>
      </c>
      <c r="E65" t="s">
        <v>79</v>
      </c>
      <c r="F65">
        <v>16590</v>
      </c>
      <c r="G65">
        <v>4.5</v>
      </c>
      <c r="H65" t="s">
        <v>241</v>
      </c>
      <c r="I65" t="s">
        <v>242</v>
      </c>
      <c r="J65">
        <v>5</v>
      </c>
      <c r="K65">
        <v>5</v>
      </c>
      <c r="L65" t="s">
        <v>243</v>
      </c>
      <c r="M65" t="s">
        <v>244</v>
      </c>
      <c r="N65" t="s">
        <v>245</v>
      </c>
      <c r="O65" t="s">
        <v>245</v>
      </c>
      <c r="P65" t="s">
        <v>83</v>
      </c>
      <c r="Q65" t="s">
        <v>253</v>
      </c>
      <c r="R65">
        <v>1</v>
      </c>
      <c r="S65" t="s">
        <v>85</v>
      </c>
      <c r="T65" t="s">
        <v>86</v>
      </c>
      <c r="U65" t="s">
        <v>87</v>
      </c>
      <c r="V65">
        <v>1</v>
      </c>
      <c r="W65" t="s">
        <v>254</v>
      </c>
      <c r="X65" t="s">
        <v>245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50</v>
      </c>
      <c r="AH65">
        <v>20</v>
      </c>
      <c r="AI65">
        <v>30</v>
      </c>
      <c r="AJ65">
        <v>5.6683387557609398E-2</v>
      </c>
      <c r="AK65">
        <v>9.3586392104329005E-3</v>
      </c>
      <c r="AL65">
        <v>0.87380465048783673</v>
      </c>
      <c r="AM65">
        <v>-1.8154285949579321</v>
      </c>
      <c r="AN65">
        <v>2.1656259633181098E-2</v>
      </c>
      <c r="AO65">
        <v>0.84274755441735982</v>
      </c>
      <c r="AP65">
        <v>2.1656259633181098E-2</v>
      </c>
      <c r="AQ65">
        <v>2.1656259633181098E-2</v>
      </c>
      <c r="AR65">
        <v>0.84274755441735982</v>
      </c>
      <c r="AS65">
        <v>0.2480696686918914</v>
      </c>
      <c r="AT65">
        <v>-0.80130653849872391</v>
      </c>
      <c r="AU65">
        <v>0.2</v>
      </c>
      <c r="AV65" t="s">
        <v>92</v>
      </c>
      <c r="AW65">
        <v>2.1656259633181098E-2</v>
      </c>
      <c r="AX65">
        <v>0.84274755441735982</v>
      </c>
      <c r="AY65">
        <v>2.1656259633181098E-2</v>
      </c>
      <c r="AZ65">
        <v>2.1656259633181098E-2</v>
      </c>
      <c r="BA65">
        <v>0.84274755441735982</v>
      </c>
      <c r="BB65">
        <v>0.2480696686918914</v>
      </c>
      <c r="BC65">
        <v>-0.80130653849872391</v>
      </c>
      <c r="BY65" t="str">
        <f t="shared" si="1"/>
        <v>phi</v>
      </c>
    </row>
    <row r="66" spans="1:77" x14ac:dyDescent="0.3">
      <c r="A66" t="s">
        <v>256</v>
      </c>
      <c r="B66" t="s">
        <v>257</v>
      </c>
      <c r="C66">
        <v>1</v>
      </c>
      <c r="D66" t="s">
        <v>78</v>
      </c>
      <c r="E66" t="s">
        <v>79</v>
      </c>
      <c r="F66">
        <v>16590</v>
      </c>
      <c r="G66">
        <v>4.5</v>
      </c>
      <c r="H66" t="s">
        <v>241</v>
      </c>
      <c r="I66" t="s">
        <v>242</v>
      </c>
      <c r="J66">
        <v>5</v>
      </c>
      <c r="K66">
        <v>5</v>
      </c>
      <c r="L66" t="s">
        <v>243</v>
      </c>
      <c r="M66" t="s">
        <v>244</v>
      </c>
      <c r="N66" t="s">
        <v>245</v>
      </c>
      <c r="O66" t="s">
        <v>245</v>
      </c>
      <c r="P66" t="s">
        <v>83</v>
      </c>
      <c r="Q66" t="s">
        <v>258</v>
      </c>
      <c r="R66">
        <v>1</v>
      </c>
      <c r="S66" t="s">
        <v>85</v>
      </c>
      <c r="T66" t="s">
        <v>86</v>
      </c>
      <c r="U66" t="s">
        <v>87</v>
      </c>
      <c r="V66">
        <v>1</v>
      </c>
      <c r="W66" t="s">
        <v>259</v>
      </c>
      <c r="X66" t="s">
        <v>245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50</v>
      </c>
      <c r="AH66">
        <v>20</v>
      </c>
      <c r="AI66">
        <v>30</v>
      </c>
      <c r="AJ66">
        <v>6.4496830573854094E-2</v>
      </c>
      <c r="AK66">
        <v>5.3522335277362996E-3</v>
      </c>
      <c r="AL66">
        <v>0.92782850524353599</v>
      </c>
      <c r="AM66">
        <v>-0.90042845732223342</v>
      </c>
      <c r="AN66">
        <v>9.3660935363108992E-3</v>
      </c>
      <c r="AO66">
        <v>0.93199005095579801</v>
      </c>
      <c r="AP66">
        <v>9.3660935363108992E-3</v>
      </c>
      <c r="AQ66">
        <v>9.3660935363108992E-3</v>
      </c>
      <c r="AR66">
        <v>0.93199005095579801</v>
      </c>
      <c r="AS66">
        <v>0.19226604191040439</v>
      </c>
      <c r="AT66">
        <v>-0.39610005628955669</v>
      </c>
      <c r="AU66">
        <v>0.2</v>
      </c>
      <c r="AV66" t="s">
        <v>92</v>
      </c>
      <c r="AW66">
        <v>9.3660935363108992E-3</v>
      </c>
      <c r="AX66">
        <v>0.93199005095579801</v>
      </c>
      <c r="AY66">
        <v>9.3660935363108992E-3</v>
      </c>
      <c r="AZ66">
        <v>9.3660935363108992E-3</v>
      </c>
      <c r="BA66">
        <v>0.93199005095579801</v>
      </c>
      <c r="BB66">
        <v>0.19226604191040439</v>
      </c>
      <c r="BC66">
        <v>-0.39610005628955669</v>
      </c>
      <c r="BY66" t="str">
        <f t="shared" si="1"/>
        <v>theta</v>
      </c>
    </row>
    <row r="67" spans="1:77" x14ac:dyDescent="0.3">
      <c r="A67" t="s">
        <v>260</v>
      </c>
      <c r="B67" t="s">
        <v>261</v>
      </c>
      <c r="C67">
        <v>1</v>
      </c>
      <c r="D67" t="s">
        <v>95</v>
      </c>
      <c r="E67" t="s">
        <v>79</v>
      </c>
      <c r="F67">
        <v>16590</v>
      </c>
      <c r="G67">
        <v>4.5</v>
      </c>
      <c r="H67" t="s">
        <v>241</v>
      </c>
      <c r="I67" t="s">
        <v>242</v>
      </c>
      <c r="J67">
        <v>5</v>
      </c>
      <c r="K67">
        <v>5</v>
      </c>
      <c r="L67" t="s">
        <v>243</v>
      </c>
      <c r="M67" t="s">
        <v>244</v>
      </c>
      <c r="N67" t="s">
        <v>245</v>
      </c>
      <c r="O67" t="s">
        <v>245</v>
      </c>
      <c r="P67" t="s">
        <v>83</v>
      </c>
      <c r="Q67" t="s">
        <v>262</v>
      </c>
      <c r="R67">
        <v>1</v>
      </c>
      <c r="S67" t="s">
        <v>85</v>
      </c>
      <c r="T67" t="s">
        <v>86</v>
      </c>
      <c r="U67" t="s">
        <v>87</v>
      </c>
      <c r="V67">
        <v>1</v>
      </c>
      <c r="W67" t="s">
        <v>263</v>
      </c>
      <c r="X67" t="s">
        <v>245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50</v>
      </c>
      <c r="AH67">
        <v>20</v>
      </c>
      <c r="AI67">
        <v>30</v>
      </c>
      <c r="AJ67">
        <v>3.8080197924237898E-2</v>
      </c>
      <c r="AK67">
        <v>4.4417853538777996E-3</v>
      </c>
      <c r="AL67">
        <v>0.94010532486755682</v>
      </c>
      <c r="AM67">
        <v>-3.7300006317040069</v>
      </c>
      <c r="AN67">
        <v>5.0129152939597001E-3</v>
      </c>
      <c r="AO67">
        <v>0.96359975347423443</v>
      </c>
      <c r="AP67">
        <v>5.0129152939597001E-3</v>
      </c>
      <c r="AQ67">
        <v>5.0129152939597001E-3</v>
      </c>
      <c r="AR67">
        <v>0.96359975347423443</v>
      </c>
      <c r="AS67">
        <v>0.39489227655563358</v>
      </c>
      <c r="AT67">
        <v>-1.867428507133569</v>
      </c>
      <c r="AU67">
        <v>0.2</v>
      </c>
      <c r="AV67" t="s">
        <v>92</v>
      </c>
      <c r="AW67">
        <v>5.0129152939597001E-3</v>
      </c>
      <c r="AX67">
        <v>0.96359975347423443</v>
      </c>
      <c r="AY67">
        <v>5.0129152939597001E-3</v>
      </c>
      <c r="AZ67">
        <v>5.0129152939597001E-3</v>
      </c>
      <c r="BA67">
        <v>0.96359975347423443</v>
      </c>
      <c r="BB67">
        <v>0.39489227655563358</v>
      </c>
      <c r="BC67">
        <v>-1.867428507133569</v>
      </c>
      <c r="BY67" t="str">
        <f t="shared" si="1"/>
        <v>theta</v>
      </c>
    </row>
    <row r="68" spans="1:77" x14ac:dyDescent="0.3">
      <c r="A68" t="s">
        <v>264</v>
      </c>
      <c r="B68" t="s">
        <v>265</v>
      </c>
      <c r="C68">
        <v>2</v>
      </c>
      <c r="D68" t="s">
        <v>78</v>
      </c>
      <c r="E68" t="s">
        <v>79</v>
      </c>
      <c r="F68">
        <v>16590</v>
      </c>
      <c r="G68">
        <v>4.5</v>
      </c>
      <c r="H68" t="s">
        <v>241</v>
      </c>
      <c r="I68" t="s">
        <v>242</v>
      </c>
      <c r="J68">
        <v>5</v>
      </c>
      <c r="K68">
        <v>5</v>
      </c>
      <c r="L68" t="s">
        <v>243</v>
      </c>
      <c r="M68" t="s">
        <v>244</v>
      </c>
      <c r="N68" t="s">
        <v>245</v>
      </c>
      <c r="O68" t="s">
        <v>245</v>
      </c>
      <c r="P68" t="s">
        <v>83</v>
      </c>
      <c r="Q68" t="s">
        <v>266</v>
      </c>
      <c r="R68">
        <v>1</v>
      </c>
      <c r="S68" t="s">
        <v>85</v>
      </c>
      <c r="T68" t="s">
        <v>86</v>
      </c>
      <c r="U68" t="s">
        <v>87</v>
      </c>
      <c r="V68">
        <v>1</v>
      </c>
      <c r="W68" t="s">
        <v>267</v>
      </c>
      <c r="X68" t="s">
        <v>245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50</v>
      </c>
      <c r="AH68">
        <v>20</v>
      </c>
      <c r="AI68">
        <v>30</v>
      </c>
      <c r="AJ68">
        <v>6.8456149389815202E-2</v>
      </c>
      <c r="AK68">
        <v>1.85711730570743E-2</v>
      </c>
      <c r="AL68">
        <v>0.74957943969292784</v>
      </c>
      <c r="AM68">
        <v>-1.9690206018100771</v>
      </c>
      <c r="AN68">
        <v>5.0042310087147997E-2</v>
      </c>
      <c r="AO68">
        <v>0.63662812613533015</v>
      </c>
      <c r="AP68">
        <v>5.0042310087147997E-2</v>
      </c>
      <c r="AQ68">
        <v>5.0042310087147997E-2</v>
      </c>
      <c r="AR68">
        <v>0.63662812613533015</v>
      </c>
      <c r="AS68">
        <v>0.27077619133558872</v>
      </c>
      <c r="AT68">
        <v>-0.96618525148423562</v>
      </c>
      <c r="AU68">
        <v>0.2</v>
      </c>
      <c r="AV68" t="s">
        <v>92</v>
      </c>
      <c r="AW68">
        <v>5.0042310087147997E-2</v>
      </c>
      <c r="AX68">
        <v>0.63662812613533015</v>
      </c>
      <c r="AY68">
        <v>5.0042310087147997E-2</v>
      </c>
      <c r="AZ68">
        <v>5.0042310087147997E-2</v>
      </c>
      <c r="BA68">
        <v>0.63662812613533015</v>
      </c>
      <c r="BB68">
        <v>0.27077619133558872</v>
      </c>
      <c r="BC68">
        <v>-0.96618525148423562</v>
      </c>
      <c r="BY68" t="str">
        <f t="shared" si="1"/>
        <v>lambda</v>
      </c>
    </row>
    <row r="69" spans="1:77" x14ac:dyDescent="0.3">
      <c r="A69" t="s">
        <v>268</v>
      </c>
      <c r="B69" t="s">
        <v>269</v>
      </c>
      <c r="C69">
        <v>2</v>
      </c>
      <c r="D69" t="s">
        <v>95</v>
      </c>
      <c r="E69" t="s">
        <v>79</v>
      </c>
      <c r="F69">
        <v>16590</v>
      </c>
      <c r="G69">
        <v>4.5</v>
      </c>
      <c r="H69" t="s">
        <v>241</v>
      </c>
      <c r="I69" t="s">
        <v>242</v>
      </c>
      <c r="J69">
        <v>5</v>
      </c>
      <c r="K69">
        <v>5</v>
      </c>
      <c r="L69" t="s">
        <v>243</v>
      </c>
      <c r="M69" t="s">
        <v>244</v>
      </c>
      <c r="N69" t="s">
        <v>245</v>
      </c>
      <c r="O69" t="s">
        <v>245</v>
      </c>
      <c r="P69" t="s">
        <v>83</v>
      </c>
      <c r="Q69" t="s">
        <v>249</v>
      </c>
      <c r="R69">
        <v>1</v>
      </c>
      <c r="S69" t="s">
        <v>85</v>
      </c>
      <c r="T69" t="s">
        <v>86</v>
      </c>
      <c r="U69" t="s">
        <v>87</v>
      </c>
      <c r="V69">
        <v>1</v>
      </c>
      <c r="W69" t="s">
        <v>250</v>
      </c>
      <c r="X69" t="s">
        <v>245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50</v>
      </c>
      <c r="AH69">
        <v>20</v>
      </c>
      <c r="AI69">
        <v>30</v>
      </c>
      <c r="AJ69">
        <v>6.5453290324481203E-2</v>
      </c>
      <c r="AK69">
        <v>1.20846680005536E-2</v>
      </c>
      <c r="AL69">
        <v>0.83704587090308713</v>
      </c>
      <c r="AM69">
        <v>-1.3583435968995401</v>
      </c>
      <c r="AN69">
        <v>3.03227928835056E-2</v>
      </c>
      <c r="AO69">
        <v>0.77981731755186312</v>
      </c>
      <c r="AP69">
        <v>3.03227928835056E-2</v>
      </c>
      <c r="AQ69">
        <v>3.03227928835056E-2</v>
      </c>
      <c r="AR69">
        <v>0.77981731755186312</v>
      </c>
      <c r="AS69">
        <v>0.22815200175606981</v>
      </c>
      <c r="AT69">
        <v>-0.65667852382718261</v>
      </c>
      <c r="AU69">
        <v>0.2</v>
      </c>
      <c r="AV69" t="s">
        <v>92</v>
      </c>
      <c r="AW69">
        <v>3.03227928835056E-2</v>
      </c>
      <c r="AX69">
        <v>0.77981731755186312</v>
      </c>
      <c r="AY69">
        <v>3.03227928835056E-2</v>
      </c>
      <c r="AZ69">
        <v>3.03227928835056E-2</v>
      </c>
      <c r="BA69">
        <v>0.77981731755186312</v>
      </c>
      <c r="BB69">
        <v>0.22815200175606981</v>
      </c>
      <c r="BC69">
        <v>-0.65667852382718261</v>
      </c>
      <c r="BY69" t="str">
        <f t="shared" si="1"/>
        <v>lambda</v>
      </c>
    </row>
    <row r="70" spans="1:77" x14ac:dyDescent="0.3">
      <c r="A70" t="s">
        <v>270</v>
      </c>
      <c r="B70" t="s">
        <v>271</v>
      </c>
      <c r="C70">
        <v>2</v>
      </c>
      <c r="D70" t="s">
        <v>95</v>
      </c>
      <c r="E70" t="s">
        <v>79</v>
      </c>
      <c r="F70">
        <v>16590</v>
      </c>
      <c r="G70">
        <v>4.5</v>
      </c>
      <c r="H70" t="s">
        <v>241</v>
      </c>
      <c r="I70" t="s">
        <v>242</v>
      </c>
      <c r="J70">
        <v>5</v>
      </c>
      <c r="K70">
        <v>5</v>
      </c>
      <c r="L70" t="s">
        <v>243</v>
      </c>
      <c r="M70" t="s">
        <v>244</v>
      </c>
      <c r="N70" t="s">
        <v>245</v>
      </c>
      <c r="O70" t="s">
        <v>245</v>
      </c>
      <c r="P70" t="s">
        <v>83</v>
      </c>
      <c r="Q70" t="s">
        <v>246</v>
      </c>
      <c r="R70">
        <v>1</v>
      </c>
      <c r="S70" t="s">
        <v>85</v>
      </c>
      <c r="T70" t="s">
        <v>86</v>
      </c>
      <c r="U70" t="s">
        <v>87</v>
      </c>
      <c r="V70">
        <v>1</v>
      </c>
      <c r="W70" t="s">
        <v>247</v>
      </c>
      <c r="X70" t="s">
        <v>245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50</v>
      </c>
      <c r="AH70">
        <v>20</v>
      </c>
      <c r="AI70">
        <v>30</v>
      </c>
      <c r="AJ70">
        <v>6.0002592433821098E-2</v>
      </c>
      <c r="AK70">
        <v>6.2387889357878997E-3</v>
      </c>
      <c r="AL70">
        <v>0.91587386450300556</v>
      </c>
      <c r="AM70">
        <v>-5.9148474813355554</v>
      </c>
      <c r="AN70">
        <v>1.7052338181516E-2</v>
      </c>
      <c r="AO70">
        <v>0.87617797683598753</v>
      </c>
      <c r="AP70">
        <v>1.7052338181516E-2</v>
      </c>
      <c r="AQ70">
        <v>1.7052338181516E-2</v>
      </c>
      <c r="AR70">
        <v>0.87617797683598753</v>
      </c>
      <c r="AS70">
        <v>0.56082390936730764</v>
      </c>
      <c r="AT70">
        <v>-3.0723067040673149</v>
      </c>
      <c r="AU70">
        <v>0.2</v>
      </c>
      <c r="AV70" t="s">
        <v>92</v>
      </c>
      <c r="AW70">
        <v>1.7052338181516E-2</v>
      </c>
      <c r="AX70">
        <v>0.87617797683598753</v>
      </c>
      <c r="AY70">
        <v>1.7052338181516E-2</v>
      </c>
      <c r="AZ70">
        <v>1.7052338181516E-2</v>
      </c>
      <c r="BA70">
        <v>0.87617797683598753</v>
      </c>
      <c r="BB70">
        <v>0.56082390936730764</v>
      </c>
      <c r="BC70">
        <v>-3.0723067040673149</v>
      </c>
      <c r="BY70" t="str">
        <f t="shared" si="1"/>
        <v>phi</v>
      </c>
    </row>
    <row r="71" spans="1:77" x14ac:dyDescent="0.3">
      <c r="A71" t="s">
        <v>272</v>
      </c>
      <c r="B71" t="s">
        <v>273</v>
      </c>
      <c r="C71">
        <v>2</v>
      </c>
      <c r="D71" t="s">
        <v>95</v>
      </c>
      <c r="E71" t="s">
        <v>79</v>
      </c>
      <c r="F71">
        <v>16590</v>
      </c>
      <c r="G71">
        <v>4.5</v>
      </c>
      <c r="H71" t="s">
        <v>241</v>
      </c>
      <c r="I71" t="s">
        <v>242</v>
      </c>
      <c r="J71">
        <v>5</v>
      </c>
      <c r="K71">
        <v>5</v>
      </c>
      <c r="L71" t="s">
        <v>243</v>
      </c>
      <c r="M71" t="s">
        <v>244</v>
      </c>
      <c r="N71" t="s">
        <v>245</v>
      </c>
      <c r="O71" t="s">
        <v>245</v>
      </c>
      <c r="P71" t="s">
        <v>83</v>
      </c>
      <c r="Q71" t="s">
        <v>253</v>
      </c>
      <c r="R71">
        <v>1</v>
      </c>
      <c r="S71" t="s">
        <v>85</v>
      </c>
      <c r="T71" t="s">
        <v>86</v>
      </c>
      <c r="U71" t="s">
        <v>87</v>
      </c>
      <c r="V71">
        <v>1</v>
      </c>
      <c r="W71" t="s">
        <v>254</v>
      </c>
      <c r="X71" t="s">
        <v>245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50</v>
      </c>
      <c r="AH71">
        <v>20</v>
      </c>
      <c r="AI71">
        <v>30</v>
      </c>
      <c r="AJ71">
        <v>5.7171847750843101E-2</v>
      </c>
      <c r="AK71">
        <v>7.6475000658915004E-3</v>
      </c>
      <c r="AL71">
        <v>0.89687828304850092</v>
      </c>
      <c r="AM71">
        <v>-6.1183232313559737</v>
      </c>
      <c r="AN71">
        <v>1.93556904337936E-2</v>
      </c>
      <c r="AO71">
        <v>0.85945266134549669</v>
      </c>
      <c r="AP71">
        <v>1.93556904337936E-2</v>
      </c>
      <c r="AQ71">
        <v>1.93556904337936E-2</v>
      </c>
      <c r="AR71">
        <v>0.85945266134549669</v>
      </c>
      <c r="AS71">
        <v>0.56724325439101397</v>
      </c>
      <c r="AT71">
        <v>-3.118919448886365</v>
      </c>
      <c r="AU71">
        <v>0.2</v>
      </c>
      <c r="AV71" t="s">
        <v>92</v>
      </c>
      <c r="AW71">
        <v>1.93556904337936E-2</v>
      </c>
      <c r="AX71">
        <v>0.85945266134549669</v>
      </c>
      <c r="AY71">
        <v>1.93556904337936E-2</v>
      </c>
      <c r="AZ71">
        <v>1.93556904337936E-2</v>
      </c>
      <c r="BA71">
        <v>0.85945266134549669</v>
      </c>
      <c r="BB71">
        <v>0.56724325439101397</v>
      </c>
      <c r="BC71">
        <v>-3.118919448886365</v>
      </c>
      <c r="BY71" t="str">
        <f t="shared" si="1"/>
        <v>phi</v>
      </c>
    </row>
    <row r="72" spans="1:77" x14ac:dyDescent="0.3">
      <c r="A72" t="s">
        <v>274</v>
      </c>
      <c r="B72" t="s">
        <v>275</v>
      </c>
      <c r="C72">
        <v>2</v>
      </c>
      <c r="D72" t="s">
        <v>78</v>
      </c>
      <c r="E72" t="s">
        <v>79</v>
      </c>
      <c r="F72">
        <v>16590</v>
      </c>
      <c r="G72">
        <v>4.5</v>
      </c>
      <c r="H72" t="s">
        <v>241</v>
      </c>
      <c r="I72" t="s">
        <v>242</v>
      </c>
      <c r="J72">
        <v>5</v>
      </c>
      <c r="K72">
        <v>5</v>
      </c>
      <c r="L72" t="s">
        <v>243</v>
      </c>
      <c r="M72" t="s">
        <v>244</v>
      </c>
      <c r="N72" t="s">
        <v>245</v>
      </c>
      <c r="O72" t="s">
        <v>245</v>
      </c>
      <c r="P72" t="s">
        <v>83</v>
      </c>
      <c r="Q72" t="s">
        <v>258</v>
      </c>
      <c r="R72">
        <v>1</v>
      </c>
      <c r="S72" t="s">
        <v>85</v>
      </c>
      <c r="T72" t="s">
        <v>86</v>
      </c>
      <c r="U72" t="s">
        <v>87</v>
      </c>
      <c r="V72">
        <v>1</v>
      </c>
      <c r="W72" t="s">
        <v>259</v>
      </c>
      <c r="X72" t="s">
        <v>245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50</v>
      </c>
      <c r="AH72">
        <v>20</v>
      </c>
      <c r="AI72">
        <v>30</v>
      </c>
      <c r="AJ72">
        <v>5.4409025860473498E-2</v>
      </c>
      <c r="AK72">
        <v>2.0593836758858999E-3</v>
      </c>
      <c r="AL72">
        <v>0.97223050948813716</v>
      </c>
      <c r="AM72">
        <v>-3.225001755204624</v>
      </c>
      <c r="AN72">
        <v>3.7009503113680999E-3</v>
      </c>
      <c r="AO72">
        <v>0.97312631556417162</v>
      </c>
      <c r="AP72">
        <v>3.7009503113680999E-3</v>
      </c>
      <c r="AQ72">
        <v>3.7009503113680999E-3</v>
      </c>
      <c r="AR72">
        <v>0.97312631556417162</v>
      </c>
      <c r="AS72">
        <v>0.35529422376353198</v>
      </c>
      <c r="AT72">
        <v>-1.5798954452225551</v>
      </c>
      <c r="AU72">
        <v>0.2</v>
      </c>
      <c r="AV72" t="s">
        <v>92</v>
      </c>
      <c r="AW72">
        <v>3.7009503113680999E-3</v>
      </c>
      <c r="AX72">
        <v>0.97312631556417162</v>
      </c>
      <c r="AY72">
        <v>3.7009503113680999E-3</v>
      </c>
      <c r="AZ72">
        <v>3.7009503113680999E-3</v>
      </c>
      <c r="BA72">
        <v>0.97312631556417162</v>
      </c>
      <c r="BB72">
        <v>0.35529422376353198</v>
      </c>
      <c r="BC72">
        <v>-1.5798954452225551</v>
      </c>
      <c r="BY72" t="str">
        <f t="shared" si="1"/>
        <v>theta</v>
      </c>
    </row>
    <row r="73" spans="1:77" x14ac:dyDescent="0.3">
      <c r="A73" t="s">
        <v>276</v>
      </c>
      <c r="B73" t="s">
        <v>277</v>
      </c>
      <c r="C73">
        <v>2</v>
      </c>
      <c r="D73" t="s">
        <v>78</v>
      </c>
      <c r="E73" t="s">
        <v>79</v>
      </c>
      <c r="F73">
        <v>16590</v>
      </c>
      <c r="G73">
        <v>4.5</v>
      </c>
      <c r="H73" t="s">
        <v>241</v>
      </c>
      <c r="I73" t="s">
        <v>242</v>
      </c>
      <c r="J73">
        <v>5</v>
      </c>
      <c r="K73">
        <v>5</v>
      </c>
      <c r="L73" t="s">
        <v>243</v>
      </c>
      <c r="M73" t="s">
        <v>244</v>
      </c>
      <c r="N73" t="s">
        <v>245</v>
      </c>
      <c r="O73" t="s">
        <v>245</v>
      </c>
      <c r="P73" t="s">
        <v>83</v>
      </c>
      <c r="Q73" t="s">
        <v>262</v>
      </c>
      <c r="R73">
        <v>1</v>
      </c>
      <c r="S73" t="s">
        <v>85</v>
      </c>
      <c r="T73" t="s">
        <v>86</v>
      </c>
      <c r="U73" t="s">
        <v>87</v>
      </c>
      <c r="V73">
        <v>1</v>
      </c>
      <c r="W73" t="s">
        <v>263</v>
      </c>
      <c r="X73" t="s">
        <v>245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50</v>
      </c>
      <c r="AH73">
        <v>20</v>
      </c>
      <c r="AI73">
        <v>30</v>
      </c>
      <c r="AJ73">
        <v>5.0194963805749997E-2</v>
      </c>
      <c r="AK73">
        <v>5.2899538507181999E-3</v>
      </c>
      <c r="AL73">
        <v>0.92866830742332662</v>
      </c>
      <c r="AM73">
        <v>-4.2744544161415456</v>
      </c>
      <c r="AN73">
        <v>8.9998274716991001E-3</v>
      </c>
      <c r="AO73">
        <v>0.93464961615171438</v>
      </c>
      <c r="AP73">
        <v>8.9998274716991001E-3</v>
      </c>
      <c r="AQ73">
        <v>8.9998274716991001E-3</v>
      </c>
      <c r="AR73">
        <v>0.93464961615171438</v>
      </c>
      <c r="AS73">
        <v>0.43684166438215211</v>
      </c>
      <c r="AT73">
        <v>-2.1720353015731528</v>
      </c>
      <c r="AU73">
        <v>0.2</v>
      </c>
      <c r="AV73" t="s">
        <v>92</v>
      </c>
      <c r="AW73">
        <v>8.9998274716991001E-3</v>
      </c>
      <c r="AX73">
        <v>0.93464961615171438</v>
      </c>
      <c r="AY73">
        <v>8.9998274716991001E-3</v>
      </c>
      <c r="AZ73">
        <v>8.9998274716991001E-3</v>
      </c>
      <c r="BA73">
        <v>0.93464961615171438</v>
      </c>
      <c r="BB73">
        <v>0.43684166438215211</v>
      </c>
      <c r="BC73">
        <v>-2.1720353015731528</v>
      </c>
      <c r="BY73" t="str">
        <f t="shared" si="1"/>
        <v>theta</v>
      </c>
    </row>
    <row r="74" spans="1:77" x14ac:dyDescent="0.3">
      <c r="A74" t="s">
        <v>278</v>
      </c>
      <c r="B74" t="s">
        <v>279</v>
      </c>
      <c r="C74">
        <v>3</v>
      </c>
      <c r="D74" t="s">
        <v>78</v>
      </c>
      <c r="E74" t="s">
        <v>79</v>
      </c>
      <c r="F74">
        <v>16590</v>
      </c>
      <c r="G74">
        <v>4.5</v>
      </c>
      <c r="H74" t="s">
        <v>241</v>
      </c>
      <c r="I74" t="s">
        <v>242</v>
      </c>
      <c r="J74">
        <v>5</v>
      </c>
      <c r="K74">
        <v>5</v>
      </c>
      <c r="L74" t="s">
        <v>243</v>
      </c>
      <c r="M74" t="s">
        <v>244</v>
      </c>
      <c r="N74" t="s">
        <v>245</v>
      </c>
      <c r="O74" t="s">
        <v>245</v>
      </c>
      <c r="P74" t="s">
        <v>83</v>
      </c>
      <c r="Q74" t="s">
        <v>266</v>
      </c>
      <c r="R74">
        <v>1</v>
      </c>
      <c r="S74" t="s">
        <v>85</v>
      </c>
      <c r="T74" t="s">
        <v>86</v>
      </c>
      <c r="U74" t="s">
        <v>87</v>
      </c>
      <c r="V74">
        <v>1</v>
      </c>
      <c r="W74" t="s">
        <v>267</v>
      </c>
      <c r="X74" t="s">
        <v>245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50</v>
      </c>
      <c r="AH74">
        <v>20</v>
      </c>
      <c r="AI74">
        <v>30</v>
      </c>
      <c r="AJ74">
        <v>5.5017248535077501E-2</v>
      </c>
      <c r="AK74">
        <v>1.07919475055233E-2</v>
      </c>
      <c r="AL74">
        <v>0.85447739177099558</v>
      </c>
      <c r="AM74">
        <v>-1.926898384686843</v>
      </c>
      <c r="AN74">
        <v>2.5587909075263399E-2</v>
      </c>
      <c r="AO74">
        <v>0.81419869600813699</v>
      </c>
      <c r="AP74">
        <v>2.5587909075263399E-2</v>
      </c>
      <c r="AQ74">
        <v>2.5587909075263399E-2</v>
      </c>
      <c r="AR74">
        <v>0.81419869600813699</v>
      </c>
      <c r="AS74">
        <v>0.26938665550521868</v>
      </c>
      <c r="AT74">
        <v>-0.95609542474353681</v>
      </c>
      <c r="AU74">
        <v>0.2</v>
      </c>
      <c r="AV74" t="s">
        <v>92</v>
      </c>
      <c r="AW74">
        <v>2.5587909075263399E-2</v>
      </c>
      <c r="AX74">
        <v>0.81419869600813699</v>
      </c>
      <c r="AY74">
        <v>2.5587909075263399E-2</v>
      </c>
      <c r="AZ74">
        <v>2.5587909075263399E-2</v>
      </c>
      <c r="BA74">
        <v>0.81419869600813699</v>
      </c>
      <c r="BB74">
        <v>0.26938665550521868</v>
      </c>
      <c r="BC74">
        <v>-0.95609542474353681</v>
      </c>
      <c r="BY74" t="str">
        <f t="shared" si="1"/>
        <v>lambda</v>
      </c>
    </row>
    <row r="75" spans="1:77" x14ac:dyDescent="0.3">
      <c r="A75" t="s">
        <v>280</v>
      </c>
      <c r="B75" t="s">
        <v>281</v>
      </c>
      <c r="C75">
        <v>3</v>
      </c>
      <c r="D75" t="s">
        <v>95</v>
      </c>
      <c r="E75" t="s">
        <v>79</v>
      </c>
      <c r="F75">
        <v>16590</v>
      </c>
      <c r="G75">
        <v>4.5</v>
      </c>
      <c r="H75" t="s">
        <v>241</v>
      </c>
      <c r="I75" t="s">
        <v>242</v>
      </c>
      <c r="J75">
        <v>5</v>
      </c>
      <c r="K75">
        <v>5</v>
      </c>
      <c r="L75" t="s">
        <v>243</v>
      </c>
      <c r="M75" t="s">
        <v>244</v>
      </c>
      <c r="N75" t="s">
        <v>245</v>
      </c>
      <c r="O75" t="s">
        <v>245</v>
      </c>
      <c r="P75" t="s">
        <v>83</v>
      </c>
      <c r="Q75" t="s">
        <v>249</v>
      </c>
      <c r="R75">
        <v>1</v>
      </c>
      <c r="S75" t="s">
        <v>85</v>
      </c>
      <c r="T75" t="s">
        <v>86</v>
      </c>
      <c r="U75" t="s">
        <v>87</v>
      </c>
      <c r="V75">
        <v>1</v>
      </c>
      <c r="W75" t="s">
        <v>250</v>
      </c>
      <c r="X75" t="s">
        <v>245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50</v>
      </c>
      <c r="AH75">
        <v>20</v>
      </c>
      <c r="AI75">
        <v>30</v>
      </c>
      <c r="AJ75">
        <v>8.5200045366279106E-2</v>
      </c>
      <c r="AK75">
        <v>2.21080177881453E-2</v>
      </c>
      <c r="AL75">
        <v>0.70188731833086127</v>
      </c>
      <c r="AM75">
        <v>-1.5909544567836229</v>
      </c>
      <c r="AN75">
        <v>5.3696447521268703E-2</v>
      </c>
      <c r="AO75">
        <v>0.61009436371542725</v>
      </c>
      <c r="AP75">
        <v>5.3696447521268703E-2</v>
      </c>
      <c r="AQ75">
        <v>5.3696447521268703E-2</v>
      </c>
      <c r="AR75">
        <v>0.61009436371542725</v>
      </c>
      <c r="AS75">
        <v>0.2409997797216813</v>
      </c>
      <c r="AT75">
        <v>-0.74997000350170828</v>
      </c>
      <c r="AU75">
        <v>0.2</v>
      </c>
      <c r="AV75" t="s">
        <v>92</v>
      </c>
      <c r="AW75">
        <v>5.3696447521268703E-2</v>
      </c>
      <c r="AX75">
        <v>0.61009436371542725</v>
      </c>
      <c r="AY75">
        <v>5.3696447521268703E-2</v>
      </c>
      <c r="AZ75">
        <v>5.3696447521268703E-2</v>
      </c>
      <c r="BA75">
        <v>0.61009436371542725</v>
      </c>
      <c r="BB75">
        <v>0.2409997797216813</v>
      </c>
      <c r="BC75">
        <v>-0.74997000350170828</v>
      </c>
      <c r="BY75" t="str">
        <f t="shared" si="1"/>
        <v>lambda</v>
      </c>
    </row>
    <row r="76" spans="1:77" x14ac:dyDescent="0.3">
      <c r="A76" t="s">
        <v>282</v>
      </c>
      <c r="B76" t="s">
        <v>283</v>
      </c>
      <c r="C76">
        <v>3</v>
      </c>
      <c r="D76" t="s">
        <v>95</v>
      </c>
      <c r="E76" t="s">
        <v>79</v>
      </c>
      <c r="F76">
        <v>16590</v>
      </c>
      <c r="G76">
        <v>4.5</v>
      </c>
      <c r="H76" t="s">
        <v>241</v>
      </c>
      <c r="I76" t="s">
        <v>242</v>
      </c>
      <c r="J76">
        <v>5</v>
      </c>
      <c r="K76">
        <v>5</v>
      </c>
      <c r="L76" t="s">
        <v>243</v>
      </c>
      <c r="M76" t="s">
        <v>244</v>
      </c>
      <c r="N76" t="s">
        <v>245</v>
      </c>
      <c r="O76" t="s">
        <v>245</v>
      </c>
      <c r="P76" t="s">
        <v>83</v>
      </c>
      <c r="Q76" t="s">
        <v>246</v>
      </c>
      <c r="R76">
        <v>1</v>
      </c>
      <c r="S76" t="s">
        <v>85</v>
      </c>
      <c r="T76" t="s">
        <v>86</v>
      </c>
      <c r="U76" t="s">
        <v>87</v>
      </c>
      <c r="V76">
        <v>1</v>
      </c>
      <c r="W76" t="s">
        <v>247</v>
      </c>
      <c r="X76" t="s">
        <v>245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50</v>
      </c>
      <c r="AH76">
        <v>20</v>
      </c>
      <c r="AI76">
        <v>30</v>
      </c>
      <c r="AJ76">
        <v>6.5733973428768799E-2</v>
      </c>
      <c r="AK76">
        <v>7.8672651471376996E-3</v>
      </c>
      <c r="AL76">
        <v>0.8939148894808211</v>
      </c>
      <c r="AM76">
        <v>-6.403943227549588</v>
      </c>
      <c r="AN76">
        <v>1.54064007611975E-2</v>
      </c>
      <c r="AO76">
        <v>0.88812961063633655</v>
      </c>
      <c r="AP76">
        <v>1.54064007611975E-2</v>
      </c>
      <c r="AQ76">
        <v>1.54064007611975E-2</v>
      </c>
      <c r="AR76">
        <v>0.88812961063633655</v>
      </c>
      <c r="AS76">
        <v>0.59483969104880874</v>
      </c>
      <c r="AT76">
        <v>-3.319305260070287</v>
      </c>
      <c r="AU76">
        <v>0.2</v>
      </c>
      <c r="AV76" t="s">
        <v>92</v>
      </c>
      <c r="AW76">
        <v>1.54064007611975E-2</v>
      </c>
      <c r="AX76">
        <v>0.88812961063633655</v>
      </c>
      <c r="AY76">
        <v>1.54064007611975E-2</v>
      </c>
      <c r="AZ76">
        <v>1.54064007611975E-2</v>
      </c>
      <c r="BA76">
        <v>0.88812961063633655</v>
      </c>
      <c r="BB76">
        <v>0.59483969104880874</v>
      </c>
      <c r="BC76">
        <v>-3.319305260070287</v>
      </c>
      <c r="BY76" t="str">
        <f t="shared" si="1"/>
        <v>phi</v>
      </c>
    </row>
    <row r="77" spans="1:77" x14ac:dyDescent="0.3">
      <c r="A77" t="s">
        <v>284</v>
      </c>
      <c r="B77" t="s">
        <v>285</v>
      </c>
      <c r="C77">
        <v>3</v>
      </c>
      <c r="D77" t="s">
        <v>95</v>
      </c>
      <c r="E77" t="s">
        <v>79</v>
      </c>
      <c r="F77">
        <v>16590</v>
      </c>
      <c r="G77">
        <v>4.5</v>
      </c>
      <c r="H77" t="s">
        <v>241</v>
      </c>
      <c r="I77" t="s">
        <v>242</v>
      </c>
      <c r="J77">
        <v>5</v>
      </c>
      <c r="K77">
        <v>5</v>
      </c>
      <c r="L77" t="s">
        <v>243</v>
      </c>
      <c r="M77" t="s">
        <v>244</v>
      </c>
      <c r="N77" t="s">
        <v>245</v>
      </c>
      <c r="O77" t="s">
        <v>245</v>
      </c>
      <c r="P77" t="s">
        <v>83</v>
      </c>
      <c r="Q77" t="s">
        <v>253</v>
      </c>
      <c r="R77">
        <v>1</v>
      </c>
      <c r="S77" t="s">
        <v>85</v>
      </c>
      <c r="T77" t="s">
        <v>86</v>
      </c>
      <c r="U77" t="s">
        <v>87</v>
      </c>
      <c r="V77">
        <v>1</v>
      </c>
      <c r="W77" t="s">
        <v>254</v>
      </c>
      <c r="X77" t="s">
        <v>245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50</v>
      </c>
      <c r="AH77">
        <v>20</v>
      </c>
      <c r="AI77">
        <v>30</v>
      </c>
      <c r="AJ77">
        <v>5.4259214064186399E-2</v>
      </c>
      <c r="AK77">
        <v>9.0782543341297005E-3</v>
      </c>
      <c r="AL77">
        <v>0.87758546377355129</v>
      </c>
      <c r="AM77">
        <v>-5.3654930177461324</v>
      </c>
      <c r="AN77">
        <v>2.1272780274163201E-2</v>
      </c>
      <c r="AO77">
        <v>0.8455321103867407</v>
      </c>
      <c r="AP77">
        <v>2.1272780274163201E-2</v>
      </c>
      <c r="AQ77">
        <v>2.1272780274163201E-2</v>
      </c>
      <c r="AR77">
        <v>0.8455321103867407</v>
      </c>
      <c r="AS77">
        <v>0.5668290467064736</v>
      </c>
      <c r="AT77">
        <v>-3.1159117655432409</v>
      </c>
      <c r="AU77">
        <v>0.2</v>
      </c>
      <c r="AV77" t="s">
        <v>92</v>
      </c>
      <c r="AW77">
        <v>2.1272780274163201E-2</v>
      </c>
      <c r="AX77">
        <v>0.8455321103867407</v>
      </c>
      <c r="AY77">
        <v>2.1272780274163201E-2</v>
      </c>
      <c r="AZ77">
        <v>2.1272780274163201E-2</v>
      </c>
      <c r="BA77">
        <v>0.8455321103867407</v>
      </c>
      <c r="BB77">
        <v>0.5668290467064736</v>
      </c>
      <c r="BC77">
        <v>-3.1159117655432409</v>
      </c>
      <c r="BY77" t="str">
        <f t="shared" si="1"/>
        <v>phi</v>
      </c>
    </row>
    <row r="78" spans="1:77" x14ac:dyDescent="0.3">
      <c r="A78" t="s">
        <v>286</v>
      </c>
      <c r="B78" t="s">
        <v>287</v>
      </c>
      <c r="C78">
        <v>3</v>
      </c>
      <c r="D78" t="s">
        <v>78</v>
      </c>
      <c r="E78" t="s">
        <v>79</v>
      </c>
      <c r="F78">
        <v>16590</v>
      </c>
      <c r="G78">
        <v>4.5</v>
      </c>
      <c r="H78" t="s">
        <v>241</v>
      </c>
      <c r="I78" t="s">
        <v>242</v>
      </c>
      <c r="J78">
        <v>5</v>
      </c>
      <c r="K78">
        <v>5</v>
      </c>
      <c r="L78" t="s">
        <v>243</v>
      </c>
      <c r="M78" t="s">
        <v>244</v>
      </c>
      <c r="N78" t="s">
        <v>245</v>
      </c>
      <c r="O78" t="s">
        <v>245</v>
      </c>
      <c r="P78" t="s">
        <v>83</v>
      </c>
      <c r="Q78" t="s">
        <v>262</v>
      </c>
      <c r="R78">
        <v>1</v>
      </c>
      <c r="S78" t="s">
        <v>85</v>
      </c>
      <c r="T78" t="s">
        <v>86</v>
      </c>
      <c r="U78" t="s">
        <v>87</v>
      </c>
      <c r="V78">
        <v>1</v>
      </c>
      <c r="W78" t="s">
        <v>263</v>
      </c>
      <c r="X78" t="s">
        <v>245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50</v>
      </c>
      <c r="AH78">
        <v>20</v>
      </c>
      <c r="AI78">
        <v>30</v>
      </c>
      <c r="AJ78">
        <v>2.67619870139079E-2</v>
      </c>
      <c r="AK78">
        <v>2.6463098163750998E-3</v>
      </c>
      <c r="AL78">
        <v>0.96431618051664525</v>
      </c>
      <c r="AM78">
        <v>-2.020735331013237</v>
      </c>
      <c r="AN78">
        <v>4.9444545714894001E-3</v>
      </c>
      <c r="AO78">
        <v>0.96409686683624396</v>
      </c>
      <c r="AP78">
        <v>4.9444545714894001E-3</v>
      </c>
      <c r="AQ78">
        <v>4.9444545714894001E-3</v>
      </c>
      <c r="AR78">
        <v>0.96409686683624396</v>
      </c>
      <c r="AS78">
        <v>0.25692313941752781</v>
      </c>
      <c r="AT78">
        <v>-0.86559418313739034</v>
      </c>
      <c r="AU78">
        <v>0.2</v>
      </c>
      <c r="AV78" t="s">
        <v>92</v>
      </c>
      <c r="AW78">
        <v>4.9444545714894001E-3</v>
      </c>
      <c r="AX78">
        <v>0.96409686683624396</v>
      </c>
      <c r="AY78">
        <v>4.9444545714894001E-3</v>
      </c>
      <c r="AZ78">
        <v>4.9444545714894001E-3</v>
      </c>
      <c r="BA78">
        <v>0.96409686683624396</v>
      </c>
      <c r="BB78">
        <v>0.25692313941752781</v>
      </c>
      <c r="BC78">
        <v>-0.86559418313739034</v>
      </c>
      <c r="BY78" t="str">
        <f t="shared" si="1"/>
        <v>theta</v>
      </c>
    </row>
    <row r="79" spans="1:77" x14ac:dyDescent="0.3">
      <c r="A79" t="s">
        <v>288</v>
      </c>
      <c r="B79" t="s">
        <v>289</v>
      </c>
      <c r="C79">
        <v>4</v>
      </c>
      <c r="D79" t="s">
        <v>95</v>
      </c>
      <c r="E79" t="s">
        <v>79</v>
      </c>
      <c r="F79">
        <v>16590</v>
      </c>
      <c r="G79">
        <v>4.5</v>
      </c>
      <c r="H79" t="s">
        <v>241</v>
      </c>
      <c r="I79" t="s">
        <v>242</v>
      </c>
      <c r="J79">
        <v>5</v>
      </c>
      <c r="K79">
        <v>5</v>
      </c>
      <c r="L79" t="s">
        <v>243</v>
      </c>
      <c r="M79" t="s">
        <v>244</v>
      </c>
      <c r="N79" t="s">
        <v>245</v>
      </c>
      <c r="O79" t="s">
        <v>245</v>
      </c>
      <c r="P79" t="s">
        <v>83</v>
      </c>
      <c r="Q79" t="s">
        <v>266</v>
      </c>
      <c r="R79">
        <v>1</v>
      </c>
      <c r="S79" t="s">
        <v>85</v>
      </c>
      <c r="T79" t="s">
        <v>86</v>
      </c>
      <c r="U79" t="s">
        <v>87</v>
      </c>
      <c r="V79">
        <v>1</v>
      </c>
      <c r="W79" t="s">
        <v>267</v>
      </c>
      <c r="X79" t="s">
        <v>245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50</v>
      </c>
      <c r="AH79">
        <v>20</v>
      </c>
      <c r="AI79">
        <v>30</v>
      </c>
      <c r="AJ79">
        <v>5.78066489011013E-2</v>
      </c>
      <c r="AK79">
        <v>8.6639202858959999E-3</v>
      </c>
      <c r="AL79">
        <v>0.88317249719325486</v>
      </c>
      <c r="AM79">
        <v>-2.979390494752959</v>
      </c>
      <c r="AN79">
        <v>1.1573620783028199E-2</v>
      </c>
      <c r="AO79">
        <v>0.91596054890343437</v>
      </c>
      <c r="AP79">
        <v>1.1573620783028199E-2</v>
      </c>
      <c r="AQ79">
        <v>1.1573620783028199E-2</v>
      </c>
      <c r="AR79">
        <v>0.91596054890343437</v>
      </c>
      <c r="AS79">
        <v>0.33778736216662231</v>
      </c>
      <c r="AT79">
        <v>-1.4527729943828549</v>
      </c>
      <c r="AU79">
        <v>0.2</v>
      </c>
      <c r="AV79" t="s">
        <v>92</v>
      </c>
      <c r="AW79">
        <v>1.1573620783028199E-2</v>
      </c>
      <c r="AX79">
        <v>0.91596054890343437</v>
      </c>
      <c r="AY79">
        <v>1.1573620783028199E-2</v>
      </c>
      <c r="AZ79">
        <v>1.1573620783028199E-2</v>
      </c>
      <c r="BA79">
        <v>0.91596054890343437</v>
      </c>
      <c r="BB79">
        <v>0.33778736216662231</v>
      </c>
      <c r="BC79">
        <v>-1.4527729943828549</v>
      </c>
      <c r="BY79" t="str">
        <f t="shared" si="1"/>
        <v>lambda</v>
      </c>
    </row>
    <row r="80" spans="1:77" x14ac:dyDescent="0.3">
      <c r="A80" t="s">
        <v>290</v>
      </c>
      <c r="B80" t="s">
        <v>291</v>
      </c>
      <c r="C80">
        <v>4</v>
      </c>
      <c r="D80" t="s">
        <v>95</v>
      </c>
      <c r="E80" t="s">
        <v>79</v>
      </c>
      <c r="F80">
        <v>16590</v>
      </c>
      <c r="G80">
        <v>4.5</v>
      </c>
      <c r="H80" t="s">
        <v>241</v>
      </c>
      <c r="I80" t="s">
        <v>242</v>
      </c>
      <c r="J80">
        <v>5</v>
      </c>
      <c r="K80">
        <v>5</v>
      </c>
      <c r="L80" t="s">
        <v>243</v>
      </c>
      <c r="M80" t="s">
        <v>244</v>
      </c>
      <c r="N80" t="s">
        <v>245</v>
      </c>
      <c r="O80" t="s">
        <v>245</v>
      </c>
      <c r="P80" t="s">
        <v>83</v>
      </c>
      <c r="Q80" t="s">
        <v>249</v>
      </c>
      <c r="R80">
        <v>1</v>
      </c>
      <c r="S80" t="s">
        <v>85</v>
      </c>
      <c r="T80" t="s">
        <v>86</v>
      </c>
      <c r="U80" t="s">
        <v>87</v>
      </c>
      <c r="V80">
        <v>1</v>
      </c>
      <c r="W80" t="s">
        <v>250</v>
      </c>
      <c r="X80" t="s">
        <v>245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50</v>
      </c>
      <c r="AH80">
        <v>20</v>
      </c>
      <c r="AI80">
        <v>30</v>
      </c>
      <c r="AJ80">
        <v>5.7199536293765701E-2</v>
      </c>
      <c r="AK80">
        <v>1.21598314830397E-2</v>
      </c>
      <c r="AL80">
        <v>0.83603233872927452</v>
      </c>
      <c r="AM80">
        <v>-3.6802391747726579</v>
      </c>
      <c r="AN80">
        <v>2.4849394188784998E-2</v>
      </c>
      <c r="AO80">
        <v>0.81956126895309622</v>
      </c>
      <c r="AP80">
        <v>2.4849394188784998E-2</v>
      </c>
      <c r="AQ80">
        <v>2.4849394188784998E-2</v>
      </c>
      <c r="AR80">
        <v>0.81956126895309622</v>
      </c>
      <c r="AS80">
        <v>0.3912420157487993</v>
      </c>
      <c r="AT80">
        <v>-1.8409228940400839</v>
      </c>
      <c r="AU80">
        <v>0.2</v>
      </c>
      <c r="AV80" t="s">
        <v>92</v>
      </c>
      <c r="AW80">
        <v>2.4849394188784998E-2</v>
      </c>
      <c r="AX80">
        <v>0.81956126895309622</v>
      </c>
      <c r="AY80">
        <v>2.4849394188784998E-2</v>
      </c>
      <c r="AZ80">
        <v>2.4849394188784998E-2</v>
      </c>
      <c r="BA80">
        <v>0.81956126895309622</v>
      </c>
      <c r="BB80">
        <v>0.3912420157487993</v>
      </c>
      <c r="BC80">
        <v>-1.8409228940400839</v>
      </c>
      <c r="BY80" t="str">
        <f t="shared" si="1"/>
        <v>lambda</v>
      </c>
    </row>
    <row r="81" spans="1:77" x14ac:dyDescent="0.3">
      <c r="A81" t="s">
        <v>292</v>
      </c>
      <c r="B81" t="s">
        <v>293</v>
      </c>
      <c r="C81">
        <v>4</v>
      </c>
      <c r="D81" t="s">
        <v>78</v>
      </c>
      <c r="E81" t="s">
        <v>79</v>
      </c>
      <c r="F81">
        <v>16590</v>
      </c>
      <c r="G81">
        <v>4.5</v>
      </c>
      <c r="H81" t="s">
        <v>241</v>
      </c>
      <c r="I81" t="s">
        <v>242</v>
      </c>
      <c r="J81">
        <v>5</v>
      </c>
      <c r="K81">
        <v>5</v>
      </c>
      <c r="L81" t="s">
        <v>243</v>
      </c>
      <c r="M81" t="s">
        <v>244</v>
      </c>
      <c r="N81" t="s">
        <v>245</v>
      </c>
      <c r="O81" t="s">
        <v>245</v>
      </c>
      <c r="P81" t="s">
        <v>83</v>
      </c>
      <c r="Q81" t="s">
        <v>246</v>
      </c>
      <c r="R81">
        <v>1</v>
      </c>
      <c r="S81" t="s">
        <v>85</v>
      </c>
      <c r="T81" t="s">
        <v>86</v>
      </c>
      <c r="U81" t="s">
        <v>87</v>
      </c>
      <c r="V81">
        <v>1</v>
      </c>
      <c r="W81" t="s">
        <v>247</v>
      </c>
      <c r="X81" t="s">
        <v>245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50</v>
      </c>
      <c r="AH81">
        <v>20</v>
      </c>
      <c r="AI81">
        <v>30</v>
      </c>
      <c r="AJ81">
        <v>6.8925807087228202E-2</v>
      </c>
      <c r="AK81">
        <v>1.3721784316036399E-2</v>
      </c>
      <c r="AL81">
        <v>0.81497038952390344</v>
      </c>
      <c r="AM81">
        <v>-0.3773681869260283</v>
      </c>
      <c r="AN81">
        <v>3.4897353667638298E-2</v>
      </c>
      <c r="AO81">
        <v>0.74660009154164642</v>
      </c>
      <c r="AP81">
        <v>3.4897353667638298E-2</v>
      </c>
      <c r="AQ81">
        <v>3.4897353667638298E-2</v>
      </c>
      <c r="AR81">
        <v>0.74660009154164642</v>
      </c>
      <c r="AS81">
        <v>0.15850949369052861</v>
      </c>
      <c r="AT81">
        <v>-0.15098387039610009</v>
      </c>
      <c r="AU81">
        <v>0.2</v>
      </c>
      <c r="AV81" t="s">
        <v>92</v>
      </c>
      <c r="AW81">
        <v>3.4897353667638298E-2</v>
      </c>
      <c r="AX81">
        <v>0.74660009154164642</v>
      </c>
      <c r="AY81">
        <v>3.4897353667638298E-2</v>
      </c>
      <c r="AZ81">
        <v>3.4897353667638298E-2</v>
      </c>
      <c r="BA81">
        <v>0.74660009154164642</v>
      </c>
      <c r="BB81">
        <v>0.15850949369052861</v>
      </c>
      <c r="BC81">
        <v>-0.15098387039610009</v>
      </c>
      <c r="BY81" t="str">
        <f t="shared" si="1"/>
        <v>phi</v>
      </c>
    </row>
    <row r="82" spans="1:77" x14ac:dyDescent="0.3">
      <c r="A82" t="s">
        <v>294</v>
      </c>
      <c r="B82" t="s">
        <v>295</v>
      </c>
      <c r="C82">
        <v>4</v>
      </c>
      <c r="D82" t="s">
        <v>78</v>
      </c>
      <c r="E82" t="s">
        <v>79</v>
      </c>
      <c r="F82">
        <v>16590</v>
      </c>
      <c r="G82">
        <v>4.5</v>
      </c>
      <c r="H82" t="s">
        <v>241</v>
      </c>
      <c r="I82" t="s">
        <v>242</v>
      </c>
      <c r="J82">
        <v>5</v>
      </c>
      <c r="K82">
        <v>5</v>
      </c>
      <c r="L82" t="s">
        <v>243</v>
      </c>
      <c r="M82" t="s">
        <v>244</v>
      </c>
      <c r="N82" t="s">
        <v>245</v>
      </c>
      <c r="O82" t="s">
        <v>245</v>
      </c>
      <c r="P82" t="s">
        <v>83</v>
      </c>
      <c r="Q82" t="s">
        <v>253</v>
      </c>
      <c r="R82">
        <v>1</v>
      </c>
      <c r="S82" t="s">
        <v>85</v>
      </c>
      <c r="T82" t="s">
        <v>86</v>
      </c>
      <c r="U82" t="s">
        <v>87</v>
      </c>
      <c r="V82">
        <v>1</v>
      </c>
      <c r="W82" t="s">
        <v>254</v>
      </c>
      <c r="X82" t="s">
        <v>245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50</v>
      </c>
      <c r="AH82">
        <v>20</v>
      </c>
      <c r="AI82">
        <v>30</v>
      </c>
      <c r="AJ82">
        <v>4.1721321904571201E-2</v>
      </c>
      <c r="AK82">
        <v>7.1116363966016996E-3</v>
      </c>
      <c r="AL82">
        <v>0.90410406678867439</v>
      </c>
      <c r="AM82">
        <v>-4.4508715736486488</v>
      </c>
      <c r="AN82">
        <v>1.52751308105334E-2</v>
      </c>
      <c r="AO82">
        <v>0.88908280020476127</v>
      </c>
      <c r="AP82">
        <v>1.52751308105334E-2</v>
      </c>
      <c r="AQ82">
        <v>1.52751308105334E-2</v>
      </c>
      <c r="AR82">
        <v>0.88908280020476127</v>
      </c>
      <c r="AS82">
        <v>0.44542792035812118</v>
      </c>
      <c r="AT82">
        <v>-2.2343826216316418</v>
      </c>
      <c r="AU82">
        <v>0.2</v>
      </c>
      <c r="AV82" t="s">
        <v>92</v>
      </c>
      <c r="AW82">
        <v>1.52751308105334E-2</v>
      </c>
      <c r="AX82">
        <v>0.88908280020476127</v>
      </c>
      <c r="AY82">
        <v>1.52751308105334E-2</v>
      </c>
      <c r="AZ82">
        <v>1.52751308105334E-2</v>
      </c>
      <c r="BA82">
        <v>0.88908280020476127</v>
      </c>
      <c r="BB82">
        <v>0.44542792035812118</v>
      </c>
      <c r="BC82">
        <v>-2.2343826216316418</v>
      </c>
      <c r="BY82" t="str">
        <f t="shared" si="1"/>
        <v>phi</v>
      </c>
    </row>
    <row r="83" spans="1:77" x14ac:dyDescent="0.3">
      <c r="A83" t="s">
        <v>296</v>
      </c>
      <c r="B83" t="s">
        <v>297</v>
      </c>
      <c r="C83">
        <v>4</v>
      </c>
      <c r="D83" t="s">
        <v>95</v>
      </c>
      <c r="E83" t="s">
        <v>79</v>
      </c>
      <c r="F83">
        <v>16590</v>
      </c>
      <c r="G83">
        <v>4.5</v>
      </c>
      <c r="H83" t="s">
        <v>241</v>
      </c>
      <c r="I83" t="s">
        <v>242</v>
      </c>
      <c r="J83">
        <v>5</v>
      </c>
      <c r="K83">
        <v>5</v>
      </c>
      <c r="L83" t="s">
        <v>243</v>
      </c>
      <c r="M83" t="s">
        <v>244</v>
      </c>
      <c r="N83" t="s">
        <v>245</v>
      </c>
      <c r="O83" t="s">
        <v>245</v>
      </c>
      <c r="P83" t="s">
        <v>83</v>
      </c>
      <c r="Q83" t="s">
        <v>258</v>
      </c>
      <c r="R83">
        <v>1</v>
      </c>
      <c r="S83" t="s">
        <v>85</v>
      </c>
      <c r="T83" t="s">
        <v>86</v>
      </c>
      <c r="U83" t="s">
        <v>87</v>
      </c>
      <c r="V83">
        <v>1</v>
      </c>
      <c r="W83" t="s">
        <v>259</v>
      </c>
      <c r="X83" t="s">
        <v>245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50</v>
      </c>
      <c r="AH83">
        <v>20</v>
      </c>
      <c r="AI83">
        <v>30</v>
      </c>
      <c r="AJ83">
        <v>3.71034780613166E-2</v>
      </c>
      <c r="AK83">
        <v>3.1577606183996998E-3</v>
      </c>
      <c r="AL83">
        <v>0.95741958890022583</v>
      </c>
      <c r="AM83">
        <v>-2.3574406668050001</v>
      </c>
      <c r="AN83">
        <v>3.9866886802030002E-3</v>
      </c>
      <c r="AO83">
        <v>0.97105148555856735</v>
      </c>
      <c r="AP83">
        <v>3.9866886802030002E-3</v>
      </c>
      <c r="AQ83">
        <v>3.9866886802030002E-3</v>
      </c>
      <c r="AR83">
        <v>0.97105148555856735</v>
      </c>
      <c r="AS83">
        <v>0.26167105349634678</v>
      </c>
      <c r="AT83">
        <v>-0.90007017820565083</v>
      </c>
      <c r="AU83">
        <v>0.2</v>
      </c>
      <c r="AV83" t="s">
        <v>92</v>
      </c>
      <c r="AW83">
        <v>3.9866886802030002E-3</v>
      </c>
      <c r="AX83">
        <v>0.97105148555856735</v>
      </c>
      <c r="AY83">
        <v>3.9866886802030002E-3</v>
      </c>
      <c r="AZ83">
        <v>3.9866886802030002E-3</v>
      </c>
      <c r="BA83">
        <v>0.97105148555856735</v>
      </c>
      <c r="BB83">
        <v>0.26167105349634678</v>
      </c>
      <c r="BC83">
        <v>-0.90007017820565083</v>
      </c>
      <c r="BY83" t="str">
        <f t="shared" si="1"/>
        <v>theta</v>
      </c>
    </row>
    <row r="84" spans="1:77" x14ac:dyDescent="0.3">
      <c r="A84" t="s">
        <v>298</v>
      </c>
      <c r="B84" t="s">
        <v>299</v>
      </c>
      <c r="C84">
        <v>4</v>
      </c>
      <c r="D84" t="s">
        <v>95</v>
      </c>
      <c r="E84" t="s">
        <v>79</v>
      </c>
      <c r="F84">
        <v>16590</v>
      </c>
      <c r="G84">
        <v>4.5</v>
      </c>
      <c r="H84" t="s">
        <v>241</v>
      </c>
      <c r="I84" t="s">
        <v>242</v>
      </c>
      <c r="J84">
        <v>5</v>
      </c>
      <c r="K84">
        <v>5</v>
      </c>
      <c r="L84" t="s">
        <v>243</v>
      </c>
      <c r="M84" t="s">
        <v>244</v>
      </c>
      <c r="N84" t="s">
        <v>245</v>
      </c>
      <c r="O84" t="s">
        <v>245</v>
      </c>
      <c r="P84" t="s">
        <v>83</v>
      </c>
      <c r="Q84" t="s">
        <v>262</v>
      </c>
      <c r="R84">
        <v>1</v>
      </c>
      <c r="S84" t="s">
        <v>85</v>
      </c>
      <c r="T84" t="s">
        <v>86</v>
      </c>
      <c r="U84" t="s">
        <v>87</v>
      </c>
      <c r="V84">
        <v>1</v>
      </c>
      <c r="W84" t="s">
        <v>263</v>
      </c>
      <c r="X84" t="s">
        <v>245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50</v>
      </c>
      <c r="AH84">
        <v>20</v>
      </c>
      <c r="AI84">
        <v>30</v>
      </c>
      <c r="AJ84">
        <v>3.1519097878912897E-2</v>
      </c>
      <c r="AK84">
        <v>4.4824463222737998E-3</v>
      </c>
      <c r="AL84">
        <v>0.93955703734381979</v>
      </c>
      <c r="AM84">
        <v>-4.1848272183227646</v>
      </c>
      <c r="AN84">
        <v>8.3128831487221996E-3</v>
      </c>
      <c r="AO84">
        <v>0.93963772012705282</v>
      </c>
      <c r="AP84">
        <v>8.3128831487221996E-3</v>
      </c>
      <c r="AQ84">
        <v>8.3128831487221996E-3</v>
      </c>
      <c r="AR84">
        <v>0.93963772012705282</v>
      </c>
      <c r="AS84">
        <v>0.4260765382453886</v>
      </c>
      <c r="AT84">
        <v>-2.093866566958523</v>
      </c>
      <c r="AU84">
        <v>0.2</v>
      </c>
      <c r="AV84" t="s">
        <v>92</v>
      </c>
      <c r="AW84">
        <v>8.3128831487221996E-3</v>
      </c>
      <c r="AX84">
        <v>0.93963772012705282</v>
      </c>
      <c r="AY84">
        <v>8.3128831487221996E-3</v>
      </c>
      <c r="AZ84">
        <v>8.3128831487221996E-3</v>
      </c>
      <c r="BA84">
        <v>0.93963772012705282</v>
      </c>
      <c r="BB84">
        <v>0.4260765382453886</v>
      </c>
      <c r="BC84">
        <v>-2.093866566958523</v>
      </c>
      <c r="BY84" t="str">
        <f t="shared" si="1"/>
        <v>theta</v>
      </c>
    </row>
    <row r="85" spans="1:77" x14ac:dyDescent="0.3">
      <c r="A85" t="s">
        <v>300</v>
      </c>
      <c r="B85" t="s">
        <v>301</v>
      </c>
      <c r="C85">
        <v>5</v>
      </c>
      <c r="D85" t="s">
        <v>95</v>
      </c>
      <c r="E85" t="s">
        <v>79</v>
      </c>
      <c r="F85">
        <v>16590</v>
      </c>
      <c r="G85">
        <v>4.5</v>
      </c>
      <c r="H85" t="s">
        <v>241</v>
      </c>
      <c r="I85" t="s">
        <v>242</v>
      </c>
      <c r="J85">
        <v>5</v>
      </c>
      <c r="K85">
        <v>5</v>
      </c>
      <c r="L85" t="s">
        <v>243</v>
      </c>
      <c r="M85" t="s">
        <v>244</v>
      </c>
      <c r="N85" t="s">
        <v>245</v>
      </c>
      <c r="O85" t="s">
        <v>245</v>
      </c>
      <c r="P85" t="s">
        <v>83</v>
      </c>
      <c r="Q85" t="s">
        <v>266</v>
      </c>
      <c r="R85">
        <v>1</v>
      </c>
      <c r="S85" t="s">
        <v>85</v>
      </c>
      <c r="T85" t="s">
        <v>86</v>
      </c>
      <c r="U85" t="s">
        <v>87</v>
      </c>
      <c r="V85">
        <v>1</v>
      </c>
      <c r="W85" t="s">
        <v>267</v>
      </c>
      <c r="X85" t="s">
        <v>245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50</v>
      </c>
      <c r="AH85">
        <v>20</v>
      </c>
      <c r="AI85">
        <v>30</v>
      </c>
      <c r="AJ85">
        <v>5.0196923442521697E-2</v>
      </c>
      <c r="AK85">
        <v>1.2200807290801301E-2</v>
      </c>
      <c r="AL85">
        <v>0.83547980579518555</v>
      </c>
      <c r="AM85">
        <v>-3.1038976805017779</v>
      </c>
      <c r="AN85">
        <v>1.9881665676896899E-2</v>
      </c>
      <c r="AO85">
        <v>0.85563340101638685</v>
      </c>
      <c r="AP85">
        <v>1.9881665676896899E-2</v>
      </c>
      <c r="AQ85">
        <v>1.9881665676896899E-2</v>
      </c>
      <c r="AR85">
        <v>0.85563340101638685</v>
      </c>
      <c r="AS85">
        <v>0.3518643226906637</v>
      </c>
      <c r="AT85">
        <v>-1.554989928713663</v>
      </c>
      <c r="AU85">
        <v>0.2</v>
      </c>
      <c r="AV85" t="s">
        <v>92</v>
      </c>
      <c r="AW85">
        <v>1.9881665676896899E-2</v>
      </c>
      <c r="AX85">
        <v>0.85563340101638685</v>
      </c>
      <c r="AY85">
        <v>1.9881665676896899E-2</v>
      </c>
      <c r="AZ85">
        <v>1.9881665676896899E-2</v>
      </c>
      <c r="BA85">
        <v>0.85563340101638685</v>
      </c>
      <c r="BB85">
        <v>0.3518643226906637</v>
      </c>
      <c r="BC85">
        <v>-1.554989928713663</v>
      </c>
      <c r="BY85" t="str">
        <f t="shared" si="1"/>
        <v>lambda</v>
      </c>
    </row>
    <row r="86" spans="1:77" x14ac:dyDescent="0.3">
      <c r="A86" t="s">
        <v>302</v>
      </c>
      <c r="B86" t="s">
        <v>303</v>
      </c>
      <c r="C86">
        <v>5</v>
      </c>
      <c r="D86" t="s">
        <v>78</v>
      </c>
      <c r="E86" t="s">
        <v>79</v>
      </c>
      <c r="F86">
        <v>16590</v>
      </c>
      <c r="G86">
        <v>4.5</v>
      </c>
      <c r="H86" t="s">
        <v>241</v>
      </c>
      <c r="I86" t="s">
        <v>242</v>
      </c>
      <c r="J86">
        <v>5</v>
      </c>
      <c r="K86">
        <v>5</v>
      </c>
      <c r="L86" t="s">
        <v>243</v>
      </c>
      <c r="M86" t="s">
        <v>244</v>
      </c>
      <c r="N86" t="s">
        <v>245</v>
      </c>
      <c r="O86" t="s">
        <v>245</v>
      </c>
      <c r="P86" t="s">
        <v>83</v>
      </c>
      <c r="Q86" t="s">
        <v>249</v>
      </c>
      <c r="R86">
        <v>1</v>
      </c>
      <c r="S86" t="s">
        <v>85</v>
      </c>
      <c r="T86" t="s">
        <v>86</v>
      </c>
      <c r="U86" t="s">
        <v>87</v>
      </c>
      <c r="V86">
        <v>1</v>
      </c>
      <c r="W86" t="s">
        <v>250</v>
      </c>
      <c r="X86" t="s">
        <v>245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50</v>
      </c>
      <c r="AH86">
        <v>20</v>
      </c>
      <c r="AI86">
        <v>30</v>
      </c>
      <c r="AJ86">
        <v>5.88544808159773E-2</v>
      </c>
      <c r="AK86">
        <v>6.6297643559473998E-3</v>
      </c>
      <c r="AL86">
        <v>0.91060180745621877</v>
      </c>
      <c r="AM86">
        <v>-3.3179672862364642</v>
      </c>
      <c r="AN86">
        <v>1.3489828045643901E-2</v>
      </c>
      <c r="AO86">
        <v>0.90204640660030755</v>
      </c>
      <c r="AP86">
        <v>1.3489828045643901E-2</v>
      </c>
      <c r="AQ86">
        <v>1.3489828045643901E-2</v>
      </c>
      <c r="AR86">
        <v>0.90204640660030755</v>
      </c>
      <c r="AS86">
        <v>0.36557718208270468</v>
      </c>
      <c r="AT86">
        <v>-1.6545630180584801</v>
      </c>
      <c r="AU86">
        <v>0.2</v>
      </c>
      <c r="AV86" t="s">
        <v>92</v>
      </c>
      <c r="AW86">
        <v>1.3489828045643901E-2</v>
      </c>
      <c r="AX86">
        <v>0.90204640660030755</v>
      </c>
      <c r="AY86">
        <v>1.3489828045643901E-2</v>
      </c>
      <c r="AZ86">
        <v>1.3489828045643901E-2</v>
      </c>
      <c r="BA86">
        <v>0.90204640660030755</v>
      </c>
      <c r="BB86">
        <v>0.36557718208270468</v>
      </c>
      <c r="BC86">
        <v>-1.6545630180584801</v>
      </c>
      <c r="BY86" t="str">
        <f t="shared" si="1"/>
        <v>lambda</v>
      </c>
    </row>
    <row r="87" spans="1:77" x14ac:dyDescent="0.3">
      <c r="A87" t="s">
        <v>304</v>
      </c>
      <c r="B87" t="s">
        <v>305</v>
      </c>
      <c r="C87">
        <v>5</v>
      </c>
      <c r="D87" t="s">
        <v>95</v>
      </c>
      <c r="E87" t="s">
        <v>79</v>
      </c>
      <c r="F87">
        <v>16590</v>
      </c>
      <c r="G87">
        <v>4.5</v>
      </c>
      <c r="H87" t="s">
        <v>241</v>
      </c>
      <c r="I87" t="s">
        <v>242</v>
      </c>
      <c r="J87">
        <v>5</v>
      </c>
      <c r="K87">
        <v>5</v>
      </c>
      <c r="L87" t="s">
        <v>243</v>
      </c>
      <c r="M87" t="s">
        <v>244</v>
      </c>
      <c r="N87" t="s">
        <v>245</v>
      </c>
      <c r="O87" t="s">
        <v>245</v>
      </c>
      <c r="P87" t="s">
        <v>83</v>
      </c>
      <c r="Q87" t="s">
        <v>246</v>
      </c>
      <c r="R87">
        <v>1</v>
      </c>
      <c r="S87" t="s">
        <v>85</v>
      </c>
      <c r="T87" t="s">
        <v>86</v>
      </c>
      <c r="U87" t="s">
        <v>87</v>
      </c>
      <c r="V87">
        <v>1</v>
      </c>
      <c r="W87" t="s">
        <v>247</v>
      </c>
      <c r="X87" t="s">
        <v>245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50</v>
      </c>
      <c r="AH87">
        <v>20</v>
      </c>
      <c r="AI87">
        <v>30</v>
      </c>
      <c r="AJ87">
        <v>6.2184568859306302E-2</v>
      </c>
      <c r="AK87">
        <v>9.0167292883473003E-3</v>
      </c>
      <c r="AL87">
        <v>0.8784150902268939</v>
      </c>
      <c r="AM87">
        <v>-4.4494700101308817</v>
      </c>
      <c r="AN87">
        <v>2.1002065340660899E-2</v>
      </c>
      <c r="AO87">
        <v>0.84749785082715123</v>
      </c>
      <c r="AP87">
        <v>2.1002065340660899E-2</v>
      </c>
      <c r="AQ87">
        <v>2.1002065340660899E-2</v>
      </c>
      <c r="AR87">
        <v>0.84749785082715123</v>
      </c>
      <c r="AS87">
        <v>0.44787766496017578</v>
      </c>
      <c r="AT87">
        <v>-2.2521709348607519</v>
      </c>
      <c r="AU87">
        <v>0.2</v>
      </c>
      <c r="AV87" t="s">
        <v>92</v>
      </c>
      <c r="AW87">
        <v>2.1002065340660899E-2</v>
      </c>
      <c r="AX87">
        <v>0.84749785082715123</v>
      </c>
      <c r="AY87">
        <v>2.1002065340660899E-2</v>
      </c>
      <c r="AZ87">
        <v>2.1002065340660899E-2</v>
      </c>
      <c r="BA87">
        <v>0.84749785082715123</v>
      </c>
      <c r="BB87">
        <v>0.44787766496017578</v>
      </c>
      <c r="BC87">
        <v>-2.2521709348607519</v>
      </c>
      <c r="BY87" t="str">
        <f t="shared" si="1"/>
        <v>phi</v>
      </c>
    </row>
    <row r="88" spans="1:77" x14ac:dyDescent="0.3">
      <c r="A88" t="s">
        <v>306</v>
      </c>
      <c r="B88" t="s">
        <v>307</v>
      </c>
      <c r="C88">
        <v>5</v>
      </c>
      <c r="D88" t="s">
        <v>95</v>
      </c>
      <c r="E88" t="s">
        <v>79</v>
      </c>
      <c r="F88">
        <v>16590</v>
      </c>
      <c r="G88">
        <v>4.5</v>
      </c>
      <c r="H88" t="s">
        <v>241</v>
      </c>
      <c r="I88" t="s">
        <v>242</v>
      </c>
      <c r="J88">
        <v>5</v>
      </c>
      <c r="K88">
        <v>5</v>
      </c>
      <c r="L88" t="s">
        <v>243</v>
      </c>
      <c r="M88" t="s">
        <v>244</v>
      </c>
      <c r="N88" t="s">
        <v>245</v>
      </c>
      <c r="O88" t="s">
        <v>245</v>
      </c>
      <c r="P88" t="s">
        <v>83</v>
      </c>
      <c r="Q88" t="s">
        <v>253</v>
      </c>
      <c r="R88">
        <v>1</v>
      </c>
      <c r="S88" t="s">
        <v>85</v>
      </c>
      <c r="T88" t="s">
        <v>86</v>
      </c>
      <c r="U88" t="s">
        <v>87</v>
      </c>
      <c r="V88">
        <v>1</v>
      </c>
      <c r="W88" t="s">
        <v>254</v>
      </c>
      <c r="X88" t="s">
        <v>245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50</v>
      </c>
      <c r="AH88">
        <v>20</v>
      </c>
      <c r="AI88">
        <v>30</v>
      </c>
      <c r="AJ88">
        <v>4.6944063251730603E-2</v>
      </c>
      <c r="AK88">
        <v>7.0865749347328996E-3</v>
      </c>
      <c r="AL88">
        <v>0.90444200480174419</v>
      </c>
      <c r="AM88">
        <v>-10.57829376760848</v>
      </c>
      <c r="AN88">
        <v>1.53008537723746E-2</v>
      </c>
      <c r="AO88">
        <v>0.88889601824307074</v>
      </c>
      <c r="AP88">
        <v>1.53008537723746E-2</v>
      </c>
      <c r="AQ88">
        <v>1.53008537723746E-2</v>
      </c>
      <c r="AR88">
        <v>0.88889601824307074</v>
      </c>
      <c r="AS88">
        <v>0.88291400672705245</v>
      </c>
      <c r="AT88">
        <v>-5.4110972600397194</v>
      </c>
      <c r="AU88">
        <v>0.2</v>
      </c>
      <c r="AV88" t="s">
        <v>92</v>
      </c>
      <c r="AW88">
        <v>1.53008537723746E-2</v>
      </c>
      <c r="AX88">
        <v>0.88889601824307074</v>
      </c>
      <c r="AY88">
        <v>1.53008537723746E-2</v>
      </c>
      <c r="AZ88">
        <v>1.53008537723746E-2</v>
      </c>
      <c r="BA88">
        <v>0.88889601824307074</v>
      </c>
      <c r="BB88">
        <v>0.88291400672705245</v>
      </c>
      <c r="BC88">
        <v>-5.4110972600397194</v>
      </c>
      <c r="BY88" t="str">
        <f t="shared" si="1"/>
        <v>phi</v>
      </c>
    </row>
    <row r="89" spans="1:77" x14ac:dyDescent="0.3">
      <c r="A89" t="s">
        <v>308</v>
      </c>
      <c r="B89" t="s">
        <v>309</v>
      </c>
      <c r="C89">
        <v>5</v>
      </c>
      <c r="D89" t="s">
        <v>95</v>
      </c>
      <c r="E89" t="s">
        <v>79</v>
      </c>
      <c r="F89">
        <v>16590</v>
      </c>
      <c r="G89">
        <v>4.5</v>
      </c>
      <c r="H89" t="s">
        <v>241</v>
      </c>
      <c r="I89" t="s">
        <v>242</v>
      </c>
      <c r="J89">
        <v>5</v>
      </c>
      <c r="K89">
        <v>5</v>
      </c>
      <c r="L89" t="s">
        <v>243</v>
      </c>
      <c r="M89" t="s">
        <v>244</v>
      </c>
      <c r="N89" t="s">
        <v>245</v>
      </c>
      <c r="O89" t="s">
        <v>245</v>
      </c>
      <c r="P89" t="s">
        <v>83</v>
      </c>
      <c r="Q89" t="s">
        <v>262</v>
      </c>
      <c r="R89">
        <v>1</v>
      </c>
      <c r="S89" t="s">
        <v>85</v>
      </c>
      <c r="T89" t="s">
        <v>86</v>
      </c>
      <c r="U89" t="s">
        <v>87</v>
      </c>
      <c r="V89">
        <v>1</v>
      </c>
      <c r="W89" t="s">
        <v>263</v>
      </c>
      <c r="X89" t="s">
        <v>245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50</v>
      </c>
      <c r="AH89">
        <v>20</v>
      </c>
      <c r="AI89">
        <v>30</v>
      </c>
      <c r="AJ89">
        <v>3.3359146521690503E-2</v>
      </c>
      <c r="AK89">
        <v>3.2071934111955998E-3</v>
      </c>
      <c r="AL89">
        <v>0.9567530188547344</v>
      </c>
      <c r="AM89">
        <v>-3.723661111432599</v>
      </c>
      <c r="AN89">
        <v>3.9668280052121002E-3</v>
      </c>
      <c r="AO89">
        <v>0.97119569973803044</v>
      </c>
      <c r="AP89">
        <v>3.9668280052121002E-3</v>
      </c>
      <c r="AQ89">
        <v>3.9668280052121002E-3</v>
      </c>
      <c r="AR89">
        <v>0.97119569973803044</v>
      </c>
      <c r="AS89">
        <v>0.39193362545159749</v>
      </c>
      <c r="AT89">
        <v>-1.845944874705068</v>
      </c>
      <c r="AU89">
        <v>0.2</v>
      </c>
      <c r="AV89" t="s">
        <v>92</v>
      </c>
      <c r="AW89">
        <v>3.9668280052121002E-3</v>
      </c>
      <c r="AX89">
        <v>0.97119569973803044</v>
      </c>
      <c r="AY89">
        <v>3.9668280052121002E-3</v>
      </c>
      <c r="AZ89">
        <v>3.9668280052121002E-3</v>
      </c>
      <c r="BA89">
        <v>0.97119569973803044</v>
      </c>
      <c r="BB89">
        <v>0.39193362545159749</v>
      </c>
      <c r="BC89">
        <v>-1.845944874705068</v>
      </c>
      <c r="BY89" t="str">
        <f t="shared" si="1"/>
        <v>theta</v>
      </c>
    </row>
    <row r="90" spans="1:77" x14ac:dyDescent="0.3">
      <c r="A90" t="s">
        <v>310</v>
      </c>
      <c r="B90" t="s">
        <v>311</v>
      </c>
      <c r="C90">
        <v>6</v>
      </c>
      <c r="D90" t="s">
        <v>95</v>
      </c>
      <c r="E90" t="s">
        <v>79</v>
      </c>
      <c r="F90">
        <v>16590</v>
      </c>
      <c r="G90">
        <v>4.5</v>
      </c>
      <c r="H90" t="s">
        <v>241</v>
      </c>
      <c r="I90" t="s">
        <v>242</v>
      </c>
      <c r="J90">
        <v>5</v>
      </c>
      <c r="K90">
        <v>5</v>
      </c>
      <c r="L90" t="s">
        <v>243</v>
      </c>
      <c r="M90" t="s">
        <v>244</v>
      </c>
      <c r="N90" t="s">
        <v>245</v>
      </c>
      <c r="O90" t="s">
        <v>245</v>
      </c>
      <c r="P90" t="s">
        <v>83</v>
      </c>
      <c r="Q90" t="s">
        <v>266</v>
      </c>
      <c r="R90">
        <v>1</v>
      </c>
      <c r="S90" t="s">
        <v>85</v>
      </c>
      <c r="T90" t="s">
        <v>86</v>
      </c>
      <c r="U90" t="s">
        <v>87</v>
      </c>
      <c r="V90">
        <v>1</v>
      </c>
      <c r="W90" t="s">
        <v>267</v>
      </c>
      <c r="X90" t="s">
        <v>245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50</v>
      </c>
      <c r="AH90">
        <v>20</v>
      </c>
      <c r="AI90">
        <v>30</v>
      </c>
      <c r="AJ90">
        <v>5.6433138155235901E-2</v>
      </c>
      <c r="AK90">
        <v>1.0729479728576E-2</v>
      </c>
      <c r="AL90">
        <v>0.85531973035974351</v>
      </c>
      <c r="AM90">
        <v>-1.1480594199516609</v>
      </c>
      <c r="AN90">
        <v>2.5013300277087699E-2</v>
      </c>
      <c r="AO90">
        <v>0.81837109882824299</v>
      </c>
      <c r="AP90">
        <v>2.5013300277087699E-2</v>
      </c>
      <c r="AQ90">
        <v>2.5013300277087699E-2</v>
      </c>
      <c r="AR90">
        <v>0.81837109882824299</v>
      </c>
      <c r="AS90">
        <v>0.21223521934247749</v>
      </c>
      <c r="AT90">
        <v>-0.54110210376481982</v>
      </c>
      <c r="AU90">
        <v>0.2</v>
      </c>
      <c r="AV90" t="s">
        <v>92</v>
      </c>
      <c r="AW90">
        <v>2.5013300277087699E-2</v>
      </c>
      <c r="AX90">
        <v>0.81837109882824299</v>
      </c>
      <c r="AY90">
        <v>2.5013300277087699E-2</v>
      </c>
      <c r="AZ90">
        <v>2.5013300277087699E-2</v>
      </c>
      <c r="BA90">
        <v>0.81837109882824299</v>
      </c>
      <c r="BB90">
        <v>0.21223521934247749</v>
      </c>
      <c r="BC90">
        <v>-0.54110210376481982</v>
      </c>
      <c r="BY90" t="str">
        <f t="shared" si="1"/>
        <v>lambda</v>
      </c>
    </row>
    <row r="91" spans="1:77" x14ac:dyDescent="0.3">
      <c r="A91" t="s">
        <v>312</v>
      </c>
      <c r="B91" t="s">
        <v>313</v>
      </c>
      <c r="C91">
        <v>6</v>
      </c>
      <c r="D91" t="s">
        <v>78</v>
      </c>
      <c r="E91" t="s">
        <v>79</v>
      </c>
      <c r="F91">
        <v>16590</v>
      </c>
      <c r="G91">
        <v>4.5</v>
      </c>
      <c r="H91" t="s">
        <v>241</v>
      </c>
      <c r="I91" t="s">
        <v>242</v>
      </c>
      <c r="J91">
        <v>5</v>
      </c>
      <c r="K91">
        <v>5</v>
      </c>
      <c r="L91" t="s">
        <v>243</v>
      </c>
      <c r="M91" t="s">
        <v>244</v>
      </c>
      <c r="N91" t="s">
        <v>245</v>
      </c>
      <c r="O91" t="s">
        <v>245</v>
      </c>
      <c r="P91" t="s">
        <v>83</v>
      </c>
      <c r="Q91" t="s">
        <v>249</v>
      </c>
      <c r="R91">
        <v>1</v>
      </c>
      <c r="S91" t="s">
        <v>85</v>
      </c>
      <c r="T91" t="s">
        <v>86</v>
      </c>
      <c r="U91" t="s">
        <v>87</v>
      </c>
      <c r="V91">
        <v>1</v>
      </c>
      <c r="W91" t="s">
        <v>250</v>
      </c>
      <c r="X91" t="s">
        <v>245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50</v>
      </c>
      <c r="AH91">
        <v>20</v>
      </c>
      <c r="AI91">
        <v>30</v>
      </c>
      <c r="AJ91">
        <v>5.72518538401392E-2</v>
      </c>
      <c r="AK91">
        <v>1.0126790148221E-2</v>
      </c>
      <c r="AL91">
        <v>0.86344661937961775</v>
      </c>
      <c r="AM91">
        <v>-2.0505058973203041</v>
      </c>
      <c r="AN91">
        <v>2.93135339030813E-2</v>
      </c>
      <c r="AO91">
        <v>0.78714584267975651</v>
      </c>
      <c r="AP91">
        <v>2.93135339030813E-2</v>
      </c>
      <c r="AQ91">
        <v>2.93135339030813E-2</v>
      </c>
      <c r="AR91">
        <v>0.78714584267975651</v>
      </c>
      <c r="AS91">
        <v>0.27489212474458002</v>
      </c>
      <c r="AT91">
        <v>-0.9960722497647464</v>
      </c>
      <c r="AU91">
        <v>0.2</v>
      </c>
      <c r="AV91" t="s">
        <v>92</v>
      </c>
      <c r="AW91">
        <v>2.93135339030813E-2</v>
      </c>
      <c r="AX91">
        <v>0.78714584267975651</v>
      </c>
      <c r="AY91">
        <v>2.93135339030813E-2</v>
      </c>
      <c r="AZ91">
        <v>2.93135339030813E-2</v>
      </c>
      <c r="BA91">
        <v>0.78714584267975651</v>
      </c>
      <c r="BB91">
        <v>0.27489212474458002</v>
      </c>
      <c r="BC91">
        <v>-0.9960722497647464</v>
      </c>
      <c r="BY91" t="str">
        <f t="shared" si="1"/>
        <v>lambda</v>
      </c>
    </row>
    <row r="92" spans="1:77" x14ac:dyDescent="0.3">
      <c r="A92" t="s">
        <v>314</v>
      </c>
      <c r="B92" t="s">
        <v>315</v>
      </c>
      <c r="C92">
        <v>5</v>
      </c>
      <c r="D92" t="s">
        <v>95</v>
      </c>
      <c r="E92" t="s">
        <v>79</v>
      </c>
      <c r="F92">
        <v>16590</v>
      </c>
      <c r="G92">
        <v>4.5</v>
      </c>
      <c r="H92" t="s">
        <v>241</v>
      </c>
      <c r="I92" t="s">
        <v>242</v>
      </c>
      <c r="J92">
        <v>5</v>
      </c>
      <c r="K92">
        <v>5</v>
      </c>
      <c r="L92" t="s">
        <v>243</v>
      </c>
      <c r="M92" t="s">
        <v>244</v>
      </c>
      <c r="N92" t="s">
        <v>245</v>
      </c>
      <c r="O92" t="s">
        <v>245</v>
      </c>
      <c r="P92" t="s">
        <v>83</v>
      </c>
      <c r="Q92" t="s">
        <v>258</v>
      </c>
      <c r="R92">
        <v>1</v>
      </c>
      <c r="S92" t="s">
        <v>85</v>
      </c>
      <c r="T92" t="s">
        <v>86</v>
      </c>
      <c r="U92" t="s">
        <v>87</v>
      </c>
      <c r="V92">
        <v>1</v>
      </c>
      <c r="W92" t="s">
        <v>259</v>
      </c>
      <c r="X92" t="s">
        <v>245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50</v>
      </c>
      <c r="AH92">
        <v>20</v>
      </c>
      <c r="AI92">
        <v>30</v>
      </c>
      <c r="AJ92">
        <v>2.7456384916299099E-2</v>
      </c>
      <c r="AK92">
        <v>2.5444583449679E-3</v>
      </c>
      <c r="AL92">
        <v>0.96568958339537103</v>
      </c>
      <c r="AM92">
        <v>-3.2446142049114099</v>
      </c>
      <c r="AN92">
        <v>3.4410505273454002E-3</v>
      </c>
      <c r="AO92">
        <v>0.97501352403582064</v>
      </c>
      <c r="AP92">
        <v>3.4410505273454002E-3</v>
      </c>
      <c r="AQ92">
        <v>3.4410505273454002E-3</v>
      </c>
      <c r="AR92">
        <v>0.97501352403582064</v>
      </c>
      <c r="AS92">
        <v>0.34855790352521387</v>
      </c>
      <c r="AT92">
        <v>-1.530981050509614</v>
      </c>
      <c r="AU92">
        <v>0.2</v>
      </c>
      <c r="AV92" t="s">
        <v>92</v>
      </c>
      <c r="AW92">
        <v>3.4410505273454002E-3</v>
      </c>
      <c r="AX92">
        <v>0.97501352403582064</v>
      </c>
      <c r="AY92">
        <v>3.4410505273454002E-3</v>
      </c>
      <c r="AZ92">
        <v>3.4410505273454002E-3</v>
      </c>
      <c r="BA92">
        <v>0.97501352403582064</v>
      </c>
      <c r="BB92">
        <v>0.34855790352521387</v>
      </c>
      <c r="BC92">
        <v>-1.530981050509614</v>
      </c>
      <c r="BY92" t="str">
        <f t="shared" si="1"/>
        <v>theta</v>
      </c>
    </row>
    <row r="93" spans="1:77" x14ac:dyDescent="0.3">
      <c r="A93" t="s">
        <v>316</v>
      </c>
      <c r="B93" t="s">
        <v>317</v>
      </c>
      <c r="C93">
        <v>6</v>
      </c>
      <c r="D93" t="s">
        <v>95</v>
      </c>
      <c r="E93" t="s">
        <v>79</v>
      </c>
      <c r="F93">
        <v>16590</v>
      </c>
      <c r="G93">
        <v>4.5</v>
      </c>
      <c r="H93" t="s">
        <v>241</v>
      </c>
      <c r="I93" t="s">
        <v>242</v>
      </c>
      <c r="J93">
        <v>5</v>
      </c>
      <c r="K93">
        <v>5</v>
      </c>
      <c r="L93" t="s">
        <v>243</v>
      </c>
      <c r="M93" t="s">
        <v>244</v>
      </c>
      <c r="N93" t="s">
        <v>245</v>
      </c>
      <c r="O93" t="s">
        <v>245</v>
      </c>
      <c r="P93" t="s">
        <v>83</v>
      </c>
      <c r="Q93" t="s">
        <v>246</v>
      </c>
      <c r="R93">
        <v>1</v>
      </c>
      <c r="S93" t="s">
        <v>85</v>
      </c>
      <c r="T93" t="s">
        <v>86</v>
      </c>
      <c r="U93" t="s">
        <v>87</v>
      </c>
      <c r="V93">
        <v>1</v>
      </c>
      <c r="W93" t="s">
        <v>247</v>
      </c>
      <c r="X93" t="s">
        <v>245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50</v>
      </c>
      <c r="AH93">
        <v>20</v>
      </c>
      <c r="AI93">
        <v>30</v>
      </c>
      <c r="AJ93">
        <v>5.4676241338796998E-2</v>
      </c>
      <c r="AK93">
        <v>8.4127303549591994E-3</v>
      </c>
      <c r="AL93">
        <v>0.88655963504692537</v>
      </c>
      <c r="AM93">
        <v>-4.4281600771372549</v>
      </c>
      <c r="AN93">
        <v>1.9957802222043599E-2</v>
      </c>
      <c r="AO93">
        <v>0.85508055125722549</v>
      </c>
      <c r="AP93">
        <v>1.9957802222043599E-2</v>
      </c>
      <c r="AQ93">
        <v>1.9957802222043599E-2</v>
      </c>
      <c r="AR93">
        <v>0.85508055125722549</v>
      </c>
      <c r="AS93">
        <v>0.45470149254884579</v>
      </c>
      <c r="AT93">
        <v>-2.301720746080623</v>
      </c>
      <c r="AU93">
        <v>0.2</v>
      </c>
      <c r="AV93" t="s">
        <v>92</v>
      </c>
      <c r="AW93">
        <v>1.9957802222043599E-2</v>
      </c>
      <c r="AX93">
        <v>0.85508055125722549</v>
      </c>
      <c r="AY93">
        <v>1.9957802222043599E-2</v>
      </c>
      <c r="AZ93">
        <v>1.9957802222043599E-2</v>
      </c>
      <c r="BA93">
        <v>0.85508055125722549</v>
      </c>
      <c r="BB93">
        <v>0.45470149254884579</v>
      </c>
      <c r="BC93">
        <v>-2.301720746080623</v>
      </c>
      <c r="BY93" t="str">
        <f t="shared" si="1"/>
        <v>phi</v>
      </c>
    </row>
    <row r="94" spans="1:77" x14ac:dyDescent="0.3">
      <c r="A94" t="s">
        <v>318</v>
      </c>
      <c r="B94" t="s">
        <v>319</v>
      </c>
      <c r="C94">
        <v>6</v>
      </c>
      <c r="D94" t="s">
        <v>78</v>
      </c>
      <c r="E94" t="s">
        <v>79</v>
      </c>
      <c r="F94">
        <v>16590</v>
      </c>
      <c r="G94">
        <v>4.5</v>
      </c>
      <c r="H94" t="s">
        <v>241</v>
      </c>
      <c r="I94" t="s">
        <v>242</v>
      </c>
      <c r="J94">
        <v>5</v>
      </c>
      <c r="K94">
        <v>5</v>
      </c>
      <c r="L94" t="s">
        <v>243</v>
      </c>
      <c r="M94" t="s">
        <v>244</v>
      </c>
      <c r="N94" t="s">
        <v>245</v>
      </c>
      <c r="O94" t="s">
        <v>245</v>
      </c>
      <c r="P94" t="s">
        <v>83</v>
      </c>
      <c r="Q94" t="s">
        <v>253</v>
      </c>
      <c r="R94">
        <v>1</v>
      </c>
      <c r="S94" t="s">
        <v>85</v>
      </c>
      <c r="T94" t="s">
        <v>86</v>
      </c>
      <c r="U94" t="s">
        <v>87</v>
      </c>
      <c r="V94">
        <v>1</v>
      </c>
      <c r="W94" t="s">
        <v>254</v>
      </c>
      <c r="X94" t="s">
        <v>245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50</v>
      </c>
      <c r="AH94">
        <v>20</v>
      </c>
      <c r="AI94">
        <v>30</v>
      </c>
      <c r="AJ94">
        <v>6.6894539677885306E-2</v>
      </c>
      <c r="AK94">
        <v>1.65820278106295E-2</v>
      </c>
      <c r="AL94">
        <v>0.77640180926624347</v>
      </c>
      <c r="AM94">
        <v>-2.6646216383946091</v>
      </c>
      <c r="AN94">
        <v>3.25092371675288E-2</v>
      </c>
      <c r="AO94">
        <v>0.76394090506805434</v>
      </c>
      <c r="AP94">
        <v>3.25092371675288E-2</v>
      </c>
      <c r="AQ94">
        <v>3.25092371675288E-2</v>
      </c>
      <c r="AR94">
        <v>0.76394090506805434</v>
      </c>
      <c r="AS94">
        <v>0.31735607035627678</v>
      </c>
      <c r="AT94">
        <v>-1.304415399026605</v>
      </c>
      <c r="AU94">
        <v>0.2</v>
      </c>
      <c r="AV94" t="s">
        <v>92</v>
      </c>
      <c r="AW94">
        <v>3.25092371675288E-2</v>
      </c>
      <c r="AX94">
        <v>0.76394090506805434</v>
      </c>
      <c r="AY94">
        <v>3.25092371675288E-2</v>
      </c>
      <c r="AZ94">
        <v>3.25092371675288E-2</v>
      </c>
      <c r="BA94">
        <v>0.76394090506805434</v>
      </c>
      <c r="BB94">
        <v>0.31735607035627678</v>
      </c>
      <c r="BC94">
        <v>-1.304415399026605</v>
      </c>
      <c r="BY94" t="str">
        <f t="shared" si="1"/>
        <v>phi</v>
      </c>
    </row>
    <row r="95" spans="1:77" x14ac:dyDescent="0.3">
      <c r="A95" t="s">
        <v>320</v>
      </c>
      <c r="B95" t="s">
        <v>321</v>
      </c>
      <c r="C95">
        <v>6</v>
      </c>
      <c r="D95" t="s">
        <v>78</v>
      </c>
      <c r="E95" t="s">
        <v>79</v>
      </c>
      <c r="F95">
        <v>16590</v>
      </c>
      <c r="G95">
        <v>4.5</v>
      </c>
      <c r="H95" t="s">
        <v>241</v>
      </c>
      <c r="I95" t="s">
        <v>242</v>
      </c>
      <c r="J95">
        <v>5</v>
      </c>
      <c r="K95">
        <v>5</v>
      </c>
      <c r="L95" t="s">
        <v>243</v>
      </c>
      <c r="M95" t="s">
        <v>244</v>
      </c>
      <c r="N95" t="s">
        <v>245</v>
      </c>
      <c r="O95" t="s">
        <v>245</v>
      </c>
      <c r="P95" t="s">
        <v>83</v>
      </c>
      <c r="Q95" t="s">
        <v>258</v>
      </c>
      <c r="R95">
        <v>1</v>
      </c>
      <c r="S95" t="s">
        <v>85</v>
      </c>
      <c r="T95" t="s">
        <v>86</v>
      </c>
      <c r="U95" t="s">
        <v>87</v>
      </c>
      <c r="V95">
        <v>1</v>
      </c>
      <c r="W95" t="s">
        <v>259</v>
      </c>
      <c r="X95" t="s">
        <v>245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50</v>
      </c>
      <c r="AH95">
        <v>20</v>
      </c>
      <c r="AI95">
        <v>30</v>
      </c>
      <c r="AJ95">
        <v>3.70703797372674E-2</v>
      </c>
      <c r="AK95">
        <v>3.8373171739921998E-3</v>
      </c>
      <c r="AL95">
        <v>0.94825619718076759</v>
      </c>
      <c r="AM95">
        <v>-1.594665550791873</v>
      </c>
      <c r="AN95">
        <v>8.6158343033695007E-3</v>
      </c>
      <c r="AO95">
        <v>0.93743790304103203</v>
      </c>
      <c r="AP95">
        <v>8.6158343033695007E-3</v>
      </c>
      <c r="AQ95">
        <v>8.6158343033695007E-3</v>
      </c>
      <c r="AR95">
        <v>0.93743790304103203</v>
      </c>
      <c r="AS95">
        <v>0.2356078134592286</v>
      </c>
      <c r="AT95">
        <v>-0.71081735684749825</v>
      </c>
      <c r="AU95">
        <v>0.2</v>
      </c>
      <c r="AV95" t="s">
        <v>92</v>
      </c>
      <c r="AW95">
        <v>8.6158343033695007E-3</v>
      </c>
      <c r="AX95">
        <v>0.93743790304103203</v>
      </c>
      <c r="AY95">
        <v>8.6158343033695007E-3</v>
      </c>
      <c r="AZ95">
        <v>8.6158343033695007E-3</v>
      </c>
      <c r="BA95">
        <v>0.93743790304103203</v>
      </c>
      <c r="BB95">
        <v>0.2356078134592286</v>
      </c>
      <c r="BC95">
        <v>-0.71081735684749825</v>
      </c>
      <c r="BY95" t="str">
        <f t="shared" si="1"/>
        <v>theta</v>
      </c>
    </row>
    <row r="96" spans="1:77" x14ac:dyDescent="0.3">
      <c r="A96" t="s">
        <v>322</v>
      </c>
      <c r="B96" t="s">
        <v>323</v>
      </c>
      <c r="C96">
        <v>6</v>
      </c>
      <c r="D96" t="s">
        <v>95</v>
      </c>
      <c r="E96" t="s">
        <v>79</v>
      </c>
      <c r="F96">
        <v>16590</v>
      </c>
      <c r="G96">
        <v>4.5</v>
      </c>
      <c r="H96" t="s">
        <v>241</v>
      </c>
      <c r="I96" t="s">
        <v>242</v>
      </c>
      <c r="J96">
        <v>5</v>
      </c>
      <c r="K96">
        <v>5</v>
      </c>
      <c r="L96" t="s">
        <v>243</v>
      </c>
      <c r="M96" t="s">
        <v>244</v>
      </c>
      <c r="N96" t="s">
        <v>245</v>
      </c>
      <c r="O96" t="s">
        <v>245</v>
      </c>
      <c r="P96" t="s">
        <v>83</v>
      </c>
      <c r="Q96" t="s">
        <v>262</v>
      </c>
      <c r="R96">
        <v>1</v>
      </c>
      <c r="S96" t="s">
        <v>85</v>
      </c>
      <c r="T96" t="s">
        <v>86</v>
      </c>
      <c r="U96" t="s">
        <v>87</v>
      </c>
      <c r="V96">
        <v>1</v>
      </c>
      <c r="W96" t="s">
        <v>263</v>
      </c>
      <c r="X96" t="s">
        <v>245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50</v>
      </c>
      <c r="AH96">
        <v>20</v>
      </c>
      <c r="AI96">
        <v>30</v>
      </c>
      <c r="AJ96">
        <v>2.9821245100800201E-2</v>
      </c>
      <c r="AK96">
        <v>3.6260064706485E-3</v>
      </c>
      <c r="AL96">
        <v>0.95110558879257301</v>
      </c>
      <c r="AM96">
        <v>-2.4823730864187681</v>
      </c>
      <c r="AN96">
        <v>5.6209694794970002E-3</v>
      </c>
      <c r="AO96">
        <v>0.95918449389838378</v>
      </c>
      <c r="AP96">
        <v>5.6209694794970002E-3</v>
      </c>
      <c r="AQ96">
        <v>5.6209694794970002E-3</v>
      </c>
      <c r="AR96">
        <v>0.95918449389838378</v>
      </c>
      <c r="AS96">
        <v>0.29536999046906831</v>
      </c>
      <c r="AT96">
        <v>-1.144768031955814</v>
      </c>
      <c r="AU96">
        <v>0.2</v>
      </c>
      <c r="AV96" t="s">
        <v>92</v>
      </c>
      <c r="AW96">
        <v>5.6209694794970002E-3</v>
      </c>
      <c r="AX96">
        <v>0.95918449389838378</v>
      </c>
      <c r="AY96">
        <v>5.6209694794970002E-3</v>
      </c>
      <c r="AZ96">
        <v>5.6209694794970002E-3</v>
      </c>
      <c r="BA96">
        <v>0.95918449389838378</v>
      </c>
      <c r="BB96">
        <v>0.29536999046906831</v>
      </c>
      <c r="BC96">
        <v>-1.144768031955814</v>
      </c>
      <c r="BY96" t="str">
        <f t="shared" si="1"/>
        <v>theta</v>
      </c>
    </row>
    <row r="97" spans="1:77" x14ac:dyDescent="0.3">
      <c r="A97" t="s">
        <v>324</v>
      </c>
      <c r="B97" t="s">
        <v>325</v>
      </c>
      <c r="C97">
        <v>7</v>
      </c>
      <c r="D97" t="s">
        <v>78</v>
      </c>
      <c r="E97" t="s">
        <v>79</v>
      </c>
      <c r="F97">
        <v>16590</v>
      </c>
      <c r="G97">
        <v>4.5</v>
      </c>
      <c r="H97" t="s">
        <v>241</v>
      </c>
      <c r="I97" t="s">
        <v>242</v>
      </c>
      <c r="J97">
        <v>5</v>
      </c>
      <c r="K97">
        <v>5</v>
      </c>
      <c r="L97" t="s">
        <v>243</v>
      </c>
      <c r="M97" t="s">
        <v>244</v>
      </c>
      <c r="N97" t="s">
        <v>245</v>
      </c>
      <c r="O97" t="s">
        <v>245</v>
      </c>
      <c r="P97" t="s">
        <v>83</v>
      </c>
      <c r="Q97" t="s">
        <v>266</v>
      </c>
      <c r="R97">
        <v>1</v>
      </c>
      <c r="S97" t="s">
        <v>85</v>
      </c>
      <c r="T97" t="s">
        <v>86</v>
      </c>
      <c r="U97" t="s">
        <v>87</v>
      </c>
      <c r="V97">
        <v>1</v>
      </c>
      <c r="W97" t="s">
        <v>267</v>
      </c>
      <c r="X97" t="s">
        <v>245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50</v>
      </c>
      <c r="AH97">
        <v>20</v>
      </c>
      <c r="AI97">
        <v>30</v>
      </c>
      <c r="AJ97">
        <v>6.0631302469387797E-2</v>
      </c>
      <c r="AK97">
        <v>1.16215991870799E-2</v>
      </c>
      <c r="AL97">
        <v>0.84329006190677025</v>
      </c>
      <c r="AM97">
        <v>-1.5282417682833569</v>
      </c>
      <c r="AN97">
        <v>2.51503419845794E-2</v>
      </c>
      <c r="AO97">
        <v>0.81737599884260725</v>
      </c>
      <c r="AP97">
        <v>2.51503419845794E-2</v>
      </c>
      <c r="AQ97">
        <v>2.51503419845794E-2</v>
      </c>
      <c r="AR97">
        <v>0.81737599884260725</v>
      </c>
      <c r="AS97">
        <v>0.24320735335676061</v>
      </c>
      <c r="AT97">
        <v>-0.76599984239355834</v>
      </c>
      <c r="AU97">
        <v>0.2</v>
      </c>
      <c r="AV97" t="s">
        <v>92</v>
      </c>
      <c r="AW97">
        <v>2.51503419845794E-2</v>
      </c>
      <c r="AX97">
        <v>0.81737599884260725</v>
      </c>
      <c r="AY97">
        <v>2.51503419845794E-2</v>
      </c>
      <c r="AZ97">
        <v>2.51503419845794E-2</v>
      </c>
      <c r="BA97">
        <v>0.81737599884260725</v>
      </c>
      <c r="BB97">
        <v>0.24320735335676061</v>
      </c>
      <c r="BC97">
        <v>-0.76599984239355834</v>
      </c>
      <c r="BY97" t="str">
        <f t="shared" si="1"/>
        <v>lambda</v>
      </c>
    </row>
    <row r="98" spans="1:77" x14ac:dyDescent="0.3">
      <c r="A98" t="s">
        <v>326</v>
      </c>
      <c r="B98" t="s">
        <v>327</v>
      </c>
      <c r="C98">
        <v>7</v>
      </c>
      <c r="D98" t="s">
        <v>95</v>
      </c>
      <c r="E98" t="s">
        <v>79</v>
      </c>
      <c r="F98">
        <v>16590</v>
      </c>
      <c r="G98">
        <v>4.5</v>
      </c>
      <c r="H98" t="s">
        <v>241</v>
      </c>
      <c r="I98" t="s">
        <v>242</v>
      </c>
      <c r="J98">
        <v>5</v>
      </c>
      <c r="K98">
        <v>5</v>
      </c>
      <c r="L98" t="s">
        <v>243</v>
      </c>
      <c r="M98" t="s">
        <v>244</v>
      </c>
      <c r="N98" t="s">
        <v>245</v>
      </c>
      <c r="O98" t="s">
        <v>245</v>
      </c>
      <c r="P98" t="s">
        <v>83</v>
      </c>
      <c r="Q98" t="s">
        <v>249</v>
      </c>
      <c r="R98">
        <v>1</v>
      </c>
      <c r="S98" t="s">
        <v>85</v>
      </c>
      <c r="T98" t="s">
        <v>86</v>
      </c>
      <c r="U98" t="s">
        <v>87</v>
      </c>
      <c r="V98">
        <v>1</v>
      </c>
      <c r="W98" t="s">
        <v>250</v>
      </c>
      <c r="X98" t="s">
        <v>245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50</v>
      </c>
      <c r="AH98">
        <v>20</v>
      </c>
      <c r="AI98">
        <v>30</v>
      </c>
      <c r="AJ98">
        <v>7.2169101162565003E-2</v>
      </c>
      <c r="AK98">
        <v>1.0322668803032901E-2</v>
      </c>
      <c r="AL98">
        <v>0.86080531921298709</v>
      </c>
      <c r="AM98">
        <v>-1.3001383263407591</v>
      </c>
      <c r="AN98">
        <v>2.3603528526093299E-2</v>
      </c>
      <c r="AO98">
        <v>0.82860786451688118</v>
      </c>
      <c r="AP98">
        <v>2.3603528526093299E-2</v>
      </c>
      <c r="AQ98">
        <v>2.3603528526093299E-2</v>
      </c>
      <c r="AR98">
        <v>0.82860786451688118</v>
      </c>
      <c r="AS98">
        <v>0.22311574950612939</v>
      </c>
      <c r="AT98">
        <v>-0.62010882082728092</v>
      </c>
      <c r="AU98">
        <v>0.2</v>
      </c>
      <c r="AV98" t="s">
        <v>92</v>
      </c>
      <c r="AW98">
        <v>2.3603528526093299E-2</v>
      </c>
      <c r="AX98">
        <v>0.82860786451688118</v>
      </c>
      <c r="AY98">
        <v>2.3603528526093299E-2</v>
      </c>
      <c r="AZ98">
        <v>2.3603528526093299E-2</v>
      </c>
      <c r="BA98">
        <v>0.82860786451688118</v>
      </c>
      <c r="BB98">
        <v>0.22311574950612939</v>
      </c>
      <c r="BC98">
        <v>-0.62010882082728092</v>
      </c>
      <c r="BY98" t="str">
        <f t="shared" ref="BY98:BY120" si="2">CHOOSE(MATCH("-1", _xlfn.TAKE(_xlfn.TEXTSPLIT(SUBSTITUTE(SUBSTITUTE(W98,"[",""),"]",""), ", "), 3), 0), "theta", "phi", "lambda")</f>
        <v>lambda</v>
      </c>
    </row>
    <row r="99" spans="1:77" x14ac:dyDescent="0.3">
      <c r="A99" t="s">
        <v>328</v>
      </c>
      <c r="B99" t="s">
        <v>329</v>
      </c>
      <c r="C99">
        <v>7</v>
      </c>
      <c r="D99" t="s">
        <v>78</v>
      </c>
      <c r="E99" t="s">
        <v>79</v>
      </c>
      <c r="F99">
        <v>16590</v>
      </c>
      <c r="G99">
        <v>4.5</v>
      </c>
      <c r="H99" t="s">
        <v>241</v>
      </c>
      <c r="I99" t="s">
        <v>242</v>
      </c>
      <c r="J99">
        <v>5</v>
      </c>
      <c r="K99">
        <v>5</v>
      </c>
      <c r="L99" t="s">
        <v>243</v>
      </c>
      <c r="M99" t="s">
        <v>244</v>
      </c>
      <c r="N99" t="s">
        <v>245</v>
      </c>
      <c r="O99" t="s">
        <v>245</v>
      </c>
      <c r="P99" t="s">
        <v>83</v>
      </c>
      <c r="Q99" t="s">
        <v>246</v>
      </c>
      <c r="R99">
        <v>1</v>
      </c>
      <c r="S99" t="s">
        <v>85</v>
      </c>
      <c r="T99" t="s">
        <v>86</v>
      </c>
      <c r="U99" t="s">
        <v>87</v>
      </c>
      <c r="V99">
        <v>1</v>
      </c>
      <c r="W99" t="s">
        <v>247</v>
      </c>
      <c r="X99" t="s">
        <v>245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50</v>
      </c>
      <c r="AH99">
        <v>20</v>
      </c>
      <c r="AI99">
        <v>30</v>
      </c>
      <c r="AJ99">
        <v>4.8092543491686797E-2</v>
      </c>
      <c r="AK99">
        <v>5.2022583189278004E-3</v>
      </c>
      <c r="AL99">
        <v>0.92985082638106242</v>
      </c>
      <c r="AM99">
        <v>-1.162035446229408</v>
      </c>
      <c r="AN99">
        <v>1.7109828453392598E-2</v>
      </c>
      <c r="AO99">
        <v>0.87576052312962527</v>
      </c>
      <c r="AP99">
        <v>1.7109828453392598E-2</v>
      </c>
      <c r="AQ99">
        <v>1.7109828453392598E-2</v>
      </c>
      <c r="AR99">
        <v>0.87576052312962527</v>
      </c>
      <c r="AS99">
        <v>0.2161580371323987</v>
      </c>
      <c r="AT99">
        <v>-0.56958683296039303</v>
      </c>
      <c r="AU99">
        <v>0.2</v>
      </c>
      <c r="AV99" t="s">
        <v>92</v>
      </c>
      <c r="AW99">
        <v>1.7109828453392598E-2</v>
      </c>
      <c r="AX99">
        <v>0.87576052312962527</v>
      </c>
      <c r="AY99">
        <v>1.7109828453392598E-2</v>
      </c>
      <c r="AZ99">
        <v>1.7109828453392598E-2</v>
      </c>
      <c r="BA99">
        <v>0.87576052312962527</v>
      </c>
      <c r="BB99">
        <v>0.2161580371323987</v>
      </c>
      <c r="BC99">
        <v>-0.56958683296039303</v>
      </c>
      <c r="BY99" t="str">
        <f t="shared" si="2"/>
        <v>phi</v>
      </c>
    </row>
    <row r="100" spans="1:77" x14ac:dyDescent="0.3">
      <c r="A100" t="s">
        <v>330</v>
      </c>
      <c r="B100" t="s">
        <v>331</v>
      </c>
      <c r="C100">
        <v>7</v>
      </c>
      <c r="D100" t="s">
        <v>78</v>
      </c>
      <c r="E100" t="s">
        <v>79</v>
      </c>
      <c r="F100">
        <v>16590</v>
      </c>
      <c r="G100">
        <v>4.5</v>
      </c>
      <c r="H100" t="s">
        <v>241</v>
      </c>
      <c r="I100" t="s">
        <v>242</v>
      </c>
      <c r="J100">
        <v>5</v>
      </c>
      <c r="K100">
        <v>5</v>
      </c>
      <c r="L100" t="s">
        <v>243</v>
      </c>
      <c r="M100" t="s">
        <v>244</v>
      </c>
      <c r="N100" t="s">
        <v>245</v>
      </c>
      <c r="O100" t="s">
        <v>245</v>
      </c>
      <c r="P100" t="s">
        <v>83</v>
      </c>
      <c r="Q100" t="s">
        <v>253</v>
      </c>
      <c r="R100">
        <v>1</v>
      </c>
      <c r="S100" t="s">
        <v>85</v>
      </c>
      <c r="T100" t="s">
        <v>86</v>
      </c>
      <c r="U100" t="s">
        <v>87</v>
      </c>
      <c r="V100">
        <v>1</v>
      </c>
      <c r="W100" t="s">
        <v>254</v>
      </c>
      <c r="X100" t="s">
        <v>245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50</v>
      </c>
      <c r="AH100">
        <v>20</v>
      </c>
      <c r="AI100">
        <v>30</v>
      </c>
      <c r="AJ100">
        <v>4.9436165147274801E-2</v>
      </c>
      <c r="AK100">
        <v>5.8612406085737003E-3</v>
      </c>
      <c r="AL100">
        <v>0.92096486566665881</v>
      </c>
      <c r="AM100">
        <v>-2.0282848891814309</v>
      </c>
      <c r="AN100">
        <v>1.69026258294812E-2</v>
      </c>
      <c r="AO100">
        <v>0.87726508208362386</v>
      </c>
      <c r="AP100">
        <v>1.69026258294812E-2</v>
      </c>
      <c r="AQ100">
        <v>1.69026258294812E-2</v>
      </c>
      <c r="AR100">
        <v>0.87726508208362386</v>
      </c>
      <c r="AS100">
        <v>0.31620467112052297</v>
      </c>
      <c r="AT100">
        <v>-1.296054751863561</v>
      </c>
      <c r="AU100">
        <v>0.2</v>
      </c>
      <c r="AV100" t="s">
        <v>92</v>
      </c>
      <c r="AW100">
        <v>1.69026258294812E-2</v>
      </c>
      <c r="AX100">
        <v>0.87726508208362386</v>
      </c>
      <c r="AY100">
        <v>1.69026258294812E-2</v>
      </c>
      <c r="AZ100">
        <v>1.69026258294812E-2</v>
      </c>
      <c r="BA100">
        <v>0.87726508208362386</v>
      </c>
      <c r="BB100">
        <v>0.31620467112052297</v>
      </c>
      <c r="BC100">
        <v>-1.296054751863561</v>
      </c>
      <c r="BY100" t="str">
        <f t="shared" si="2"/>
        <v>phi</v>
      </c>
    </row>
    <row r="101" spans="1:77" x14ac:dyDescent="0.3">
      <c r="A101" t="s">
        <v>332</v>
      </c>
      <c r="B101" t="s">
        <v>333</v>
      </c>
      <c r="C101">
        <v>7</v>
      </c>
      <c r="D101" t="s">
        <v>95</v>
      </c>
      <c r="E101" t="s">
        <v>79</v>
      </c>
      <c r="F101">
        <v>16590</v>
      </c>
      <c r="G101">
        <v>4.5</v>
      </c>
      <c r="H101" t="s">
        <v>241</v>
      </c>
      <c r="I101" t="s">
        <v>242</v>
      </c>
      <c r="J101">
        <v>5</v>
      </c>
      <c r="K101">
        <v>5</v>
      </c>
      <c r="L101" t="s">
        <v>243</v>
      </c>
      <c r="M101" t="s">
        <v>244</v>
      </c>
      <c r="N101" t="s">
        <v>245</v>
      </c>
      <c r="O101" t="s">
        <v>245</v>
      </c>
      <c r="P101" t="s">
        <v>83</v>
      </c>
      <c r="Q101" t="s">
        <v>258</v>
      </c>
      <c r="R101">
        <v>1</v>
      </c>
      <c r="S101" t="s">
        <v>85</v>
      </c>
      <c r="T101" t="s">
        <v>86</v>
      </c>
      <c r="U101" t="s">
        <v>87</v>
      </c>
      <c r="V101">
        <v>1</v>
      </c>
      <c r="W101" t="s">
        <v>259</v>
      </c>
      <c r="X101" t="s">
        <v>245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50</v>
      </c>
      <c r="AH101">
        <v>20</v>
      </c>
      <c r="AI101">
        <v>30</v>
      </c>
      <c r="AJ101">
        <v>4.6055473048429003E-2</v>
      </c>
      <c r="AK101">
        <v>4.3974424953674004E-3</v>
      </c>
      <c r="AL101">
        <v>0.94070326035820517</v>
      </c>
      <c r="AM101">
        <v>-3.4384469355219069</v>
      </c>
      <c r="AN101">
        <v>5.6876048489069003E-3</v>
      </c>
      <c r="AO101">
        <v>0.95870063495969815</v>
      </c>
      <c r="AP101">
        <v>5.6876048489069003E-3</v>
      </c>
      <c r="AQ101">
        <v>5.6876048489069003E-3</v>
      </c>
      <c r="AR101">
        <v>0.95870063495969815</v>
      </c>
      <c r="AS101">
        <v>0.37447288041810778</v>
      </c>
      <c r="AT101">
        <v>-1.7191572897426011</v>
      </c>
      <c r="AU101">
        <v>0.2</v>
      </c>
      <c r="AV101" t="s">
        <v>92</v>
      </c>
      <c r="AW101">
        <v>5.6876048489069003E-3</v>
      </c>
      <c r="AX101">
        <v>0.95870063495969815</v>
      </c>
      <c r="AY101">
        <v>5.6876048489069003E-3</v>
      </c>
      <c r="AZ101">
        <v>5.6876048489069003E-3</v>
      </c>
      <c r="BA101">
        <v>0.95870063495969815</v>
      </c>
      <c r="BB101">
        <v>0.37447288041810778</v>
      </c>
      <c r="BC101">
        <v>-1.7191572897426011</v>
      </c>
      <c r="BY101" t="str">
        <f t="shared" si="2"/>
        <v>theta</v>
      </c>
    </row>
    <row r="102" spans="1:77" x14ac:dyDescent="0.3">
      <c r="A102" t="s">
        <v>334</v>
      </c>
      <c r="B102" t="s">
        <v>335</v>
      </c>
      <c r="C102">
        <v>7</v>
      </c>
      <c r="D102" t="s">
        <v>78</v>
      </c>
      <c r="E102" t="s">
        <v>79</v>
      </c>
      <c r="F102">
        <v>16590</v>
      </c>
      <c r="G102">
        <v>4.5</v>
      </c>
      <c r="H102" t="s">
        <v>241</v>
      </c>
      <c r="I102" t="s">
        <v>242</v>
      </c>
      <c r="J102">
        <v>5</v>
      </c>
      <c r="K102">
        <v>5</v>
      </c>
      <c r="L102" t="s">
        <v>243</v>
      </c>
      <c r="M102" t="s">
        <v>244</v>
      </c>
      <c r="N102" t="s">
        <v>245</v>
      </c>
      <c r="O102" t="s">
        <v>245</v>
      </c>
      <c r="P102" t="s">
        <v>83</v>
      </c>
      <c r="Q102" t="s">
        <v>262</v>
      </c>
      <c r="R102">
        <v>1</v>
      </c>
      <c r="S102" t="s">
        <v>85</v>
      </c>
      <c r="T102" t="s">
        <v>86</v>
      </c>
      <c r="U102" t="s">
        <v>87</v>
      </c>
      <c r="V102">
        <v>1</v>
      </c>
      <c r="W102" t="s">
        <v>263</v>
      </c>
      <c r="X102" t="s">
        <v>245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50</v>
      </c>
      <c r="AH102">
        <v>20</v>
      </c>
      <c r="AI102">
        <v>30</v>
      </c>
      <c r="AJ102">
        <v>4.0165078697730901E-2</v>
      </c>
      <c r="AK102">
        <v>3.7131005246380001E-3</v>
      </c>
      <c r="AL102">
        <v>0.94993118038377478</v>
      </c>
      <c r="AM102">
        <v>-4.0373329272948846</v>
      </c>
      <c r="AN102">
        <v>4.8015745369415002E-3</v>
      </c>
      <c r="AO102">
        <v>0.965134360625022</v>
      </c>
      <c r="AP102">
        <v>4.8015745369415002E-3</v>
      </c>
      <c r="AQ102">
        <v>4.8015745369415002E-3</v>
      </c>
      <c r="AR102">
        <v>0.965134360625022</v>
      </c>
      <c r="AS102">
        <v>0.41828417117955208</v>
      </c>
      <c r="AT102">
        <v>-2.037283906853038</v>
      </c>
      <c r="AU102">
        <v>0.2</v>
      </c>
      <c r="AV102" t="s">
        <v>92</v>
      </c>
      <c r="AW102">
        <v>4.8015745369415002E-3</v>
      </c>
      <c r="AX102">
        <v>0.965134360625022</v>
      </c>
      <c r="AY102">
        <v>4.8015745369415002E-3</v>
      </c>
      <c r="AZ102">
        <v>4.8015745369415002E-3</v>
      </c>
      <c r="BA102">
        <v>0.965134360625022</v>
      </c>
      <c r="BB102">
        <v>0.41828417117955208</v>
      </c>
      <c r="BC102">
        <v>-2.037283906853038</v>
      </c>
      <c r="BY102" t="str">
        <f t="shared" si="2"/>
        <v>theta</v>
      </c>
    </row>
    <row r="103" spans="1:77" x14ac:dyDescent="0.3">
      <c r="A103" t="s">
        <v>336</v>
      </c>
      <c r="B103" t="s">
        <v>337</v>
      </c>
      <c r="C103">
        <v>8</v>
      </c>
      <c r="D103" t="s">
        <v>78</v>
      </c>
      <c r="E103" t="s">
        <v>79</v>
      </c>
      <c r="F103">
        <v>16590</v>
      </c>
      <c r="G103">
        <v>4.5</v>
      </c>
      <c r="H103" t="s">
        <v>241</v>
      </c>
      <c r="I103" t="s">
        <v>242</v>
      </c>
      <c r="J103">
        <v>5</v>
      </c>
      <c r="K103">
        <v>5</v>
      </c>
      <c r="L103" t="s">
        <v>243</v>
      </c>
      <c r="M103" t="s">
        <v>244</v>
      </c>
      <c r="N103" t="s">
        <v>245</v>
      </c>
      <c r="O103" t="s">
        <v>245</v>
      </c>
      <c r="P103" t="s">
        <v>83</v>
      </c>
      <c r="Q103" t="s">
        <v>266</v>
      </c>
      <c r="R103">
        <v>1</v>
      </c>
      <c r="S103" t="s">
        <v>85</v>
      </c>
      <c r="T103" t="s">
        <v>86</v>
      </c>
      <c r="U103" t="s">
        <v>87</v>
      </c>
      <c r="V103">
        <v>1</v>
      </c>
      <c r="W103" t="s">
        <v>267</v>
      </c>
      <c r="X103" t="s">
        <v>245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50</v>
      </c>
      <c r="AH103">
        <v>20</v>
      </c>
      <c r="AI103">
        <v>30</v>
      </c>
      <c r="AJ103">
        <v>6.2147064932504603E-2</v>
      </c>
      <c r="AK103">
        <v>9.4822456777604001E-3</v>
      </c>
      <c r="AL103">
        <v>0.87213789520476426</v>
      </c>
      <c r="AM103">
        <v>-1.762579297302038</v>
      </c>
      <c r="AN103">
        <v>2.8918970732529699E-2</v>
      </c>
      <c r="AO103">
        <v>0.79001088145178056</v>
      </c>
      <c r="AP103">
        <v>2.8918970732529699E-2</v>
      </c>
      <c r="AQ103">
        <v>2.8918970732529699E-2</v>
      </c>
      <c r="AR103">
        <v>0.79001088145178056</v>
      </c>
      <c r="AS103">
        <v>0.28512669352819597</v>
      </c>
      <c r="AT103">
        <v>-1.0703884520068661</v>
      </c>
      <c r="AU103">
        <v>0.2</v>
      </c>
      <c r="AV103" t="s">
        <v>92</v>
      </c>
      <c r="AW103">
        <v>2.8918970732529699E-2</v>
      </c>
      <c r="AX103">
        <v>0.79001088145178056</v>
      </c>
      <c r="AY103">
        <v>2.8918970732529699E-2</v>
      </c>
      <c r="AZ103">
        <v>2.8918970732529699E-2</v>
      </c>
      <c r="BA103">
        <v>0.79001088145178056</v>
      </c>
      <c r="BB103">
        <v>0.28512669352819597</v>
      </c>
      <c r="BC103">
        <v>-1.0703884520068661</v>
      </c>
      <c r="BY103" t="str">
        <f t="shared" si="2"/>
        <v>lambda</v>
      </c>
    </row>
    <row r="104" spans="1:77" x14ac:dyDescent="0.3">
      <c r="A104" t="s">
        <v>338</v>
      </c>
      <c r="B104" t="s">
        <v>339</v>
      </c>
      <c r="C104">
        <v>8</v>
      </c>
      <c r="D104" t="s">
        <v>95</v>
      </c>
      <c r="E104" t="s">
        <v>79</v>
      </c>
      <c r="F104">
        <v>16590</v>
      </c>
      <c r="G104">
        <v>4.5</v>
      </c>
      <c r="H104" t="s">
        <v>241</v>
      </c>
      <c r="I104" t="s">
        <v>242</v>
      </c>
      <c r="J104">
        <v>5</v>
      </c>
      <c r="K104">
        <v>5</v>
      </c>
      <c r="L104" t="s">
        <v>243</v>
      </c>
      <c r="M104" t="s">
        <v>244</v>
      </c>
      <c r="N104" t="s">
        <v>245</v>
      </c>
      <c r="O104" t="s">
        <v>245</v>
      </c>
      <c r="P104" t="s">
        <v>83</v>
      </c>
      <c r="Q104" t="s">
        <v>249</v>
      </c>
      <c r="R104">
        <v>1</v>
      </c>
      <c r="S104" t="s">
        <v>85</v>
      </c>
      <c r="T104" t="s">
        <v>86</v>
      </c>
      <c r="U104" t="s">
        <v>87</v>
      </c>
      <c r="V104">
        <v>1</v>
      </c>
      <c r="W104" t="s">
        <v>250</v>
      </c>
      <c r="X104" t="s">
        <v>245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50</v>
      </c>
      <c r="AH104">
        <v>20</v>
      </c>
      <c r="AI104">
        <v>30</v>
      </c>
      <c r="AJ104">
        <v>5.5571151514485398E-2</v>
      </c>
      <c r="AK104">
        <v>8.7006174762684994E-3</v>
      </c>
      <c r="AL104">
        <v>0.8826776587171643</v>
      </c>
      <c r="AM104">
        <v>-1.8209305451859441</v>
      </c>
      <c r="AN104">
        <v>2.76140522251377E-2</v>
      </c>
      <c r="AO104">
        <v>0.79948627702096942</v>
      </c>
      <c r="AP104">
        <v>2.76140522251377E-2</v>
      </c>
      <c r="AQ104">
        <v>2.76140522251377E-2</v>
      </c>
      <c r="AR104">
        <v>0.79948627702096942</v>
      </c>
      <c r="AS104">
        <v>0.25698563325197232</v>
      </c>
      <c r="AT104">
        <v>-0.86604796917739346</v>
      </c>
      <c r="AU104">
        <v>0.2</v>
      </c>
      <c r="AV104" t="s">
        <v>92</v>
      </c>
      <c r="AW104">
        <v>2.76140522251377E-2</v>
      </c>
      <c r="AX104">
        <v>0.79948627702096942</v>
      </c>
      <c r="AY104">
        <v>2.76140522251377E-2</v>
      </c>
      <c r="AZ104">
        <v>2.76140522251377E-2</v>
      </c>
      <c r="BA104">
        <v>0.79948627702096942</v>
      </c>
      <c r="BB104">
        <v>0.25698563325197232</v>
      </c>
      <c r="BC104">
        <v>-0.86604796917739346</v>
      </c>
      <c r="BY104" t="str">
        <f t="shared" si="2"/>
        <v>lambda</v>
      </c>
    </row>
    <row r="105" spans="1:77" x14ac:dyDescent="0.3">
      <c r="A105" t="s">
        <v>340</v>
      </c>
      <c r="B105" t="s">
        <v>341</v>
      </c>
      <c r="C105">
        <v>8</v>
      </c>
      <c r="D105" t="s">
        <v>95</v>
      </c>
      <c r="E105" t="s">
        <v>79</v>
      </c>
      <c r="F105">
        <v>16590</v>
      </c>
      <c r="G105">
        <v>4.5</v>
      </c>
      <c r="H105" t="s">
        <v>241</v>
      </c>
      <c r="I105" t="s">
        <v>242</v>
      </c>
      <c r="J105">
        <v>5</v>
      </c>
      <c r="K105">
        <v>5</v>
      </c>
      <c r="L105" t="s">
        <v>243</v>
      </c>
      <c r="M105" t="s">
        <v>244</v>
      </c>
      <c r="N105" t="s">
        <v>245</v>
      </c>
      <c r="O105" t="s">
        <v>245</v>
      </c>
      <c r="P105" t="s">
        <v>83</v>
      </c>
      <c r="Q105" t="s">
        <v>246</v>
      </c>
      <c r="R105">
        <v>1</v>
      </c>
      <c r="S105" t="s">
        <v>85</v>
      </c>
      <c r="T105" t="s">
        <v>86</v>
      </c>
      <c r="U105" t="s">
        <v>87</v>
      </c>
      <c r="V105">
        <v>1</v>
      </c>
      <c r="W105" t="s">
        <v>247</v>
      </c>
      <c r="X105" t="s">
        <v>245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50</v>
      </c>
      <c r="AH105">
        <v>20</v>
      </c>
      <c r="AI105">
        <v>30</v>
      </c>
      <c r="AJ105">
        <v>5.1374346842583303E-2</v>
      </c>
      <c r="AK105">
        <v>1.07545870568723E-2</v>
      </c>
      <c r="AL105">
        <v>0.85498117386681471</v>
      </c>
      <c r="AM105">
        <v>-2.8227754962424569</v>
      </c>
      <c r="AN105">
        <v>2.5082395243048901E-2</v>
      </c>
      <c r="AO105">
        <v>0.81786938003843823</v>
      </c>
      <c r="AP105">
        <v>2.5082395243048901E-2</v>
      </c>
      <c r="AQ105">
        <v>2.5082395243048901E-2</v>
      </c>
      <c r="AR105">
        <v>0.81786938003843823</v>
      </c>
      <c r="AS105">
        <v>0.33169308855954388</v>
      </c>
      <c r="AT105">
        <v>-1.408520688352386</v>
      </c>
      <c r="AU105">
        <v>0.2</v>
      </c>
      <c r="AV105" t="s">
        <v>92</v>
      </c>
      <c r="AW105">
        <v>2.5082395243048901E-2</v>
      </c>
      <c r="AX105">
        <v>0.81786938003843823</v>
      </c>
      <c r="AY105">
        <v>2.5082395243048901E-2</v>
      </c>
      <c r="AZ105">
        <v>2.5082395243048901E-2</v>
      </c>
      <c r="BA105">
        <v>0.81786938003843823</v>
      </c>
      <c r="BB105">
        <v>0.33169308855954388</v>
      </c>
      <c r="BC105">
        <v>-1.408520688352386</v>
      </c>
      <c r="BY105" t="str">
        <f t="shared" si="2"/>
        <v>phi</v>
      </c>
    </row>
    <row r="106" spans="1:77" x14ac:dyDescent="0.3">
      <c r="A106" t="s">
        <v>342</v>
      </c>
      <c r="B106" t="s">
        <v>343</v>
      </c>
      <c r="C106">
        <v>8</v>
      </c>
      <c r="D106" t="s">
        <v>95</v>
      </c>
      <c r="E106" t="s">
        <v>79</v>
      </c>
      <c r="F106">
        <v>16590</v>
      </c>
      <c r="G106">
        <v>4.5</v>
      </c>
      <c r="H106" t="s">
        <v>241</v>
      </c>
      <c r="I106" t="s">
        <v>242</v>
      </c>
      <c r="J106">
        <v>5</v>
      </c>
      <c r="K106">
        <v>5</v>
      </c>
      <c r="L106" t="s">
        <v>243</v>
      </c>
      <c r="M106" t="s">
        <v>244</v>
      </c>
      <c r="N106" t="s">
        <v>245</v>
      </c>
      <c r="O106" t="s">
        <v>245</v>
      </c>
      <c r="P106" t="s">
        <v>83</v>
      </c>
      <c r="Q106" t="s">
        <v>253</v>
      </c>
      <c r="R106">
        <v>1</v>
      </c>
      <c r="S106" t="s">
        <v>85</v>
      </c>
      <c r="T106" t="s">
        <v>86</v>
      </c>
      <c r="U106" t="s">
        <v>87</v>
      </c>
      <c r="V106">
        <v>1</v>
      </c>
      <c r="W106" t="s">
        <v>254</v>
      </c>
      <c r="X106" t="s">
        <v>245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50</v>
      </c>
      <c r="AH106">
        <v>20</v>
      </c>
      <c r="AI106">
        <v>30</v>
      </c>
      <c r="AJ106">
        <v>6.4084629203895294E-2</v>
      </c>
      <c r="AK106">
        <v>1.31452489418125E-2</v>
      </c>
      <c r="AL106">
        <v>0.82274460556326134</v>
      </c>
      <c r="AM106">
        <v>-3.7076682777147729</v>
      </c>
      <c r="AN106">
        <v>2.6428468126128899E-2</v>
      </c>
      <c r="AO106">
        <v>0.80809515049085334</v>
      </c>
      <c r="AP106">
        <v>2.6428468126128899E-2</v>
      </c>
      <c r="AQ106">
        <v>2.6428468126128899E-2</v>
      </c>
      <c r="AR106">
        <v>0.80809515049085334</v>
      </c>
      <c r="AS106">
        <v>0.388322138107696</v>
      </c>
      <c r="AT106">
        <v>-1.819720807084954</v>
      </c>
      <c r="AU106">
        <v>0.2</v>
      </c>
      <c r="AV106" t="s">
        <v>92</v>
      </c>
      <c r="AW106">
        <v>2.6428468126128899E-2</v>
      </c>
      <c r="AX106">
        <v>0.80809515049085334</v>
      </c>
      <c r="AY106">
        <v>2.6428468126128899E-2</v>
      </c>
      <c r="AZ106">
        <v>2.6428468126128899E-2</v>
      </c>
      <c r="BA106">
        <v>0.80809515049085334</v>
      </c>
      <c r="BB106">
        <v>0.388322138107696</v>
      </c>
      <c r="BC106">
        <v>-1.819720807084954</v>
      </c>
      <c r="BY106" t="str">
        <f t="shared" si="2"/>
        <v>phi</v>
      </c>
    </row>
    <row r="107" spans="1:77" x14ac:dyDescent="0.3">
      <c r="A107" t="s">
        <v>344</v>
      </c>
      <c r="B107" t="s">
        <v>345</v>
      </c>
      <c r="C107">
        <v>8</v>
      </c>
      <c r="D107" t="s">
        <v>95</v>
      </c>
      <c r="E107" t="s">
        <v>79</v>
      </c>
      <c r="F107">
        <v>16590</v>
      </c>
      <c r="G107">
        <v>4.5</v>
      </c>
      <c r="H107" t="s">
        <v>241</v>
      </c>
      <c r="I107" t="s">
        <v>242</v>
      </c>
      <c r="J107">
        <v>5</v>
      </c>
      <c r="K107">
        <v>5</v>
      </c>
      <c r="L107" t="s">
        <v>243</v>
      </c>
      <c r="M107" t="s">
        <v>244</v>
      </c>
      <c r="N107" t="s">
        <v>245</v>
      </c>
      <c r="O107" t="s">
        <v>245</v>
      </c>
      <c r="P107" t="s">
        <v>83</v>
      </c>
      <c r="Q107" t="s">
        <v>258</v>
      </c>
      <c r="R107">
        <v>1</v>
      </c>
      <c r="S107" t="s">
        <v>85</v>
      </c>
      <c r="T107" t="s">
        <v>86</v>
      </c>
      <c r="U107" t="s">
        <v>87</v>
      </c>
      <c r="V107">
        <v>1</v>
      </c>
      <c r="W107" t="s">
        <v>259</v>
      </c>
      <c r="X107" t="s">
        <v>245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50</v>
      </c>
      <c r="AH107">
        <v>20</v>
      </c>
      <c r="AI107">
        <v>30</v>
      </c>
      <c r="AJ107">
        <v>3.2528074603679201E-2</v>
      </c>
      <c r="AK107">
        <v>3.2876836029744E-3</v>
      </c>
      <c r="AL107">
        <v>0.95566765936438181</v>
      </c>
      <c r="AM107">
        <v>-1.5944894730660659</v>
      </c>
      <c r="AN107">
        <v>4.6410918694595998E-3</v>
      </c>
      <c r="AO107">
        <v>0.96629967228837477</v>
      </c>
      <c r="AP107">
        <v>4.6410918694595998E-3</v>
      </c>
      <c r="AQ107">
        <v>4.6410918694595998E-3</v>
      </c>
      <c r="AR107">
        <v>0.96629967228837477</v>
      </c>
      <c r="AS107">
        <v>0.2278302041372432</v>
      </c>
      <c r="AT107">
        <v>-0.65434185704352377</v>
      </c>
      <c r="AU107">
        <v>0.2</v>
      </c>
      <c r="AV107" t="s">
        <v>92</v>
      </c>
      <c r="AW107">
        <v>4.6410918694595998E-3</v>
      </c>
      <c r="AX107">
        <v>0.96629967228837477</v>
      </c>
      <c r="AY107">
        <v>4.6410918694595998E-3</v>
      </c>
      <c r="AZ107">
        <v>4.6410918694595998E-3</v>
      </c>
      <c r="BA107">
        <v>0.96629967228837477</v>
      </c>
      <c r="BB107">
        <v>0.2278302041372432</v>
      </c>
      <c r="BC107">
        <v>-0.65434185704352377</v>
      </c>
      <c r="BY107" t="str">
        <f t="shared" si="2"/>
        <v>theta</v>
      </c>
    </row>
    <row r="108" spans="1:77" x14ac:dyDescent="0.3">
      <c r="A108" t="s">
        <v>346</v>
      </c>
      <c r="B108" t="s">
        <v>347</v>
      </c>
      <c r="C108">
        <v>8</v>
      </c>
      <c r="D108" t="s">
        <v>78</v>
      </c>
      <c r="E108" t="s">
        <v>79</v>
      </c>
      <c r="F108">
        <v>16590</v>
      </c>
      <c r="G108">
        <v>4.5</v>
      </c>
      <c r="H108" t="s">
        <v>241</v>
      </c>
      <c r="I108" t="s">
        <v>242</v>
      </c>
      <c r="J108">
        <v>5</v>
      </c>
      <c r="K108">
        <v>5</v>
      </c>
      <c r="L108" t="s">
        <v>243</v>
      </c>
      <c r="M108" t="s">
        <v>244</v>
      </c>
      <c r="N108" t="s">
        <v>245</v>
      </c>
      <c r="O108" t="s">
        <v>245</v>
      </c>
      <c r="P108" t="s">
        <v>83</v>
      </c>
      <c r="Q108" t="s">
        <v>262</v>
      </c>
      <c r="R108">
        <v>1</v>
      </c>
      <c r="S108" t="s">
        <v>85</v>
      </c>
      <c r="T108" t="s">
        <v>86</v>
      </c>
      <c r="U108" t="s">
        <v>87</v>
      </c>
      <c r="V108">
        <v>1</v>
      </c>
      <c r="W108" t="s">
        <v>263</v>
      </c>
      <c r="X108" t="s">
        <v>245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50</v>
      </c>
      <c r="AH108">
        <v>20</v>
      </c>
      <c r="AI108">
        <v>30</v>
      </c>
      <c r="AJ108">
        <v>3.4737652063353601E-2</v>
      </c>
      <c r="AK108">
        <v>3.4174209889584E-3</v>
      </c>
      <c r="AL108">
        <v>0.95391823250852037</v>
      </c>
      <c r="AM108">
        <v>-1.4039357954185681</v>
      </c>
      <c r="AN108">
        <v>4.5799643815163998E-3</v>
      </c>
      <c r="AO108">
        <v>0.96674353688615045</v>
      </c>
      <c r="AP108">
        <v>4.5799643815163998E-3</v>
      </c>
      <c r="AQ108">
        <v>4.5799643815163998E-3</v>
      </c>
      <c r="AR108">
        <v>0.96674353688615045</v>
      </c>
      <c r="AS108">
        <v>0.22169110721557059</v>
      </c>
      <c r="AT108">
        <v>-0.60976407579441383</v>
      </c>
      <c r="AU108">
        <v>0.2</v>
      </c>
      <c r="AV108" t="s">
        <v>92</v>
      </c>
      <c r="AW108">
        <v>4.5799643815163998E-3</v>
      </c>
      <c r="AX108">
        <v>0.96674353688615045</v>
      </c>
      <c r="AY108">
        <v>4.5799643815163998E-3</v>
      </c>
      <c r="AZ108">
        <v>4.5799643815163998E-3</v>
      </c>
      <c r="BA108">
        <v>0.96674353688615045</v>
      </c>
      <c r="BB108">
        <v>0.22169110721557059</v>
      </c>
      <c r="BC108">
        <v>-0.60976407579441383</v>
      </c>
      <c r="BY108" t="str">
        <f t="shared" si="2"/>
        <v>theta</v>
      </c>
    </row>
    <row r="109" spans="1:77" x14ac:dyDescent="0.3">
      <c r="A109" t="s">
        <v>348</v>
      </c>
      <c r="B109" t="s">
        <v>349</v>
      </c>
      <c r="C109">
        <v>9</v>
      </c>
      <c r="D109" t="s">
        <v>95</v>
      </c>
      <c r="E109" t="s">
        <v>79</v>
      </c>
      <c r="F109">
        <v>16590</v>
      </c>
      <c r="G109">
        <v>4.5</v>
      </c>
      <c r="H109" t="s">
        <v>241</v>
      </c>
      <c r="I109" t="s">
        <v>242</v>
      </c>
      <c r="J109">
        <v>5</v>
      </c>
      <c r="K109">
        <v>5</v>
      </c>
      <c r="L109" t="s">
        <v>243</v>
      </c>
      <c r="M109" t="s">
        <v>244</v>
      </c>
      <c r="N109" t="s">
        <v>245</v>
      </c>
      <c r="O109" t="s">
        <v>245</v>
      </c>
      <c r="P109" t="s">
        <v>83</v>
      </c>
      <c r="Q109" t="s">
        <v>266</v>
      </c>
      <c r="R109">
        <v>1</v>
      </c>
      <c r="S109" t="s">
        <v>85</v>
      </c>
      <c r="T109" t="s">
        <v>86</v>
      </c>
      <c r="U109" t="s">
        <v>87</v>
      </c>
      <c r="V109">
        <v>1</v>
      </c>
      <c r="W109" t="s">
        <v>267</v>
      </c>
      <c r="X109" t="s">
        <v>245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50</v>
      </c>
      <c r="AH109">
        <v>20</v>
      </c>
      <c r="AI109">
        <v>30</v>
      </c>
      <c r="AJ109">
        <v>6.7618653459117994E-2</v>
      </c>
      <c r="AK109">
        <v>1.8035397951385E-2</v>
      </c>
      <c r="AL109">
        <v>0.75680402920878453</v>
      </c>
      <c r="AM109">
        <v>-2.43785827770635E-2</v>
      </c>
      <c r="AN109">
        <v>2.8978597000834199E-2</v>
      </c>
      <c r="AO109">
        <v>0.7895779176495975</v>
      </c>
      <c r="AP109">
        <v>2.8978597000834199E-2</v>
      </c>
      <c r="AQ109">
        <v>2.8978597000834199E-2</v>
      </c>
      <c r="AR109">
        <v>0.7895779176495975</v>
      </c>
      <c r="AS109">
        <v>0.14011359046295771</v>
      </c>
      <c r="AT109">
        <v>-1.7405827823834701E-2</v>
      </c>
      <c r="AU109">
        <v>0.2</v>
      </c>
      <c r="AV109" t="s">
        <v>92</v>
      </c>
      <c r="AW109">
        <v>2.8978597000834199E-2</v>
      </c>
      <c r="AX109">
        <v>0.7895779176495975</v>
      </c>
      <c r="AY109">
        <v>2.8978597000834199E-2</v>
      </c>
      <c r="AZ109">
        <v>2.8978597000834199E-2</v>
      </c>
      <c r="BA109">
        <v>0.7895779176495975</v>
      </c>
      <c r="BB109">
        <v>0.14011359046295771</v>
      </c>
      <c r="BC109">
        <v>-1.7405827823834701E-2</v>
      </c>
      <c r="BY109" t="str">
        <f t="shared" si="2"/>
        <v>lambda</v>
      </c>
    </row>
    <row r="110" spans="1:77" x14ac:dyDescent="0.3">
      <c r="A110" t="s">
        <v>350</v>
      </c>
      <c r="B110" t="s">
        <v>351</v>
      </c>
      <c r="C110">
        <v>9</v>
      </c>
      <c r="D110" t="s">
        <v>95</v>
      </c>
      <c r="E110" t="s">
        <v>79</v>
      </c>
      <c r="F110">
        <v>16590</v>
      </c>
      <c r="G110">
        <v>4.5</v>
      </c>
      <c r="H110" t="s">
        <v>241</v>
      </c>
      <c r="I110" t="s">
        <v>242</v>
      </c>
      <c r="J110">
        <v>5</v>
      </c>
      <c r="K110">
        <v>5</v>
      </c>
      <c r="L110" t="s">
        <v>243</v>
      </c>
      <c r="M110" t="s">
        <v>244</v>
      </c>
      <c r="N110" t="s">
        <v>245</v>
      </c>
      <c r="O110" t="s">
        <v>245</v>
      </c>
      <c r="P110" t="s">
        <v>83</v>
      </c>
      <c r="Q110" t="s">
        <v>249</v>
      </c>
      <c r="R110">
        <v>1</v>
      </c>
      <c r="S110" t="s">
        <v>85</v>
      </c>
      <c r="T110" t="s">
        <v>86</v>
      </c>
      <c r="U110" t="s">
        <v>87</v>
      </c>
      <c r="V110">
        <v>1</v>
      </c>
      <c r="W110" t="s">
        <v>250</v>
      </c>
      <c r="X110" t="s">
        <v>245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50</v>
      </c>
      <c r="AH110">
        <v>20</v>
      </c>
      <c r="AI110">
        <v>30</v>
      </c>
      <c r="AJ110">
        <v>6.4247961550906896E-2</v>
      </c>
      <c r="AK110">
        <v>1.1463358164387099E-2</v>
      </c>
      <c r="AL110">
        <v>0.8454238423332685</v>
      </c>
      <c r="AM110">
        <v>-1.282508541246981</v>
      </c>
      <c r="AN110">
        <v>1.99143545539711E-2</v>
      </c>
      <c r="AO110">
        <v>0.85539603750346482</v>
      </c>
      <c r="AP110">
        <v>1.99143545539711E-2</v>
      </c>
      <c r="AQ110">
        <v>1.99143545539711E-2</v>
      </c>
      <c r="AR110">
        <v>0.85539603750346482</v>
      </c>
      <c r="AS110">
        <v>0.21990867279035009</v>
      </c>
      <c r="AT110">
        <v>-0.5968212972535083</v>
      </c>
      <c r="AU110">
        <v>0.2</v>
      </c>
      <c r="AV110" t="s">
        <v>92</v>
      </c>
      <c r="AW110">
        <v>1.99143545539711E-2</v>
      </c>
      <c r="AX110">
        <v>0.85539603750346482</v>
      </c>
      <c r="AY110">
        <v>1.99143545539711E-2</v>
      </c>
      <c r="AZ110">
        <v>1.99143545539711E-2</v>
      </c>
      <c r="BA110">
        <v>0.85539603750346482</v>
      </c>
      <c r="BB110">
        <v>0.21990867279035009</v>
      </c>
      <c r="BC110">
        <v>-0.5968212972535083</v>
      </c>
      <c r="BY110" t="str">
        <f t="shared" si="2"/>
        <v>lambda</v>
      </c>
    </row>
    <row r="111" spans="1:77" x14ac:dyDescent="0.3">
      <c r="A111" t="s">
        <v>352</v>
      </c>
      <c r="B111" t="s">
        <v>353</v>
      </c>
      <c r="C111">
        <v>9</v>
      </c>
      <c r="D111" t="s">
        <v>95</v>
      </c>
      <c r="E111" t="s">
        <v>79</v>
      </c>
      <c r="F111">
        <v>16590</v>
      </c>
      <c r="G111">
        <v>4.5</v>
      </c>
      <c r="H111" t="s">
        <v>241</v>
      </c>
      <c r="I111" t="s">
        <v>242</v>
      </c>
      <c r="J111">
        <v>5</v>
      </c>
      <c r="K111">
        <v>5</v>
      </c>
      <c r="L111" t="s">
        <v>243</v>
      </c>
      <c r="M111" t="s">
        <v>244</v>
      </c>
      <c r="N111" t="s">
        <v>245</v>
      </c>
      <c r="O111" t="s">
        <v>245</v>
      </c>
      <c r="P111" t="s">
        <v>83</v>
      </c>
      <c r="Q111" t="s">
        <v>246</v>
      </c>
      <c r="R111">
        <v>1</v>
      </c>
      <c r="S111" t="s">
        <v>85</v>
      </c>
      <c r="T111" t="s">
        <v>86</v>
      </c>
      <c r="U111" t="s">
        <v>87</v>
      </c>
      <c r="V111">
        <v>1</v>
      </c>
      <c r="W111" t="s">
        <v>247</v>
      </c>
      <c r="X111" t="s">
        <v>245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50</v>
      </c>
      <c r="AH111">
        <v>20</v>
      </c>
      <c r="AI111">
        <v>30</v>
      </c>
      <c r="AJ111">
        <v>5.9585304355369399E-2</v>
      </c>
      <c r="AK111">
        <v>1.20652304169383E-2</v>
      </c>
      <c r="AL111">
        <v>0.83730797446353589</v>
      </c>
      <c r="AM111">
        <v>-3.8362924503526119</v>
      </c>
      <c r="AN111">
        <v>2.0434892159967698E-2</v>
      </c>
      <c r="AO111">
        <v>0.85161626145038927</v>
      </c>
      <c r="AP111">
        <v>2.0434892159967698E-2</v>
      </c>
      <c r="AQ111">
        <v>2.0434892159967698E-2</v>
      </c>
      <c r="AR111">
        <v>0.85161626145038927</v>
      </c>
      <c r="AS111">
        <v>0.4103488665170415</v>
      </c>
      <c r="AT111">
        <v>-1.9796633349833139</v>
      </c>
      <c r="AU111">
        <v>0.2</v>
      </c>
      <c r="AV111" t="s">
        <v>92</v>
      </c>
      <c r="AW111">
        <v>2.0434892159967698E-2</v>
      </c>
      <c r="AX111">
        <v>0.85161626145038927</v>
      </c>
      <c r="AY111">
        <v>2.0434892159967698E-2</v>
      </c>
      <c r="AZ111">
        <v>2.0434892159967698E-2</v>
      </c>
      <c r="BA111">
        <v>0.85161626145038927</v>
      </c>
      <c r="BB111">
        <v>0.4103488665170415</v>
      </c>
      <c r="BC111">
        <v>-1.9796633349833139</v>
      </c>
      <c r="BY111" t="str">
        <f t="shared" si="2"/>
        <v>phi</v>
      </c>
    </row>
    <row r="112" spans="1:77" x14ac:dyDescent="0.3">
      <c r="A112" t="s">
        <v>354</v>
      </c>
      <c r="B112" t="s">
        <v>355</v>
      </c>
      <c r="C112">
        <v>9</v>
      </c>
      <c r="D112" t="s">
        <v>78</v>
      </c>
      <c r="E112" t="s">
        <v>79</v>
      </c>
      <c r="F112">
        <v>16590</v>
      </c>
      <c r="G112">
        <v>4.5</v>
      </c>
      <c r="H112" t="s">
        <v>241</v>
      </c>
      <c r="I112" t="s">
        <v>242</v>
      </c>
      <c r="J112">
        <v>5</v>
      </c>
      <c r="K112">
        <v>5</v>
      </c>
      <c r="L112" t="s">
        <v>243</v>
      </c>
      <c r="M112" t="s">
        <v>244</v>
      </c>
      <c r="N112" t="s">
        <v>245</v>
      </c>
      <c r="O112" t="s">
        <v>245</v>
      </c>
      <c r="P112" t="s">
        <v>83</v>
      </c>
      <c r="Q112" t="s">
        <v>253</v>
      </c>
      <c r="R112">
        <v>1</v>
      </c>
      <c r="S112" t="s">
        <v>85</v>
      </c>
      <c r="T112" t="s">
        <v>86</v>
      </c>
      <c r="U112" t="s">
        <v>87</v>
      </c>
      <c r="V112">
        <v>1</v>
      </c>
      <c r="W112" t="s">
        <v>254</v>
      </c>
      <c r="X112" t="s">
        <v>245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50</v>
      </c>
      <c r="AH112">
        <v>20</v>
      </c>
      <c r="AI112">
        <v>30</v>
      </c>
      <c r="AJ112">
        <v>4.4182514632656003E-2</v>
      </c>
      <c r="AK112">
        <v>5.4903118277584003E-3</v>
      </c>
      <c r="AL112">
        <v>0.92596660642047723</v>
      </c>
      <c r="AM112">
        <v>-5.0215330763131538</v>
      </c>
      <c r="AN112">
        <v>1.19851322416961E-2</v>
      </c>
      <c r="AO112">
        <v>0.91297244364625196</v>
      </c>
      <c r="AP112">
        <v>1.19851322416961E-2</v>
      </c>
      <c r="AQ112">
        <v>1.19851322416961E-2</v>
      </c>
      <c r="AR112">
        <v>0.91297244364625196</v>
      </c>
      <c r="AS112">
        <v>0.48395554743942698</v>
      </c>
      <c r="AT112">
        <v>-2.5141430088662191</v>
      </c>
      <c r="AU112">
        <v>0.2</v>
      </c>
      <c r="AV112" t="s">
        <v>92</v>
      </c>
      <c r="AW112">
        <v>1.19851322416961E-2</v>
      </c>
      <c r="AX112">
        <v>0.91297244364625196</v>
      </c>
      <c r="AY112">
        <v>1.19851322416961E-2</v>
      </c>
      <c r="AZ112">
        <v>1.19851322416961E-2</v>
      </c>
      <c r="BA112">
        <v>0.91297244364625196</v>
      </c>
      <c r="BB112">
        <v>0.48395554743942698</v>
      </c>
      <c r="BC112">
        <v>-2.5141430088662191</v>
      </c>
      <c r="BY112" t="str">
        <f t="shared" si="2"/>
        <v>phi</v>
      </c>
    </row>
    <row r="113" spans="1:77" x14ac:dyDescent="0.3">
      <c r="A113" t="s">
        <v>356</v>
      </c>
      <c r="B113" t="s">
        <v>357</v>
      </c>
      <c r="C113">
        <v>9</v>
      </c>
      <c r="D113" t="s">
        <v>78</v>
      </c>
      <c r="E113" t="s">
        <v>79</v>
      </c>
      <c r="F113">
        <v>16590</v>
      </c>
      <c r="G113">
        <v>4.5</v>
      </c>
      <c r="H113" t="s">
        <v>241</v>
      </c>
      <c r="I113" t="s">
        <v>242</v>
      </c>
      <c r="J113">
        <v>5</v>
      </c>
      <c r="K113">
        <v>5</v>
      </c>
      <c r="L113" t="s">
        <v>243</v>
      </c>
      <c r="M113" t="s">
        <v>244</v>
      </c>
      <c r="N113" t="s">
        <v>245</v>
      </c>
      <c r="O113" t="s">
        <v>245</v>
      </c>
      <c r="P113" t="s">
        <v>83</v>
      </c>
      <c r="Q113" t="s">
        <v>258</v>
      </c>
      <c r="R113">
        <v>1</v>
      </c>
      <c r="S113" t="s">
        <v>85</v>
      </c>
      <c r="T113" t="s">
        <v>86</v>
      </c>
      <c r="U113" t="s">
        <v>87</v>
      </c>
      <c r="V113">
        <v>1</v>
      </c>
      <c r="W113" t="s">
        <v>259</v>
      </c>
      <c r="X113" t="s">
        <v>245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50</v>
      </c>
      <c r="AH113">
        <v>20</v>
      </c>
      <c r="AI113">
        <v>30</v>
      </c>
      <c r="AJ113">
        <v>4.5555474049411203E-2</v>
      </c>
      <c r="AK113">
        <v>2.7522281190483998E-3</v>
      </c>
      <c r="AL113">
        <v>0.96288793898226843</v>
      </c>
      <c r="AM113">
        <v>-4.2158464717324762</v>
      </c>
      <c r="AN113">
        <v>3.5600456923679E-3</v>
      </c>
      <c r="AO113">
        <v>0.97414946528194324</v>
      </c>
      <c r="AP113">
        <v>3.5600456923679E-3</v>
      </c>
      <c r="AQ113">
        <v>3.5600456923679E-3</v>
      </c>
      <c r="AR113">
        <v>0.97414946528194324</v>
      </c>
      <c r="AS113">
        <v>0.42670322757024548</v>
      </c>
      <c r="AT113">
        <v>-2.098417141740295</v>
      </c>
      <c r="AU113">
        <v>0.2</v>
      </c>
      <c r="AV113" t="s">
        <v>92</v>
      </c>
      <c r="AW113">
        <v>3.5600456923679E-3</v>
      </c>
      <c r="AX113">
        <v>0.97414946528194324</v>
      </c>
      <c r="AY113">
        <v>3.5600456923679E-3</v>
      </c>
      <c r="AZ113">
        <v>3.5600456923679E-3</v>
      </c>
      <c r="BA113">
        <v>0.97414946528194324</v>
      </c>
      <c r="BB113">
        <v>0.42670322757024548</v>
      </c>
      <c r="BC113">
        <v>-2.098417141740295</v>
      </c>
      <c r="BY113" t="str">
        <f t="shared" si="2"/>
        <v>theta</v>
      </c>
    </row>
    <row r="114" spans="1:77" x14ac:dyDescent="0.3">
      <c r="A114" t="s">
        <v>358</v>
      </c>
      <c r="B114" t="s">
        <v>359</v>
      </c>
      <c r="C114">
        <v>9</v>
      </c>
      <c r="D114" t="s">
        <v>95</v>
      </c>
      <c r="E114" t="s">
        <v>79</v>
      </c>
      <c r="F114">
        <v>16590</v>
      </c>
      <c r="G114">
        <v>4.5</v>
      </c>
      <c r="H114" t="s">
        <v>241</v>
      </c>
      <c r="I114" t="s">
        <v>242</v>
      </c>
      <c r="J114">
        <v>5</v>
      </c>
      <c r="K114">
        <v>5</v>
      </c>
      <c r="L114" t="s">
        <v>243</v>
      </c>
      <c r="M114" t="s">
        <v>244</v>
      </c>
      <c r="N114" t="s">
        <v>245</v>
      </c>
      <c r="O114" t="s">
        <v>245</v>
      </c>
      <c r="P114" t="s">
        <v>83</v>
      </c>
      <c r="Q114" t="s">
        <v>262</v>
      </c>
      <c r="R114">
        <v>1</v>
      </c>
      <c r="S114" t="s">
        <v>85</v>
      </c>
      <c r="T114" t="s">
        <v>86</v>
      </c>
      <c r="U114" t="s">
        <v>87</v>
      </c>
      <c r="V114">
        <v>1</v>
      </c>
      <c r="W114" t="s">
        <v>263</v>
      </c>
      <c r="X114" t="s">
        <v>245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50</v>
      </c>
      <c r="AH114">
        <v>20</v>
      </c>
      <c r="AI114">
        <v>30</v>
      </c>
      <c r="AJ114">
        <v>4.053475388997E-2</v>
      </c>
      <c r="AK114">
        <v>3.1233496179879001E-3</v>
      </c>
      <c r="AL114">
        <v>0.95788359954604596</v>
      </c>
      <c r="AM114">
        <v>-1.1109420710658959</v>
      </c>
      <c r="AN114">
        <v>5.8933550011351999E-3</v>
      </c>
      <c r="AO114">
        <v>0.9572066228281052</v>
      </c>
      <c r="AP114">
        <v>5.8933550011351999E-3</v>
      </c>
      <c r="AQ114">
        <v>5.8933550011351999E-3</v>
      </c>
      <c r="AR114">
        <v>0.9572066228281052</v>
      </c>
      <c r="AS114">
        <v>0.20333645072803019</v>
      </c>
      <c r="AT114">
        <v>-0.47648553788509451</v>
      </c>
      <c r="AU114">
        <v>0.2</v>
      </c>
      <c r="AV114" t="s">
        <v>92</v>
      </c>
      <c r="AW114">
        <v>5.8933550011351999E-3</v>
      </c>
      <c r="AX114">
        <v>0.9572066228281052</v>
      </c>
      <c r="AY114">
        <v>5.8933550011351999E-3</v>
      </c>
      <c r="AZ114">
        <v>5.8933550011351999E-3</v>
      </c>
      <c r="BA114">
        <v>0.9572066228281052</v>
      </c>
      <c r="BB114">
        <v>0.20333645072803019</v>
      </c>
      <c r="BC114">
        <v>-0.47648553788509451</v>
      </c>
      <c r="BY114" t="str">
        <f t="shared" si="2"/>
        <v>theta</v>
      </c>
    </row>
    <row r="115" spans="1:77" x14ac:dyDescent="0.3">
      <c r="A115" t="s">
        <v>360</v>
      </c>
      <c r="B115" t="s">
        <v>361</v>
      </c>
      <c r="C115">
        <v>0</v>
      </c>
      <c r="D115" t="s">
        <v>95</v>
      </c>
      <c r="E115" t="s">
        <v>79</v>
      </c>
      <c r="F115">
        <v>16590</v>
      </c>
      <c r="G115">
        <v>4.5</v>
      </c>
      <c r="H115" t="s">
        <v>241</v>
      </c>
      <c r="I115" t="s">
        <v>242</v>
      </c>
      <c r="J115">
        <v>5</v>
      </c>
      <c r="K115">
        <v>5</v>
      </c>
      <c r="L115" t="s">
        <v>243</v>
      </c>
      <c r="M115" t="b">
        <v>1</v>
      </c>
      <c r="N115" t="b">
        <v>0</v>
      </c>
      <c r="O115" t="b">
        <v>0</v>
      </c>
      <c r="P115" t="s">
        <v>83</v>
      </c>
      <c r="Q115" t="s">
        <v>262</v>
      </c>
      <c r="R115">
        <v>1</v>
      </c>
      <c r="S115" t="s">
        <v>85</v>
      </c>
      <c r="T115" t="s">
        <v>86</v>
      </c>
      <c r="U115" t="s">
        <v>87</v>
      </c>
      <c r="V115">
        <v>1</v>
      </c>
      <c r="W115" t="s">
        <v>263</v>
      </c>
      <c r="X115" t="b">
        <v>0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50</v>
      </c>
      <c r="AH115">
        <v>20</v>
      </c>
      <c r="AI115">
        <v>30</v>
      </c>
      <c r="AJ115">
        <v>3.8766153889552103E-2</v>
      </c>
      <c r="AK115">
        <v>2.5089773185462999E-3</v>
      </c>
      <c r="AL115">
        <v>0.96616802266732615</v>
      </c>
      <c r="AM115">
        <v>-2.386468514263159</v>
      </c>
      <c r="AN115">
        <v>5.4295188471362001E-3</v>
      </c>
      <c r="AO115">
        <v>0.96057467302705279</v>
      </c>
      <c r="AP115">
        <v>5.4295188471362001E-3</v>
      </c>
      <c r="AQ115">
        <v>5.4295188471362001E-3</v>
      </c>
      <c r="AR115">
        <v>0.96057467302705279</v>
      </c>
      <c r="AS115">
        <v>0.296096714000262</v>
      </c>
      <c r="AT115">
        <v>-1.1500449844156719</v>
      </c>
      <c r="AU115">
        <v>0.2</v>
      </c>
      <c r="AV115" t="s">
        <v>92</v>
      </c>
      <c r="AW115">
        <v>5.4295188471362001E-3</v>
      </c>
      <c r="AX115">
        <v>0.96057467302705279</v>
      </c>
      <c r="AY115">
        <v>5.4295188471362001E-3</v>
      </c>
      <c r="AZ115">
        <v>5.4295188471362001E-3</v>
      </c>
      <c r="BA115">
        <v>0.96057467302705279</v>
      </c>
      <c r="BB115">
        <v>0.296096714000262</v>
      </c>
      <c r="BC115">
        <v>-1.1500449844156719</v>
      </c>
      <c r="BY115" t="str">
        <f t="shared" si="2"/>
        <v>theta</v>
      </c>
    </row>
    <row r="116" spans="1:77" x14ac:dyDescent="0.3">
      <c r="A116" t="s">
        <v>360</v>
      </c>
      <c r="B116" t="s">
        <v>362</v>
      </c>
      <c r="C116">
        <v>1</v>
      </c>
      <c r="D116" t="s">
        <v>78</v>
      </c>
      <c r="E116" t="s">
        <v>79</v>
      </c>
      <c r="F116">
        <v>16590</v>
      </c>
      <c r="G116">
        <v>4.5</v>
      </c>
      <c r="H116" t="s">
        <v>241</v>
      </c>
      <c r="I116" t="s">
        <v>242</v>
      </c>
      <c r="J116">
        <v>5</v>
      </c>
      <c r="K116">
        <v>5</v>
      </c>
      <c r="L116" t="s">
        <v>243</v>
      </c>
      <c r="M116" t="b">
        <v>1</v>
      </c>
      <c r="N116" t="b">
        <v>0</v>
      </c>
      <c r="O116" t="b">
        <v>0</v>
      </c>
      <c r="P116" t="s">
        <v>83</v>
      </c>
      <c r="Q116" t="s">
        <v>266</v>
      </c>
      <c r="R116">
        <v>1</v>
      </c>
      <c r="S116" t="s">
        <v>85</v>
      </c>
      <c r="T116" t="s">
        <v>86</v>
      </c>
      <c r="U116" t="s">
        <v>87</v>
      </c>
      <c r="V116">
        <v>1</v>
      </c>
      <c r="W116" t="s">
        <v>267</v>
      </c>
      <c r="X116" t="b">
        <v>0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50</v>
      </c>
      <c r="AH116">
        <v>20</v>
      </c>
      <c r="AI116">
        <v>30</v>
      </c>
      <c r="AJ116">
        <v>5.1569063731552199E-2</v>
      </c>
      <c r="AK116">
        <v>1.04468311489981E-2</v>
      </c>
      <c r="AL116">
        <v>0.85913106825694341</v>
      </c>
      <c r="AM116">
        <v>-3.066436493182175</v>
      </c>
      <c r="AN116">
        <v>1.2673517666896599E-2</v>
      </c>
      <c r="AO116">
        <v>0.9079738754054848</v>
      </c>
      <c r="AP116">
        <v>1.2673517666896599E-2</v>
      </c>
      <c r="AQ116">
        <v>1.2673517666896599E-2</v>
      </c>
      <c r="AR116">
        <v>0.9079738754054848</v>
      </c>
      <c r="AS116">
        <v>0.34646816784154888</v>
      </c>
      <c r="AT116">
        <v>-1.515806867504617</v>
      </c>
      <c r="AU116">
        <v>0.2</v>
      </c>
      <c r="AV116" t="s">
        <v>92</v>
      </c>
      <c r="AW116">
        <v>1.2673517666896599E-2</v>
      </c>
      <c r="AX116">
        <v>0.9079738754054848</v>
      </c>
      <c r="AY116">
        <v>1.2673517666896599E-2</v>
      </c>
      <c r="AZ116">
        <v>1.2673517666896599E-2</v>
      </c>
      <c r="BA116">
        <v>0.9079738754054848</v>
      </c>
      <c r="BB116">
        <v>0.34646816784154888</v>
      </c>
      <c r="BC116">
        <v>-1.515806867504617</v>
      </c>
      <c r="BY116" t="str">
        <f t="shared" si="2"/>
        <v>lambda</v>
      </c>
    </row>
    <row r="117" spans="1:77" x14ac:dyDescent="0.3">
      <c r="A117" t="s">
        <v>363</v>
      </c>
      <c r="B117" t="s">
        <v>364</v>
      </c>
      <c r="C117">
        <v>3</v>
      </c>
      <c r="D117" t="s">
        <v>78</v>
      </c>
      <c r="E117" t="s">
        <v>79</v>
      </c>
      <c r="F117">
        <v>16590</v>
      </c>
      <c r="G117">
        <v>4.5</v>
      </c>
      <c r="H117" t="s">
        <v>241</v>
      </c>
      <c r="I117" t="s">
        <v>242</v>
      </c>
      <c r="J117">
        <v>5</v>
      </c>
      <c r="K117">
        <v>5</v>
      </c>
      <c r="L117" t="s">
        <v>243</v>
      </c>
      <c r="M117" t="b">
        <v>1</v>
      </c>
      <c r="N117" t="b">
        <v>0</v>
      </c>
      <c r="O117" t="b">
        <v>0</v>
      </c>
      <c r="P117" t="s">
        <v>83</v>
      </c>
      <c r="Q117" t="s">
        <v>258</v>
      </c>
      <c r="R117">
        <v>1</v>
      </c>
      <c r="S117" t="s">
        <v>85</v>
      </c>
      <c r="T117" t="s">
        <v>86</v>
      </c>
      <c r="U117" t="s">
        <v>87</v>
      </c>
      <c r="V117">
        <v>1</v>
      </c>
      <c r="W117" t="s">
        <v>259</v>
      </c>
      <c r="X117" t="b">
        <v>0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50</v>
      </c>
      <c r="AH117">
        <v>20</v>
      </c>
      <c r="AI117">
        <v>30</v>
      </c>
      <c r="AJ117">
        <v>2.24642650873744E-2</v>
      </c>
      <c r="AK117">
        <v>2.5405390105896E-3</v>
      </c>
      <c r="AL117">
        <v>0.96574243314848196</v>
      </c>
      <c r="AM117">
        <v>-2.4040799780812221</v>
      </c>
      <c r="AN117">
        <v>3.2702830315038001E-3</v>
      </c>
      <c r="AO117">
        <v>0.97625351685092243</v>
      </c>
      <c r="AP117">
        <v>3.2702830315038001E-3</v>
      </c>
      <c r="AQ117">
        <v>3.2702830315038001E-3</v>
      </c>
      <c r="AR117">
        <v>0.97625351685092243</v>
      </c>
      <c r="AS117">
        <v>0.28381738660708511</v>
      </c>
      <c r="AT117">
        <v>-1.060881190880042</v>
      </c>
      <c r="AU117">
        <v>0.2</v>
      </c>
      <c r="AV117" t="s">
        <v>92</v>
      </c>
      <c r="AW117">
        <v>3.2702830315038001E-3</v>
      </c>
      <c r="AX117">
        <v>0.97625351685092243</v>
      </c>
      <c r="AY117">
        <v>3.2702830315038001E-3</v>
      </c>
      <c r="AZ117">
        <v>3.2702830315038001E-3</v>
      </c>
      <c r="BA117">
        <v>0.97625351685092243</v>
      </c>
      <c r="BB117">
        <v>0.28381738660708511</v>
      </c>
      <c r="BC117">
        <v>-1.060881190880042</v>
      </c>
      <c r="BY117" t="str">
        <f t="shared" si="2"/>
        <v>theta</v>
      </c>
    </row>
    <row r="118" spans="1:77" x14ac:dyDescent="0.3">
      <c r="A118" t="s">
        <v>365</v>
      </c>
      <c r="B118" t="s">
        <v>366</v>
      </c>
      <c r="C118">
        <v>0</v>
      </c>
      <c r="D118" t="s">
        <v>95</v>
      </c>
      <c r="E118" t="s">
        <v>79</v>
      </c>
      <c r="F118">
        <v>16590</v>
      </c>
      <c r="G118">
        <v>4.5</v>
      </c>
      <c r="H118" t="s">
        <v>241</v>
      </c>
      <c r="I118" t="s">
        <v>242</v>
      </c>
      <c r="J118">
        <v>5</v>
      </c>
      <c r="K118">
        <v>5</v>
      </c>
      <c r="L118" t="s">
        <v>243</v>
      </c>
      <c r="M118" t="b">
        <v>1</v>
      </c>
      <c r="N118" t="b">
        <v>0</v>
      </c>
      <c r="O118" t="b">
        <v>0</v>
      </c>
      <c r="P118" t="s">
        <v>83</v>
      </c>
      <c r="Q118" t="s">
        <v>249</v>
      </c>
      <c r="R118">
        <v>1</v>
      </c>
      <c r="S118" t="s">
        <v>85</v>
      </c>
      <c r="T118" t="s">
        <v>86</v>
      </c>
      <c r="U118" t="s">
        <v>87</v>
      </c>
      <c r="V118">
        <v>1</v>
      </c>
      <c r="W118" t="s">
        <v>250</v>
      </c>
      <c r="X118" t="b">
        <v>0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50</v>
      </c>
      <c r="AH118">
        <v>20</v>
      </c>
      <c r="AI118">
        <v>30</v>
      </c>
      <c r="AJ118">
        <v>5.3185962680325501E-2</v>
      </c>
      <c r="AK118">
        <v>7.3508856906730003E-3</v>
      </c>
      <c r="AL118">
        <v>0.9008779408950488</v>
      </c>
      <c r="AM118">
        <v>-1.6110543931226839</v>
      </c>
      <c r="AN118">
        <v>1.7837064030679101E-2</v>
      </c>
      <c r="AO118">
        <v>0.87047985255307869</v>
      </c>
      <c r="AP118">
        <v>1.7837064030679101E-2</v>
      </c>
      <c r="AQ118">
        <v>1.7837064030679101E-2</v>
      </c>
      <c r="AR118">
        <v>0.87047985255307869</v>
      </c>
      <c r="AS118">
        <v>0.2399801646187161</v>
      </c>
      <c r="AT118">
        <v>-0.74256627953413035</v>
      </c>
      <c r="AU118">
        <v>0.2</v>
      </c>
      <c r="AV118" t="s">
        <v>92</v>
      </c>
      <c r="AW118">
        <v>1.7837064030679101E-2</v>
      </c>
      <c r="AX118">
        <v>0.87047985255307869</v>
      </c>
      <c r="AY118">
        <v>1.7837064030679101E-2</v>
      </c>
      <c r="AZ118">
        <v>1.7837064030679101E-2</v>
      </c>
      <c r="BA118">
        <v>0.87047985255307869</v>
      </c>
      <c r="BB118">
        <v>0.2399801646187161</v>
      </c>
      <c r="BC118">
        <v>-0.74256627953413035</v>
      </c>
      <c r="BY118" t="str">
        <f t="shared" si="2"/>
        <v>lambda</v>
      </c>
    </row>
    <row r="119" spans="1:77" x14ac:dyDescent="0.3">
      <c r="A119" t="s">
        <v>365</v>
      </c>
      <c r="B119" t="s">
        <v>367</v>
      </c>
      <c r="C119">
        <v>1</v>
      </c>
      <c r="D119" t="s">
        <v>78</v>
      </c>
      <c r="E119" t="s">
        <v>79</v>
      </c>
      <c r="F119">
        <v>16590</v>
      </c>
      <c r="G119">
        <v>4.5</v>
      </c>
      <c r="H119" t="s">
        <v>241</v>
      </c>
      <c r="I119" t="s">
        <v>242</v>
      </c>
      <c r="J119">
        <v>5</v>
      </c>
      <c r="K119">
        <v>5</v>
      </c>
      <c r="L119" t="s">
        <v>243</v>
      </c>
      <c r="M119" t="b">
        <v>1</v>
      </c>
      <c r="N119" t="b">
        <v>0</v>
      </c>
      <c r="O119" t="b">
        <v>0</v>
      </c>
      <c r="P119" t="s">
        <v>83</v>
      </c>
      <c r="Q119" t="s">
        <v>246</v>
      </c>
      <c r="R119">
        <v>1</v>
      </c>
      <c r="S119" t="s">
        <v>85</v>
      </c>
      <c r="T119" t="s">
        <v>86</v>
      </c>
      <c r="U119" t="s">
        <v>87</v>
      </c>
      <c r="V119">
        <v>1</v>
      </c>
      <c r="W119" t="s">
        <v>247</v>
      </c>
      <c r="X119" t="b">
        <v>0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50</v>
      </c>
      <c r="AH119">
        <v>20</v>
      </c>
      <c r="AI119">
        <v>30</v>
      </c>
      <c r="AJ119">
        <v>6.2536495225431005E-2</v>
      </c>
      <c r="AK119">
        <v>1.23489147440544E-2</v>
      </c>
      <c r="AL119">
        <v>0.83348267016377964</v>
      </c>
      <c r="AM119">
        <v>9.8876346463271005E-3</v>
      </c>
      <c r="AN119">
        <v>2.1080768681095902E-2</v>
      </c>
      <c r="AO119">
        <v>0.84692636281543709</v>
      </c>
      <c r="AP119">
        <v>2.1080768681095902E-2</v>
      </c>
      <c r="AQ119">
        <v>2.1080768681095902E-2</v>
      </c>
      <c r="AR119">
        <v>0.84692636281543709</v>
      </c>
      <c r="AS119">
        <v>0.1380846134446852</v>
      </c>
      <c r="AT119">
        <v>-2.6728312880223998E-3</v>
      </c>
      <c r="AU119">
        <v>0.2</v>
      </c>
      <c r="AV119" t="s">
        <v>92</v>
      </c>
      <c r="AW119">
        <v>2.1080768681095902E-2</v>
      </c>
      <c r="AX119">
        <v>0.84692636281543709</v>
      </c>
      <c r="AY119">
        <v>2.1080768681095902E-2</v>
      </c>
      <c r="AZ119">
        <v>2.1080768681095902E-2</v>
      </c>
      <c r="BA119">
        <v>0.84692636281543709</v>
      </c>
      <c r="BB119">
        <v>0.1380846134446852</v>
      </c>
      <c r="BC119">
        <v>-2.6728312880223998E-3</v>
      </c>
      <c r="BY119" t="str">
        <f t="shared" si="2"/>
        <v>phi</v>
      </c>
    </row>
    <row r="120" spans="1:77" x14ac:dyDescent="0.3">
      <c r="A120" t="s">
        <v>368</v>
      </c>
      <c r="B120" t="s">
        <v>369</v>
      </c>
      <c r="C120">
        <v>0</v>
      </c>
      <c r="D120" t="s">
        <v>78</v>
      </c>
      <c r="E120" t="s">
        <v>79</v>
      </c>
      <c r="F120">
        <v>16590</v>
      </c>
      <c r="G120">
        <v>4.5</v>
      </c>
      <c r="H120" t="s">
        <v>241</v>
      </c>
      <c r="I120" t="s">
        <v>242</v>
      </c>
      <c r="J120">
        <v>5</v>
      </c>
      <c r="K120">
        <v>5</v>
      </c>
      <c r="L120" t="s">
        <v>243</v>
      </c>
      <c r="M120" t="b">
        <v>1</v>
      </c>
      <c r="N120" t="b">
        <v>0</v>
      </c>
      <c r="O120" t="b">
        <v>0</v>
      </c>
      <c r="P120" t="s">
        <v>83</v>
      </c>
      <c r="Q120" t="s">
        <v>258</v>
      </c>
      <c r="R120">
        <v>1</v>
      </c>
      <c r="S120" t="s">
        <v>85</v>
      </c>
      <c r="T120" t="s">
        <v>86</v>
      </c>
      <c r="U120" t="s">
        <v>87</v>
      </c>
      <c r="V120">
        <v>1</v>
      </c>
      <c r="W120" t="s">
        <v>259</v>
      </c>
      <c r="X120" t="b">
        <v>0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50</v>
      </c>
      <c r="AH120">
        <v>20</v>
      </c>
      <c r="AI120">
        <v>30</v>
      </c>
      <c r="AJ120">
        <v>4.2700989840118803E-2</v>
      </c>
      <c r="AK120">
        <v>3.3847154133048998E-3</v>
      </c>
      <c r="AL120">
        <v>0.95435924657667659</v>
      </c>
      <c r="AM120">
        <v>-0.5116116181155943</v>
      </c>
      <c r="AN120">
        <v>5.7054987748822996E-3</v>
      </c>
      <c r="AO120">
        <v>0.95857070192101235</v>
      </c>
      <c r="AP120">
        <v>5.7054987748822996E-3</v>
      </c>
      <c r="AQ120">
        <v>5.7054987748822996E-3</v>
      </c>
      <c r="AR120">
        <v>0.95857070192101235</v>
      </c>
      <c r="AS120">
        <v>0.16381206966130979</v>
      </c>
      <c r="AT120">
        <v>-0.18948742795483459</v>
      </c>
      <c r="AU120">
        <v>0.2</v>
      </c>
      <c r="AV120" t="s">
        <v>92</v>
      </c>
      <c r="AW120">
        <v>5.7054987748822996E-3</v>
      </c>
      <c r="AX120">
        <v>0.95857070192101235</v>
      </c>
      <c r="AY120">
        <v>5.7054987748822996E-3</v>
      </c>
      <c r="AZ120">
        <v>5.7054987748822996E-3</v>
      </c>
      <c r="BA120">
        <v>0.95857070192101235</v>
      </c>
      <c r="BB120">
        <v>0.16381206966130979</v>
      </c>
      <c r="BC120">
        <v>-0.18948742795483459</v>
      </c>
      <c r="BY120" t="str">
        <f t="shared" si="2"/>
        <v>theta</v>
      </c>
    </row>
    <row r="121" spans="1:77" x14ac:dyDescent="0.3">
      <c r="A121" t="s">
        <v>370</v>
      </c>
      <c r="B121" t="s">
        <v>371</v>
      </c>
      <c r="C121">
        <v>0</v>
      </c>
      <c r="D121" t="s">
        <v>78</v>
      </c>
      <c r="E121" t="s">
        <v>79</v>
      </c>
      <c r="F121">
        <v>16590</v>
      </c>
      <c r="G121">
        <v>4.5</v>
      </c>
      <c r="H121" t="s">
        <v>241</v>
      </c>
      <c r="I121" t="s">
        <v>242</v>
      </c>
      <c r="J121">
        <v>5</v>
      </c>
      <c r="K121">
        <v>5</v>
      </c>
      <c r="L121" t="s">
        <v>243</v>
      </c>
      <c r="M121" t="b">
        <v>1</v>
      </c>
      <c r="N121" t="b">
        <v>0</v>
      </c>
      <c r="O121" t="b">
        <v>0</v>
      </c>
      <c r="P121" t="s">
        <v>83</v>
      </c>
      <c r="Q121" t="s">
        <v>266</v>
      </c>
      <c r="R121">
        <v>1</v>
      </c>
      <c r="S121" t="s">
        <v>85</v>
      </c>
      <c r="T121" t="s">
        <v>86</v>
      </c>
      <c r="U121" t="s">
        <v>87</v>
      </c>
      <c r="V121">
        <v>1</v>
      </c>
      <c r="W121" t="s">
        <v>267</v>
      </c>
      <c r="X121" t="b">
        <v>0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50</v>
      </c>
      <c r="AH121">
        <v>20</v>
      </c>
      <c r="AI121">
        <v>30</v>
      </c>
      <c r="AJ121">
        <v>6.37673935881794E-2</v>
      </c>
      <c r="AK121">
        <v>1.8202441909228401E-2</v>
      </c>
      <c r="AL121">
        <v>0.75455154675167213</v>
      </c>
      <c r="AM121">
        <v>-2.2707038885781321</v>
      </c>
      <c r="AN121">
        <v>4.8172054115210902E-2</v>
      </c>
      <c r="AO121">
        <v>0.65020860265501657</v>
      </c>
      <c r="AP121">
        <v>4.8172054115210902E-2</v>
      </c>
      <c r="AQ121">
        <v>4.8172054115210902E-2</v>
      </c>
      <c r="AR121">
        <v>0.65020860265501657</v>
      </c>
      <c r="AS121">
        <v>0.2916651619464577</v>
      </c>
      <c r="AT121">
        <v>-1.117866186691999</v>
      </c>
      <c r="AU121">
        <v>0.2</v>
      </c>
      <c r="AV121" t="s">
        <v>92</v>
      </c>
      <c r="AW121">
        <v>4.8172054115210902E-2</v>
      </c>
      <c r="AX121">
        <v>0.65020860265501657</v>
      </c>
      <c r="AY121">
        <v>4.8172054115210902E-2</v>
      </c>
      <c r="AZ121">
        <v>4.8172054115210902E-2</v>
      </c>
      <c r="BA121">
        <v>0.65020860265501657</v>
      </c>
      <c r="BB121">
        <v>0.2916651619464577</v>
      </c>
      <c r="BC121">
        <v>-1.117866186691999</v>
      </c>
      <c r="BY121" t="str">
        <f>CHOOSE(MATCH("-1", _xlfn.TAKE(_xlfn.TEXTSPLIT(SUBSTITUTE(SUBSTITUTE(W121,"[",""),"]",""), ", "), 3), 0), "theta", "phi", "lambda")</f>
        <v>lambda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D70A-BD00-467A-9297-5711D29BC70B}">
  <dimension ref="A1:L16"/>
  <sheetViews>
    <sheetView workbookViewId="0">
      <selection activeCell="B21" sqref="B21"/>
    </sheetView>
  </sheetViews>
  <sheetFormatPr baseColWidth="10" defaultRowHeight="14.4" x14ac:dyDescent="0.3"/>
  <cols>
    <col min="1" max="1" width="18.77734375" bestFit="1" customWidth="1"/>
    <col min="2" max="2" width="24.88671875" bestFit="1" customWidth="1"/>
    <col min="3" max="3" width="25.88671875" bestFit="1" customWidth="1"/>
    <col min="4" max="4" width="37.88671875" bestFit="1" customWidth="1"/>
    <col min="5" max="5" width="37.5546875" bestFit="1" customWidth="1"/>
    <col min="6" max="6" width="33.44140625" bestFit="1" customWidth="1"/>
    <col min="7" max="7" width="34.44140625" bestFit="1" customWidth="1"/>
    <col min="8" max="8" width="38.88671875" bestFit="1" customWidth="1"/>
    <col min="9" max="9" width="38.5546875" bestFit="1" customWidth="1"/>
    <col min="10" max="10" width="34.44140625" bestFit="1" customWidth="1"/>
    <col min="11" max="11" width="35.44140625" bestFit="1" customWidth="1"/>
    <col min="12" max="12" width="18" bestFit="1" customWidth="1"/>
  </cols>
  <sheetData>
    <row r="1" spans="1:12" x14ac:dyDescent="0.3">
      <c r="A1" s="2" t="s">
        <v>222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235</v>
      </c>
    </row>
    <row r="2" spans="1:12" x14ac:dyDescent="0.3">
      <c r="A2" s="3">
        <v>2</v>
      </c>
      <c r="B2">
        <v>0.49488369589088194</v>
      </c>
      <c r="C2">
        <v>0.12380984609490522</v>
      </c>
      <c r="D2">
        <v>0.45932600597373013</v>
      </c>
      <c r="E2">
        <v>0.46936942549436583</v>
      </c>
      <c r="F2">
        <v>0.63362864236136296</v>
      </c>
      <c r="G2">
        <v>0.41721070973406482</v>
      </c>
      <c r="H2">
        <v>0.26429811933163688</v>
      </c>
      <c r="I2">
        <v>0.33944640009902638</v>
      </c>
      <c r="J2">
        <v>0.18329180467970063</v>
      </c>
      <c r="K2">
        <v>-0.29179693973074988</v>
      </c>
      <c r="L2">
        <v>60</v>
      </c>
    </row>
    <row r="3" spans="1:12" x14ac:dyDescent="0.3">
      <c r="A3" s="4" t="s">
        <v>181</v>
      </c>
      <c r="B3">
        <v>0.74235773032315966</v>
      </c>
      <c r="C3">
        <v>-0.27034447550631091</v>
      </c>
      <c r="D3">
        <v>0.81494937187722072</v>
      </c>
      <c r="E3">
        <v>0.62483668654098767</v>
      </c>
      <c r="F3">
        <v>0.83785952475937031</v>
      </c>
      <c r="G3">
        <v>0.69178533811505638</v>
      </c>
      <c r="H3">
        <v>6.9084118742846366E-3</v>
      </c>
      <c r="I3">
        <v>0.26366136608588808</v>
      </c>
      <c r="J3">
        <v>-0.70013749974756767</v>
      </c>
      <c r="K3">
        <v>-0.65181018023785975</v>
      </c>
      <c r="L3">
        <v>10</v>
      </c>
    </row>
    <row r="4" spans="1:12" x14ac:dyDescent="0.3">
      <c r="A4" s="4" t="s">
        <v>88</v>
      </c>
      <c r="B4">
        <v>0.7554947202327964</v>
      </c>
      <c r="C4">
        <v>7.4726022646395135E-2</v>
      </c>
      <c r="D4">
        <v>0.72786529865645522</v>
      </c>
      <c r="E4">
        <v>0.68288900521553075</v>
      </c>
      <c r="F4">
        <v>0.8339127236086904</v>
      </c>
      <c r="G4">
        <v>0.77731185345050668</v>
      </c>
      <c r="H4">
        <v>0.48944277834410937</v>
      </c>
      <c r="I4">
        <v>0.37304276680204046</v>
      </c>
      <c r="J4">
        <v>-0.23550973134106376</v>
      </c>
      <c r="K4">
        <v>-0.3280717232195175</v>
      </c>
      <c r="L4">
        <v>10</v>
      </c>
    </row>
    <row r="5" spans="1:12" x14ac:dyDescent="0.3">
      <c r="A5" s="4" t="s">
        <v>203</v>
      </c>
      <c r="B5">
        <v>5.6089753597806866E-2</v>
      </c>
      <c r="C5">
        <v>4.2992878580178744E-2</v>
      </c>
      <c r="D5">
        <v>-8.1991745204695723E-2</v>
      </c>
      <c r="E5">
        <v>2.9723671071883773E-2</v>
      </c>
      <c r="F5">
        <v>0.26851504534765458</v>
      </c>
      <c r="G5">
        <v>8.1120431763802708E-3</v>
      </c>
      <c r="H5">
        <v>-9.3345834904157793E-2</v>
      </c>
      <c r="I5">
        <v>5.8565537335057483E-2</v>
      </c>
      <c r="J5">
        <v>0.28937288618384838</v>
      </c>
      <c r="K5">
        <v>-8.2621074294040711E-2</v>
      </c>
      <c r="L5">
        <v>10</v>
      </c>
    </row>
    <row r="6" spans="1:12" x14ac:dyDescent="0.3">
      <c r="A6" s="4" t="s">
        <v>137</v>
      </c>
      <c r="B6">
        <v>5.6162320898373717E-2</v>
      </c>
      <c r="C6">
        <v>4.2403138218049738E-2</v>
      </c>
      <c r="D6">
        <v>-8.2018123790073158E-2</v>
      </c>
      <c r="E6">
        <v>2.9790353107624713E-2</v>
      </c>
      <c r="F6">
        <v>0.26889483181052498</v>
      </c>
      <c r="G6">
        <v>7.9822224654095102E-3</v>
      </c>
      <c r="H6">
        <v>-9.2670533419645679E-2</v>
      </c>
      <c r="I6">
        <v>5.8801872846189741E-2</v>
      </c>
      <c r="J6">
        <v>0.28850657820543429</v>
      </c>
      <c r="K6">
        <v>-8.5025364759784519E-2</v>
      </c>
      <c r="L6">
        <v>10</v>
      </c>
    </row>
    <row r="7" spans="1:12" x14ac:dyDescent="0.3">
      <c r="A7" s="4" t="s">
        <v>159</v>
      </c>
      <c r="B7">
        <v>0.68777082634225095</v>
      </c>
      <c r="C7">
        <v>0.4506022194758274</v>
      </c>
      <c r="D7">
        <v>0.71390852782950132</v>
      </c>
      <c r="E7">
        <v>0.68932467025075073</v>
      </c>
      <c r="F7">
        <v>0.81696150540184398</v>
      </c>
      <c r="G7">
        <v>0.53088860188690423</v>
      </c>
      <c r="H7">
        <v>0.60977901362965004</v>
      </c>
      <c r="I7">
        <v>0.62293782246604623</v>
      </c>
      <c r="J7">
        <v>0.76833554407143134</v>
      </c>
      <c r="K7">
        <v>-0.1986435022638201</v>
      </c>
      <c r="L7">
        <v>10</v>
      </c>
    </row>
    <row r="8" spans="1:12" x14ac:dyDescent="0.3">
      <c r="A8" s="4" t="s">
        <v>115</v>
      </c>
      <c r="B8">
        <v>0.67142682395090458</v>
      </c>
      <c r="C8">
        <v>0.40247929315529091</v>
      </c>
      <c r="D8">
        <v>0.66324270647397299</v>
      </c>
      <c r="E8">
        <v>0.7596521667794186</v>
      </c>
      <c r="F8">
        <v>0.77562822324009451</v>
      </c>
      <c r="G8">
        <v>0.48718419931013096</v>
      </c>
      <c r="H8">
        <v>0.66567488046558054</v>
      </c>
      <c r="I8">
        <v>0.65966903505893648</v>
      </c>
      <c r="J8">
        <v>0.68918305070612085</v>
      </c>
      <c r="K8">
        <v>-0.40460979360947713</v>
      </c>
      <c r="L8">
        <v>10</v>
      </c>
    </row>
    <row r="9" spans="1:12" x14ac:dyDescent="0.3">
      <c r="A9" s="3">
        <v>1</v>
      </c>
      <c r="B9">
        <v>0.86983862325169914</v>
      </c>
      <c r="C9">
        <v>-1.3928953145553986</v>
      </c>
      <c r="D9">
        <v>0.86983862325169914</v>
      </c>
      <c r="H9">
        <v>-1.3928953145553986</v>
      </c>
      <c r="L9">
        <v>60</v>
      </c>
    </row>
    <row r="10" spans="1:12" x14ac:dyDescent="0.3">
      <c r="A10" s="4" t="s">
        <v>247</v>
      </c>
      <c r="B10">
        <v>0.84414745838081939</v>
      </c>
      <c r="C10">
        <v>-1.5957714500039226</v>
      </c>
      <c r="D10">
        <v>0.84414745838081939</v>
      </c>
      <c r="H10">
        <v>-1.5957714500039226</v>
      </c>
      <c r="L10">
        <v>10</v>
      </c>
    </row>
    <row r="11" spans="1:12" x14ac:dyDescent="0.3">
      <c r="A11" s="4" t="s">
        <v>250</v>
      </c>
      <c r="B11">
        <v>0.81285290142697042</v>
      </c>
      <c r="C11">
        <v>-0.98323297912463481</v>
      </c>
      <c r="D11">
        <v>0.81285290142697042</v>
      </c>
      <c r="H11">
        <v>-0.98323297912463481</v>
      </c>
      <c r="L11">
        <v>10</v>
      </c>
    </row>
    <row r="12" spans="1:12" x14ac:dyDescent="0.3">
      <c r="A12" s="4" t="s">
        <v>254</v>
      </c>
      <c r="B12">
        <v>0.84197580360787172</v>
      </c>
      <c r="C12">
        <v>-2.2721696737680439</v>
      </c>
      <c r="D12">
        <v>0.84197580360787172</v>
      </c>
      <c r="H12">
        <v>-2.2721696737680439</v>
      </c>
      <c r="L12">
        <v>10</v>
      </c>
    </row>
    <row r="13" spans="1:12" x14ac:dyDescent="0.3">
      <c r="A13" s="4" t="s">
        <v>259</v>
      </c>
      <c r="B13">
        <v>0.96225932704573403</v>
      </c>
      <c r="C13">
        <v>-1.084014899443617</v>
      </c>
      <c r="D13">
        <v>0.96225932704573403</v>
      </c>
      <c r="H13">
        <v>-1.084014899443617</v>
      </c>
      <c r="L13">
        <v>10</v>
      </c>
    </row>
    <row r="14" spans="1:12" x14ac:dyDescent="0.3">
      <c r="A14" s="4" t="s">
        <v>263</v>
      </c>
      <c r="B14">
        <v>0.95820233435919899</v>
      </c>
      <c r="C14">
        <v>-1.4263215970411736</v>
      </c>
      <c r="D14">
        <v>0.95820233435919899</v>
      </c>
      <c r="H14">
        <v>-1.4263215970411736</v>
      </c>
      <c r="L14">
        <v>10</v>
      </c>
    </row>
    <row r="15" spans="1:12" x14ac:dyDescent="0.3">
      <c r="A15" s="4" t="s">
        <v>267</v>
      </c>
      <c r="B15">
        <v>0.79959391468960184</v>
      </c>
      <c r="C15">
        <v>-0.99586128795099849</v>
      </c>
      <c r="D15">
        <v>0.79959391468960184</v>
      </c>
      <c r="H15">
        <v>-0.99586128795099849</v>
      </c>
      <c r="L15">
        <v>10</v>
      </c>
    </row>
    <row r="16" spans="1:12" x14ac:dyDescent="0.3">
      <c r="A16" s="3" t="s">
        <v>223</v>
      </c>
      <c r="B16">
        <v>0.68236115957129051</v>
      </c>
      <c r="C16">
        <v>-0.63454273423024665</v>
      </c>
      <c r="D16">
        <v>0.66458231461271466</v>
      </c>
      <c r="E16">
        <v>0.46936942549436583</v>
      </c>
      <c r="F16">
        <v>0.63362864236136296</v>
      </c>
      <c r="G16">
        <v>0.41721070973406482</v>
      </c>
      <c r="H16">
        <v>-0.56429859761188095</v>
      </c>
      <c r="I16">
        <v>0.33944640009902638</v>
      </c>
      <c r="J16">
        <v>0.18329180467970063</v>
      </c>
      <c r="K16">
        <v>-0.29179693973074988</v>
      </c>
      <c r="L16">
        <v>120</v>
      </c>
    </row>
  </sheetData>
  <conditionalFormatting pivot="1" sqref="B2:K16">
    <cfRule type="colorScale" priority="1">
      <colorScale>
        <cfvo type="num" val="0"/>
        <cfvo type="num" val="0.75"/>
        <cfvo type="num" val="0.8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6609-9BF6-4F33-AA1C-779292C95B57}">
  <dimension ref="A1:D7"/>
  <sheetViews>
    <sheetView workbookViewId="0">
      <selection activeCell="B19" sqref="B19"/>
    </sheetView>
  </sheetViews>
  <sheetFormatPr baseColWidth="10" defaultRowHeight="14.4" x14ac:dyDescent="0.3"/>
  <cols>
    <col min="1" max="1" width="16.5546875" bestFit="1" customWidth="1"/>
    <col min="2" max="2" width="50.21875" bestFit="1" customWidth="1"/>
    <col min="3" max="3" width="25.88671875" bestFit="1" customWidth="1"/>
    <col min="4" max="4" width="18" bestFit="1" customWidth="1"/>
  </cols>
  <sheetData>
    <row r="1" spans="1:4" x14ac:dyDescent="0.3">
      <c r="A1" s="2" t="s">
        <v>8</v>
      </c>
      <c r="B1" t="s">
        <v>81</v>
      </c>
    </row>
    <row r="3" spans="1:4" x14ac:dyDescent="0.3">
      <c r="A3" s="2" t="s">
        <v>222</v>
      </c>
      <c r="B3" t="s">
        <v>224</v>
      </c>
      <c r="C3" t="s">
        <v>225</v>
      </c>
      <c r="D3" t="s">
        <v>235</v>
      </c>
    </row>
    <row r="4" spans="1:4" x14ac:dyDescent="0.3">
      <c r="A4" s="3" t="s">
        <v>236</v>
      </c>
      <c r="B4">
        <v>0.72163277328752373</v>
      </c>
      <c r="C4">
        <v>0.26266412106111126</v>
      </c>
      <c r="D4">
        <v>20</v>
      </c>
    </row>
    <row r="5" spans="1:4" x14ac:dyDescent="0.3">
      <c r="A5" s="3" t="s">
        <v>237</v>
      </c>
      <c r="B5">
        <v>0.70689227713703207</v>
      </c>
      <c r="C5">
        <v>6.6067408824490012E-2</v>
      </c>
      <c r="D5">
        <v>20</v>
      </c>
    </row>
    <row r="6" spans="1:4" x14ac:dyDescent="0.3">
      <c r="A6" s="3" t="s">
        <v>238</v>
      </c>
      <c r="B6">
        <v>5.6126037248090309E-2</v>
      </c>
      <c r="C6">
        <v>4.2698008399114237E-2</v>
      </c>
      <c r="D6">
        <v>20</v>
      </c>
    </row>
    <row r="7" spans="1:4" x14ac:dyDescent="0.3">
      <c r="A7" s="3" t="s">
        <v>223</v>
      </c>
      <c r="B7">
        <v>0.49488369589088205</v>
      </c>
      <c r="C7">
        <v>0.12380984609490521</v>
      </c>
      <c r="D7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812E-3290-4C9A-940B-C5A93C1E8E72}">
  <dimension ref="A1:D7"/>
  <sheetViews>
    <sheetView tabSelected="1" workbookViewId="0">
      <selection activeCell="A6" sqref="A6"/>
    </sheetView>
  </sheetViews>
  <sheetFormatPr baseColWidth="10" defaultRowHeight="14.4" x14ac:dyDescent="0.3"/>
  <cols>
    <col min="1" max="1" width="16.5546875" bestFit="1" customWidth="1"/>
    <col min="2" max="2" width="24.88671875" bestFit="1" customWidth="1"/>
    <col min="3" max="3" width="25.88671875" bestFit="1" customWidth="1"/>
    <col min="4" max="4" width="18" bestFit="1" customWidth="1"/>
  </cols>
  <sheetData>
    <row r="1" spans="1:4" x14ac:dyDescent="0.3">
      <c r="A1" s="2" t="s">
        <v>8</v>
      </c>
      <c r="B1" t="s">
        <v>242</v>
      </c>
    </row>
    <row r="3" spans="1:4" x14ac:dyDescent="0.3">
      <c r="A3" s="2" t="s">
        <v>222</v>
      </c>
      <c r="B3" t="s">
        <v>224</v>
      </c>
      <c r="C3" t="s">
        <v>225</v>
      </c>
      <c r="D3" t="s">
        <v>235</v>
      </c>
    </row>
    <row r="4" spans="1:4" x14ac:dyDescent="0.3">
      <c r="A4" s="3" t="s">
        <v>236</v>
      </c>
      <c r="B4" s="5">
        <v>0.80622340805828618</v>
      </c>
      <c r="C4" s="5">
        <v>-0.98954713353781665</v>
      </c>
      <c r="D4" s="5">
        <v>20</v>
      </c>
    </row>
    <row r="5" spans="1:4" x14ac:dyDescent="0.3">
      <c r="A5" s="3" t="s">
        <v>237</v>
      </c>
      <c r="B5" s="5">
        <v>0.8430616309943455</v>
      </c>
      <c r="C5" s="5">
        <v>-1.933970561885983</v>
      </c>
      <c r="D5" s="5">
        <v>20</v>
      </c>
    </row>
    <row r="6" spans="1:4" x14ac:dyDescent="0.3">
      <c r="A6" s="3" t="s">
        <v>238</v>
      </c>
      <c r="B6" s="5">
        <v>0.9602308307024664</v>
      </c>
      <c r="C6" s="5">
        <v>-1.2551682482423954</v>
      </c>
      <c r="D6" s="5">
        <v>20</v>
      </c>
    </row>
    <row r="7" spans="1:4" x14ac:dyDescent="0.3">
      <c r="A7" s="3" t="s">
        <v>223</v>
      </c>
      <c r="B7" s="5">
        <v>0.86983862325169925</v>
      </c>
      <c r="C7" s="5">
        <v>-1.3928953145553982</v>
      </c>
      <c r="D7" s="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Map_analysis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2026-04-02T09:06:17Z</dcterms:created>
  <dcterms:modified xsi:type="dcterms:W3CDTF">2026-05-05T12:11:14Z</dcterms:modified>
</cp:coreProperties>
</file>