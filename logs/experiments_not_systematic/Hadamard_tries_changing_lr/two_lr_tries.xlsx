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Hadamard_tries_changing_lr/"/>
    </mc:Choice>
  </mc:AlternateContent>
  <xr:revisionPtr revIDLastSave="10" documentId="11_320192BBD310D7C9844A1CD04B5ED87656CD5A2C" xr6:coauthVersionLast="47" xr6:coauthVersionMax="47" xr10:uidLastSave="{0FB11A9C-7842-4C6A-96B4-A2B76182D7EA}"/>
  <bookViews>
    <workbookView minimized="1" xWindow="2208" yWindow="4152" windowWidth="17280" windowHeight="8880" activeTab="1" xr2:uid="{00000000-000D-0000-FFFF-FFFF00000000}"/>
  </bookViews>
  <sheets>
    <sheet name="Sheet1" sheetId="1" r:id="rId1"/>
    <sheet name="Hoja1" sheetId="2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<sst xmlns="http://schemas.openxmlformats.org/spreadsheetml/2006/main" count="202" uniqueCount="105">
  <si>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</si>
  <si>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</si>
  <si>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</si>
  <si>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</si>
  <si>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</si>
  <si>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</si>
  <si>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</si>
  <si>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</si>
  <si>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</si>
  <si>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</si>
  <si>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</si>
  <si>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</si>
  <si>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</si>
  <si>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</si>
  <si>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</si>
  <si>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</si>
  <si>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</si>
  <si>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</si>
  <si>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</si>
  <si>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</si>
  <si>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</si>
  <si>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</si>
  <si>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</si>
  <si>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</si>
  <si>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</si>
  <si>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</si>
  <si>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</si>
  <si>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</si>
  <si>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</si>
  <si>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</si>
  <si>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</si>
  <si>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</si>
  <si>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</si>
  <si>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</si>
  <si>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</si>
  <si>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</si>
  <si>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</si>
  <si>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</si>
  <si>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</si>
  <si>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</si>
  <si>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</si>
  <si>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</si>
  <si>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</si>
  <si>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</si>
  <si>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</si>
  <si>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</si>
  <si>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</si>
  <si>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</si>
  <si>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</si>
  <si>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</si>
  <si>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</si>
  <si>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</si>
  <si>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</si>
  <si>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</si>
  <si>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</si>
  <si>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</si>
  <si>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</si>
  <si>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</si>
  <si>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</si>
  <si>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</si>
  <si>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</si>
  <si>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</si>
  <si>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</si>
  <si>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</si>
  <si>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</si>
  <si>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</si>
  <si>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</si>
  <si>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</si>
  <si>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</si>
  <si>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</si>
  <si>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</si>
  <si>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</si>
  <si>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</si>
  <si>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</si>
  <si>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</si>
  <si>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</si>
  <si>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03-06_14-22-21_multihead_spsa_serial_f5_w5_h5_effsu2_lin_r1.pkl</t>
  </si>
  <si>
    <t>Final (Last Iteration)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</si>
  <si>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</si>
  <si>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</si>
  <si>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</si>
  <si>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</si>
  <si>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</si>
  <si>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</si>
  <si>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</si>
  <si>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4, 'reps': 1, 'encoding': 'serial', 'ansatz': 'effsu2', 'entangle': 'lin', 'map': [2, 3, 4, 0, 1, -1]}]</t>
  </si>
  <si>
    <t>serial</t>
  </si>
  <si>
    <t>effsu2</t>
  </si>
  <si>
    <t>lin</t>
  </si>
  <si>
    <t>[2, 3, 4, 0, 1, -1]</t>
  </si>
  <si>
    <t>spsa</t>
  </si>
  <si>
    <t>[0.1, 0.01]</t>
  </si>
  <si>
    <t>[1.0, 1.0, 1.0, 1.0]</t>
  </si>
  <si>
    <t>identity</t>
  </si>
  <si>
    <t>03-06_15-40-10_multihead_spsa_serial_f5_w5_h5_effsu2_lin_r1.pkl</t>
  </si>
  <si>
    <t>Best (Lowest Val Loss)</t>
  </si>
  <si>
    <t>03-06_17-07-15_multihead_spsa_serial_f5_w5_h5_effsu2_lin_r1.pkl</t>
  </si>
  <si>
    <t>03-06_19-19-58_multihead_spsa_serial_f5_w5_h5_effsu2_lin_r1.pkl</t>
  </si>
  <si>
    <t>[0.2, 0.01]</t>
  </si>
  <si>
    <t>03-06_20-29-42_multihead_spsa_serial_f5_w5_h5_effsu2_lin_r1.pkl</t>
  </si>
  <si>
    <t>03-06_21-37-01_multihead_spsa_serial_f5_w5_h5_effsu2_lin_r1.pkl</t>
  </si>
  <si>
    <t>Etiquetas de fila</t>
  </si>
  <si>
    <t>Total general</t>
  </si>
  <si>
    <t>Promedio de global open R2</t>
  </si>
  <si>
    <t>Promedio de global closed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</si>
</sst>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90.412226273147" createdVersion="8" refreshedVersion="8" minRefreshableVersion="3" recordCount="6" xr:uid="{D09B0551-86D7-4F05-858D-CE8632534666}">
  <cacheSource type="worksheet">
    <worksheetSource name="Tabla1"/>
  </cacheSource>
  <cacheFields count="76">
    <cacheField name="date" numFmtId="164">
      <sharedItems containsSemiMixedTypes="0" containsNonDate="0" containsDate="1" containsString="0" minDate="2026-03-06T14:22:21" maxDate="2026-03-06T21:37:01"/>
    </cacheField>
    <cacheField name="model_id" numFmtId="0">
      <sharedItems/>
    </cacheField>
    <cacheField name="run" numFmtId="0">
      <sharedItems containsSemiMixedTypes="0" containsString="0" containsNumber="1" containsInteger="1" minValue="0" maxValue="2" count="3">
        <n v="0"/>
        <n v="1"/>
        <n v="2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 count="2">
        <s v="[0.1, 0.01]"/>
        <s v="[0.2, 0.01]"/>
      </sharedItems>
    </cacheField>
    <cacheField name="perturbation" numFmtId="0">
      <sharedItems containsSemiMixedTypes="0" containsString="0" containsNumber="1" minValue="0.0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40"/>
    </cacheField>
    <cacheField name="q params" numFmtId="0">
      <sharedItems containsSemiMixedTypes="0" containsString="0" containsNumber="1" containsInteger="1" minValue="20" maxValue="2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8.6125523799696457E-2" maxValue="0.16759783998916231"/>
    </cacheField>
    <cacheField name="Val Global Open MSE" numFmtId="0">
      <sharedItems containsSemiMixedTypes="0" containsString="0" containsNumber="1" minValue="43.31045585766568" maxValue="69.565618432416301"/>
    </cacheField>
    <cacheField name="Val Global Open R2" numFmtId="0">
      <sharedItems containsSemiMixedTypes="0" containsString="0" containsNumber="1" minValue="0.46108887969427809" maxValue="0.62695369012683144"/>
    </cacheField>
    <cacheField name="Val Global Closed R2" numFmtId="0">
      <sharedItems containsSemiMixedTypes="0" containsString="0" containsNumber="1" minValue="3.7277214369978502E-2" maxValue="0.29212371639982138"/>
    </cacheField>
    <cacheField name="step MSE" numFmtId="0">
      <sharedItems containsSemiMixedTypes="0" containsString="0" containsNumber="1" minValue="51.596033691556379" maxValue="75.83692694715252"/>
    </cacheField>
    <cacheField name="step R2" numFmtId="0">
      <sharedItems containsSemiMixedTypes="0" containsString="0" containsNumber="1" minValue="0.41530032990620791" maxValue="0.595801358022785"/>
    </cacheField>
    <cacheField name="local MSE" numFmtId="0">
      <sharedItems containsSemiMixedTypes="0" containsString="0" containsNumber="1" minValue="51.596033691556379" maxValue="75.83692694715252"/>
    </cacheField>
    <cacheField name="global open MSE" numFmtId="0">
      <sharedItems containsSemiMixedTypes="0" containsString="0" containsNumber="1" minValue="51.596033691556379" maxValue="75.83692694715252"/>
    </cacheField>
    <cacheField name="global open R2" numFmtId="0">
      <sharedItems containsSemiMixedTypes="0" containsString="0" containsNumber="1" minValue="0.41530032990620791" maxValue="0.595801358022785"/>
    </cacheField>
    <cacheField name="global closed MSE" numFmtId="0">
      <sharedItems containsSemiMixedTypes="0" containsString="0" containsNumber="1" minValue="78.864673861315495" maxValue="96.604226533260999"/>
    </cacheField>
    <cacheField name="global closed R2" numFmtId="0">
      <sharedItems containsSemiMixedTypes="0" containsString="0" containsNumber="1" minValue="0.17014362521894219" maxValue="0.32873663601799769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4.1341471193758757E-2" maxValue="0.1049714494426103"/>
    </cacheField>
    <cacheField name="Surge Velocity Step R2" numFmtId="0">
      <sharedItems containsSemiMixedTypes="0" containsString="0" containsNumber="1" minValue="0.23777155331508351" maxValue="0.69980746632525159"/>
    </cacheField>
    <cacheField name="Surge Velocity Local MSE" numFmtId="0">
      <sharedItems containsSemiMixedTypes="0" containsString="0" containsNumber="1" minValue="4.1341471193758757E-2" maxValue="0.1049714494426103"/>
    </cacheField>
    <cacheField name="Surge Velocity Global open MSE" numFmtId="0">
      <sharedItems containsSemiMixedTypes="0" containsString="0" containsNumber="1" minValue="4.1341471193758757E-2" maxValue="0.1049714494426103"/>
    </cacheField>
    <cacheField name="Surge Velocity Global open R2" numFmtId="0">
      <sharedItems containsSemiMixedTypes="0" containsString="0" containsNumber="1" minValue="0.23777155331508351" maxValue="0.69980746632525159"/>
    </cacheField>
    <cacheField name="Surge Velocity Global closed MSE" numFmtId="0">
      <sharedItems containsSemiMixedTypes="0" containsString="0" containsNumber="1" minValue="8.5845070055765513E-2" maxValue="0.21727053736013011"/>
    </cacheField>
    <cacheField name="Surge Velocity Global closed R2" numFmtId="0">
      <sharedItems containsSemiMixedTypes="0" containsString="0" containsNumber="1" minValue="-0.57766502303038836" maxValue="0.37665379727906279"/>
    </cacheField>
    <cacheField name="Sway Velocity Step MSE" numFmtId="0">
      <sharedItems containsSemiMixedTypes="0" containsString="0" containsNumber="1" minValue="7.8757756864798037E-2" maxValue="0.18697470340758701"/>
    </cacheField>
    <cacheField name="Sway Velocity Step R2" numFmtId="0">
      <sharedItems containsSemiMixedTypes="0" containsString="0" containsNumber="1" minValue="0.35217258712583882" maxValue="0.72712119370355421"/>
    </cacheField>
    <cacheField name="Sway Velocity Local MSE" numFmtId="0">
      <sharedItems containsSemiMixedTypes="0" containsString="0" containsNumber="1" minValue="7.8757756864798037E-2" maxValue="0.18697470340758701"/>
    </cacheField>
    <cacheField name="Sway Velocity Global open MSE" numFmtId="0">
      <sharedItems containsSemiMixedTypes="0" containsString="0" containsNumber="1" minValue="7.8757756864798037E-2" maxValue="0.18697470340758701"/>
    </cacheField>
    <cacheField name="Sway Velocity Global open R2" numFmtId="0">
      <sharedItems containsSemiMixedTypes="0" containsString="0" containsNumber="1" minValue="0.35217258712583882" maxValue="0.72712119370355421"/>
    </cacheField>
    <cacheField name="Sway Velocity Global closed MSE" numFmtId="0">
      <sharedItems containsSemiMixedTypes="0" containsString="0" containsNumber="1" minValue="0.1180989732055916" maxValue="0.18493814672251491"/>
    </cacheField>
    <cacheField name="Sway Velocity Global closed R2" numFmtId="0">
      <sharedItems containsSemiMixedTypes="0" containsString="0" containsNumber="1" minValue="0.35922882106774168" maxValue="0.59081228165879895"/>
    </cacheField>
    <cacheField name="Yaw Rate Step MSE" numFmtId="0">
      <sharedItems containsSemiMixedTypes="0" containsString="0" containsNumber="1" minValue="4.344784641890679E-2" maxValue="0.1149292261444385"/>
    </cacheField>
    <cacheField name="Yaw Rate Step R2" numFmtId="0">
      <sharedItems containsSemiMixedTypes="0" containsString="0" containsNumber="1" minValue="0.53859550936323064" maxValue="0.82557063926467278"/>
    </cacheField>
    <cacheField name="Yaw Rate Local MSE" numFmtId="0">
      <sharedItems containsSemiMixedTypes="0" containsString="0" containsNumber="1" minValue="4.344784641890679E-2" maxValue="0.1149292261444385"/>
    </cacheField>
    <cacheField name="Yaw Rate Global open MSE" numFmtId="0">
      <sharedItems containsSemiMixedTypes="0" containsString="0" containsNumber="1" minValue="4.344784641890679E-2" maxValue="0.1149292261444385"/>
    </cacheField>
    <cacheField name="Yaw Rate Global open R2" numFmtId="0">
      <sharedItems containsSemiMixedTypes="0" containsString="0" containsNumber="1" minValue="0.53859550936323064" maxValue="0.82557063926467278"/>
    </cacheField>
    <cacheField name="Yaw Rate Global closed MSE" numFmtId="0">
      <sharedItems containsSemiMixedTypes="0" containsString="0" containsNumber="1" minValue="6.1416134354195677E-2" maxValue="0.12595840863577851"/>
    </cacheField>
    <cacheField name="Yaw Rate Global closed R2" numFmtId="0">
      <sharedItems containsSemiMixedTypes="0" containsString="0" containsNumber="1" minValue="0.49431683021193168" maxValue="0.75343364660818857"/>
    </cacheField>
    <cacheField name="Yaw Angle Step MSE" numFmtId="0">
      <sharedItems containsSemiMixedTypes="0" containsString="0" containsNumber="1" minValue="206.1507083590522" maxValue="303.03006890939002"/>
    </cacheField>
    <cacheField name="Yaw Angle Step R2" numFmtId="0">
      <sharedItems containsSemiMixedTypes="0" containsString="0" containsNumber="1" minValue="0.1375230058532213" maxValue="0.41325874383802741"/>
    </cacheField>
    <cacheField name="Yaw Angle Local MSE" numFmtId="0">
      <sharedItems containsSemiMixedTypes="0" containsString="0" containsNumber="1" minValue="206.1507083590522" maxValue="303.03006890939002"/>
    </cacheField>
    <cacheField name="Yaw Angle Global open MSE" numFmtId="0">
      <sharedItems containsSemiMixedTypes="0" containsString="0" containsNumber="1" minValue="206.1507083590522" maxValue="303.03006890939002"/>
    </cacheField>
    <cacheField name="Yaw Angle Global open R2" numFmtId="0">
      <sharedItems containsSemiMixedTypes="0" containsString="0" containsNumber="1" minValue="0.1375230058532213" maxValue="0.41325874383802741"/>
    </cacheField>
    <cacheField name="Yaw Angle Global closed MSE" numFmtId="0">
      <sharedItems containsSemiMixedTypes="0" containsString="0" containsNumber="1" minValue="315.11772859976639" maxValue="386.05571512578041"/>
    </cacheField>
    <cacheField name="Yaw Angle Global closed R2" numFmtId="0">
      <sharedItems containsSemiMixedTypes="0" containsString="0" containsNumber="1" minValue="-9.8782619009432082E-2" maxValue="0.10311939556614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d v="2026-03-06T14:22:21"/>
    <s v="03-06_14-22-21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s v="[2, 3, 4, 0, 1, -1]"/>
    <s v="false"/>
    <s v="spsa"/>
    <n v="4000"/>
    <n v="4000"/>
    <m/>
    <n v="256"/>
    <x v="0"/>
    <n v="0.05"/>
    <s v="[1.0, 1.0, 1.0, 1.0]"/>
    <n v="140"/>
    <n v="20"/>
    <n v="120"/>
    <n v="0.13984352361662031"/>
    <n v="65.513121340700209"/>
    <n v="0.46108887969427809"/>
    <n v="3.7277214369978502E-2"/>
    <n v="72.83249267376479"/>
    <n v="0.41530032990620791"/>
    <n v="72.83249267376479"/>
    <n v="72.83249267376479"/>
    <n v="0.41530032990620791"/>
    <n v="90.969066648726283"/>
    <n v="0.17014362521894219"/>
    <n v="0.8"/>
    <s v="identity"/>
    <n v="5.528036624976343E-2"/>
    <n v="0.59859306580531624"/>
    <n v="5.528036624976343E-2"/>
    <n v="5.528036624976343E-2"/>
    <n v="0.59859306580531624"/>
    <n v="0.21727053736013011"/>
    <n v="-0.57766502303038836"/>
    <n v="0.18697470340758701"/>
    <n v="0.35217258712583882"/>
    <n v="0.18697470340758701"/>
    <n v="0.18697470340758701"/>
    <n v="0.35217258712583882"/>
    <n v="0.12538368931988"/>
    <n v="0.5655722962071057"/>
    <n v="0.1149292261444385"/>
    <n v="0.53859550936323064"/>
    <n v="0.1149292261444385"/>
    <n v="0.1149292261444385"/>
    <n v="0.53859550936323064"/>
    <n v="6.7961881916950628E-2"/>
    <n v="0.72715454057615014"/>
    <n v="290.97278639925719"/>
    <n v="0.17184015733044719"/>
    <n v="290.97278639925719"/>
    <n v="290.97278639925719"/>
    <n v="0.17184015733044719"/>
    <n v="363.46565048630862"/>
    <n v="-3.4487312877092828E-2"/>
  </r>
  <r>
    <d v="2026-03-06T15:40:10"/>
    <s v="03-06_15-40-1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s v="[2, 3, 4, 0, 1, -1]"/>
    <s v="false"/>
    <s v="spsa"/>
    <n v="4000"/>
    <n v="4000"/>
    <m/>
    <n v="256"/>
    <x v="0"/>
    <n v="0.15"/>
    <s v="[1.0, 1.0, 1.0, 1.0]"/>
    <n v="140"/>
    <n v="20"/>
    <n v="120"/>
    <n v="0.16117275476271001"/>
    <n v="69.565618432416301"/>
    <n v="0.48443118258347512"/>
    <n v="0.2433448656883713"/>
    <n v="73.028615053402078"/>
    <n v="0.45349582593934618"/>
    <n v="73.028615053402078"/>
    <n v="73.028615053402078"/>
    <n v="0.45349582593934618"/>
    <n v="83.338246154610715"/>
    <n v="0.18079560479497819"/>
    <n v="0.8"/>
    <s v="identity"/>
    <n v="7.746013933582209E-2"/>
    <n v="0.43753923567359798"/>
    <n v="7.746013933582209E-2"/>
    <n v="7.746013933582209E-2"/>
    <n v="0.43753923567359798"/>
    <n v="0.1629090598038628"/>
    <n v="-0.18293040883546641"/>
    <n v="0.14378481686996339"/>
    <n v="0.50181631939589044"/>
    <n v="0.14378481686996339"/>
    <n v="0.14378481686996339"/>
    <n v="0.50181631939589044"/>
    <n v="0.18493814672251491"/>
    <n v="0.35922882106774168"/>
    <n v="7.3430866593542726E-2"/>
    <n v="0.70519829694990366"/>
    <n v="7.3430866593542726E-2"/>
    <n v="7.3430866593542726E-2"/>
    <n v="0.70519829694990366"/>
    <n v="0.12595840863577851"/>
    <n v="0.49431683021193168"/>
    <n v="291.8197843908095"/>
    <n v="0.16942945173799079"/>
    <n v="291.8197843908095"/>
    <n v="291.8197843908095"/>
    <n v="0.16942945173799079"/>
    <n v="332.87917900328182"/>
    <n v="5.2567176735702208E-2"/>
  </r>
  <r>
    <d v="2026-03-06T17:07:15"/>
    <s v="03-06_17-07-1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s v="[2, 3, 4, 0, 1, -1]"/>
    <s v="false"/>
    <s v="spsa"/>
    <n v="4000"/>
    <n v="4000"/>
    <m/>
    <n v="256"/>
    <x v="0"/>
    <n v="0.15"/>
    <s v="[1.0, 1.0, 1.0, 1.0]"/>
    <n v="140"/>
    <n v="20"/>
    <n v="120"/>
    <n v="0.16759783998916231"/>
    <n v="69.113315801092256"/>
    <n v="0.50116867065685489"/>
    <n v="0.1151310387592006"/>
    <n v="75.83692694715252"/>
    <n v="0.45464033778450152"/>
    <n v="75.83692694715252"/>
    <n v="75.83692694715252"/>
    <n v="0.45464033778450152"/>
    <n v="91.631462347524163"/>
    <n v="0.19692326500828269"/>
    <n v="0.8"/>
    <s v="identity"/>
    <n v="4.3203406575630987E-2"/>
    <n v="0.68628740804761401"/>
    <n v="4.3203406575630987E-2"/>
    <n v="4.3203406575630987E-2"/>
    <n v="0.68628740804761401"/>
    <n v="0.20437282311433719"/>
    <n v="-0.48401094139620637"/>
    <n v="0.17552833763563011"/>
    <n v="0.39183179978785099"/>
    <n v="0.17552833763563011"/>
    <n v="0.17552833763563011"/>
    <n v="0.39183179978785099"/>
    <n v="0.12689096816415471"/>
    <n v="0.56034989693934045"/>
    <n v="9.8907135010184569E-2"/>
    <n v="0.60291913744931502"/>
    <n v="9.8907135010184569E-2"/>
    <n v="9.8907135010184569E-2"/>
    <n v="0.60291913744931502"/>
    <n v="6.1416134354195677E-2"/>
    <n v="0.75343364660818857"/>
    <n v="303.03006890939002"/>
    <n v="0.1375230058532213"/>
    <n v="303.03006890939002"/>
    <n v="303.03006890939002"/>
    <n v="0.1375230058532213"/>
    <n v="366.13316946446372"/>
    <n v="-4.2079542118200308E-2"/>
  </r>
  <r>
    <d v="2026-03-06T19:19:58"/>
    <s v="03-06_19-19-5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s v="[2, 3, 4, 0, 1, -1]"/>
    <s v="false"/>
    <s v="spsa"/>
    <n v="4000"/>
    <n v="4000"/>
    <m/>
    <n v="256"/>
    <x v="1"/>
    <n v="0.05"/>
    <s v="[1.0, 1.0, 1.0, 1.0]"/>
    <n v="140"/>
    <n v="20"/>
    <n v="120"/>
    <n v="8.6125523799696457E-2"/>
    <n v="50.447868705354217"/>
    <n v="0.62695369012683144"/>
    <n v="0.24884357184946171"/>
    <n v="58.723626988833757"/>
    <n v="0.5753709182997897"/>
    <n v="58.723626988833757"/>
    <n v="58.723626988833757"/>
    <n v="0.5753709182997897"/>
    <n v="80.313632541865502"/>
    <n v="0.2609535427687974"/>
    <n v="0.8"/>
    <s v="identity"/>
    <n v="7.6835522039139625E-2"/>
    <n v="0.44207476485177799"/>
    <n v="7.6835522039139625E-2"/>
    <n v="7.6835522039139625E-2"/>
    <n v="0.44207476485177799"/>
    <n v="0.17037195585953541"/>
    <n v="-0.23712068341480561"/>
    <n v="7.8757756864798037E-2"/>
    <n v="0.72712119370355421"/>
    <n v="7.8757756864798037E-2"/>
    <n v="7.8757756864798037E-2"/>
    <n v="0.72712119370355421"/>
    <n v="0.12190564804338019"/>
    <n v="0.57762296638312782"/>
    <n v="4.9753748353689127E-2"/>
    <n v="0.80025443756531534"/>
    <n v="4.9753748353689127E-2"/>
    <n v="4.9753748353689127E-2"/>
    <n v="0.80025443756531534"/>
    <n v="9.5510588328699492E-2"/>
    <n v="0.61655519804129244"/>
    <n v="234.68916092807689"/>
    <n v="0.3320332770785136"/>
    <n v="234.68916092807689"/>
    <n v="234.68916092807689"/>
    <n v="0.3320332770785136"/>
    <n v="320.86674197522939"/>
    <n v="8.6756690065582509E-2"/>
  </r>
  <r>
    <d v="2026-03-06T20:29:42"/>
    <s v="03-06_20-29-42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s v="[2, 3, 4, 0, 1, -1]"/>
    <s v="false"/>
    <s v="spsa"/>
    <n v="4000"/>
    <n v="4000"/>
    <m/>
    <n v="256"/>
    <x v="1"/>
    <n v="0.05"/>
    <s v="[1.0, 1.0, 1.0, 1.0]"/>
    <n v="140"/>
    <n v="20"/>
    <n v="120"/>
    <n v="9.1658337415802704E-2"/>
    <n v="43.31045585766568"/>
    <n v="0.56570376638038811"/>
    <n v="0.29212371639982138"/>
    <n v="51.596033691556379"/>
    <n v="0.54551736292796438"/>
    <n v="51.596033691556379"/>
    <n v="51.596033691556379"/>
    <n v="0.54551736292796438"/>
    <n v="78.864673861315495"/>
    <n v="0.32873663601799769"/>
    <n v="0.8"/>
    <s v="identity"/>
    <n v="0.1049714494426103"/>
    <n v="0.23777155331508351"/>
    <n v="0.1049714494426103"/>
    <n v="0.1049714494426103"/>
    <n v="0.23777155331508351"/>
    <n v="0.1491528793860096"/>
    <n v="-8.304275283096163E-2"/>
    <n v="8.5007111311887526E-2"/>
    <n v="0.70546851529407828"/>
    <n v="8.5007111311887526E-2"/>
    <n v="8.5007111311887526E-2"/>
    <n v="0.70546851529407828"/>
    <n v="0.1180989732055916"/>
    <n v="0.59081228165879895"/>
    <n v="4.344784641890679E-2"/>
    <n v="0.82557063926467278"/>
    <n v="4.344784641890679E-2"/>
    <n v="4.344784641890679E-2"/>
    <n v="0.82557063926467278"/>
    <n v="7.3714992905270199E-2"/>
    <n v="0.7040576196780115"/>
    <n v="206.1507083590522"/>
    <n v="0.41325874383802741"/>
    <n v="206.1507083590522"/>
    <n v="206.1507083590522"/>
    <n v="0.41325874383802741"/>
    <n v="315.11772859976639"/>
    <n v="0.1031193955661432"/>
  </r>
  <r>
    <d v="2026-03-06T21:37:01"/>
    <s v="03-06_21-37-0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s v="[2, 3, 4, 0, 1, -1]"/>
    <s v="false"/>
    <s v="spsa"/>
    <n v="4000"/>
    <n v="4000"/>
    <m/>
    <n v="256"/>
    <x v="1"/>
    <n v="0.05"/>
    <s v="[1.0, 1.0, 1.0, 1.0]"/>
    <n v="140"/>
    <n v="20"/>
    <n v="120"/>
    <n v="9.6141730069776041E-2"/>
    <n v="48.850331432829883"/>
    <n v="0.61286539006575769"/>
    <n v="0.25296982972423049"/>
    <n v="56.590489596281287"/>
    <n v="0.595801358022785"/>
    <n v="56.590489596281287"/>
    <n v="56.590489596281287"/>
    <n v="0.595801358022785"/>
    <n v="96.604226533260999"/>
    <n v="0.31742679140553459"/>
    <n v="0.8"/>
    <s v="identity"/>
    <n v="4.1341471193758757E-2"/>
    <n v="0.69980746632525159"/>
    <n v="4.1341471193758757E-2"/>
    <n v="4.1341471193758757E-2"/>
    <n v="0.69980746632525159"/>
    <n v="8.5845070055765513E-2"/>
    <n v="0.37665379727906279"/>
    <n v="0.11528827606545369"/>
    <n v="0.60055074693502974"/>
    <n v="0.11528827606545369"/>
    <n v="0.11528827606545369"/>
    <n v="0.60055074693502974"/>
    <n v="0.1768745478779358"/>
    <n v="0.38716746882455239"/>
    <n v="6.8131508064857862E-2"/>
    <n v="0.72647354524537633"/>
    <n v="6.8131508064857862E-2"/>
    <n v="6.8131508064857862E-2"/>
    <n v="0.72647354524537633"/>
    <n v="9.8471389330027942E-2"/>
    <n v="0.60466851852795522"/>
    <n v="226.13719712980139"/>
    <n v="0.35637367358548278"/>
    <n v="226.13719712980139"/>
    <n v="226.13719712980139"/>
    <n v="0.35637367358548278"/>
    <n v="386.05571512578041"/>
    <n v="-9.878261900943208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EF47D-EA82-4C20-A274-6D60AD721AB3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2" firstHeaderRow="0" firstDataRow="1" firstDataCol="1"/>
  <pivotFields count="76">
    <pivotField numFmtId="16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9"/>
    <field x="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global open R2" fld="43" subtotal="average" baseField="29" baseItem="0"/>
    <dataField name="Promedio de global closed R2" fld="45" subtotal="average" baseField="2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20DA6-E35F-47D6-B216-4F574776173D}" name="Tabla1" displayName="Tabla1" ref="A1:BX7" totalsRowShown="0" headerRowDxfId="3" headerRowBorderDxfId="2" tableBorderDxfId="1">
  <autoFilter ref="A1:BX7" xr:uid="{C2E20DA6-E35F-47D6-B216-4F574776173D}"/>
  <tableColumns count="76">
    <tableColumn id="1" xr3:uid="{D93344CD-04A0-49A5-951B-4B9F62B1E844}" name="date" dataDxfId="0"/>
    <tableColumn id="2" xr3:uid="{5BE388B6-4148-4E8D-B2AF-E5BDC77A27CC}" name="model_id"/>
    <tableColumn id="3" xr3:uid="{E8D02C33-E155-4056-A834-0EB286F0FB32}" name="run"/>
    <tableColumn id="4" xr3:uid="{478DF291-1CDF-4524-8337-412F14B8ACAC}" name="weight_selection"/>
    <tableColumn id="5" xr3:uid="{239FF5BB-EBF5-4107-81CA-E2B897464CD5}" name="data"/>
    <tableColumn id="6" xr3:uid="{10DD2D1B-8FC7-4538-96B1-6C05ABCF1040}" name="data_n"/>
    <tableColumn id="7" xr3:uid="{219FEA4F-14EE-49EC-8143-6F3A278FA093}" name="data_dt"/>
    <tableColumn id="8" xr3:uid="{25313931-311F-46EA-94E1-2DE39D9D4BCB}" name="features"/>
    <tableColumn id="9" xr3:uid="{B0AE117D-0C4E-40BC-A690-B9B5BE6F4D1C}" name="targets"/>
    <tableColumn id="10" xr3:uid="{50180604-5402-436F-BCC6-1FA0AD194BA3}" name="window_size"/>
    <tableColumn id="11" xr3:uid="{89D65053-0BB8-46F6-820C-02CC7F194927}" name="horizon"/>
    <tableColumn id="12" xr3:uid="{AFFC7621-8BC1-4289-985C-00B1BFD118EC}" name="predict"/>
    <tableColumn id="13" xr3:uid="{520BF22A-2102-4F2C-8226-B28EB0637FB5}" name="norm"/>
    <tableColumn id="14" xr3:uid="{6053849A-A83C-4407-BEAD-27729372D69D}" name="reconstruct_train"/>
    <tableColumn id="15" xr3:uid="{8D712F84-A0F9-466C-9AF4-9FE3B40E34DA}" name="reconstruct_val"/>
    <tableColumn id="16" xr3:uid="{997AC232-B398-45EB-8C25-4C8CA82216AE}" name="model"/>
    <tableColumn id="17" xr3:uid="{E62BEB7D-3E80-49F1-93A2-D33C6C13FC64}" name="heads_config"/>
    <tableColumn id="18" xr3:uid="{E2D666B4-88E2-4E93-8204-C2906006BA45}" name="head_number"/>
    <tableColumn id="19" xr3:uid="{4B491C3C-AB3A-408E-AD30-81BD0AC1AFCF}" name="encoding"/>
    <tableColumn id="20" xr3:uid="{C144ADEC-0C3A-43DA-B1AF-B80EE96487CD}" name="ansatz"/>
    <tableColumn id="21" xr3:uid="{FA4D06CC-6F0E-4609-82DA-DB9103BF71B6}" name="entangle"/>
    <tableColumn id="22" xr3:uid="{1D101CCD-CCD3-451D-B579-A825198419C7}" name="reps"/>
    <tableColumn id="23" xr3:uid="{9103D196-E1D3-46B0-BA52-C16E51D01CFA}" name="map"/>
    <tableColumn id="24" xr3:uid="{B04B7F38-6292-43C1-9E40-A1C10BB86343}" name="reorder"/>
    <tableColumn id="25" xr3:uid="{A83B0DA8-6398-4A46-8F41-26005916C2DF}" name="optimizer"/>
    <tableColumn id="26" xr3:uid="{279BC56F-1292-496E-8A35-0DC532A2B28C}" name="maxiter"/>
    <tableColumn id="27" xr3:uid="{6F5044A7-A864-473C-89E9-BBA47DF185E7}" name="iterations"/>
    <tableColumn id="28" xr3:uid="{4FDEEF03-786E-4A5B-AE27-3EF1F1FAD836}" name="tolerance"/>
    <tableColumn id="29" xr3:uid="{08FA56E7-A8FD-415C-9FB4-DA3BF9F844C0}" name="batch_size"/>
    <tableColumn id="30" xr3:uid="{966CD696-F6E7-4210-A353-8E62750F9B0D}" name="learning_rate"/>
    <tableColumn id="31" xr3:uid="{105A18B8-5CD9-46F3-B098-A0026E3C1DF9}" name="perturbation"/>
    <tableColumn id="32" xr3:uid="{9804F9E8-F717-4D60-91E7-C55F52A1C141}" name="weights"/>
    <tableColumn id="33" xr3:uid="{DB034C74-B803-4E25-B586-56135185A497}" name="total params"/>
    <tableColumn id="34" xr3:uid="{F6740B28-C4C9-48E6-AF27-393051601C57}" name="q params"/>
    <tableColumn id="35" xr3:uid="{015C1FE1-607C-4C3C-A854-40CE13C81229}" name="c params"/>
    <tableColumn id="36" xr3:uid="{70276F69-2991-4DA5-88DC-4299E76AC115}" name="final val loss"/>
    <tableColumn id="37" xr3:uid="{A75669BC-F206-4F30-9C4B-2437C600A529}" name="Val Global Open MSE"/>
    <tableColumn id="38" xr3:uid="{168DC8D0-C8C7-461F-B445-75928CFADB88}" name="Val Global Open R2"/>
    <tableColumn id="39" xr3:uid="{021D9F02-B0FA-4F94-B176-967EE8E7FD32}" name="Val Global Closed R2"/>
    <tableColumn id="40" xr3:uid="{600A9E8C-DBE4-4BB9-9E28-67505A145C2D}" name="step MSE"/>
    <tableColumn id="41" xr3:uid="{33FF2EB7-6B5F-490D-ADE7-4942180A8F18}" name="step R2"/>
    <tableColumn id="42" xr3:uid="{9315BE3F-072B-43FA-A604-B3EFF19467B8}" name="local MSE"/>
    <tableColumn id="43" xr3:uid="{80985B8F-6125-4B7F-AF1D-CCE13E8D0301}" name="global open MSE"/>
    <tableColumn id="44" xr3:uid="{D00EEA52-B7CB-4279-A7DB-051F036492FB}" name="global open R2"/>
    <tableColumn id="45" xr3:uid="{56E3B25A-05D3-415C-9D33-1F8EDB665E4B}" name="global closed MSE"/>
    <tableColumn id="46" xr3:uid="{5A5ECF68-E130-400D-9614-8D3DD1C80589}" name="global closed R2"/>
    <tableColumn id="47" xr3:uid="{25F00068-5CED-4208-BFCB-DB3748F23498}" name="recursivity"/>
    <tableColumn id="48" xr3:uid="{8C455960-3BD7-4DD6-A1D2-D4FC20D21688}" name="initialization"/>
    <tableColumn id="49" xr3:uid="{0E6B60AE-7DBB-4B64-9CDA-F2DBA53BA901}" name="Surge Velocity Step MSE"/>
    <tableColumn id="50" xr3:uid="{6263A4D9-24C2-4B76-941E-C3180B02E06F}" name="Surge Velocity Step R2"/>
    <tableColumn id="51" xr3:uid="{F239F49F-4B34-48FC-B7A5-CB2ECD270FE9}" name="Surge Velocity Local MSE"/>
    <tableColumn id="52" xr3:uid="{3E4AD465-2190-4740-A349-6CC61FBF86F2}" name="Surge Velocity Global open MSE"/>
    <tableColumn id="53" xr3:uid="{AA948158-6109-4238-9CCC-51A23C483477}" name="Surge Velocity Global open R2"/>
    <tableColumn id="54" xr3:uid="{57B140EF-CA31-48F2-94AE-0146099FA05D}" name="Surge Velocity Global closed MSE"/>
    <tableColumn id="55" xr3:uid="{49551814-FFB7-45EA-A44E-79DDF7647764}" name="Surge Velocity Global closed R2"/>
    <tableColumn id="56" xr3:uid="{B2C27C78-AAEC-4939-B157-BDE33ED9FA88}" name="Sway Velocity Step MSE"/>
    <tableColumn id="57" xr3:uid="{874C7FC4-E8A5-411D-8EEE-20EE2F1B0055}" name="Sway Velocity Step R2"/>
    <tableColumn id="58" xr3:uid="{C855B85A-C8E2-4B4B-9072-876CF23D7758}" name="Sway Velocity Local MSE"/>
    <tableColumn id="59" xr3:uid="{E05BFDE0-5484-4512-BEB7-87ABBA7D92D8}" name="Sway Velocity Global open MSE"/>
    <tableColumn id="60" xr3:uid="{CA3C2CBE-A577-4D7E-AF8F-44ADEB98D1ED}" name="Sway Velocity Global open R2"/>
    <tableColumn id="61" xr3:uid="{E2573D66-E5D4-43A5-A794-59D27E35E2FF}" name="Sway Velocity Global closed MSE"/>
    <tableColumn id="62" xr3:uid="{E6DC2D05-B622-4806-9D19-FAC672B3568E}" name="Sway Velocity Global closed R2"/>
    <tableColumn id="63" xr3:uid="{A2E11FCD-4F17-4A4A-8359-0381DD1B93CE}" name="Yaw Rate Step MSE"/>
    <tableColumn id="64" xr3:uid="{C5DCEAC1-512C-4CAD-B1B1-E44C9683A388}" name="Yaw Rate Step R2"/>
    <tableColumn id="65" xr3:uid="{C1E73A6C-2B2D-4B5F-B3A0-DDD1AB8D828F}" name="Yaw Rate Local MSE"/>
    <tableColumn id="66" xr3:uid="{AAF05D27-FAE5-4E63-A671-D935EA73047F}" name="Yaw Rate Global open MSE"/>
    <tableColumn id="67" xr3:uid="{29295CC3-946D-45A3-8C57-6FDCA39DDE36}" name="Yaw Rate Global open R2"/>
    <tableColumn id="68" xr3:uid="{1BC3C444-97B5-4877-8137-86979218EC00}" name="Yaw Rate Global closed MSE"/>
    <tableColumn id="69" xr3:uid="{2C359D1C-FD2C-4D8D-AD75-3A1DEA2CC94D}" name="Yaw Rate Global closed R2"/>
    <tableColumn id="70" xr3:uid="{8A332B90-8B60-498A-98C6-574A92E19E87}" name="Yaw Angle Step MSE"/>
    <tableColumn id="71" xr3:uid="{C3A71F62-8713-4FD2-B088-4555DAD3819F}" name="Yaw Angle Step R2"/>
    <tableColumn id="72" xr3:uid="{A83F850A-582F-4FB6-B2D1-2965921A2745}" name="Yaw Angle Local MSE"/>
    <tableColumn id="73" xr3:uid="{8BA124CC-531C-4B63-8FCC-AA63BB6C62CA}" name="Yaw Angle Global open MSE"/>
    <tableColumn id="74" xr3:uid="{B40428CC-C818-4B76-A307-3A121395D2C4}" name="Yaw Angle Global open R2"/>
    <tableColumn id="75" xr3:uid="{655E15F1-976A-41B5-B831-F0471C57F936}" name="Yaw Angle Global closed MSE"/>
    <tableColumn id="76" xr3:uid="{8CF27AC0-BA75-43BF-ADE6-80BB94CC6293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7"/>
  <sheetViews>
    <sheetView workbookViewId="0">
      <selection activeCell="H15" sqref="H15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</row>
    <row r="2" spans="1:76" x14ac:dyDescent="0.3">
      <c r="A2" s="1">
        <v>46087.598854166667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1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0.05</v>
      </c>
      <c r="AF2" t="s">
        <v>92</v>
      </c>
      <c r="AG2">
        <v>140</v>
      </c>
      <c r="AH2">
        <v>20</v>
      </c>
      <c r="AI2">
        <v>120</v>
      </c>
      <c r="AJ2">
        <v>0.13984352361662031</v>
      </c>
      <c r="AK2">
        <v>65.513121340700209</v>
      </c>
      <c r="AL2">
        <v>0.46108887969427809</v>
      </c>
      <c r="AM2">
        <v>3.7277214369978502E-2</v>
      </c>
      <c r="AN2">
        <v>72.83249267376479</v>
      </c>
      <c r="AO2">
        <v>0.41530032990620791</v>
      </c>
      <c r="AP2">
        <v>72.83249267376479</v>
      </c>
      <c r="AQ2">
        <v>72.83249267376479</v>
      </c>
      <c r="AR2">
        <v>0.41530032990620791</v>
      </c>
      <c r="AS2">
        <v>90.969066648726283</v>
      </c>
      <c r="AT2">
        <v>0.17014362521894219</v>
      </c>
      <c r="AU2">
        <v>0.8</v>
      </c>
      <c r="AV2" t="s">
        <v>93</v>
      </c>
      <c r="AW2">
        <v>5.528036624976343E-2</v>
      </c>
      <c r="AX2">
        <v>0.59859306580531624</v>
      </c>
      <c r="AY2">
        <v>5.528036624976343E-2</v>
      </c>
      <c r="AZ2">
        <v>5.528036624976343E-2</v>
      </c>
      <c r="BA2">
        <v>0.59859306580531624</v>
      </c>
      <c r="BB2">
        <v>0.21727053736013011</v>
      </c>
      <c r="BC2">
        <v>-0.57766502303038836</v>
      </c>
      <c r="BD2">
        <v>0.18697470340758701</v>
      </c>
      <c r="BE2">
        <v>0.35217258712583882</v>
      </c>
      <c r="BF2">
        <v>0.18697470340758701</v>
      </c>
      <c r="BG2">
        <v>0.18697470340758701</v>
      </c>
      <c r="BH2">
        <v>0.35217258712583882</v>
      </c>
      <c r="BI2">
        <v>0.12538368931988</v>
      </c>
      <c r="BJ2">
        <v>0.5655722962071057</v>
      </c>
      <c r="BK2">
        <v>0.1149292261444385</v>
      </c>
      <c r="BL2">
        <v>0.53859550936323064</v>
      </c>
      <c r="BM2">
        <v>0.1149292261444385</v>
      </c>
      <c r="BN2">
        <v>0.1149292261444385</v>
      </c>
      <c r="BO2">
        <v>0.53859550936323064</v>
      </c>
      <c r="BP2">
        <v>6.7961881916950628E-2</v>
      </c>
      <c r="BQ2">
        <v>0.72715454057615014</v>
      </c>
      <c r="BR2">
        <v>290.97278639925719</v>
      </c>
      <c r="BS2">
        <v>0.17184015733044719</v>
      </c>
      <c r="BT2">
        <v>290.97278639925719</v>
      </c>
      <c r="BU2">
        <v>290.97278639925719</v>
      </c>
      <c r="BV2">
        <v>0.17184015733044719</v>
      </c>
      <c r="BW2">
        <v>363.46565048630862</v>
      </c>
      <c r="BX2">
        <v>-3.4487312877092828E-2</v>
      </c>
    </row>
    <row r="3" spans="1:76" x14ac:dyDescent="0.3">
      <c r="A3" s="1">
        <v>46087.65289351852</v>
      </c>
      <c r="B3" t="s">
        <v>94</v>
      </c>
      <c r="C3">
        <v>1</v>
      </c>
      <c r="D3" t="s">
        <v>95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85</v>
      </c>
      <c r="R3">
        <v>1</v>
      </c>
      <c r="S3" t="s">
        <v>86</v>
      </c>
      <c r="T3" t="s">
        <v>87</v>
      </c>
      <c r="U3" t="s">
        <v>88</v>
      </c>
      <c r="V3">
        <v>1</v>
      </c>
      <c r="W3" t="s">
        <v>89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140</v>
      </c>
      <c r="AH3">
        <v>20</v>
      </c>
      <c r="AI3">
        <v>120</v>
      </c>
      <c r="AJ3">
        <v>0.16117275476271001</v>
      </c>
      <c r="AK3">
        <v>69.565618432416301</v>
      </c>
      <c r="AL3">
        <v>0.48443118258347512</v>
      </c>
      <c r="AM3">
        <v>0.2433448656883713</v>
      </c>
      <c r="AN3">
        <v>73.028615053402078</v>
      </c>
      <c r="AO3">
        <v>0.45349582593934618</v>
      </c>
      <c r="AP3">
        <v>73.028615053402078</v>
      </c>
      <c r="AQ3">
        <v>73.028615053402078</v>
      </c>
      <c r="AR3">
        <v>0.45349582593934618</v>
      </c>
      <c r="AS3">
        <v>83.338246154610715</v>
      </c>
      <c r="AT3">
        <v>0.18079560479497819</v>
      </c>
      <c r="AU3">
        <v>0.8</v>
      </c>
      <c r="AV3" t="s">
        <v>93</v>
      </c>
      <c r="AW3">
        <v>7.746013933582209E-2</v>
      </c>
      <c r="AX3">
        <v>0.43753923567359798</v>
      </c>
      <c r="AY3">
        <v>7.746013933582209E-2</v>
      </c>
      <c r="AZ3">
        <v>7.746013933582209E-2</v>
      </c>
      <c r="BA3">
        <v>0.43753923567359798</v>
      </c>
      <c r="BB3">
        <v>0.1629090598038628</v>
      </c>
      <c r="BC3">
        <v>-0.18293040883546641</v>
      </c>
      <c r="BD3">
        <v>0.14378481686996339</v>
      </c>
      <c r="BE3">
        <v>0.50181631939589044</v>
      </c>
      <c r="BF3">
        <v>0.14378481686996339</v>
      </c>
      <c r="BG3">
        <v>0.14378481686996339</v>
      </c>
      <c r="BH3">
        <v>0.50181631939589044</v>
      </c>
      <c r="BI3">
        <v>0.18493814672251491</v>
      </c>
      <c r="BJ3">
        <v>0.35922882106774168</v>
      </c>
      <c r="BK3">
        <v>7.3430866593542726E-2</v>
      </c>
      <c r="BL3">
        <v>0.70519829694990366</v>
      </c>
      <c r="BM3">
        <v>7.3430866593542726E-2</v>
      </c>
      <c r="BN3">
        <v>7.3430866593542726E-2</v>
      </c>
      <c r="BO3">
        <v>0.70519829694990366</v>
      </c>
      <c r="BP3">
        <v>0.12595840863577851</v>
      </c>
      <c r="BQ3">
        <v>0.49431683021193168</v>
      </c>
      <c r="BR3">
        <v>291.8197843908095</v>
      </c>
      <c r="BS3">
        <v>0.16942945173799079</v>
      </c>
      <c r="BT3">
        <v>291.8197843908095</v>
      </c>
      <c r="BU3">
        <v>291.8197843908095</v>
      </c>
      <c r="BV3">
        <v>0.16942945173799079</v>
      </c>
      <c r="BW3">
        <v>332.87917900328182</v>
      </c>
      <c r="BX3">
        <v>5.2567176735702208E-2</v>
      </c>
    </row>
    <row r="4" spans="1:76" x14ac:dyDescent="0.3">
      <c r="A4" s="1">
        <v>46087.713368055563</v>
      </c>
      <c r="B4" t="s">
        <v>96</v>
      </c>
      <c r="C4">
        <v>2</v>
      </c>
      <c r="D4" t="s">
        <v>95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85</v>
      </c>
      <c r="R4">
        <v>1</v>
      </c>
      <c r="S4" t="s">
        <v>86</v>
      </c>
      <c r="T4" t="s">
        <v>87</v>
      </c>
      <c r="U4" t="s">
        <v>88</v>
      </c>
      <c r="V4">
        <v>1</v>
      </c>
      <c r="W4" t="s">
        <v>89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140</v>
      </c>
      <c r="AH4">
        <v>20</v>
      </c>
      <c r="AI4">
        <v>120</v>
      </c>
      <c r="AJ4">
        <v>0.16759783998916231</v>
      </c>
      <c r="AK4">
        <v>69.113315801092256</v>
      </c>
      <c r="AL4">
        <v>0.50116867065685489</v>
      </c>
      <c r="AM4">
        <v>0.1151310387592006</v>
      </c>
      <c r="AN4">
        <v>75.83692694715252</v>
      </c>
      <c r="AO4">
        <v>0.45464033778450152</v>
      </c>
      <c r="AP4">
        <v>75.83692694715252</v>
      </c>
      <c r="AQ4">
        <v>75.83692694715252</v>
      </c>
      <c r="AR4">
        <v>0.45464033778450152</v>
      </c>
      <c r="AS4">
        <v>91.631462347524163</v>
      </c>
      <c r="AT4">
        <v>0.19692326500828269</v>
      </c>
      <c r="AU4">
        <v>0.8</v>
      </c>
      <c r="AV4" t="s">
        <v>93</v>
      </c>
      <c r="AW4">
        <v>4.3203406575630987E-2</v>
      </c>
      <c r="AX4">
        <v>0.68628740804761401</v>
      </c>
      <c r="AY4">
        <v>4.3203406575630987E-2</v>
      </c>
      <c r="AZ4">
        <v>4.3203406575630987E-2</v>
      </c>
      <c r="BA4">
        <v>0.68628740804761401</v>
      </c>
      <c r="BB4">
        <v>0.20437282311433719</v>
      </c>
      <c r="BC4">
        <v>-0.48401094139620637</v>
      </c>
      <c r="BD4">
        <v>0.17552833763563011</v>
      </c>
      <c r="BE4">
        <v>0.39183179978785099</v>
      </c>
      <c r="BF4">
        <v>0.17552833763563011</v>
      </c>
      <c r="BG4">
        <v>0.17552833763563011</v>
      </c>
      <c r="BH4">
        <v>0.39183179978785099</v>
      </c>
      <c r="BI4">
        <v>0.12689096816415471</v>
      </c>
      <c r="BJ4">
        <v>0.56034989693934045</v>
      </c>
      <c r="BK4">
        <v>9.8907135010184569E-2</v>
      </c>
      <c r="BL4">
        <v>0.60291913744931502</v>
      </c>
      <c r="BM4">
        <v>9.8907135010184569E-2</v>
      </c>
      <c r="BN4">
        <v>9.8907135010184569E-2</v>
      </c>
      <c r="BO4">
        <v>0.60291913744931502</v>
      </c>
      <c r="BP4">
        <v>6.1416134354195677E-2</v>
      </c>
      <c r="BQ4">
        <v>0.75343364660818857</v>
      </c>
      <c r="BR4">
        <v>303.03006890939002</v>
      </c>
      <c r="BS4">
        <v>0.1375230058532213</v>
      </c>
      <c r="BT4">
        <v>303.03006890939002</v>
      </c>
      <c r="BU4">
        <v>303.03006890939002</v>
      </c>
      <c r="BV4">
        <v>0.1375230058532213</v>
      </c>
      <c r="BW4">
        <v>366.13316946446372</v>
      </c>
      <c r="BX4">
        <v>-4.2079542118200308E-2</v>
      </c>
    </row>
    <row r="5" spans="1:76" x14ac:dyDescent="0.3">
      <c r="A5" s="1">
        <v>46087.805532407408</v>
      </c>
      <c r="B5" t="s">
        <v>97</v>
      </c>
      <c r="C5">
        <v>0</v>
      </c>
      <c r="D5" t="s">
        <v>95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85</v>
      </c>
      <c r="R5">
        <v>1</v>
      </c>
      <c r="S5" t="s">
        <v>86</v>
      </c>
      <c r="T5" t="s">
        <v>87</v>
      </c>
      <c r="U5" t="s">
        <v>88</v>
      </c>
      <c r="V5">
        <v>1</v>
      </c>
      <c r="W5" t="s">
        <v>89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98</v>
      </c>
      <c r="AE5">
        <v>0.05</v>
      </c>
      <c r="AF5" t="s">
        <v>92</v>
      </c>
      <c r="AG5">
        <v>140</v>
      </c>
      <c r="AH5">
        <v>20</v>
      </c>
      <c r="AI5">
        <v>120</v>
      </c>
      <c r="AJ5">
        <v>8.6125523799696457E-2</v>
      </c>
      <c r="AK5">
        <v>50.447868705354217</v>
      </c>
      <c r="AL5">
        <v>0.62695369012683144</v>
      </c>
      <c r="AM5">
        <v>0.24884357184946171</v>
      </c>
      <c r="AN5">
        <v>58.723626988833757</v>
      </c>
      <c r="AO5">
        <v>0.5753709182997897</v>
      </c>
      <c r="AP5">
        <v>58.723626988833757</v>
      </c>
      <c r="AQ5">
        <v>58.723626988833757</v>
      </c>
      <c r="AR5">
        <v>0.5753709182997897</v>
      </c>
      <c r="AS5">
        <v>80.313632541865502</v>
      </c>
      <c r="AT5">
        <v>0.2609535427687974</v>
      </c>
      <c r="AU5">
        <v>0.8</v>
      </c>
      <c r="AV5" t="s">
        <v>93</v>
      </c>
      <c r="AW5">
        <v>7.6835522039139625E-2</v>
      </c>
      <c r="AX5">
        <v>0.44207476485177799</v>
      </c>
      <c r="AY5">
        <v>7.6835522039139625E-2</v>
      </c>
      <c r="AZ5">
        <v>7.6835522039139625E-2</v>
      </c>
      <c r="BA5">
        <v>0.44207476485177799</v>
      </c>
      <c r="BB5">
        <v>0.17037195585953541</v>
      </c>
      <c r="BC5">
        <v>-0.23712068341480561</v>
      </c>
      <c r="BD5">
        <v>7.8757756864798037E-2</v>
      </c>
      <c r="BE5">
        <v>0.72712119370355421</v>
      </c>
      <c r="BF5">
        <v>7.8757756864798037E-2</v>
      </c>
      <c r="BG5">
        <v>7.8757756864798037E-2</v>
      </c>
      <c r="BH5">
        <v>0.72712119370355421</v>
      </c>
      <c r="BI5">
        <v>0.12190564804338019</v>
      </c>
      <c r="BJ5">
        <v>0.57762296638312782</v>
      </c>
      <c r="BK5">
        <v>4.9753748353689127E-2</v>
      </c>
      <c r="BL5">
        <v>0.80025443756531534</v>
      </c>
      <c r="BM5">
        <v>4.9753748353689127E-2</v>
      </c>
      <c r="BN5">
        <v>4.9753748353689127E-2</v>
      </c>
      <c r="BO5">
        <v>0.80025443756531534</v>
      </c>
      <c r="BP5">
        <v>9.5510588328699492E-2</v>
      </c>
      <c r="BQ5">
        <v>0.61655519804129244</v>
      </c>
      <c r="BR5">
        <v>234.68916092807689</v>
      </c>
      <c r="BS5">
        <v>0.3320332770785136</v>
      </c>
      <c r="BT5">
        <v>234.68916092807689</v>
      </c>
      <c r="BU5">
        <v>234.68916092807689</v>
      </c>
      <c r="BV5">
        <v>0.3320332770785136</v>
      </c>
      <c r="BW5">
        <v>320.86674197522939</v>
      </c>
      <c r="BX5">
        <v>8.6756690065582509E-2</v>
      </c>
    </row>
    <row r="6" spans="1:76" x14ac:dyDescent="0.3">
      <c r="A6" s="1">
        <v>46087.853958333333</v>
      </c>
      <c r="B6" t="s">
        <v>99</v>
      </c>
      <c r="C6">
        <v>1</v>
      </c>
      <c r="D6" t="s">
        <v>95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85</v>
      </c>
      <c r="R6">
        <v>1</v>
      </c>
      <c r="S6" t="s">
        <v>86</v>
      </c>
      <c r="T6" t="s">
        <v>87</v>
      </c>
      <c r="U6" t="s">
        <v>88</v>
      </c>
      <c r="V6">
        <v>1</v>
      </c>
      <c r="W6" t="s">
        <v>89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98</v>
      </c>
      <c r="AE6">
        <v>0.05</v>
      </c>
      <c r="AF6" t="s">
        <v>92</v>
      </c>
      <c r="AG6">
        <v>140</v>
      </c>
      <c r="AH6">
        <v>20</v>
      </c>
      <c r="AI6">
        <v>120</v>
      </c>
      <c r="AJ6">
        <v>9.1658337415802704E-2</v>
      </c>
      <c r="AK6">
        <v>43.31045585766568</v>
      </c>
      <c r="AL6">
        <v>0.56570376638038811</v>
      </c>
      <c r="AM6">
        <v>0.29212371639982138</v>
      </c>
      <c r="AN6">
        <v>51.596033691556379</v>
      </c>
      <c r="AO6">
        <v>0.54551736292796438</v>
      </c>
      <c r="AP6">
        <v>51.596033691556379</v>
      </c>
      <c r="AQ6">
        <v>51.596033691556379</v>
      </c>
      <c r="AR6">
        <v>0.54551736292796438</v>
      </c>
      <c r="AS6">
        <v>78.864673861315495</v>
      </c>
      <c r="AT6">
        <v>0.32873663601799769</v>
      </c>
      <c r="AU6">
        <v>0.8</v>
      </c>
      <c r="AV6" t="s">
        <v>93</v>
      </c>
      <c r="AW6">
        <v>0.1049714494426103</v>
      </c>
      <c r="AX6">
        <v>0.23777155331508351</v>
      </c>
      <c r="AY6">
        <v>0.1049714494426103</v>
      </c>
      <c r="AZ6">
        <v>0.1049714494426103</v>
      </c>
      <c r="BA6">
        <v>0.23777155331508351</v>
      </c>
      <c r="BB6">
        <v>0.1491528793860096</v>
      </c>
      <c r="BC6">
        <v>-8.304275283096163E-2</v>
      </c>
      <c r="BD6">
        <v>8.5007111311887526E-2</v>
      </c>
      <c r="BE6">
        <v>0.70546851529407828</v>
      </c>
      <c r="BF6">
        <v>8.5007111311887526E-2</v>
      </c>
      <c r="BG6">
        <v>8.5007111311887526E-2</v>
      </c>
      <c r="BH6">
        <v>0.70546851529407828</v>
      </c>
      <c r="BI6">
        <v>0.1180989732055916</v>
      </c>
      <c r="BJ6">
        <v>0.59081228165879895</v>
      </c>
      <c r="BK6">
        <v>4.344784641890679E-2</v>
      </c>
      <c r="BL6">
        <v>0.82557063926467278</v>
      </c>
      <c r="BM6">
        <v>4.344784641890679E-2</v>
      </c>
      <c r="BN6">
        <v>4.344784641890679E-2</v>
      </c>
      <c r="BO6">
        <v>0.82557063926467278</v>
      </c>
      <c r="BP6">
        <v>7.3714992905270199E-2</v>
      </c>
      <c r="BQ6">
        <v>0.7040576196780115</v>
      </c>
      <c r="BR6">
        <v>206.1507083590522</v>
      </c>
      <c r="BS6">
        <v>0.41325874383802741</v>
      </c>
      <c r="BT6">
        <v>206.1507083590522</v>
      </c>
      <c r="BU6">
        <v>206.1507083590522</v>
      </c>
      <c r="BV6">
        <v>0.41325874383802741</v>
      </c>
      <c r="BW6">
        <v>315.11772859976639</v>
      </c>
      <c r="BX6">
        <v>0.1031193955661432</v>
      </c>
    </row>
    <row r="7" spans="1:76" x14ac:dyDescent="0.3">
      <c r="A7" s="1">
        <v>46087.900706018518</v>
      </c>
      <c r="B7" t="s">
        <v>100</v>
      </c>
      <c r="C7">
        <v>2</v>
      </c>
      <c r="D7" t="s">
        <v>95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85</v>
      </c>
      <c r="R7">
        <v>1</v>
      </c>
      <c r="S7" t="s">
        <v>86</v>
      </c>
      <c r="T7" t="s">
        <v>87</v>
      </c>
      <c r="U7" t="s">
        <v>88</v>
      </c>
      <c r="V7">
        <v>1</v>
      </c>
      <c r="W7" t="s">
        <v>89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98</v>
      </c>
      <c r="AE7">
        <v>0.05</v>
      </c>
      <c r="AF7" t="s">
        <v>92</v>
      </c>
      <c r="AG7">
        <v>140</v>
      </c>
      <c r="AH7">
        <v>20</v>
      </c>
      <c r="AI7">
        <v>120</v>
      </c>
      <c r="AJ7">
        <v>9.6141730069776041E-2</v>
      </c>
      <c r="AK7">
        <v>48.850331432829883</v>
      </c>
      <c r="AL7">
        <v>0.61286539006575769</v>
      </c>
      <c r="AM7">
        <v>0.25296982972423049</v>
      </c>
      <c r="AN7">
        <v>56.590489596281287</v>
      </c>
      <c r="AO7">
        <v>0.595801358022785</v>
      </c>
      <c r="AP7">
        <v>56.590489596281287</v>
      </c>
      <c r="AQ7">
        <v>56.590489596281287</v>
      </c>
      <c r="AR7">
        <v>0.595801358022785</v>
      </c>
      <c r="AS7">
        <v>96.604226533260999</v>
      </c>
      <c r="AT7">
        <v>0.31742679140553459</v>
      </c>
      <c r="AU7">
        <v>0.8</v>
      </c>
      <c r="AV7" t="s">
        <v>93</v>
      </c>
      <c r="AW7">
        <v>4.1341471193758757E-2</v>
      </c>
      <c r="AX7">
        <v>0.69980746632525159</v>
      </c>
      <c r="AY7">
        <v>4.1341471193758757E-2</v>
      </c>
      <c r="AZ7">
        <v>4.1341471193758757E-2</v>
      </c>
      <c r="BA7">
        <v>0.69980746632525159</v>
      </c>
      <c r="BB7">
        <v>8.5845070055765513E-2</v>
      </c>
      <c r="BC7">
        <v>0.37665379727906279</v>
      </c>
      <c r="BD7">
        <v>0.11528827606545369</v>
      </c>
      <c r="BE7">
        <v>0.60055074693502974</v>
      </c>
      <c r="BF7">
        <v>0.11528827606545369</v>
      </c>
      <c r="BG7">
        <v>0.11528827606545369</v>
      </c>
      <c r="BH7">
        <v>0.60055074693502974</v>
      </c>
      <c r="BI7">
        <v>0.1768745478779358</v>
      </c>
      <c r="BJ7">
        <v>0.38716746882455239</v>
      </c>
      <c r="BK7">
        <v>6.8131508064857862E-2</v>
      </c>
      <c r="BL7">
        <v>0.72647354524537633</v>
      </c>
      <c r="BM7">
        <v>6.8131508064857862E-2</v>
      </c>
      <c r="BN7">
        <v>6.8131508064857862E-2</v>
      </c>
      <c r="BO7">
        <v>0.72647354524537633</v>
      </c>
      <c r="BP7">
        <v>9.8471389330027942E-2</v>
      </c>
      <c r="BQ7">
        <v>0.60466851852795522</v>
      </c>
      <c r="BR7">
        <v>226.13719712980139</v>
      </c>
      <c r="BS7">
        <v>0.35637367358548278</v>
      </c>
      <c r="BT7">
        <v>226.13719712980139</v>
      </c>
      <c r="BU7">
        <v>226.13719712980139</v>
      </c>
      <c r="BV7">
        <v>0.35637367358548278</v>
      </c>
      <c r="BW7">
        <v>386.05571512578041</v>
      </c>
      <c r="BX7">
        <v>-9.8782619009432082E-2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92E8-166A-4760-BB43-62A878B78D27}">
  <dimension ref="A3:C12"/>
  <sheetViews>
    <sheetView tabSelected="1" workbookViewId="0">
      <selection activeCell="B14" sqref="B14"/>
    </sheetView>
  </sheetViews>
  <sheetFormatPr baseColWidth="10" defaultRowHeight="14.4" x14ac:dyDescent="0.3"/>
  <cols>
    <col min="1" max="1" width="16.5546875" bestFit="1" customWidth="1"/>
    <col min="2" max="2" width="24.88671875" bestFit="1" customWidth="1"/>
    <col min="3" max="3" width="25.88671875" bestFit="1" customWidth="1"/>
  </cols>
  <sheetData>
    <row r="3" spans="1:3" x14ac:dyDescent="0.3">
      <c r="A3" s="3" t="s">
        <v>101</v>
      </c>
      <c r="B3" t="s">
        <v>103</v>
      </c>
      <c r="C3" t="s">
        <v>104</v>
      </c>
    </row>
    <row r="4" spans="1:3" x14ac:dyDescent="0.3">
      <c r="A4" s="4" t="s">
        <v>91</v>
      </c>
      <c r="B4">
        <v>0.44114549787668517</v>
      </c>
      <c r="C4">
        <v>0.1826208316740677</v>
      </c>
    </row>
    <row r="5" spans="1:3" x14ac:dyDescent="0.3">
      <c r="A5" s="5">
        <v>0</v>
      </c>
      <c r="B5">
        <v>0.41530032990620791</v>
      </c>
      <c r="C5">
        <v>0.17014362521894219</v>
      </c>
    </row>
    <row r="6" spans="1:3" x14ac:dyDescent="0.3">
      <c r="A6" s="5">
        <v>1</v>
      </c>
      <c r="B6">
        <v>0.45349582593934618</v>
      </c>
      <c r="C6">
        <v>0.18079560479497819</v>
      </c>
    </row>
    <row r="7" spans="1:3" x14ac:dyDescent="0.3">
      <c r="A7" s="5">
        <v>2</v>
      </c>
      <c r="B7">
        <v>0.45464033778450152</v>
      </c>
      <c r="C7">
        <v>0.19692326500828269</v>
      </c>
    </row>
    <row r="8" spans="1:3" x14ac:dyDescent="0.3">
      <c r="A8" s="4" t="s">
        <v>98</v>
      </c>
      <c r="B8">
        <v>0.57222987975017969</v>
      </c>
      <c r="C8">
        <v>0.30237232339744319</v>
      </c>
    </row>
    <row r="9" spans="1:3" x14ac:dyDescent="0.3">
      <c r="A9" s="5">
        <v>0</v>
      </c>
      <c r="B9">
        <v>0.5753709182997897</v>
      </c>
      <c r="C9">
        <v>0.2609535427687974</v>
      </c>
    </row>
    <row r="10" spans="1:3" x14ac:dyDescent="0.3">
      <c r="A10" s="5">
        <v>1</v>
      </c>
      <c r="B10">
        <v>0.54551736292796438</v>
      </c>
      <c r="C10">
        <v>0.32873663601799769</v>
      </c>
    </row>
    <row r="11" spans="1:3" x14ac:dyDescent="0.3">
      <c r="A11" s="5">
        <v>2</v>
      </c>
      <c r="B11">
        <v>0.595801358022785</v>
      </c>
      <c r="C11">
        <v>0.31742679140553459</v>
      </c>
    </row>
    <row r="12" spans="1:3" x14ac:dyDescent="0.3">
      <c r="A12" s="4" t="s">
        <v>102</v>
      </c>
      <c r="B12">
        <v>0.50668768881343251</v>
      </c>
      <c r="C12">
        <v>0.24249657753575549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2026-03-06T21:41:07Z</dcterms:created>
  <dcterms:modified xsi:type="dcterms:W3CDTF">2026-03-09T13:29:33Z</dcterms:modified>
</cp:coreProperties>
</file>