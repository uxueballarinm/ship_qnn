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not_systematic/thesis_final_optimization/"/>
    </mc:Choice>
  </mc:AlternateContent>
  <xr:revisionPtr revIDLastSave="81" documentId="11_4BA110ACD3A05FE1448A1AD04B5ED87656CD4391" xr6:coauthVersionLast="47" xr6:coauthVersionMax="47" xr10:uidLastSave="{CE6D80AF-EE14-4893-AC34-A2F9E999AC6E}"/>
  <bookViews>
    <workbookView xWindow="28680" yWindow="-5580" windowWidth="51840" windowHeight="21120" activeTab="1" xr2:uid="{00000000-000D-0000-FFFF-FFFF00000000}"/>
  </bookViews>
  <sheets>
    <sheet name="Sheet1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<sst xmlns="http://schemas.openxmlformats.org/spreadsheetml/2006/main" count="256" uniqueCount="130">
  <si>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</si>
  <si>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</si>
  <si>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</si>
  <si>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</si>
  <si>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</si>
  <si>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</si>
  <si>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</si>
  <si>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</si>
  <si>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</si>
  <si>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</si>
  <si>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</si>
  <si>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</si>
  <si>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</si>
  <si>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</si>
  <si>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</si>
  <si>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</si>
  <si>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</si>
  <si>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</si>
  <si>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</si>
  <si>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</si>
  <si>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</si>
  <si>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</si>
  <si>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</si>
  <si>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</si>
  <si>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</si>
  <si>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</si>
  <si>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</si>
  <si>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</si>
  <si>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</si>
  <si>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</si>
  <si>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</si>
  <si>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</si>
  <si>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</si>
  <si>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</si>
  <si>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</si>
  <si>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</si>
  <si>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</si>
  <si>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</si>
  <si>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</si>
  <si>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</si>
  <si>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</si>
  <si>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</si>
  <si>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</si>
  <si>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</si>
  <si>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</si>
  <si>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</si>
  <si>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</si>
  <si>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</si>
  <si>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</si>
  <si>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</si>
  <si>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</si>
  <si>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</si>
  <si>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</si>
  <si>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</si>
  <si>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</si>
  <si>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</si>
  <si>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</si>
  <si>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</si>
  <si>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</si>
  <si>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</si>
  <si>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</si>
  <si>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</si>
  <si>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</si>
  <si>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</si>
  <si>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</si>
  <si>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</si>
  <si>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</si>
  <si>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</si>
  <si>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</si>
  <si>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</si>
  <si>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</si>
  <si>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</si>
  <si>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</si>
  <si>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</si>
  <si>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</si>
  <si>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</si>
  <si>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03-01_11-47-16_multihead_spsa_serial_f5_w5_h5_effsu2_rev_r1_3.pkl</t>
  </si>
  <si>
    <t>Best (Lowest Val Loss)</t>
  </si>
  <si>
    <t>data/reduce_row_number_absolutes</t>
  </si>
  <si>
    <t>[['wv', 'rarad'], ['sv', 'yr', 'ya', 'rarad']]</t>
  </si>
  <si>
    <t>['Surge Velocity', 'Sway Velocity', 'Yaw Rate', 'Yaw Angle']</t>
  </si>
  <si>
    <t>motion</t>
  </si>
  <si>
    <t>true</t>
  </si>
  <si>
    <t>false</t>
  </si>
  <si>
    <t>multihead</t>
  </si>
  <si>
    <t>[{'features': ['wv', 'rarad'], 'output_dim': 1, 'reps': 1, 'encoding': 'serial', 'ansatz': 'effsu2', 'entangle': 'rev', 'map': [-1, 0, 1, -1, 0, 1]}, {'features': ['sv', 'yr', 'ya', 'rarad'], 'output_dim': 3, 'reps': 3, 'encoding': 'serial', 'ansatz': 'effsu2', 'entangle': 'rev', 'map': [0, 1, 2, 3, 0, 1]}]</t>
  </si>
  <si>
    <t>serial</t>
  </si>
  <si>
    <t>effsu2</t>
  </si>
  <si>
    <t>rev</t>
  </si>
  <si>
    <t>[1, 3]</t>
  </si>
  <si>
    <t>[[-1, 0, 1, -1, 0, 1], [0, 1, 2, 3, 0, 1]]</t>
  </si>
  <si>
    <t>spsa</t>
  </si>
  <si>
    <t>[0.05, 0.001]</t>
  </si>
  <si>
    <t>[1.0, 5.0, 5.0, 2.0]</t>
  </si>
  <si>
    <t>identity</t>
  </si>
  <si>
    <t>03-01_17-44-42_multihead_spsa_serial_f5_w5_h5_effsu2_rev_r1_3.pkl</t>
  </si>
  <si>
    <t>Final (Last Iteration)</t>
  </si>
  <si>
    <t>[1.0, 1.0, 1.0, 1.0]</t>
  </si>
  <si>
    <t>03-01_21-36-23_multihead_spsa_serial_f5_w5_h5_effsu2_lin_rev_r1.pkl</t>
  </si>
  <si>
    <t>['wv', 'sv', 'yr', 'ya', 'rarad']</t>
  </si>
  <si>
    <t>[{'features': ['wv', 'sv', 'yr', 'ya', 'rarad'], 'output_dim': 1, 'reps': 1, 'encoding': 'serial', 'ansatz': 'effsu2', 'entangle': 'lin', 'map': [0, 3, 1, -1, 4, 2]}, {'features': ['wv', 'sv', 'yr', 'ya', 'rarad'], 'output_dim': 3, 'reps': 1, 'encoding': 'serial', 'ansatz': 'effsu2', 'entangle': 'rev', 'map': [-1, 0, 1, 2, 3, 4]}]</t>
  </si>
  <si>
    <t>['lin', 'rev']</t>
  </si>
  <si>
    <t>1</t>
  </si>
  <si>
    <t>[[0, 3, 1, -1, 4, 2], [-1, 0, 1, 2, 3, 4]]</t>
  </si>
  <si>
    <t>03-02_00-03-33_multihead_spsa_serial_f5_w5_h5_effsu2_lin_rev_rev_r1.pkl</t>
  </si>
  <si>
    <t>[{'features': ['wv', 'sv', 'yr', 'ya', 'rarad'], 'output_dim': 1, 'reps': 1, 'encoding': 'serial', 'ansatz': 'effsu2', 'entangle': 'lin', 'map': [0, 3, 1, -1, 4, 2]}, {'features': ['wv', 'sv', 'yr', 'ya', 'rarad'], 'output_dim': 2, 'reps': 1, 'encoding': 'serial', 'ansatz': 'effsu2', 'entangle': 'rev', 'map': [-1, 0, 1, 2, 3, 4]}, {'features': ['wv', 'sv', 'yr', 'ya', 'rarad'], 'output_dim': 1, 'reps': 1, 'encoding': 'serial', 'ansatz': 'effsu2', 'entangle': 'rev', 'map': [-1, 0, 1, 2, 3, 4]}]</t>
  </si>
  <si>
    <t>['lin', 'rev', 'rev']</t>
  </si>
  <si>
    <t>[[0, 3, 1, -1, 4, 2], [-1, 0, 1, 2, 3, 4], [-1, 0, 1, 2, 3, 4]]</t>
  </si>
  <si>
    <t>Etiquetas de fila</t>
  </si>
  <si>
    <t>Total general</t>
  </si>
  <si>
    <t>Cuenta de model_id</t>
  </si>
  <si>
    <t>Promedio de Val Global Open R2</t>
  </si>
  <si>
    <t>Promedio de Val Global Closed R2</t>
  </si>
  <si>
    <t>Promedio de Yaw Angle Global closed R2</t>
  </si>
  <si>
    <t>Promedio de Yaw Angle Global open R2</t>
  </si>
  <si>
    <t>Promedio de Yaw Rate Global open R2</t>
  </si>
  <si>
    <t>Promedio de Sway Velocity Global closed R2</t>
  </si>
  <si>
    <t>Promedio de Sway Velocity Global open R2</t>
  </si>
  <si>
    <t>Promedio de Surge Velocity Global closed R2</t>
  </si>
  <si>
    <t>Promedio de Yaw Rate Global closed R2</t>
  </si>
  <si>
    <t>Promedio de Surge Velocity Global open R2</t>
  </si>
  <si>
    <t>03-02_09-56-47_multihead_spsa_serial_f5_w5_h5_effsu2_lin_rev_rev_r1.pkl</t>
  </si>
  <si>
    <t>03-02_13-42-15_multihead_spsa_serial_f5_w5_h5_effsu2_lin_rev_rev_r1.pkl</t>
  </si>
  <si>
    <t>03-02_17-37-03_multihead_spsa_serial_f5_w5_h5_effsu2_rev_rev_circ_r2_1_2.pkl</t>
  </si>
  <si>
    <t>[['wv', 'yr', 'rarad'], ['wv', 'sv', 'yr', 'ya', 'rarad'], ['yr', 'ya', 'rarad']]</t>
  </si>
  <si>
    <t>[{'features': ['wv', 'yr', 'rarad'], 'output_dim': 1, 'reps': 2, 'encoding': 'serial', 'ansatz': 'effsu2', 'entangle': 'rev', 'map': [0, 1, 2, 0, 1, -1]}, {'features': ['wv', 'sv', 'yr', 'ya', 'rarad'], 'output_dim': 2, 'reps': 1, 'encoding': 'serial', 'ansatz': 'effsu2', 'entangle': 'rev', 'map': [-1, 0, 1, 2, 3, 4]}, {'features': ['yr', 'ya', 'rarad'], 'output_dim': 1, 'reps': 2, 'encoding': 'serial', 'ansatz': 'effsu2', 'entangle': 'circ', 'map': [0, 1, 2, 0, 1, 2]}]</t>
  </si>
  <si>
    <t>['rev', 'rev', 'circ']</t>
  </si>
  <si>
    <t>[2, 1, 2]</t>
  </si>
  <si>
    <t>[[0, 1, 2, 0, 1, -1], [-1, 0, 1, 2, 3, 4], [0, 1, 2, 0, 1, 2]]</t>
  </si>
  <si>
    <t>[2.0, 1.0, 1.0, 5.0]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</si>
</sst>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84.437200347224" createdVersion="8" refreshedVersion="8" minRefreshableVersion="3" recordCount="7" xr:uid="{F604B183-779D-43D8-A315-F10DD1042781}">
  <cacheSource type="worksheet">
    <worksheetSource name="Tabla1"/>
  </cacheSource>
  <cacheFields count="76">
    <cacheField name="date" numFmtId="164">
      <sharedItems containsSemiMixedTypes="0" containsNonDate="0" containsDate="1" containsString="0" minDate="2026-03-01T11:47:16" maxDate="2026-03-02T17:37:03"/>
    </cacheField>
    <cacheField name="model_id" numFmtId="0">
      <sharedItems/>
    </cacheField>
    <cacheField name="run" numFmtId="0">
      <sharedItems containsSemiMixedTypes="0" containsString="0" containsNumber="1" containsInteger="1" minValue="1" maxValue="3" count="3">
        <n v="1"/>
        <n v="2"/>
        <n v="3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3">
        <s v="[['wv', 'rarad'], ['sv', 'yr', 'ya', 'rarad']]"/>
        <s v="['wv', 'sv', 'yr', 'ya', 'rarad']"/>
        <s v="[['wv', 'yr', 'rarad'], ['wv', 'sv', 'yr', 'ya', 'rarad'], ['yr', 'ya', 'rarad']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3" count="2">
        <n v="2"/>
        <n v="3"/>
      </sharedItems>
    </cacheField>
    <cacheField name="encoding" numFmtId="0">
      <sharedItems count="1">
        <s v="serial"/>
      </sharedItems>
    </cacheField>
    <cacheField name="ansatz" numFmtId="0">
      <sharedItems count="1">
        <s v="effsu2"/>
      </sharedItems>
    </cacheField>
    <cacheField name="entangle" numFmtId="0">
      <sharedItems count="4">
        <s v="rev"/>
        <s v="['lin', 'rev']"/>
        <s v="['lin', 'rev', 'rev']"/>
        <s v="['rev', 'rev', 'circ']"/>
      </sharedItems>
    </cacheField>
    <cacheField name="reps" numFmtId="0">
      <sharedItems count="3">
        <s v="[1, 3]"/>
        <s v="1"/>
        <s v="[2, 1, 2]"/>
      </sharedItems>
    </cacheField>
    <cacheField name="map" numFmtId="0">
      <sharedItems count="4">
        <s v="[[-1, 0, 1, -1, 0, 1], [0, 1, 2, 3, 0, 1]]"/>
        <s v="[[0, 3, 1, -1, 4, 2], [-1, 0, 1, 2, 3, 4]]"/>
        <s v="[[0, 3, 1, -1, 4, 2], [-1, 0, 1, 2, 3, 4], [-1, 0, 1, 2, 3, 4]]"/>
        <s v="[[0, 1, 2, 0, 1, -1], [-1, 0, 1, 2, 3, 4], [0, 1, 2, 0, 1, 2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 count="3">
        <s v="[1.0, 5.0, 5.0, 2.0]"/>
        <s v="[1.0, 1.0, 1.0, 1.0]"/>
        <s v="[2.0, 1.0, 1.0, 5.0]"/>
      </sharedItems>
    </cacheField>
    <cacheField name="total params" numFmtId="0">
      <sharedItems containsSemiMixedTypes="0" containsString="0" containsNumber="1" containsInteger="1" minValue="160" maxValue="220"/>
    </cacheField>
    <cacheField name="q params" numFmtId="0">
      <sharedItems containsSemiMixedTypes="0" containsString="0" containsNumber="1" containsInteger="1" minValue="40" maxValue="10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6.5155793395701544E-2" maxValue="0.32634712859656573"/>
    </cacheField>
    <cacheField name="Val Global Open MSE" numFmtId="0">
      <sharedItems containsSemiMixedTypes="0" containsString="0" containsNumber="1" minValue="9.3204398568691502" maxValue="61.143982373187917"/>
    </cacheField>
    <cacheField name="Val Global Open R2" numFmtId="0">
      <sharedItems containsSemiMixedTypes="0" containsString="0" containsNumber="1" minValue="0.39614340118852559" maxValue="0.89618905259588411"/>
    </cacheField>
    <cacheField name="Val Global Closed R2" numFmtId="0">
      <sharedItems containsSemiMixedTypes="0" containsString="0" containsNumber="1" minValue="-2.1565110156189569" maxValue="0.23103670181798511"/>
    </cacheField>
    <cacheField name="step MSE" numFmtId="0">
      <sharedItems containsSemiMixedTypes="0" containsString="0" containsNumber="1" minValue="11.74085921233304" maxValue="64.45839476368198"/>
    </cacheField>
    <cacheField name="step R2" numFmtId="0">
      <sharedItems containsSemiMixedTypes="0" containsString="0" containsNumber="1" minValue="0.39224358899179429" maxValue="0.89763203837126382"/>
    </cacheField>
    <cacheField name="local MSE" numFmtId="0">
      <sharedItems containsSemiMixedTypes="0" containsString="0" containsNumber="1" minValue="11.74085921233304" maxValue="64.45839476368198"/>
    </cacheField>
    <cacheField name="global open MSE" numFmtId="0">
      <sharedItems containsSemiMixedTypes="0" containsString="0" containsNumber="1" minValue="11.74085921233304" maxValue="64.45839476368198"/>
    </cacheField>
    <cacheField name="global open R2" numFmtId="0">
      <sharedItems containsSemiMixedTypes="0" containsString="0" containsNumber="1" minValue="0.39224358899179429" maxValue="0.89763203837126382"/>
    </cacheField>
    <cacheField name="global closed MSE" numFmtId="0">
      <sharedItems containsSemiMixedTypes="0" containsString="0" containsNumber="1" minValue="46.486676569491728" maxValue="260.07281493401922"/>
    </cacheField>
    <cacheField name="global closed R2" numFmtId="0">
      <sharedItems containsSemiMixedTypes="0" containsString="0" containsNumber="1" minValue="-1.7138361660203749" maxValue="0.2390186599559190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1.039353882034497E-2" maxValue="0.14784892943227401"/>
    </cacheField>
    <cacheField name="Surge Velocity Step R2" numFmtId="0">
      <sharedItems containsSemiMixedTypes="0" containsString="0" containsNumber="1" minValue="-7.3574390213617891E-2" maxValue="0.92452946974956118"/>
    </cacheField>
    <cacheField name="Surge Velocity Local MSE" numFmtId="0">
      <sharedItems containsSemiMixedTypes="0" containsString="0" containsNumber="1" minValue="1.039353882034497E-2" maxValue="0.14784892943227401"/>
    </cacheField>
    <cacheField name="Surge Velocity Global open MSE" numFmtId="0">
      <sharedItems containsSemiMixedTypes="0" containsString="0" containsNumber="1" minValue="1.039353882034497E-2" maxValue="0.14784892943227401"/>
    </cacheField>
    <cacheField name="Surge Velocity Global open R2" numFmtId="0">
      <sharedItems containsSemiMixedTypes="0" containsString="0" containsNumber="1" minValue="-7.3574390213617891E-2" maxValue="0.92452946974956118"/>
    </cacheField>
    <cacheField name="Surge Velocity Global closed MSE" numFmtId="0">
      <sharedItems containsSemiMixedTypes="0" containsString="0" containsNumber="1" minValue="0.1179487676029517" maxValue="0.56055258566474719"/>
    </cacheField>
    <cacheField name="Surge Velocity Global closed R2" numFmtId="0">
      <sharedItems containsSemiMixedTypes="0" containsString="0" containsNumber="1" minValue="-3.0703365431764289" maxValue="0.1435394443367185"/>
    </cacheField>
    <cacheField name="Sway Velocity Step MSE" numFmtId="0">
      <sharedItems containsSemiMixedTypes="0" containsString="0" containsNumber="1" minValue="1.466318802555009E-2" maxValue="7.5497341907043727E-2"/>
    </cacheField>
    <cacheField name="Sway Velocity Step R2" numFmtId="0">
      <sharedItems containsSemiMixedTypes="0" containsString="0" containsNumber="1" minValue="0.73841783516619008" maxValue="0.94919518528465263"/>
    </cacheField>
    <cacheField name="Sway Velocity Local MSE" numFmtId="0">
      <sharedItems containsSemiMixedTypes="0" containsString="0" containsNumber="1" minValue="1.466318802555009E-2" maxValue="7.5497341907043727E-2"/>
    </cacheField>
    <cacheField name="Sway Velocity Global open MSE" numFmtId="0">
      <sharedItems containsSemiMixedTypes="0" containsString="0" containsNumber="1" minValue="1.466318802555009E-2" maxValue="7.5497341907043727E-2"/>
    </cacheField>
    <cacheField name="Sway Velocity Global open R2" numFmtId="0">
      <sharedItems containsSemiMixedTypes="0" containsString="0" containsNumber="1" minValue="0.73841783516619008" maxValue="0.94919518528465263"/>
    </cacheField>
    <cacheField name="Sway Velocity Global closed MSE" numFmtId="0">
      <sharedItems containsSemiMixedTypes="0" containsString="0" containsNumber="1" minValue="5.046272668618907E-2" maxValue="0.90336116339058159"/>
    </cacheField>
    <cacheField name="Sway Velocity Global closed R2" numFmtId="0">
      <sharedItems containsSemiMixedTypes="0" containsString="0" containsNumber="1" minValue="-2.1299534894545848" maxValue="0.82515742996299235"/>
    </cacheField>
    <cacheField name="Yaw Rate Step MSE" numFmtId="0">
      <sharedItems containsSemiMixedTypes="0" containsString="0" containsNumber="1" minValue="1.7070196592042841E-2" maxValue="9.0398714572402783E-2"/>
    </cacheField>
    <cacheField name="Yaw Rate Step R2" numFmtId="0">
      <sharedItems containsSemiMixedTypes="0" containsString="0" containsNumber="1" minValue="0.63707775427741731" maxValue="0.93146856001864609"/>
    </cacheField>
    <cacheField name="Yaw Rate Local MSE" numFmtId="0">
      <sharedItems containsSemiMixedTypes="0" containsString="0" containsNumber="1" minValue="1.7070196592042841E-2" maxValue="9.0398714572402783E-2"/>
    </cacheField>
    <cacheField name="Yaw Rate Global open MSE" numFmtId="0">
      <sharedItems containsSemiMixedTypes="0" containsString="0" containsNumber="1" minValue="1.7070196592042841E-2" maxValue="9.0398714572402783E-2"/>
    </cacheField>
    <cacheField name="Yaw Rate Global open R2" numFmtId="0">
      <sharedItems containsSemiMixedTypes="0" containsString="0" containsNumber="1" minValue="0.63707775427741731" maxValue="0.93146856001864609"/>
    </cacheField>
    <cacheField name="Yaw Rate Global closed MSE" numFmtId="0">
      <sharedItems containsSemiMixedTypes="0" containsString="0" containsNumber="1" minValue="4.2567826984730349E-2" maxValue="0.55040372156719186"/>
    </cacheField>
    <cacheField name="Yaw Rate Global closed R2" numFmtId="0">
      <sharedItems containsSemiMixedTypes="0" containsString="0" containsNumber="1" minValue="-1.2096968483467121" maxValue="0.82910363894106787"/>
    </cacheField>
    <cacheField name="Yaw Angle Step MSE" numFmtId="0">
      <sharedItems containsSemiMixedTypes="0" containsString="0" containsNumber="1" minValue="46.903310014584427" maxValue="257.51983406881601"/>
    </cacheField>
    <cacheField name="Yaw Angle Step R2" numFmtId="0">
      <sharedItems containsSemiMixedTypes="0" containsString="0" containsNumber="1" minValue="0.26705315673718838" maxValue="0.86650491160001253"/>
    </cacheField>
    <cacheField name="Yaw Angle Local MSE" numFmtId="0">
      <sharedItems containsSemiMixedTypes="0" containsString="0" containsNumber="1" minValue="46.903310014584427" maxValue="257.51983406881601"/>
    </cacheField>
    <cacheField name="Yaw Angle Global open MSE" numFmtId="0">
      <sharedItems containsSemiMixedTypes="0" containsString="0" containsNumber="1" minValue="46.903310014584427" maxValue="257.51983406881601"/>
    </cacheField>
    <cacheField name="Yaw Angle Global open R2" numFmtId="0">
      <sharedItems containsSemiMixedTypes="0" containsString="0" containsNumber="1" minValue="0.26705315673718838" maxValue="0.86650491160001253"/>
    </cacheField>
    <cacheField name="Yaw Angle Global closed MSE" numFmtId="0">
      <sharedItems containsSemiMixedTypes="0" containsString="0" containsNumber="1" minValue="185.54194693982171" maxValue="1038.7543219053739"/>
    </cacheField>
    <cacheField name="Yaw Angle Global closed R2" numFmtId="0">
      <sharedItems containsSemiMixedTypes="0" containsString="0" containsNumber="1" minValue="-1.956477911377859" maxValue="0.471914911742146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d v="2026-03-01T11:47:16"/>
    <s v="03-01_11-47-16_multihead_spsa_serial_f5_w5_h5_effsu2_rev_r1_3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wv', 'rarad'], 'output_dim': 1, 'reps': 1, 'encoding': 'serial', 'ansatz': 'effsu2', 'entangle': 'rev', 'map': [-1, 0, 1, -1, 0, 1]}, {'features': ['sv', 'yr', 'ya', 'rarad'], 'output_dim': 3, 'reps': 3, 'encoding': 'serial', 'ansatz': 'effsu2', 'entangle': 'rev', 'map': [0, 1, 2, 3, 0, 1]}]"/>
    <x v="0"/>
    <x v="0"/>
    <x v="0"/>
    <x v="0"/>
    <x v="0"/>
    <x v="0"/>
    <s v="false"/>
    <s v="spsa"/>
    <n v="4000"/>
    <n v="4000"/>
    <m/>
    <n v="256"/>
    <s v="[0.05, 0.001]"/>
    <n v="0.15"/>
    <x v="0"/>
    <n v="200"/>
    <n v="80"/>
    <n v="120"/>
    <n v="0.32634712859656573"/>
    <n v="45.154338023914242"/>
    <n v="0.54635052831444075"/>
    <n v="-0.2371507518341511"/>
    <n v="53.988534284096993"/>
    <n v="0.52034999141072014"/>
    <n v="53.988534284096993"/>
    <n v="53.988534284096993"/>
    <n v="0.52034999141072014"/>
    <n v="103.93439094086629"/>
    <n v="-0.19807407202122429"/>
    <n v="0.8"/>
    <s v="identity"/>
    <n v="0.14139444185043501"/>
    <n v="-2.6706464984654451E-2"/>
    <n v="0.14139444185043501"/>
    <n v="0.14139444185043501"/>
    <n v="-2.6706464984654451E-2"/>
    <n v="0.14596261571408661"/>
    <n v="-5.9877313694155047E-2"/>
    <n v="3.8668922967707013E-2"/>
    <n v="0.86602044090321917"/>
    <n v="3.8668922967707013E-2"/>
    <n v="3.8668922967707013E-2"/>
    <n v="0.86602044090321917"/>
    <n v="0.3719652193451613"/>
    <n v="-0.28878003995147838"/>
    <n v="3.5839676697885098E-2"/>
    <n v="0.85611503421599977"/>
    <n v="3.5839676697885098E-2"/>
    <n v="3.5839676697885098E-2"/>
    <n v="0.85611503421599977"/>
    <n v="0.31453184456212502"/>
    <n v="-0.26274586889536339"/>
    <n v="215.73823409487159"/>
    <n v="0.3859709555083255"/>
    <n v="215.73823409487159"/>
    <n v="215.73823409487159"/>
    <n v="0.3859709555083255"/>
    <n v="414.90510408384353"/>
    <n v="-0.18089306554390319"/>
  </r>
  <r>
    <d v="2026-03-01T17:44:42"/>
    <s v="03-01_17-44-42_multihead_spsa_serial_f5_w5_h5_effsu2_rev_r1_3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wv', 'rarad'], 'output_dim': 1, 'reps': 1, 'encoding': 'serial', 'ansatz': 'effsu2', 'entangle': 'rev', 'map': [-1, 0, 1, -1, 0, 1]}, {'features': ['sv', 'yr', 'ya', 'rarad'], 'output_dim': 3, 'reps': 3, 'encoding': 'serial', 'ansatz': 'effsu2', 'entangle': 'rev', 'map': [0, 1, 2, 3, 0, 1]}]"/>
    <x v="0"/>
    <x v="0"/>
    <x v="0"/>
    <x v="0"/>
    <x v="0"/>
    <x v="0"/>
    <s v="false"/>
    <s v="spsa"/>
    <n v="4000"/>
    <n v="4000"/>
    <m/>
    <n v="256"/>
    <s v="[0.05, 0.001]"/>
    <n v="0.15"/>
    <x v="1"/>
    <n v="200"/>
    <n v="80"/>
    <n v="120"/>
    <n v="0.18523525054803189"/>
    <n v="61.143982373187917"/>
    <n v="0.39614340118852559"/>
    <n v="-7.681559356157841E-2"/>
    <n v="64.45839476368198"/>
    <n v="0.39224358899179429"/>
    <n v="64.45839476368198"/>
    <n v="64.45839476368198"/>
    <n v="0.39224358899179429"/>
    <n v="92.69955200056755"/>
    <n v="-3.6772966921130863E-2"/>
    <n v="0.8"/>
    <s v="identity"/>
    <n v="0.14784892943227401"/>
    <n v="-7.3574390213617891E-2"/>
    <n v="0.14784892943227401"/>
    <n v="0.14784892943227401"/>
    <n v="-7.3574390213617891E-2"/>
    <n v="0.1479116271683211"/>
    <n v="-7.402965684289331E-2"/>
    <n v="7.5497341907043727E-2"/>
    <n v="0.73841783516619008"/>
    <n v="7.5497341907043727E-2"/>
    <n v="7.5497341907043727E-2"/>
    <n v="0.73841783516619008"/>
    <n v="0.30641643862136569"/>
    <n v="-6.1667514783920963E-2"/>
    <n v="9.0398714572402783E-2"/>
    <n v="0.63707775427741731"/>
    <n v="9.0398714572402783E-2"/>
    <n v="9.0398714572402783E-2"/>
    <n v="0.63707775427741731"/>
    <n v="0.23862649583087081"/>
    <n v="4.1990097254230752E-2"/>
    <n v="257.51983406881601"/>
    <n v="0.26705315673718838"/>
    <n v="257.51983406881601"/>
    <n v="257.51983406881601"/>
    <n v="0.26705315673718838"/>
    <n v="370.10525344064888"/>
    <n v="-5.3384793311946448E-2"/>
  </r>
  <r>
    <d v="2026-03-01T21:36:23"/>
    <s v="03-01_21-36-23_multihead_spsa_serial_f5_w5_h5_effsu2_lin_rev_r1.pkl"/>
    <x v="0"/>
    <s v="Best (Lowest Val Loss)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1, 'reps': 1, 'encoding': 'serial', 'ansatz': 'effsu2', 'entangle': 'lin', 'map': [0, 3, 1, -1, 4, 2]}, {'features': ['wv', 'sv', 'yr', 'ya', 'rarad'], 'output_dim': 3, 'reps': 1, 'encoding': 'serial', 'ansatz': 'effsu2', 'entangle': 'rev', 'map': [-1, 0, 1, 2, 3, 4]}]"/>
    <x v="0"/>
    <x v="0"/>
    <x v="0"/>
    <x v="1"/>
    <x v="1"/>
    <x v="1"/>
    <s v="false"/>
    <s v="spsa"/>
    <n v="4000"/>
    <n v="4000"/>
    <m/>
    <n v="256"/>
    <s v="[0.05, 0.001]"/>
    <n v="0.15"/>
    <x v="1"/>
    <n v="160"/>
    <n v="40"/>
    <n v="120"/>
    <n v="0.1122567667494303"/>
    <n v="49.978969353126139"/>
    <n v="0.78568481792772782"/>
    <n v="-2.1565110156189569"/>
    <n v="55.615461303983118"/>
    <n v="0.78196550246841401"/>
    <n v="55.615461303983118"/>
    <n v="55.615461303983118"/>
    <n v="0.78196550246841401"/>
    <n v="127.6341025920308"/>
    <n v="-1.7138361660203749"/>
    <n v="0.8"/>
    <s v="identity"/>
    <n v="1.039353882034497E-2"/>
    <n v="0.92452946974956118"/>
    <n v="1.039353882034497E-2"/>
    <n v="1.039353882034497E-2"/>
    <n v="0.92452946974956118"/>
    <n v="0.56055258566474719"/>
    <n v="-3.0703365431764289"/>
    <n v="2.0774439003204821E-2"/>
    <n v="0.92802100590035141"/>
    <n v="2.0774439003204821E-2"/>
    <n v="2.0774439003204821E-2"/>
    <n v="0.92802100590035141"/>
    <n v="0.90336116339058159"/>
    <n v="-2.1299534894545848"/>
    <n v="2.2835308723076281E-2"/>
    <n v="0.90832345832849548"/>
    <n v="2.2835308723076281E-2"/>
    <n v="2.2835308723076281E-2"/>
    <n v="0.90832345832849548"/>
    <n v="0.54990875252573912"/>
    <n v="-1.2077097042049301"/>
    <n v="222.4078419293858"/>
    <n v="0.36698807589524779"/>
    <n v="222.4078419293858"/>
    <n v="222.4078419293858"/>
    <n v="0.36698807589524779"/>
    <n v="508.52258786654261"/>
    <n v="-0.44734492724555591"/>
  </r>
  <r>
    <d v="2026-03-02T00:03:33"/>
    <s v="03-02_00-03-33_multihead_spsa_serial_f5_w5_h5_effsu2_lin_rev_rev_r1.pkl"/>
    <x v="0"/>
    <s v="Best (Lowest Val Loss)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1, 'reps': 1, 'encoding': 'serial', 'ansatz': 'effsu2', 'entangle': 'lin', 'map': [0, 3, 1, -1, 4, 2]}, {'features': ['wv', 'sv', 'yr', 'ya', 'rarad'], 'output_dim': 2, 'reps': 1, 'encoding': 'serial', 'ansatz': 'effsu2', 'entangle': 'rev', 'map': [-1, 0, 1, 2, 3, 4]}, {'features': ['wv', 'sv', 'yr', 'ya', 'rarad'], 'output_dim': 1, 'reps': 1, 'encoding': 'serial', 'ansatz': 'effsu2', 'entangle': 'rev', 'map': [-1, 0, 1, 2, 3, 4]}]"/>
    <x v="1"/>
    <x v="0"/>
    <x v="0"/>
    <x v="2"/>
    <x v="1"/>
    <x v="2"/>
    <s v="false"/>
    <s v="spsa"/>
    <n v="4000"/>
    <n v="4000"/>
    <m/>
    <n v="256"/>
    <s v="[0.05, 0.001]"/>
    <n v="0.15"/>
    <x v="1"/>
    <n v="180"/>
    <n v="60"/>
    <n v="120"/>
    <n v="6.5155793395701544E-2"/>
    <n v="9.3204398568691502"/>
    <n v="0.88851713161305823"/>
    <n v="8.3582913420188726E-2"/>
    <n v="11.74085921233304"/>
    <n v="0.89763203837126382"/>
    <n v="11.74085921233304"/>
    <n v="11.74085921233304"/>
    <n v="0.89763203837126382"/>
    <n v="46.486676569491728"/>
    <n v="0.2156554882414842"/>
    <n v="0.8"/>
    <s v="identity"/>
    <n v="1.452606296963771E-2"/>
    <n v="0.89452200124332304"/>
    <n v="1.452606296963771E-2"/>
    <n v="1.452606296963771E-2"/>
    <n v="0.89452200124332304"/>
    <n v="0.31172878447486818"/>
    <n v="-1.263554027680265"/>
    <n v="2.286593546816407E-2"/>
    <n v="0.92077441735528831"/>
    <n v="2.286593546816407E-2"/>
    <n v="2.286593546816407E-2"/>
    <n v="0.92077441735528831"/>
    <n v="5.046272668618907E-2"/>
    <n v="0.82515742996299235"/>
    <n v="2.2734836310236619E-2"/>
    <n v="0.90872682328643117"/>
    <n v="2.2734836310236619E-2"/>
    <n v="2.2734836310236619E-2"/>
    <n v="0.90872682328643117"/>
    <n v="4.2567826984730349E-2"/>
    <n v="0.82910363894106787"/>
    <n v="46.903310014584427"/>
    <n v="0.86650491160001253"/>
    <n v="46.903310014584427"/>
    <n v="46.903310014584427"/>
    <n v="0.86650491160001253"/>
    <n v="185.54194693982171"/>
    <n v="0.47191491174214673"/>
  </r>
  <r>
    <d v="2026-03-02T09:56:47"/>
    <s v="03-02_09-56-47_multihead_spsa_serial_f5_w5_h5_effsu2_lin_rev_rev_r1.pkl"/>
    <x v="1"/>
    <s v="Best (Lowest Val Loss)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1, 'reps': 1, 'encoding': 'serial', 'ansatz': 'effsu2', 'entangle': 'lin', 'map': [0, 3, 1, -1, 4, 2]}, {'features': ['wv', 'sv', 'yr', 'ya', 'rarad'], 'output_dim': 2, 'reps': 1, 'encoding': 'serial', 'ansatz': 'effsu2', 'entangle': 'rev', 'map': [-1, 0, 1, 2, 3, 4]}, {'features': ['wv', 'sv', 'yr', 'ya', 'rarad'], 'output_dim': 1, 'reps': 1, 'encoding': 'serial', 'ansatz': 'effsu2', 'entangle': 'rev', 'map': [-1, 0, 1, 2, 3, 4]}]"/>
    <x v="1"/>
    <x v="0"/>
    <x v="0"/>
    <x v="2"/>
    <x v="1"/>
    <x v="2"/>
    <s v="false"/>
    <s v="spsa"/>
    <n v="4000"/>
    <n v="4000"/>
    <m/>
    <n v="256"/>
    <s v="[0.05, 0.001]"/>
    <n v="0.15"/>
    <x v="1"/>
    <n v="180"/>
    <n v="60"/>
    <n v="120"/>
    <n v="8.1036679865434905E-2"/>
    <n v="11.89747862058953"/>
    <n v="0.87313916166724892"/>
    <n v="-1.5735945476692059"/>
    <n v="15.540987047390139"/>
    <n v="0.8790606469707779"/>
    <n v="15.540987047390139"/>
    <n v="15.540987047390139"/>
    <n v="0.8790606469707779"/>
    <n v="260.07281493401922"/>
    <n v="-1.415529615020316"/>
    <n v="0.8"/>
    <s v="identity"/>
    <n v="1.5520007508984621E-2"/>
    <n v="0.88730467875858821"/>
    <n v="1.5520007508984621E-2"/>
    <n v="1.5520007508984621E-2"/>
    <n v="0.88730467875858821"/>
    <n v="0.2838961836741169"/>
    <n v="-1.0614533594680331"/>
    <n v="2.1132433335269211E-2"/>
    <n v="0.92678063200089755"/>
    <n v="2.1132433335269211E-2"/>
    <n v="2.1132433335269211E-2"/>
    <n v="0.92678063200089755"/>
    <n v="0.70263792545732939"/>
    <n v="-1.434490340888644"/>
    <n v="3.016510183682564E-2"/>
    <n v="0.87889665740431577"/>
    <n v="3.016510183682564E-2"/>
    <n v="3.016510183682564E-2"/>
    <n v="0.87889665740431577"/>
    <n v="0.55040372156719186"/>
    <n v="-1.2096968483467121"/>
    <n v="62.097130646879577"/>
    <n v="0.82326061971930953"/>
    <n v="62.097130646879577"/>
    <n v="62.097130646879577"/>
    <n v="0.82326061971930953"/>
    <n v="1038.7543219053739"/>
    <n v="-1.956477911377859"/>
  </r>
  <r>
    <d v="2026-03-02T13:42:15"/>
    <s v="03-02_13-42-15_multihead_spsa_serial_f5_w5_h5_effsu2_lin_rev_rev_r1.pkl"/>
    <x v="2"/>
    <s v="Final (Last Iteration)"/>
    <s v="data/reduce_row_number_absolutes"/>
    <n v="16590"/>
    <n v="4.5"/>
    <x v="1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1, 'reps': 1, 'encoding': 'serial', 'ansatz': 'effsu2', 'entangle': 'lin', 'map': [0, 3, 1, -1, 4, 2]}, {'features': ['wv', 'sv', 'yr', 'ya', 'rarad'], 'output_dim': 2, 'reps': 1, 'encoding': 'serial', 'ansatz': 'effsu2', 'entangle': 'rev', 'map': [-1, 0, 1, 2, 3, 4]}, {'features': ['wv', 'sv', 'yr', 'ya', 'rarad'], 'output_dim': 1, 'reps': 1, 'encoding': 'serial', 'ansatz': 'effsu2', 'entangle': 'rev', 'map': [-1, 0, 1, 2, 3, 4]}]"/>
    <x v="1"/>
    <x v="0"/>
    <x v="0"/>
    <x v="2"/>
    <x v="1"/>
    <x v="2"/>
    <s v="false"/>
    <s v="spsa"/>
    <n v="4000"/>
    <n v="4000"/>
    <m/>
    <n v="256"/>
    <s v="[0.05, 0.001]"/>
    <n v="0.15"/>
    <x v="1"/>
    <n v="180"/>
    <n v="60"/>
    <n v="120"/>
    <n v="7.20068902619143E-2"/>
    <n v="14.839037971582959"/>
    <n v="0.89618905259588411"/>
    <n v="-0.75360014675552978"/>
    <n v="18.701315345821541"/>
    <n v="0.88865083708438752"/>
    <n v="18.701315345821541"/>
    <n v="18.701315345821541"/>
    <n v="0.88865083708438752"/>
    <n v="148.08844178246"/>
    <n v="-0.56046599866976687"/>
    <n v="0.8"/>
    <s v="identity"/>
    <n v="1.560137569761734E-2"/>
    <n v="0.88671384050342061"/>
    <n v="1.560137569761734E-2"/>
    <n v="1.560137569761734E-2"/>
    <n v="0.88671384050342061"/>
    <n v="0.28618676826901412"/>
    <n v="-1.0780859652578909"/>
    <n v="1.466318802555009E-2"/>
    <n v="0.94919518528465263"/>
    <n v="1.466318802555009E-2"/>
    <n v="1.466318802555009E-2"/>
    <n v="0.94919518528465263"/>
    <n v="0.39960894307557682"/>
    <n v="-0.38455963847526697"/>
    <n v="1.7070196592042841E-2"/>
    <n v="0.93146856001864609"/>
    <n v="1.7070196592042841E-2"/>
    <n v="1.7070196592042841E-2"/>
    <n v="0.93146856001864609"/>
    <n v="0.27299885384635769"/>
    <n v="-9.6004048135635234E-2"/>
    <n v="74.757926622970956"/>
    <n v="0.7872257625308301"/>
    <n v="74.757926622970956"/>
    <n v="74.757926622970956"/>
    <n v="0.7872257625308301"/>
    <n v="591.39497256464642"/>
    <n v="-0.68321434281028082"/>
  </r>
  <r>
    <d v="2026-03-02T17:37:03"/>
    <s v="03-02_17-37-03_multihead_spsa_serial_f5_w5_h5_effsu2_rev_rev_circ_r2_1_2.pkl"/>
    <x v="0"/>
    <s v="Final (Last Iteration)"/>
    <s v="data/reduce_row_number_absolutes"/>
    <n v="16590"/>
    <n v="4.5"/>
    <x v="2"/>
    <s v="['Surge Velocity', 'Sway Velocity', 'Yaw Rate', 'Yaw Angle']"/>
    <n v="5"/>
    <n v="5"/>
    <s v="motion"/>
    <s v="true"/>
    <s v="false"/>
    <s v="false"/>
    <s v="multihead"/>
    <s v="[{'features': ['wv', 'yr', 'rarad'], 'output_dim': 1, 'reps': 2, 'encoding': 'serial', 'ansatz': 'effsu2', 'entangle': 'rev', 'map': [0, 1, 2, 0, 1, -1]}, {'features': ['wv', 'sv', 'yr', 'ya', 'rarad'], 'output_dim': 2, 'reps': 1, 'encoding': 'serial', 'ansatz': 'effsu2', 'entangle': 'rev', 'map': [-1, 0, 1, 2, 3, 4]}, {'features': ['yr', 'ya', 'rarad'], 'output_dim': 1, 'reps': 2, 'encoding': 'serial', 'ansatz': 'effsu2', 'entangle': 'circ', 'map': [0, 1, 2, 0, 1, 2]}]"/>
    <x v="1"/>
    <x v="0"/>
    <x v="0"/>
    <x v="3"/>
    <x v="2"/>
    <x v="3"/>
    <s v="false"/>
    <s v="spsa"/>
    <n v="4000"/>
    <n v="4000"/>
    <m/>
    <n v="256"/>
    <s v="[0.05, 0.001]"/>
    <n v="0.15"/>
    <x v="2"/>
    <n v="220"/>
    <n v="100"/>
    <n v="120"/>
    <n v="0.2303017480785009"/>
    <n v="21.3458128331125"/>
    <n v="0.82385352498761921"/>
    <n v="0.23103670181798511"/>
    <n v="31.276246494704811"/>
    <n v="0.78182855891156922"/>
    <n v="31.276246494704811"/>
    <n v="31.276246494704811"/>
    <n v="0.78182855891156922"/>
    <n v="93.693307150147007"/>
    <n v="0.23901865995591901"/>
    <n v="0.8"/>
    <s v="identity"/>
    <n v="4.694694997918767E-2"/>
    <n v="0.65910444269139501"/>
    <n v="4.694694997918767E-2"/>
    <n v="4.694694997918767E-2"/>
    <n v="0.65910444269139501"/>
    <n v="0.1179487676029517"/>
    <n v="0.1435394443367185"/>
    <n v="2.2490109336543961E-2"/>
    <n v="0.92207657463165105"/>
    <n v="2.2490109336543961E-2"/>
    <n v="2.2490109336543961E-2"/>
    <n v="0.92207657463165105"/>
    <n v="0.15458616969156649"/>
    <n v="0.4643919388436909"/>
    <n v="2.442610591724419E-2"/>
    <n v="0.90193691076609406"/>
    <n v="2.442610591724419E-2"/>
    <n v="2.442610591724419E-2"/>
    <n v="0.90193691076609406"/>
    <n v="0.14605819631483069"/>
    <n v="0.41362254028166678"/>
    <n v="125.0111228135859"/>
    <n v="0.64419630755713964"/>
    <n v="125.0111228135859"/>
    <n v="125.0111228135859"/>
    <n v="0.64419630755713964"/>
    <n v="374.35463546698099"/>
    <n v="-6.547928363841015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4F823-F791-4AA9-BEDA-45CA4C4B15FC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L33" firstHeaderRow="0" firstDataRow="1" firstDataCol="1"/>
  <pivotFields count="76">
    <pivotField numFmtId="164" showAll="0"/>
    <pivotField dataField="1" showAll="0"/>
    <pivotField axis="axisRow" showAll="0">
      <items count="4">
        <item sd="0"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7">
    <field x="21"/>
    <field x="17"/>
    <field x="20"/>
    <field x="7"/>
    <field x="22"/>
    <field x="31"/>
    <field x="2"/>
  </rowFields>
  <rowItems count="32">
    <i>
      <x/>
    </i>
    <i r="1">
      <x/>
    </i>
    <i r="2">
      <x v="2"/>
    </i>
    <i r="3">
      <x/>
    </i>
    <i r="4">
      <x v="2"/>
    </i>
    <i r="5">
      <x/>
    </i>
    <i r="6">
      <x/>
    </i>
    <i r="5">
      <x v="1"/>
    </i>
    <i r="6">
      <x/>
    </i>
    <i>
      <x v="1"/>
    </i>
    <i r="1">
      <x/>
    </i>
    <i r="2">
      <x v="1"/>
    </i>
    <i r="3">
      <x v="1"/>
    </i>
    <i r="4">
      <x v="1"/>
    </i>
    <i r="5">
      <x/>
    </i>
    <i r="6">
      <x/>
    </i>
    <i r="1">
      <x v="1"/>
    </i>
    <i r="2">
      <x/>
    </i>
    <i r="3">
      <x v="1"/>
    </i>
    <i r="4">
      <x/>
    </i>
    <i r="5">
      <x/>
    </i>
    <i r="6">
      <x/>
    </i>
    <i r="6">
      <x v="1"/>
    </i>
    <i r="6">
      <x v="2"/>
    </i>
    <i>
      <x v="2"/>
    </i>
    <i r="1">
      <x v="1"/>
    </i>
    <i r="2">
      <x v="3"/>
    </i>
    <i r="3">
      <x v="2"/>
    </i>
    <i r="4">
      <x v="3"/>
    </i>
    <i r="5">
      <x v="2"/>
    </i>
    <i r="6">
      <x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Val Global Open R2" fld="37" subtotal="average" baseField="22" baseItem="2"/>
    <dataField name="Promedio de Val Global Closed R2" fld="38" subtotal="average" baseField="22" baseItem="2"/>
    <dataField name="Promedio de Surge Velocity Global open R2" fld="52" subtotal="average" baseField="22" baseItem="2"/>
    <dataField name="Promedio de Surge Velocity Global closed R2" fld="54" subtotal="average" baseField="22" baseItem="2"/>
    <dataField name="Promedio de Sway Velocity Global open R2" fld="59" subtotal="average" baseField="22" baseItem="2"/>
    <dataField name="Promedio de Sway Velocity Global closed R2" fld="61" subtotal="average" baseField="22" baseItem="2"/>
    <dataField name="Promedio de Yaw Rate Global open R2" fld="66" subtotal="average" baseField="22" baseItem="2"/>
    <dataField name="Promedio de Yaw Rate Global closed R2" fld="68" subtotal="average" baseField="22" baseItem="2"/>
    <dataField name="Promedio de Yaw Angle Global open R2" fld="73" subtotal="average" baseField="22" baseItem="2"/>
    <dataField name="Promedio de Yaw Angle Global closed R2" fld="75" subtotal="average" baseField="22" baseItem="2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8FF11-7B44-4133-AEE1-8D6762D53C14}" name="Tabla1" displayName="Tabla1" ref="A1:BX8" totalsRowShown="0" headerRowDxfId="3" headerRowBorderDxfId="2" tableBorderDxfId="1">
  <autoFilter ref="A1:BX8" xr:uid="{9D98FF11-7B44-4133-AEE1-8D6762D53C14}"/>
  <tableColumns count="76">
    <tableColumn id="1" xr3:uid="{C5847A0C-0DC3-49DE-B5B4-59DD0E7A1ABC}" name="date" dataDxfId="0"/>
    <tableColumn id="2" xr3:uid="{490F194A-DA83-4A7A-B7FE-DA8EBF44CD56}" name="model_id"/>
    <tableColumn id="3" xr3:uid="{9A159692-B81A-4286-9AA7-0B317642BCBB}" name="run"/>
    <tableColumn id="4" xr3:uid="{853E4008-138D-4D95-A1EA-5A8530C44C4A}" name="weight_selection"/>
    <tableColumn id="5" xr3:uid="{154C5375-2B21-4D8E-975E-90A8261159E2}" name="data"/>
    <tableColumn id="6" xr3:uid="{46DBBB7C-2C44-45EB-9D2C-E5993512551D}" name="data_n"/>
    <tableColumn id="7" xr3:uid="{0387713C-223B-41FB-B827-702E60EBBD17}" name="data_dt"/>
    <tableColumn id="8" xr3:uid="{64243150-E852-4526-957F-B10B643ACFBD}" name="features"/>
    <tableColumn id="9" xr3:uid="{4ED070E6-CC46-429F-B725-4733069D6F7B}" name="targets"/>
    <tableColumn id="10" xr3:uid="{45F7F759-AE2E-49D2-AF28-4800FDCD4694}" name="window_size"/>
    <tableColumn id="11" xr3:uid="{CA53B47D-4514-44EC-9B2C-D541F4BF82BB}" name="horizon"/>
    <tableColumn id="12" xr3:uid="{58558161-6FD6-4636-A9A8-39F236DBC340}" name="predict"/>
    <tableColumn id="13" xr3:uid="{A07AC0B7-CA8E-4EBE-8101-14E3D5E76403}" name="norm"/>
    <tableColumn id="14" xr3:uid="{803B8424-4B06-4F08-97B6-3D1EDF981220}" name="reconstruct_train"/>
    <tableColumn id="15" xr3:uid="{0E91519E-43E4-49D4-A6F6-C8923413E0F9}" name="reconstruct_val"/>
    <tableColumn id="16" xr3:uid="{0CBCBF24-0E8E-4A32-A734-287E8B1032AE}" name="model"/>
    <tableColumn id="17" xr3:uid="{E2EE7E74-E532-4E46-B50F-CF1F3D9ED499}" name="heads_config"/>
    <tableColumn id="18" xr3:uid="{AC321FE5-8022-42C2-834E-1E458DF6C0C2}" name="head_number"/>
    <tableColumn id="19" xr3:uid="{E29157DB-44BB-4FFB-8BDC-2809479F4C14}" name="encoding"/>
    <tableColumn id="20" xr3:uid="{F78555CB-0468-4052-A482-C6FE7F9EE8E0}" name="ansatz"/>
    <tableColumn id="21" xr3:uid="{69BAEBA2-FB36-4C54-94DA-4ED054787B34}" name="entangle"/>
    <tableColumn id="22" xr3:uid="{5F49B790-BD83-4BC2-BBB9-E77F83F25CF5}" name="reps"/>
    <tableColumn id="23" xr3:uid="{8FEA71EF-0652-4D5A-B011-520FD6779B95}" name="map"/>
    <tableColumn id="24" xr3:uid="{CA725354-43F6-433B-9E5F-4A3FC4AAAD6B}" name="reorder"/>
    <tableColumn id="25" xr3:uid="{907E40CE-B7A9-4E61-A27E-2783048FE1E1}" name="optimizer"/>
    <tableColumn id="26" xr3:uid="{CC62AE12-36C2-472B-BEE4-76843F58F2A9}" name="maxiter"/>
    <tableColumn id="27" xr3:uid="{9CFC6A04-C171-49AC-92B4-DEDFF7E4F18D}" name="iterations"/>
    <tableColumn id="28" xr3:uid="{2ECD8C2D-5570-4F93-BDF9-5E0A9C7D4F51}" name="tolerance"/>
    <tableColumn id="29" xr3:uid="{68FC7EE2-60BF-486D-9777-84A084A8785F}" name="batch_size"/>
    <tableColumn id="30" xr3:uid="{08172ADE-650E-4FF7-AF11-D36CEF1C66C0}" name="learning_rate"/>
    <tableColumn id="31" xr3:uid="{C7631AD3-6690-4ABE-B632-9DA6C15374F4}" name="perturbation"/>
    <tableColumn id="32" xr3:uid="{5E295320-2A3F-4CD3-98A2-B42320DF2BCD}" name="weights"/>
    <tableColumn id="33" xr3:uid="{75945E58-D7A4-4DF1-8CE2-B907C31EDA83}" name="total params"/>
    <tableColumn id="34" xr3:uid="{BE3C93D4-DA5C-4063-904B-78059D01761D}" name="q params"/>
    <tableColumn id="35" xr3:uid="{CB95A0F7-F4D1-4EEB-985B-C4FA328FC2F9}" name="c params"/>
    <tableColumn id="36" xr3:uid="{07F44E89-E0AA-48E5-9C50-B5F3EB4F5685}" name="final val loss"/>
    <tableColumn id="37" xr3:uid="{DFD3ABB4-994A-44CD-B425-B4FB452FBA69}" name="Val Global Open MSE"/>
    <tableColumn id="38" xr3:uid="{703B3104-8C9A-4113-B4AC-3211DC4333CC}" name="Val Global Open R2"/>
    <tableColumn id="39" xr3:uid="{F4E06D30-4559-4A09-A6ED-ECD1FDCE3C98}" name="Val Global Closed R2"/>
    <tableColumn id="40" xr3:uid="{3D35A439-6669-45BA-9AB9-7E27FAC080BC}" name="step MSE"/>
    <tableColumn id="41" xr3:uid="{4A8D64AD-0C9D-45FF-8DA5-04A9BFA28A7A}" name="step R2"/>
    <tableColumn id="42" xr3:uid="{B56A8E41-0F21-4A33-A0A1-F99D5852F080}" name="local MSE"/>
    <tableColumn id="43" xr3:uid="{FF083E1F-8BEE-4353-BF40-A72D26144C96}" name="global open MSE"/>
    <tableColumn id="44" xr3:uid="{AD0A2C0B-D90D-4DA2-B806-F5FEE6B9FE76}" name="global open R2"/>
    <tableColumn id="45" xr3:uid="{7E4C7C37-2695-4A1C-ACA9-4DA820D40B53}" name="global closed MSE"/>
    <tableColumn id="46" xr3:uid="{0EB8C6BB-FC73-47AA-8D07-38051AF50D99}" name="global closed R2"/>
    <tableColumn id="47" xr3:uid="{07884788-93F6-4A67-B148-DE5CB6645522}" name="recursivity"/>
    <tableColumn id="48" xr3:uid="{4D230A18-0938-494D-9E88-709C08E3D063}" name="initialization"/>
    <tableColumn id="49" xr3:uid="{EF7F7DDB-200F-431E-B0A0-C59ED11F5A3C}" name="Surge Velocity Step MSE"/>
    <tableColumn id="50" xr3:uid="{A308D6BA-0C8A-45EB-9B4E-7E0952D43B24}" name="Surge Velocity Step R2"/>
    <tableColumn id="51" xr3:uid="{03738F7D-FAAA-4788-AC51-EE181DF4777B}" name="Surge Velocity Local MSE"/>
    <tableColumn id="52" xr3:uid="{B9769C5C-B762-43DB-9671-AE60CC83351B}" name="Surge Velocity Global open MSE"/>
    <tableColumn id="53" xr3:uid="{43CD0037-D210-4FD3-942E-29ED4CEFBBD6}" name="Surge Velocity Global open R2"/>
    <tableColumn id="54" xr3:uid="{7F23CFDF-5B55-4E7A-B767-3BC50DD4AB15}" name="Surge Velocity Global closed MSE"/>
    <tableColumn id="55" xr3:uid="{347F88B8-B17B-41D6-A6F4-423693D6898E}" name="Surge Velocity Global closed R2"/>
    <tableColumn id="56" xr3:uid="{C3F5136A-E3E2-478A-B756-A9D1693AF2B6}" name="Sway Velocity Step MSE"/>
    <tableColumn id="57" xr3:uid="{095BF8C2-69ED-4E5C-A505-12E0265DCC83}" name="Sway Velocity Step R2"/>
    <tableColumn id="58" xr3:uid="{90FB60B3-FE2F-4B78-9B16-52C8C62437FA}" name="Sway Velocity Local MSE"/>
    <tableColumn id="59" xr3:uid="{65F8BB89-E4D8-41D2-8875-C7008C8DAB29}" name="Sway Velocity Global open MSE"/>
    <tableColumn id="60" xr3:uid="{0B3D4A12-7DC5-4078-976D-8C3865BE1C53}" name="Sway Velocity Global open R2"/>
    <tableColumn id="61" xr3:uid="{1C6973D9-1D48-4CB4-A496-61A9C697D526}" name="Sway Velocity Global closed MSE"/>
    <tableColumn id="62" xr3:uid="{B0F2BBCE-9EB9-43A1-8581-99238C6FEB27}" name="Sway Velocity Global closed R2"/>
    <tableColumn id="63" xr3:uid="{5302942B-627E-4F9C-9181-27455E726FEE}" name="Yaw Rate Step MSE"/>
    <tableColumn id="64" xr3:uid="{5A899438-7A2B-40DC-9950-1DF262BEE751}" name="Yaw Rate Step R2"/>
    <tableColumn id="65" xr3:uid="{1A3A0A41-C9B8-407C-A40F-B88E0BF9D161}" name="Yaw Rate Local MSE"/>
    <tableColumn id="66" xr3:uid="{3F4DDC17-48AB-4F7D-A658-CB3A473F4021}" name="Yaw Rate Global open MSE"/>
    <tableColumn id="67" xr3:uid="{F9CDB933-85F1-4612-9825-8BD998562BEB}" name="Yaw Rate Global open R2"/>
    <tableColumn id="68" xr3:uid="{8B67553C-F41B-4E94-9257-8603D382D3FC}" name="Yaw Rate Global closed MSE"/>
    <tableColumn id="69" xr3:uid="{4492E667-F13F-430E-8477-C9D5D7867430}" name="Yaw Rate Global closed R2"/>
    <tableColumn id="70" xr3:uid="{2811E0AE-3B75-4D2E-B92F-B4347F72CD61}" name="Yaw Angle Step MSE"/>
    <tableColumn id="71" xr3:uid="{D41DD7E5-B5CB-4AA6-8AF4-12F1E45B773B}" name="Yaw Angle Step R2"/>
    <tableColumn id="72" xr3:uid="{884B9E35-553B-41BD-8C49-FA645B2A2BBA}" name="Yaw Angle Local MSE"/>
    <tableColumn id="73" xr3:uid="{7A4D994D-B8A4-45C7-B1CB-FD88700BCA7B}" name="Yaw Angle Global open MSE"/>
    <tableColumn id="74" xr3:uid="{CC30DC71-79C7-4BA0-BBD5-39B63A349CF1}" name="Yaw Angle Global open R2"/>
    <tableColumn id="75" xr3:uid="{5BEC808A-CA62-484D-8C6D-1D713D14A2F8}" name="Yaw Angle Global closed MSE"/>
    <tableColumn id="76" xr3:uid="{3A9FD9C3-1E0C-461D-878E-04264974546C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8"/>
  <sheetViews>
    <sheetView workbookViewId="0">
      <selection activeCell="A6" sqref="A6:BX8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</row>
    <row r="2" spans="1:76" x14ac:dyDescent="0.3">
      <c r="A2" s="1">
        <v>46082.491157407407</v>
      </c>
      <c r="B2" t="s">
        <v>76</v>
      </c>
      <c r="C2">
        <v>1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2</v>
      </c>
      <c r="S2" t="s">
        <v>86</v>
      </c>
      <c r="T2" t="s">
        <v>87</v>
      </c>
      <c r="U2" t="s">
        <v>88</v>
      </c>
      <c r="V2" t="s">
        <v>89</v>
      </c>
      <c r="W2" t="s">
        <v>90</v>
      </c>
      <c r="X2" t="s">
        <v>83</v>
      </c>
      <c r="Y2" t="s">
        <v>91</v>
      </c>
      <c r="Z2">
        <v>4000</v>
      </c>
      <c r="AA2">
        <v>4000</v>
      </c>
      <c r="AC2">
        <v>256</v>
      </c>
      <c r="AD2" t="s">
        <v>92</v>
      </c>
      <c r="AE2">
        <v>0.15</v>
      </c>
      <c r="AF2" t="s">
        <v>93</v>
      </c>
      <c r="AG2">
        <v>200</v>
      </c>
      <c r="AH2">
        <v>80</v>
      </c>
      <c r="AI2">
        <v>120</v>
      </c>
      <c r="AJ2">
        <v>0.32634712859656573</v>
      </c>
      <c r="AK2">
        <v>45.154338023914242</v>
      </c>
      <c r="AL2">
        <v>0.54635052831444075</v>
      </c>
      <c r="AM2">
        <v>-0.2371507518341511</v>
      </c>
      <c r="AN2">
        <v>53.988534284096993</v>
      </c>
      <c r="AO2">
        <v>0.52034999141072014</v>
      </c>
      <c r="AP2">
        <v>53.988534284096993</v>
      </c>
      <c r="AQ2">
        <v>53.988534284096993</v>
      </c>
      <c r="AR2">
        <v>0.52034999141072014</v>
      </c>
      <c r="AS2">
        <v>103.93439094086629</v>
      </c>
      <c r="AT2">
        <v>-0.19807407202122429</v>
      </c>
      <c r="AU2">
        <v>0.8</v>
      </c>
      <c r="AV2" t="s">
        <v>94</v>
      </c>
      <c r="AW2">
        <v>0.14139444185043501</v>
      </c>
      <c r="AX2">
        <v>-2.6706464984654451E-2</v>
      </c>
      <c r="AY2">
        <v>0.14139444185043501</v>
      </c>
      <c r="AZ2">
        <v>0.14139444185043501</v>
      </c>
      <c r="BA2">
        <v>-2.6706464984654451E-2</v>
      </c>
      <c r="BB2">
        <v>0.14596261571408661</v>
      </c>
      <c r="BC2">
        <v>-5.9877313694155047E-2</v>
      </c>
      <c r="BD2">
        <v>3.8668922967707013E-2</v>
      </c>
      <c r="BE2">
        <v>0.86602044090321917</v>
      </c>
      <c r="BF2">
        <v>3.8668922967707013E-2</v>
      </c>
      <c r="BG2">
        <v>3.8668922967707013E-2</v>
      </c>
      <c r="BH2">
        <v>0.86602044090321917</v>
      </c>
      <c r="BI2">
        <v>0.3719652193451613</v>
      </c>
      <c r="BJ2">
        <v>-0.28878003995147838</v>
      </c>
      <c r="BK2">
        <v>3.5839676697885098E-2</v>
      </c>
      <c r="BL2">
        <v>0.85611503421599977</v>
      </c>
      <c r="BM2">
        <v>3.5839676697885098E-2</v>
      </c>
      <c r="BN2">
        <v>3.5839676697885098E-2</v>
      </c>
      <c r="BO2">
        <v>0.85611503421599977</v>
      </c>
      <c r="BP2">
        <v>0.31453184456212502</v>
      </c>
      <c r="BQ2">
        <v>-0.26274586889536339</v>
      </c>
      <c r="BR2">
        <v>215.73823409487159</v>
      </c>
      <c r="BS2">
        <v>0.3859709555083255</v>
      </c>
      <c r="BT2">
        <v>215.73823409487159</v>
      </c>
      <c r="BU2">
        <v>215.73823409487159</v>
      </c>
      <c r="BV2">
        <v>0.3859709555083255</v>
      </c>
      <c r="BW2">
        <v>414.90510408384353</v>
      </c>
      <c r="BX2">
        <v>-0.18089306554390319</v>
      </c>
    </row>
    <row r="3" spans="1:76" x14ac:dyDescent="0.3">
      <c r="A3" s="1">
        <v>46082.739374999997</v>
      </c>
      <c r="B3" t="s">
        <v>95</v>
      </c>
      <c r="C3">
        <v>1</v>
      </c>
      <c r="D3" t="s">
        <v>96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85</v>
      </c>
      <c r="R3">
        <v>2</v>
      </c>
      <c r="S3" t="s">
        <v>86</v>
      </c>
      <c r="T3" t="s">
        <v>87</v>
      </c>
      <c r="U3" t="s">
        <v>88</v>
      </c>
      <c r="V3" t="s">
        <v>89</v>
      </c>
      <c r="W3" t="s">
        <v>90</v>
      </c>
      <c r="X3" t="s">
        <v>83</v>
      </c>
      <c r="Y3" t="s">
        <v>91</v>
      </c>
      <c r="Z3">
        <v>4000</v>
      </c>
      <c r="AA3">
        <v>4000</v>
      </c>
      <c r="AC3">
        <v>256</v>
      </c>
      <c r="AD3" t="s">
        <v>92</v>
      </c>
      <c r="AE3">
        <v>0.15</v>
      </c>
      <c r="AF3" t="s">
        <v>97</v>
      </c>
      <c r="AG3">
        <v>200</v>
      </c>
      <c r="AH3">
        <v>80</v>
      </c>
      <c r="AI3">
        <v>120</v>
      </c>
      <c r="AJ3">
        <v>0.18523525054803189</v>
      </c>
      <c r="AK3">
        <v>61.143982373187917</v>
      </c>
      <c r="AL3">
        <v>0.39614340118852559</v>
      </c>
      <c r="AM3">
        <v>-7.681559356157841E-2</v>
      </c>
      <c r="AN3">
        <v>64.45839476368198</v>
      </c>
      <c r="AO3">
        <v>0.39224358899179429</v>
      </c>
      <c r="AP3">
        <v>64.45839476368198</v>
      </c>
      <c r="AQ3">
        <v>64.45839476368198</v>
      </c>
      <c r="AR3">
        <v>0.39224358899179429</v>
      </c>
      <c r="AS3">
        <v>92.69955200056755</v>
      </c>
      <c r="AT3">
        <v>-3.6772966921130863E-2</v>
      </c>
      <c r="AU3">
        <v>0.8</v>
      </c>
      <c r="AV3" t="s">
        <v>94</v>
      </c>
      <c r="AW3">
        <v>0.14784892943227401</v>
      </c>
      <c r="AX3">
        <v>-7.3574390213617891E-2</v>
      </c>
      <c r="AY3">
        <v>0.14784892943227401</v>
      </c>
      <c r="AZ3">
        <v>0.14784892943227401</v>
      </c>
      <c r="BA3">
        <v>-7.3574390213617891E-2</v>
      </c>
      <c r="BB3">
        <v>0.1479116271683211</v>
      </c>
      <c r="BC3">
        <v>-7.402965684289331E-2</v>
      </c>
      <c r="BD3">
        <v>7.5497341907043727E-2</v>
      </c>
      <c r="BE3">
        <v>0.73841783516619008</v>
      </c>
      <c r="BF3">
        <v>7.5497341907043727E-2</v>
      </c>
      <c r="BG3">
        <v>7.5497341907043727E-2</v>
      </c>
      <c r="BH3">
        <v>0.73841783516619008</v>
      </c>
      <c r="BI3">
        <v>0.30641643862136569</v>
      </c>
      <c r="BJ3">
        <v>-6.1667514783920963E-2</v>
      </c>
      <c r="BK3">
        <v>9.0398714572402783E-2</v>
      </c>
      <c r="BL3">
        <v>0.63707775427741731</v>
      </c>
      <c r="BM3">
        <v>9.0398714572402783E-2</v>
      </c>
      <c r="BN3">
        <v>9.0398714572402783E-2</v>
      </c>
      <c r="BO3">
        <v>0.63707775427741731</v>
      </c>
      <c r="BP3">
        <v>0.23862649583087081</v>
      </c>
      <c r="BQ3">
        <v>4.1990097254230752E-2</v>
      </c>
      <c r="BR3">
        <v>257.51983406881601</v>
      </c>
      <c r="BS3">
        <v>0.26705315673718838</v>
      </c>
      <c r="BT3">
        <v>257.51983406881601</v>
      </c>
      <c r="BU3">
        <v>257.51983406881601</v>
      </c>
      <c r="BV3">
        <v>0.26705315673718838</v>
      </c>
      <c r="BW3">
        <v>370.10525344064888</v>
      </c>
      <c r="BX3">
        <v>-5.3384793311946448E-2</v>
      </c>
    </row>
    <row r="4" spans="1:76" x14ac:dyDescent="0.3">
      <c r="A4" s="1">
        <v>46082.900266203702</v>
      </c>
      <c r="B4" t="s">
        <v>98</v>
      </c>
      <c r="C4">
        <v>1</v>
      </c>
      <c r="D4" t="s">
        <v>77</v>
      </c>
      <c r="E4" t="s">
        <v>78</v>
      </c>
      <c r="F4">
        <v>16590</v>
      </c>
      <c r="G4">
        <v>4.5</v>
      </c>
      <c r="H4" t="s">
        <v>99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100</v>
      </c>
      <c r="R4">
        <v>2</v>
      </c>
      <c r="S4" t="s">
        <v>86</v>
      </c>
      <c r="T4" t="s">
        <v>87</v>
      </c>
      <c r="U4" t="s">
        <v>101</v>
      </c>
      <c r="V4" t="s">
        <v>102</v>
      </c>
      <c r="W4" t="s">
        <v>103</v>
      </c>
      <c r="X4" t="s">
        <v>83</v>
      </c>
      <c r="Y4" t="s">
        <v>91</v>
      </c>
      <c r="Z4">
        <v>4000</v>
      </c>
      <c r="AA4">
        <v>4000</v>
      </c>
      <c r="AC4">
        <v>256</v>
      </c>
      <c r="AD4" t="s">
        <v>92</v>
      </c>
      <c r="AE4">
        <v>0.15</v>
      </c>
      <c r="AF4" t="s">
        <v>97</v>
      </c>
      <c r="AG4">
        <v>160</v>
      </c>
      <c r="AH4">
        <v>40</v>
      </c>
      <c r="AI4">
        <v>120</v>
      </c>
      <c r="AJ4">
        <v>0.1122567667494303</v>
      </c>
      <c r="AK4">
        <v>49.978969353126139</v>
      </c>
      <c r="AL4">
        <v>0.78568481792772782</v>
      </c>
      <c r="AM4">
        <v>-2.1565110156189569</v>
      </c>
      <c r="AN4">
        <v>55.615461303983118</v>
      </c>
      <c r="AO4">
        <v>0.78196550246841401</v>
      </c>
      <c r="AP4">
        <v>55.615461303983118</v>
      </c>
      <c r="AQ4">
        <v>55.615461303983118</v>
      </c>
      <c r="AR4">
        <v>0.78196550246841401</v>
      </c>
      <c r="AS4">
        <v>127.6341025920308</v>
      </c>
      <c r="AT4">
        <v>-1.7138361660203749</v>
      </c>
      <c r="AU4">
        <v>0.8</v>
      </c>
      <c r="AV4" t="s">
        <v>94</v>
      </c>
      <c r="AW4">
        <v>1.039353882034497E-2</v>
      </c>
      <c r="AX4">
        <v>0.92452946974956118</v>
      </c>
      <c r="AY4">
        <v>1.039353882034497E-2</v>
      </c>
      <c r="AZ4">
        <v>1.039353882034497E-2</v>
      </c>
      <c r="BA4">
        <v>0.92452946974956118</v>
      </c>
      <c r="BB4">
        <v>0.56055258566474719</v>
      </c>
      <c r="BC4">
        <v>-3.0703365431764289</v>
      </c>
      <c r="BD4">
        <v>2.0774439003204821E-2</v>
      </c>
      <c r="BE4">
        <v>0.92802100590035141</v>
      </c>
      <c r="BF4">
        <v>2.0774439003204821E-2</v>
      </c>
      <c r="BG4">
        <v>2.0774439003204821E-2</v>
      </c>
      <c r="BH4">
        <v>0.92802100590035141</v>
      </c>
      <c r="BI4">
        <v>0.90336116339058159</v>
      </c>
      <c r="BJ4">
        <v>-2.1299534894545848</v>
      </c>
      <c r="BK4">
        <v>2.2835308723076281E-2</v>
      </c>
      <c r="BL4">
        <v>0.90832345832849548</v>
      </c>
      <c r="BM4">
        <v>2.2835308723076281E-2</v>
      </c>
      <c r="BN4">
        <v>2.2835308723076281E-2</v>
      </c>
      <c r="BO4">
        <v>0.90832345832849548</v>
      </c>
      <c r="BP4">
        <v>0.54990875252573912</v>
      </c>
      <c r="BQ4">
        <v>-1.2077097042049301</v>
      </c>
      <c r="BR4">
        <v>222.4078419293858</v>
      </c>
      <c r="BS4">
        <v>0.36698807589524779</v>
      </c>
      <c r="BT4">
        <v>222.4078419293858</v>
      </c>
      <c r="BU4">
        <v>222.4078419293858</v>
      </c>
      <c r="BV4">
        <v>0.36698807589524779</v>
      </c>
      <c r="BW4">
        <v>508.52258786654261</v>
      </c>
      <c r="BX4">
        <v>-0.44734492724555591</v>
      </c>
    </row>
    <row r="5" spans="1:76" x14ac:dyDescent="0.3">
      <c r="A5" s="1">
        <v>46083.002465277779</v>
      </c>
      <c r="B5" t="s">
        <v>104</v>
      </c>
      <c r="C5">
        <v>1</v>
      </c>
      <c r="D5" t="s">
        <v>77</v>
      </c>
      <c r="E5" t="s">
        <v>78</v>
      </c>
      <c r="F5">
        <v>16590</v>
      </c>
      <c r="G5">
        <v>4.5</v>
      </c>
      <c r="H5" t="s">
        <v>99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105</v>
      </c>
      <c r="R5">
        <v>3</v>
      </c>
      <c r="S5" t="s">
        <v>86</v>
      </c>
      <c r="T5" t="s">
        <v>87</v>
      </c>
      <c r="U5" t="s">
        <v>106</v>
      </c>
      <c r="V5" t="s">
        <v>102</v>
      </c>
      <c r="W5" t="s">
        <v>107</v>
      </c>
      <c r="X5" t="s">
        <v>83</v>
      </c>
      <c r="Y5" t="s">
        <v>91</v>
      </c>
      <c r="Z5">
        <v>4000</v>
      </c>
      <c r="AA5">
        <v>4000</v>
      </c>
      <c r="AC5">
        <v>256</v>
      </c>
      <c r="AD5" t="s">
        <v>92</v>
      </c>
      <c r="AE5">
        <v>0.15</v>
      </c>
      <c r="AF5" t="s">
        <v>97</v>
      </c>
      <c r="AG5">
        <v>180</v>
      </c>
      <c r="AH5">
        <v>60</v>
      </c>
      <c r="AI5">
        <v>120</v>
      </c>
      <c r="AJ5">
        <v>6.5155793395701544E-2</v>
      </c>
      <c r="AK5">
        <v>9.3204398568691502</v>
      </c>
      <c r="AL5">
        <v>0.88851713161305823</v>
      </c>
      <c r="AM5">
        <v>8.3582913420188726E-2</v>
      </c>
      <c r="AN5">
        <v>11.74085921233304</v>
      </c>
      <c r="AO5">
        <v>0.89763203837126382</v>
      </c>
      <c r="AP5">
        <v>11.74085921233304</v>
      </c>
      <c r="AQ5">
        <v>11.74085921233304</v>
      </c>
      <c r="AR5">
        <v>0.89763203837126382</v>
      </c>
      <c r="AS5">
        <v>46.486676569491728</v>
      </c>
      <c r="AT5">
        <v>0.2156554882414842</v>
      </c>
      <c r="AU5">
        <v>0.8</v>
      </c>
      <c r="AV5" t="s">
        <v>94</v>
      </c>
      <c r="AW5">
        <v>1.452606296963771E-2</v>
      </c>
      <c r="AX5">
        <v>0.89452200124332304</v>
      </c>
      <c r="AY5">
        <v>1.452606296963771E-2</v>
      </c>
      <c r="AZ5">
        <v>1.452606296963771E-2</v>
      </c>
      <c r="BA5">
        <v>0.89452200124332304</v>
      </c>
      <c r="BB5">
        <v>0.31172878447486818</v>
      </c>
      <c r="BC5">
        <v>-1.263554027680265</v>
      </c>
      <c r="BD5">
        <v>2.286593546816407E-2</v>
      </c>
      <c r="BE5">
        <v>0.92077441735528831</v>
      </c>
      <c r="BF5">
        <v>2.286593546816407E-2</v>
      </c>
      <c r="BG5">
        <v>2.286593546816407E-2</v>
      </c>
      <c r="BH5">
        <v>0.92077441735528831</v>
      </c>
      <c r="BI5">
        <v>5.046272668618907E-2</v>
      </c>
      <c r="BJ5">
        <v>0.82515742996299235</v>
      </c>
      <c r="BK5">
        <v>2.2734836310236619E-2</v>
      </c>
      <c r="BL5">
        <v>0.90872682328643117</v>
      </c>
      <c r="BM5">
        <v>2.2734836310236619E-2</v>
      </c>
      <c r="BN5">
        <v>2.2734836310236619E-2</v>
      </c>
      <c r="BO5">
        <v>0.90872682328643117</v>
      </c>
      <c r="BP5">
        <v>4.2567826984730349E-2</v>
      </c>
      <c r="BQ5">
        <v>0.82910363894106787</v>
      </c>
      <c r="BR5">
        <v>46.903310014584427</v>
      </c>
      <c r="BS5">
        <v>0.86650491160001253</v>
      </c>
      <c r="BT5">
        <v>46.903310014584427</v>
      </c>
      <c r="BU5">
        <v>46.903310014584427</v>
      </c>
      <c r="BV5">
        <v>0.86650491160001253</v>
      </c>
      <c r="BW5">
        <v>185.54194693982171</v>
      </c>
      <c r="BX5">
        <v>0.47191491174214673</v>
      </c>
    </row>
    <row r="6" spans="1:76" x14ac:dyDescent="0.3">
      <c r="A6" s="1">
        <v>46083.41443287037</v>
      </c>
      <c r="B6" t="s">
        <v>121</v>
      </c>
      <c r="C6">
        <v>2</v>
      </c>
      <c r="D6" t="s">
        <v>77</v>
      </c>
      <c r="E6" t="s">
        <v>78</v>
      </c>
      <c r="F6">
        <v>16590</v>
      </c>
      <c r="G6">
        <v>4.5</v>
      </c>
      <c r="H6" t="s">
        <v>99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105</v>
      </c>
      <c r="R6">
        <v>3</v>
      </c>
      <c r="S6" t="s">
        <v>86</v>
      </c>
      <c r="T6" t="s">
        <v>87</v>
      </c>
      <c r="U6" t="s">
        <v>106</v>
      </c>
      <c r="V6" t="s">
        <v>102</v>
      </c>
      <c r="W6" t="s">
        <v>107</v>
      </c>
      <c r="X6" t="s">
        <v>83</v>
      </c>
      <c r="Y6" t="s">
        <v>91</v>
      </c>
      <c r="Z6">
        <v>4000</v>
      </c>
      <c r="AA6">
        <v>4000</v>
      </c>
      <c r="AC6">
        <v>256</v>
      </c>
      <c r="AD6" t="s">
        <v>92</v>
      </c>
      <c r="AE6">
        <v>0.15</v>
      </c>
      <c r="AF6" t="s">
        <v>97</v>
      </c>
      <c r="AG6">
        <v>180</v>
      </c>
      <c r="AH6">
        <v>60</v>
      </c>
      <c r="AI6">
        <v>120</v>
      </c>
      <c r="AJ6">
        <v>8.1036679865434905E-2</v>
      </c>
      <c r="AK6">
        <v>11.89747862058953</v>
      </c>
      <c r="AL6">
        <v>0.87313916166724892</v>
      </c>
      <c r="AM6">
        <v>-1.5735945476692059</v>
      </c>
      <c r="AN6">
        <v>15.540987047390139</v>
      </c>
      <c r="AO6">
        <v>0.8790606469707779</v>
      </c>
      <c r="AP6">
        <v>15.540987047390139</v>
      </c>
      <c r="AQ6">
        <v>15.540987047390139</v>
      </c>
      <c r="AR6">
        <v>0.8790606469707779</v>
      </c>
      <c r="AS6">
        <v>260.07281493401922</v>
      </c>
      <c r="AT6">
        <v>-1.415529615020316</v>
      </c>
      <c r="AU6">
        <v>0.8</v>
      </c>
      <c r="AV6" t="s">
        <v>94</v>
      </c>
      <c r="AW6">
        <v>1.5520007508984621E-2</v>
      </c>
      <c r="AX6">
        <v>0.88730467875858821</v>
      </c>
      <c r="AY6">
        <v>1.5520007508984621E-2</v>
      </c>
      <c r="AZ6">
        <v>1.5520007508984621E-2</v>
      </c>
      <c r="BA6">
        <v>0.88730467875858821</v>
      </c>
      <c r="BB6">
        <v>0.2838961836741169</v>
      </c>
      <c r="BC6">
        <v>-1.0614533594680331</v>
      </c>
      <c r="BD6">
        <v>2.1132433335269211E-2</v>
      </c>
      <c r="BE6">
        <v>0.92678063200089755</v>
      </c>
      <c r="BF6">
        <v>2.1132433335269211E-2</v>
      </c>
      <c r="BG6">
        <v>2.1132433335269211E-2</v>
      </c>
      <c r="BH6">
        <v>0.92678063200089755</v>
      </c>
      <c r="BI6">
        <v>0.70263792545732939</v>
      </c>
      <c r="BJ6">
        <v>-1.434490340888644</v>
      </c>
      <c r="BK6">
        <v>3.016510183682564E-2</v>
      </c>
      <c r="BL6">
        <v>0.87889665740431577</v>
      </c>
      <c r="BM6">
        <v>3.016510183682564E-2</v>
      </c>
      <c r="BN6">
        <v>3.016510183682564E-2</v>
      </c>
      <c r="BO6">
        <v>0.87889665740431577</v>
      </c>
      <c r="BP6">
        <v>0.55040372156719186</v>
      </c>
      <c r="BQ6">
        <v>-1.2096968483467121</v>
      </c>
      <c r="BR6">
        <v>62.097130646879577</v>
      </c>
      <c r="BS6">
        <v>0.82326061971930953</v>
      </c>
      <c r="BT6">
        <v>62.097130646879577</v>
      </c>
      <c r="BU6">
        <v>62.097130646879577</v>
      </c>
      <c r="BV6">
        <v>0.82326061971930953</v>
      </c>
      <c r="BW6">
        <v>1038.7543219053739</v>
      </c>
      <c r="BX6">
        <v>-1.956477911377859</v>
      </c>
    </row>
    <row r="7" spans="1:76" x14ac:dyDescent="0.3">
      <c r="A7" s="1">
        <v>46083.571006944447</v>
      </c>
      <c r="B7" t="s">
        <v>122</v>
      </c>
      <c r="C7">
        <v>3</v>
      </c>
      <c r="D7" t="s">
        <v>96</v>
      </c>
      <c r="E7" t="s">
        <v>78</v>
      </c>
      <c r="F7">
        <v>16590</v>
      </c>
      <c r="G7">
        <v>4.5</v>
      </c>
      <c r="H7" t="s">
        <v>99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105</v>
      </c>
      <c r="R7">
        <v>3</v>
      </c>
      <c r="S7" t="s">
        <v>86</v>
      </c>
      <c r="T7" t="s">
        <v>87</v>
      </c>
      <c r="U7" t="s">
        <v>106</v>
      </c>
      <c r="V7" t="s">
        <v>102</v>
      </c>
      <c r="W7" t="s">
        <v>107</v>
      </c>
      <c r="X7" t="s">
        <v>83</v>
      </c>
      <c r="Y7" t="s">
        <v>91</v>
      </c>
      <c r="Z7">
        <v>4000</v>
      </c>
      <c r="AA7">
        <v>4000</v>
      </c>
      <c r="AC7">
        <v>256</v>
      </c>
      <c r="AD7" t="s">
        <v>92</v>
      </c>
      <c r="AE7">
        <v>0.15</v>
      </c>
      <c r="AF7" t="s">
        <v>97</v>
      </c>
      <c r="AG7">
        <v>180</v>
      </c>
      <c r="AH7">
        <v>60</v>
      </c>
      <c r="AI7">
        <v>120</v>
      </c>
      <c r="AJ7">
        <v>7.20068902619143E-2</v>
      </c>
      <c r="AK7">
        <v>14.839037971582959</v>
      </c>
      <c r="AL7">
        <v>0.89618905259588411</v>
      </c>
      <c r="AM7">
        <v>-0.75360014675552978</v>
      </c>
      <c r="AN7">
        <v>18.701315345821541</v>
      </c>
      <c r="AO7">
        <v>0.88865083708438752</v>
      </c>
      <c r="AP7">
        <v>18.701315345821541</v>
      </c>
      <c r="AQ7">
        <v>18.701315345821541</v>
      </c>
      <c r="AR7">
        <v>0.88865083708438752</v>
      </c>
      <c r="AS7">
        <v>148.08844178246</v>
      </c>
      <c r="AT7">
        <v>-0.56046599866976687</v>
      </c>
      <c r="AU7">
        <v>0.8</v>
      </c>
      <c r="AV7" t="s">
        <v>94</v>
      </c>
      <c r="AW7">
        <v>1.560137569761734E-2</v>
      </c>
      <c r="AX7">
        <v>0.88671384050342061</v>
      </c>
      <c r="AY7">
        <v>1.560137569761734E-2</v>
      </c>
      <c r="AZ7">
        <v>1.560137569761734E-2</v>
      </c>
      <c r="BA7">
        <v>0.88671384050342061</v>
      </c>
      <c r="BB7">
        <v>0.28618676826901412</v>
      </c>
      <c r="BC7">
        <v>-1.0780859652578909</v>
      </c>
      <c r="BD7">
        <v>1.466318802555009E-2</v>
      </c>
      <c r="BE7">
        <v>0.94919518528465263</v>
      </c>
      <c r="BF7">
        <v>1.466318802555009E-2</v>
      </c>
      <c r="BG7">
        <v>1.466318802555009E-2</v>
      </c>
      <c r="BH7">
        <v>0.94919518528465263</v>
      </c>
      <c r="BI7">
        <v>0.39960894307557682</v>
      </c>
      <c r="BJ7">
        <v>-0.38455963847526697</v>
      </c>
      <c r="BK7">
        <v>1.7070196592042841E-2</v>
      </c>
      <c r="BL7">
        <v>0.93146856001864609</v>
      </c>
      <c r="BM7">
        <v>1.7070196592042841E-2</v>
      </c>
      <c r="BN7">
        <v>1.7070196592042841E-2</v>
      </c>
      <c r="BO7">
        <v>0.93146856001864609</v>
      </c>
      <c r="BP7">
        <v>0.27299885384635769</v>
      </c>
      <c r="BQ7">
        <v>-9.6004048135635234E-2</v>
      </c>
      <c r="BR7">
        <v>74.757926622970956</v>
      </c>
      <c r="BS7">
        <v>0.7872257625308301</v>
      </c>
      <c r="BT7">
        <v>74.757926622970956</v>
      </c>
      <c r="BU7">
        <v>74.757926622970956</v>
      </c>
      <c r="BV7">
        <v>0.7872257625308301</v>
      </c>
      <c r="BW7">
        <v>591.39497256464642</v>
      </c>
      <c r="BX7">
        <v>-0.68321434281028082</v>
      </c>
    </row>
    <row r="8" spans="1:76" x14ac:dyDescent="0.3">
      <c r="A8" s="1">
        <v>46083.7340625</v>
      </c>
      <c r="B8" t="s">
        <v>123</v>
      </c>
      <c r="C8">
        <v>1</v>
      </c>
      <c r="D8" t="s">
        <v>96</v>
      </c>
      <c r="E8" t="s">
        <v>78</v>
      </c>
      <c r="F8">
        <v>16590</v>
      </c>
      <c r="G8">
        <v>4.5</v>
      </c>
      <c r="H8" t="s">
        <v>124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125</v>
      </c>
      <c r="R8">
        <v>3</v>
      </c>
      <c r="S8" t="s">
        <v>86</v>
      </c>
      <c r="T8" t="s">
        <v>87</v>
      </c>
      <c r="U8" t="s">
        <v>126</v>
      </c>
      <c r="V8" t="s">
        <v>127</v>
      </c>
      <c r="W8" t="s">
        <v>128</v>
      </c>
      <c r="X8" t="s">
        <v>83</v>
      </c>
      <c r="Y8" t="s">
        <v>91</v>
      </c>
      <c r="Z8">
        <v>4000</v>
      </c>
      <c r="AA8">
        <v>4000</v>
      </c>
      <c r="AC8">
        <v>256</v>
      </c>
      <c r="AD8" t="s">
        <v>92</v>
      </c>
      <c r="AE8">
        <v>0.15</v>
      </c>
      <c r="AF8" t="s">
        <v>129</v>
      </c>
      <c r="AG8">
        <v>220</v>
      </c>
      <c r="AH8">
        <v>100</v>
      </c>
      <c r="AI8">
        <v>120</v>
      </c>
      <c r="AJ8">
        <v>0.2303017480785009</v>
      </c>
      <c r="AK8">
        <v>21.3458128331125</v>
      </c>
      <c r="AL8">
        <v>0.82385352498761921</v>
      </c>
      <c r="AM8">
        <v>0.23103670181798511</v>
      </c>
      <c r="AN8">
        <v>31.276246494704811</v>
      </c>
      <c r="AO8">
        <v>0.78182855891156922</v>
      </c>
      <c r="AP8">
        <v>31.276246494704811</v>
      </c>
      <c r="AQ8">
        <v>31.276246494704811</v>
      </c>
      <c r="AR8">
        <v>0.78182855891156922</v>
      </c>
      <c r="AS8">
        <v>93.693307150147007</v>
      </c>
      <c r="AT8">
        <v>0.23901865995591901</v>
      </c>
      <c r="AU8">
        <v>0.8</v>
      </c>
      <c r="AV8" t="s">
        <v>94</v>
      </c>
      <c r="AW8">
        <v>4.694694997918767E-2</v>
      </c>
      <c r="AX8">
        <v>0.65910444269139501</v>
      </c>
      <c r="AY8">
        <v>4.694694997918767E-2</v>
      </c>
      <c r="AZ8">
        <v>4.694694997918767E-2</v>
      </c>
      <c r="BA8">
        <v>0.65910444269139501</v>
      </c>
      <c r="BB8">
        <v>0.1179487676029517</v>
      </c>
      <c r="BC8">
        <v>0.1435394443367185</v>
      </c>
      <c r="BD8">
        <v>2.2490109336543961E-2</v>
      </c>
      <c r="BE8">
        <v>0.92207657463165105</v>
      </c>
      <c r="BF8">
        <v>2.2490109336543961E-2</v>
      </c>
      <c r="BG8">
        <v>2.2490109336543961E-2</v>
      </c>
      <c r="BH8">
        <v>0.92207657463165105</v>
      </c>
      <c r="BI8">
        <v>0.15458616969156649</v>
      </c>
      <c r="BJ8">
        <v>0.4643919388436909</v>
      </c>
      <c r="BK8">
        <v>2.442610591724419E-2</v>
      </c>
      <c r="BL8">
        <v>0.90193691076609406</v>
      </c>
      <c r="BM8">
        <v>2.442610591724419E-2</v>
      </c>
      <c r="BN8">
        <v>2.442610591724419E-2</v>
      </c>
      <c r="BO8">
        <v>0.90193691076609406</v>
      </c>
      <c r="BP8">
        <v>0.14605819631483069</v>
      </c>
      <c r="BQ8">
        <v>0.41362254028166678</v>
      </c>
      <c r="BR8">
        <v>125.0111228135859</v>
      </c>
      <c r="BS8">
        <v>0.64419630755713964</v>
      </c>
      <c r="BT8">
        <v>125.0111228135859</v>
      </c>
      <c r="BU8">
        <v>125.0111228135859</v>
      </c>
      <c r="BV8">
        <v>0.64419630755713964</v>
      </c>
      <c r="BW8">
        <v>374.35463546698099</v>
      </c>
      <c r="BX8">
        <v>-6.5479283638410157E-2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0FD6-0987-4D4C-84BD-F3900F2A32F6}">
  <dimension ref="A1:L33"/>
  <sheetViews>
    <sheetView tabSelected="1" workbookViewId="0">
      <selection activeCell="A26" sqref="A26"/>
    </sheetView>
  </sheetViews>
  <sheetFormatPr baseColWidth="10" defaultRowHeight="14.4" x14ac:dyDescent="0.3"/>
  <cols>
    <col min="1" max="1" width="67.6640625" bestFit="1" customWidth="1"/>
    <col min="2" max="2" width="29.44140625" bestFit="1" customWidth="1"/>
    <col min="3" max="3" width="30.6640625" bestFit="1" customWidth="1"/>
    <col min="4" max="4" width="39" bestFit="1" customWidth="1"/>
    <col min="5" max="5" width="40.109375" bestFit="1" customWidth="1"/>
    <col min="6" max="6" width="38.5546875" bestFit="1" customWidth="1"/>
    <col min="7" max="7" width="39.6640625" bestFit="1" customWidth="1"/>
    <col min="8" max="8" width="34.44140625" bestFit="1" customWidth="1"/>
    <col min="9" max="10" width="35.6640625" bestFit="1" customWidth="1"/>
    <col min="11" max="11" width="36.77734375" bestFit="1" customWidth="1"/>
    <col min="12" max="12" width="18.44140625" bestFit="1" customWidth="1"/>
    <col min="13" max="13" width="21.77734375" bestFit="1" customWidth="1"/>
    <col min="14" max="14" width="21.109375" bestFit="1" customWidth="1"/>
  </cols>
  <sheetData>
    <row r="1" spans="1:12" x14ac:dyDescent="0.3">
      <c r="A1" s="3" t="s">
        <v>108</v>
      </c>
      <c r="B1" t="s">
        <v>111</v>
      </c>
      <c r="C1" t="s">
        <v>112</v>
      </c>
      <c r="D1" t="s">
        <v>120</v>
      </c>
      <c r="E1" t="s">
        <v>118</v>
      </c>
      <c r="F1" t="s">
        <v>117</v>
      </c>
      <c r="G1" t="s">
        <v>116</v>
      </c>
      <c r="H1" t="s">
        <v>115</v>
      </c>
      <c r="I1" t="s">
        <v>119</v>
      </c>
      <c r="J1" t="s">
        <v>114</v>
      </c>
      <c r="K1" t="s">
        <v>113</v>
      </c>
      <c r="L1" t="s">
        <v>110</v>
      </c>
    </row>
    <row r="2" spans="1:12" x14ac:dyDescent="0.3">
      <c r="A2" s="4" t="s">
        <v>89</v>
      </c>
      <c r="B2" s="11">
        <v>0.4712469647514832</v>
      </c>
      <c r="C2" s="11">
        <v>-0.15698317269786477</v>
      </c>
      <c r="D2" s="11">
        <v>-5.0140427599136173E-2</v>
      </c>
      <c r="E2" s="11">
        <v>-6.6953485268524182E-2</v>
      </c>
      <c r="F2" s="11">
        <v>0.80221913803470457</v>
      </c>
      <c r="G2" s="11">
        <v>-0.17522377736769967</v>
      </c>
      <c r="H2" s="11">
        <v>0.74659639424670854</v>
      </c>
      <c r="I2" s="11">
        <v>-0.11037788582056632</v>
      </c>
      <c r="J2" s="11">
        <v>0.32651205612275691</v>
      </c>
      <c r="K2" s="11">
        <v>-0.11713892942792482</v>
      </c>
      <c r="L2" s="11">
        <v>2</v>
      </c>
    </row>
    <row r="3" spans="1:12" x14ac:dyDescent="0.3">
      <c r="A3" s="5">
        <v>2</v>
      </c>
      <c r="B3" s="11">
        <v>0.4712469647514832</v>
      </c>
      <c r="C3" s="11">
        <v>-0.15698317269786477</v>
      </c>
      <c r="D3" s="11">
        <v>-5.0140427599136173E-2</v>
      </c>
      <c r="E3" s="11">
        <v>-6.6953485268524182E-2</v>
      </c>
      <c r="F3" s="11">
        <v>0.80221913803470457</v>
      </c>
      <c r="G3" s="11">
        <v>-0.17522377736769967</v>
      </c>
      <c r="H3" s="11">
        <v>0.74659639424670854</v>
      </c>
      <c r="I3" s="11">
        <v>-0.11037788582056632</v>
      </c>
      <c r="J3" s="11">
        <v>0.32651205612275691</v>
      </c>
      <c r="K3" s="11">
        <v>-0.11713892942792482</v>
      </c>
      <c r="L3" s="11">
        <v>2</v>
      </c>
    </row>
    <row r="4" spans="1:12" x14ac:dyDescent="0.3">
      <c r="A4" s="6" t="s">
        <v>88</v>
      </c>
      <c r="B4" s="11">
        <v>0.4712469647514832</v>
      </c>
      <c r="C4" s="11">
        <v>-0.15698317269786477</v>
      </c>
      <c r="D4" s="11">
        <v>-5.0140427599136173E-2</v>
      </c>
      <c r="E4" s="11">
        <v>-6.6953485268524182E-2</v>
      </c>
      <c r="F4" s="11">
        <v>0.80221913803470457</v>
      </c>
      <c r="G4" s="11">
        <v>-0.17522377736769967</v>
      </c>
      <c r="H4" s="11">
        <v>0.74659639424670854</v>
      </c>
      <c r="I4" s="11">
        <v>-0.11037788582056632</v>
      </c>
      <c r="J4" s="11">
        <v>0.32651205612275691</v>
      </c>
      <c r="K4" s="11">
        <v>-0.11713892942792482</v>
      </c>
      <c r="L4" s="11">
        <v>2</v>
      </c>
    </row>
    <row r="5" spans="1:12" x14ac:dyDescent="0.3">
      <c r="A5" s="7" t="s">
        <v>79</v>
      </c>
      <c r="B5" s="11">
        <v>0.4712469647514832</v>
      </c>
      <c r="C5" s="11">
        <v>-0.15698317269786477</v>
      </c>
      <c r="D5" s="11">
        <v>-5.0140427599136173E-2</v>
      </c>
      <c r="E5" s="11">
        <v>-6.6953485268524182E-2</v>
      </c>
      <c r="F5" s="11">
        <v>0.80221913803470457</v>
      </c>
      <c r="G5" s="11">
        <v>-0.17522377736769967</v>
      </c>
      <c r="H5" s="11">
        <v>0.74659639424670854</v>
      </c>
      <c r="I5" s="11">
        <v>-0.11037788582056632</v>
      </c>
      <c r="J5" s="11">
        <v>0.32651205612275691</v>
      </c>
      <c r="K5" s="11">
        <v>-0.11713892942792482</v>
      </c>
      <c r="L5" s="11">
        <v>2</v>
      </c>
    </row>
    <row r="6" spans="1:12" x14ac:dyDescent="0.3">
      <c r="A6" s="8" t="s">
        <v>90</v>
      </c>
      <c r="B6" s="11">
        <v>0.4712469647514832</v>
      </c>
      <c r="C6" s="11">
        <v>-0.15698317269786477</v>
      </c>
      <c r="D6" s="11">
        <v>-5.0140427599136173E-2</v>
      </c>
      <c r="E6" s="11">
        <v>-6.6953485268524182E-2</v>
      </c>
      <c r="F6" s="11">
        <v>0.80221913803470457</v>
      </c>
      <c r="G6" s="11">
        <v>-0.17522377736769967</v>
      </c>
      <c r="H6" s="11">
        <v>0.74659639424670854</v>
      </c>
      <c r="I6" s="11">
        <v>-0.11037788582056632</v>
      </c>
      <c r="J6" s="11">
        <v>0.32651205612275691</v>
      </c>
      <c r="K6" s="11">
        <v>-0.11713892942792482</v>
      </c>
      <c r="L6" s="11">
        <v>2</v>
      </c>
    </row>
    <row r="7" spans="1:12" x14ac:dyDescent="0.3">
      <c r="A7" s="9" t="s">
        <v>97</v>
      </c>
      <c r="B7" s="11">
        <v>0.39614340118852559</v>
      </c>
      <c r="C7" s="11">
        <v>-7.681559356157841E-2</v>
      </c>
      <c r="D7" s="11">
        <v>-7.3574390213617891E-2</v>
      </c>
      <c r="E7" s="11">
        <v>-7.402965684289331E-2</v>
      </c>
      <c r="F7" s="11">
        <v>0.73841783516619008</v>
      </c>
      <c r="G7" s="11">
        <v>-6.1667514783920963E-2</v>
      </c>
      <c r="H7" s="11">
        <v>0.63707775427741731</v>
      </c>
      <c r="I7" s="11">
        <v>4.1990097254230752E-2</v>
      </c>
      <c r="J7" s="11">
        <v>0.26705315673718838</v>
      </c>
      <c r="K7" s="11">
        <v>-5.3384793311946448E-2</v>
      </c>
      <c r="L7" s="11">
        <v>1</v>
      </c>
    </row>
    <row r="8" spans="1:12" x14ac:dyDescent="0.3">
      <c r="A8" s="10">
        <v>1</v>
      </c>
      <c r="B8" s="11">
        <v>0.39614340118852559</v>
      </c>
      <c r="C8" s="11">
        <v>-7.681559356157841E-2</v>
      </c>
      <c r="D8" s="11">
        <v>-7.3574390213617891E-2</v>
      </c>
      <c r="E8" s="11">
        <v>-7.402965684289331E-2</v>
      </c>
      <c r="F8" s="11">
        <v>0.73841783516619008</v>
      </c>
      <c r="G8" s="11">
        <v>-6.1667514783920963E-2</v>
      </c>
      <c r="H8" s="11">
        <v>0.63707775427741731</v>
      </c>
      <c r="I8" s="11">
        <v>4.1990097254230752E-2</v>
      </c>
      <c r="J8" s="11">
        <v>0.26705315673718838</v>
      </c>
      <c r="K8" s="11">
        <v>-5.3384793311946448E-2</v>
      </c>
      <c r="L8" s="11">
        <v>1</v>
      </c>
    </row>
    <row r="9" spans="1:12" x14ac:dyDescent="0.3">
      <c r="A9" s="9" t="s">
        <v>93</v>
      </c>
      <c r="B9" s="11">
        <v>0.54635052831444075</v>
      </c>
      <c r="C9" s="11">
        <v>-0.2371507518341511</v>
      </c>
      <c r="D9" s="11">
        <v>-2.6706464984654451E-2</v>
      </c>
      <c r="E9" s="11">
        <v>-5.9877313694155047E-2</v>
      </c>
      <c r="F9" s="11">
        <v>0.86602044090321917</v>
      </c>
      <c r="G9" s="11">
        <v>-0.28878003995147838</v>
      </c>
      <c r="H9" s="11">
        <v>0.85611503421599977</v>
      </c>
      <c r="I9" s="11">
        <v>-0.26274586889536339</v>
      </c>
      <c r="J9" s="11">
        <v>0.3859709555083255</v>
      </c>
      <c r="K9" s="11">
        <v>-0.18089306554390319</v>
      </c>
      <c r="L9" s="11">
        <v>1</v>
      </c>
    </row>
    <row r="10" spans="1:12" x14ac:dyDescent="0.3">
      <c r="A10" s="10">
        <v>1</v>
      </c>
      <c r="B10" s="11">
        <v>0.54635052831444075</v>
      </c>
      <c r="C10" s="11">
        <v>-0.2371507518341511</v>
      </c>
      <c r="D10" s="11">
        <v>-2.6706464984654451E-2</v>
      </c>
      <c r="E10" s="11">
        <v>-5.9877313694155047E-2</v>
      </c>
      <c r="F10" s="11">
        <v>0.86602044090321917</v>
      </c>
      <c r="G10" s="11">
        <v>-0.28878003995147838</v>
      </c>
      <c r="H10" s="11">
        <v>0.85611503421599977</v>
      </c>
      <c r="I10" s="11">
        <v>-0.26274586889536339</v>
      </c>
      <c r="J10" s="11">
        <v>0.3859709555083255</v>
      </c>
      <c r="K10" s="11">
        <v>-0.18089306554390319</v>
      </c>
      <c r="L10" s="11">
        <v>1</v>
      </c>
    </row>
    <row r="11" spans="1:12" x14ac:dyDescent="0.3">
      <c r="A11" s="4" t="s">
        <v>102</v>
      </c>
      <c r="B11" s="11">
        <v>0.86088254095097982</v>
      </c>
      <c r="C11" s="11">
        <v>-1.1000306991558759</v>
      </c>
      <c r="D11" s="11">
        <v>0.89826749756372326</v>
      </c>
      <c r="E11" s="11">
        <v>-1.6183574738956545</v>
      </c>
      <c r="F11" s="11">
        <v>0.93119281013529742</v>
      </c>
      <c r="G11" s="11">
        <v>-0.78096150971387579</v>
      </c>
      <c r="H11" s="11">
        <v>0.9068538747594721</v>
      </c>
      <c r="I11" s="11">
        <v>-0.42107674043655241</v>
      </c>
      <c r="J11" s="11">
        <v>0.71099484243634992</v>
      </c>
      <c r="K11" s="11">
        <v>-0.65378056742288726</v>
      </c>
      <c r="L11" s="11">
        <v>4</v>
      </c>
    </row>
    <row r="12" spans="1:12" x14ac:dyDescent="0.3">
      <c r="A12" s="5">
        <v>2</v>
      </c>
      <c r="B12" s="11">
        <v>0.78568481792772782</v>
      </c>
      <c r="C12" s="11">
        <v>-2.1565110156189569</v>
      </c>
      <c r="D12" s="11">
        <v>0.92452946974956118</v>
      </c>
      <c r="E12" s="11">
        <v>-3.0703365431764289</v>
      </c>
      <c r="F12" s="11">
        <v>0.92802100590035141</v>
      </c>
      <c r="G12" s="11">
        <v>-2.1299534894545848</v>
      </c>
      <c r="H12" s="11">
        <v>0.90832345832849548</v>
      </c>
      <c r="I12" s="11">
        <v>-1.2077097042049301</v>
      </c>
      <c r="J12" s="11">
        <v>0.36698807589524779</v>
      </c>
      <c r="K12" s="11">
        <v>-0.44734492724555591</v>
      </c>
      <c r="L12" s="11">
        <v>1</v>
      </c>
    </row>
    <row r="13" spans="1:12" x14ac:dyDescent="0.3">
      <c r="A13" s="6" t="s">
        <v>101</v>
      </c>
      <c r="B13" s="11">
        <v>0.78568481792772782</v>
      </c>
      <c r="C13" s="11">
        <v>-2.1565110156189569</v>
      </c>
      <c r="D13" s="11">
        <v>0.92452946974956118</v>
      </c>
      <c r="E13" s="11">
        <v>-3.0703365431764289</v>
      </c>
      <c r="F13" s="11">
        <v>0.92802100590035141</v>
      </c>
      <c r="G13" s="11">
        <v>-2.1299534894545848</v>
      </c>
      <c r="H13" s="11">
        <v>0.90832345832849548</v>
      </c>
      <c r="I13" s="11">
        <v>-1.2077097042049301</v>
      </c>
      <c r="J13" s="11">
        <v>0.36698807589524779</v>
      </c>
      <c r="K13" s="11">
        <v>-0.44734492724555591</v>
      </c>
      <c r="L13" s="11">
        <v>1</v>
      </c>
    </row>
    <row r="14" spans="1:12" x14ac:dyDescent="0.3">
      <c r="A14" s="7" t="s">
        <v>99</v>
      </c>
      <c r="B14" s="11">
        <v>0.78568481792772782</v>
      </c>
      <c r="C14" s="11">
        <v>-2.1565110156189569</v>
      </c>
      <c r="D14" s="11">
        <v>0.92452946974956118</v>
      </c>
      <c r="E14" s="11">
        <v>-3.0703365431764289</v>
      </c>
      <c r="F14" s="11">
        <v>0.92802100590035141</v>
      </c>
      <c r="G14" s="11">
        <v>-2.1299534894545848</v>
      </c>
      <c r="H14" s="11">
        <v>0.90832345832849548</v>
      </c>
      <c r="I14" s="11">
        <v>-1.2077097042049301</v>
      </c>
      <c r="J14" s="11">
        <v>0.36698807589524779</v>
      </c>
      <c r="K14" s="11">
        <v>-0.44734492724555591</v>
      </c>
      <c r="L14" s="11">
        <v>1</v>
      </c>
    </row>
    <row r="15" spans="1:12" x14ac:dyDescent="0.3">
      <c r="A15" s="8" t="s">
        <v>103</v>
      </c>
      <c r="B15" s="11">
        <v>0.78568481792772782</v>
      </c>
      <c r="C15" s="11">
        <v>-2.1565110156189569</v>
      </c>
      <c r="D15" s="11">
        <v>0.92452946974956118</v>
      </c>
      <c r="E15" s="11">
        <v>-3.0703365431764289</v>
      </c>
      <c r="F15" s="11">
        <v>0.92802100590035141</v>
      </c>
      <c r="G15" s="11">
        <v>-2.1299534894545848</v>
      </c>
      <c r="H15" s="11">
        <v>0.90832345832849548</v>
      </c>
      <c r="I15" s="11">
        <v>-1.2077097042049301</v>
      </c>
      <c r="J15" s="11">
        <v>0.36698807589524779</v>
      </c>
      <c r="K15" s="11">
        <v>-0.44734492724555591</v>
      </c>
      <c r="L15" s="11">
        <v>1</v>
      </c>
    </row>
    <row r="16" spans="1:12" x14ac:dyDescent="0.3">
      <c r="A16" s="9" t="s">
        <v>97</v>
      </c>
      <c r="B16" s="11">
        <v>0.78568481792772782</v>
      </c>
      <c r="C16" s="11">
        <v>-2.1565110156189569</v>
      </c>
      <c r="D16" s="11">
        <v>0.92452946974956118</v>
      </c>
      <c r="E16" s="11">
        <v>-3.0703365431764289</v>
      </c>
      <c r="F16" s="11">
        <v>0.92802100590035141</v>
      </c>
      <c r="G16" s="11">
        <v>-2.1299534894545848</v>
      </c>
      <c r="H16" s="11">
        <v>0.90832345832849548</v>
      </c>
      <c r="I16" s="11">
        <v>-1.2077097042049301</v>
      </c>
      <c r="J16" s="11">
        <v>0.36698807589524779</v>
      </c>
      <c r="K16" s="11">
        <v>-0.44734492724555591</v>
      </c>
      <c r="L16" s="11">
        <v>1</v>
      </c>
    </row>
    <row r="17" spans="1:12" x14ac:dyDescent="0.3">
      <c r="A17" s="10">
        <v>1</v>
      </c>
      <c r="B17" s="11">
        <v>0.78568481792772782</v>
      </c>
      <c r="C17" s="11">
        <v>-2.1565110156189569</v>
      </c>
      <c r="D17" s="11">
        <v>0.92452946974956118</v>
      </c>
      <c r="E17" s="11">
        <v>-3.0703365431764289</v>
      </c>
      <c r="F17" s="11">
        <v>0.92802100590035141</v>
      </c>
      <c r="G17" s="11">
        <v>-2.1299534894545848</v>
      </c>
      <c r="H17" s="11">
        <v>0.90832345832849548</v>
      </c>
      <c r="I17" s="11">
        <v>-1.2077097042049301</v>
      </c>
      <c r="J17" s="11">
        <v>0.36698807589524779</v>
      </c>
      <c r="K17" s="11">
        <v>-0.44734492724555591</v>
      </c>
      <c r="L17" s="11">
        <v>1</v>
      </c>
    </row>
    <row r="18" spans="1:12" x14ac:dyDescent="0.3">
      <c r="A18" s="5">
        <v>3</v>
      </c>
      <c r="B18" s="11">
        <v>0.88594844862539712</v>
      </c>
      <c r="C18" s="11">
        <v>-0.74787059366818232</v>
      </c>
      <c r="D18" s="11">
        <v>0.88951350683511066</v>
      </c>
      <c r="E18" s="11">
        <v>-1.1343644508020629</v>
      </c>
      <c r="F18" s="11">
        <v>0.93225007821361283</v>
      </c>
      <c r="G18" s="11">
        <v>-0.33129751646697286</v>
      </c>
      <c r="H18" s="11">
        <v>0.90636401356979768</v>
      </c>
      <c r="I18" s="11">
        <v>-0.15886575251375981</v>
      </c>
      <c r="J18" s="11">
        <v>0.82566376461671742</v>
      </c>
      <c r="K18" s="11">
        <v>-0.7225924474819978</v>
      </c>
      <c r="L18" s="11">
        <v>3</v>
      </c>
    </row>
    <row r="19" spans="1:12" x14ac:dyDescent="0.3">
      <c r="A19" s="6" t="s">
        <v>106</v>
      </c>
      <c r="B19" s="11">
        <v>0.88594844862539712</v>
      </c>
      <c r="C19" s="11">
        <v>-0.74787059366818232</v>
      </c>
      <c r="D19" s="11">
        <v>0.88951350683511066</v>
      </c>
      <c r="E19" s="11">
        <v>-1.1343644508020629</v>
      </c>
      <c r="F19" s="11">
        <v>0.93225007821361283</v>
      </c>
      <c r="G19" s="11">
        <v>-0.33129751646697286</v>
      </c>
      <c r="H19" s="11">
        <v>0.90636401356979768</v>
      </c>
      <c r="I19" s="11">
        <v>-0.15886575251375981</v>
      </c>
      <c r="J19" s="11">
        <v>0.82566376461671742</v>
      </c>
      <c r="K19" s="11">
        <v>-0.7225924474819978</v>
      </c>
      <c r="L19" s="11">
        <v>3</v>
      </c>
    </row>
    <row r="20" spans="1:12" x14ac:dyDescent="0.3">
      <c r="A20" s="7" t="s">
        <v>99</v>
      </c>
      <c r="B20" s="11">
        <v>0.88594844862539712</v>
      </c>
      <c r="C20" s="11">
        <v>-0.74787059366818232</v>
      </c>
      <c r="D20" s="11">
        <v>0.88951350683511066</v>
      </c>
      <c r="E20" s="11">
        <v>-1.1343644508020629</v>
      </c>
      <c r="F20" s="11">
        <v>0.93225007821361283</v>
      </c>
      <c r="G20" s="11">
        <v>-0.33129751646697286</v>
      </c>
      <c r="H20" s="11">
        <v>0.90636401356979768</v>
      </c>
      <c r="I20" s="11">
        <v>-0.15886575251375981</v>
      </c>
      <c r="J20" s="11">
        <v>0.82566376461671742</v>
      </c>
      <c r="K20" s="11">
        <v>-0.7225924474819978</v>
      </c>
      <c r="L20" s="11">
        <v>3</v>
      </c>
    </row>
    <row r="21" spans="1:12" x14ac:dyDescent="0.3">
      <c r="A21" s="8" t="s">
        <v>107</v>
      </c>
      <c r="B21" s="11">
        <v>0.88594844862539712</v>
      </c>
      <c r="C21" s="11">
        <v>-0.74787059366818232</v>
      </c>
      <c r="D21" s="11">
        <v>0.88951350683511066</v>
      </c>
      <c r="E21" s="11">
        <v>-1.1343644508020629</v>
      </c>
      <c r="F21" s="11">
        <v>0.93225007821361283</v>
      </c>
      <c r="G21" s="11">
        <v>-0.33129751646697286</v>
      </c>
      <c r="H21" s="11">
        <v>0.90636401356979768</v>
      </c>
      <c r="I21" s="11">
        <v>-0.15886575251375981</v>
      </c>
      <c r="J21" s="11">
        <v>0.82566376461671742</v>
      </c>
      <c r="K21" s="11">
        <v>-0.7225924474819978</v>
      </c>
      <c r="L21" s="11">
        <v>3</v>
      </c>
    </row>
    <row r="22" spans="1:12" x14ac:dyDescent="0.3">
      <c r="A22" s="9" t="s">
        <v>97</v>
      </c>
      <c r="B22" s="11">
        <v>0.88594844862539712</v>
      </c>
      <c r="C22" s="11">
        <v>-0.74787059366818232</v>
      </c>
      <c r="D22" s="11">
        <v>0.88951350683511066</v>
      </c>
      <c r="E22" s="11">
        <v>-1.1343644508020629</v>
      </c>
      <c r="F22" s="11">
        <v>0.93225007821361283</v>
      </c>
      <c r="G22" s="11">
        <v>-0.33129751646697286</v>
      </c>
      <c r="H22" s="11">
        <v>0.90636401356979768</v>
      </c>
      <c r="I22" s="11">
        <v>-0.15886575251375981</v>
      </c>
      <c r="J22" s="11">
        <v>0.82566376461671742</v>
      </c>
      <c r="K22" s="11">
        <v>-0.7225924474819978</v>
      </c>
      <c r="L22" s="11">
        <v>3</v>
      </c>
    </row>
    <row r="23" spans="1:12" x14ac:dyDescent="0.3">
      <c r="A23" s="10">
        <v>1</v>
      </c>
      <c r="B23" s="11">
        <v>0.88851713161305823</v>
      </c>
      <c r="C23" s="11">
        <v>8.3582913420188726E-2</v>
      </c>
      <c r="D23" s="11">
        <v>0.89452200124332304</v>
      </c>
      <c r="E23" s="11">
        <v>-1.263554027680265</v>
      </c>
      <c r="F23" s="11">
        <v>0.92077441735528831</v>
      </c>
      <c r="G23" s="11">
        <v>0.82515742996299235</v>
      </c>
      <c r="H23" s="11">
        <v>0.90872682328643117</v>
      </c>
      <c r="I23" s="11">
        <v>0.82910363894106787</v>
      </c>
      <c r="J23" s="11">
        <v>0.86650491160001253</v>
      </c>
      <c r="K23" s="11">
        <v>0.47191491174214673</v>
      </c>
      <c r="L23" s="11">
        <v>1</v>
      </c>
    </row>
    <row r="24" spans="1:12" x14ac:dyDescent="0.3">
      <c r="A24" s="10">
        <v>2</v>
      </c>
      <c r="B24" s="11">
        <v>0.87313916166724892</v>
      </c>
      <c r="C24" s="11">
        <v>-1.5735945476692059</v>
      </c>
      <c r="D24" s="11">
        <v>0.88730467875858821</v>
      </c>
      <c r="E24" s="11">
        <v>-1.0614533594680331</v>
      </c>
      <c r="F24" s="11">
        <v>0.92678063200089755</v>
      </c>
      <c r="G24" s="11">
        <v>-1.434490340888644</v>
      </c>
      <c r="H24" s="11">
        <v>0.87889665740431577</v>
      </c>
      <c r="I24" s="11">
        <v>-1.2096968483467121</v>
      </c>
      <c r="J24" s="11">
        <v>0.82326061971930953</v>
      </c>
      <c r="K24" s="11">
        <v>-1.956477911377859</v>
      </c>
      <c r="L24" s="11">
        <v>1</v>
      </c>
    </row>
    <row r="25" spans="1:12" x14ac:dyDescent="0.3">
      <c r="A25" s="10">
        <v>3</v>
      </c>
      <c r="B25" s="11">
        <v>0.89618905259588411</v>
      </c>
      <c r="C25" s="11">
        <v>-0.75360014675552978</v>
      </c>
      <c r="D25" s="11">
        <v>0.88671384050342061</v>
      </c>
      <c r="E25" s="11">
        <v>-1.0780859652578909</v>
      </c>
      <c r="F25" s="11">
        <v>0.94919518528465263</v>
      </c>
      <c r="G25" s="11">
        <v>-0.38455963847526697</v>
      </c>
      <c r="H25" s="11">
        <v>0.93146856001864609</v>
      </c>
      <c r="I25" s="11">
        <v>-9.6004048135635234E-2</v>
      </c>
      <c r="J25" s="11">
        <v>0.7872257625308301</v>
      </c>
      <c r="K25" s="11">
        <v>-0.68321434281028082</v>
      </c>
      <c r="L25" s="11">
        <v>1</v>
      </c>
    </row>
    <row r="26" spans="1:12" x14ac:dyDescent="0.3">
      <c r="A26" s="4" t="s">
        <v>127</v>
      </c>
      <c r="B26" s="11">
        <v>0.82385352498761921</v>
      </c>
      <c r="C26" s="11">
        <v>0.23103670181798511</v>
      </c>
      <c r="D26" s="11">
        <v>0.65910444269139501</v>
      </c>
      <c r="E26" s="11">
        <v>0.1435394443367185</v>
      </c>
      <c r="F26" s="11">
        <v>0.92207657463165105</v>
      </c>
      <c r="G26" s="11">
        <v>0.4643919388436909</v>
      </c>
      <c r="H26" s="11">
        <v>0.90193691076609406</v>
      </c>
      <c r="I26" s="11">
        <v>0.41362254028166678</v>
      </c>
      <c r="J26" s="11">
        <v>0.64419630755713964</v>
      </c>
      <c r="K26" s="11">
        <v>-6.5479283638410157E-2</v>
      </c>
      <c r="L26" s="11">
        <v>1</v>
      </c>
    </row>
    <row r="27" spans="1:12" x14ac:dyDescent="0.3">
      <c r="A27" s="5">
        <v>3</v>
      </c>
      <c r="B27" s="11">
        <v>0.82385352498761921</v>
      </c>
      <c r="C27" s="11">
        <v>0.23103670181798511</v>
      </c>
      <c r="D27" s="11">
        <v>0.65910444269139501</v>
      </c>
      <c r="E27" s="11">
        <v>0.1435394443367185</v>
      </c>
      <c r="F27" s="11">
        <v>0.92207657463165105</v>
      </c>
      <c r="G27" s="11">
        <v>0.4643919388436909</v>
      </c>
      <c r="H27" s="11">
        <v>0.90193691076609406</v>
      </c>
      <c r="I27" s="11">
        <v>0.41362254028166678</v>
      </c>
      <c r="J27" s="11">
        <v>0.64419630755713964</v>
      </c>
      <c r="K27" s="11">
        <v>-6.5479283638410157E-2</v>
      </c>
      <c r="L27" s="11">
        <v>1</v>
      </c>
    </row>
    <row r="28" spans="1:12" x14ac:dyDescent="0.3">
      <c r="A28" s="6" t="s">
        <v>126</v>
      </c>
      <c r="B28" s="11">
        <v>0.82385352498761921</v>
      </c>
      <c r="C28" s="11">
        <v>0.23103670181798511</v>
      </c>
      <c r="D28" s="11">
        <v>0.65910444269139501</v>
      </c>
      <c r="E28" s="11">
        <v>0.1435394443367185</v>
      </c>
      <c r="F28" s="11">
        <v>0.92207657463165105</v>
      </c>
      <c r="G28" s="11">
        <v>0.4643919388436909</v>
      </c>
      <c r="H28" s="11">
        <v>0.90193691076609406</v>
      </c>
      <c r="I28" s="11">
        <v>0.41362254028166678</v>
      </c>
      <c r="J28" s="11">
        <v>0.64419630755713964</v>
      </c>
      <c r="K28" s="11">
        <v>-6.5479283638410157E-2</v>
      </c>
      <c r="L28" s="11">
        <v>1</v>
      </c>
    </row>
    <row r="29" spans="1:12" x14ac:dyDescent="0.3">
      <c r="A29" s="7" t="s">
        <v>124</v>
      </c>
      <c r="B29" s="11">
        <v>0.82385352498761921</v>
      </c>
      <c r="C29" s="11">
        <v>0.23103670181798511</v>
      </c>
      <c r="D29" s="11">
        <v>0.65910444269139501</v>
      </c>
      <c r="E29" s="11">
        <v>0.1435394443367185</v>
      </c>
      <c r="F29" s="11">
        <v>0.92207657463165105</v>
      </c>
      <c r="G29" s="11">
        <v>0.4643919388436909</v>
      </c>
      <c r="H29" s="11">
        <v>0.90193691076609406</v>
      </c>
      <c r="I29" s="11">
        <v>0.41362254028166678</v>
      </c>
      <c r="J29" s="11">
        <v>0.64419630755713964</v>
      </c>
      <c r="K29" s="11">
        <v>-6.5479283638410157E-2</v>
      </c>
      <c r="L29" s="11">
        <v>1</v>
      </c>
    </row>
    <row r="30" spans="1:12" x14ac:dyDescent="0.3">
      <c r="A30" s="8" t="s">
        <v>128</v>
      </c>
      <c r="B30" s="11">
        <v>0.82385352498761921</v>
      </c>
      <c r="C30" s="11">
        <v>0.23103670181798511</v>
      </c>
      <c r="D30" s="11">
        <v>0.65910444269139501</v>
      </c>
      <c r="E30" s="11">
        <v>0.1435394443367185</v>
      </c>
      <c r="F30" s="11">
        <v>0.92207657463165105</v>
      </c>
      <c r="G30" s="11">
        <v>0.4643919388436909</v>
      </c>
      <c r="H30" s="11">
        <v>0.90193691076609406</v>
      </c>
      <c r="I30" s="11">
        <v>0.41362254028166678</v>
      </c>
      <c r="J30" s="11">
        <v>0.64419630755713964</v>
      </c>
      <c r="K30" s="11">
        <v>-6.5479283638410157E-2</v>
      </c>
      <c r="L30" s="11">
        <v>1</v>
      </c>
    </row>
    <row r="31" spans="1:12" x14ac:dyDescent="0.3">
      <c r="A31" s="9" t="s">
        <v>129</v>
      </c>
      <c r="B31" s="11">
        <v>0.82385352498761921</v>
      </c>
      <c r="C31" s="11">
        <v>0.23103670181798511</v>
      </c>
      <c r="D31" s="11">
        <v>0.65910444269139501</v>
      </c>
      <c r="E31" s="11">
        <v>0.1435394443367185</v>
      </c>
      <c r="F31" s="11">
        <v>0.92207657463165105</v>
      </c>
      <c r="G31" s="11">
        <v>0.4643919388436909</v>
      </c>
      <c r="H31" s="11">
        <v>0.90193691076609406</v>
      </c>
      <c r="I31" s="11">
        <v>0.41362254028166678</v>
      </c>
      <c r="J31" s="11">
        <v>0.64419630755713964</v>
      </c>
      <c r="K31" s="11">
        <v>-6.5479283638410157E-2</v>
      </c>
      <c r="L31" s="11">
        <v>1</v>
      </c>
    </row>
    <row r="32" spans="1:12" x14ac:dyDescent="0.3">
      <c r="A32" s="10">
        <v>1</v>
      </c>
      <c r="B32" s="11">
        <v>0.82385352498761921</v>
      </c>
      <c r="C32" s="11">
        <v>0.23103670181798511</v>
      </c>
      <c r="D32" s="11">
        <v>0.65910444269139501</v>
      </c>
      <c r="E32" s="11">
        <v>0.1435394443367185</v>
      </c>
      <c r="F32" s="11">
        <v>0.92207657463165105</v>
      </c>
      <c r="G32" s="11">
        <v>0.4643919388436909</v>
      </c>
      <c r="H32" s="11">
        <v>0.90193691076609406</v>
      </c>
      <c r="I32" s="11">
        <v>0.41362254028166678</v>
      </c>
      <c r="J32" s="11">
        <v>0.64419630755713964</v>
      </c>
      <c r="K32" s="11">
        <v>-6.5479283638410157E-2</v>
      </c>
      <c r="L32" s="11">
        <v>1</v>
      </c>
    </row>
    <row r="33" spans="1:12" x14ac:dyDescent="0.3">
      <c r="A33" s="4" t="s">
        <v>109</v>
      </c>
      <c r="B33" s="11">
        <v>0.74426823118492924</v>
      </c>
      <c r="C33" s="11">
        <v>-0.6404360628858925</v>
      </c>
      <c r="D33" s="11">
        <v>0.59312765396400224</v>
      </c>
      <c r="E33" s="11">
        <v>-0.92339963168327832</v>
      </c>
      <c r="F33" s="11">
        <v>0.89304087017746436</v>
      </c>
      <c r="G33" s="11">
        <v>-0.42998595067817319</v>
      </c>
      <c r="H33" s="11">
        <v>0.86036359975677146</v>
      </c>
      <c r="I33" s="11">
        <v>-0.2130628847293822</v>
      </c>
      <c r="J33" s="11">
        <v>0.59159996993543618</v>
      </c>
      <c r="K33" s="11">
        <v>-0.41641134459797274</v>
      </c>
      <c r="L33" s="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2026-03-02T02:45:41Z</dcterms:created>
  <dcterms:modified xsi:type="dcterms:W3CDTF">2026-05-05T11:24:02Z</dcterms:modified>
</cp:coreProperties>
</file>