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not_systematic/combining_results/"/>
    </mc:Choice>
  </mc:AlternateContent>
  <xr:revisionPtr revIDLastSave="95" documentId="11_6F1971BED38051FDBCC901D04B5ED87656CC73B7" xr6:coauthVersionLast="47" xr6:coauthVersionMax="47" xr10:uidLastSave="{BCDE0241-2A26-4EA1-8712-762CCE801641}"/>
  <bookViews>
    <workbookView xWindow="-108" yWindow="-108" windowWidth="23256" windowHeight="12456" activeTab="1" xr2:uid="{00000000-000D-0000-FFFF-FFFF00000000}"/>
  </bookViews>
  <sheets>
    <sheet name="Results" sheetId="1" r:id="rId1"/>
    <sheet name="Analizer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<sst xmlns="http://schemas.openxmlformats.org/spreadsheetml/2006/main" count="333" uniqueCount="124">
  <si>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</si>
  <si>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</si>
  <si>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</si>
  <si>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</si>
  <si>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</si>
  <si>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</si>
  <si>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</si>
  <si>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</si>
  <si>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</si>
  <si>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</si>
  <si>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</si>
  <si>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</si>
  <si>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</si>
  <si>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</si>
  <si>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</si>
  <si>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</si>
  <si>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</si>
  <si>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</si>
  <si>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</si>
  <si>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</si>
  <si>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</si>
  <si>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</si>
  <si>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</si>
  <si>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</si>
  <si>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</si>
  <si>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</si>
  <si>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</si>
  <si>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</si>
  <si>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</si>
  <si>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</si>
  <si>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</si>
  <si>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</si>
  <si>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</si>
  <si>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</si>
  <si>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</si>
  <si>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</si>
  <si>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</si>
  <si>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</si>
  <si>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</si>
  <si>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</si>
  <si>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</si>
  <si>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</si>
  <si>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</si>
  <si>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</si>
  <si>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</si>
  <si>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</si>
  <si>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</si>
  <si>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</si>
  <si>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</si>
  <si>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</si>
  <si>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</si>
  <si>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</si>
  <si>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</si>
  <si>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</si>
  <si>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</si>
  <si>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</si>
  <si>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</si>
  <si>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</si>
  <si>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</si>
  <si>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</si>
  <si>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</si>
  <si>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</si>
  <si>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</si>
  <si>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</si>
  <si>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</si>
  <si>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</si>
  <si>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</si>
  <si>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</si>
  <si>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</si>
  <si>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</si>
  <si>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</si>
  <si>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</si>
  <si>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</si>
  <si>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</si>
  <si>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</si>
  <si>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</si>
  <si>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03-03_14-05-18_multihead_spsa_serial_f5_w5_h5_effsu2_lin_r1.pkl</t>
  </si>
  <si>
    <t>Final (Last Iteration)</t>
  </si>
  <si>
    <t>data/reduce_row_number_absolutes</t>
  </si>
  <si>
    <t>[['wv', 'rarad'], ['sv', 'rarad'], ['yr', 'ya',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</si>
  <si>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</si>
  <si>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</si>
  <si>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</si>
  <si>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</si>
  <si>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</si>
  <si>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'rarad'], 'output_dim': 1, 'reps': 1, 'encoding': 'serial', 'ansatz': 'effsu2', 'entangle': 'lin', 'map': [0, -1, 1]}, {'features': ['sv', 'rarad'], 'output_dim': 1, 'reps': 1, 'encoding': 'serial', 'ansatz': 'effsu2', 'entangle': 'lin', 'map': [1, -1, 0]}, {'features': ['yr', 'ya', 'rarad'], 'output_dim': 2, 'reps': 1, 'encoding': 'serial', 'ansatz': 'effsu2', 'entangle': 'lin', 'map': [0, 1, 2]}]</t>
  </si>
  <si>
    <t>serial</t>
  </si>
  <si>
    <t>effsu2</t>
  </si>
  <si>
    <t>lin</t>
  </si>
  <si>
    <t>[[0, -1, 1], [1, -1, 0], [0, 1, 2]]</t>
  </si>
  <si>
    <t>spsa</t>
  </si>
  <si>
    <t>[0.1, 0.001]</t>
  </si>
  <si>
    <t>[1.0, 1.0, 1.0, 1.0]</t>
  </si>
  <si>
    <t>identity</t>
  </si>
  <si>
    <t>03-03_14-05-10_multihead_spsa_serial_f5_w5_h5_effsu2_lin_r1.pkl</t>
  </si>
  <si>
    <t>03-03_14-05-14_multihead_spsa_serial_f5_w5_h5_effsu2_lin_r1.pkl</t>
  </si>
  <si>
    <t>03-03_16-26-23_multihead_spsa_serial_f5_w5_h5_ugates_lin_r1.pkl</t>
  </si>
  <si>
    <t>Best (Lowest Val Loss)</t>
  </si>
  <si>
    <t>[{'features': ['wv', 'rarad'], 'output_dim': 1, 'reps': 1, 'encoding': 'serial', 'ansatz': 'ugates', 'entangle': 'lin', 'map': [0, 1, -1]}, {'features': ['sv', 'rarad'], 'output_dim': 1, 'reps': 1, 'encoding': 'serial', 'ansatz': 'ugates', 'entangle': 'lin', 'map': [0, 1, -1]}, {'features': ['yr', 'ya', 'rarad'], 'output_dim': 2, 'reps': 1, 'encoding': 'serial', 'ansatz': 'ugates', 'entangle': 'lin', 'map': [0, 1, 2]}]</t>
  </si>
  <si>
    <t>ugates</t>
  </si>
  <si>
    <t>[[0, 1, -1], [0, 1, -1], [0, 1, 2]]</t>
  </si>
  <si>
    <t>03-03_16-26-05_multihead_spsa_serial_f5_w5_h5_ugates_lin_r1.pkl</t>
  </si>
  <si>
    <t>03-03_16-26-04_multihead_spsa_serial_f5_w5_h5_ugates_lin_r1.pkl</t>
  </si>
  <si>
    <t>03-03_19-31-31_multihead_spsa_serial_f5_w5_h5_effsu2_lin_r1.pkl</t>
  </si>
  <si>
    <t>['wv', 'sv', 'yr', 'ya', 'rarad']</t>
  </si>
  <si>
    <t>[{'features': ['wv', 'sv', 'yr', 'ya', 'rarad'], 'output_dim': 2, 'reps': 1, 'encoding': 'serial', 'ansatz': 'effsu2', 'entangle': 'lin', 'map': [0, 3, 1, -1, 4, 2]}, {'features': ['wv', 'sv', 'yr', 'ya', 'rarad'], 'output_dim': 1, 'reps': 1, 'encoding': 'serial', 'ansatz': 'effsu2', 'entangle': 'lin', 'map': [-1, 0, 1, 2, 3, 4]}, {'features': ['wv', 'sv', 'yr', 'ya', 'rarad'], 'output_dim': 1, 'reps': 1, 'encoding': 'serial', 'ansatz': 'effsu2', 'entangle': 'lin', 'map': [-1, 0, 1, 2, 3, 4]}]</t>
  </si>
  <si>
    <t>[[0, 3, 1, -1, 4, 2], [-1, 0, 1, 2, 3, 4], [-1, 0, 1, 2, 3, 4]]</t>
  </si>
  <si>
    <t>03-03_19-32-15_multihead_spsa_serial_f5_w5_h5_effsu2_lin_r1.pkl</t>
  </si>
  <si>
    <t>03-03_19-32-13_multihead_spsa_serial_f5_w5_h5_effsu2_lin_r1.pkl</t>
  </si>
  <si>
    <t>03-03_23-51-27_multihead_spsa_serial_f5_w5_h5_ugates_lin_r1.pkl</t>
  </si>
  <si>
    <t>['sv', 'wv', 'yr', 'ya', 'rarad']</t>
  </si>
  <si>
    <t>[{'features': ['sv', 'wv', 'yr', 'ya', 'rarad'], 'output_dim': 2, 'reps': 1, 'encoding': 'serial', 'ansatz': 'ugates', 'entangle': 'lin', 'map': [0, 3, 1, -1, 4, 2]}, {'features': ['sv', 'wv', 'yr', 'ya', 'rarad'], 'output_dim': 1, 'reps': 1, 'encoding': 'serial', 'ansatz': 'ugates', 'entangle': 'lin', 'map': [-1, 0, 1, 2, 3, 4]}, {'features': ['sv', 'wv', 'yr', 'ya', 'rarad'], 'output_dim': 1, 'reps': 1, 'encoding': 'serial', 'ansatz': 'ugates', 'entangle': 'lin', 'map': [-1, 0, 1, 2, 3, 4]}]</t>
  </si>
  <si>
    <t>03-03_23-51-25_multihead_spsa_serial_f5_w5_h5_ugates_lin_r1.pkl</t>
  </si>
  <si>
    <t>03-03_23-51-49_multihead_spsa_serial_f5_w5_h5_ugates_lin_r1.pkl</t>
  </si>
  <si>
    <t>Etiquetas de fila</t>
  </si>
  <si>
    <t>Total general</t>
  </si>
  <si>
    <t>Cuenta de model_id</t>
  </si>
  <si>
    <t>Promedio de Val Global Open R2</t>
  </si>
  <si>
    <t>Promedio de Val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</si>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</sst>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6.67214166667" createdVersion="8" refreshedVersion="8" minRefreshableVersion="3" recordCount="12" xr:uid="{E0CC8DB9-D628-499C-9D40-F85A723C39B0}">
  <cacheSource type="worksheet">
    <worksheetSource name="Tabla1"/>
  </cacheSource>
  <cacheFields count="76">
    <cacheField name="date" numFmtId="164">
      <sharedItems containsSemiMixedTypes="0" containsNonDate="0" containsDate="1" containsString="0" minDate="2026-03-03T14:05:10" maxDate="2026-03-03T23:51:49"/>
    </cacheField>
    <cacheField name="model_id" numFmtId="0">
      <sharedItems/>
    </cacheField>
    <cacheField name="run" numFmtId="0">
      <sharedItems containsSemiMixedTypes="0" containsString="0" containsNumber="1" containsInteger="1" minValue="1" maxValue="3" count="3">
        <n v="3"/>
        <n v="1"/>
        <n v="2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 count="2">
        <s v="effsu2"/>
        <s v="ugates"/>
      </sharedItems>
    </cacheField>
    <cacheField name="entangle" numFmtId="0">
      <sharedItems count="1">
        <s v="lin"/>
      </sharedItems>
    </cacheField>
    <cacheField name="reps" numFmtId="0">
      <sharedItems containsSemiMixedTypes="0" containsString="0" containsNumber="1" containsInteger="1" minValue="1" maxValue="1"/>
    </cacheField>
    <cacheField name="map" numFmtId="0">
      <sharedItems count="3">
        <s v="[[0, -1, 1], [1, -1, 0], [0, 1, 2]]"/>
        <s v="[[0, 1, -1], [0, 1, -1], [0, 1, 2]]"/>
        <s v="[[0, 3, 1, -1, 4, 2], [-1, 0, 1, 2, 3, 4], [-1, 0, 1, 2, 3, 4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210"/>
    </cacheField>
    <cacheField name="q params" numFmtId="0">
      <sharedItems containsSemiMixedTypes="0" containsString="0" containsNumber="1" containsInteger="1" minValue="30" maxValue="9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7923161080910977E-2" maxValue="0.14411788803907449"/>
    </cacheField>
    <cacheField name="Val Global Open MSE" numFmtId="0">
      <sharedItems containsSemiMixedTypes="0" containsString="0" containsNumber="1" minValue="7.9484217047148906" maxValue="15.830818556872741"/>
    </cacheField>
    <cacheField name="Val Global Open R2" numFmtId="0">
      <sharedItems containsSemiMixedTypes="0" containsString="0" containsNumber="1" minValue="0.65950048488606305" maxValue="0.90766245848959703"/>
    </cacheField>
    <cacheField name="Val Global Closed R2" numFmtId="0">
      <sharedItems containsSemiMixedTypes="0" containsString="0" containsNumber="1" minValue="-1.955507311086234" maxValue="0.19938210682028831"/>
    </cacheField>
    <cacheField name="step MSE" numFmtId="0">
      <sharedItems containsSemiMixedTypes="0" containsString="0" containsNumber="1" minValue="10.508940044845961" maxValue="19.939715728883819"/>
    </cacheField>
    <cacheField name="step R2" numFmtId="0">
      <sharedItems containsSemiMixedTypes="0" containsString="0" containsNumber="1" minValue="0.65905045279698182" maxValue="0.91303289326602899"/>
    </cacheField>
    <cacheField name="local MSE" numFmtId="0">
      <sharedItems containsSemiMixedTypes="0" containsString="0" containsNumber="1" minValue="10.508940044845961" maxValue="19.939715728883819"/>
    </cacheField>
    <cacheField name="global open MSE" numFmtId="0">
      <sharedItems containsSemiMixedTypes="0" containsString="0" containsNumber="1" minValue="10.508940044845961" maxValue="19.939715728883819"/>
    </cacheField>
    <cacheField name="global open R2" numFmtId="0">
      <sharedItems containsSemiMixedTypes="0" containsString="0" containsNumber="1" minValue="0.65905045279698182" maxValue="0.91303289326602899"/>
    </cacheField>
    <cacheField name="global closed MSE" numFmtId="0">
      <sharedItems containsSemiMixedTypes="0" containsString="0" containsNumber="1" minValue="33.331779570310999" maxValue="192.49096494804769"/>
    </cacheField>
    <cacheField name="global closed R2" numFmtId="0">
      <sharedItems containsSemiMixedTypes="0" containsString="0" containsNumber="1" minValue="-1.0849978338424151" maxValue="0.2333404130842664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8.8274968552007303E-3" maxValue="1.4055026407214731E-2"/>
    </cacheField>
    <cacheField name="Surge Velocity Step R2" numFmtId="0">
      <sharedItems containsSemiMixedTypes="0" containsString="0" containsNumber="1" minValue="0.89794233571725779" maxValue="0.93590095924383454"/>
    </cacheField>
    <cacheField name="Surge Velocity Local MSE" numFmtId="0">
      <sharedItems containsSemiMixedTypes="0" containsString="0" containsNumber="1" minValue="8.8274968552007303E-3" maxValue="1.4055026407214731E-2"/>
    </cacheField>
    <cacheField name="Surge Velocity Global open MSE" numFmtId="0">
      <sharedItems containsSemiMixedTypes="0" containsString="0" containsNumber="1" minValue="8.8274968552007303E-3" maxValue="1.4055026407214731E-2"/>
    </cacheField>
    <cacheField name="Surge Velocity Global open R2" numFmtId="0">
      <sharedItems containsSemiMixedTypes="0" containsString="0" containsNumber="1" minValue="0.89794233571725779" maxValue="0.93590095924383454"/>
    </cacheField>
    <cacheField name="Surge Velocity Global closed MSE" numFmtId="0">
      <sharedItems containsSemiMixedTypes="0" containsString="0" containsNumber="1" minValue="1.7520094148136031E-2" maxValue="0.65197043071617922"/>
    </cacheField>
    <cacheField name="Surge Velocity Global closed R2" numFmtId="0">
      <sharedItems containsSemiMixedTypes="0" containsString="0" containsNumber="1" minValue="-3.7341482977329039" maxValue="0.87278146372925658"/>
    </cacheField>
    <cacheField name="Sway Velocity Step MSE" numFmtId="0">
      <sharedItems containsSemiMixedTypes="0" containsString="0" containsNumber="1" minValue="1.312650390357869E-2" maxValue="0.27225414539506188"/>
    </cacheField>
    <cacheField name="Sway Velocity Step R2" numFmtId="0">
      <sharedItems containsSemiMixedTypes="0" containsString="0" containsNumber="1" minValue="5.6697534793940241E-2" maxValue="0.9545194675591987"/>
    </cacheField>
    <cacheField name="Sway Velocity Local MSE" numFmtId="0">
      <sharedItems containsSemiMixedTypes="0" containsString="0" containsNumber="1" minValue="1.312650390357869E-2" maxValue="0.27225414539506188"/>
    </cacheField>
    <cacheField name="Sway Velocity Global open MSE" numFmtId="0">
      <sharedItems containsSemiMixedTypes="0" containsString="0" containsNumber="1" minValue="1.312650390357869E-2" maxValue="0.27225414539506188"/>
    </cacheField>
    <cacheField name="Sway Velocity Global open R2" numFmtId="0">
      <sharedItems containsSemiMixedTypes="0" containsString="0" containsNumber="1" minValue="5.6697534793940241E-2" maxValue="0.9545194675591987"/>
    </cacheField>
    <cacheField name="Sway Velocity Global closed MSE" numFmtId="0">
      <sharedItems containsSemiMixedTypes="0" containsString="0" containsNumber="1" minValue="3.1680499773720748E-2" maxValue="0.33194344847970791"/>
    </cacheField>
    <cacheField name="Sway Velocity Global closed R2" numFmtId="0">
      <sharedItems containsSemiMixedTypes="0" containsString="0" containsNumber="1" minValue="-0.1501131518329806" maxValue="0.89023383466890327"/>
    </cacheField>
    <cacheField name="Yaw Rate Step MSE" numFmtId="0">
      <sharedItems containsSemiMixedTypes="0" containsString="0" containsNumber="1" minValue="1.3384459050672509E-2" maxValue="2.9859447189873101E-2"/>
    </cacheField>
    <cacheField name="Yaw Rate Step R2" numFmtId="0">
      <sharedItems containsSemiMixedTypes="0" containsString="0" containsNumber="1" minValue="0.88012376413268312" maxValue="0.94626563044144285"/>
    </cacheField>
    <cacheField name="Yaw Rate Local MSE" numFmtId="0">
      <sharedItems containsSemiMixedTypes="0" containsString="0" containsNumber="1" minValue="1.3384459050672509E-2" maxValue="2.9859447189873101E-2"/>
    </cacheField>
    <cacheField name="Yaw Rate Global open MSE" numFmtId="0">
      <sharedItems containsSemiMixedTypes="0" containsString="0" containsNumber="1" minValue="1.3384459050672509E-2" maxValue="2.9859447189873101E-2"/>
    </cacheField>
    <cacheField name="Yaw Rate Global open R2" numFmtId="0">
      <sharedItems containsSemiMixedTypes="0" containsString="0" containsNumber="1" minValue="0.88012376413268312" maxValue="0.94626563044144285"/>
    </cacheField>
    <cacheField name="Yaw Rate Global closed MSE" numFmtId="0">
      <sharedItems containsSemiMixedTypes="0" containsString="0" containsNumber="1" minValue="2.2308765917306111E-2" maxValue="0.52008320833988986"/>
    </cacheField>
    <cacheField name="Yaw Rate Global closed R2" numFmtId="0">
      <sharedItems containsSemiMixedTypes="0" containsString="0" containsNumber="1" minValue="-1.0879695781751839" maxValue="0.91043736114717033"/>
    </cacheField>
    <cacheField name="Yaw Angle Step MSE" numFmtId="0">
      <sharedItems containsSemiMixedTypes="0" containsString="0" containsNumber="1" minValue="41.896654236398007" maxValue="79.446994809144684"/>
    </cacheField>
    <cacheField name="Yaw Angle Step R2" numFmtId="0">
      <sharedItems containsSemiMixedTypes="0" containsString="0" containsNumber="1" minValue="0.77387984788574038" maxValue="0.88075473651619607"/>
    </cacheField>
    <cacheField name="Yaw Angle Local MSE" numFmtId="0">
      <sharedItems containsSemiMixedTypes="0" containsString="0" containsNumber="1" minValue="41.896654236398007" maxValue="79.446994809144684"/>
    </cacheField>
    <cacheField name="Yaw Angle Global open MSE" numFmtId="0">
      <sharedItems containsSemiMixedTypes="0" containsString="0" containsNumber="1" minValue="41.896654236398007" maxValue="79.446994809144684"/>
    </cacheField>
    <cacheField name="Yaw Angle Global open R2" numFmtId="0">
      <sharedItems containsSemiMixedTypes="0" containsString="0" containsNumber="1" minValue="0.77387984788574038" maxValue="0.88075473651619607"/>
    </cacheField>
    <cacheField name="Yaw Angle Global closed MSE" numFmtId="0">
      <sharedItems containsSemiMixedTypes="0" containsString="0" containsNumber="1" minValue="132.8291581610915" maxValue="768.91693441450627"/>
    </cacheField>
    <cacheField name="Yaw Angle Global closed R2" numFmtId="0">
      <sharedItems containsSemiMixedTypes="0" containsString="0" containsNumber="1" minValue="-1.1884731397420389" maxValue="0.62194480079770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3-03T14:05:18"/>
    <s v="03-03_14-05-18_multihead_spsa_serial_f5_w5_h5_effsu2_lin_r1.pkl"/>
    <x v="0"/>
    <s v="Final (Last Iteration)"/>
    <s v="data/reduce_row_number_absolutes"/>
    <n v="16590"/>
    <n v="4.5"/>
    <s v="[['wv', 'rarad'], ['sv', 'rarad'], ['yr', 'ya', 'rarad']]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effsu2', 'entangle': 'lin', 'map': [0, -1, 1]}, {'features': ['sv', 'rarad'], 'output_dim': 1, 'reps': 1, 'encoding': 'serial', 'ansatz': 'effsu2', 'entangle': 'lin', 'map': [1, -1, 0]}, {'features': ['yr', 'ya', 'rarad'], 'output_dim': 2, 'reps': 1, 'encoding': 'serial', 'ansatz': 'effsu2', 'entangle': 'lin', 'map': [0, 1, 2]}]"/>
    <n v="3"/>
    <s v="serial"/>
    <x v="0"/>
    <x v="0"/>
    <n v="1"/>
    <x v="0"/>
    <s v="false"/>
    <s v="spsa"/>
    <n v="4000"/>
    <n v="4000"/>
    <m/>
    <n v="256"/>
    <s v="[0.1, 0.001]"/>
    <n v="0.15"/>
    <s v="[1.0, 1.0, 1.0, 1.0]"/>
    <n v="150"/>
    <n v="30"/>
    <n v="120"/>
    <n v="0.1221860535457417"/>
    <n v="7.9484217047148906"/>
    <n v="0.82478492965021588"/>
    <n v="-1.955507311086234"/>
    <n v="10.508940044845961"/>
    <n v="0.83483584547491374"/>
    <n v="10.508940044845961"/>
    <n v="10.508940044845961"/>
    <n v="0.83483584547491374"/>
    <n v="100.5088818930073"/>
    <n v="-1.0849978338424151"/>
    <n v="0.8"/>
    <s v="identity"/>
    <n v="1.294362537684934E-2"/>
    <n v="0.90601254419315946"/>
    <n v="1.294362537684934E-2"/>
    <n v="1.294362537684934E-2"/>
    <n v="0.90601254419315946"/>
    <n v="0.65197043071617922"/>
    <n v="-3.7341482977329039"/>
    <n v="0.1074344302967728"/>
    <n v="0.62776264508333735"/>
    <n v="0.1074344302967728"/>
    <n v="0.1074344302967728"/>
    <n v="0.62776264508333735"/>
    <n v="0.10888268492883429"/>
    <n v="0.62274475210438041"/>
    <n v="1.8727887312446449E-2"/>
    <n v="0.92481345610695809"/>
    <n v="1.8727887312446449E-2"/>
    <n v="1.8727887312446449E-2"/>
    <n v="0.92481345610695809"/>
    <n v="0.52008320833988986"/>
    <n v="-1.0879695781751839"/>
    <n v="41.896654236398007"/>
    <n v="0.88075473651619607"/>
    <n v="41.896654236398007"/>
    <n v="41.896654236398007"/>
    <n v="0.88075473651619607"/>
    <n v="400.75459124804507"/>
    <n v="-0.14061821156594981"/>
  </r>
  <r>
    <d v="2026-03-03T14:05:10"/>
    <s v="03-03_14-05-10_multihead_spsa_serial_f5_w5_h5_effsu2_lin_r1.pkl"/>
    <x v="1"/>
    <s v="Final (Last Iteration)"/>
    <s v="data/reduce_row_number_absolutes"/>
    <n v="16590"/>
    <n v="4.5"/>
    <s v="[['wv', 'rarad'], ['sv', 'rarad'], ['yr', 'ya', 'rarad']]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effsu2', 'entangle': 'lin', 'map': [0, -1, 1]}, {'features': ['sv', 'rarad'], 'output_dim': 1, 'reps': 1, 'encoding': 'serial', 'ansatz': 'effsu2', 'entangle': 'lin', 'map': [1, -1, 0]}, {'features': ['yr', 'ya', 'rarad'], 'output_dim': 2, 'reps': 1, 'encoding': 'serial', 'ansatz': 'effsu2', 'entangle': 'lin', 'map': [0, 1, 2]}]"/>
    <n v="3"/>
    <s v="serial"/>
    <x v="0"/>
    <x v="0"/>
    <n v="1"/>
    <x v="0"/>
    <s v="false"/>
    <s v="spsa"/>
    <n v="4000"/>
    <n v="4000"/>
    <m/>
    <n v="256"/>
    <s v="[0.1, 0.001]"/>
    <n v="0.15"/>
    <s v="[1.0, 1.0, 1.0, 1.0]"/>
    <n v="150"/>
    <n v="30"/>
    <n v="120"/>
    <n v="0.10045881899528181"/>
    <n v="11.623118399857461"/>
    <n v="0.82115976903226406"/>
    <n v="-0.37099300062383073"/>
    <n v="14.650937323796679"/>
    <n v="0.82127372669079268"/>
    <n v="14.650937323796679"/>
    <n v="14.650937323796679"/>
    <n v="0.82127372669079268"/>
    <n v="162.6085147583243"/>
    <n v="-0.27277653688369208"/>
    <n v="0.8"/>
    <s v="identity"/>
    <n v="1.385089396968747E-2"/>
    <n v="0.89942460114848322"/>
    <n v="1.385089396968747E-2"/>
    <n v="1.385089396968747E-2"/>
    <n v="0.89942460114848322"/>
    <n v="0.17987505072676119"/>
    <n v="-0.30612543925848962"/>
    <n v="0.1064035982860928"/>
    <n v="0.63133425783316977"/>
    <n v="0.1064035982860928"/>
    <n v="0.1064035982860928"/>
    <n v="0.63133425783316977"/>
    <n v="0.1077037659212029"/>
    <n v="0.62682945466993112"/>
    <n v="1.9743974208666491E-2"/>
    <n v="0.92073418860885536"/>
    <n v="1.9743974208666491E-2"/>
    <n v="1.9743974208666491E-2"/>
    <n v="0.92073418860885536"/>
    <n v="0.38919289830992121"/>
    <n v="-0.56248638425924735"/>
    <n v="58.463750828722169"/>
    <n v="0.83360185917266216"/>
    <n v="58.463750828722169"/>
    <n v="58.463750828722169"/>
    <n v="0.83360185917266216"/>
    <n v="649.75728731833954"/>
    <n v="-0.8493237786869714"/>
  </r>
  <r>
    <d v="2026-03-03T14:05:14"/>
    <s v="03-03_14-05-14_multihead_spsa_serial_f5_w5_h5_effsu2_lin_r1.pkl"/>
    <x v="2"/>
    <s v="Final (Last Iteration)"/>
    <s v="data/reduce_row_number_absolutes"/>
    <n v="16590"/>
    <n v="4.5"/>
    <s v="[['wv', 'rarad'], ['sv', 'rarad'], ['yr', 'ya', 'rarad']]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effsu2', 'entangle': 'lin', 'map': [0, -1, 1]}, {'features': ['sv', 'rarad'], 'output_dim': 1, 'reps': 1, 'encoding': 'serial', 'ansatz': 'effsu2', 'entangle': 'lin', 'map': [1, -1, 0]}, {'features': ['yr', 'ya', 'rarad'], 'output_dim': 2, 'reps': 1, 'encoding': 'serial', 'ansatz': 'effsu2', 'entangle': 'lin', 'map': [0, 1, 2]}]"/>
    <n v="3"/>
    <s v="serial"/>
    <x v="0"/>
    <x v="0"/>
    <n v="1"/>
    <x v="0"/>
    <s v="false"/>
    <s v="spsa"/>
    <n v="4000"/>
    <n v="4000"/>
    <m/>
    <n v="256"/>
    <s v="[0.1, 0.001]"/>
    <n v="0.15"/>
    <s v="[1.0, 1.0, 1.0, 1.0]"/>
    <n v="150"/>
    <n v="30"/>
    <n v="120"/>
    <n v="0.1044317820729441"/>
    <n v="10.27078854392426"/>
    <n v="0.82254346894772146"/>
    <n v="-1.7798992862726879"/>
    <n v="13.248584285686061"/>
    <n v="0.82423678228098018"/>
    <n v="13.248584285686061"/>
    <n v="13.248584285686061"/>
    <n v="0.82423678228098018"/>
    <n v="192.49096494804769"/>
    <n v="-1.031841823325651"/>
    <n v="0.8"/>
    <s v="identity"/>
    <n v="1.1653639236749089E-2"/>
    <n v="0.91537951146887797"/>
    <n v="1.1653639236749089E-2"/>
    <n v="1.1653639236749089E-2"/>
    <n v="0.91537951146887797"/>
    <n v="0.5536584930998516"/>
    <n v="-3.0202765173794588"/>
    <n v="0.11091039137530791"/>
    <n v="0.61571918234896983"/>
    <n v="0.11091039137530791"/>
    <n v="0.11091039137530791"/>
    <n v="0.61571918234896983"/>
    <n v="0.1121898332607137"/>
    <n v="0.61128618948180913"/>
    <n v="2.0855574969034639E-2"/>
    <n v="0.91627146315741514"/>
    <n v="2.0855574969034639E-2"/>
    <n v="2.0855574969034639E-2"/>
    <n v="0.91627146315741514"/>
    <n v="0.38107705132257119"/>
    <n v="-0.52990382566289895"/>
    <n v="52.850917537162957"/>
    <n v="0.84957697214865691"/>
    <n v="52.850917537162957"/>
    <n v="52.850917537162957"/>
    <n v="0.84957697214865691"/>
    <n v="768.91693441450627"/>
    <n v="-1.1884731397420389"/>
  </r>
  <r>
    <d v="2026-03-03T16:26:23"/>
    <s v="03-03_16-26-23_multihead_spsa_serial_f5_w5_h5_ugates_lin_r1.pkl"/>
    <x v="2"/>
    <s v="Best (Lowest Val Loss)"/>
    <s v="data/reduce_row_number_absolutes"/>
    <n v="16590"/>
    <n v="4.5"/>
    <s v="[['wv', 'rarad'], ['sv', 'rarad'], ['yr', 'ya', 'rarad']]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ugates', 'entangle': 'lin', 'map': [0, 1, -1]}, {'features': ['s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1"/>
    <x v="0"/>
    <n v="1"/>
    <x v="1"/>
    <s v="false"/>
    <s v="spsa"/>
    <n v="4000"/>
    <n v="4000"/>
    <m/>
    <n v="256"/>
    <s v="[0.1, 0.001]"/>
    <n v="0.15"/>
    <s v="[1.0, 1.0, 1.0, 1.0]"/>
    <n v="165"/>
    <n v="45"/>
    <n v="120"/>
    <n v="7.7923161080910977E-2"/>
    <n v="9.7906777359694814"/>
    <n v="0.90045672362927576"/>
    <n v="-8.6120278823972329E-2"/>
    <n v="13.331734960418389"/>
    <n v="0.906569265741617"/>
    <n v="13.331734960418389"/>
    <n v="13.331734960418389"/>
    <n v="0.906569265741617"/>
    <n v="140.46035818302471"/>
    <n v="-0.10556970319748479"/>
    <n v="0.8"/>
    <s v="identity"/>
    <n v="1.23313947397738E-2"/>
    <n v="0.91045813020715582"/>
    <n v="1.23313947397738E-2"/>
    <n v="1.23313947397738E-2"/>
    <n v="0.91045813020715582"/>
    <n v="0.1246693508368773"/>
    <n v="9.4739320622961198E-2"/>
    <n v="1.452307915079009E-2"/>
    <n v="0.94968063261096081"/>
    <n v="1.452307915079009E-2"/>
    <n v="1.452307915079009E-2"/>
    <n v="0.94968063261096081"/>
    <n v="0.10364985449910261"/>
    <n v="0.64087539190495546"/>
    <n v="2.0479458783773639E-2"/>
    <n v="0.9177814506749723"/>
    <n v="2.0479458783773639E-2"/>
    <n v="2.0479458783773639E-2"/>
    <n v="0.9177814506749723"/>
    <n v="0.38871055838746971"/>
    <n v="-0.56054994203564057"/>
    <n v="53.279605908999173"/>
    <n v="0.8483568494733803"/>
    <n v="53.279605908999173"/>
    <n v="53.279605908999173"/>
    <n v="0.8483568494733803"/>
    <n v="561.22440296837442"/>
    <n v="-0.59734358328222359"/>
  </r>
  <r>
    <d v="2026-03-03T16:26:05"/>
    <s v="03-03_16-26-05_multihead_spsa_serial_f5_w5_h5_ugates_lin_r1.pkl"/>
    <x v="1"/>
    <s v="Best (Lowest Val Loss)"/>
    <s v="data/reduce_row_number_absolutes"/>
    <n v="16590"/>
    <n v="4.5"/>
    <s v="[['wv', 'rarad'], ['sv', 'rarad'], ['yr', 'ya', 'rarad']]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ugates', 'entangle': 'lin', 'map': [0, 1, -1]}, {'features': ['s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1"/>
    <x v="0"/>
    <n v="1"/>
    <x v="1"/>
    <s v="false"/>
    <s v="spsa"/>
    <n v="4000"/>
    <n v="4000"/>
    <m/>
    <n v="256"/>
    <s v="[0.1, 0.001]"/>
    <n v="0.15"/>
    <s v="[1.0, 1.0, 1.0, 1.0]"/>
    <n v="165"/>
    <n v="45"/>
    <n v="120"/>
    <n v="8.6567176166657211E-2"/>
    <n v="8.2833513259090399"/>
    <n v="0.90766245848959703"/>
    <n v="-2.522385156589069E-2"/>
    <n v="11.79346216214682"/>
    <n v="0.91303289326602899"/>
    <n v="11.79346216214682"/>
    <n v="11.79346216214682"/>
    <n v="0.91303289326602899"/>
    <n v="171.5298069605042"/>
    <n v="2.9703262155391149E-2"/>
    <n v="0.8"/>
    <s v="identity"/>
    <n v="9.7910989874982497E-3"/>
    <n v="0.92890396186575253"/>
    <n v="9.7910989874982497E-3"/>
    <n v="9.7910989874982497E-3"/>
    <n v="0.92890396186575253"/>
    <n v="1.7520094148136031E-2"/>
    <n v="0.87278146372925658"/>
    <n v="1.312650390357869E-2"/>
    <n v="0.9545194675591987"/>
    <n v="1.312650390357869E-2"/>
    <n v="1.312650390357869E-2"/>
    <n v="0.9545194675591987"/>
    <n v="3.1680499773720748E-2"/>
    <n v="0.89023383466890327"/>
    <n v="2.4201377630024359E-2"/>
    <n v="0.90283912375729636"/>
    <n v="2.4201377630024359E-2"/>
    <n v="2.4201377630024359E-2"/>
    <n v="0.90283912375729636"/>
    <n v="0.42163372839870877"/>
    <n v="-0.69272605596937797"/>
    <n v="47.126729668066282"/>
    <n v="0.86586901988186771"/>
    <n v="47.126729668066282"/>
    <n v="47.126729668066282"/>
    <n v="0.86586901988186771"/>
    <n v="685.64839351969658"/>
    <n v="-0.95147619380721893"/>
  </r>
  <r>
    <d v="2026-03-03T16:26:04"/>
    <s v="03-03_16-26-04_multihead_spsa_serial_f5_w5_h5_ugates_lin_r1.pkl"/>
    <x v="0"/>
    <s v="Final (Last Iteration)"/>
    <s v="data/reduce_row_number_absolutes"/>
    <n v="16590"/>
    <n v="4.5"/>
    <s v="[['wv', 'rarad'], ['sv', 'rarad'], ['yr', 'ya', 'rarad']]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ugates', 'entangle': 'lin', 'map': [0, 1, -1]}, {'features': ['s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1"/>
    <x v="0"/>
    <n v="1"/>
    <x v="1"/>
    <s v="false"/>
    <s v="spsa"/>
    <n v="4000"/>
    <n v="4000"/>
    <m/>
    <n v="256"/>
    <s v="[0.1, 0.001]"/>
    <n v="0.15"/>
    <s v="[1.0, 1.0, 1.0, 1.0]"/>
    <n v="165"/>
    <n v="45"/>
    <n v="120"/>
    <n v="8.1120608149960777E-2"/>
    <n v="8.5976702157959473"/>
    <n v="0.89913165789284366"/>
    <n v="-0.35899492045722198"/>
    <n v="11.657533394009549"/>
    <n v="0.9053047227824409"/>
    <n v="11.657533394009549"/>
    <n v="11.657533394009549"/>
    <n v="0.9053047227824409"/>
    <n v="174.23378757534871"/>
    <n v="-0.28295593271843061"/>
    <n v="0.8"/>
    <s v="identity"/>
    <n v="1.318521775928626E-2"/>
    <n v="0.90425827112773438"/>
    <n v="1.318521775928626E-2"/>
    <n v="1.318521775928626E-2"/>
    <n v="0.90425827112773438"/>
    <n v="0.14828558291117699"/>
    <n v="-7.6745059045296937E-2"/>
    <n v="2.2097198489141989E-2"/>
    <n v="0.92343792679921"/>
    <n v="2.2097198489141989E-2"/>
    <n v="2.2097198489141989E-2"/>
    <n v="0.92343792679921"/>
    <n v="7.4891390064100033E-2"/>
    <n v="0.74051732888157695"/>
    <n v="1.841055283802449E-2"/>
    <n v="0.9260874536482635"/>
    <n v="1.841055283802449E-2"/>
    <n v="1.841055283802449E-2"/>
    <n v="0.9260874536482635"/>
    <n v="0.45182061801521639"/>
    <n v="-0.81391686960896892"/>
    <n v="46.57644060695192"/>
    <n v="0.86743523955455537"/>
    <n v="46.57644060695192"/>
    <n v="46.57644060695192"/>
    <n v="0.86743523955455537"/>
    <n v="696.26015271040126"/>
    <n v="-0.98167913110102645"/>
  </r>
  <r>
    <d v="2026-03-03T19:31:31"/>
    <s v="03-03_19-31-31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2, 'reps': 1, 'encoding': 'serial', 'ansatz': 'effsu2', 'entangle': 'lin', 'map': [0, 3, 1, -1, 4, 2]}, {'features': ['wv', 'sv', 'yr', 'ya', 'rarad'], 'output_dim': 1, 'reps': 1, 'encoding': 'serial', 'ansatz': 'effsu2', 'entangle': 'lin', 'map': [-1, 0, 1, 2, 3, 4]}, {'features': ['wv', 'sv', 'yr', 'ya', 'rarad'], 'output_dim': 1, 'reps': 1, 'encoding': 'serial', 'ansatz': 'effsu2', 'entangle': 'lin', 'map': [-1, 0, 1, 2, 3, 4]}]"/>
    <n v="3"/>
    <s v="serial"/>
    <x v="0"/>
    <x v="0"/>
    <n v="1"/>
    <x v="2"/>
    <s v="false"/>
    <s v="spsa"/>
    <n v="4000"/>
    <n v="4000"/>
    <m/>
    <n v="256"/>
    <s v="[0.1, 0.001]"/>
    <n v="0.15"/>
    <s v="[1.0, 1.0, 1.0, 1.0]"/>
    <n v="180"/>
    <n v="60"/>
    <n v="120"/>
    <n v="0.14411788803907449"/>
    <n v="12.51705207996558"/>
    <n v="0.69104612162210333"/>
    <n v="-1.0420804929161391E-2"/>
    <n v="16.81912050682655"/>
    <n v="0.68767081073977854"/>
    <n v="16.81912050682655"/>
    <n v="16.81912050682655"/>
    <n v="0.68767081073977854"/>
    <n v="57.072177270774382"/>
    <n v="3.8947327499403439E-2"/>
    <n v="0.8"/>
    <s v="identity"/>
    <n v="8.8274968552007303E-3"/>
    <n v="0.93590095924383454"/>
    <n v="8.8274968552007303E-3"/>
    <n v="8.8274968552007303E-3"/>
    <n v="0.93590095924383454"/>
    <n v="0.26740945392659371"/>
    <n v="-0.94173838484306116"/>
    <n v="0.2691909111310205"/>
    <n v="6.7310987267109712E-2"/>
    <n v="0.2691909111310205"/>
    <n v="0.2691909111310205"/>
    <n v="6.7310987267109712E-2"/>
    <n v="0.28724632089960001"/>
    <n v="4.7528487297064936E-3"/>
    <n v="1.541419992462542E-2"/>
    <n v="0.93811686284342666"/>
    <n v="1.541419992462542E-2"/>
    <n v="1.541419992462542E-2"/>
    <n v="0.93811686284342666"/>
    <n v="6.4572379087807455E-2"/>
    <n v="0.74076232232895867"/>
    <n v="66.983049419395343"/>
    <n v="0.80935443360474024"/>
    <n v="66.983049419395343"/>
    <n v="66.983049419395343"/>
    <n v="0.80935443360474024"/>
    <n v="227.66948092918369"/>
    <n v="0.35201252378200831"/>
  </r>
  <r>
    <d v="2026-03-03T19:32:15"/>
    <s v="03-03_19-32-15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2, 'reps': 1, 'encoding': 'serial', 'ansatz': 'effsu2', 'entangle': 'lin', 'map': [0, 3, 1, -1, 4, 2]}, {'features': ['wv', 'sv', 'yr', 'ya', 'rarad'], 'output_dim': 1, 'reps': 1, 'encoding': 'serial', 'ansatz': 'effsu2', 'entangle': 'lin', 'map': [-1, 0, 1, 2, 3, 4]}, {'features': ['wv', 'sv', 'yr', 'ya', 'rarad'], 'output_dim': 1, 'reps': 1, 'encoding': 'serial', 'ansatz': 'effsu2', 'entangle': 'lin', 'map': [-1, 0, 1, 2, 3, 4]}]"/>
    <n v="3"/>
    <s v="serial"/>
    <x v="0"/>
    <x v="0"/>
    <n v="1"/>
    <x v="2"/>
    <s v="false"/>
    <s v="spsa"/>
    <n v="4000"/>
    <n v="4000"/>
    <m/>
    <n v="256"/>
    <s v="[0.1, 0.001]"/>
    <n v="0.15"/>
    <s v="[1.0, 1.0, 1.0, 1.0]"/>
    <n v="180"/>
    <n v="60"/>
    <n v="120"/>
    <n v="0.1383535662014316"/>
    <n v="15.830818556872741"/>
    <n v="0.65950048488606305"/>
    <n v="-0.148708116124635"/>
    <n v="19.939715728883819"/>
    <n v="0.65905045279698182"/>
    <n v="19.939715728883819"/>
    <n v="19.939715728883819"/>
    <n v="0.65905045279698182"/>
    <n v="38.225577792220172"/>
    <n v="7.4792937979189428E-2"/>
    <n v="0.8"/>
    <s v="identity"/>
    <n v="1.088460151205453E-2"/>
    <n v="0.920963719684051"/>
    <n v="1.088460151205453E-2"/>
    <n v="1.088460151205453E-2"/>
    <n v="0.920963719684051"/>
    <n v="0.27546039756314949"/>
    <n v="-1.0001986451807521"/>
    <n v="0.27225414539506188"/>
    <n v="5.6697534793940241E-2"/>
    <n v="0.27225414539506188"/>
    <n v="0.27225414539506188"/>
    <n v="5.6697534793940241E-2"/>
    <n v="0.31384629796560592"/>
    <n v="-8.7410390527414394E-2"/>
    <n v="2.8729359483670999E-2"/>
    <n v="0.88466070882419046"/>
    <n v="2.8729359483670999E-2"/>
    <n v="2.8729359483670999E-2"/>
    <n v="0.88466070882419046"/>
    <n v="4.4794823066860487E-2"/>
    <n v="0.82016295407441819"/>
    <n v="79.446994809144684"/>
    <n v="0.77387984788574038"/>
    <n v="79.446994809144684"/>
    <n v="79.446994809144684"/>
    <n v="0.77387984788574038"/>
    <n v="152.268209650285"/>
    <n v="0.56661783355051099"/>
  </r>
  <r>
    <d v="2026-03-03T19:32:13"/>
    <s v="03-03_19-32-13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2, 'reps': 1, 'encoding': 'serial', 'ansatz': 'effsu2', 'entangle': 'lin', 'map': [0, 3, 1, -1, 4, 2]}, {'features': ['wv', 'sv', 'yr', 'ya', 'rarad'], 'output_dim': 1, 'reps': 1, 'encoding': 'serial', 'ansatz': 'effsu2', 'entangle': 'lin', 'map': [-1, 0, 1, 2, 3, 4]}, {'features': ['wv', 'sv', 'yr', 'ya', 'rarad'], 'output_dim': 1, 'reps': 1, 'encoding': 'serial', 'ansatz': 'effsu2', 'entangle': 'lin', 'map': [-1, 0, 1, 2, 3, 4]}]"/>
    <n v="3"/>
    <s v="serial"/>
    <x v="0"/>
    <x v="0"/>
    <n v="1"/>
    <x v="2"/>
    <s v="false"/>
    <s v="spsa"/>
    <n v="4000"/>
    <n v="4000"/>
    <m/>
    <n v="256"/>
    <s v="[0.1, 0.001]"/>
    <n v="0.15"/>
    <s v="[1.0, 1.0, 1.0, 1.0]"/>
    <n v="180"/>
    <n v="60"/>
    <n v="120"/>
    <n v="0.1218198342414977"/>
    <n v="9.2713387218824828"/>
    <n v="0.72776379227988786"/>
    <n v="6.9401868140998801E-2"/>
    <n v="11.34134224413285"/>
    <n v="0.72231851787797208"/>
    <n v="11.34134224413285"/>
    <n v="11.34134224413285"/>
    <n v="0.72231851787797208"/>
    <n v="65.795103740463276"/>
    <n v="0.1607309506643903"/>
    <n v="0.8"/>
    <s v="identity"/>
    <n v="1.22697757712836E-2"/>
    <n v="0.91090556358916597"/>
    <n v="1.22697757712836E-2"/>
    <n v="1.22697757712836E-2"/>
    <n v="0.91090556358916597"/>
    <n v="0.2217572538053329"/>
    <n v="-0.61024438556088589"/>
    <n v="0.22321509683986909"/>
    <n v="0.22660736417908359"/>
    <n v="0.22321509683986909"/>
    <n v="0.22321509683986909"/>
    <n v="0.22660736417908359"/>
    <n v="0.23394554476481419"/>
    <n v="0.1894286539497938"/>
    <n v="2.9859447189873101E-2"/>
    <n v="0.88012376413268312"/>
    <n v="2.9859447189873101E-2"/>
    <n v="2.9859447189873101E-2"/>
    <n v="0.88012376413268312"/>
    <n v="4.698585644923297E-2"/>
    <n v="0.81136664807222514"/>
    <n v="45.10002465673044"/>
    <n v="0.871637379610954"/>
    <n v="45.10002465673044"/>
    <n v="45.10002465673044"/>
    <n v="0.871637379610954"/>
    <n v="262.67772630683419"/>
    <n v="0.2523728861964154"/>
  </r>
  <r>
    <d v="2026-03-03T23:51:27"/>
    <s v="03-03_23-51-27_multihead_spsa_serial_f5_w5_h5_ugates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ugates', 'entangle': 'lin', 'map': [0, 3, 1, -1, 4, 2]}, {'features': ['sv', 'wv', 'yr', 'ya', 'rarad'], 'output_dim': 1, 'reps': 1, 'encoding': 'serial', 'ansatz': 'ugates', 'entangle': 'lin', 'map': [-1, 0, 1, 2, 3, 4]}, {'features': ['sv', 'wv', 'yr', 'ya', 'rarad'], 'output_dim': 1, 'reps': 1, 'encoding': 'serial', 'ansatz': 'ugates', 'entangle': 'lin', 'map': [-1, 0, 1, 2, 3, 4]}]"/>
    <n v="3"/>
    <s v="serial"/>
    <x v="1"/>
    <x v="0"/>
    <n v="1"/>
    <x v="2"/>
    <s v="false"/>
    <s v="spsa"/>
    <n v="4000"/>
    <n v="4000"/>
    <m/>
    <n v="256"/>
    <s v="[0.1, 0.001]"/>
    <n v="0.15"/>
    <s v="[1.0, 1.0, 1.0, 1.0]"/>
    <n v="210"/>
    <n v="90"/>
    <n v="120"/>
    <n v="0.1249102217898498"/>
    <n v="8.9992504437042573"/>
    <n v="0.72429346164694275"/>
    <n v="1.5973791134075179E-2"/>
    <n v="12.773258382917181"/>
    <n v="0.72181578364818622"/>
    <n v="12.773258382917181"/>
    <n v="12.773258382917181"/>
    <n v="0.72181578364818622"/>
    <n v="47.59146617370709"/>
    <n v="8.9927832009065622E-2"/>
    <n v="0.8"/>
    <s v="identity"/>
    <n v="1.03610337807156E-2"/>
    <n v="0.92476549836493893"/>
    <n v="1.03610337807156E-2"/>
    <n v="1.03610337807156E-2"/>
    <n v="0.92476549836493893"/>
    <n v="0.27783667510580579"/>
    <n v="-1.017453492568769"/>
    <n v="0.24218089841016871"/>
    <n v="0.160894912492032"/>
    <n v="0.24218089841016871"/>
    <n v="0.24218089841016871"/>
    <n v="0.160894912492032"/>
    <n v="0.25918683527090841"/>
    <n v="0.10197297343175971"/>
    <n v="1.3384459050672509E-2"/>
    <n v="0.94626563044144285"/>
    <n v="1.3384459050672509E-2"/>
    <n v="1.3384459050672509E-2"/>
    <n v="0.94626563044144285"/>
    <n v="4.599433722155985E-2"/>
    <n v="0.81534728415191227"/>
    <n v="50.827107140426982"/>
    <n v="0.85533709329433028"/>
    <n v="50.827107140426982"/>
    <n v="50.827107140426982"/>
    <n v="0.85533709329433028"/>
    <n v="189.78284684722979"/>
    <n v="0.45984456302136539"/>
  </r>
  <r>
    <d v="2026-03-03T23:51:25"/>
    <s v="03-03_23-51-25_multihead_spsa_serial_f5_w5_h5_ugates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ugates', 'entangle': 'lin', 'map': [0, 3, 1, -1, 4, 2]}, {'features': ['sv', 'wv', 'yr', 'ya', 'rarad'], 'output_dim': 1, 'reps': 1, 'encoding': 'serial', 'ansatz': 'ugates', 'entangle': 'lin', 'map': [-1, 0, 1, 2, 3, 4]}, {'features': ['sv', 'wv', 'yr', 'ya', 'rarad'], 'output_dim': 1, 'reps': 1, 'encoding': 'serial', 'ansatz': 'ugates', 'entangle': 'lin', 'map': [-1, 0, 1, 2, 3, 4]}]"/>
    <n v="3"/>
    <s v="serial"/>
    <x v="1"/>
    <x v="0"/>
    <n v="1"/>
    <x v="2"/>
    <s v="false"/>
    <s v="spsa"/>
    <n v="4000"/>
    <n v="4000"/>
    <m/>
    <n v="256"/>
    <s v="[0.1, 0.001]"/>
    <n v="0.15"/>
    <s v="[1.0, 1.0, 1.0, 1.0]"/>
    <n v="210"/>
    <n v="90"/>
    <n v="120"/>
    <n v="0.1303836916612843"/>
    <n v="10.562702470135671"/>
    <n v="0.71558352436124539"/>
    <n v="-0.43514127759508558"/>
    <n v="13.671984332816381"/>
    <n v="0.71117879594897315"/>
    <n v="13.671984332816381"/>
    <n v="13.671984332816381"/>
    <n v="0.71117879594897315"/>
    <n v="38.92675078680918"/>
    <n v="-7.6589875338053337E-2"/>
    <n v="0.8"/>
    <s v="identity"/>
    <n v="1.029564884914899E-2"/>
    <n v="0.92524027750811788"/>
    <n v="1.029564884914899E-2"/>
    <n v="1.029564884914899E-2"/>
    <n v="0.92524027750811788"/>
    <n v="0.35026113584585788"/>
    <n v="-1.5433487193662569"/>
    <n v="0.24158970746715841"/>
    <n v="0.16294326284181199"/>
    <n v="0.24158970746715841"/>
    <n v="0.24158970746715841"/>
    <n v="0.16294326284181199"/>
    <n v="0.33194344847970791"/>
    <n v="-0.1501131518329806"/>
    <n v="2.2068131170419138E-2"/>
    <n v="0.9114034335426926"/>
    <n v="2.2068131170419138E-2"/>
    <n v="2.2068131170419138E-2"/>
    <n v="0.9114034335426926"/>
    <n v="4.2790797183128407E-2"/>
    <n v="0.82820848412039805"/>
    <n v="54.413983843778482"/>
    <n v="0.84512820990326742"/>
    <n v="54.413983843778482"/>
    <n v="54.413983843778482"/>
    <n v="0.84512820990326742"/>
    <n v="154.9820077657275"/>
    <n v="0.55889388572661414"/>
  </r>
  <r>
    <d v="2026-03-03T23:51:49"/>
    <s v="03-03_23-51-49_multihead_spsa_serial_f5_w5_h5_ugates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ugates', 'entangle': 'lin', 'map': [0, 3, 1, -1, 4, 2]}, {'features': ['sv', 'wv', 'yr', 'ya', 'rarad'], 'output_dim': 1, 'reps': 1, 'encoding': 'serial', 'ansatz': 'ugates', 'entangle': 'lin', 'map': [-1, 0, 1, 2, 3, 4]}, {'features': ['sv', 'wv', 'yr', 'ya', 'rarad'], 'output_dim': 1, 'reps': 1, 'encoding': 'serial', 'ansatz': 'ugates', 'entangle': 'lin', 'map': [-1, 0, 1, 2, 3, 4]}]"/>
    <n v="3"/>
    <s v="serial"/>
    <x v="1"/>
    <x v="0"/>
    <n v="1"/>
    <x v="2"/>
    <s v="false"/>
    <s v="spsa"/>
    <n v="4000"/>
    <n v="4000"/>
    <m/>
    <n v="256"/>
    <s v="[0.1, 0.001]"/>
    <n v="0.15"/>
    <s v="[1.0, 1.0, 1.0, 1.0]"/>
    <n v="210"/>
    <n v="90"/>
    <n v="120"/>
    <n v="0.1116071479833152"/>
    <n v="9.292491356729057"/>
    <n v="0.76676147572982734"/>
    <n v="0.19938210682028831"/>
    <n v="13.087236746944891"/>
    <n v="0.76582539810974581"/>
    <n v="13.087236746944891"/>
    <n v="13.087236746944891"/>
    <n v="0.76582539810974581"/>
    <n v="33.331779570310999"/>
    <n v="0.2333404130842664"/>
    <n v="0.8"/>
    <s v="identity"/>
    <n v="1.4055026407214731E-2"/>
    <n v="0.89794233571725779"/>
    <n v="1.4055026407214731E-2"/>
    <n v="1.4055026407214731E-2"/>
    <n v="0.89794233571725779"/>
    <n v="0.25049085194489629"/>
    <n v="-0.81888745940509367"/>
    <n v="0.1819425669805769"/>
    <n v="0.36960786507161192"/>
    <n v="0.1819425669805769"/>
    <n v="0.1819425669805769"/>
    <n v="0.36960786507161192"/>
    <n v="0.22516050229020251"/>
    <n v="0.21986694979728649"/>
    <n v="1.3911859731843029E-2"/>
    <n v="0.94414828352438329"/>
    <n v="1.3911859731843029E-2"/>
    <n v="1.3911859731843029E-2"/>
    <n v="0.94414828352438329"/>
    <n v="2.2308765917306111E-2"/>
    <n v="0.91043736114717033"/>
    <n v="52.139037534659892"/>
    <n v="0.85160310812572937"/>
    <n v="52.139037534659892"/>
    <n v="52.139037534659892"/>
    <n v="0.85160310812572937"/>
    <n v="132.8291581610915"/>
    <n v="0.621944800797702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AA65C-496D-40E9-88FB-E84AC916F44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11" firstHeaderRow="0" firstDataRow="1" firstDataCol="1"/>
  <pivotFields count="76">
    <pivotField numFmtId="164"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3">
    <field x="22"/>
    <field x="19"/>
    <field x="2"/>
  </rowFields>
  <rowItems count="8">
    <i>
      <x/>
    </i>
    <i r="1">
      <x v="1"/>
    </i>
    <i>
      <x v="1"/>
    </i>
    <i r="1">
      <x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Promedio de Val Global Open R2" fld="37" subtotal="average" baseField="22" baseItem="0"/>
    <dataField name="Promedio de Val Global Closed R2" fld="38" subtotal="average" baseField="22" baseItem="0"/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Cuenta de model_id" fld="1" subtotal="count" baseField="0" baseItem="0"/>
  </dataFields>
  <conditionalFormats count="2">
    <conditionalFormat priority="1">
      <pivotAreas count="1">
        <pivotArea type="data" outline="0" collapsedLevelsAreSubtotals="1" fieldPosition="0">
          <references count="1">
            <reference field="4294967294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125E0-01C8-4322-B061-F5ECB38C2B13}" name="Tabla1" displayName="Tabla1" ref="A1:BX13" totalsRowShown="0" headerRowDxfId="3" headerRowBorderDxfId="2" tableBorderDxfId="1">
  <autoFilter ref="A1:BX13" xr:uid="{0A3125E0-01C8-4322-B061-F5ECB38C2B13}"/>
  <tableColumns count="76">
    <tableColumn id="1" xr3:uid="{B2004426-E941-457E-8EE7-CFC890FA3EA6}" name="date" dataDxfId="0"/>
    <tableColumn id="2" xr3:uid="{2A9F2ED9-A365-4D2F-9871-B4B6986E7F89}" name="model_id"/>
    <tableColumn id="3" xr3:uid="{16148F0B-4B76-4B1B-8B0C-E6A82A8ABE2C}" name="run"/>
    <tableColumn id="4" xr3:uid="{D29D1217-6302-470D-AC42-702CCDFA3FF1}" name="weight_selection"/>
    <tableColumn id="5" xr3:uid="{B8DFC314-53A3-4BB1-9C6B-72B7E1C19D52}" name="data"/>
    <tableColumn id="6" xr3:uid="{90945C62-5CFE-4F40-AC56-218E751C4B20}" name="data_n"/>
    <tableColumn id="7" xr3:uid="{873C67F9-4118-41C0-8C71-82B585E7F454}" name="data_dt"/>
    <tableColumn id="8" xr3:uid="{A385196C-4479-4B60-8718-8EA3D96B9A01}" name="features"/>
    <tableColumn id="9" xr3:uid="{A2C4AF38-F064-41F4-AF2C-9D3D52016279}" name="targets"/>
    <tableColumn id="10" xr3:uid="{F885D3A4-0A4E-4186-BAF1-A359282F06F8}" name="window_size"/>
    <tableColumn id="11" xr3:uid="{8B633205-D33D-4BE3-92F5-CAF1291F334F}" name="horizon"/>
    <tableColumn id="12" xr3:uid="{76D72FAA-2E10-4852-B0EF-480427E871ED}" name="predict"/>
    <tableColumn id="13" xr3:uid="{71FC45F5-B6C1-4A2A-8441-A3EA70A58454}" name="norm"/>
    <tableColumn id="14" xr3:uid="{DB41CAB0-A1EB-4131-993B-992BCAF6D7C9}" name="reconstruct_train"/>
    <tableColumn id="15" xr3:uid="{6E500439-7D2E-4F23-9B71-06F679166C45}" name="reconstruct_val"/>
    <tableColumn id="16" xr3:uid="{917DB10F-F4FD-4DBC-96E1-CE9FE8E43B03}" name="model"/>
    <tableColumn id="17" xr3:uid="{C649C60B-7271-4208-A4BB-DA3D26E72F55}" name="heads_config"/>
    <tableColumn id="18" xr3:uid="{6056320D-9A2F-4F87-BDE5-C01343AA8C55}" name="head_number"/>
    <tableColumn id="19" xr3:uid="{5BD050FD-DDA2-4F92-A154-AFA7E8CDB4DF}" name="encoding"/>
    <tableColumn id="20" xr3:uid="{3E5CF470-65CC-4BAD-BC89-45E36C951C70}" name="ansatz"/>
    <tableColumn id="21" xr3:uid="{B3CB237E-3BAB-425C-8410-3354B25D7F29}" name="entangle"/>
    <tableColumn id="22" xr3:uid="{9B467C9D-936B-4A84-9803-12D9DF5E6B86}" name="reps"/>
    <tableColumn id="23" xr3:uid="{A7B3B61A-AC56-4D81-A692-D3AC221D50C4}" name="map"/>
    <tableColumn id="24" xr3:uid="{66D49917-3138-474C-917A-2C7DF677EB1B}" name="reorder"/>
    <tableColumn id="25" xr3:uid="{64BE7990-0E0C-4059-8987-28466C678CD6}" name="optimizer"/>
    <tableColumn id="26" xr3:uid="{109C8648-7D26-440A-9B79-0ADA2474B053}" name="maxiter"/>
    <tableColumn id="27" xr3:uid="{5C021680-FA85-438F-8B48-2E087834A4CE}" name="iterations"/>
    <tableColumn id="28" xr3:uid="{495E1C3E-05EF-4891-8BBE-F7421529158A}" name="tolerance"/>
    <tableColumn id="29" xr3:uid="{23561CEB-53A7-43C4-8E79-5FAFC7F0049E}" name="batch_size"/>
    <tableColumn id="30" xr3:uid="{CE5B11F6-A171-42BB-B199-0F9DDB710477}" name="learning_rate"/>
    <tableColumn id="31" xr3:uid="{0F383D15-4108-4D82-AFF7-A7C0B99942DA}" name="perturbation"/>
    <tableColumn id="32" xr3:uid="{4B30DC5B-FB3E-45CA-95BA-F7E944554341}" name="weights"/>
    <tableColumn id="33" xr3:uid="{AE43BEF0-545D-41FE-BFFD-407FA41B9168}" name="total params"/>
    <tableColumn id="34" xr3:uid="{AD8305A5-9CAA-4FED-AB3C-83923C32C0F0}" name="q params"/>
    <tableColumn id="35" xr3:uid="{223C14E4-07AB-46AC-88DF-417E78848F20}" name="c params"/>
    <tableColumn id="36" xr3:uid="{D0E66AF5-4184-4C57-8DE4-3B294D491409}" name="final val loss"/>
    <tableColumn id="37" xr3:uid="{9BBC320C-469C-436B-A17A-38B11E858BAD}" name="Val Global Open MSE"/>
    <tableColumn id="38" xr3:uid="{79F4B6B3-FB82-472A-A80D-C5BB8033D0B4}" name="Val Global Open R2"/>
    <tableColumn id="39" xr3:uid="{6455A03E-F7C5-470C-8F9F-52752E15F2A9}" name="Val Global Closed R2"/>
    <tableColumn id="40" xr3:uid="{219E293D-CD52-443F-9C27-814918356D15}" name="step MSE"/>
    <tableColumn id="41" xr3:uid="{CF7C5D44-E7A9-45A1-AB55-430C4A924D5E}" name="step R2"/>
    <tableColumn id="42" xr3:uid="{88839263-6D0A-409F-8503-F68D320A90FC}" name="local MSE"/>
    <tableColumn id="43" xr3:uid="{2CAD9336-B6EB-4A4F-9B57-070CEBE65E1D}" name="global open MSE"/>
    <tableColumn id="44" xr3:uid="{853056D8-2018-40C8-ADA2-FEDA68C72D0B}" name="global open R2"/>
    <tableColumn id="45" xr3:uid="{8C5E4A4D-112A-434C-A436-4CA9FC7E4492}" name="global closed MSE"/>
    <tableColumn id="46" xr3:uid="{C00E97DE-468F-4207-B53C-718A3E47BACF}" name="global closed R2"/>
    <tableColumn id="47" xr3:uid="{A103820C-B9AB-485A-B213-7128D3519F74}" name="recursivity"/>
    <tableColumn id="48" xr3:uid="{5B205E50-FD94-4023-AFFE-F8F4BE77B4C3}" name="initialization"/>
    <tableColumn id="49" xr3:uid="{10359FB4-B844-463C-98CB-E1086EB89455}" name="Surge Velocity Step MSE"/>
    <tableColumn id="50" xr3:uid="{7C651DEB-F17D-404B-A655-AA1C318F1E48}" name="Surge Velocity Step R2"/>
    <tableColumn id="51" xr3:uid="{0F43F6EE-9477-404A-9138-979EF00DC2E1}" name="Surge Velocity Local MSE"/>
    <tableColumn id="52" xr3:uid="{3317904D-D761-498C-8B90-64BDF04F9518}" name="Surge Velocity Global open MSE"/>
    <tableColumn id="53" xr3:uid="{C2E1E651-08B0-491D-A15B-04C338EBC40B}" name="Surge Velocity Global open R2"/>
    <tableColumn id="54" xr3:uid="{1E194B67-0E84-4782-8112-5A8042A58743}" name="Surge Velocity Global closed MSE"/>
    <tableColumn id="55" xr3:uid="{B9538666-615F-4392-B179-8739E144EDE9}" name="Surge Velocity Global closed R2"/>
    <tableColumn id="56" xr3:uid="{02931F92-2EF7-43D2-8EFF-D55C4A02DD02}" name="Sway Velocity Step MSE"/>
    <tableColumn id="57" xr3:uid="{4D781313-9859-4904-B139-1BC6A757F0F8}" name="Sway Velocity Step R2"/>
    <tableColumn id="58" xr3:uid="{E5E5A81B-4206-4AA0-9608-B61DCAA8F01F}" name="Sway Velocity Local MSE"/>
    <tableColumn id="59" xr3:uid="{BFCE1B60-C822-4D8C-B346-076D407E26EB}" name="Sway Velocity Global open MSE"/>
    <tableColumn id="60" xr3:uid="{B4E2A2A8-6EEA-4299-A544-04AD8B174F18}" name="Sway Velocity Global open R2"/>
    <tableColumn id="61" xr3:uid="{97DA09ED-8C7D-4352-9460-CB7A6FC1F8E5}" name="Sway Velocity Global closed MSE"/>
    <tableColumn id="62" xr3:uid="{42E41949-A996-4142-BDAF-AF0C406FC65C}" name="Sway Velocity Global closed R2"/>
    <tableColumn id="63" xr3:uid="{1C60DC75-268D-4AC6-873B-4625D618F5D7}" name="Yaw Rate Step MSE"/>
    <tableColumn id="64" xr3:uid="{F139C67C-6365-4BC9-A909-F9151D438A86}" name="Yaw Rate Step R2"/>
    <tableColumn id="65" xr3:uid="{E66A9931-5379-49E2-BC87-3B1496C4E7BE}" name="Yaw Rate Local MSE"/>
    <tableColumn id="66" xr3:uid="{A0F80B1E-38CB-4B8A-9DC6-63E7F3C17D85}" name="Yaw Rate Global open MSE"/>
    <tableColumn id="67" xr3:uid="{5527ACA7-1182-42E7-8480-518FC2F9C217}" name="Yaw Rate Global open R2"/>
    <tableColumn id="68" xr3:uid="{EF16133F-A4D7-4A1D-9E5E-19E6BD51D653}" name="Yaw Rate Global closed MSE"/>
    <tableColumn id="69" xr3:uid="{14C35EAE-1BAF-4B7B-9BD4-89258A629B6C}" name="Yaw Rate Global closed R2"/>
    <tableColumn id="70" xr3:uid="{3ED8E7D2-7653-4B63-924F-C0DA05E508BF}" name="Yaw Angle Step MSE"/>
    <tableColumn id="71" xr3:uid="{2AA61AEA-A6E2-4905-8853-FA56DF7380B4}" name="Yaw Angle Step R2"/>
    <tableColumn id="72" xr3:uid="{49EAC715-12FE-48FB-AC2D-D3A2CC2BEE11}" name="Yaw Angle Local MSE"/>
    <tableColumn id="73" xr3:uid="{3110948C-ACC0-4834-B965-4BF3E659DFBC}" name="Yaw Angle Global open MSE"/>
    <tableColumn id="74" xr3:uid="{898B4593-8BFB-46E9-B980-95B28ED891BB}" name="Yaw Angle Global open R2"/>
    <tableColumn id="75" xr3:uid="{8ABE09B2-44A1-4A74-AD67-68531364206E}" name="Yaw Angle Global closed MSE"/>
    <tableColumn id="76" xr3:uid="{1820D787-1DEB-474C-8CC9-90C4FE9C1030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3"/>
  <sheetViews>
    <sheetView topLeftCell="D1" workbookViewId="0">
      <selection activeCell="W3" sqref="W3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46084.587013888893</v>
      </c>
      <c r="B2" t="s">
        <v>76</v>
      </c>
      <c r="C2">
        <v>3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3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150</v>
      </c>
      <c r="AH2">
        <v>30</v>
      </c>
      <c r="AI2">
        <v>120</v>
      </c>
      <c r="AJ2">
        <v>0.1221860535457417</v>
      </c>
      <c r="AK2">
        <v>7.9484217047148906</v>
      </c>
      <c r="AL2">
        <v>0.82478492965021588</v>
      </c>
      <c r="AM2">
        <v>-1.955507311086234</v>
      </c>
      <c r="AN2">
        <v>10.508940044845961</v>
      </c>
      <c r="AO2">
        <v>0.83483584547491374</v>
      </c>
      <c r="AP2">
        <v>10.508940044845961</v>
      </c>
      <c r="AQ2">
        <v>10.508940044845961</v>
      </c>
      <c r="AR2">
        <v>0.83483584547491374</v>
      </c>
      <c r="AS2">
        <v>100.5088818930073</v>
      </c>
      <c r="AT2">
        <v>-1.0849978338424151</v>
      </c>
      <c r="AU2">
        <v>0.8</v>
      </c>
      <c r="AV2" t="s">
        <v>93</v>
      </c>
      <c r="AW2">
        <v>1.294362537684934E-2</v>
      </c>
      <c r="AX2">
        <v>0.90601254419315946</v>
      </c>
      <c r="AY2">
        <v>1.294362537684934E-2</v>
      </c>
      <c r="AZ2">
        <v>1.294362537684934E-2</v>
      </c>
      <c r="BA2">
        <v>0.90601254419315946</v>
      </c>
      <c r="BB2">
        <v>0.65197043071617922</v>
      </c>
      <c r="BC2">
        <v>-3.7341482977329039</v>
      </c>
      <c r="BD2">
        <v>0.1074344302967728</v>
      </c>
      <c r="BE2">
        <v>0.62776264508333735</v>
      </c>
      <c r="BF2">
        <v>0.1074344302967728</v>
      </c>
      <c r="BG2">
        <v>0.1074344302967728</v>
      </c>
      <c r="BH2">
        <v>0.62776264508333735</v>
      </c>
      <c r="BI2">
        <v>0.10888268492883429</v>
      </c>
      <c r="BJ2">
        <v>0.62274475210438041</v>
      </c>
      <c r="BK2">
        <v>1.8727887312446449E-2</v>
      </c>
      <c r="BL2">
        <v>0.92481345610695809</v>
      </c>
      <c r="BM2">
        <v>1.8727887312446449E-2</v>
      </c>
      <c r="BN2">
        <v>1.8727887312446449E-2</v>
      </c>
      <c r="BO2">
        <v>0.92481345610695809</v>
      </c>
      <c r="BP2">
        <v>0.52008320833988986</v>
      </c>
      <c r="BQ2">
        <v>-1.0879695781751839</v>
      </c>
      <c r="BR2">
        <v>41.896654236398007</v>
      </c>
      <c r="BS2">
        <v>0.88075473651619607</v>
      </c>
      <c r="BT2">
        <v>41.896654236398007</v>
      </c>
      <c r="BU2">
        <v>41.896654236398007</v>
      </c>
      <c r="BV2">
        <v>0.88075473651619607</v>
      </c>
      <c r="BW2">
        <v>400.75459124804507</v>
      </c>
      <c r="BX2">
        <v>-0.14061821156594981</v>
      </c>
    </row>
    <row r="3" spans="1:76" x14ac:dyDescent="0.3">
      <c r="A3" s="1">
        <v>46084.586921296293</v>
      </c>
      <c r="B3" t="s">
        <v>94</v>
      </c>
      <c r="C3">
        <v>1</v>
      </c>
      <c r="D3" t="s">
        <v>77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85</v>
      </c>
      <c r="R3">
        <v>3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150</v>
      </c>
      <c r="AH3">
        <v>30</v>
      </c>
      <c r="AI3">
        <v>120</v>
      </c>
      <c r="AJ3">
        <v>0.10045881899528181</v>
      </c>
      <c r="AK3">
        <v>11.623118399857461</v>
      </c>
      <c r="AL3">
        <v>0.82115976903226406</v>
      </c>
      <c r="AM3">
        <v>-0.37099300062383073</v>
      </c>
      <c r="AN3">
        <v>14.650937323796679</v>
      </c>
      <c r="AO3">
        <v>0.82127372669079268</v>
      </c>
      <c r="AP3">
        <v>14.650937323796679</v>
      </c>
      <c r="AQ3">
        <v>14.650937323796679</v>
      </c>
      <c r="AR3">
        <v>0.82127372669079268</v>
      </c>
      <c r="AS3">
        <v>162.6085147583243</v>
      </c>
      <c r="AT3">
        <v>-0.27277653688369208</v>
      </c>
      <c r="AU3">
        <v>0.8</v>
      </c>
      <c r="AV3" t="s">
        <v>93</v>
      </c>
      <c r="AW3">
        <v>1.385089396968747E-2</v>
      </c>
      <c r="AX3">
        <v>0.89942460114848322</v>
      </c>
      <c r="AY3">
        <v>1.385089396968747E-2</v>
      </c>
      <c r="AZ3">
        <v>1.385089396968747E-2</v>
      </c>
      <c r="BA3">
        <v>0.89942460114848322</v>
      </c>
      <c r="BB3">
        <v>0.17987505072676119</v>
      </c>
      <c r="BC3">
        <v>-0.30612543925848962</v>
      </c>
      <c r="BD3">
        <v>0.1064035982860928</v>
      </c>
      <c r="BE3">
        <v>0.63133425783316977</v>
      </c>
      <c r="BF3">
        <v>0.1064035982860928</v>
      </c>
      <c r="BG3">
        <v>0.1064035982860928</v>
      </c>
      <c r="BH3">
        <v>0.63133425783316977</v>
      </c>
      <c r="BI3">
        <v>0.1077037659212029</v>
      </c>
      <c r="BJ3">
        <v>0.62682945466993112</v>
      </c>
      <c r="BK3">
        <v>1.9743974208666491E-2</v>
      </c>
      <c r="BL3">
        <v>0.92073418860885536</v>
      </c>
      <c r="BM3">
        <v>1.9743974208666491E-2</v>
      </c>
      <c r="BN3">
        <v>1.9743974208666491E-2</v>
      </c>
      <c r="BO3">
        <v>0.92073418860885536</v>
      </c>
      <c r="BP3">
        <v>0.38919289830992121</v>
      </c>
      <c r="BQ3">
        <v>-0.56248638425924735</v>
      </c>
      <c r="BR3">
        <v>58.463750828722169</v>
      </c>
      <c r="BS3">
        <v>0.83360185917266216</v>
      </c>
      <c r="BT3">
        <v>58.463750828722169</v>
      </c>
      <c r="BU3">
        <v>58.463750828722169</v>
      </c>
      <c r="BV3">
        <v>0.83360185917266216</v>
      </c>
      <c r="BW3">
        <v>649.75728731833954</v>
      </c>
      <c r="BX3">
        <v>-0.8493237786869714</v>
      </c>
    </row>
    <row r="4" spans="1:76" x14ac:dyDescent="0.3">
      <c r="A4" s="1">
        <v>46084.586967592593</v>
      </c>
      <c r="B4" t="s">
        <v>95</v>
      </c>
      <c r="C4">
        <v>2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85</v>
      </c>
      <c r="R4">
        <v>3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150</v>
      </c>
      <c r="AH4">
        <v>30</v>
      </c>
      <c r="AI4">
        <v>120</v>
      </c>
      <c r="AJ4">
        <v>0.1044317820729441</v>
      </c>
      <c r="AK4">
        <v>10.27078854392426</v>
      </c>
      <c r="AL4">
        <v>0.82254346894772146</v>
      </c>
      <c r="AM4">
        <v>-1.7798992862726879</v>
      </c>
      <c r="AN4">
        <v>13.248584285686061</v>
      </c>
      <c r="AO4">
        <v>0.82423678228098018</v>
      </c>
      <c r="AP4">
        <v>13.248584285686061</v>
      </c>
      <c r="AQ4">
        <v>13.248584285686061</v>
      </c>
      <c r="AR4">
        <v>0.82423678228098018</v>
      </c>
      <c r="AS4">
        <v>192.49096494804769</v>
      </c>
      <c r="AT4">
        <v>-1.031841823325651</v>
      </c>
      <c r="AU4">
        <v>0.8</v>
      </c>
      <c r="AV4" t="s">
        <v>93</v>
      </c>
      <c r="AW4">
        <v>1.1653639236749089E-2</v>
      </c>
      <c r="AX4">
        <v>0.91537951146887797</v>
      </c>
      <c r="AY4">
        <v>1.1653639236749089E-2</v>
      </c>
      <c r="AZ4">
        <v>1.1653639236749089E-2</v>
      </c>
      <c r="BA4">
        <v>0.91537951146887797</v>
      </c>
      <c r="BB4">
        <v>0.5536584930998516</v>
      </c>
      <c r="BC4">
        <v>-3.0202765173794588</v>
      </c>
      <c r="BD4">
        <v>0.11091039137530791</v>
      </c>
      <c r="BE4">
        <v>0.61571918234896983</v>
      </c>
      <c r="BF4">
        <v>0.11091039137530791</v>
      </c>
      <c r="BG4">
        <v>0.11091039137530791</v>
      </c>
      <c r="BH4">
        <v>0.61571918234896983</v>
      </c>
      <c r="BI4">
        <v>0.1121898332607137</v>
      </c>
      <c r="BJ4">
        <v>0.61128618948180913</v>
      </c>
      <c r="BK4">
        <v>2.0855574969034639E-2</v>
      </c>
      <c r="BL4">
        <v>0.91627146315741514</v>
      </c>
      <c r="BM4">
        <v>2.0855574969034639E-2</v>
      </c>
      <c r="BN4">
        <v>2.0855574969034639E-2</v>
      </c>
      <c r="BO4">
        <v>0.91627146315741514</v>
      </c>
      <c r="BP4">
        <v>0.38107705132257119</v>
      </c>
      <c r="BQ4">
        <v>-0.52990382566289895</v>
      </c>
      <c r="BR4">
        <v>52.850917537162957</v>
      </c>
      <c r="BS4">
        <v>0.84957697214865691</v>
      </c>
      <c r="BT4">
        <v>52.850917537162957</v>
      </c>
      <c r="BU4">
        <v>52.850917537162957</v>
      </c>
      <c r="BV4">
        <v>0.84957697214865691</v>
      </c>
      <c r="BW4">
        <v>768.91693441450627</v>
      </c>
      <c r="BX4">
        <v>-1.1884731397420389</v>
      </c>
    </row>
    <row r="5" spans="1:76" x14ac:dyDescent="0.3">
      <c r="A5" s="1">
        <v>46084.684988425928</v>
      </c>
      <c r="B5" t="s">
        <v>96</v>
      </c>
      <c r="C5">
        <v>2</v>
      </c>
      <c r="D5" t="s">
        <v>97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98</v>
      </c>
      <c r="R5">
        <v>3</v>
      </c>
      <c r="S5" t="s">
        <v>86</v>
      </c>
      <c r="T5" t="s">
        <v>99</v>
      </c>
      <c r="U5" t="s">
        <v>88</v>
      </c>
      <c r="V5">
        <v>1</v>
      </c>
      <c r="W5" t="s">
        <v>100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165</v>
      </c>
      <c r="AH5">
        <v>45</v>
      </c>
      <c r="AI5">
        <v>120</v>
      </c>
      <c r="AJ5">
        <v>7.7923161080910977E-2</v>
      </c>
      <c r="AK5">
        <v>9.7906777359694814</v>
      </c>
      <c r="AL5">
        <v>0.90045672362927576</v>
      </c>
      <c r="AM5">
        <v>-8.6120278823972329E-2</v>
      </c>
      <c r="AN5">
        <v>13.331734960418389</v>
      </c>
      <c r="AO5">
        <v>0.906569265741617</v>
      </c>
      <c r="AP5">
        <v>13.331734960418389</v>
      </c>
      <c r="AQ5">
        <v>13.331734960418389</v>
      </c>
      <c r="AR5">
        <v>0.906569265741617</v>
      </c>
      <c r="AS5">
        <v>140.46035818302471</v>
      </c>
      <c r="AT5">
        <v>-0.10556970319748479</v>
      </c>
      <c r="AU5">
        <v>0.8</v>
      </c>
      <c r="AV5" t="s">
        <v>93</v>
      </c>
      <c r="AW5">
        <v>1.23313947397738E-2</v>
      </c>
      <c r="AX5">
        <v>0.91045813020715582</v>
      </c>
      <c r="AY5">
        <v>1.23313947397738E-2</v>
      </c>
      <c r="AZ5">
        <v>1.23313947397738E-2</v>
      </c>
      <c r="BA5">
        <v>0.91045813020715582</v>
      </c>
      <c r="BB5">
        <v>0.1246693508368773</v>
      </c>
      <c r="BC5">
        <v>9.4739320622961198E-2</v>
      </c>
      <c r="BD5">
        <v>1.452307915079009E-2</v>
      </c>
      <c r="BE5">
        <v>0.94968063261096081</v>
      </c>
      <c r="BF5">
        <v>1.452307915079009E-2</v>
      </c>
      <c r="BG5">
        <v>1.452307915079009E-2</v>
      </c>
      <c r="BH5">
        <v>0.94968063261096081</v>
      </c>
      <c r="BI5">
        <v>0.10364985449910261</v>
      </c>
      <c r="BJ5">
        <v>0.64087539190495546</v>
      </c>
      <c r="BK5">
        <v>2.0479458783773639E-2</v>
      </c>
      <c r="BL5">
        <v>0.9177814506749723</v>
      </c>
      <c r="BM5">
        <v>2.0479458783773639E-2</v>
      </c>
      <c r="BN5">
        <v>2.0479458783773639E-2</v>
      </c>
      <c r="BO5">
        <v>0.9177814506749723</v>
      </c>
      <c r="BP5">
        <v>0.38871055838746971</v>
      </c>
      <c r="BQ5">
        <v>-0.56054994203564057</v>
      </c>
      <c r="BR5">
        <v>53.279605908999173</v>
      </c>
      <c r="BS5">
        <v>0.8483568494733803</v>
      </c>
      <c r="BT5">
        <v>53.279605908999173</v>
      </c>
      <c r="BU5">
        <v>53.279605908999173</v>
      </c>
      <c r="BV5">
        <v>0.8483568494733803</v>
      </c>
      <c r="BW5">
        <v>561.22440296837442</v>
      </c>
      <c r="BX5">
        <v>-0.59734358328222359</v>
      </c>
    </row>
    <row r="6" spans="1:76" x14ac:dyDescent="0.3">
      <c r="A6" s="1">
        <v>46084.68478009259</v>
      </c>
      <c r="B6" t="s">
        <v>101</v>
      </c>
      <c r="C6">
        <v>1</v>
      </c>
      <c r="D6" t="s">
        <v>97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98</v>
      </c>
      <c r="R6">
        <v>3</v>
      </c>
      <c r="S6" t="s">
        <v>86</v>
      </c>
      <c r="T6" t="s">
        <v>99</v>
      </c>
      <c r="U6" t="s">
        <v>88</v>
      </c>
      <c r="V6">
        <v>1</v>
      </c>
      <c r="W6" t="s">
        <v>100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165</v>
      </c>
      <c r="AH6">
        <v>45</v>
      </c>
      <c r="AI6">
        <v>120</v>
      </c>
      <c r="AJ6">
        <v>8.6567176166657211E-2</v>
      </c>
      <c r="AK6">
        <v>8.2833513259090399</v>
      </c>
      <c r="AL6">
        <v>0.90766245848959703</v>
      </c>
      <c r="AM6">
        <v>-2.522385156589069E-2</v>
      </c>
      <c r="AN6">
        <v>11.79346216214682</v>
      </c>
      <c r="AO6">
        <v>0.91303289326602899</v>
      </c>
      <c r="AP6">
        <v>11.79346216214682</v>
      </c>
      <c r="AQ6">
        <v>11.79346216214682</v>
      </c>
      <c r="AR6">
        <v>0.91303289326602899</v>
      </c>
      <c r="AS6">
        <v>171.5298069605042</v>
      </c>
      <c r="AT6">
        <v>2.9703262155391149E-2</v>
      </c>
      <c r="AU6">
        <v>0.8</v>
      </c>
      <c r="AV6" t="s">
        <v>93</v>
      </c>
      <c r="AW6">
        <v>9.7910989874982497E-3</v>
      </c>
      <c r="AX6">
        <v>0.92890396186575253</v>
      </c>
      <c r="AY6">
        <v>9.7910989874982497E-3</v>
      </c>
      <c r="AZ6">
        <v>9.7910989874982497E-3</v>
      </c>
      <c r="BA6">
        <v>0.92890396186575253</v>
      </c>
      <c r="BB6">
        <v>1.7520094148136031E-2</v>
      </c>
      <c r="BC6">
        <v>0.87278146372925658</v>
      </c>
      <c r="BD6">
        <v>1.312650390357869E-2</v>
      </c>
      <c r="BE6">
        <v>0.9545194675591987</v>
      </c>
      <c r="BF6">
        <v>1.312650390357869E-2</v>
      </c>
      <c r="BG6">
        <v>1.312650390357869E-2</v>
      </c>
      <c r="BH6">
        <v>0.9545194675591987</v>
      </c>
      <c r="BI6">
        <v>3.1680499773720748E-2</v>
      </c>
      <c r="BJ6">
        <v>0.89023383466890327</v>
      </c>
      <c r="BK6">
        <v>2.4201377630024359E-2</v>
      </c>
      <c r="BL6">
        <v>0.90283912375729636</v>
      </c>
      <c r="BM6">
        <v>2.4201377630024359E-2</v>
      </c>
      <c r="BN6">
        <v>2.4201377630024359E-2</v>
      </c>
      <c r="BO6">
        <v>0.90283912375729636</v>
      </c>
      <c r="BP6">
        <v>0.42163372839870877</v>
      </c>
      <c r="BQ6">
        <v>-0.69272605596937797</v>
      </c>
      <c r="BR6">
        <v>47.126729668066282</v>
      </c>
      <c r="BS6">
        <v>0.86586901988186771</v>
      </c>
      <c r="BT6">
        <v>47.126729668066282</v>
      </c>
      <c r="BU6">
        <v>47.126729668066282</v>
      </c>
      <c r="BV6">
        <v>0.86586901988186771</v>
      </c>
      <c r="BW6">
        <v>685.64839351969658</v>
      </c>
      <c r="BX6">
        <v>-0.95147619380721893</v>
      </c>
    </row>
    <row r="7" spans="1:76" x14ac:dyDescent="0.3">
      <c r="A7" s="1">
        <v>46084.68476851852</v>
      </c>
      <c r="B7" t="s">
        <v>102</v>
      </c>
      <c r="C7">
        <v>3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98</v>
      </c>
      <c r="R7">
        <v>3</v>
      </c>
      <c r="S7" t="s">
        <v>86</v>
      </c>
      <c r="T7" t="s">
        <v>99</v>
      </c>
      <c r="U7" t="s">
        <v>88</v>
      </c>
      <c r="V7">
        <v>1</v>
      </c>
      <c r="W7" t="s">
        <v>100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165</v>
      </c>
      <c r="AH7">
        <v>45</v>
      </c>
      <c r="AI7">
        <v>120</v>
      </c>
      <c r="AJ7">
        <v>8.1120608149960777E-2</v>
      </c>
      <c r="AK7">
        <v>8.5976702157959473</v>
      </c>
      <c r="AL7">
        <v>0.89913165789284366</v>
      </c>
      <c r="AM7">
        <v>-0.35899492045722198</v>
      </c>
      <c r="AN7">
        <v>11.657533394009549</v>
      </c>
      <c r="AO7">
        <v>0.9053047227824409</v>
      </c>
      <c r="AP7">
        <v>11.657533394009549</v>
      </c>
      <c r="AQ7">
        <v>11.657533394009549</v>
      </c>
      <c r="AR7">
        <v>0.9053047227824409</v>
      </c>
      <c r="AS7">
        <v>174.23378757534871</v>
      </c>
      <c r="AT7">
        <v>-0.28295593271843061</v>
      </c>
      <c r="AU7">
        <v>0.8</v>
      </c>
      <c r="AV7" t="s">
        <v>93</v>
      </c>
      <c r="AW7">
        <v>1.318521775928626E-2</v>
      </c>
      <c r="AX7">
        <v>0.90425827112773438</v>
      </c>
      <c r="AY7">
        <v>1.318521775928626E-2</v>
      </c>
      <c r="AZ7">
        <v>1.318521775928626E-2</v>
      </c>
      <c r="BA7">
        <v>0.90425827112773438</v>
      </c>
      <c r="BB7">
        <v>0.14828558291117699</v>
      </c>
      <c r="BC7">
        <v>-7.6745059045296937E-2</v>
      </c>
      <c r="BD7">
        <v>2.2097198489141989E-2</v>
      </c>
      <c r="BE7">
        <v>0.92343792679921</v>
      </c>
      <c r="BF7">
        <v>2.2097198489141989E-2</v>
      </c>
      <c r="BG7">
        <v>2.2097198489141989E-2</v>
      </c>
      <c r="BH7">
        <v>0.92343792679921</v>
      </c>
      <c r="BI7">
        <v>7.4891390064100033E-2</v>
      </c>
      <c r="BJ7">
        <v>0.74051732888157695</v>
      </c>
      <c r="BK7">
        <v>1.841055283802449E-2</v>
      </c>
      <c r="BL7">
        <v>0.9260874536482635</v>
      </c>
      <c r="BM7">
        <v>1.841055283802449E-2</v>
      </c>
      <c r="BN7">
        <v>1.841055283802449E-2</v>
      </c>
      <c r="BO7">
        <v>0.9260874536482635</v>
      </c>
      <c r="BP7">
        <v>0.45182061801521639</v>
      </c>
      <c r="BQ7">
        <v>-0.81391686960896892</v>
      </c>
      <c r="BR7">
        <v>46.57644060695192</v>
      </c>
      <c r="BS7">
        <v>0.86743523955455537</v>
      </c>
      <c r="BT7">
        <v>46.57644060695192</v>
      </c>
      <c r="BU7">
        <v>46.57644060695192</v>
      </c>
      <c r="BV7">
        <v>0.86743523955455537</v>
      </c>
      <c r="BW7">
        <v>696.26015271040126</v>
      </c>
      <c r="BX7">
        <v>-0.98167913110102645</v>
      </c>
    </row>
    <row r="8" spans="1:76" x14ac:dyDescent="0.3">
      <c r="A8" s="1">
        <v>46084.81355324074</v>
      </c>
      <c r="B8" t="s">
        <v>103</v>
      </c>
      <c r="C8">
        <v>2</v>
      </c>
      <c r="D8" t="s">
        <v>97</v>
      </c>
      <c r="E8" t="s">
        <v>78</v>
      </c>
      <c r="F8">
        <v>16590</v>
      </c>
      <c r="G8">
        <v>4.5</v>
      </c>
      <c r="H8" t="s">
        <v>104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105</v>
      </c>
      <c r="R8">
        <v>3</v>
      </c>
      <c r="S8" t="s">
        <v>86</v>
      </c>
      <c r="T8" t="s">
        <v>87</v>
      </c>
      <c r="U8" t="s">
        <v>88</v>
      </c>
      <c r="V8">
        <v>1</v>
      </c>
      <c r="W8" t="s">
        <v>106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180</v>
      </c>
      <c r="AH8">
        <v>60</v>
      </c>
      <c r="AI8">
        <v>120</v>
      </c>
      <c r="AJ8">
        <v>0.14411788803907449</v>
      </c>
      <c r="AK8">
        <v>12.51705207996558</v>
      </c>
      <c r="AL8">
        <v>0.69104612162210333</v>
      </c>
      <c r="AM8">
        <v>-1.0420804929161391E-2</v>
      </c>
      <c r="AN8">
        <v>16.81912050682655</v>
      </c>
      <c r="AO8">
        <v>0.68767081073977854</v>
      </c>
      <c r="AP8">
        <v>16.81912050682655</v>
      </c>
      <c r="AQ8">
        <v>16.81912050682655</v>
      </c>
      <c r="AR8">
        <v>0.68767081073977854</v>
      </c>
      <c r="AS8">
        <v>57.072177270774382</v>
      </c>
      <c r="AT8">
        <v>3.8947327499403439E-2</v>
      </c>
      <c r="AU8">
        <v>0.8</v>
      </c>
      <c r="AV8" t="s">
        <v>93</v>
      </c>
      <c r="AW8">
        <v>8.8274968552007303E-3</v>
      </c>
      <c r="AX8">
        <v>0.93590095924383454</v>
      </c>
      <c r="AY8">
        <v>8.8274968552007303E-3</v>
      </c>
      <c r="AZ8">
        <v>8.8274968552007303E-3</v>
      </c>
      <c r="BA8">
        <v>0.93590095924383454</v>
      </c>
      <c r="BB8">
        <v>0.26740945392659371</v>
      </c>
      <c r="BC8">
        <v>-0.94173838484306116</v>
      </c>
      <c r="BD8">
        <v>0.2691909111310205</v>
      </c>
      <c r="BE8">
        <v>6.7310987267109712E-2</v>
      </c>
      <c r="BF8">
        <v>0.2691909111310205</v>
      </c>
      <c r="BG8">
        <v>0.2691909111310205</v>
      </c>
      <c r="BH8">
        <v>6.7310987267109712E-2</v>
      </c>
      <c r="BI8">
        <v>0.28724632089960001</v>
      </c>
      <c r="BJ8">
        <v>4.7528487297064936E-3</v>
      </c>
      <c r="BK8">
        <v>1.541419992462542E-2</v>
      </c>
      <c r="BL8">
        <v>0.93811686284342666</v>
      </c>
      <c r="BM8">
        <v>1.541419992462542E-2</v>
      </c>
      <c r="BN8">
        <v>1.541419992462542E-2</v>
      </c>
      <c r="BO8">
        <v>0.93811686284342666</v>
      </c>
      <c r="BP8">
        <v>6.4572379087807455E-2</v>
      </c>
      <c r="BQ8">
        <v>0.74076232232895867</v>
      </c>
      <c r="BR8">
        <v>66.983049419395343</v>
      </c>
      <c r="BS8">
        <v>0.80935443360474024</v>
      </c>
      <c r="BT8">
        <v>66.983049419395343</v>
      </c>
      <c r="BU8">
        <v>66.983049419395343</v>
      </c>
      <c r="BV8">
        <v>0.80935443360474024</v>
      </c>
      <c r="BW8">
        <v>227.66948092918369</v>
      </c>
      <c r="BX8">
        <v>0.35201252378200831</v>
      </c>
    </row>
    <row r="9" spans="1:76" x14ac:dyDescent="0.3">
      <c r="A9" s="1">
        <v>46084.814062500001</v>
      </c>
      <c r="B9" t="s">
        <v>107</v>
      </c>
      <c r="C9">
        <v>3</v>
      </c>
      <c r="D9" t="s">
        <v>97</v>
      </c>
      <c r="E9" t="s">
        <v>78</v>
      </c>
      <c r="F9">
        <v>16590</v>
      </c>
      <c r="G9">
        <v>4.5</v>
      </c>
      <c r="H9" t="s">
        <v>104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105</v>
      </c>
      <c r="R9">
        <v>3</v>
      </c>
      <c r="S9" t="s">
        <v>86</v>
      </c>
      <c r="T9" t="s">
        <v>87</v>
      </c>
      <c r="U9" t="s">
        <v>88</v>
      </c>
      <c r="V9">
        <v>1</v>
      </c>
      <c r="W9" t="s">
        <v>106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180</v>
      </c>
      <c r="AH9">
        <v>60</v>
      </c>
      <c r="AI9">
        <v>120</v>
      </c>
      <c r="AJ9">
        <v>0.1383535662014316</v>
      </c>
      <c r="AK9">
        <v>15.830818556872741</v>
      </c>
      <c r="AL9">
        <v>0.65950048488606305</v>
      </c>
      <c r="AM9">
        <v>-0.148708116124635</v>
      </c>
      <c r="AN9">
        <v>19.939715728883819</v>
      </c>
      <c r="AO9">
        <v>0.65905045279698182</v>
      </c>
      <c r="AP9">
        <v>19.939715728883819</v>
      </c>
      <c r="AQ9">
        <v>19.939715728883819</v>
      </c>
      <c r="AR9">
        <v>0.65905045279698182</v>
      </c>
      <c r="AS9">
        <v>38.225577792220172</v>
      </c>
      <c r="AT9">
        <v>7.4792937979189428E-2</v>
      </c>
      <c r="AU9">
        <v>0.8</v>
      </c>
      <c r="AV9" t="s">
        <v>93</v>
      </c>
      <c r="AW9">
        <v>1.088460151205453E-2</v>
      </c>
      <c r="AX9">
        <v>0.920963719684051</v>
      </c>
      <c r="AY9">
        <v>1.088460151205453E-2</v>
      </c>
      <c r="AZ9">
        <v>1.088460151205453E-2</v>
      </c>
      <c r="BA9">
        <v>0.920963719684051</v>
      </c>
      <c r="BB9">
        <v>0.27546039756314949</v>
      </c>
      <c r="BC9">
        <v>-1.0001986451807521</v>
      </c>
      <c r="BD9">
        <v>0.27225414539506188</v>
      </c>
      <c r="BE9">
        <v>5.6697534793940241E-2</v>
      </c>
      <c r="BF9">
        <v>0.27225414539506188</v>
      </c>
      <c r="BG9">
        <v>0.27225414539506188</v>
      </c>
      <c r="BH9">
        <v>5.6697534793940241E-2</v>
      </c>
      <c r="BI9">
        <v>0.31384629796560592</v>
      </c>
      <c r="BJ9">
        <v>-8.7410390527414394E-2</v>
      </c>
      <c r="BK9">
        <v>2.8729359483670999E-2</v>
      </c>
      <c r="BL9">
        <v>0.88466070882419046</v>
      </c>
      <c r="BM9">
        <v>2.8729359483670999E-2</v>
      </c>
      <c r="BN9">
        <v>2.8729359483670999E-2</v>
      </c>
      <c r="BO9">
        <v>0.88466070882419046</v>
      </c>
      <c r="BP9">
        <v>4.4794823066860487E-2</v>
      </c>
      <c r="BQ9">
        <v>0.82016295407441819</v>
      </c>
      <c r="BR9">
        <v>79.446994809144684</v>
      </c>
      <c r="BS9">
        <v>0.77387984788574038</v>
      </c>
      <c r="BT9">
        <v>79.446994809144684</v>
      </c>
      <c r="BU9">
        <v>79.446994809144684</v>
      </c>
      <c r="BV9">
        <v>0.77387984788574038</v>
      </c>
      <c r="BW9">
        <v>152.268209650285</v>
      </c>
      <c r="BX9">
        <v>0.56661783355051099</v>
      </c>
    </row>
    <row r="10" spans="1:76" x14ac:dyDescent="0.3">
      <c r="A10" s="1">
        <v>46084.814039351862</v>
      </c>
      <c r="B10" t="s">
        <v>108</v>
      </c>
      <c r="C10">
        <v>1</v>
      </c>
      <c r="D10" t="s">
        <v>97</v>
      </c>
      <c r="E10" t="s">
        <v>78</v>
      </c>
      <c r="F10">
        <v>16590</v>
      </c>
      <c r="G10">
        <v>4.5</v>
      </c>
      <c r="H10" t="s">
        <v>104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105</v>
      </c>
      <c r="R10">
        <v>3</v>
      </c>
      <c r="S10" t="s">
        <v>86</v>
      </c>
      <c r="T10" t="s">
        <v>87</v>
      </c>
      <c r="U10" t="s">
        <v>88</v>
      </c>
      <c r="V10">
        <v>1</v>
      </c>
      <c r="W10" t="s">
        <v>106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180</v>
      </c>
      <c r="AH10">
        <v>60</v>
      </c>
      <c r="AI10">
        <v>120</v>
      </c>
      <c r="AJ10">
        <v>0.1218198342414977</v>
      </c>
      <c r="AK10">
        <v>9.2713387218824828</v>
      </c>
      <c r="AL10">
        <v>0.72776379227988786</v>
      </c>
      <c r="AM10">
        <v>6.9401868140998801E-2</v>
      </c>
      <c r="AN10">
        <v>11.34134224413285</v>
      </c>
      <c r="AO10">
        <v>0.72231851787797208</v>
      </c>
      <c r="AP10">
        <v>11.34134224413285</v>
      </c>
      <c r="AQ10">
        <v>11.34134224413285</v>
      </c>
      <c r="AR10">
        <v>0.72231851787797208</v>
      </c>
      <c r="AS10">
        <v>65.795103740463276</v>
      </c>
      <c r="AT10">
        <v>0.1607309506643903</v>
      </c>
      <c r="AU10">
        <v>0.8</v>
      </c>
      <c r="AV10" t="s">
        <v>93</v>
      </c>
      <c r="AW10">
        <v>1.22697757712836E-2</v>
      </c>
      <c r="AX10">
        <v>0.91090556358916597</v>
      </c>
      <c r="AY10">
        <v>1.22697757712836E-2</v>
      </c>
      <c r="AZ10">
        <v>1.22697757712836E-2</v>
      </c>
      <c r="BA10">
        <v>0.91090556358916597</v>
      </c>
      <c r="BB10">
        <v>0.2217572538053329</v>
      </c>
      <c r="BC10">
        <v>-0.61024438556088589</v>
      </c>
      <c r="BD10">
        <v>0.22321509683986909</v>
      </c>
      <c r="BE10">
        <v>0.22660736417908359</v>
      </c>
      <c r="BF10">
        <v>0.22321509683986909</v>
      </c>
      <c r="BG10">
        <v>0.22321509683986909</v>
      </c>
      <c r="BH10">
        <v>0.22660736417908359</v>
      </c>
      <c r="BI10">
        <v>0.23394554476481419</v>
      </c>
      <c r="BJ10">
        <v>0.1894286539497938</v>
      </c>
      <c r="BK10">
        <v>2.9859447189873101E-2</v>
      </c>
      <c r="BL10">
        <v>0.88012376413268312</v>
      </c>
      <c r="BM10">
        <v>2.9859447189873101E-2</v>
      </c>
      <c r="BN10">
        <v>2.9859447189873101E-2</v>
      </c>
      <c r="BO10">
        <v>0.88012376413268312</v>
      </c>
      <c r="BP10">
        <v>4.698585644923297E-2</v>
      </c>
      <c r="BQ10">
        <v>0.81136664807222514</v>
      </c>
      <c r="BR10">
        <v>45.10002465673044</v>
      </c>
      <c r="BS10">
        <v>0.871637379610954</v>
      </c>
      <c r="BT10">
        <v>45.10002465673044</v>
      </c>
      <c r="BU10">
        <v>45.10002465673044</v>
      </c>
      <c r="BV10">
        <v>0.871637379610954</v>
      </c>
      <c r="BW10">
        <v>262.67772630683419</v>
      </c>
      <c r="BX10">
        <v>0.2523728861964154</v>
      </c>
    </row>
    <row r="11" spans="1:76" x14ac:dyDescent="0.3">
      <c r="A11" s="1">
        <v>46084.994062500002</v>
      </c>
      <c r="B11" t="s">
        <v>109</v>
      </c>
      <c r="C11">
        <v>2</v>
      </c>
      <c r="D11" t="s">
        <v>77</v>
      </c>
      <c r="E11" t="s">
        <v>78</v>
      </c>
      <c r="F11">
        <v>16590</v>
      </c>
      <c r="G11">
        <v>4.5</v>
      </c>
      <c r="H11" t="s">
        <v>110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111</v>
      </c>
      <c r="R11">
        <v>3</v>
      </c>
      <c r="S11" t="s">
        <v>86</v>
      </c>
      <c r="T11" t="s">
        <v>99</v>
      </c>
      <c r="U11" t="s">
        <v>88</v>
      </c>
      <c r="V11">
        <v>1</v>
      </c>
      <c r="W11" t="s">
        <v>106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210</v>
      </c>
      <c r="AH11">
        <v>90</v>
      </c>
      <c r="AI11">
        <v>120</v>
      </c>
      <c r="AJ11">
        <v>0.1249102217898498</v>
      </c>
      <c r="AK11">
        <v>8.9992504437042573</v>
      </c>
      <c r="AL11">
        <v>0.72429346164694275</v>
      </c>
      <c r="AM11">
        <v>1.5973791134075179E-2</v>
      </c>
      <c r="AN11">
        <v>12.773258382917181</v>
      </c>
      <c r="AO11">
        <v>0.72181578364818622</v>
      </c>
      <c r="AP11">
        <v>12.773258382917181</v>
      </c>
      <c r="AQ11">
        <v>12.773258382917181</v>
      </c>
      <c r="AR11">
        <v>0.72181578364818622</v>
      </c>
      <c r="AS11">
        <v>47.59146617370709</v>
      </c>
      <c r="AT11">
        <v>8.9927832009065622E-2</v>
      </c>
      <c r="AU11">
        <v>0.8</v>
      </c>
      <c r="AV11" t="s">
        <v>93</v>
      </c>
      <c r="AW11">
        <v>1.03610337807156E-2</v>
      </c>
      <c r="AX11">
        <v>0.92476549836493893</v>
      </c>
      <c r="AY11">
        <v>1.03610337807156E-2</v>
      </c>
      <c r="AZ11">
        <v>1.03610337807156E-2</v>
      </c>
      <c r="BA11">
        <v>0.92476549836493893</v>
      </c>
      <c r="BB11">
        <v>0.27783667510580579</v>
      </c>
      <c r="BC11">
        <v>-1.017453492568769</v>
      </c>
      <c r="BD11">
        <v>0.24218089841016871</v>
      </c>
      <c r="BE11">
        <v>0.160894912492032</v>
      </c>
      <c r="BF11">
        <v>0.24218089841016871</v>
      </c>
      <c r="BG11">
        <v>0.24218089841016871</v>
      </c>
      <c r="BH11">
        <v>0.160894912492032</v>
      </c>
      <c r="BI11">
        <v>0.25918683527090841</v>
      </c>
      <c r="BJ11">
        <v>0.10197297343175971</v>
      </c>
      <c r="BK11">
        <v>1.3384459050672509E-2</v>
      </c>
      <c r="BL11">
        <v>0.94626563044144285</v>
      </c>
      <c r="BM11">
        <v>1.3384459050672509E-2</v>
      </c>
      <c r="BN11">
        <v>1.3384459050672509E-2</v>
      </c>
      <c r="BO11">
        <v>0.94626563044144285</v>
      </c>
      <c r="BP11">
        <v>4.599433722155985E-2</v>
      </c>
      <c r="BQ11">
        <v>0.81534728415191227</v>
      </c>
      <c r="BR11">
        <v>50.827107140426982</v>
      </c>
      <c r="BS11">
        <v>0.85533709329433028</v>
      </c>
      <c r="BT11">
        <v>50.827107140426982</v>
      </c>
      <c r="BU11">
        <v>50.827107140426982</v>
      </c>
      <c r="BV11">
        <v>0.85533709329433028</v>
      </c>
      <c r="BW11">
        <v>189.78284684722979</v>
      </c>
      <c r="BX11">
        <v>0.45984456302136539</v>
      </c>
    </row>
    <row r="12" spans="1:76" x14ac:dyDescent="0.3">
      <c r="A12" s="1">
        <v>46084.994039351863</v>
      </c>
      <c r="B12" t="s">
        <v>112</v>
      </c>
      <c r="C12">
        <v>1</v>
      </c>
      <c r="D12" t="s">
        <v>97</v>
      </c>
      <c r="E12" t="s">
        <v>78</v>
      </c>
      <c r="F12">
        <v>16590</v>
      </c>
      <c r="G12">
        <v>4.5</v>
      </c>
      <c r="H12" t="s">
        <v>110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111</v>
      </c>
      <c r="R12">
        <v>3</v>
      </c>
      <c r="S12" t="s">
        <v>86</v>
      </c>
      <c r="T12" t="s">
        <v>99</v>
      </c>
      <c r="U12" t="s">
        <v>88</v>
      </c>
      <c r="V12">
        <v>1</v>
      </c>
      <c r="W12" t="s">
        <v>106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210</v>
      </c>
      <c r="AH12">
        <v>90</v>
      </c>
      <c r="AI12">
        <v>120</v>
      </c>
      <c r="AJ12">
        <v>0.1303836916612843</v>
      </c>
      <c r="AK12">
        <v>10.562702470135671</v>
      </c>
      <c r="AL12">
        <v>0.71558352436124539</v>
      </c>
      <c r="AM12">
        <v>-0.43514127759508558</v>
      </c>
      <c r="AN12">
        <v>13.671984332816381</v>
      </c>
      <c r="AO12">
        <v>0.71117879594897315</v>
      </c>
      <c r="AP12">
        <v>13.671984332816381</v>
      </c>
      <c r="AQ12">
        <v>13.671984332816381</v>
      </c>
      <c r="AR12">
        <v>0.71117879594897315</v>
      </c>
      <c r="AS12">
        <v>38.92675078680918</v>
      </c>
      <c r="AT12">
        <v>-7.6589875338053337E-2</v>
      </c>
      <c r="AU12">
        <v>0.8</v>
      </c>
      <c r="AV12" t="s">
        <v>93</v>
      </c>
      <c r="AW12">
        <v>1.029564884914899E-2</v>
      </c>
      <c r="AX12">
        <v>0.92524027750811788</v>
      </c>
      <c r="AY12">
        <v>1.029564884914899E-2</v>
      </c>
      <c r="AZ12">
        <v>1.029564884914899E-2</v>
      </c>
      <c r="BA12">
        <v>0.92524027750811788</v>
      </c>
      <c r="BB12">
        <v>0.35026113584585788</v>
      </c>
      <c r="BC12">
        <v>-1.5433487193662569</v>
      </c>
      <c r="BD12">
        <v>0.24158970746715841</v>
      </c>
      <c r="BE12">
        <v>0.16294326284181199</v>
      </c>
      <c r="BF12">
        <v>0.24158970746715841</v>
      </c>
      <c r="BG12">
        <v>0.24158970746715841</v>
      </c>
      <c r="BH12">
        <v>0.16294326284181199</v>
      </c>
      <c r="BI12">
        <v>0.33194344847970791</v>
      </c>
      <c r="BJ12">
        <v>-0.1501131518329806</v>
      </c>
      <c r="BK12">
        <v>2.2068131170419138E-2</v>
      </c>
      <c r="BL12">
        <v>0.9114034335426926</v>
      </c>
      <c r="BM12">
        <v>2.2068131170419138E-2</v>
      </c>
      <c r="BN12">
        <v>2.2068131170419138E-2</v>
      </c>
      <c r="BO12">
        <v>0.9114034335426926</v>
      </c>
      <c r="BP12">
        <v>4.2790797183128407E-2</v>
      </c>
      <c r="BQ12">
        <v>0.82820848412039805</v>
      </c>
      <c r="BR12">
        <v>54.413983843778482</v>
      </c>
      <c r="BS12">
        <v>0.84512820990326742</v>
      </c>
      <c r="BT12">
        <v>54.413983843778482</v>
      </c>
      <c r="BU12">
        <v>54.413983843778482</v>
      </c>
      <c r="BV12">
        <v>0.84512820990326742</v>
      </c>
      <c r="BW12">
        <v>154.9820077657275</v>
      </c>
      <c r="BX12">
        <v>0.55889388572661414</v>
      </c>
    </row>
    <row r="13" spans="1:76" x14ac:dyDescent="0.3">
      <c r="A13" s="1">
        <v>46084.994317129633</v>
      </c>
      <c r="B13" t="s">
        <v>113</v>
      </c>
      <c r="C13">
        <v>3</v>
      </c>
      <c r="D13" t="s">
        <v>77</v>
      </c>
      <c r="E13" t="s">
        <v>78</v>
      </c>
      <c r="F13">
        <v>16590</v>
      </c>
      <c r="G13">
        <v>4.5</v>
      </c>
      <c r="H13" t="s">
        <v>110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111</v>
      </c>
      <c r="R13">
        <v>3</v>
      </c>
      <c r="S13" t="s">
        <v>86</v>
      </c>
      <c r="T13" t="s">
        <v>99</v>
      </c>
      <c r="U13" t="s">
        <v>88</v>
      </c>
      <c r="V13">
        <v>1</v>
      </c>
      <c r="W13" t="s">
        <v>106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210</v>
      </c>
      <c r="AH13">
        <v>90</v>
      </c>
      <c r="AI13">
        <v>120</v>
      </c>
      <c r="AJ13">
        <v>0.1116071479833152</v>
      </c>
      <c r="AK13">
        <v>9.292491356729057</v>
      </c>
      <c r="AL13">
        <v>0.76676147572982734</v>
      </c>
      <c r="AM13">
        <v>0.19938210682028831</v>
      </c>
      <c r="AN13">
        <v>13.087236746944891</v>
      </c>
      <c r="AO13">
        <v>0.76582539810974581</v>
      </c>
      <c r="AP13">
        <v>13.087236746944891</v>
      </c>
      <c r="AQ13">
        <v>13.087236746944891</v>
      </c>
      <c r="AR13">
        <v>0.76582539810974581</v>
      </c>
      <c r="AS13">
        <v>33.331779570310999</v>
      </c>
      <c r="AT13">
        <v>0.2333404130842664</v>
      </c>
      <c r="AU13">
        <v>0.8</v>
      </c>
      <c r="AV13" t="s">
        <v>93</v>
      </c>
      <c r="AW13">
        <v>1.4055026407214731E-2</v>
      </c>
      <c r="AX13">
        <v>0.89794233571725779</v>
      </c>
      <c r="AY13">
        <v>1.4055026407214731E-2</v>
      </c>
      <c r="AZ13">
        <v>1.4055026407214731E-2</v>
      </c>
      <c r="BA13">
        <v>0.89794233571725779</v>
      </c>
      <c r="BB13">
        <v>0.25049085194489629</v>
      </c>
      <c r="BC13">
        <v>-0.81888745940509367</v>
      </c>
      <c r="BD13">
        <v>0.1819425669805769</v>
      </c>
      <c r="BE13">
        <v>0.36960786507161192</v>
      </c>
      <c r="BF13">
        <v>0.1819425669805769</v>
      </c>
      <c r="BG13">
        <v>0.1819425669805769</v>
      </c>
      <c r="BH13">
        <v>0.36960786507161192</v>
      </c>
      <c r="BI13">
        <v>0.22516050229020251</v>
      </c>
      <c r="BJ13">
        <v>0.21986694979728649</v>
      </c>
      <c r="BK13">
        <v>1.3911859731843029E-2</v>
      </c>
      <c r="BL13">
        <v>0.94414828352438329</v>
      </c>
      <c r="BM13">
        <v>1.3911859731843029E-2</v>
      </c>
      <c r="BN13">
        <v>1.3911859731843029E-2</v>
      </c>
      <c r="BO13">
        <v>0.94414828352438329</v>
      </c>
      <c r="BP13">
        <v>2.2308765917306111E-2</v>
      </c>
      <c r="BQ13">
        <v>0.91043736114717033</v>
      </c>
      <c r="BR13">
        <v>52.139037534659892</v>
      </c>
      <c r="BS13">
        <v>0.85160310812572937</v>
      </c>
      <c r="BT13">
        <v>52.139037534659892</v>
      </c>
      <c r="BU13">
        <v>52.139037534659892</v>
      </c>
      <c r="BV13">
        <v>0.85160310812572937</v>
      </c>
      <c r="BW13">
        <v>132.8291581610915</v>
      </c>
      <c r="BX13">
        <v>0.62194480079770287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399D-98B1-49AF-B389-8AFC2449F128}">
  <dimension ref="A3:I11"/>
  <sheetViews>
    <sheetView tabSelected="1" workbookViewId="0">
      <selection activeCell="A4" sqref="A4"/>
    </sheetView>
  </sheetViews>
  <sheetFormatPr baseColWidth="10" defaultRowHeight="14.4" x14ac:dyDescent="0.3"/>
  <cols>
    <col min="1" max="1" width="46" bestFit="1" customWidth="1"/>
    <col min="2" max="2" width="28.5546875" bestFit="1" customWidth="1"/>
    <col min="3" max="3" width="29.5546875" bestFit="1" customWidth="1"/>
    <col min="4" max="4" width="24.88671875" bestFit="1" customWidth="1"/>
    <col min="5" max="5" width="37.88671875" bestFit="1" customWidth="1"/>
    <col min="6" max="6" width="37.5546875" bestFit="1" customWidth="1"/>
    <col min="7" max="7" width="33.44140625" bestFit="1" customWidth="1"/>
    <col min="8" max="8" width="34.44140625" bestFit="1" customWidth="1"/>
    <col min="9" max="9" width="18" bestFit="1" customWidth="1"/>
  </cols>
  <sheetData>
    <row r="3" spans="1:9" x14ac:dyDescent="0.3">
      <c r="A3" s="3" t="s">
        <v>114</v>
      </c>
      <c r="B3" t="s">
        <v>117</v>
      </c>
      <c r="C3" t="s">
        <v>118</v>
      </c>
      <c r="D3" t="s">
        <v>123</v>
      </c>
      <c r="E3" t="s">
        <v>119</v>
      </c>
      <c r="F3" t="s">
        <v>120</v>
      </c>
      <c r="G3" t="s">
        <v>121</v>
      </c>
      <c r="H3" t="s">
        <v>122</v>
      </c>
      <c r="I3" t="s">
        <v>116</v>
      </c>
    </row>
    <row r="4" spans="1:9" x14ac:dyDescent="0.3">
      <c r="A4" s="4" t="s">
        <v>100</v>
      </c>
      <c r="B4" s="6">
        <v>0.90241694667057215</v>
      </c>
      <c r="C4" s="6">
        <v>-0.156779683615695</v>
      </c>
      <c r="D4" s="6">
        <v>0.90830229393002904</v>
      </c>
      <c r="E4" s="6">
        <v>0.91454012106688098</v>
      </c>
      <c r="F4" s="6">
        <v>0.94254600898978991</v>
      </c>
      <c r="G4" s="6">
        <v>0.91556934269351087</v>
      </c>
      <c r="H4" s="6">
        <v>0.8605537029699345</v>
      </c>
      <c r="I4" s="6">
        <v>3</v>
      </c>
    </row>
    <row r="5" spans="1:9" x14ac:dyDescent="0.3">
      <c r="A5" s="5" t="s">
        <v>99</v>
      </c>
      <c r="B5" s="6">
        <v>0.90241694667057215</v>
      </c>
      <c r="C5" s="6">
        <v>-0.156779683615695</v>
      </c>
      <c r="D5" s="6">
        <v>0.90830229393002904</v>
      </c>
      <c r="E5" s="6">
        <v>0.91454012106688098</v>
      </c>
      <c r="F5" s="6">
        <v>0.94254600898978991</v>
      </c>
      <c r="G5" s="6">
        <v>0.91556934269351087</v>
      </c>
      <c r="H5" s="6">
        <v>0.8605537029699345</v>
      </c>
      <c r="I5" s="6">
        <v>3</v>
      </c>
    </row>
    <row r="6" spans="1:9" x14ac:dyDescent="0.3">
      <c r="A6" s="4" t="s">
        <v>89</v>
      </c>
      <c r="B6" s="6">
        <v>0.82282938921006721</v>
      </c>
      <c r="C6" s="6">
        <v>-1.3687998659942509</v>
      </c>
      <c r="D6" s="6">
        <v>0.82678211814889557</v>
      </c>
      <c r="E6" s="6">
        <v>0.90693888560350688</v>
      </c>
      <c r="F6" s="6">
        <v>0.62493869508849231</v>
      </c>
      <c r="G6" s="6">
        <v>0.9206063692910762</v>
      </c>
      <c r="H6" s="6">
        <v>0.85464452261250512</v>
      </c>
      <c r="I6" s="6">
        <v>3</v>
      </c>
    </row>
    <row r="7" spans="1:9" x14ac:dyDescent="0.3">
      <c r="A7" s="5" t="s">
        <v>87</v>
      </c>
      <c r="B7" s="6">
        <v>0.82282938921006721</v>
      </c>
      <c r="C7" s="6">
        <v>-1.3687998659942509</v>
      </c>
      <c r="D7" s="6">
        <v>0.82678211814889557</v>
      </c>
      <c r="E7" s="6">
        <v>0.90693888560350688</v>
      </c>
      <c r="F7" s="6">
        <v>0.62493869508849231</v>
      </c>
      <c r="G7" s="6">
        <v>0.9206063692910762</v>
      </c>
      <c r="H7" s="6">
        <v>0.85464452261250512</v>
      </c>
      <c r="I7" s="6">
        <v>3</v>
      </c>
    </row>
    <row r="8" spans="1:9" x14ac:dyDescent="0.3">
      <c r="A8" s="4" t="s">
        <v>106</v>
      </c>
      <c r="B8" s="6">
        <v>0.71415814342101169</v>
      </c>
      <c r="C8" s="6">
        <v>-5.1585405425586615E-2</v>
      </c>
      <c r="D8" s="6">
        <v>0.71130995985360634</v>
      </c>
      <c r="E8" s="6">
        <v>0.91928639235122767</v>
      </c>
      <c r="F8" s="6">
        <v>0.17401032110759826</v>
      </c>
      <c r="G8" s="6">
        <v>0.91745311388480333</v>
      </c>
      <c r="H8" s="6">
        <v>0.83449001207079354</v>
      </c>
      <c r="I8" s="6">
        <v>6</v>
      </c>
    </row>
    <row r="9" spans="1:9" x14ac:dyDescent="0.3">
      <c r="A9" s="5" t="s">
        <v>87</v>
      </c>
      <c r="B9" s="6">
        <v>0.69277013292935141</v>
      </c>
      <c r="C9" s="6">
        <v>-2.9909017637599195E-2</v>
      </c>
      <c r="D9" s="6">
        <v>0.68967992713824422</v>
      </c>
      <c r="E9" s="6">
        <v>0.92259008083901717</v>
      </c>
      <c r="F9" s="6">
        <v>0.11687196208004451</v>
      </c>
      <c r="G9" s="6">
        <v>0.90096711193343337</v>
      </c>
      <c r="H9" s="6">
        <v>0.81829055370047821</v>
      </c>
      <c r="I9" s="6">
        <v>3</v>
      </c>
    </row>
    <row r="10" spans="1:9" x14ac:dyDescent="0.3">
      <c r="A10" s="5" t="s">
        <v>99</v>
      </c>
      <c r="B10" s="6">
        <v>0.73554615391267186</v>
      </c>
      <c r="C10" s="6">
        <v>-7.3261793213574039E-2</v>
      </c>
      <c r="D10" s="6">
        <v>0.73293999256896836</v>
      </c>
      <c r="E10" s="6">
        <v>0.91598270386343827</v>
      </c>
      <c r="F10" s="6">
        <v>0.23114868013515197</v>
      </c>
      <c r="G10" s="6">
        <v>0.93393911583617284</v>
      </c>
      <c r="H10" s="6">
        <v>0.85068947044110887</v>
      </c>
      <c r="I10" s="6">
        <v>3</v>
      </c>
    </row>
    <row r="11" spans="1:9" x14ac:dyDescent="0.3">
      <c r="A11" s="4" t="s">
        <v>115</v>
      </c>
      <c r="B11" s="6">
        <v>0.78839065568066558</v>
      </c>
      <c r="C11" s="6">
        <v>-0.40718759011527972</v>
      </c>
      <c r="D11" s="6">
        <v>0.78942608294653427</v>
      </c>
      <c r="E11" s="6">
        <v>0.91501294784321086</v>
      </c>
      <c r="F11" s="6">
        <v>0.4788763365733697</v>
      </c>
      <c r="G11" s="6">
        <v>0.9177704849385484</v>
      </c>
      <c r="H11" s="6">
        <v>0.84604456243100667</v>
      </c>
      <c r="I11" s="6">
        <v>12</v>
      </c>
    </row>
  </sheetData>
  <conditionalFormatting pivot="1" sqref="B4:H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</vt:lpstr>
      <vt:lpstr>Analizer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2026-03-04T01:32:18Z</dcterms:created>
  <dcterms:modified xsi:type="dcterms:W3CDTF">2026-05-05T11:48:52Z</dcterms:modified>
</cp:coreProperties>
</file>