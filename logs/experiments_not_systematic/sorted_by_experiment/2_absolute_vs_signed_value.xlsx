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sorted_by_experiment/"/>
    </mc:Choice>
  </mc:AlternateContent>
  <xr:revisionPtr revIDLastSave="26" documentId="11_AD4D2F04E46CFB4ACB3E20D455D6CCDA693EDF1F" xr6:coauthVersionLast="47" xr6:coauthVersionMax="47" xr10:uidLastSave="{3724469E-F672-4E08-96C2-CFE47542C9ED}"/>
  <bookViews>
    <workbookView xWindow="28680" yWindow="-5580" windowWidth="51840" windowHeight="21120" xr2:uid="{00000000-000D-0000-FFFF-FFFF00000000}"/>
  </bookViews>
  <sheets>
    <sheet name="Main_Results" sheetId="1" r:id="rId1"/>
    <sheet name="Analizer" sheetId="2" r:id="rId2"/>
  </sheet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<sst xmlns="http://schemas.openxmlformats.org/spreadsheetml/2006/main" count="295" uniqueCount="132">
  <si>
    <t>date</t>
  </si>
  <si>
    <t>model_id</t>
  </si>
  <si>
    <t>run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</si>
  <si>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</si>
  <si>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</si>
  <si>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</si>
  <si>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</si>
  <si>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</si>
  <si>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</si>
  <si>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</si>
  <si>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</si>
  <si>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</si>
  <si>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</si>
  <si>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</si>
  <si>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</si>
  <si>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</si>
  <si>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</si>
  <si>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</si>
  <si>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</si>
  <si>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</si>
  <si>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</si>
  <si>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</si>
  <si>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</si>
  <si>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total params</t>
  </si>
  <si>
    <t>q params</t>
  </si>
  <si>
    <t>c params</t>
  </si>
  <si>
    <t>optimizer</t>
  </si>
  <si>
    <t>maxiter</t>
  </si>
  <si>
    <t>iterations</t>
  </si>
  <si>
    <t>final val loss</t>
  </si>
  <si>
    <t>tolerance</t>
  </si>
  <si>
    <t>batch_size</t>
  </si>
  <si>
    <t>learning_rate</t>
  </si>
  <si>
    <t>perturbation</t>
  </si>
  <si>
    <t>step MSE</t>
  </si>
  <si>
    <t>step R2</t>
  </si>
  <si>
    <t>local MSE</t>
  </si>
  <si>
    <t>local ADE</t>
  </si>
  <si>
    <t>global open MSE</t>
  </si>
  <si>
    <t>global open ADE</t>
  </si>
  <si>
    <t>global open FDE</t>
  </si>
  <si>
    <t>global open R2</t>
  </si>
  <si>
    <t>global closed MSE</t>
  </si>
  <si>
    <t>global closed ADE</t>
  </si>
  <si>
    <t>global closed FDE</t>
  </si>
  <si>
    <t>global closed R2</t>
  </si>
  <si>
    <t>recursivity</t>
  </si>
  <si>
    <t>Surge Velocity Step MSE</t>
  </si>
  <si>
    <t>Surge Velocity Step R2</t>
  </si>
  <si>
    <t>Surge Velocity Local MSE</t>
  </si>
  <si>
    <t>Surge Velocity Local ADE</t>
  </si>
  <si>
    <t>Surge Velocity Global open MSE</t>
  </si>
  <si>
    <t>Surge Velocity Global open R2</t>
  </si>
  <si>
    <t>Surge Velocity Global open ADE</t>
  </si>
  <si>
    <t>Surge Velocity Global open FDE</t>
  </si>
  <si>
    <t>Surge Velocity Global closed MSE</t>
  </si>
  <si>
    <t>Surge Velocity Global closed R2</t>
  </si>
  <si>
    <t>Surge Velocity Global closed ADE</t>
  </si>
  <si>
    <t>Surge Velocity Global closed FDE</t>
  </si>
  <si>
    <t>Sway Velocity Step MSE</t>
  </si>
  <si>
    <t>Sway Velocity Step R2</t>
  </si>
  <si>
    <t>Sway Velocity Local MSE</t>
  </si>
  <si>
    <t>Sway Velocity Local ADE</t>
  </si>
  <si>
    <t>Sway Velocity Global open MSE</t>
  </si>
  <si>
    <t>Sway Velocity Global open R2</t>
  </si>
  <si>
    <t>Sway Velocity Global open ADE</t>
  </si>
  <si>
    <t>Sway Velocity Global open FDE</t>
  </si>
  <si>
    <t>Sway Velocity Global closed MSE</t>
  </si>
  <si>
    <t>Sway Velocity Global closed R2</t>
  </si>
  <si>
    <t>Sway Velocity Global closed ADE</t>
  </si>
  <si>
    <t>Sway Velocity Global closed FDE</t>
  </si>
  <si>
    <t>Yaw Rate Step MSE</t>
  </si>
  <si>
    <t>Yaw Rate Step R2</t>
  </si>
  <si>
    <t>Yaw Rate Local MSE</t>
  </si>
  <si>
    <t>Yaw Rate Local ADE</t>
  </si>
  <si>
    <t>Yaw Rate Global open MSE</t>
  </si>
  <si>
    <t>Yaw Rate Global open R2</t>
  </si>
  <si>
    <t>Yaw Rate Global open ADE</t>
  </si>
  <si>
    <t>Yaw Rate Global open FDE</t>
  </si>
  <si>
    <t>Yaw Rate Global closed MSE</t>
  </si>
  <si>
    <t>Yaw Rate Global closed R2</t>
  </si>
  <si>
    <t>Yaw Rate Global closed ADE</t>
  </si>
  <si>
    <t>Yaw Rate Global closed FDE</t>
  </si>
  <si>
    <t>Yaw Angle Step MSE</t>
  </si>
  <si>
    <t>Yaw Angle Step R2</t>
  </si>
  <si>
    <t>Yaw Angle Local MSE</t>
  </si>
  <si>
    <t>Yaw Angle Local ADE</t>
  </si>
  <si>
    <t>Yaw Angle Global open MSE</t>
  </si>
  <si>
    <t>Yaw Angle Global open R2</t>
  </si>
  <si>
    <t>Yaw Angle Global open ADE</t>
  </si>
  <si>
    <t>Yaw Angle Global open FDE</t>
  </si>
  <si>
    <t>Yaw Angle Global closed MSE</t>
  </si>
  <si>
    <t>Yaw Angle Global closed R2</t>
  </si>
  <si>
    <t>Yaw Angle Global closed ADE</t>
  </si>
  <si>
    <t>Yaw Angle Global closed FDE</t>
  </si>
  <si>
    <t>02-04_20-04-09_multihead_spsa_f7_w5_h5_effsu2_effsu2_effsu2_realamplitudes_full_r3_3_3_2.pkl</t>
  </si>
  <si>
    <t>data/reduce_row_number_absolutes</t>
  </si>
  <si>
    <t>[['wv', 'asv', 'ararad'], ['sv', 'yr', 'rarad'], ['sv', 'yr', 'rarad'], ['ya', 'yr', 'rarad']]</t>
  </si>
  <si>
    <t>['Surge Velocity', 'Sway Velocity', 'Yaw Rate', 'Yaw Angle']</t>
  </si>
  <si>
    <t>motion</t>
  </si>
  <si>
    <t>true</t>
  </si>
  <si>
    <t>false</t>
  </si>
  <si>
    <t>multihead</t>
  </si>
  <si>
    <t>[{'features': ['wv', 'asv', 'ararad'],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</t>
  </si>
  <si>
    <t>multihead4</t>
  </si>
  <si>
    <t>compact</t>
  </si>
  <si>
    <t>['effsu2', 'effsu2', 'effsu2', 'realamplitudes']</t>
  </si>
  <si>
    <t>full</t>
  </si>
  <si>
    <t>[3, 3, 3, 2]</t>
  </si>
  <si>
    <t>[0, 1, 2]</t>
  </si>
  <si>
    <t>spsa</t>
  </si>
  <si>
    <t>[0.02, 0.001]</t>
  </si>
  <si>
    <t>02-05_08-20-54_multihead_spsa_f7_w5_h5_effsu2_effsu2_effsu2_realamplitudes_full_r3_3_3_2.pkl</t>
  </si>
  <si>
    <t>02-05_08-21-20_multihead_spsa_f7_w5_h5_effsu2_effsu2_effsu2_realamplitudes_full_r3_3_3_2.pkl</t>
  </si>
  <si>
    <t>[['wv', 'sv', 'rarad'], ['sv', 'yr', 'rarad'], ['sv', 'yr', 'rarad'], ['ya', 'yr', 'rarad']]</t>
  </si>
  <si>
    <t>[{'features': ['wv', 'sv',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</t>
  </si>
  <si>
    <t>02-05_04-11-41_multihead_spsa_f7_w5_h5_effsu2_effsu2_effsu2_realamplitudes_full_r3_3_3_2.pkl</t>
  </si>
  <si>
    <t>02-05_00-12-58_multihead_spsa_f7_w5_h5_effsu2_effsu2_effsu2_realamplitudes_full_r3_3_3_2.pkl</t>
  </si>
  <si>
    <t>02-05_00-02-35_multihead_spsa_f7_w5_h5_effsu2_effsu2_effsu2_realamplitudes_full_r3_3_3_2.pkl</t>
  </si>
  <si>
    <t>02-04_12-03-03_multihead_spsa_f7_w5_h5_effsu2_effsu2_effsu2_realamplitudes_full_r3_3_3_2.pkl</t>
  </si>
  <si>
    <t>02-04_12-03-00_multihead_spsa_f7_w5_h5_effsu2_effsu2_effsu2_realamplitudes_full_r3_3_3_2.pkl</t>
  </si>
  <si>
    <t>Etiquetas de fila</t>
  </si>
  <si>
    <t>Total general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</si>
  <si>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</si>
  <si>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</si>
  <si>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</si>
  <si>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</si>
  <si>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</si>
  <si>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</si>
  <si>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02-09_09-26-09_multihead_spsa_f5_w5_h5_effsu2_effsu2_effsu2_realamplitudes_full_r3_3_3_2.pkl</t>
  </si>
  <si>
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</si>
  <si>
    <t>02-09_14-16-34_multihead_spsa_f5_w5_h5_effsu2_effsu2_effsu2_realamplitudes_full_r3_3_3_2.pkl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</si>
</sst>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3" borderId="2" xfId="0" applyNumberFormat="1" applyFill="1" applyBorder="1"/>
    <xf numFmtId="0" fontId="0" fillId="3" borderId="3" xfId="0" applyFill="1" applyBorder="1"/>
    <xf numFmtId="0" fontId="0" fillId="3" borderId="4" xfId="0" applyFill="1" applyBorder="1"/>
    <xf numFmtId="164" fontId="0" fillId="4" borderId="2" xfId="0" applyNumberFormat="1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3" borderId="5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64.435021296296" createdVersion="8" refreshedVersion="8" minRefreshableVersion="3" recordCount="10" xr:uid="{1079F7EF-8C23-4DD8-AEBB-0BD3B2B4DACA}">
  <cacheSource type="worksheet">
    <worksheetSource ref="A1:CQ11" sheet="Main_Results"/>
  </cacheSource>
  <cacheFields count="95">
    <cacheField name="date" numFmtId="164">
      <sharedItems containsSemiMixedTypes="0" containsNonDate="0" containsDate="1" containsString="0" minDate="2026-02-04T12:03:00" maxDate="2026-02-09T14:16:34"/>
    </cacheField>
    <cacheField name="model_id" numFmtId="0">
      <sharedItems/>
    </cacheField>
    <cacheField name="run" numFmtId="0">
      <sharedItems containsSemiMixedTypes="0" containsString="0" containsNumber="1" containsInteger="1" minValue="0" maxValue="4" count="5">
        <n v="1"/>
        <n v="4"/>
        <n v="3"/>
        <n v="2"/>
        <n v="0"/>
      </sharedItems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2">
        <s v="[['wv', 'asv', 'ararad'], ['sv', 'yr', 'rarad'], ['sv', 'yr', 'rarad'], ['ya', 'yr', 'rarad']]"/>
        <s v="[['wv', 'sv', 'rarad'], ['sv', 'yr', 'rarad'], ['sv', 'yr', 'rarad'], ['ya', 'yr', 'rarad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/>
    </cacheField>
    <cacheField name="map" numFmtId="0">
      <sharedItems/>
    </cacheField>
    <cacheField name="reorder" numFmtId="0">
      <sharedItems/>
    </cacheField>
    <cacheField name="total params" numFmtId="0">
      <sharedItems containsSemiMixedTypes="0" containsString="0" containsNumber="1" containsInteger="1" minValue="220" maxValue="220"/>
    </cacheField>
    <cacheField name="q params" numFmtId="0">
      <sharedItems containsSemiMixedTypes="0" containsString="0" containsNumber="1" containsInteger="1" minValue="100" maxValue="100"/>
    </cacheField>
    <cacheField name="c params" numFmtId="0">
      <sharedItems containsSemiMixedTypes="0" containsString="0" containsNumber="1" containsInteger="1" minValue="120" maxValue="120"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final val loss" numFmtId="0">
      <sharedItems containsSemiMixedTypes="0" containsString="0" containsNumber="1" minValue="0.13088756119460401" maxValue="0.14313134981929709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128" maxValue="128"/>
    </cacheField>
    <cacheField name="learning_rate" numFmtId="0">
      <sharedItems/>
    </cacheField>
    <cacheField name="perturbation" numFmtId="0">
      <sharedItems containsSemiMixedTypes="0" containsString="0" containsNumber="1" minValue="0.1" maxValue="0.1"/>
    </cacheField>
    <cacheField name="step MSE" numFmtId="0">
      <sharedItems containsSemiMixedTypes="0" containsString="0" containsNumber="1" minValue="26.244086568016279" maxValue="33.470765490121011"/>
    </cacheField>
    <cacheField name="step R2" numFmtId="0">
      <sharedItems containsSemiMixedTypes="0" containsString="0" containsNumber="1" minValue="0.5538846963606926" maxValue="0.60262033180151764"/>
    </cacheField>
    <cacheField name="local MSE" numFmtId="0">
      <sharedItems containsSemiMixedTypes="0" containsString="0" containsNumber="1" minValue="26.244086568016279" maxValue="33.470765490121011"/>
    </cacheField>
    <cacheField name="local ADE" numFmtId="0">
      <sharedItems containsSemiMixedTypes="0" containsString="0" containsNumber="1" minValue="8.2111218643640438" maxValue="9.3587005983715841"/>
    </cacheField>
    <cacheField name="global open MSE" numFmtId="0">
      <sharedItems containsSemiMixedTypes="0" containsString="0" containsNumber="1" minValue="26.244086568016279" maxValue="33.470765490121011"/>
    </cacheField>
    <cacheField name="global open ADE" numFmtId="0">
      <sharedItems containsSemiMixedTypes="0" containsString="0" containsNumber="1" minValue="8.2111218643640438" maxValue="9.3587005983715841"/>
    </cacheField>
    <cacheField name="global open FDE" numFmtId="0">
      <sharedItems containsSemiMixedTypes="0" containsString="0" containsNumber="1" minValue="8.4679729527719445" maxValue="10.356992989970861"/>
    </cacheField>
    <cacheField name="global open R2" numFmtId="0">
      <sharedItems containsSemiMixedTypes="0" containsString="0" containsNumber="1" minValue="0.5538846963606926" maxValue="0.60262033180151764"/>
    </cacheField>
    <cacheField name="global closed MSE" numFmtId="0">
      <sharedItems containsSemiMixedTypes="0" containsString="0" containsNumber="1" minValue="88.568288048384943" maxValue="107.2108835436747"/>
    </cacheField>
    <cacheField name="global closed ADE" numFmtId="0">
      <sharedItems containsSemiMixedTypes="0" containsString="0" containsNumber="1" minValue="15.58965890720301" maxValue="17.391923461332141"/>
    </cacheField>
    <cacheField name="global closed FDE" numFmtId="0">
      <sharedItems containsSemiMixedTypes="0" containsString="0" containsNumber="1" minValue="15.67009624875001" maxValue="18.99393874200516"/>
    </cacheField>
    <cacheField name="global closed R2" numFmtId="0">
      <sharedItems containsSemiMixedTypes="0" containsString="0" containsNumber="1" minValue="-0.99026941918835709" maxValue="8.5072491741881723E-2"/>
    </cacheField>
    <cacheField name="recursivity" numFmtId="0">
      <sharedItems containsSemiMixedTypes="0" containsString="0" containsNumber="1" minValue="0.5714285714285714" maxValue="0.8"/>
    </cacheField>
    <cacheField name="Surge Velocity Step MSE" numFmtId="0">
      <sharedItems containsSemiMixedTypes="0" containsString="0" containsNumber="1" minValue="4.0046002634260718E-2" maxValue="6.2470704065846899E-2"/>
    </cacheField>
    <cacheField name="Surge Velocity Step R2" numFmtId="0">
      <sharedItems containsSemiMixedTypes="0" containsString="0" containsNumber="1" minValue="0.54638191645189604" maxValue="0.70921424305433911"/>
    </cacheField>
    <cacheField name="Surge Velocity Local MSE" numFmtId="0">
      <sharedItems containsSemiMixedTypes="0" containsString="0" containsNumber="1" minValue="4.0046002634260718E-2" maxValue="6.2470704065846899E-2"/>
    </cacheField>
    <cacheField name="Surge Velocity Local ADE" numFmtId="0">
      <sharedItems containsSemiMixedTypes="0" containsString="0" containsNumber="1" minValue="0.15897057566682099" maxValue="0.1962093270107918"/>
    </cacheField>
    <cacheField name="Surge Velocity Global open MSE" numFmtId="0">
      <sharedItems containsSemiMixedTypes="0" containsString="0" containsNumber="1" minValue="4.0046002634260718E-2" maxValue="6.2470704065846899E-2"/>
    </cacheField>
    <cacheField name="Surge Velocity Global open R2" numFmtId="0">
      <sharedItems containsSemiMixedTypes="0" containsString="0" containsNumber="1" minValue="0.54638191645189604" maxValue="0.70921424305433911"/>
    </cacheField>
    <cacheField name="Surge Velocity Global open ADE" numFmtId="0">
      <sharedItems containsSemiMixedTypes="0" containsString="0" containsNumber="1" minValue="0.15897057566682099" maxValue="0.1962093270107918"/>
    </cacheField>
    <cacheField name="Surge Velocity Global open FDE" numFmtId="0">
      <sharedItems containsSemiMixedTypes="0" containsString="0" containsNumber="1" minValue="0.13007799051082569" maxValue="0.20342911472324671"/>
    </cacheField>
    <cacheField name="Surge Velocity Global closed MSE" numFmtId="0">
      <sharedItems containsSemiMixedTypes="0" containsString="0" containsNumber="1" minValue="6.7680823105801216E-2" maxValue="0.71835150558244543"/>
    </cacheField>
    <cacheField name="Surge Velocity Global closed R2" numFmtId="0">
      <sharedItems containsSemiMixedTypes="0" containsString="0" containsNumber="1" minValue="-4.2161607292393564" maxValue="0.50854971575394281"/>
    </cacheField>
    <cacheField name="Surge Velocity Global closed ADE" numFmtId="0">
      <sharedItems containsSemiMixedTypes="0" containsString="0" containsNumber="1" minValue="0.20980870648387051" maxValue="0.73720596025012497"/>
    </cacheField>
    <cacheField name="Surge Velocity Global closed FDE" numFmtId="0">
      <sharedItems containsSemiMixedTypes="0" containsString="0" containsNumber="1" minValue="0.15281051888347821" maxValue="0.78824933936838681"/>
    </cacheField>
    <cacheField name="Sway Velocity Step MSE" numFmtId="0">
      <sharedItems containsSemiMixedTypes="0" containsString="0" containsNumber="1" minValue="7.7732870853090621E-2" maxValue="0.1103000524320638"/>
    </cacheField>
    <cacheField name="Sway Velocity Step R2" numFmtId="0">
      <sharedItems containsSemiMixedTypes="0" containsString="0" containsNumber="1" minValue="0.61783387642989185" maxValue="0.7306722048369052"/>
    </cacheField>
    <cacheField name="Sway Velocity Local MSE" numFmtId="0">
      <sharedItems containsSemiMixedTypes="0" containsString="0" containsNumber="1" minValue="7.7732870853090621E-2" maxValue="0.1103000524320638"/>
    </cacheField>
    <cacheField name="Sway Velocity Local ADE" numFmtId="0">
      <sharedItems containsSemiMixedTypes="0" containsString="0" containsNumber="1" minValue="0.22930014938253879" maxValue="0.27764445066351678"/>
    </cacheField>
    <cacheField name="Sway Velocity Global open MSE" numFmtId="0">
      <sharedItems containsSemiMixedTypes="0" containsString="0" containsNumber="1" minValue="7.7732870853090621E-2" maxValue="0.1103000524320638"/>
    </cacheField>
    <cacheField name="Sway Velocity Global open R2" numFmtId="0">
      <sharedItems containsSemiMixedTypes="0" containsString="0" containsNumber="1" minValue="0.61783387642989185" maxValue="0.7306722048369052"/>
    </cacheField>
    <cacheField name="Sway Velocity Global open ADE" numFmtId="0">
      <sharedItems containsSemiMixedTypes="0" containsString="0" containsNumber="1" minValue="0.22930014938253879" maxValue="0.27764445066351678"/>
    </cacheField>
    <cacheField name="Sway Velocity Global open FDE" numFmtId="0">
      <sharedItems containsSemiMixedTypes="0" containsString="0" containsNumber="1" minValue="0.26113642817442351" maxValue="0.34103145942638152"/>
    </cacheField>
    <cacheField name="Sway Velocity Global closed MSE" numFmtId="0">
      <sharedItems containsSemiMixedTypes="0" containsString="0" containsNumber="1" minValue="0.27153143607548058" maxValue="0.30959572917387967"/>
    </cacheField>
    <cacheField name="Sway Velocity Global closed R2" numFmtId="0">
      <sharedItems containsSemiMixedTypes="0" containsString="0" containsNumber="1" minValue="-7.2683077509112515E-2" maxValue="5.9201568228579471E-2"/>
    </cacheField>
    <cacheField name="Sway Velocity Global closed ADE" numFmtId="0">
      <sharedItems containsSemiMixedTypes="0" containsString="0" containsNumber="1" minValue="0.4333517254175081" maxValue="0.47701164883178732"/>
    </cacheField>
    <cacheField name="Sway Velocity Global closed FDE" numFmtId="0">
      <sharedItems containsSemiMixedTypes="0" containsString="0" containsNumber="1" minValue="0.38371312205054459" maxValue="0.46647623102765212"/>
    </cacheField>
    <cacheField name="Yaw Rate Step MSE" numFmtId="0">
      <sharedItems containsSemiMixedTypes="0" containsString="0" containsNumber="1" minValue="0.15217455958113571" maxValue="0.17418739687729751"/>
    </cacheField>
    <cacheField name="Yaw Rate Step R2" numFmtId="0">
      <sharedItems containsSemiMixedTypes="0" containsString="0" containsNumber="1" minValue="0.30069269734308202" maxValue="0.38906727638480398"/>
    </cacheField>
    <cacheField name="Yaw Rate Local MSE" numFmtId="0">
      <sharedItems containsSemiMixedTypes="0" containsString="0" containsNumber="1" minValue="0.15217455958113571" maxValue="0.17418739687729751"/>
    </cacheField>
    <cacheField name="Yaw Rate Local ADE" numFmtId="0">
      <sharedItems containsSemiMixedTypes="0" containsString="0" containsNumber="1" minValue="0.34339259710410042" maxValue="0.37129811640484722"/>
    </cacheField>
    <cacheField name="Yaw Rate Global open MSE" numFmtId="0">
      <sharedItems containsSemiMixedTypes="0" containsString="0" containsNumber="1" minValue="0.15217455958113571" maxValue="0.17418739687729751"/>
    </cacheField>
    <cacheField name="Yaw Rate Global open R2" numFmtId="0">
      <sharedItems containsSemiMixedTypes="0" containsString="0" containsNumber="1" minValue="0.30069269734308202" maxValue="0.38906727638480398"/>
    </cacheField>
    <cacheField name="Yaw Rate Global open ADE" numFmtId="0">
      <sharedItems containsSemiMixedTypes="0" containsString="0" containsNumber="1" minValue="0.34339259710410042" maxValue="0.37129811640484722"/>
    </cacheField>
    <cacheField name="Yaw Rate Global open FDE" numFmtId="0">
      <sharedItems containsSemiMixedTypes="0" containsString="0" containsNumber="1" minValue="0.40136253790825599" maxValue="0.42425998632652201"/>
    </cacheField>
    <cacheField name="Yaw Rate Global closed MSE" numFmtId="0">
      <sharedItems containsSemiMixedTypes="0" containsString="0" containsNumber="1" minValue="0.19445260710370441" maxValue="0.28280492146026098"/>
    </cacheField>
    <cacheField name="Yaw Rate Global closed R2" numFmtId="0">
      <sharedItems containsSemiMixedTypes="0" containsString="0" containsNumber="1" minValue="-0.1353723079275915" maxValue="0.21933428820865511"/>
    </cacheField>
    <cacheField name="Yaw Rate Global closed ADE" numFmtId="0">
      <sharedItems containsSemiMixedTypes="0" containsString="0" containsNumber="1" minValue="0.37096771887443042" maxValue="0.46890073532172971"/>
    </cacheField>
    <cacheField name="Yaw Rate Global closed FDE" numFmtId="0">
      <sharedItems containsSemiMixedTypes="0" containsString="0" containsNumber="1" minValue="0.40478513484996531" maxValue="0.5242698264981005"/>
    </cacheField>
    <cacheField name="Yaw Angle Step MSE" numFmtId="0">
      <sharedItems containsSemiMixedTypes="0" containsString="0" containsNumber="1" minValue="104.6683946359708" maxValue="133.57695524271611"/>
    </cacheField>
    <cacheField name="Yaw Angle Step R2" numFmtId="0">
      <sharedItems containsSemiMixedTypes="0" containsString="0" containsNumber="1" minValue="0.61981643848200085" maxValue="0.70209529795937831"/>
    </cacheField>
    <cacheField name="Yaw Angle Local MSE" numFmtId="0">
      <sharedItems containsSemiMixedTypes="0" containsString="0" containsNumber="1" minValue="104.6683946359708" maxValue="133.57695524271611"/>
    </cacheField>
    <cacheField name="Yaw Angle Local ADE" numFmtId="0">
      <sharedItems containsSemiMixedTypes="0" containsString="0" containsNumber="1" minValue="8.1609859695471521" maxValue="9.3115860238949111"/>
    </cacheField>
    <cacheField name="Yaw Angle Global open MSE" numFmtId="0">
      <sharedItems containsSemiMixedTypes="0" containsString="0" containsNumber="1" minValue="104.6683946359708" maxValue="133.57695524271611"/>
    </cacheField>
    <cacheField name="Yaw Angle Global open R2" numFmtId="0">
      <sharedItems containsSemiMixedTypes="0" containsString="0" containsNumber="1" minValue="0.61981643848200085" maxValue="0.70209529795937831"/>
    </cacheField>
    <cacheField name="Yaw Angle Global open ADE" numFmtId="0">
      <sharedItems containsSemiMixedTypes="0" containsString="0" containsNumber="1" minValue="8.1609859695471521" maxValue="9.3115860238949111"/>
    </cacheField>
    <cacheField name="Yaw Angle Global open FDE" numFmtId="0">
      <sharedItems containsSemiMixedTypes="0" containsString="0" containsNumber="1" minValue="8.4043274380517001" maxValue="10.320520618814671"/>
    </cacheField>
    <cacheField name="Yaw Angle Global closed MSE" numFmtId="0">
      <sharedItems containsSemiMixedTypes="0" containsString="0" containsNumber="1" minValue="353.43303095486817" maxValue="428.21323677702412"/>
    </cacheField>
    <cacheField name="Yaw Angle Global closed R2" numFmtId="0">
      <sharedItems containsSemiMixedTypes="0" containsString="0" containsNumber="1" minValue="-0.21877035714150031" maxValue="-5.9327091440808388E-3"/>
    </cacheField>
    <cacheField name="Yaw Angle Global closed ADE" numFmtId="0">
      <sharedItems containsSemiMixedTypes="0" containsString="0" containsNumber="1" minValue="15.54022636462938" maxValue="17.34785524087923"/>
    </cacheField>
    <cacheField name="Yaw Angle Global closed FDE" numFmtId="0">
      <sharedItems containsSemiMixedTypes="0" containsString="0" containsNumber="1" minValue="15.59277902149344" maxValue="18.9492166395341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2-04T20:04:09"/>
    <s v="02-04_20-04-09_multihead_spsa_f7_w5_h5_effsu2_effsu2_effsu2_realamplitudes_full_r3_3_3_2.pkl"/>
    <x v="0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479892231030299"/>
    <m/>
    <n v="128"/>
    <s v="[0.02, 0.001]"/>
    <n v="0.1"/>
    <n v="26.493166290714171"/>
    <n v="0.60262033180151764"/>
    <n v="26.493166290714171"/>
    <n v="8.2636124101802988"/>
    <n v="26.493166290714171"/>
    <n v="8.2636124101802988"/>
    <n v="10.356992989970861"/>
    <n v="0.60262033180151764"/>
    <n v="101.7434613949863"/>
    <n v="16.506217573197151"/>
    <n v="17.496110675878739"/>
    <n v="3.9154432127154658E-2"/>
    <n v="0.5714285714285714"/>
    <n v="4.0046002634260718E-2"/>
    <n v="0.70921424305433911"/>
    <n v="4.0046002634260718E-2"/>
    <n v="0.15897057566682099"/>
    <n v="4.0046002634260718E-2"/>
    <n v="0.70921424305433911"/>
    <n v="0.15897057566682099"/>
    <n v="0.13007799051082569"/>
    <n v="0.10933244058575151"/>
    <n v="0.20610511903515591"/>
    <n v="0.2692043424308837"/>
    <n v="0.26350798388724322"/>
    <n v="8.6199775992525637E-2"/>
    <n v="0.70133618690738797"/>
    <n v="8.6199775992525637E-2"/>
    <n v="0.24004307368040381"/>
    <n v="8.6199775992525637E-2"/>
    <n v="0.70133618690738797"/>
    <n v="0.24004307368040381"/>
    <n v="0.26113642817442351"/>
    <n v="0.27322659369156138"/>
    <n v="5.3328209144031691E-2"/>
    <n v="0.45128740968165038"/>
    <n v="0.38577891953462479"/>
    <n v="0.17418739687729751"/>
    <n v="0.30069269734308202"/>
    <n v="0.17418739687729751"/>
    <n v="0.36746765509595603"/>
    <n v="0.17418739687729751"/>
    <n v="0.30069269734308202"/>
    <n v="0.36746765509595603"/>
    <n v="0.41608478050799808"/>
    <n v="0.23569875879946889"/>
    <n v="5.3744035386509292E-2"/>
    <n v="0.426384988858586"/>
    <n v="0.44515271802684192"/>
    <n v="105.6722319873531"/>
    <n v="0.69923819990125979"/>
    <n v="105.6722319873531"/>
    <n v="8.2148350697130805"/>
    <n v="105.6722319873531"/>
    <n v="0.69923819990125979"/>
    <n v="8.2148350697130805"/>
    <n v="10.320520618814671"/>
    <n v="406.35558778687113"/>
    <n v="-0.15655963505708731"/>
    <n v="16.45306819574364"/>
    <n v="17.448934461876309"/>
  </r>
  <r>
    <d v="2026-02-05T08:20:54"/>
    <s v="02-05_08-20-54_multihead_spsa_f7_w5_h5_effsu2_effsu2_effsu2_realamplitudes_full_r3_3_3_2.pkl"/>
    <x v="1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455393771812629"/>
    <m/>
    <n v="128"/>
    <s v="[0.02, 0.001]"/>
    <n v="0.1"/>
    <n v="31.551976596988158"/>
    <n v="0.57317906635830906"/>
    <n v="31.551976596988158"/>
    <n v="8.9417017725796164"/>
    <n v="31.551976596988158"/>
    <n v="8.9417017725796164"/>
    <n v="9.0607587292406855"/>
    <n v="0.57317906635830906"/>
    <n v="88.568288048384943"/>
    <n v="15.58965890720301"/>
    <n v="16.00992772872527"/>
    <n v="8.5072491741881723E-2"/>
    <n v="0.5714285714285714"/>
    <n v="5.7635883633037448E-2"/>
    <n v="0.58148896401644001"/>
    <n v="5.7635883633037448E-2"/>
    <n v="0.18985753903544769"/>
    <n v="5.7635883633037448E-2"/>
    <n v="0.58148896401644001"/>
    <n v="0.18985753903544769"/>
    <n v="0.15054343397904479"/>
    <n v="0.11268435689507821"/>
    <n v="0.18176587274064041"/>
    <n v="0.27450120337284611"/>
    <n v="0.1978140077805948"/>
    <n v="8.9372109614987635E-2"/>
    <n v="0.69034472845895123"/>
    <n v="8.9372109614987635E-2"/>
    <n v="0.25338627436899003"/>
    <n v="8.9372109614987635E-2"/>
    <n v="0.69034472845895123"/>
    <n v="0.25338627436899003"/>
    <n v="0.28811596188613448"/>
    <n v="0.28097423482811951"/>
    <n v="2.6484287362631091E-2"/>
    <n v="0.45361305951287212"/>
    <n v="0.42041922905784368"/>
    <n v="0.15462388116870859"/>
    <n v="0.37923402493578268"/>
    <n v="0.15462388116870859"/>
    <n v="0.34772951334020508"/>
    <n v="0.15462388116870859"/>
    <n v="0.37923402493578268"/>
    <n v="0.34772951334020508"/>
    <n v="0.40453946430773741"/>
    <n v="0.21455424550858759"/>
    <n v="0.13863256819956721"/>
    <n v="0.40229772807142278"/>
    <n v="0.4063813066909468"/>
    <n v="125.906274513536"/>
    <n v="0.64164854802206439"/>
    <n v="125.906274513536"/>
    <n v="8.8915783849123589"/>
    <n v="125.906274513536"/>
    <n v="0.64164854802206439"/>
    <n v="8.8915783849123589"/>
    <n v="9.0090256514730864"/>
    <n v="353.6649393563074"/>
    <n v="-6.5927613353056191E-3"/>
    <n v="15.54022636462938"/>
    <n v="15.965929210298089"/>
  </r>
  <r>
    <d v="2026-02-05T08:21:20"/>
    <s v="02-05_08-21-20_multihead_spsa_f7_w5_h5_effsu2_effsu2_effsu2_realamplitudes_full_r3_3_3_2.pkl"/>
    <x v="1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40677106239807"/>
    <m/>
    <n v="128"/>
    <s v="[0.02, 0.001]"/>
    <n v="0.1"/>
    <n v="31.938672382267921"/>
    <n v="0.56502965149674655"/>
    <n v="31.938672382267921"/>
    <n v="9.0028222524529262"/>
    <n v="31.938672382267921"/>
    <n v="9.0028222524529262"/>
    <n v="9.1254713899332991"/>
    <n v="0.56502965149674655"/>
    <n v="89.125500004473281"/>
    <n v="15.62306190661049"/>
    <n v="16.057425048868041"/>
    <n v="1.514699021450067E-2"/>
    <n v="0.5714285714285714"/>
    <n v="6.2470704065846899E-2"/>
    <n v="0.54638191645189604"/>
    <n v="6.2470704065846899E-2"/>
    <n v="0.1962093270107918"/>
    <n v="6.2470704065846899E-2"/>
    <n v="0.54638191645189604"/>
    <n v="0.1962093270107918"/>
    <n v="0.1609007543776319"/>
    <n v="0.1499838141135108"/>
    <n v="-8.9076413316768743E-2"/>
    <n v="0.32790960318607182"/>
    <n v="0.3283239531074264"/>
    <n v="8.9810529820702617E-2"/>
    <n v="0.68882569608481803"/>
    <n v="8.9810529820702617E-2"/>
    <n v="0.25455132484564158"/>
    <n v="8.9810529820702617E-2"/>
    <n v="0.68882569608481803"/>
    <n v="0.25455132484564158"/>
    <n v="0.29014443581993021"/>
    <n v="0.28252317956493428"/>
    <n v="2.1117524676299571E-2"/>
    <n v="0.45435570507285561"/>
    <n v="0.42262993127919368"/>
    <n v="0.15252613185552311"/>
    <n v="0.38765582490611888"/>
    <n v="0.15252613185552311"/>
    <n v="0.34547561964169832"/>
    <n v="0.15252613185552311"/>
    <n v="0.38765582490611888"/>
    <n v="0.34547561964169832"/>
    <n v="0.40136253790825599"/>
    <n v="0.21387122506527101"/>
    <n v="0.141374679238816"/>
    <n v="0.40078144533090998"/>
    <n v="0.40499995736472749"/>
    <n v="127.4498821633298"/>
    <n v="0.63725516854415476"/>
    <n v="127.4498821633298"/>
    <n v="8.9541443398717799"/>
    <n v="127.4498821633298"/>
    <n v="0.63725516854415476"/>
    <n v="8.9541443398717799"/>
    <n v="9.0733701668406113"/>
    <n v="355.85562179915058"/>
    <n v="-1.282782974034413E-2"/>
    <n v="15.571032682179821"/>
    <n v="16.004214899034078"/>
  </r>
  <r>
    <d v="2026-02-05T04:11:41"/>
    <s v="02-05_04-11-41_multihead_spsa_f7_w5_h5_effsu2_effsu2_effsu2_realamplitudes_full_r3_3_3_2.pkl"/>
    <x v="2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601021733105201"/>
    <m/>
    <n v="128"/>
    <s v="[0.02, 0.001]"/>
    <n v="0.1"/>
    <n v="30.086191457862661"/>
    <n v="0.56400576346178533"/>
    <n v="30.086191457862661"/>
    <n v="8.4382407795488756"/>
    <n v="30.086191457862661"/>
    <n v="8.4382407795488756"/>
    <n v="8.4840087994683486"/>
    <n v="0.56400576346178533"/>
    <n v="107.2108835436747"/>
    <n v="17.391923461332141"/>
    <n v="18.99393874200516"/>
    <n v="4.9804958316512327E-2"/>
    <n v="0.5714285714285714"/>
    <n v="5.7268294757047609E-2"/>
    <n v="0.58415813453330112"/>
    <n v="5.7268294757047609E-2"/>
    <n v="0.1871062318060393"/>
    <n v="5.7268294757047609E-2"/>
    <n v="0.58415813453330112"/>
    <n v="0.1871062318060393"/>
    <n v="0.1688066338276035"/>
    <n v="6.7680823105801216E-2"/>
    <n v="0.50854971575394281"/>
    <n v="0.20980870648387051"/>
    <n v="0.15281051888347821"/>
    <n v="8.9942419356758688E-2"/>
    <n v="0.688368727011616"/>
    <n v="8.9942419356758688E-2"/>
    <n v="0.25912171070933532"/>
    <n v="8.9942419356758688E-2"/>
    <n v="0.688368727011616"/>
    <n v="0.25912171070933532"/>
    <n v="0.31868945167016421"/>
    <n v="0.30581723339641198"/>
    <n v="-5.959139665891322E-2"/>
    <n v="0.47175405614680432"/>
    <n v="0.46492403379048192"/>
    <n v="0.1681026147707029"/>
    <n v="0.32512117287288872"/>
    <n v="0.1681026147707029"/>
    <n v="0.35435160396643001"/>
    <n v="0.1681026147707029"/>
    <n v="0.32512117287288872"/>
    <n v="0.35435160396643001"/>
    <n v="0.40144644330102852"/>
    <n v="0.25679934117266617"/>
    <n v="-3.0968128687479671E-2"/>
    <n v="0.44592683087627383"/>
    <n v="0.44133498646849828"/>
    <n v="120.0294525025661"/>
    <n v="0.65837501942933774"/>
    <n v="120.0294525025661"/>
    <n v="8.3805445867452075"/>
    <n v="120.0294525025661"/>
    <n v="0.65837501942933774"/>
    <n v="8.3805445867452075"/>
    <n v="8.4201927366824929"/>
    <n v="428.21323677702412"/>
    <n v="-0.21877035714150031"/>
    <n v="17.34785524087923"/>
    <n v="18.949216639534189"/>
  </r>
  <r>
    <d v="2026-02-05T00:12:58"/>
    <s v="02-05_00-12-58_multihead_spsa_f7_w5_h5_effsu2_effsu2_effsu2_realamplitudes_full_r3_3_3_2.pkl"/>
    <x v="3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445614728713609"/>
    <m/>
    <n v="128"/>
    <s v="[0.02, 0.001]"/>
    <n v="0.1"/>
    <n v="33.152786557549248"/>
    <n v="0.56365043824400662"/>
    <n v="33.152786557549248"/>
    <n v="9.3362041829918034"/>
    <n v="33.152786557549248"/>
    <n v="9.3362041829918034"/>
    <n v="8.7108126063794522"/>
    <n v="0.56365043824400662"/>
    <n v="106.27420895782591"/>
    <n v="17.017676164653281"/>
    <n v="18.30814752656471"/>
    <n v="-7.3771216897262598E-2"/>
    <n v="0.5714285714285714"/>
    <n v="5.8734477210984411E-2"/>
    <n v="0.57351175420460121"/>
    <n v="5.8734477210984411E-2"/>
    <n v="0.1831052480059279"/>
    <n v="5.8734477210984411E-2"/>
    <n v="0.57351175420460121"/>
    <n v="0.1831052480059279"/>
    <n v="0.20342911472324671"/>
    <n v="0.1242270679702958"/>
    <n v="9.7950866087750388E-2"/>
    <n v="0.29743825497302551"/>
    <n v="0.29605788930882798"/>
    <n v="7.7732870853090621E-2"/>
    <n v="0.7306722048369052"/>
    <n v="7.7732870853090621E-2"/>
    <n v="0.22930014938253879"/>
    <n v="7.7732870853090621E-2"/>
    <n v="0.7306722048369052"/>
    <n v="0.22930014938253879"/>
    <n v="0.29229561594047437"/>
    <n v="0.30298656435868038"/>
    <n v="-4.9783733023158312E-2"/>
    <n v="0.47199929216589348"/>
    <n v="0.42550297261391129"/>
    <n v="0.16763787509376091"/>
    <n v="0.3269869556777657"/>
    <n v="0.16763787509376091"/>
    <n v="0.36939765341779068"/>
    <n v="0.16763787509376091"/>
    <n v="0.3269869556777657"/>
    <n v="0.36939765341779068"/>
    <n v="0.421598195294622"/>
    <n v="0.28280492146026098"/>
    <n v="-0.1353723079275915"/>
    <n v="0.46890073532172971"/>
    <n v="0.5242698264981005"/>
    <n v="132.30704100703929"/>
    <n v="0.62343083825675794"/>
    <n v="132.30704100703929"/>
    <n v="9.2904748487691631"/>
    <n v="132.30704100703929"/>
    <n v="0.62343083825675794"/>
    <n v="9.2904748487691631"/>
    <n v="8.6500074653235828"/>
    <n v="424.38681727751691"/>
    <n v="-0.20787969272606091"/>
    <n v="16.963230901762181"/>
    <n v="18.256774466130349"/>
  </r>
  <r>
    <d v="2026-02-05T00:02:35"/>
    <s v="02-05_00-02-35_multihead_spsa_f7_w5_h5_effsu2_effsu2_effsu2_realamplitudes_full_r3_3_3_2.pkl"/>
    <x v="3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088756119460401"/>
    <m/>
    <n v="128"/>
    <s v="[0.02, 0.001]"/>
    <n v="0.1"/>
    <n v="33.470765490121011"/>
    <n v="0.5620935993061793"/>
    <n v="33.470765490121011"/>
    <n v="9.3587005983715841"/>
    <n v="33.470765490121011"/>
    <n v="9.3587005983715841"/>
    <n v="8.7942960531130918"/>
    <n v="0.5620935993061793"/>
    <n v="105.707112764409"/>
    <n v="16.926277625616141"/>
    <n v="18.178401211676739"/>
    <n v="-3.6441616881614007E-2"/>
    <n v="0.5714285714285714"/>
    <n v="5.7366730933810013E-2"/>
    <n v="0.58344336061611113"/>
    <n v="5.7366730933810013E-2"/>
    <n v="0.18657043266652701"/>
    <n v="5.7366730933810013E-2"/>
    <n v="0.58344336061611113"/>
    <n v="0.18657043266652701"/>
    <n v="0.19970869931239829"/>
    <n v="0.1040948846385219"/>
    <n v="0.2441365471547112"/>
    <n v="0.25492150621550491"/>
    <n v="0.25890698719289579"/>
    <n v="7.9518429920636138E-2"/>
    <n v="0.72448562403115613"/>
    <n v="7.9518429920636138E-2"/>
    <n v="0.232655663911883"/>
    <n v="7.9518429920636138E-2"/>
    <n v="0.72448562403115613"/>
    <n v="0.232655663911883"/>
    <n v="0.29940470486492737"/>
    <n v="0.30959572917387967"/>
    <n v="-7.2683077509112515E-2"/>
    <n v="0.47701164883178732"/>
    <n v="0.43269401655789802"/>
    <n v="0.1692215569129118"/>
    <n v="0.32062897409545099"/>
    <n v="0.1692215569129118"/>
    <n v="0.37129811640484722"/>
    <n v="0.1692215569129118"/>
    <n v="0.32062897409545099"/>
    <n v="0.37129811640484722"/>
    <n v="0.42425998632652201"/>
    <n v="0.27791580784746828"/>
    <n v="-0.1157440632081779"/>
    <n v="0.46482852696778848"/>
    <n v="0.51959692740143071"/>
    <n v="133.57695524271611"/>
    <n v="0.61981643848200085"/>
    <n v="133.57695524271611"/>
    <n v="9.3115860238949111"/>
    <n v="133.57695524271611"/>
    <n v="0.61981643848200085"/>
    <n v="9.3115860238949111"/>
    <n v="8.7356296141372045"/>
    <n v="422.136844635974"/>
    <n v="-0.20147587396386851"/>
    <n v="16.872187100162211"/>
    <n v="18.126416462396559"/>
  </r>
  <r>
    <d v="2026-02-04T12:03:03"/>
    <s v="02-04_12-03-03_multihead_spsa_f7_w5_h5_effsu2_effsu2_effsu2_realamplitudes_full_r3_3_3_2.pkl"/>
    <x v="4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4006576466395171"/>
    <m/>
    <n v="128"/>
    <s v="[0.02, 0.001]"/>
    <n v="0.1"/>
    <n v="33.17900447752114"/>
    <n v="0.55536808457686604"/>
    <n v="33.17900447752114"/>
    <n v="9.1724984200306086"/>
    <n v="33.17900447752114"/>
    <n v="9.1724984200306086"/>
    <n v="8.5313653191853813"/>
    <n v="0.55536808457686604"/>
    <n v="88.655605779933907"/>
    <n v="15.65830577866061"/>
    <n v="15.67009624875001"/>
    <n v="-0.99026941918835709"/>
    <n v="0.5714285714285714"/>
    <n v="5.7035864308358823E-2"/>
    <n v="0.5858458801137143"/>
    <n v="5.7035864308358823E-2"/>
    <n v="0.1857763674402525"/>
    <n v="5.7035864308358823E-2"/>
    <n v="0.5858458801137143"/>
    <n v="0.1857763674402525"/>
    <n v="0.1781848276020849"/>
    <n v="0.71835150558244543"/>
    <n v="-4.2161607292393564"/>
    <n v="0.73720596025012497"/>
    <n v="0.78824933936838681"/>
    <n v="0.108697163890834"/>
    <n v="0.62338754287709508"/>
    <n v="0.108697163890834"/>
    <n v="0.27575625404606863"/>
    <n v="0.108697163890834"/>
    <n v="0.62338754287709508"/>
    <n v="0.27575625404606863"/>
    <n v="0.33936302036258281"/>
    <n v="0.27658805218211258"/>
    <n v="4.1681473421335768E-2"/>
    <n v="0.4333517254175081"/>
    <n v="0.42654244637621941"/>
    <n v="0.15217455958113571"/>
    <n v="0.38906727638480398"/>
    <n v="0.15217455958113571"/>
    <n v="0.34339259710410042"/>
    <n v="0.15217455958113571"/>
    <n v="0.38906727638480398"/>
    <n v="0.34339259710410042"/>
    <n v="0.42080908791385507"/>
    <n v="0.19445260710370441"/>
    <n v="0.21933428820865511"/>
    <n v="0.37096771887443042"/>
    <n v="0.40538682538165149"/>
    <n v="132.39811032230469"/>
    <n v="0.62317163893184679"/>
    <n v="132.39811032230469"/>
    <n v="9.121949752520683"/>
    <n v="132.39811032230469"/>
    <n v="0.62317163893184679"/>
    <n v="9.121949752520683"/>
    <n v="8.4709307322722616"/>
    <n v="353.43303095486817"/>
    <n v="-5.9327091440808388E-3"/>
    <n v="15.573587020568331"/>
    <n v="15.59277902149344"/>
  </r>
  <r>
    <d v="2026-02-04T12:03:00"/>
    <s v="02-04_12-03-00_multihead_spsa_f7_w5_h5_effsu2_effsu2_effsu2_realamplitudes_full_r3_3_3_2.pkl"/>
    <x v="4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4313134981929709"/>
    <m/>
    <n v="128"/>
    <s v="[0.02, 0.001]"/>
    <n v="0.1"/>
    <n v="33.433877837118231"/>
    <n v="0.5538846963606926"/>
    <n v="33.433877837118231"/>
    <n v="9.1968345280261552"/>
    <n v="33.433877837118231"/>
    <n v="9.1968345280261552"/>
    <n v="8.50496606873795"/>
    <n v="0.5538846963606926"/>
    <n v="89.39173594606352"/>
    <n v="15.722445131035631"/>
    <n v="15.7931790403461"/>
    <n v="-0.97662816764721994"/>
    <n v="0.5714285714285714"/>
    <n v="5.6009493820832687E-2"/>
    <n v="0.59329865690763661"/>
    <n v="5.6009493820832687E-2"/>
    <n v="0.18800700034394169"/>
    <n v="5.6009493820832687E-2"/>
    <n v="0.59329865690763661"/>
    <n v="0.18800700034394169"/>
    <n v="0.1948666657511352"/>
    <n v="0.70744421716857553"/>
    <n v="-4.1369597126830042"/>
    <n v="0.73188980237650791"/>
    <n v="0.72465838477928313"/>
    <n v="0.1103000524320638"/>
    <n v="0.61783387642989185"/>
    <n v="0.1103000524320638"/>
    <n v="0.27764445066351678"/>
    <n v="0.1103000524320638"/>
    <n v="0.61783387642989185"/>
    <n v="0.27764445066351678"/>
    <n v="0.34103145942638152"/>
    <n v="0.27896558091179291"/>
    <n v="3.3443844170360497E-2"/>
    <n v="0.43577333653017303"/>
    <n v="0.42813220158726262"/>
    <n v="0.15340408246560119"/>
    <n v="0.38413113090410528"/>
    <n v="0.15340408246560119"/>
    <n v="0.34502200862693733"/>
    <n v="0.15340408246560119"/>
    <n v="0.38413113090410528"/>
    <n v="0.34502200862693733"/>
    <n v="0.42084106748718852"/>
    <n v="0.19644508038493361"/>
    <n v="0.21133513820761429"/>
    <n v="0.37341608646470381"/>
    <n v="0.40478513484996531"/>
    <n v="133.41579771975449"/>
    <n v="0.62027512120113926"/>
    <n v="133.41579771975449"/>
    <n v="9.1460324937362198"/>
    <n v="133.41579771975449"/>
    <n v="0.62027512120113926"/>
    <n v="9.1460324937362198"/>
    <n v="8.4439531955738403"/>
    <n v="356.3840889057891"/>
    <n v="-1.4331940283827119E-2"/>
    <n v="15.63706406606893"/>
    <n v="15.720790176418969"/>
  </r>
  <r>
    <d v="2026-02-09T09:26:09"/>
    <s v="02-09_09-26-09_multihead_spsa_f5_w5_h5_effsu2_effsu2_effsu2_realamplitudes_full_r3_3_3_2.pkl"/>
    <x v="0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671024516103861"/>
    <m/>
    <n v="128"/>
    <s v="[0.02, 0.001]"/>
    <n v="0.1"/>
    <n v="26.244086568016279"/>
    <n v="0.59016009129504998"/>
    <n v="26.244086568016279"/>
    <n v="8.2111218643640438"/>
    <n v="26.244086568016279"/>
    <n v="8.2111218643640438"/>
    <n v="10.27310031894875"/>
    <n v="0.59016009129504998"/>
    <n v="102.92328221357999"/>
    <n v="16.558905961575132"/>
    <n v="17.531892881303168"/>
    <n v="-4.0488664291370158E-3"/>
    <n v="0.8"/>
    <n v="4.7150419888541052E-2"/>
    <n v="0.65762698807133346"/>
    <n v="4.7150419888541052E-2"/>
    <n v="0.17390385770913591"/>
    <n v="4.7150419888541052E-2"/>
    <n v="0.65762698807133346"/>
    <n v="0.17390385770913591"/>
    <n v="0.17121037200303721"/>
    <n v="0.13310991716889151"/>
    <n v="3.3449895750253138E-2"/>
    <n v="0.30355841622573548"/>
    <n v="0.27541710644471717"/>
    <n v="8.7202595882455033E-2"/>
    <n v="0.69786163017307123"/>
    <n v="8.7202595882455033E-2"/>
    <n v="0.24190585376552851"/>
    <n v="8.7202595882455033E-2"/>
    <n v="0.69786163017307123"/>
    <n v="0.24190585376552851"/>
    <n v="0.26366073574789728"/>
    <n v="0.27153143607548058"/>
    <n v="5.9201568228579471E-2"/>
    <n v="0.44913441581723729"/>
    <n v="0.38371312205054459"/>
    <n v="0.17359862032325529"/>
    <n v="0.30305644897641593"/>
    <n v="0.17359862032325529"/>
    <n v="0.36695089911049888"/>
    <n v="0.17359862032325529"/>
    <n v="0.30305644897641593"/>
    <n v="0.36695089911049888"/>
    <n v="0.41470035148518469"/>
    <n v="0.23386973858734561"/>
    <n v="6.1086973015607171E-2"/>
    <n v="0.42451039190580442"/>
    <n v="0.44368023994669831"/>
    <n v="104.6683946359708"/>
    <n v="0.70209529795937831"/>
    <n v="104.6683946359708"/>
    <n v="8.1609859695471521"/>
    <n v="104.6683946359708"/>
    <n v="0.70209529795937831"/>
    <n v="8.1609859695471521"/>
    <n v="10.232450127317859"/>
    <n v="411.0546177624858"/>
    <n v="-0.16993390271098671"/>
    <n v="16.50699218492305"/>
    <n v="17.486620292355251"/>
  </r>
  <r>
    <d v="2026-02-09T14:16:34"/>
    <s v="02-09_14-16-34_multihead_spsa_f5_w5_h5_effsu2_effsu2_effsu2_realamplitudes_full_r3_3_3_2.pkl"/>
    <x v="2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"/>
    <s v="multihead4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792199489875909"/>
    <m/>
    <n v="128"/>
    <s v="[0.02, 0.001]"/>
    <n v="0.1"/>
    <n v="29.941904953320481"/>
    <n v="0.57365135623854457"/>
    <n v="29.941904953320481"/>
    <n v="8.4177059410940114"/>
    <n v="29.941904953320481"/>
    <n v="8.4177059410940114"/>
    <n v="8.4679729527719445"/>
    <n v="0.57365135623854457"/>
    <n v="106.0287659255718"/>
    <n v="17.202464663126701"/>
    <n v="18.832918641928622"/>
    <n v="-6.6706666520244207E-2"/>
    <n v="0.8"/>
    <n v="5.1377782208611077E-2"/>
    <n v="0.62693087182342966"/>
    <n v="5.1377782208611077E-2"/>
    <n v="0.17600769478428999"/>
    <n v="5.1377782208611077E-2"/>
    <n v="0.62693087182342966"/>
    <n v="0.17600769478428999"/>
    <n v="0.16425273357293199"/>
    <n v="0.13676811726575611"/>
    <n v="6.8866331459753738E-3"/>
    <n v="0.31355789590639488"/>
    <n v="0.34620541970666241"/>
    <n v="9.063859511591274E-2"/>
    <n v="0.68595662669676583"/>
    <n v="9.063859511591274E-2"/>
    <n v="0.2598201345445813"/>
    <n v="9.063859511591274E-2"/>
    <n v="0.68595662669676583"/>
    <n v="0.2598201345445813"/>
    <n v="0.32067209465989632"/>
    <n v="0.30102212504520298"/>
    <n v="-4.2977370370857797E-2"/>
    <n v="0.46772853691913457"/>
    <n v="0.46647623102765212"/>
    <n v="0.1689516374837029"/>
    <n v="0.32171261522769501"/>
    <n v="0.1689516374837029"/>
    <n v="0.35527623306537182"/>
    <n v="0.1689516374837029"/>
    <n v="0.32171261522769501"/>
    <n v="0.35527623306537182"/>
    <n v="0.40248556861060092"/>
    <n v="0.25546291875975241"/>
    <n v="-2.56028154125858E-2"/>
    <n v="0.44562725426672939"/>
    <n v="0.44228274678593082"/>
    <n v="119.4566517984745"/>
    <n v="0.66000531120628303"/>
    <n v="119.4566517984745"/>
    <n v="8.360984429965864"/>
    <n v="119.4566517984745"/>
    <n v="0.66000531120628303"/>
    <n v="8.360984429965864"/>
    <n v="8.4043274380517001"/>
    <n v="423.42181054121602"/>
    <n v="-0.20513311344351101"/>
    <n v="17.152030310582379"/>
    <n v="18.7771072726786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2A727-C763-407E-9DF6-EB96B78535DF}" name="TablaDinámica2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G4" firstHeaderRow="0" firstDataRow="1" firstDataCol="1"/>
  <pivotFields count="95">
    <pivotField numFmtId="164" showAll="0"/>
    <pivotField showAll="0"/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6"/>
    <field x="2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global open R2" fld="41" subtotal="average" baseField="0" baseItem="0"/>
    <dataField name="Promedio de global closed R2" fld="45" subtotal="average" baseField="0" baseItem="0"/>
    <dataField name="Promedio de Surge Velocity Global open R2" fld="52" subtotal="average" baseField="0" baseItem="0"/>
    <dataField name="Promedio de Sway Velocity Global open R2" fld="64" subtotal="average" baseField="0" baseItem="0"/>
    <dataField name="Promedio de Yaw Rate Global open R2" fld="76" subtotal="average" baseField="0" baseItem="0"/>
    <dataField name="Promedio de Yaw Angle Global open R2" fld="8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1"/>
  <sheetViews>
    <sheetView tabSelected="1" workbookViewId="0">
      <selection activeCell="H31" sqref="H31"/>
    </sheetView>
  </sheetViews>
  <sheetFormatPr baseColWidth="10" defaultColWidth="8.88671875" defaultRowHeight="14.4" x14ac:dyDescent="0.3"/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 s="2">
        <v>46057.836215277777</v>
      </c>
      <c r="B2" s="3" t="s">
        <v>95</v>
      </c>
      <c r="C2" s="3">
        <v>1</v>
      </c>
      <c r="D2" s="3" t="s">
        <v>96</v>
      </c>
      <c r="E2" s="11">
        <v>16590</v>
      </c>
      <c r="F2" s="6">
        <v>4.5</v>
      </c>
      <c r="G2" s="3" t="s">
        <v>97</v>
      </c>
      <c r="H2" s="3" t="s">
        <v>98</v>
      </c>
      <c r="I2" s="3">
        <v>5</v>
      </c>
      <c r="J2" s="3">
        <v>5</v>
      </c>
      <c r="K2" s="3" t="s">
        <v>99</v>
      </c>
      <c r="L2" s="3" t="s">
        <v>100</v>
      </c>
      <c r="M2" s="3" t="s">
        <v>101</v>
      </c>
      <c r="N2" s="3" t="s">
        <v>101</v>
      </c>
      <c r="O2" s="3" t="s">
        <v>102</v>
      </c>
      <c r="P2" s="3" t="s">
        <v>103</v>
      </c>
      <c r="Q2" s="3" t="s">
        <v>104</v>
      </c>
      <c r="R2" s="3" t="s">
        <v>105</v>
      </c>
      <c r="S2" s="3" t="s">
        <v>106</v>
      </c>
      <c r="T2" s="3" t="s">
        <v>107</v>
      </c>
      <c r="U2" s="3" t="s">
        <v>108</v>
      </c>
      <c r="V2" s="3" t="s">
        <v>109</v>
      </c>
      <c r="W2" s="3" t="s">
        <v>101</v>
      </c>
      <c r="X2" s="3">
        <v>220</v>
      </c>
      <c r="Y2" s="3">
        <v>100</v>
      </c>
      <c r="Z2" s="3">
        <v>120</v>
      </c>
      <c r="AA2" s="3" t="s">
        <v>110</v>
      </c>
      <c r="AB2" s="3">
        <v>4000</v>
      </c>
      <c r="AC2" s="3">
        <v>4000</v>
      </c>
      <c r="AD2" s="3">
        <v>0.13479892231030299</v>
      </c>
      <c r="AE2" s="3"/>
      <c r="AF2" s="3">
        <v>128</v>
      </c>
      <c r="AG2" s="3" t="s">
        <v>111</v>
      </c>
      <c r="AH2" s="3">
        <v>0.1</v>
      </c>
      <c r="AI2" s="3">
        <v>26.493166290714171</v>
      </c>
      <c r="AJ2" s="3">
        <v>0.60262033180151764</v>
      </c>
      <c r="AK2" s="3">
        <v>26.493166290714171</v>
      </c>
      <c r="AL2" s="3">
        <v>8.2636124101802988</v>
      </c>
      <c r="AM2" s="3">
        <v>26.493166290714171</v>
      </c>
      <c r="AN2" s="3">
        <v>8.2636124101802988</v>
      </c>
      <c r="AO2" s="3">
        <v>10.356992989970861</v>
      </c>
      <c r="AP2" s="3">
        <v>0.60262033180151764</v>
      </c>
      <c r="AQ2" s="3">
        <v>101.7434613949863</v>
      </c>
      <c r="AR2" s="3">
        <v>16.506217573197151</v>
      </c>
      <c r="AS2" s="3">
        <v>17.496110675878739</v>
      </c>
      <c r="AT2" s="3">
        <v>3.9154432127154658E-2</v>
      </c>
      <c r="AU2" s="3">
        <v>0.5714285714285714</v>
      </c>
      <c r="AV2" s="3">
        <v>4.0046002634260718E-2</v>
      </c>
      <c r="AW2" s="3">
        <v>0.70921424305433911</v>
      </c>
      <c r="AX2" s="3">
        <v>4.0046002634260718E-2</v>
      </c>
      <c r="AY2" s="3">
        <v>0.15897057566682099</v>
      </c>
      <c r="AZ2" s="3">
        <v>4.0046002634260718E-2</v>
      </c>
      <c r="BA2" s="3">
        <v>0.70921424305433911</v>
      </c>
      <c r="BB2" s="3">
        <v>0.15897057566682099</v>
      </c>
      <c r="BC2" s="3">
        <v>0.13007799051082569</v>
      </c>
      <c r="BD2" s="3">
        <v>0.10933244058575151</v>
      </c>
      <c r="BE2" s="3">
        <v>0.20610511903515591</v>
      </c>
      <c r="BF2" s="3">
        <v>0.2692043424308837</v>
      </c>
      <c r="BG2" s="3">
        <v>0.26350798388724322</v>
      </c>
      <c r="BH2" s="3">
        <v>8.6199775992525637E-2</v>
      </c>
      <c r="BI2" s="3">
        <v>0.70133618690738797</v>
      </c>
      <c r="BJ2" s="3">
        <v>8.6199775992525637E-2</v>
      </c>
      <c r="BK2" s="3">
        <v>0.24004307368040381</v>
      </c>
      <c r="BL2" s="3">
        <v>8.6199775992525637E-2</v>
      </c>
      <c r="BM2" s="3">
        <v>0.70133618690738797</v>
      </c>
      <c r="BN2" s="3">
        <v>0.24004307368040381</v>
      </c>
      <c r="BO2" s="3">
        <v>0.26113642817442351</v>
      </c>
      <c r="BP2" s="3">
        <v>0.27322659369156138</v>
      </c>
      <c r="BQ2" s="3">
        <v>5.3328209144031691E-2</v>
      </c>
      <c r="BR2" s="3">
        <v>0.45128740968165038</v>
      </c>
      <c r="BS2" s="3">
        <v>0.38577891953462479</v>
      </c>
      <c r="BT2" s="3">
        <v>0.17418739687729751</v>
      </c>
      <c r="BU2" s="3">
        <v>0.30069269734308202</v>
      </c>
      <c r="BV2" s="3">
        <v>0.17418739687729751</v>
      </c>
      <c r="BW2" s="3">
        <v>0.36746765509595603</v>
      </c>
      <c r="BX2" s="3">
        <v>0.17418739687729751</v>
      </c>
      <c r="BY2" s="3">
        <v>0.30069269734308202</v>
      </c>
      <c r="BZ2" s="3">
        <v>0.36746765509595603</v>
      </c>
      <c r="CA2" s="3">
        <v>0.41608478050799808</v>
      </c>
      <c r="CB2" s="3">
        <v>0.23569875879946889</v>
      </c>
      <c r="CC2" s="3">
        <v>5.3744035386509292E-2</v>
      </c>
      <c r="CD2" s="3">
        <v>0.426384988858586</v>
      </c>
      <c r="CE2" s="3">
        <v>0.44515271802684192</v>
      </c>
      <c r="CF2" s="3">
        <v>105.6722319873531</v>
      </c>
      <c r="CG2" s="3">
        <v>0.69923819990125979</v>
      </c>
      <c r="CH2" s="3">
        <v>105.6722319873531</v>
      </c>
      <c r="CI2" s="3">
        <v>8.2148350697130805</v>
      </c>
      <c r="CJ2" s="3">
        <v>105.6722319873531</v>
      </c>
      <c r="CK2" s="3">
        <v>0.69923819990125979</v>
      </c>
      <c r="CL2" s="3">
        <v>8.2148350697130805</v>
      </c>
      <c r="CM2" s="3">
        <v>10.320520618814671</v>
      </c>
      <c r="CN2" s="3">
        <v>406.35558778687113</v>
      </c>
      <c r="CO2" s="3">
        <v>-0.15655963505708731</v>
      </c>
      <c r="CP2" s="3">
        <v>16.45306819574364</v>
      </c>
      <c r="CQ2" s="4">
        <v>17.448934461876309</v>
      </c>
    </row>
    <row r="3" spans="1:95" x14ac:dyDescent="0.3">
      <c r="A3" s="5">
        <v>46058.34784722222</v>
      </c>
      <c r="B3" s="6" t="s">
        <v>112</v>
      </c>
      <c r="C3" s="6">
        <v>4</v>
      </c>
      <c r="D3" s="6" t="s">
        <v>96</v>
      </c>
      <c r="E3" s="11">
        <v>16590</v>
      </c>
      <c r="F3" s="11">
        <v>4.5</v>
      </c>
      <c r="G3" s="6" t="s">
        <v>97</v>
      </c>
      <c r="H3" s="6" t="s">
        <v>98</v>
      </c>
      <c r="I3" s="6">
        <v>5</v>
      </c>
      <c r="J3" s="6">
        <v>5</v>
      </c>
      <c r="K3" s="6" t="s">
        <v>99</v>
      </c>
      <c r="L3" s="6" t="s">
        <v>100</v>
      </c>
      <c r="M3" s="6" t="s">
        <v>101</v>
      </c>
      <c r="N3" s="6" t="s">
        <v>101</v>
      </c>
      <c r="O3" s="6" t="s">
        <v>102</v>
      </c>
      <c r="P3" s="6" t="s">
        <v>103</v>
      </c>
      <c r="Q3" s="6" t="s">
        <v>104</v>
      </c>
      <c r="R3" s="6" t="s">
        <v>105</v>
      </c>
      <c r="S3" s="6" t="s">
        <v>106</v>
      </c>
      <c r="T3" s="6" t="s">
        <v>107</v>
      </c>
      <c r="U3" s="6" t="s">
        <v>108</v>
      </c>
      <c r="V3" s="6" t="s">
        <v>109</v>
      </c>
      <c r="W3" s="6" t="s">
        <v>101</v>
      </c>
      <c r="X3" s="6">
        <v>220</v>
      </c>
      <c r="Y3" s="6">
        <v>100</v>
      </c>
      <c r="Z3" s="6">
        <v>120</v>
      </c>
      <c r="AA3" s="6" t="s">
        <v>110</v>
      </c>
      <c r="AB3" s="6">
        <v>4000</v>
      </c>
      <c r="AC3" s="6">
        <v>4000</v>
      </c>
      <c r="AD3" s="6">
        <v>0.13455393771812629</v>
      </c>
      <c r="AE3" s="6"/>
      <c r="AF3" s="6">
        <v>128</v>
      </c>
      <c r="AG3" s="6" t="s">
        <v>111</v>
      </c>
      <c r="AH3" s="6">
        <v>0.1</v>
      </c>
      <c r="AI3" s="6">
        <v>31.551976596988158</v>
      </c>
      <c r="AJ3" s="6">
        <v>0.57317906635830906</v>
      </c>
      <c r="AK3" s="6">
        <v>31.551976596988158</v>
      </c>
      <c r="AL3" s="6">
        <v>8.9417017725796164</v>
      </c>
      <c r="AM3" s="6">
        <v>31.551976596988158</v>
      </c>
      <c r="AN3" s="6">
        <v>8.9417017725796164</v>
      </c>
      <c r="AO3" s="6">
        <v>9.0607587292406855</v>
      </c>
      <c r="AP3" s="6">
        <v>0.57317906635830906</v>
      </c>
      <c r="AQ3" s="6">
        <v>88.568288048384943</v>
      </c>
      <c r="AR3" s="6">
        <v>15.58965890720301</v>
      </c>
      <c r="AS3" s="6">
        <v>16.00992772872527</v>
      </c>
      <c r="AT3" s="6">
        <v>8.5072491741881723E-2</v>
      </c>
      <c r="AU3" s="6">
        <v>0.5714285714285714</v>
      </c>
      <c r="AV3" s="6">
        <v>5.7635883633037448E-2</v>
      </c>
      <c r="AW3" s="6">
        <v>0.58148896401644001</v>
      </c>
      <c r="AX3" s="6">
        <v>5.7635883633037448E-2</v>
      </c>
      <c r="AY3" s="6">
        <v>0.18985753903544769</v>
      </c>
      <c r="AZ3" s="6">
        <v>5.7635883633037448E-2</v>
      </c>
      <c r="BA3" s="6">
        <v>0.58148896401644001</v>
      </c>
      <c r="BB3" s="6">
        <v>0.18985753903544769</v>
      </c>
      <c r="BC3" s="6">
        <v>0.15054343397904479</v>
      </c>
      <c r="BD3" s="6">
        <v>0.11268435689507821</v>
      </c>
      <c r="BE3" s="6">
        <v>0.18176587274064041</v>
      </c>
      <c r="BF3" s="6">
        <v>0.27450120337284611</v>
      </c>
      <c r="BG3" s="6">
        <v>0.1978140077805948</v>
      </c>
      <c r="BH3" s="6">
        <v>8.9372109614987635E-2</v>
      </c>
      <c r="BI3" s="6">
        <v>0.69034472845895123</v>
      </c>
      <c r="BJ3" s="6">
        <v>8.9372109614987635E-2</v>
      </c>
      <c r="BK3" s="6">
        <v>0.25338627436899003</v>
      </c>
      <c r="BL3" s="6">
        <v>8.9372109614987635E-2</v>
      </c>
      <c r="BM3" s="6">
        <v>0.69034472845895123</v>
      </c>
      <c r="BN3" s="6">
        <v>0.25338627436899003</v>
      </c>
      <c r="BO3" s="6">
        <v>0.28811596188613448</v>
      </c>
      <c r="BP3" s="6">
        <v>0.28097423482811951</v>
      </c>
      <c r="BQ3" s="6">
        <v>2.6484287362631091E-2</v>
      </c>
      <c r="BR3" s="6">
        <v>0.45361305951287212</v>
      </c>
      <c r="BS3" s="6">
        <v>0.42041922905784368</v>
      </c>
      <c r="BT3" s="6">
        <v>0.15462388116870859</v>
      </c>
      <c r="BU3" s="6">
        <v>0.37923402493578268</v>
      </c>
      <c r="BV3" s="6">
        <v>0.15462388116870859</v>
      </c>
      <c r="BW3" s="6">
        <v>0.34772951334020508</v>
      </c>
      <c r="BX3" s="6">
        <v>0.15462388116870859</v>
      </c>
      <c r="BY3" s="6">
        <v>0.37923402493578268</v>
      </c>
      <c r="BZ3" s="6">
        <v>0.34772951334020508</v>
      </c>
      <c r="CA3" s="6">
        <v>0.40453946430773741</v>
      </c>
      <c r="CB3" s="6">
        <v>0.21455424550858759</v>
      </c>
      <c r="CC3" s="6">
        <v>0.13863256819956721</v>
      </c>
      <c r="CD3" s="6">
        <v>0.40229772807142278</v>
      </c>
      <c r="CE3" s="6">
        <v>0.4063813066909468</v>
      </c>
      <c r="CF3" s="6">
        <v>125.906274513536</v>
      </c>
      <c r="CG3" s="6">
        <v>0.64164854802206439</v>
      </c>
      <c r="CH3" s="6">
        <v>125.906274513536</v>
      </c>
      <c r="CI3" s="6">
        <v>8.8915783849123589</v>
      </c>
      <c r="CJ3" s="6">
        <v>125.906274513536</v>
      </c>
      <c r="CK3" s="6">
        <v>0.64164854802206439</v>
      </c>
      <c r="CL3" s="6">
        <v>8.8915783849123589</v>
      </c>
      <c r="CM3" s="6">
        <v>9.0090256514730864</v>
      </c>
      <c r="CN3" s="6">
        <v>353.6649393563074</v>
      </c>
      <c r="CO3" s="6">
        <v>-6.5927613353056191E-3</v>
      </c>
      <c r="CP3" s="6">
        <v>15.54022636462938</v>
      </c>
      <c r="CQ3" s="7">
        <v>15.965929210298089</v>
      </c>
    </row>
    <row r="4" spans="1:95" x14ac:dyDescent="0.3">
      <c r="A4" s="2">
        <v>46058.34814814815</v>
      </c>
      <c r="B4" s="3" t="s">
        <v>113</v>
      </c>
      <c r="C4" s="3">
        <v>4</v>
      </c>
      <c r="D4" s="3" t="s">
        <v>96</v>
      </c>
      <c r="E4" s="6">
        <v>16590</v>
      </c>
      <c r="F4" s="6">
        <v>4.5</v>
      </c>
      <c r="G4" s="3" t="s">
        <v>114</v>
      </c>
      <c r="H4" s="3" t="s">
        <v>98</v>
      </c>
      <c r="I4" s="3">
        <v>5</v>
      </c>
      <c r="J4" s="3">
        <v>5</v>
      </c>
      <c r="K4" s="3" t="s">
        <v>99</v>
      </c>
      <c r="L4" s="3" t="s">
        <v>100</v>
      </c>
      <c r="M4" s="3" t="s">
        <v>101</v>
      </c>
      <c r="N4" s="3" t="s">
        <v>101</v>
      </c>
      <c r="O4" s="3" t="s">
        <v>102</v>
      </c>
      <c r="P4" s="3" t="s">
        <v>115</v>
      </c>
      <c r="Q4" s="3" t="s">
        <v>104</v>
      </c>
      <c r="R4" s="3" t="s">
        <v>105</v>
      </c>
      <c r="S4" s="3" t="s">
        <v>106</v>
      </c>
      <c r="T4" s="3" t="s">
        <v>107</v>
      </c>
      <c r="U4" s="3" t="s">
        <v>108</v>
      </c>
      <c r="V4" s="3" t="s">
        <v>109</v>
      </c>
      <c r="W4" s="3" t="s">
        <v>101</v>
      </c>
      <c r="X4" s="3">
        <v>220</v>
      </c>
      <c r="Y4" s="3">
        <v>100</v>
      </c>
      <c r="Z4" s="3">
        <v>120</v>
      </c>
      <c r="AA4" s="3" t="s">
        <v>110</v>
      </c>
      <c r="AB4" s="3">
        <v>4000</v>
      </c>
      <c r="AC4" s="3">
        <v>4000</v>
      </c>
      <c r="AD4" s="3">
        <v>0.140677106239807</v>
      </c>
      <c r="AE4" s="3"/>
      <c r="AF4" s="3">
        <v>128</v>
      </c>
      <c r="AG4" s="3" t="s">
        <v>111</v>
      </c>
      <c r="AH4" s="3">
        <v>0.1</v>
      </c>
      <c r="AI4" s="3">
        <v>31.938672382267921</v>
      </c>
      <c r="AJ4" s="3">
        <v>0.56502965149674655</v>
      </c>
      <c r="AK4" s="3">
        <v>31.938672382267921</v>
      </c>
      <c r="AL4" s="3">
        <v>9.0028222524529262</v>
      </c>
      <c r="AM4" s="3">
        <v>31.938672382267921</v>
      </c>
      <c r="AN4" s="3">
        <v>9.0028222524529262</v>
      </c>
      <c r="AO4" s="3">
        <v>9.1254713899332991</v>
      </c>
      <c r="AP4" s="3">
        <v>0.56502965149674655</v>
      </c>
      <c r="AQ4" s="3">
        <v>89.125500004473281</v>
      </c>
      <c r="AR4" s="3">
        <v>15.62306190661049</v>
      </c>
      <c r="AS4" s="3">
        <v>16.057425048868041</v>
      </c>
      <c r="AT4" s="3">
        <v>1.514699021450067E-2</v>
      </c>
      <c r="AU4" s="3">
        <v>0.5714285714285714</v>
      </c>
      <c r="AV4" s="3">
        <v>6.2470704065846899E-2</v>
      </c>
      <c r="AW4" s="3">
        <v>0.54638191645189604</v>
      </c>
      <c r="AX4" s="3">
        <v>6.2470704065846899E-2</v>
      </c>
      <c r="AY4" s="3">
        <v>0.1962093270107918</v>
      </c>
      <c r="AZ4" s="3">
        <v>6.2470704065846899E-2</v>
      </c>
      <c r="BA4" s="3">
        <v>0.54638191645189604</v>
      </c>
      <c r="BB4" s="3">
        <v>0.1962093270107918</v>
      </c>
      <c r="BC4" s="3">
        <v>0.1609007543776319</v>
      </c>
      <c r="BD4" s="3">
        <v>0.1499838141135108</v>
      </c>
      <c r="BE4" s="3">
        <v>-8.9076413316768743E-2</v>
      </c>
      <c r="BF4" s="3">
        <v>0.32790960318607182</v>
      </c>
      <c r="BG4" s="3">
        <v>0.3283239531074264</v>
      </c>
      <c r="BH4" s="3">
        <v>8.9810529820702617E-2</v>
      </c>
      <c r="BI4" s="3">
        <v>0.68882569608481803</v>
      </c>
      <c r="BJ4" s="3">
        <v>8.9810529820702617E-2</v>
      </c>
      <c r="BK4" s="3">
        <v>0.25455132484564158</v>
      </c>
      <c r="BL4" s="3">
        <v>8.9810529820702617E-2</v>
      </c>
      <c r="BM4" s="3">
        <v>0.68882569608481803</v>
      </c>
      <c r="BN4" s="3">
        <v>0.25455132484564158</v>
      </c>
      <c r="BO4" s="3">
        <v>0.29014443581993021</v>
      </c>
      <c r="BP4" s="3">
        <v>0.28252317956493428</v>
      </c>
      <c r="BQ4" s="3">
        <v>2.1117524676299571E-2</v>
      </c>
      <c r="BR4" s="3">
        <v>0.45435570507285561</v>
      </c>
      <c r="BS4" s="3">
        <v>0.42262993127919368</v>
      </c>
      <c r="BT4" s="3">
        <v>0.15252613185552311</v>
      </c>
      <c r="BU4" s="3">
        <v>0.38765582490611888</v>
      </c>
      <c r="BV4" s="3">
        <v>0.15252613185552311</v>
      </c>
      <c r="BW4" s="3">
        <v>0.34547561964169832</v>
      </c>
      <c r="BX4" s="3">
        <v>0.15252613185552311</v>
      </c>
      <c r="BY4" s="3">
        <v>0.38765582490611888</v>
      </c>
      <c r="BZ4" s="3">
        <v>0.34547561964169832</v>
      </c>
      <c r="CA4" s="3">
        <v>0.40136253790825599</v>
      </c>
      <c r="CB4" s="3">
        <v>0.21387122506527101</v>
      </c>
      <c r="CC4" s="3">
        <v>0.141374679238816</v>
      </c>
      <c r="CD4" s="3">
        <v>0.40078144533090998</v>
      </c>
      <c r="CE4" s="3">
        <v>0.40499995736472749</v>
      </c>
      <c r="CF4" s="3">
        <v>127.4498821633298</v>
      </c>
      <c r="CG4" s="3">
        <v>0.63725516854415476</v>
      </c>
      <c r="CH4" s="3">
        <v>127.4498821633298</v>
      </c>
      <c r="CI4" s="3">
        <v>8.9541443398717799</v>
      </c>
      <c r="CJ4" s="3">
        <v>127.4498821633298</v>
      </c>
      <c r="CK4" s="3">
        <v>0.63725516854415476</v>
      </c>
      <c r="CL4" s="3">
        <v>8.9541443398717799</v>
      </c>
      <c r="CM4" s="3">
        <v>9.0733701668406113</v>
      </c>
      <c r="CN4" s="3">
        <v>355.85562179915058</v>
      </c>
      <c r="CO4" s="3">
        <v>-1.282782974034413E-2</v>
      </c>
      <c r="CP4" s="3">
        <v>15.571032682179821</v>
      </c>
      <c r="CQ4" s="4">
        <v>16.004214899034078</v>
      </c>
    </row>
    <row r="5" spans="1:95" x14ac:dyDescent="0.3">
      <c r="A5" s="5">
        <v>46058.174780092602</v>
      </c>
      <c r="B5" s="6" t="s">
        <v>116</v>
      </c>
      <c r="C5" s="6">
        <v>3</v>
      </c>
      <c r="D5" s="6" t="s">
        <v>96</v>
      </c>
      <c r="E5" s="11">
        <v>16590</v>
      </c>
      <c r="F5" s="11">
        <v>4.5</v>
      </c>
      <c r="G5" s="6" t="s">
        <v>97</v>
      </c>
      <c r="H5" s="6" t="s">
        <v>98</v>
      </c>
      <c r="I5" s="6">
        <v>5</v>
      </c>
      <c r="J5" s="6">
        <v>5</v>
      </c>
      <c r="K5" s="6" t="s">
        <v>99</v>
      </c>
      <c r="L5" s="6" t="s">
        <v>100</v>
      </c>
      <c r="M5" s="6" t="s">
        <v>101</v>
      </c>
      <c r="N5" s="6" t="s">
        <v>101</v>
      </c>
      <c r="O5" s="6" t="s">
        <v>102</v>
      </c>
      <c r="P5" s="6" t="s">
        <v>103</v>
      </c>
      <c r="Q5" s="6" t="s">
        <v>104</v>
      </c>
      <c r="R5" s="6" t="s">
        <v>105</v>
      </c>
      <c r="S5" s="6" t="s">
        <v>106</v>
      </c>
      <c r="T5" s="6" t="s">
        <v>107</v>
      </c>
      <c r="U5" s="6" t="s">
        <v>108</v>
      </c>
      <c r="V5" s="6" t="s">
        <v>109</v>
      </c>
      <c r="W5" s="6" t="s">
        <v>101</v>
      </c>
      <c r="X5" s="6">
        <v>220</v>
      </c>
      <c r="Y5" s="6">
        <v>100</v>
      </c>
      <c r="Z5" s="6">
        <v>120</v>
      </c>
      <c r="AA5" s="6" t="s">
        <v>110</v>
      </c>
      <c r="AB5" s="6">
        <v>4000</v>
      </c>
      <c r="AC5" s="6">
        <v>4000</v>
      </c>
      <c r="AD5" s="6">
        <v>0.13601021733105201</v>
      </c>
      <c r="AE5" s="6"/>
      <c r="AF5" s="6">
        <v>128</v>
      </c>
      <c r="AG5" s="6" t="s">
        <v>111</v>
      </c>
      <c r="AH5" s="6">
        <v>0.1</v>
      </c>
      <c r="AI5" s="6">
        <v>30.086191457862661</v>
      </c>
      <c r="AJ5" s="6">
        <v>0.56400576346178533</v>
      </c>
      <c r="AK5" s="6">
        <v>30.086191457862661</v>
      </c>
      <c r="AL5" s="6">
        <v>8.4382407795488756</v>
      </c>
      <c r="AM5" s="6">
        <v>30.086191457862661</v>
      </c>
      <c r="AN5" s="6">
        <v>8.4382407795488756</v>
      </c>
      <c r="AO5" s="6">
        <v>8.4840087994683486</v>
      </c>
      <c r="AP5" s="6">
        <v>0.56400576346178533</v>
      </c>
      <c r="AQ5" s="6">
        <v>107.2108835436747</v>
      </c>
      <c r="AR5" s="6">
        <v>17.391923461332141</v>
      </c>
      <c r="AS5" s="6">
        <v>18.99393874200516</v>
      </c>
      <c r="AT5" s="6">
        <v>4.9804958316512327E-2</v>
      </c>
      <c r="AU5" s="6">
        <v>0.5714285714285714</v>
      </c>
      <c r="AV5" s="6">
        <v>5.7268294757047609E-2</v>
      </c>
      <c r="AW5" s="6">
        <v>0.58415813453330112</v>
      </c>
      <c r="AX5" s="6">
        <v>5.7268294757047609E-2</v>
      </c>
      <c r="AY5" s="6">
        <v>0.1871062318060393</v>
      </c>
      <c r="AZ5" s="6">
        <v>5.7268294757047609E-2</v>
      </c>
      <c r="BA5" s="6">
        <v>0.58415813453330112</v>
      </c>
      <c r="BB5" s="6">
        <v>0.1871062318060393</v>
      </c>
      <c r="BC5" s="6">
        <v>0.1688066338276035</v>
      </c>
      <c r="BD5" s="6">
        <v>6.7680823105801216E-2</v>
      </c>
      <c r="BE5" s="6">
        <v>0.50854971575394281</v>
      </c>
      <c r="BF5" s="6">
        <v>0.20980870648387051</v>
      </c>
      <c r="BG5" s="6">
        <v>0.15281051888347821</v>
      </c>
      <c r="BH5" s="6">
        <v>8.9942419356758688E-2</v>
      </c>
      <c r="BI5" s="6">
        <v>0.688368727011616</v>
      </c>
      <c r="BJ5" s="6">
        <v>8.9942419356758688E-2</v>
      </c>
      <c r="BK5" s="6">
        <v>0.25912171070933532</v>
      </c>
      <c r="BL5" s="6">
        <v>8.9942419356758688E-2</v>
      </c>
      <c r="BM5" s="6">
        <v>0.688368727011616</v>
      </c>
      <c r="BN5" s="6">
        <v>0.25912171070933532</v>
      </c>
      <c r="BO5" s="6">
        <v>0.31868945167016421</v>
      </c>
      <c r="BP5" s="6">
        <v>0.30581723339641198</v>
      </c>
      <c r="BQ5" s="6">
        <v>-5.959139665891322E-2</v>
      </c>
      <c r="BR5" s="6">
        <v>0.47175405614680432</v>
      </c>
      <c r="BS5" s="6">
        <v>0.46492403379048192</v>
      </c>
      <c r="BT5" s="6">
        <v>0.1681026147707029</v>
      </c>
      <c r="BU5" s="6">
        <v>0.32512117287288872</v>
      </c>
      <c r="BV5" s="6">
        <v>0.1681026147707029</v>
      </c>
      <c r="BW5" s="6">
        <v>0.35435160396643001</v>
      </c>
      <c r="BX5" s="6">
        <v>0.1681026147707029</v>
      </c>
      <c r="BY5" s="6">
        <v>0.32512117287288872</v>
      </c>
      <c r="BZ5" s="6">
        <v>0.35435160396643001</v>
      </c>
      <c r="CA5" s="6">
        <v>0.40144644330102852</v>
      </c>
      <c r="CB5" s="6">
        <v>0.25679934117266617</v>
      </c>
      <c r="CC5" s="6">
        <v>-3.0968128687479671E-2</v>
      </c>
      <c r="CD5" s="6">
        <v>0.44592683087627383</v>
      </c>
      <c r="CE5" s="6">
        <v>0.44133498646849828</v>
      </c>
      <c r="CF5" s="6">
        <v>120.0294525025661</v>
      </c>
      <c r="CG5" s="6">
        <v>0.65837501942933774</v>
      </c>
      <c r="CH5" s="6">
        <v>120.0294525025661</v>
      </c>
      <c r="CI5" s="6">
        <v>8.3805445867452075</v>
      </c>
      <c r="CJ5" s="6">
        <v>120.0294525025661</v>
      </c>
      <c r="CK5" s="6">
        <v>0.65837501942933774</v>
      </c>
      <c r="CL5" s="6">
        <v>8.3805445867452075</v>
      </c>
      <c r="CM5" s="6">
        <v>8.4201927366824929</v>
      </c>
      <c r="CN5" s="6">
        <v>428.21323677702412</v>
      </c>
      <c r="CO5" s="6">
        <v>-0.21877035714150031</v>
      </c>
      <c r="CP5" s="6">
        <v>17.34785524087923</v>
      </c>
      <c r="CQ5" s="7">
        <v>18.949216639534189</v>
      </c>
    </row>
    <row r="6" spans="1:95" x14ac:dyDescent="0.3">
      <c r="A6" s="2">
        <v>46058.009004629632</v>
      </c>
      <c r="B6" s="3" t="s">
        <v>117</v>
      </c>
      <c r="C6" s="3">
        <v>2</v>
      </c>
      <c r="D6" s="3" t="s">
        <v>96</v>
      </c>
      <c r="E6" s="6">
        <v>16590</v>
      </c>
      <c r="F6" s="6">
        <v>4.5</v>
      </c>
      <c r="G6" s="3" t="s">
        <v>114</v>
      </c>
      <c r="H6" s="3" t="s">
        <v>98</v>
      </c>
      <c r="I6" s="3">
        <v>5</v>
      </c>
      <c r="J6" s="3">
        <v>5</v>
      </c>
      <c r="K6" s="3" t="s">
        <v>99</v>
      </c>
      <c r="L6" s="3" t="s">
        <v>100</v>
      </c>
      <c r="M6" s="3" t="s">
        <v>101</v>
      </c>
      <c r="N6" s="3" t="s">
        <v>101</v>
      </c>
      <c r="O6" s="3" t="s">
        <v>102</v>
      </c>
      <c r="P6" s="3" t="s">
        <v>115</v>
      </c>
      <c r="Q6" s="3" t="s">
        <v>104</v>
      </c>
      <c r="R6" s="3" t="s">
        <v>105</v>
      </c>
      <c r="S6" s="3" t="s">
        <v>106</v>
      </c>
      <c r="T6" s="3" t="s">
        <v>107</v>
      </c>
      <c r="U6" s="3" t="s">
        <v>108</v>
      </c>
      <c r="V6" s="3" t="s">
        <v>109</v>
      </c>
      <c r="W6" s="3" t="s">
        <v>101</v>
      </c>
      <c r="X6" s="3">
        <v>220</v>
      </c>
      <c r="Y6" s="3">
        <v>100</v>
      </c>
      <c r="Z6" s="3">
        <v>120</v>
      </c>
      <c r="AA6" s="3" t="s">
        <v>110</v>
      </c>
      <c r="AB6" s="3">
        <v>4000</v>
      </c>
      <c r="AC6" s="3">
        <v>4000</v>
      </c>
      <c r="AD6" s="3">
        <v>0.13445614728713609</v>
      </c>
      <c r="AE6" s="3"/>
      <c r="AF6" s="3">
        <v>128</v>
      </c>
      <c r="AG6" s="3" t="s">
        <v>111</v>
      </c>
      <c r="AH6" s="3">
        <v>0.1</v>
      </c>
      <c r="AI6" s="3">
        <v>33.152786557549248</v>
      </c>
      <c r="AJ6" s="3">
        <v>0.56365043824400662</v>
      </c>
      <c r="AK6" s="3">
        <v>33.152786557549248</v>
      </c>
      <c r="AL6" s="3">
        <v>9.3362041829918034</v>
      </c>
      <c r="AM6" s="3">
        <v>33.152786557549248</v>
      </c>
      <c r="AN6" s="3">
        <v>9.3362041829918034</v>
      </c>
      <c r="AO6" s="3">
        <v>8.7108126063794522</v>
      </c>
      <c r="AP6" s="3">
        <v>0.56365043824400662</v>
      </c>
      <c r="AQ6" s="3">
        <v>106.27420895782591</v>
      </c>
      <c r="AR6" s="3">
        <v>17.017676164653281</v>
      </c>
      <c r="AS6" s="3">
        <v>18.30814752656471</v>
      </c>
      <c r="AT6" s="3">
        <v>-7.3771216897262598E-2</v>
      </c>
      <c r="AU6" s="3">
        <v>0.5714285714285714</v>
      </c>
      <c r="AV6" s="3">
        <v>5.8734477210984411E-2</v>
      </c>
      <c r="AW6" s="3">
        <v>0.57351175420460121</v>
      </c>
      <c r="AX6" s="3">
        <v>5.8734477210984411E-2</v>
      </c>
      <c r="AY6" s="3">
        <v>0.1831052480059279</v>
      </c>
      <c r="AZ6" s="3">
        <v>5.8734477210984411E-2</v>
      </c>
      <c r="BA6" s="3">
        <v>0.57351175420460121</v>
      </c>
      <c r="BB6" s="3">
        <v>0.1831052480059279</v>
      </c>
      <c r="BC6" s="3">
        <v>0.20342911472324671</v>
      </c>
      <c r="BD6" s="3">
        <v>0.1242270679702958</v>
      </c>
      <c r="BE6" s="3">
        <v>9.7950866087750388E-2</v>
      </c>
      <c r="BF6" s="3">
        <v>0.29743825497302551</v>
      </c>
      <c r="BG6" s="3">
        <v>0.29605788930882798</v>
      </c>
      <c r="BH6" s="3">
        <v>7.7732870853090621E-2</v>
      </c>
      <c r="BI6" s="3">
        <v>0.7306722048369052</v>
      </c>
      <c r="BJ6" s="3">
        <v>7.7732870853090621E-2</v>
      </c>
      <c r="BK6" s="3">
        <v>0.22930014938253879</v>
      </c>
      <c r="BL6" s="3">
        <v>7.7732870853090621E-2</v>
      </c>
      <c r="BM6" s="3">
        <v>0.7306722048369052</v>
      </c>
      <c r="BN6" s="3">
        <v>0.22930014938253879</v>
      </c>
      <c r="BO6" s="3">
        <v>0.29229561594047437</v>
      </c>
      <c r="BP6" s="3">
        <v>0.30298656435868038</v>
      </c>
      <c r="BQ6" s="3">
        <v>-4.9783733023158312E-2</v>
      </c>
      <c r="BR6" s="3">
        <v>0.47199929216589348</v>
      </c>
      <c r="BS6" s="3">
        <v>0.42550297261391129</v>
      </c>
      <c r="BT6" s="3">
        <v>0.16763787509376091</v>
      </c>
      <c r="BU6" s="3">
        <v>0.3269869556777657</v>
      </c>
      <c r="BV6" s="3">
        <v>0.16763787509376091</v>
      </c>
      <c r="BW6" s="3">
        <v>0.36939765341779068</v>
      </c>
      <c r="BX6" s="3">
        <v>0.16763787509376091</v>
      </c>
      <c r="BY6" s="3">
        <v>0.3269869556777657</v>
      </c>
      <c r="BZ6" s="3">
        <v>0.36939765341779068</v>
      </c>
      <c r="CA6" s="3">
        <v>0.421598195294622</v>
      </c>
      <c r="CB6" s="3">
        <v>0.28280492146026098</v>
      </c>
      <c r="CC6" s="3">
        <v>-0.1353723079275915</v>
      </c>
      <c r="CD6" s="3">
        <v>0.46890073532172971</v>
      </c>
      <c r="CE6" s="3">
        <v>0.5242698264981005</v>
      </c>
      <c r="CF6" s="3">
        <v>132.30704100703929</v>
      </c>
      <c r="CG6" s="3">
        <v>0.62343083825675794</v>
      </c>
      <c r="CH6" s="3">
        <v>132.30704100703929</v>
      </c>
      <c r="CI6" s="3">
        <v>9.2904748487691631</v>
      </c>
      <c r="CJ6" s="3">
        <v>132.30704100703929</v>
      </c>
      <c r="CK6" s="3">
        <v>0.62343083825675794</v>
      </c>
      <c r="CL6" s="3">
        <v>9.2904748487691631</v>
      </c>
      <c r="CM6" s="3">
        <v>8.6500074653235828</v>
      </c>
      <c r="CN6" s="3">
        <v>424.38681727751691</v>
      </c>
      <c r="CO6" s="3">
        <v>-0.20787969272606091</v>
      </c>
      <c r="CP6" s="3">
        <v>16.963230901762181</v>
      </c>
      <c r="CQ6" s="4">
        <v>18.256774466130349</v>
      </c>
    </row>
    <row r="7" spans="1:95" x14ac:dyDescent="0.3">
      <c r="A7" s="5">
        <v>46058.001793981479</v>
      </c>
      <c r="B7" s="6" t="s">
        <v>118</v>
      </c>
      <c r="C7" s="6">
        <v>2</v>
      </c>
      <c r="D7" s="6" t="s">
        <v>96</v>
      </c>
      <c r="E7" s="11">
        <v>16590</v>
      </c>
      <c r="F7" s="11">
        <v>4.5</v>
      </c>
      <c r="G7" s="6" t="s">
        <v>97</v>
      </c>
      <c r="H7" s="6" t="s">
        <v>98</v>
      </c>
      <c r="I7" s="6">
        <v>5</v>
      </c>
      <c r="J7" s="6">
        <v>5</v>
      </c>
      <c r="K7" s="6" t="s">
        <v>99</v>
      </c>
      <c r="L7" s="6" t="s">
        <v>100</v>
      </c>
      <c r="M7" s="6" t="s">
        <v>101</v>
      </c>
      <c r="N7" s="6" t="s">
        <v>101</v>
      </c>
      <c r="O7" s="6" t="s">
        <v>102</v>
      </c>
      <c r="P7" s="6" t="s">
        <v>103</v>
      </c>
      <c r="Q7" s="6" t="s">
        <v>104</v>
      </c>
      <c r="R7" s="6" t="s">
        <v>105</v>
      </c>
      <c r="S7" s="6" t="s">
        <v>106</v>
      </c>
      <c r="T7" s="6" t="s">
        <v>107</v>
      </c>
      <c r="U7" s="6" t="s">
        <v>108</v>
      </c>
      <c r="V7" s="6" t="s">
        <v>109</v>
      </c>
      <c r="W7" s="6" t="s">
        <v>101</v>
      </c>
      <c r="X7" s="6">
        <v>220</v>
      </c>
      <c r="Y7" s="6">
        <v>100</v>
      </c>
      <c r="Z7" s="6">
        <v>120</v>
      </c>
      <c r="AA7" s="6" t="s">
        <v>110</v>
      </c>
      <c r="AB7" s="6">
        <v>4000</v>
      </c>
      <c r="AC7" s="6">
        <v>4000</v>
      </c>
      <c r="AD7" s="6">
        <v>0.13088756119460401</v>
      </c>
      <c r="AE7" s="6"/>
      <c r="AF7" s="6">
        <v>128</v>
      </c>
      <c r="AG7" s="6" t="s">
        <v>111</v>
      </c>
      <c r="AH7" s="6">
        <v>0.1</v>
      </c>
      <c r="AI7" s="6">
        <v>33.470765490121011</v>
      </c>
      <c r="AJ7" s="6">
        <v>0.5620935993061793</v>
      </c>
      <c r="AK7" s="6">
        <v>33.470765490121011</v>
      </c>
      <c r="AL7" s="6">
        <v>9.3587005983715841</v>
      </c>
      <c r="AM7" s="6">
        <v>33.470765490121011</v>
      </c>
      <c r="AN7" s="6">
        <v>9.3587005983715841</v>
      </c>
      <c r="AO7" s="6">
        <v>8.7942960531130918</v>
      </c>
      <c r="AP7" s="6">
        <v>0.5620935993061793</v>
      </c>
      <c r="AQ7" s="6">
        <v>105.707112764409</v>
      </c>
      <c r="AR7" s="6">
        <v>16.926277625616141</v>
      </c>
      <c r="AS7" s="6">
        <v>18.178401211676739</v>
      </c>
      <c r="AT7" s="6">
        <v>-3.6441616881614007E-2</v>
      </c>
      <c r="AU7" s="6">
        <v>0.5714285714285714</v>
      </c>
      <c r="AV7" s="6">
        <v>5.7366730933810013E-2</v>
      </c>
      <c r="AW7" s="6">
        <v>0.58344336061611113</v>
      </c>
      <c r="AX7" s="6">
        <v>5.7366730933810013E-2</v>
      </c>
      <c r="AY7" s="6">
        <v>0.18657043266652701</v>
      </c>
      <c r="AZ7" s="6">
        <v>5.7366730933810013E-2</v>
      </c>
      <c r="BA7" s="6">
        <v>0.58344336061611113</v>
      </c>
      <c r="BB7" s="6">
        <v>0.18657043266652701</v>
      </c>
      <c r="BC7" s="6">
        <v>0.19970869931239829</v>
      </c>
      <c r="BD7" s="6">
        <v>0.1040948846385219</v>
      </c>
      <c r="BE7" s="6">
        <v>0.2441365471547112</v>
      </c>
      <c r="BF7" s="6">
        <v>0.25492150621550491</v>
      </c>
      <c r="BG7" s="6">
        <v>0.25890698719289579</v>
      </c>
      <c r="BH7" s="6">
        <v>7.9518429920636138E-2</v>
      </c>
      <c r="BI7" s="6">
        <v>0.72448562403115613</v>
      </c>
      <c r="BJ7" s="6">
        <v>7.9518429920636138E-2</v>
      </c>
      <c r="BK7" s="6">
        <v>0.232655663911883</v>
      </c>
      <c r="BL7" s="6">
        <v>7.9518429920636138E-2</v>
      </c>
      <c r="BM7" s="6">
        <v>0.72448562403115613</v>
      </c>
      <c r="BN7" s="6">
        <v>0.232655663911883</v>
      </c>
      <c r="BO7" s="6">
        <v>0.29940470486492737</v>
      </c>
      <c r="BP7" s="6">
        <v>0.30959572917387967</v>
      </c>
      <c r="BQ7" s="6">
        <v>-7.2683077509112515E-2</v>
      </c>
      <c r="BR7" s="6">
        <v>0.47701164883178732</v>
      </c>
      <c r="BS7" s="6">
        <v>0.43269401655789802</v>
      </c>
      <c r="BT7" s="6">
        <v>0.1692215569129118</v>
      </c>
      <c r="BU7" s="6">
        <v>0.32062897409545099</v>
      </c>
      <c r="BV7" s="6">
        <v>0.1692215569129118</v>
      </c>
      <c r="BW7" s="6">
        <v>0.37129811640484722</v>
      </c>
      <c r="BX7" s="6">
        <v>0.1692215569129118</v>
      </c>
      <c r="BY7" s="6">
        <v>0.32062897409545099</v>
      </c>
      <c r="BZ7" s="6">
        <v>0.37129811640484722</v>
      </c>
      <c r="CA7" s="6">
        <v>0.42425998632652201</v>
      </c>
      <c r="CB7" s="6">
        <v>0.27791580784746828</v>
      </c>
      <c r="CC7" s="6">
        <v>-0.1157440632081779</v>
      </c>
      <c r="CD7" s="6">
        <v>0.46482852696778848</v>
      </c>
      <c r="CE7" s="6">
        <v>0.51959692740143071</v>
      </c>
      <c r="CF7" s="6">
        <v>133.57695524271611</v>
      </c>
      <c r="CG7" s="6">
        <v>0.61981643848200085</v>
      </c>
      <c r="CH7" s="6">
        <v>133.57695524271611</v>
      </c>
      <c r="CI7" s="6">
        <v>9.3115860238949111</v>
      </c>
      <c r="CJ7" s="6">
        <v>133.57695524271611</v>
      </c>
      <c r="CK7" s="6">
        <v>0.61981643848200085</v>
      </c>
      <c r="CL7" s="6">
        <v>9.3115860238949111</v>
      </c>
      <c r="CM7" s="6">
        <v>8.7356296141372045</v>
      </c>
      <c r="CN7" s="6">
        <v>422.136844635974</v>
      </c>
      <c r="CO7" s="6">
        <v>-0.20147587396386851</v>
      </c>
      <c r="CP7" s="6">
        <v>16.872187100162211</v>
      </c>
      <c r="CQ7" s="7">
        <v>18.126416462396559</v>
      </c>
    </row>
    <row r="8" spans="1:95" x14ac:dyDescent="0.3">
      <c r="A8" s="2">
        <v>46057.502118055563</v>
      </c>
      <c r="B8" s="3" t="s">
        <v>119</v>
      </c>
      <c r="C8" s="3">
        <v>0</v>
      </c>
      <c r="D8" s="3" t="s">
        <v>96</v>
      </c>
      <c r="E8" s="6">
        <v>16590</v>
      </c>
      <c r="F8" s="6">
        <v>4.5</v>
      </c>
      <c r="G8" s="3" t="s">
        <v>97</v>
      </c>
      <c r="H8" s="3" t="s">
        <v>98</v>
      </c>
      <c r="I8" s="3">
        <v>5</v>
      </c>
      <c r="J8" s="3">
        <v>5</v>
      </c>
      <c r="K8" s="3" t="s">
        <v>99</v>
      </c>
      <c r="L8" s="3" t="s">
        <v>100</v>
      </c>
      <c r="M8" s="3" t="s">
        <v>101</v>
      </c>
      <c r="N8" s="3" t="s">
        <v>101</v>
      </c>
      <c r="O8" s="3" t="s">
        <v>102</v>
      </c>
      <c r="P8" s="3" t="s">
        <v>103</v>
      </c>
      <c r="Q8" s="3" t="s">
        <v>104</v>
      </c>
      <c r="R8" s="3" t="s">
        <v>105</v>
      </c>
      <c r="S8" s="3" t="s">
        <v>106</v>
      </c>
      <c r="T8" s="3" t="s">
        <v>107</v>
      </c>
      <c r="U8" s="3" t="s">
        <v>108</v>
      </c>
      <c r="V8" s="3" t="s">
        <v>109</v>
      </c>
      <c r="W8" s="3" t="s">
        <v>101</v>
      </c>
      <c r="X8" s="3">
        <v>220</v>
      </c>
      <c r="Y8" s="3">
        <v>100</v>
      </c>
      <c r="Z8" s="3">
        <v>120</v>
      </c>
      <c r="AA8" s="3" t="s">
        <v>110</v>
      </c>
      <c r="AB8" s="3">
        <v>4000</v>
      </c>
      <c r="AC8" s="3">
        <v>4000</v>
      </c>
      <c r="AD8" s="3">
        <v>0.14006576466395171</v>
      </c>
      <c r="AE8" s="3"/>
      <c r="AF8" s="3">
        <v>128</v>
      </c>
      <c r="AG8" s="3" t="s">
        <v>111</v>
      </c>
      <c r="AH8" s="3">
        <v>0.1</v>
      </c>
      <c r="AI8" s="3">
        <v>33.17900447752114</v>
      </c>
      <c r="AJ8" s="3">
        <v>0.55536808457686604</v>
      </c>
      <c r="AK8" s="3">
        <v>33.17900447752114</v>
      </c>
      <c r="AL8" s="3">
        <v>9.1724984200306086</v>
      </c>
      <c r="AM8" s="3">
        <v>33.17900447752114</v>
      </c>
      <c r="AN8" s="3">
        <v>9.1724984200306086</v>
      </c>
      <c r="AO8" s="3">
        <v>8.5313653191853813</v>
      </c>
      <c r="AP8" s="3">
        <v>0.55536808457686604</v>
      </c>
      <c r="AQ8" s="3">
        <v>88.655605779933907</v>
      </c>
      <c r="AR8" s="3">
        <v>15.65830577866061</v>
      </c>
      <c r="AS8" s="3">
        <v>15.67009624875001</v>
      </c>
      <c r="AT8" s="3">
        <v>-0.99026941918835709</v>
      </c>
      <c r="AU8" s="3">
        <v>0.5714285714285714</v>
      </c>
      <c r="AV8" s="3">
        <v>5.7035864308358823E-2</v>
      </c>
      <c r="AW8" s="3">
        <v>0.5858458801137143</v>
      </c>
      <c r="AX8" s="3">
        <v>5.7035864308358823E-2</v>
      </c>
      <c r="AY8" s="3">
        <v>0.1857763674402525</v>
      </c>
      <c r="AZ8" s="3">
        <v>5.7035864308358823E-2</v>
      </c>
      <c r="BA8" s="3">
        <v>0.5858458801137143</v>
      </c>
      <c r="BB8" s="3">
        <v>0.1857763674402525</v>
      </c>
      <c r="BC8" s="3">
        <v>0.1781848276020849</v>
      </c>
      <c r="BD8" s="3">
        <v>0.71835150558244543</v>
      </c>
      <c r="BE8" s="3">
        <v>-4.2161607292393564</v>
      </c>
      <c r="BF8" s="3">
        <v>0.73720596025012497</v>
      </c>
      <c r="BG8" s="3">
        <v>0.78824933936838681</v>
      </c>
      <c r="BH8" s="3">
        <v>0.108697163890834</v>
      </c>
      <c r="BI8" s="3">
        <v>0.62338754287709508</v>
      </c>
      <c r="BJ8" s="3">
        <v>0.108697163890834</v>
      </c>
      <c r="BK8" s="3">
        <v>0.27575625404606863</v>
      </c>
      <c r="BL8" s="3">
        <v>0.108697163890834</v>
      </c>
      <c r="BM8" s="3">
        <v>0.62338754287709508</v>
      </c>
      <c r="BN8" s="3">
        <v>0.27575625404606863</v>
      </c>
      <c r="BO8" s="3">
        <v>0.33936302036258281</v>
      </c>
      <c r="BP8" s="3">
        <v>0.27658805218211258</v>
      </c>
      <c r="BQ8" s="3">
        <v>4.1681473421335768E-2</v>
      </c>
      <c r="BR8" s="3">
        <v>0.4333517254175081</v>
      </c>
      <c r="BS8" s="3">
        <v>0.42654244637621941</v>
      </c>
      <c r="BT8" s="3">
        <v>0.15217455958113571</v>
      </c>
      <c r="BU8" s="3">
        <v>0.38906727638480398</v>
      </c>
      <c r="BV8" s="3">
        <v>0.15217455958113571</v>
      </c>
      <c r="BW8" s="3">
        <v>0.34339259710410042</v>
      </c>
      <c r="BX8" s="3">
        <v>0.15217455958113571</v>
      </c>
      <c r="BY8" s="3">
        <v>0.38906727638480398</v>
      </c>
      <c r="BZ8" s="3">
        <v>0.34339259710410042</v>
      </c>
      <c r="CA8" s="3">
        <v>0.42080908791385507</v>
      </c>
      <c r="CB8" s="3">
        <v>0.19445260710370441</v>
      </c>
      <c r="CC8" s="3">
        <v>0.21933428820865511</v>
      </c>
      <c r="CD8" s="3">
        <v>0.37096771887443042</v>
      </c>
      <c r="CE8" s="3">
        <v>0.40538682538165149</v>
      </c>
      <c r="CF8" s="3">
        <v>132.39811032230469</v>
      </c>
      <c r="CG8" s="3">
        <v>0.62317163893184679</v>
      </c>
      <c r="CH8" s="3">
        <v>132.39811032230469</v>
      </c>
      <c r="CI8" s="3">
        <v>9.121949752520683</v>
      </c>
      <c r="CJ8" s="3">
        <v>132.39811032230469</v>
      </c>
      <c r="CK8" s="3">
        <v>0.62317163893184679</v>
      </c>
      <c r="CL8" s="3">
        <v>9.121949752520683</v>
      </c>
      <c r="CM8" s="3">
        <v>8.4709307322722616</v>
      </c>
      <c r="CN8" s="3">
        <v>353.43303095486817</v>
      </c>
      <c r="CO8" s="3">
        <v>-5.9327091440808388E-3</v>
      </c>
      <c r="CP8" s="3">
        <v>15.573587020568331</v>
      </c>
      <c r="CQ8" s="4">
        <v>15.59277902149344</v>
      </c>
    </row>
    <row r="9" spans="1:95" x14ac:dyDescent="0.3">
      <c r="A9" s="5">
        <v>46057.502083333333</v>
      </c>
      <c r="B9" s="6" t="s">
        <v>120</v>
      </c>
      <c r="C9" s="6">
        <v>0</v>
      </c>
      <c r="D9" s="6" t="s">
        <v>96</v>
      </c>
      <c r="E9" s="11">
        <v>16590</v>
      </c>
      <c r="F9" s="11">
        <v>4.5</v>
      </c>
      <c r="G9" s="6" t="s">
        <v>114</v>
      </c>
      <c r="H9" s="6" t="s">
        <v>98</v>
      </c>
      <c r="I9" s="6">
        <v>5</v>
      </c>
      <c r="J9" s="6">
        <v>5</v>
      </c>
      <c r="K9" s="6" t="s">
        <v>99</v>
      </c>
      <c r="L9" s="6" t="s">
        <v>100</v>
      </c>
      <c r="M9" s="6" t="s">
        <v>101</v>
      </c>
      <c r="N9" s="6" t="s">
        <v>101</v>
      </c>
      <c r="O9" s="6" t="s">
        <v>102</v>
      </c>
      <c r="P9" s="6" t="s">
        <v>115</v>
      </c>
      <c r="Q9" s="6" t="s">
        <v>104</v>
      </c>
      <c r="R9" s="6" t="s">
        <v>105</v>
      </c>
      <c r="S9" s="6" t="s">
        <v>106</v>
      </c>
      <c r="T9" s="6" t="s">
        <v>107</v>
      </c>
      <c r="U9" s="6" t="s">
        <v>108</v>
      </c>
      <c r="V9" s="6" t="s">
        <v>109</v>
      </c>
      <c r="W9" s="6" t="s">
        <v>101</v>
      </c>
      <c r="X9" s="6">
        <v>220</v>
      </c>
      <c r="Y9" s="6">
        <v>100</v>
      </c>
      <c r="Z9" s="6">
        <v>120</v>
      </c>
      <c r="AA9" s="6" t="s">
        <v>110</v>
      </c>
      <c r="AB9" s="6">
        <v>4000</v>
      </c>
      <c r="AC9" s="6">
        <v>4000</v>
      </c>
      <c r="AD9" s="6">
        <v>0.14313134981929709</v>
      </c>
      <c r="AE9" s="6"/>
      <c r="AF9" s="6">
        <v>128</v>
      </c>
      <c r="AG9" s="6" t="s">
        <v>111</v>
      </c>
      <c r="AH9" s="6">
        <v>0.1</v>
      </c>
      <c r="AI9" s="6">
        <v>33.433877837118231</v>
      </c>
      <c r="AJ9" s="6">
        <v>0.5538846963606926</v>
      </c>
      <c r="AK9" s="6">
        <v>33.433877837118231</v>
      </c>
      <c r="AL9" s="6">
        <v>9.1968345280261552</v>
      </c>
      <c r="AM9" s="6">
        <v>33.433877837118231</v>
      </c>
      <c r="AN9" s="6">
        <v>9.1968345280261552</v>
      </c>
      <c r="AO9" s="6">
        <v>8.50496606873795</v>
      </c>
      <c r="AP9" s="6">
        <v>0.5538846963606926</v>
      </c>
      <c r="AQ9" s="6">
        <v>89.39173594606352</v>
      </c>
      <c r="AR9" s="6">
        <v>15.722445131035631</v>
      </c>
      <c r="AS9" s="6">
        <v>15.7931790403461</v>
      </c>
      <c r="AT9" s="6">
        <v>-0.97662816764721994</v>
      </c>
      <c r="AU9" s="6">
        <v>0.5714285714285714</v>
      </c>
      <c r="AV9" s="6">
        <v>5.6009493820832687E-2</v>
      </c>
      <c r="AW9" s="6">
        <v>0.59329865690763661</v>
      </c>
      <c r="AX9" s="6">
        <v>5.6009493820832687E-2</v>
      </c>
      <c r="AY9" s="6">
        <v>0.18800700034394169</v>
      </c>
      <c r="AZ9" s="6">
        <v>5.6009493820832687E-2</v>
      </c>
      <c r="BA9" s="6">
        <v>0.59329865690763661</v>
      </c>
      <c r="BB9" s="6">
        <v>0.18800700034394169</v>
      </c>
      <c r="BC9" s="6">
        <v>0.1948666657511352</v>
      </c>
      <c r="BD9" s="6">
        <v>0.70744421716857553</v>
      </c>
      <c r="BE9" s="6">
        <v>-4.1369597126830042</v>
      </c>
      <c r="BF9" s="6">
        <v>0.73188980237650791</v>
      </c>
      <c r="BG9" s="6">
        <v>0.72465838477928313</v>
      </c>
      <c r="BH9" s="6">
        <v>0.1103000524320638</v>
      </c>
      <c r="BI9" s="6">
        <v>0.61783387642989185</v>
      </c>
      <c r="BJ9" s="6">
        <v>0.1103000524320638</v>
      </c>
      <c r="BK9" s="6">
        <v>0.27764445066351678</v>
      </c>
      <c r="BL9" s="6">
        <v>0.1103000524320638</v>
      </c>
      <c r="BM9" s="6">
        <v>0.61783387642989185</v>
      </c>
      <c r="BN9" s="6">
        <v>0.27764445066351678</v>
      </c>
      <c r="BO9" s="6">
        <v>0.34103145942638152</v>
      </c>
      <c r="BP9" s="6">
        <v>0.27896558091179291</v>
      </c>
      <c r="BQ9" s="6">
        <v>3.3443844170360497E-2</v>
      </c>
      <c r="BR9" s="6">
        <v>0.43577333653017303</v>
      </c>
      <c r="BS9" s="6">
        <v>0.42813220158726262</v>
      </c>
      <c r="BT9" s="6">
        <v>0.15340408246560119</v>
      </c>
      <c r="BU9" s="6">
        <v>0.38413113090410528</v>
      </c>
      <c r="BV9" s="6">
        <v>0.15340408246560119</v>
      </c>
      <c r="BW9" s="6">
        <v>0.34502200862693733</v>
      </c>
      <c r="BX9" s="6">
        <v>0.15340408246560119</v>
      </c>
      <c r="BY9" s="6">
        <v>0.38413113090410528</v>
      </c>
      <c r="BZ9" s="6">
        <v>0.34502200862693733</v>
      </c>
      <c r="CA9" s="6">
        <v>0.42084106748718852</v>
      </c>
      <c r="CB9" s="6">
        <v>0.19644508038493361</v>
      </c>
      <c r="CC9" s="6">
        <v>0.21133513820761429</v>
      </c>
      <c r="CD9" s="6">
        <v>0.37341608646470381</v>
      </c>
      <c r="CE9" s="6">
        <v>0.40478513484996531</v>
      </c>
      <c r="CF9" s="6">
        <v>133.41579771975449</v>
      </c>
      <c r="CG9" s="6">
        <v>0.62027512120113926</v>
      </c>
      <c r="CH9" s="6">
        <v>133.41579771975449</v>
      </c>
      <c r="CI9" s="6">
        <v>9.1460324937362198</v>
      </c>
      <c r="CJ9" s="6">
        <v>133.41579771975449</v>
      </c>
      <c r="CK9" s="6">
        <v>0.62027512120113926</v>
      </c>
      <c r="CL9" s="6">
        <v>9.1460324937362198</v>
      </c>
      <c r="CM9" s="6">
        <v>8.4439531955738403</v>
      </c>
      <c r="CN9" s="6">
        <v>356.3840889057891</v>
      </c>
      <c r="CO9" s="6">
        <v>-1.4331940283827119E-2</v>
      </c>
      <c r="CP9" s="6">
        <v>15.63706406606893</v>
      </c>
      <c r="CQ9" s="7">
        <v>15.720790176418969</v>
      </c>
    </row>
    <row r="10" spans="1:95" x14ac:dyDescent="0.3">
      <c r="A10" s="5">
        <v>46062.393159722233</v>
      </c>
      <c r="B10" s="6" t="s">
        <v>129</v>
      </c>
      <c r="C10" s="6">
        <v>1</v>
      </c>
      <c r="D10" s="6" t="s">
        <v>96</v>
      </c>
      <c r="E10" s="6">
        <v>16590</v>
      </c>
      <c r="F10" s="6">
        <v>4.5</v>
      </c>
      <c r="G10" s="6" t="s">
        <v>114</v>
      </c>
      <c r="H10" s="6" t="s">
        <v>98</v>
      </c>
      <c r="I10" s="6">
        <v>5</v>
      </c>
      <c r="J10" s="6">
        <v>5</v>
      </c>
      <c r="K10" s="6" t="s">
        <v>99</v>
      </c>
      <c r="L10" s="6" t="s">
        <v>100</v>
      </c>
      <c r="M10" s="6" t="s">
        <v>101</v>
      </c>
      <c r="N10" s="6" t="s">
        <v>101</v>
      </c>
      <c r="O10" s="6" t="s">
        <v>102</v>
      </c>
      <c r="P10" s="6" t="s">
        <v>130</v>
      </c>
      <c r="Q10" s="6" t="s">
        <v>104</v>
      </c>
      <c r="R10" s="6" t="s">
        <v>105</v>
      </c>
      <c r="S10" s="6" t="s">
        <v>106</v>
      </c>
      <c r="T10" s="6" t="s">
        <v>107</v>
      </c>
      <c r="U10" s="6" t="s">
        <v>108</v>
      </c>
      <c r="V10" s="6" t="s">
        <v>109</v>
      </c>
      <c r="W10" s="6" t="s">
        <v>101</v>
      </c>
      <c r="X10" s="6">
        <v>220</v>
      </c>
      <c r="Y10" s="6">
        <v>100</v>
      </c>
      <c r="Z10" s="6">
        <v>120</v>
      </c>
      <c r="AA10" s="6" t="s">
        <v>110</v>
      </c>
      <c r="AB10" s="6">
        <v>4000</v>
      </c>
      <c r="AC10" s="6">
        <v>4000</v>
      </c>
      <c r="AD10" s="6">
        <v>0.13671024516103861</v>
      </c>
      <c r="AE10" s="6"/>
      <c r="AF10" s="6">
        <v>128</v>
      </c>
      <c r="AG10" s="6" t="s">
        <v>111</v>
      </c>
      <c r="AH10" s="6">
        <v>0.1</v>
      </c>
      <c r="AI10" s="6">
        <v>26.244086568016279</v>
      </c>
      <c r="AJ10" s="6">
        <v>0.59016009129504998</v>
      </c>
      <c r="AK10" s="6">
        <v>26.244086568016279</v>
      </c>
      <c r="AL10" s="6">
        <v>8.2111218643640438</v>
      </c>
      <c r="AM10" s="6">
        <v>26.244086568016279</v>
      </c>
      <c r="AN10" s="6">
        <v>8.2111218643640438</v>
      </c>
      <c r="AO10" s="6">
        <v>10.27310031894875</v>
      </c>
      <c r="AP10" s="6">
        <v>0.59016009129504998</v>
      </c>
      <c r="AQ10" s="6">
        <v>102.92328221357999</v>
      </c>
      <c r="AR10" s="6">
        <v>16.558905961575132</v>
      </c>
      <c r="AS10" s="6">
        <v>17.531892881303168</v>
      </c>
      <c r="AT10" s="6">
        <v>-4.0488664291370158E-3</v>
      </c>
      <c r="AU10" s="6">
        <v>0.8</v>
      </c>
      <c r="AV10" s="6">
        <v>4.7150419888541052E-2</v>
      </c>
      <c r="AW10" s="6">
        <v>0.65762698807133346</v>
      </c>
      <c r="AX10" s="6">
        <v>4.7150419888541052E-2</v>
      </c>
      <c r="AY10" s="6">
        <v>0.17390385770913591</v>
      </c>
      <c r="AZ10" s="6">
        <v>4.7150419888541052E-2</v>
      </c>
      <c r="BA10" s="6">
        <v>0.65762698807133346</v>
      </c>
      <c r="BB10" s="6">
        <v>0.17390385770913591</v>
      </c>
      <c r="BC10" s="6">
        <v>0.17121037200303721</v>
      </c>
      <c r="BD10" s="6">
        <v>0.13310991716889151</v>
      </c>
      <c r="BE10" s="6">
        <v>3.3449895750253138E-2</v>
      </c>
      <c r="BF10" s="6">
        <v>0.30355841622573548</v>
      </c>
      <c r="BG10" s="6">
        <v>0.27541710644471717</v>
      </c>
      <c r="BH10" s="6">
        <v>8.7202595882455033E-2</v>
      </c>
      <c r="BI10" s="6">
        <v>0.69786163017307123</v>
      </c>
      <c r="BJ10" s="6">
        <v>8.7202595882455033E-2</v>
      </c>
      <c r="BK10" s="6">
        <v>0.24190585376552851</v>
      </c>
      <c r="BL10" s="6">
        <v>8.7202595882455033E-2</v>
      </c>
      <c r="BM10" s="6">
        <v>0.69786163017307123</v>
      </c>
      <c r="BN10" s="6">
        <v>0.24190585376552851</v>
      </c>
      <c r="BO10" s="6">
        <v>0.26366073574789728</v>
      </c>
      <c r="BP10" s="6">
        <v>0.27153143607548058</v>
      </c>
      <c r="BQ10" s="6">
        <v>5.9201568228579471E-2</v>
      </c>
      <c r="BR10" s="6">
        <v>0.44913441581723729</v>
      </c>
      <c r="BS10" s="6">
        <v>0.38371312205054459</v>
      </c>
      <c r="BT10" s="6">
        <v>0.17359862032325529</v>
      </c>
      <c r="BU10" s="6">
        <v>0.30305644897641593</v>
      </c>
      <c r="BV10" s="6">
        <v>0.17359862032325529</v>
      </c>
      <c r="BW10" s="6">
        <v>0.36695089911049888</v>
      </c>
      <c r="BX10" s="6">
        <v>0.17359862032325529</v>
      </c>
      <c r="BY10" s="6">
        <v>0.30305644897641593</v>
      </c>
      <c r="BZ10" s="6">
        <v>0.36695089911049888</v>
      </c>
      <c r="CA10" s="6">
        <v>0.41470035148518469</v>
      </c>
      <c r="CB10" s="6">
        <v>0.23386973858734561</v>
      </c>
      <c r="CC10" s="6">
        <v>6.1086973015607171E-2</v>
      </c>
      <c r="CD10" s="6">
        <v>0.42451039190580442</v>
      </c>
      <c r="CE10" s="6">
        <v>0.44368023994669831</v>
      </c>
      <c r="CF10" s="6">
        <v>104.6683946359708</v>
      </c>
      <c r="CG10" s="6">
        <v>0.70209529795937831</v>
      </c>
      <c r="CH10" s="6">
        <v>104.6683946359708</v>
      </c>
      <c r="CI10" s="6">
        <v>8.1609859695471521</v>
      </c>
      <c r="CJ10" s="6">
        <v>104.6683946359708</v>
      </c>
      <c r="CK10" s="6">
        <v>0.70209529795937831</v>
      </c>
      <c r="CL10" s="6">
        <v>8.1609859695471521</v>
      </c>
      <c r="CM10" s="6">
        <v>10.232450127317859</v>
      </c>
      <c r="CN10" s="6">
        <v>411.0546177624858</v>
      </c>
      <c r="CO10" s="6">
        <v>-0.16993390271098671</v>
      </c>
      <c r="CP10" s="6">
        <v>16.50699218492305</v>
      </c>
      <c r="CQ10" s="7">
        <v>17.486620292355251</v>
      </c>
    </row>
    <row r="11" spans="1:95" x14ac:dyDescent="0.3">
      <c r="A11" s="10">
        <v>46062.594837962963</v>
      </c>
      <c r="B11" s="11" t="s">
        <v>131</v>
      </c>
      <c r="C11" s="11">
        <v>3</v>
      </c>
      <c r="D11" s="11" t="s">
        <v>96</v>
      </c>
      <c r="E11" s="11">
        <v>16590</v>
      </c>
      <c r="F11" s="11">
        <v>4.5</v>
      </c>
      <c r="G11" s="11" t="s">
        <v>114</v>
      </c>
      <c r="H11" s="11" t="s">
        <v>98</v>
      </c>
      <c r="I11" s="11">
        <v>5</v>
      </c>
      <c r="J11" s="11">
        <v>5</v>
      </c>
      <c r="K11" s="11" t="s">
        <v>99</v>
      </c>
      <c r="L11" s="11" t="s">
        <v>100</v>
      </c>
      <c r="M11" s="11" t="s">
        <v>101</v>
      </c>
      <c r="N11" s="11" t="s">
        <v>101</v>
      </c>
      <c r="O11" s="11" t="s">
        <v>102</v>
      </c>
      <c r="P11" s="11" t="s">
        <v>130</v>
      </c>
      <c r="Q11" s="11" t="s">
        <v>104</v>
      </c>
      <c r="R11" s="11" t="s">
        <v>105</v>
      </c>
      <c r="S11" s="11" t="s">
        <v>106</v>
      </c>
      <c r="T11" s="11" t="s">
        <v>107</v>
      </c>
      <c r="U11" s="11" t="s">
        <v>108</v>
      </c>
      <c r="V11" s="11" t="s">
        <v>109</v>
      </c>
      <c r="W11" s="11" t="s">
        <v>101</v>
      </c>
      <c r="X11" s="11">
        <v>220</v>
      </c>
      <c r="Y11" s="11">
        <v>100</v>
      </c>
      <c r="Z11" s="11">
        <v>120</v>
      </c>
      <c r="AA11" s="11" t="s">
        <v>110</v>
      </c>
      <c r="AB11" s="11">
        <v>4000</v>
      </c>
      <c r="AC11" s="11">
        <v>4000</v>
      </c>
      <c r="AD11" s="11">
        <v>0.13792199489875909</v>
      </c>
      <c r="AE11" s="11"/>
      <c r="AF11" s="11">
        <v>128</v>
      </c>
      <c r="AG11" s="11" t="s">
        <v>111</v>
      </c>
      <c r="AH11" s="11">
        <v>0.1</v>
      </c>
      <c r="AI11" s="11">
        <v>29.941904953320481</v>
      </c>
      <c r="AJ11" s="11">
        <v>0.57365135623854457</v>
      </c>
      <c r="AK11" s="11">
        <v>29.941904953320481</v>
      </c>
      <c r="AL11" s="11">
        <v>8.4177059410940114</v>
      </c>
      <c r="AM11" s="11">
        <v>29.941904953320481</v>
      </c>
      <c r="AN11" s="11">
        <v>8.4177059410940114</v>
      </c>
      <c r="AO11" s="11">
        <v>8.4679729527719445</v>
      </c>
      <c r="AP11" s="11">
        <v>0.57365135623854457</v>
      </c>
      <c r="AQ11" s="11">
        <v>106.0287659255718</v>
      </c>
      <c r="AR11" s="11">
        <v>17.202464663126701</v>
      </c>
      <c r="AS11" s="11">
        <v>18.832918641928622</v>
      </c>
      <c r="AT11" s="11">
        <v>-6.6706666520244207E-2</v>
      </c>
      <c r="AU11" s="11">
        <v>0.8</v>
      </c>
      <c r="AV11" s="11">
        <v>5.1377782208611077E-2</v>
      </c>
      <c r="AW11" s="11">
        <v>0.62693087182342966</v>
      </c>
      <c r="AX11" s="11">
        <v>5.1377782208611077E-2</v>
      </c>
      <c r="AY11" s="11">
        <v>0.17600769478428999</v>
      </c>
      <c r="AZ11" s="11">
        <v>5.1377782208611077E-2</v>
      </c>
      <c r="BA11" s="11">
        <v>0.62693087182342966</v>
      </c>
      <c r="BB11" s="11">
        <v>0.17600769478428999</v>
      </c>
      <c r="BC11" s="11">
        <v>0.16425273357293199</v>
      </c>
      <c r="BD11" s="11">
        <v>0.13676811726575611</v>
      </c>
      <c r="BE11" s="11">
        <v>6.8866331459753738E-3</v>
      </c>
      <c r="BF11" s="11">
        <v>0.31355789590639488</v>
      </c>
      <c r="BG11" s="11">
        <v>0.34620541970666241</v>
      </c>
      <c r="BH11" s="11">
        <v>9.063859511591274E-2</v>
      </c>
      <c r="BI11" s="11">
        <v>0.68595662669676583</v>
      </c>
      <c r="BJ11" s="11">
        <v>9.063859511591274E-2</v>
      </c>
      <c r="BK11" s="11">
        <v>0.2598201345445813</v>
      </c>
      <c r="BL11" s="11">
        <v>9.063859511591274E-2</v>
      </c>
      <c r="BM11" s="11">
        <v>0.68595662669676583</v>
      </c>
      <c r="BN11" s="11">
        <v>0.2598201345445813</v>
      </c>
      <c r="BO11" s="11">
        <v>0.32067209465989632</v>
      </c>
      <c r="BP11" s="11">
        <v>0.30102212504520298</v>
      </c>
      <c r="BQ11" s="11">
        <v>-4.2977370370857797E-2</v>
      </c>
      <c r="BR11" s="11">
        <v>0.46772853691913457</v>
      </c>
      <c r="BS11" s="11">
        <v>0.46647623102765212</v>
      </c>
      <c r="BT11" s="11">
        <v>0.1689516374837029</v>
      </c>
      <c r="BU11" s="11">
        <v>0.32171261522769501</v>
      </c>
      <c r="BV11" s="11">
        <v>0.1689516374837029</v>
      </c>
      <c r="BW11" s="11">
        <v>0.35527623306537182</v>
      </c>
      <c r="BX11" s="11">
        <v>0.1689516374837029</v>
      </c>
      <c r="BY11" s="11">
        <v>0.32171261522769501</v>
      </c>
      <c r="BZ11" s="11">
        <v>0.35527623306537182</v>
      </c>
      <c r="CA11" s="11">
        <v>0.40248556861060092</v>
      </c>
      <c r="CB11" s="11">
        <v>0.25546291875975241</v>
      </c>
      <c r="CC11" s="11">
        <v>-2.56028154125858E-2</v>
      </c>
      <c r="CD11" s="11">
        <v>0.44562725426672939</v>
      </c>
      <c r="CE11" s="11">
        <v>0.44228274678593082</v>
      </c>
      <c r="CF11" s="11">
        <v>119.4566517984745</v>
      </c>
      <c r="CG11" s="11">
        <v>0.66000531120628303</v>
      </c>
      <c r="CH11" s="11">
        <v>119.4566517984745</v>
      </c>
      <c r="CI11" s="11">
        <v>8.360984429965864</v>
      </c>
      <c r="CJ11" s="11">
        <v>119.4566517984745</v>
      </c>
      <c r="CK11" s="11">
        <v>0.66000531120628303</v>
      </c>
      <c r="CL11" s="11">
        <v>8.360984429965864</v>
      </c>
      <c r="CM11" s="11">
        <v>8.4043274380517001</v>
      </c>
      <c r="CN11" s="11">
        <v>423.42181054121602</v>
      </c>
      <c r="CO11" s="11">
        <v>-0.20513311344351101</v>
      </c>
      <c r="CP11" s="11">
        <v>17.152030310582379</v>
      </c>
      <c r="CQ11" s="12">
        <v>18.777107272678641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E3F2-6500-4195-8BD0-F48825F6A01F}">
  <dimension ref="A1:G4"/>
  <sheetViews>
    <sheetView workbookViewId="0">
      <selection activeCell="B13" sqref="B13"/>
    </sheetView>
  </sheetViews>
  <sheetFormatPr baseColWidth="10" defaultRowHeight="14.4" x14ac:dyDescent="0.3"/>
  <cols>
    <col min="1" max="1" width="69.77734375" bestFit="1" customWidth="1"/>
    <col min="2" max="2" width="25.44140625" bestFit="1" customWidth="1"/>
    <col min="3" max="3" width="26.6640625" bestFit="1" customWidth="1"/>
    <col min="4" max="4" width="39" bestFit="1" customWidth="1"/>
    <col min="5" max="5" width="38.5546875" bestFit="1" customWidth="1"/>
    <col min="6" max="6" width="34.44140625" bestFit="1" customWidth="1"/>
    <col min="7" max="7" width="35.6640625" bestFit="1" customWidth="1"/>
  </cols>
  <sheetData>
    <row r="1" spans="1:7" x14ac:dyDescent="0.3">
      <c r="A1" s="8" t="s">
        <v>121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</row>
    <row r="2" spans="1:7" x14ac:dyDescent="0.3">
      <c r="A2" s="9" t="s">
        <v>97</v>
      </c>
      <c r="B2" s="13">
        <v>0.57145336910093147</v>
      </c>
      <c r="C2" s="13">
        <v>-0.17053583077688447</v>
      </c>
      <c r="D2" s="13">
        <v>0.60883011646678109</v>
      </c>
      <c r="E2" s="13">
        <v>0.68558456185724126</v>
      </c>
      <c r="F2" s="13">
        <v>0.34294882912640168</v>
      </c>
      <c r="G2" s="13">
        <v>0.64844996895330198</v>
      </c>
    </row>
    <row r="3" spans="1:7" x14ac:dyDescent="0.3">
      <c r="A3" s="9" t="s">
        <v>114</v>
      </c>
      <c r="B3" s="13">
        <v>0.56927524672700813</v>
      </c>
      <c r="C3" s="13">
        <v>-0.2212015854558726</v>
      </c>
      <c r="D3" s="13">
        <v>0.59955003749177938</v>
      </c>
      <c r="E3" s="13">
        <v>0.68423000684429047</v>
      </c>
      <c r="F3" s="13">
        <v>0.34470859513842017</v>
      </c>
      <c r="G3" s="13">
        <v>0.64861234743354257</v>
      </c>
    </row>
    <row r="4" spans="1:7" x14ac:dyDescent="0.3">
      <c r="A4" s="9" t="s">
        <v>122</v>
      </c>
      <c r="B4" s="13">
        <v>0.57036430791396975</v>
      </c>
      <c r="C4" s="13">
        <v>-0.19586870811637852</v>
      </c>
      <c r="D4" s="13">
        <v>0.60419007697928018</v>
      </c>
      <c r="E4" s="13">
        <v>0.68490728435076575</v>
      </c>
      <c r="F4" s="13">
        <v>0.3438287121324109</v>
      </c>
      <c r="G4" s="13">
        <v>0.64853115819342233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Main_Results</vt:lpstr>
      <vt:lpstr>Analizer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2026-02-11T09:27:09Z</dcterms:modified>
</cp:coreProperties>
</file>