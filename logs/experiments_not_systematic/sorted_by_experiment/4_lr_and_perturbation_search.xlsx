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not_systematic/sorted_by_experiment/"/>
    </mc:Choice>
  </mc:AlternateContent>
  <xr:revisionPtr revIDLastSave="67" documentId="11_AD4D2F04E46CFB4ACB3E20D455D6CCDA693EDF1F" xr6:coauthVersionLast="47" xr6:coauthVersionMax="47" xr10:uidLastSave="{68C725FE-58C0-4C05-94DF-49D0E402006E}"/>
  <bookViews>
    <workbookView xWindow="-108" yWindow="-108" windowWidth="23256" windowHeight="12456" activeTab="1" xr2:uid="{00000000-000D-0000-FFFF-FFFF00000000}"/>
  </bookViews>
  <sheets>
    <sheet name="Main_results" sheetId="1" r:id="rId1"/>
    <sheet name="Analizer" sheetId="2" r:id="rId2"/>
  </sheets>
  <externalReferences>
    <externalReference r:id="rId3"/>
  </externalReferences>
  <definedNames>
    <definedName name="_xlnm._FilterDatabase" localSheetId="0" hidden="1">Main_results!$A$1:$CQ$15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D17" i="1"/>
</calcChain>
</file>

<file path=xl/sharedStrings.xml><?xml version="1.0" encoding="utf-8"?>
<sst xmlns="http://schemas.openxmlformats.org/spreadsheetml/2006/main" count="393" uniqueCount="136">
  <si>
    <t>date</t>
  </si>
  <si>
    <t>model_id</t>
  </si>
  <si>
    <t>run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</si>
  <si>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</si>
  <si>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</si>
  <si>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</si>
  <si>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</si>
  <si>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</si>
  <si>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</si>
  <si>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</si>
  <si>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</si>
  <si>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</si>
  <si>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</si>
  <si>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</si>
  <si>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</si>
  <si>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</si>
  <si>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</si>
  <si>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</si>
  <si>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</si>
  <si>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</si>
  <si>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</si>
  <si>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</si>
  <si>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</si>
  <si>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total params</t>
  </si>
  <si>
    <t>q params</t>
  </si>
  <si>
    <t>c params</t>
  </si>
  <si>
    <t>optimizer</t>
  </si>
  <si>
    <t>maxiter</t>
  </si>
  <si>
    <t>iterations</t>
  </si>
  <si>
    <t>final val loss</t>
  </si>
  <si>
    <t>tolerance</t>
  </si>
  <si>
    <t>batch_size</t>
  </si>
  <si>
    <t>learning_rate</t>
  </si>
  <si>
    <t>perturbation</t>
  </si>
  <si>
    <t>step MSE</t>
  </si>
  <si>
    <t>step R2</t>
  </si>
  <si>
    <t>local MSE</t>
  </si>
  <si>
    <t>local ADE</t>
  </si>
  <si>
    <t>global open MSE</t>
  </si>
  <si>
    <t>global open ADE</t>
  </si>
  <si>
    <t>global open FDE</t>
  </si>
  <si>
    <t>global open R2</t>
  </si>
  <si>
    <t>global closed MSE</t>
  </si>
  <si>
    <t>global closed ADE</t>
  </si>
  <si>
    <t>global closed FDE</t>
  </si>
  <si>
    <t>global closed R2</t>
  </si>
  <si>
    <t>recursivity</t>
  </si>
  <si>
    <t>Surge Velocity Step MSE</t>
  </si>
  <si>
    <t>Surge Velocity Step R2</t>
  </si>
  <si>
    <t>Surge Velocity Local MSE</t>
  </si>
  <si>
    <t>Surge Velocity Local ADE</t>
  </si>
  <si>
    <t>Surge Velocity Global open MSE</t>
  </si>
  <si>
    <t>Surge Velocity Global open R2</t>
  </si>
  <si>
    <t>Surge Velocity Global open ADE</t>
  </si>
  <si>
    <t>Surge Velocity Global open FDE</t>
  </si>
  <si>
    <t>Surge Velocity Global closed MSE</t>
  </si>
  <si>
    <t>Surge Velocity Global closed R2</t>
  </si>
  <si>
    <t>Surge Velocity Global closed ADE</t>
  </si>
  <si>
    <t>Surge Velocity Global closed FDE</t>
  </si>
  <si>
    <t>Sway Velocity Step MSE</t>
  </si>
  <si>
    <t>Sway Velocity Step R2</t>
  </si>
  <si>
    <t>Sway Velocity Local MSE</t>
  </si>
  <si>
    <t>Sway Velocity Local ADE</t>
  </si>
  <si>
    <t>Sway Velocity Global open MSE</t>
  </si>
  <si>
    <t>Sway Velocity Global open R2</t>
  </si>
  <si>
    <t>Sway Velocity Global open ADE</t>
  </si>
  <si>
    <t>Sway Velocity Global open FDE</t>
  </si>
  <si>
    <t>Sway Velocity Global closed MSE</t>
  </si>
  <si>
    <t>Sway Velocity Global closed R2</t>
  </si>
  <si>
    <t>Sway Velocity Global closed ADE</t>
  </si>
  <si>
    <t>Sway Velocity Global closed FDE</t>
  </si>
  <si>
    <t>Yaw Rate Step MSE</t>
  </si>
  <si>
    <t>Yaw Rate Step R2</t>
  </si>
  <si>
    <t>Yaw Rate Local MSE</t>
  </si>
  <si>
    <t>Yaw Rate Local ADE</t>
  </si>
  <si>
    <t>Yaw Rate Global open MSE</t>
  </si>
  <si>
    <t>Yaw Rate Global open R2</t>
  </si>
  <si>
    <t>Yaw Rate Global open ADE</t>
  </si>
  <si>
    <t>Yaw Rate Global open FDE</t>
  </si>
  <si>
    <t>Yaw Rate Global closed MSE</t>
  </si>
  <si>
    <t>Yaw Rate Global closed R2</t>
  </si>
  <si>
    <t>Yaw Rate Global closed ADE</t>
  </si>
  <si>
    <t>Yaw Rate Global closed FDE</t>
  </si>
  <si>
    <t>Yaw Angle Step MSE</t>
  </si>
  <si>
    <t>Yaw Angle Step R2</t>
  </si>
  <si>
    <t>Yaw Angle Local MSE</t>
  </si>
  <si>
    <t>Yaw Angle Local ADE</t>
  </si>
  <si>
    <t>Yaw Angle Global open MSE</t>
  </si>
  <si>
    <t>Yaw Angle Global open R2</t>
  </si>
  <si>
    <t>Yaw Angle Global open ADE</t>
  </si>
  <si>
    <t>Yaw Angle Global open FDE</t>
  </si>
  <si>
    <t>Yaw Angle Global closed MSE</t>
  </si>
  <si>
    <t>Yaw Angle Global closed R2</t>
  </si>
  <si>
    <t>Yaw Angle Global closed ADE</t>
  </si>
  <si>
    <t>Yaw Angle Global closed FDE</t>
  </si>
  <si>
    <t>02-06_07-27-17_multihead_spsa_f7_w5_h5_effsu2_effsu2_realamplitudes_full_r3_4_2.pkl</t>
  </si>
  <si>
    <t>data/reduce_row_number_absolutes</t>
  </si>
  <si>
    <t>[['wv', 'asv', 'ararad'], ['sv', 'yr', 'rarad'], ['ya', 'yr',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</si>
  <si>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</si>
  <si>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</si>
  <si>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</si>
  <si>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</si>
  <si>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</si>
  <si>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</t>
  </si>
  <si>
    <t>multihead3</t>
  </si>
  <si>
    <t>compact</t>
  </si>
  <si>
    <t>['effsu2', 'effsu2', 'realamplitudes']</t>
  </si>
  <si>
    <t>full</t>
  </si>
  <si>
    <t>[3, 4, 2]</t>
  </si>
  <si>
    <t>[0, 1, 2]</t>
  </si>
  <si>
    <t>spsa</t>
  </si>
  <si>
    <t>[0.01, 0.0005]</t>
  </si>
  <si>
    <t>[0.02, 0.001]</t>
  </si>
  <si>
    <t>02-07_03-07-50_multihead_spsa_f7_w5_h5_effsu2_effsu2_realamplitudes_full_r3_4_2.pkl</t>
  </si>
  <si>
    <t>02-05_16-47-07_multihead_spsa_f7_w5_h5_effsu2_effsu2_realamplitudes_full_r3_4_2.pkl</t>
  </si>
  <si>
    <t>[0.05, 0.001]</t>
  </si>
  <si>
    <t>02-07_07-08-15_multihead_spsa_f7_w5_h5_effsu2_effsu2_realamplitudes_full_r3_4_2.pkl</t>
  </si>
  <si>
    <t>02-05_19-57-33_multihead_spsa_f7_w5_h5_effsu2_effsu2_realamplitudes_full_r3_4_2.pkl</t>
  </si>
  <si>
    <t>02-06_14-33-07_multihead_spsa_f7_w5_h5_effsu2_effsu2_realamplitudes_full_r3_4_2.pkl</t>
  </si>
  <si>
    <t>02-07_10-50-07_multihead_spsa_f7_w5_h5_effsu2_effsu2_realamplitudes_full_r3_4_2.pkl</t>
  </si>
  <si>
    <t>02-05_23-15-26_multihead_spsa_f7_w5_h5_effsu2_effsu2_realamplitudes_full_r3_4_2.pkl</t>
  </si>
  <si>
    <t>02-06_18-53-57_multihead_spsa_f7_w5_h5_effsu2_effsu2_realamplitudes_full_r3_4_2.pkl</t>
  </si>
  <si>
    <t>02-07_14-18-31_multihead_spsa_f7_w5_h5_effsu2_effsu2_realamplitudes_full_r3_4_2.pkl</t>
  </si>
  <si>
    <t>02-06_02-07-03_multihead_spsa_f7_w5_h5_effsu2_effsu2_realamplitudes_full_r3_4_2.pkl</t>
  </si>
  <si>
    <t>02-06_23-11-53_multihead_spsa_f7_w5_h5_effsu2_effsu2_realamplitudes_full_r3_4_2.pkl</t>
  </si>
  <si>
    <t>02-07_17-31-01_multihead_spsa_f7_w5_h5_effsu2_effsu2_realamplitudes_full_r3_4_2.pkl</t>
  </si>
  <si>
    <t>02-06_04-46-25_multihead_spsa_f7_w5_h5_effsu2_effsu2_realamplitudes_full_r3_4_2.pkl</t>
  </si>
  <si>
    <t>Etiquetas de fila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</si>
  <si>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</si>
  <si>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</si>
  <si>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</si>
  <si>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</si>
  <si>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</si>
  <si>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</si>
  <si>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</si>
  <si>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02-06_10-17-06_multihead_spsa_f7_w5_h5_effsu2_effsu2_realamplitudes_full_r3_4_2.pkl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</si>
</sst>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3" borderId="2" xfId="0" applyNumberFormat="1" applyFill="1" applyBorder="1"/>
    <xf numFmtId="0" fontId="0" fillId="3" borderId="3" xfId="0" applyFill="1" applyBorder="1"/>
    <xf numFmtId="164" fontId="0" fillId="4" borderId="2" xfId="0" applyNumberFormat="1" applyFill="1" applyBorder="1"/>
    <xf numFmtId="0" fontId="0" fillId="4" borderId="3" xfId="0" applyFill="1" applyBorder="1"/>
    <xf numFmtId="164" fontId="0" fillId="3" borderId="4" xfId="0" applyNumberFormat="1" applyFill="1" applyBorder="1"/>
    <xf numFmtId="0" fontId="0" fillId="3" borderId="5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6" xfId="0" applyFill="1" applyBorder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ll_together/All_the_experiments.xlsx" TargetMode="External"/><Relationship Id="rId2" Type="http://schemas.openxmlformats.org/officeDocument/2006/relationships/externalLinkPath" Target="https://mgep-my.sharepoint.com/personal/uxue_ballarin_alumni_mondragon_edu/Documents/Semestre%208-Erasmus/Simula/ship_qnn/logs/all_together/All_the_experiments.xlsx" TargetMode="External"/><Relationship Id="rId1" Type="http://schemas.openxmlformats.org/officeDocument/2006/relationships/externalLinkPath" Target="/personal/uxue_ballarin_alumni_mondragon_edu/Documents/Semestre%208-Erasmus/Simula/ship_qnn/logs/all_together/All_the_experi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_results"/>
      <sheetName val="Means"/>
    </sheetNames>
    <sheetDataSet>
      <sheetData sheetId="0">
        <row r="48">
          <cell r="D48" t="str">
            <v>data/reduce_row_number_absolutes</v>
          </cell>
          <cell r="E48">
            <v>16590</v>
          </cell>
          <cell r="F48">
            <v>4.5</v>
          </cell>
          <cell r="G48" t="str">
            <v>[['wv', 'asv', 'ararad'], ['sv', 'yr', 'rarad'], ['ya', 'yr', 'rarad']]</v>
          </cell>
          <cell r="H48" t="str">
            <v>['Surge Velocity', 'Sway Velocity', 'Yaw Rate', 'Yaw Angle']</v>
          </cell>
          <cell r="I48">
            <v>5</v>
          </cell>
          <cell r="J48">
            <v>5</v>
          </cell>
          <cell r="K48" t="str">
            <v>motion</v>
          </cell>
          <cell r="L48" t="str">
            <v>true</v>
          </cell>
          <cell r="M48" t="str">
            <v>false</v>
          </cell>
          <cell r="N48" t="str">
            <v>false</v>
          </cell>
          <cell r="O48" t="str">
            <v>multihead</v>
          </cell>
          <cell r="P48" t="str">
            <v>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</v>
          </cell>
          <cell r="Q48" t="str">
            <v>multihead3</v>
          </cell>
          <cell r="R48" t="str">
            <v>compact</v>
          </cell>
          <cell r="S48" t="str">
            <v>['effsu2', 'effsu2', 'realamplitudes']</v>
          </cell>
          <cell r="T48" t="str">
            <v>full</v>
          </cell>
          <cell r="U48" t="str">
            <v>[3, 4, 2]</v>
          </cell>
          <cell r="V48" t="str">
            <v>[0, 1, 2]</v>
          </cell>
          <cell r="W48" t="str">
            <v>false</v>
          </cell>
          <cell r="X48">
            <v>200</v>
          </cell>
          <cell r="Y48">
            <v>80</v>
          </cell>
          <cell r="Z48">
            <v>120</v>
          </cell>
          <cell r="AA48" t="str">
            <v>spsa</v>
          </cell>
          <cell r="AB48">
            <v>4000</v>
          </cell>
          <cell r="AC48">
            <v>4000</v>
          </cell>
          <cell r="AD48">
            <v>0.1798637296773809</v>
          </cell>
          <cell r="AE48"/>
          <cell r="AF48">
            <v>128</v>
          </cell>
          <cell r="AG48" t="str">
            <v>[0.01, 0.0005]</v>
          </cell>
          <cell r="AH48">
            <v>0.05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64.453598148146" createdVersion="8" refreshedVersion="8" minRefreshableVersion="3" recordCount="15" xr:uid="{BA278509-157A-411B-9AFF-69A8E7724C6D}">
  <cacheSource type="worksheet">
    <worksheetSource ref="A1:CQ16" sheet="Main_results"/>
  </cacheSource>
  <cacheFields count="95">
    <cacheField name="date" numFmtId="164">
      <sharedItems containsSemiMixedTypes="0" containsNonDate="0" containsDate="1" containsString="0" minDate="2026-02-05T16:47:07" maxDate="2026-02-07T17:31:01"/>
    </cacheField>
    <cacheField name="model_id" numFmtId="0">
      <sharedItems/>
    </cacheField>
    <cacheField name="run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unt="1">
        <s v="[3, 4, 2]"/>
      </sharedItems>
    </cacheField>
    <cacheField name="map" numFmtId="0">
      <sharedItems count="1">
        <s v="[0, 1, 2]"/>
      </sharedItems>
    </cacheField>
    <cacheField name="reorder" numFmtId="0">
      <sharedItems/>
    </cacheField>
    <cacheField name="total params" numFmtId="0">
      <sharedItems containsSemiMixedTypes="0" containsString="0" containsNumber="1" containsInteger="1" minValue="200" maxValue="200"/>
    </cacheField>
    <cacheField name="q params" numFmtId="0">
      <sharedItems containsSemiMixedTypes="0" containsString="0" containsNumber="1" containsInteger="1" minValue="80" maxValue="80"/>
    </cacheField>
    <cacheField name="c params" numFmtId="0">
      <sharedItems containsSemiMixedTypes="0" containsString="0" containsNumber="1" containsInteger="1" minValue="120" maxValue="120"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final val loss" numFmtId="0">
      <sharedItems containsSemiMixedTypes="0" containsString="0" containsNumber="1" minValue="0.1005270800365871" maxValue="0.2259545637533872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128" maxValue="128"/>
    </cacheField>
    <cacheField name="learning_rate" numFmtId="0">
      <sharedItems count="3">
        <s v="[0.01, 0.0005]"/>
        <s v="[0.02, 0.001]"/>
        <s v="[0.05, 0.001]"/>
      </sharedItems>
    </cacheField>
    <cacheField name="perturbation" numFmtId="0">
      <sharedItems containsSemiMixedTypes="0" containsString="0" containsNumber="1" minValue="0.05" maxValue="0.15" count="3">
        <n v="0.05"/>
        <n v="0.1"/>
        <n v="0.15"/>
      </sharedItems>
    </cacheField>
    <cacheField name="step MSE" numFmtId="0">
      <sharedItems containsSemiMixedTypes="0" containsString="0" containsNumber="1" minValue="20.787792651419451" maxValue="56.352636043782162"/>
    </cacheField>
    <cacheField name="step R2" numFmtId="0">
      <sharedItems containsSemiMixedTypes="0" containsString="0" containsNumber="1" minValue="0.19645196207771171" maxValue="0.76106982989235195"/>
    </cacheField>
    <cacheField name="local MSE" numFmtId="0">
      <sharedItems containsSemiMixedTypes="0" containsString="0" containsNumber="1" minValue="20.787792651419451" maxValue="56.352636043782162"/>
    </cacheField>
    <cacheField name="local ADE" numFmtId="0">
      <sharedItems containsSemiMixedTypes="0" containsString="0" containsNumber="1" minValue="7.1649913821589264" maxValue="12.22908744577864"/>
    </cacheField>
    <cacheField name="global open MSE" numFmtId="0">
      <sharedItems containsSemiMixedTypes="0" containsString="0" containsNumber="1" minValue="20.787792651419451" maxValue="56.352636043782162"/>
    </cacheField>
    <cacheField name="global open ADE" numFmtId="0">
      <sharedItems containsSemiMixedTypes="0" containsString="0" containsNumber="1" minValue="7.1649913821589264" maxValue="12.22908744577864"/>
    </cacheField>
    <cacheField name="global open FDE" numFmtId="0">
      <sharedItems containsSemiMixedTypes="0" containsString="0" containsNumber="1" minValue="7.6567626609735582" maxValue="14.705131228314761"/>
    </cacheField>
    <cacheField name="global open R2" numFmtId="0">
      <sharedItems containsSemiMixedTypes="0" containsString="0" containsNumber="1" minValue="0.19645196207771171" maxValue="0.76106982989235195"/>
    </cacheField>
    <cacheField name="global closed MSE" numFmtId="0">
      <sharedItems containsSemiMixedTypes="0" containsString="0" containsNumber="1" minValue="94.6951210551739" maxValue="123.69778138023131"/>
    </cacheField>
    <cacheField name="global closed ADE" numFmtId="0">
      <sharedItems containsSemiMixedTypes="0" containsString="0" containsNumber="1" minValue="16.237128618926569" maxValue="18.865362182278432"/>
    </cacheField>
    <cacheField name="global closed FDE" numFmtId="0">
      <sharedItems containsSemiMixedTypes="0" containsString="0" containsNumber="1" minValue="16.167485315898531" maxValue="19.379622644112139"/>
    </cacheField>
    <cacheField name="global closed R2" numFmtId="0">
      <sharedItems containsSemiMixedTypes="0" containsString="0" containsNumber="1" minValue="-0.2197400100476401" maxValue="0.1974853795873461"/>
    </cacheField>
    <cacheField name="recursivity" numFmtId="0">
      <sharedItems containsSemiMixedTypes="0" containsString="0" containsNumber="1" minValue="0.5714285714285714" maxValue="0.5714285714285714"/>
    </cacheField>
    <cacheField name="Surge Velocity Step MSE" numFmtId="0">
      <sharedItems containsSemiMixedTypes="0" containsString="0" containsNumber="1" minValue="2.3163221508344121E-2" maxValue="9.5753837588275506E-2"/>
    </cacheField>
    <cacheField name="Surge Velocity Step R2" numFmtId="0">
      <sharedItems containsSemiMixedTypes="0" containsString="0" containsNumber="1" minValue="0.30470333336748051" maxValue="0.83180506276445731"/>
    </cacheField>
    <cacheField name="Surge Velocity Local MSE" numFmtId="0">
      <sharedItems containsSemiMixedTypes="0" containsString="0" containsNumber="1" minValue="2.3163221508344121E-2" maxValue="9.5753837588275506E-2"/>
    </cacheField>
    <cacheField name="Surge Velocity Local ADE" numFmtId="0">
      <sharedItems containsSemiMixedTypes="0" containsString="0" containsNumber="1" minValue="0.1232676951406509" maxValue="0.2388376249165656"/>
    </cacheField>
    <cacheField name="Surge Velocity Global open MSE" numFmtId="0">
      <sharedItems containsSemiMixedTypes="0" containsString="0" containsNumber="1" minValue="2.3163221508344121E-2" maxValue="9.5753837588275506E-2"/>
    </cacheField>
    <cacheField name="Surge Velocity Global open R2" numFmtId="0">
      <sharedItems containsSemiMixedTypes="0" containsString="0" containsNumber="1" minValue="0.30470333336748051" maxValue="0.83180506276445731"/>
    </cacheField>
    <cacheField name="Surge Velocity Global open ADE" numFmtId="0">
      <sharedItems containsSemiMixedTypes="0" containsString="0" containsNumber="1" minValue="0.1232676951406509" maxValue="0.2388376249165656"/>
    </cacheField>
    <cacheField name="Surge Velocity Global open FDE" numFmtId="0">
      <sharedItems containsSemiMixedTypes="0" containsString="0" containsNumber="1" minValue="0.12716358924806029" maxValue="0.24570971521601559"/>
    </cacheField>
    <cacheField name="Surge Velocity Global closed MSE" numFmtId="0">
      <sharedItems containsSemiMixedTypes="0" containsString="0" containsNumber="1" minValue="4.091456216283431E-2" maxValue="0.22111757551518499"/>
    </cacheField>
    <cacheField name="Surge Velocity Global closed R2" numFmtId="0">
      <sharedItems containsSemiMixedTypes="0" containsString="0" containsNumber="1" minValue="-0.60559949409690716" maxValue="0.70290737786543844"/>
    </cacheField>
    <cacheField name="Surge Velocity Global closed ADE" numFmtId="0">
      <sharedItems containsSemiMixedTypes="0" containsString="0" containsNumber="1" minValue="0.15445796593006239" maxValue="0.38926457510972401"/>
    </cacheField>
    <cacheField name="Surge Velocity Global closed FDE" numFmtId="0">
      <sharedItems containsSemiMixedTypes="0" containsString="0" containsNumber="1" minValue="0.13217728944683699" maxValue="0.37636674441523271"/>
    </cacheField>
    <cacheField name="Sway Velocity Step MSE" numFmtId="0">
      <sharedItems containsSemiMixedTypes="0" containsString="0" containsNumber="1" minValue="4.2645082017198598E-2" maxValue="0.30831559864507169"/>
    </cacheField>
    <cacheField name="Sway Velocity Step R2" numFmtId="0">
      <sharedItems containsSemiMixedTypes="0" containsString="0" containsNumber="1" minValue="-6.8247698639645415E-2" maxValue="0.85224389903277598"/>
    </cacheField>
    <cacheField name="Sway Velocity Local MSE" numFmtId="0">
      <sharedItems containsSemiMixedTypes="0" containsString="0" containsNumber="1" minValue="4.2645082017198598E-2" maxValue="0.30831559864507169"/>
    </cacheField>
    <cacheField name="Sway Velocity Local ADE" numFmtId="0">
      <sharedItems containsSemiMixedTypes="0" containsString="0" containsNumber="1" minValue="0.1618366262841959" maxValue="0.49797368359390992"/>
    </cacheField>
    <cacheField name="Sway Velocity Global open MSE" numFmtId="0">
      <sharedItems containsSemiMixedTypes="0" containsString="0" containsNumber="1" minValue="4.2645082017198598E-2" maxValue="0.30831559864507169"/>
    </cacheField>
    <cacheField name="Sway Velocity Global open R2" numFmtId="0">
      <sharedItems containsSemiMixedTypes="0" containsString="0" containsNumber="1" minValue="-6.8247698639645415E-2" maxValue="0.85224389903277598"/>
    </cacheField>
    <cacheField name="Sway Velocity Global open ADE" numFmtId="0">
      <sharedItems containsSemiMixedTypes="0" containsString="0" containsNumber="1" minValue="0.1618366262841959" maxValue="0.49797368359390992"/>
    </cacheField>
    <cacheField name="Sway Velocity Global open FDE" numFmtId="0">
      <sharedItems containsSemiMixedTypes="0" containsString="0" containsNumber="1" minValue="0.16152686444885031" maxValue="0.52846878004532938"/>
    </cacheField>
    <cacheField name="Sway Velocity Global closed MSE" numFmtId="0">
      <sharedItems containsSemiMixedTypes="0" containsString="0" containsNumber="1" minValue="0.22358056861163819" maxValue="0.40110402085090979"/>
    </cacheField>
    <cacheField name="Sway Velocity Global closed R2" numFmtId="0">
      <sharedItems containsSemiMixedTypes="0" containsString="0" containsNumber="1" minValue="-0.38973976364507829" maxValue="0.22534108254809951"/>
    </cacheField>
    <cacheField name="Sway Velocity Global closed ADE" numFmtId="0">
      <sharedItems containsSemiMixedTypes="0" containsString="0" containsNumber="1" minValue="0.40308816234833378" maxValue="0.5414275384599232"/>
    </cacheField>
    <cacheField name="Sway Velocity Global closed FDE" numFmtId="0">
      <sharedItems containsSemiMixedTypes="0" containsString="0" containsNumber="1" minValue="0.37869891629978802" maxValue="0.57909850377966621"/>
    </cacheField>
    <cacheField name="Yaw Rate Step MSE" numFmtId="0">
      <sharedItems containsSemiMixedTypes="0" containsString="0" containsNumber="1" minValue="7.0548325828101069E-2" maxValue="0.22602259597023039"/>
    </cacheField>
    <cacheField name="Yaw Rate Step R2" numFmtId="0">
      <sharedItems containsSemiMixedTypes="0" containsString="0" containsNumber="1" minValue="9.2590768557167635E-2" maxValue="0.71677078637001701"/>
    </cacheField>
    <cacheField name="Yaw Rate Local MSE" numFmtId="0">
      <sharedItems containsSemiMixedTypes="0" containsString="0" containsNumber="1" minValue="7.0548325828101069E-2" maxValue="0.22602259597023039"/>
    </cacheField>
    <cacheField name="Yaw Rate Local ADE" numFmtId="0">
      <sharedItems containsSemiMixedTypes="0" containsString="0" containsNumber="1" minValue="0.20871941132913499" maxValue="0.41055339087683862"/>
    </cacheField>
    <cacheField name="Yaw Rate Global open MSE" numFmtId="0">
      <sharedItems containsSemiMixedTypes="0" containsString="0" containsNumber="1" minValue="7.0548325828101069E-2" maxValue="0.22602259597023039"/>
    </cacheField>
    <cacheField name="Yaw Rate Global open R2" numFmtId="0">
      <sharedItems containsSemiMixedTypes="0" containsString="0" containsNumber="1" minValue="9.2590768557167635E-2" maxValue="0.71677078637001701"/>
    </cacheField>
    <cacheField name="Yaw Rate Global open ADE" numFmtId="0">
      <sharedItems containsSemiMixedTypes="0" containsString="0" containsNumber="1" minValue="0.20871941132913499" maxValue="0.41055339087683862"/>
    </cacheField>
    <cacheField name="Yaw Rate Global open FDE" numFmtId="0">
      <sharedItems containsSemiMixedTypes="0" containsString="0" containsNumber="1" minValue="0.25071194461870272" maxValue="0.44775598668276129"/>
    </cacheField>
    <cacheField name="Yaw Rate Global closed MSE" numFmtId="0">
      <sharedItems containsSemiMixedTypes="0" containsString="0" containsNumber="1" minValue="0.18937622927643399" maxValue="0.3392619219567079"/>
    </cacheField>
    <cacheField name="Yaw Rate Global closed R2" numFmtId="0">
      <sharedItems containsSemiMixedTypes="0" containsString="0" containsNumber="1" minValue="-0.36202930746402728" maxValue="0.23971433951716911"/>
    </cacheField>
    <cacheField name="Yaw Rate Global closed ADE" numFmtId="0">
      <sharedItems containsSemiMixedTypes="0" containsString="0" containsNumber="1" minValue="0.37865567240663678" maxValue="0.50773329455344118"/>
    </cacheField>
    <cacheField name="Yaw Rate Global closed FDE" numFmtId="0">
      <sharedItems containsSemiMixedTypes="0" containsString="0" containsNumber="1" minValue="0.37719335056065822" maxValue="0.54674946404668934"/>
    </cacheField>
    <cacheField name="Yaw Angle Step MSE" numFmtId="0">
      <sharedItems containsSemiMixedTypes="0" containsString="0" containsNumber="1" minValue="82.975465133857085" maxValue="224.93235745046201"/>
    </cacheField>
    <cacheField name="Yaw Angle Step R2" numFmtId="0">
      <sharedItems containsSemiMixedTypes="0" containsString="0" containsNumber="1" minValue="0.35980285970158432" maxValue="0.76383719934413963"/>
    </cacheField>
    <cacheField name="Yaw Angle Local MSE" numFmtId="0">
      <sharedItems containsSemiMixedTypes="0" containsString="0" containsNumber="1" minValue="82.975465133857085" maxValue="224.93235745046201"/>
    </cacheField>
    <cacheField name="Yaw Angle Local ADE" numFmtId="0">
      <sharedItems containsSemiMixedTypes="0" containsString="0" containsNumber="1" minValue="7.1330517970172567" maxValue="12.16598227032279"/>
    </cacheField>
    <cacheField name="Yaw Angle Global open MSE" numFmtId="0">
      <sharedItems containsSemiMixedTypes="0" containsString="0" containsNumber="1" minValue="82.975465133857085" maxValue="224.93235745046201"/>
    </cacheField>
    <cacheField name="Yaw Angle Global open R2" numFmtId="0">
      <sharedItems containsSemiMixedTypes="0" containsString="0" containsNumber="1" minValue="0.35980285970158432" maxValue="0.76383719934413963"/>
    </cacheField>
    <cacheField name="Yaw Angle Global open ADE" numFmtId="0">
      <sharedItems containsSemiMixedTypes="0" containsString="0" containsNumber="1" minValue="7.1330517970172567" maxValue="12.16598227032279"/>
    </cacheField>
    <cacheField name="Yaw Angle Global open FDE" numFmtId="0">
      <sharedItems containsSemiMixedTypes="0" containsString="0" containsNumber="1" minValue="7.6195585108641009" maxValue="14.66604647432156"/>
    </cacheField>
    <cacheField name="Yaw Angle Global closed MSE" numFmtId="0">
      <sharedItems containsSemiMixedTypes="0" containsString="0" containsNumber="1" minValue="378.02766002292481" maxValue="494.14136854823909"/>
    </cacheField>
    <cacheField name="Yaw Angle Global closed R2" numFmtId="0">
      <sharedItems containsSemiMixedTypes="0" containsString="0" containsNumber="1" minValue="-0.40641344194953821" maxValue="-7.593335900406295E-2"/>
    </cacheField>
    <cacheField name="Yaw Angle Global closed ADE" numFmtId="0">
      <sharedItems containsSemiMixedTypes="0" containsString="0" containsNumber="1" minValue="16.177646007233001" maxValue="18.82201514860553"/>
    </cacheField>
    <cacheField name="Yaw Angle Global closed FDE" numFmtId="0">
      <sharedItems containsSemiMixedTypes="0" containsString="0" containsNumber="1" minValue="16.090275714513769" maxValue="19.325008379137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2-06T07:27:17"/>
    <s v="02-06_07-27-17_multihead_spsa_f7_w5_h5_effsu2_effsu2_realamplitudes_full_r3_4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8885315764313079"/>
    <m/>
    <n v="128"/>
    <x v="0"/>
    <x v="0"/>
    <n v="52.714515536070117"/>
    <n v="0.27927645558142228"/>
    <n v="52.714515536070117"/>
    <n v="11.5363950422381"/>
    <n v="52.714515536070117"/>
    <n v="11.5363950422381"/>
    <n v="10.28584011269049"/>
    <n v="0.27927645558142228"/>
    <n v="119.68532753337649"/>
    <n v="18.048971140068129"/>
    <n v="16.167485315898531"/>
    <n v="-0.17555522608920349"/>
    <n v="0.5714285714285714"/>
    <n v="8.972309693181052E-2"/>
    <n v="0.34849430803102488"/>
    <n v="8.972309693181052E-2"/>
    <n v="0.2388376249165656"/>
    <n v="8.972309693181052E-2"/>
    <n v="0.34849430803102488"/>
    <n v="0.2388376249165656"/>
    <n v="0.23637839628318749"/>
    <n v="0.12680571288224329"/>
    <n v="7.9226569946062253E-2"/>
    <n v="0.29172292451253501"/>
    <n v="0.30683683355260633"/>
    <n v="0.25095075237707909"/>
    <n v="0.13050924157973209"/>
    <n v="0.25095075237707909"/>
    <n v="0.43367252387265209"/>
    <n v="0.25095075237707909"/>
    <n v="0.13050924157973209"/>
    <n v="0.43367252387265209"/>
    <n v="0.52846878004532938"/>
    <n v="0.34362249300197761"/>
    <n v="-0.1905785466688317"/>
    <n v="0.50394068183505636"/>
    <n v="0.54265825081381802"/>
    <n v="0.1901193969399731"/>
    <n v="0.23673075641340749"/>
    <n v="0.1901193969399731"/>
    <n v="0.37702902977354907"/>
    <n v="0.1901193969399731"/>
    <n v="0.23673075641340749"/>
    <n v="0.37702902977354907"/>
    <n v="0.42530943803555948"/>
    <n v="0.30649937380663189"/>
    <n v="-0.23049803949785949"/>
    <n v="0.48207103860737638"/>
    <n v="0.54674946404668934"/>
    <n v="210.32726889803209"/>
    <n v="0.40137151630151341"/>
    <n v="210.32726889803209"/>
    <n v="11.4677575000839"/>
    <n v="210.32726889803209"/>
    <n v="0.40137151630151341"/>
    <n v="11.4677575000839"/>
    <n v="10.190608841365179"/>
    <n v="477.96438255381338"/>
    <n v="-0.36037088813617801"/>
    <n v="17.99064328156663"/>
    <n v="16.090275714513769"/>
  </r>
  <r>
    <d v="2026-02-07T03:07:50"/>
    <s v="02-07_03-07-50_multihead_spsa_f7_w5_h5_effsu2_effsu2_realamplitudes_full_r3_4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242643515738177"/>
    <m/>
    <n v="128"/>
    <x v="1"/>
    <x v="1"/>
    <n v="33.888542530893481"/>
    <n v="0.56242883378510045"/>
    <n v="33.888542530893481"/>
    <n v="9.1535355728296306"/>
    <n v="33.888542530893481"/>
    <n v="9.1535355728296306"/>
    <n v="8.367439756109933"/>
    <n v="0.56242883378510045"/>
    <n v="118.2104156267126"/>
    <n v="17.951896129873312"/>
    <n v="17.462736738642789"/>
    <n v="-6.0770344230990092E-2"/>
    <n v="0.5714285714285714"/>
    <n v="5.4410628069959242E-2"/>
    <n v="0.6049084895260981"/>
    <n v="5.4410628069959242E-2"/>
    <n v="0.18747330790015779"/>
    <n v="5.4410628069959242E-2"/>
    <n v="0.6049084895260981"/>
    <n v="0.18747330790015779"/>
    <n v="0.17803692114003219"/>
    <n v="8.8189893729314461E-2"/>
    <n v="0.35962734564931398"/>
    <n v="0.2404653199475856"/>
    <n v="0.23037034405836301"/>
    <n v="0.13530839214267509"/>
    <n v="0.53118532066410629"/>
    <n v="0.13530839214267509"/>
    <n v="0.31897310661728823"/>
    <n v="0.13530839214267509"/>
    <n v="0.53118532066410629"/>
    <n v="0.31897310661728823"/>
    <n v="0.38096998811711968"/>
    <n v="0.31826790366960822"/>
    <n v="-0.1027303099163448"/>
    <n v="0.49453824683887659"/>
    <n v="0.51983548534005686"/>
    <n v="0.124907198381882"/>
    <n v="0.49853710688152042"/>
    <n v="0.124907198381882"/>
    <n v="0.29595333780458921"/>
    <n v="0.124907198381882"/>
    <n v="0.49853710688152042"/>
    <n v="0.29595333780458921"/>
    <n v="0.3501948018951252"/>
    <n v="0.2879838809684494"/>
    <n v="-0.1561641922382104"/>
    <n v="0.47024457682838711"/>
    <n v="0.49351165356321952"/>
    <n v="135.23954390497931"/>
    <n v="0.6150844180686732"/>
    <n v="135.23954390497931"/>
    <n v="9.1020534111173657"/>
    <n v="135.23954390497931"/>
    <n v="0.6150844180686732"/>
    <n v="9.1020534111173657"/>
    <n v="8.2956905890761163"/>
    <n v="472.14722082848368"/>
    <n v="-0.34381422041873039"/>
    <n v="17.899047104651999"/>
    <n v="17.39862783554149"/>
  </r>
  <r>
    <d v="2026-02-05T16:47:07"/>
    <s v="02-05_16-47-07_multihead_spsa_f7_w5_h5_effsu2_effsu2_realamplitudes_full_r3_4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005270800365871"/>
    <m/>
    <n v="128"/>
    <x v="2"/>
    <x v="2"/>
    <n v="23.996430523296681"/>
    <n v="0.76106982989235195"/>
    <n v="23.996430523296681"/>
    <n v="7.4566596548542377"/>
    <n v="23.996430523296681"/>
    <n v="7.4566596548542377"/>
    <n v="7.6567626609735582"/>
    <n v="0.76106982989235195"/>
    <n v="123.69778138023131"/>
    <n v="18.865362182278432"/>
    <n v="18.812835215700549"/>
    <n v="-1.318806764611713E-3"/>
    <n v="0.5714285714285714"/>
    <n v="2.7807275351321319E-2"/>
    <n v="0.79808322729538617"/>
    <n v="2.7807275351321319E-2"/>
    <n v="0.133091126507312"/>
    <n v="2.7807275351321319E-2"/>
    <n v="0.79808322729538617"/>
    <n v="0.133091126507312"/>
    <n v="0.12716358924806029"/>
    <n v="5.0740319851718431E-2"/>
    <n v="0.63155967274686586"/>
    <n v="0.17517045883084481"/>
    <n v="0.15750783568244309"/>
    <n v="5.7095828428264578E-2"/>
    <n v="0.80217514913790877"/>
    <n v="5.7095828428264578E-2"/>
    <n v="0.18783963559987599"/>
    <n v="5.7095828428264578E-2"/>
    <n v="0.80217514913790877"/>
    <n v="0.18783963559987599"/>
    <n v="0.21506146973699061"/>
    <n v="0.31722457899118611"/>
    <n v="-9.9115412740995001E-2"/>
    <n v="0.49409216707493242"/>
    <n v="0.4833023439113307"/>
    <n v="7.0548325828101069E-2"/>
    <n v="0.71677078637001701"/>
    <n v="7.0548325828101069E-2"/>
    <n v="0.20871941132913499"/>
    <n v="7.0548325828101069E-2"/>
    <n v="0.71677078637001701"/>
    <n v="0.20871941132913499"/>
    <n v="0.25071194461870272"/>
    <n v="0.28179207384421201"/>
    <n v="-0.13130604511478519"/>
    <n v="0.46924151231374012"/>
    <n v="0.47638797693439078"/>
    <n v="95.830270663579341"/>
    <n v="0.72725015676609295"/>
    <n v="95.830270663579341"/>
    <n v="7.4257378076050609"/>
    <n v="95.830270663579341"/>
    <n v="0.72725015676609295"/>
    <n v="7.4257378076050609"/>
    <n v="7.6195585108641009"/>
    <n v="494.14136854823909"/>
    <n v="-0.40641344194953821"/>
    <n v="18.82201514860553"/>
    <n v="18.764449390143461"/>
  </r>
  <r>
    <d v="2026-02-07T07:08:15"/>
    <s v="02-07_07-08-15_multihead_spsa_f7_w5_h5_effsu2_effsu2_realamplitudes_full_r3_4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393396752194869"/>
    <m/>
    <n v="128"/>
    <x v="1"/>
    <x v="1"/>
    <n v="27.448262633267991"/>
    <n v="0.62402183467244154"/>
    <n v="27.448262633267991"/>
    <n v="8.4526432549206376"/>
    <n v="27.448262633267991"/>
    <n v="8.4526432549206376"/>
    <n v="10.84611364635199"/>
    <n v="0.62402183467244154"/>
    <n v="102.2218021091587"/>
    <n v="16.330803138941999"/>
    <n v="17.673739825843828"/>
    <n v="7.2001044901549877E-2"/>
    <n v="0.5714285714285714"/>
    <n v="3.6531541639759933E-2"/>
    <n v="0.7347337739267561"/>
    <n v="3.6531541639759933E-2"/>
    <n v="0.1561728856680831"/>
    <n v="3.6531541639759933E-2"/>
    <n v="0.7347337739267561"/>
    <n v="0.1561728856680831"/>
    <n v="0.1400893798692891"/>
    <n v="7.5446058425075388E-2"/>
    <n v="0.45216406720872432"/>
    <n v="0.22353902407638049"/>
    <n v="0.1904875885850299"/>
    <n v="0.1161743532729184"/>
    <n v="0.59748067866131627"/>
    <n v="0.1161743532729184"/>
    <n v="0.28675561836115498"/>
    <n v="0.1161743532729184"/>
    <n v="0.59748067866131627"/>
    <n v="0.28675561836115498"/>
    <n v="0.31845270576442858"/>
    <n v="0.30248656323465101"/>
    <n v="-4.8051335919641718E-2"/>
    <n v="0.47102975322783291"/>
    <n v="0.44331084748101313"/>
    <n v="0.13063125384518351"/>
    <n v="0.4755568347260114"/>
    <n v="0.13063125384518351"/>
    <n v="0.3091998256186041"/>
    <n v="0.13063125384518351"/>
    <n v="0.4755568347260114"/>
    <n v="0.3091998256186041"/>
    <n v="0.35284717992416548"/>
    <n v="0.23765148405486841"/>
    <n v="4.5904461136798143E-2"/>
    <n v="0.42592010841338018"/>
    <n v="0.42470911652236898"/>
    <n v="109.5097133843136"/>
    <n v="0.68831605137568119"/>
    <n v="109.5097133843136"/>
    <n v="8.4082951090859428"/>
    <n v="109.5097133843136"/>
    <n v="0.68831605137568119"/>
    <n v="8.4082951090859428"/>
    <n v="10.810522559208611"/>
    <n v="408.27162433092002"/>
    <n v="-0.1620130128196775"/>
    <n v="16.28090847434024"/>
    <n v="17.6297588171273"/>
  </r>
  <r>
    <d v="2026-02-05T19:57:33"/>
    <s v="02-05_19-57-33_multihead_spsa_f7_w5_h5_effsu2_effsu2_realamplitudes_full_r3_4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193700189692493"/>
    <m/>
    <n v="128"/>
    <x v="2"/>
    <x v="2"/>
    <n v="20.787792651419451"/>
    <n v="0.75465785003142238"/>
    <n v="20.787792651419451"/>
    <n v="7.1649913821589264"/>
    <n v="20.787792651419451"/>
    <n v="7.1649913821589264"/>
    <n v="8.607585278808191"/>
    <n v="0.75465785003142238"/>
    <n v="120.2008337211759"/>
    <n v="18.23187752062616"/>
    <n v="19.379622644112139"/>
    <n v="-0.1151548605921517"/>
    <n v="0.5714285714285714"/>
    <n v="2.440882255594486E-2"/>
    <n v="0.82276038864836931"/>
    <n v="2.440882255594486E-2"/>
    <n v="0.13063608250653519"/>
    <n v="2.440882255594486E-2"/>
    <n v="0.82276038864836931"/>
    <n v="0.13063608250653519"/>
    <n v="0.13003597412495771"/>
    <n v="4.7187304198755012E-2"/>
    <n v="0.65735916028929642"/>
    <n v="0.172038756864377"/>
    <n v="0.13217728944683699"/>
    <n v="7.1726129478140249E-2"/>
    <n v="0.75148428076920681"/>
    <n v="7.1726129478140249E-2"/>
    <n v="0.2115397924212287"/>
    <n v="7.1726129478140249E-2"/>
    <n v="0.75148428076920681"/>
    <n v="0.2115397924212287"/>
    <n v="0.20740855311343451"/>
    <n v="0.40110402085090979"/>
    <n v="-0.38973976364507829"/>
    <n v="0.5414275384599232"/>
    <n v="0.57909850377966621"/>
    <n v="7.9570519786551552E-2"/>
    <n v="0.68054953136397311"/>
    <n v="7.9570519786551552E-2"/>
    <n v="0.22480441577309809"/>
    <n v="7.9570519786551552E-2"/>
    <n v="0.68054953136397311"/>
    <n v="0.22480441577309809"/>
    <n v="0.27762715147830908"/>
    <n v="0.3392619219567079"/>
    <n v="-0.36202930746402728"/>
    <n v="0.50773329455344118"/>
    <n v="0.5024848046068392"/>
    <n v="82.975465133857085"/>
    <n v="0.76383719934413963"/>
    <n v="82.975465133857085"/>
    <n v="7.1330517970172567"/>
    <n v="82.975465133857085"/>
    <n v="0.76383719934413963"/>
    <n v="7.1330517970172567"/>
    <n v="8.5723535752078828"/>
    <n v="480.0157816376971"/>
    <n v="-0.36620953154879771"/>
    <n v="18.17347229009307"/>
    <n v="19.325008379137131"/>
  </r>
  <r>
    <d v="2026-02-06T14:33:07"/>
    <s v="02-06_14-33-07_multihead_spsa_f7_w5_h5_effsu2_effsu2_realamplitudes_full_r3_4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22595456375338721"/>
    <m/>
    <n v="128"/>
    <x v="0"/>
    <x v="0"/>
    <n v="51.538664479192299"/>
    <n v="0.19645196207771171"/>
    <n v="51.538664479192299"/>
    <n v="11.69719218063004"/>
    <n v="51.538664479192299"/>
    <n v="11.69719218063004"/>
    <n v="9.480200977147252"/>
    <n v="0.19645196207771171"/>
    <n v="94.6951210551739"/>
    <n v="16.237128618926569"/>
    <n v="16.899739085955169"/>
    <n v="-9.308578879100543E-2"/>
    <n v="0.5714285714285714"/>
    <n v="9.0005970230310525E-2"/>
    <n v="0.34644028214046901"/>
    <n v="9.0005970230310525E-2"/>
    <n v="0.2293633385938911"/>
    <n v="9.0005970230310525E-2"/>
    <n v="0.34644028214046901"/>
    <n v="0.2293633385938911"/>
    <n v="0.24570971521601559"/>
    <n v="0.14589876050338799"/>
    <n v="-5.9413642302343472E-2"/>
    <n v="0.3154867095588087"/>
    <n v="0.27864943520850299"/>
    <n v="0.30831559864507169"/>
    <n v="-6.8247698639645415E-2"/>
    <n v="0.30831559864507169"/>
    <n v="0.49797368359390992"/>
    <n v="0.30831559864507169"/>
    <n v="-6.8247698639645415E-2"/>
    <n v="0.49797368359390992"/>
    <n v="0.504135781485329"/>
    <n v="0.36300871511082161"/>
    <n v="-0.25774766572767582"/>
    <n v="0.52155606601963556"/>
    <n v="0.48770788153493377"/>
    <n v="0.22602259597023039"/>
    <n v="9.2590768557167635E-2"/>
    <n v="0.22602259597023039"/>
    <n v="0.41055339087683862"/>
    <n v="0.22602259597023039"/>
    <n v="9.2590768557167635E-2"/>
    <n v="0.41055339087683862"/>
    <n v="0.43832748986106429"/>
    <n v="0.24391672215536289"/>
    <n v="2.0751511870058189E-2"/>
    <n v="0.43128866126241211"/>
    <n v="0.45495188078344789"/>
    <n v="205.5303137519229"/>
    <n v="0.41502449625285381"/>
    <n v="205.5303137519229"/>
    <n v="11.61544850744473"/>
    <n v="205.5303137519229"/>
    <n v="0.41502449625285381"/>
    <n v="11.61544850744473"/>
    <n v="9.3728367318495476"/>
    <n v="378.02766002292481"/>
    <n v="-7.593335900406295E-2"/>
    <n v="16.177646007233001"/>
    <n v="16.84299038524912"/>
  </r>
  <r>
    <d v="2026-02-07T10:50:07"/>
    <s v="02-07_10-50-07_multihead_spsa_f7_w5_h5_effsu2_effsu2_realamplitudes_full_r3_4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2064896717471108"/>
    <m/>
    <n v="128"/>
    <x v="1"/>
    <x v="1"/>
    <n v="32.542517173831072"/>
    <n v="0.35582369532005331"/>
    <n v="32.542517173831072"/>
    <n v="9.1768692653066122"/>
    <n v="32.542517173831072"/>
    <n v="9.1768692653066122"/>
    <n v="9.1304198309008502"/>
    <n v="0.35582369532005331"/>
    <n v="96.599100982527375"/>
    <n v="16.281263582430149"/>
    <n v="17.223646972497239"/>
    <n v="4.5747320144809388E-2"/>
    <n v="0.5714285714285714"/>
    <n v="5.4608545093619933E-2"/>
    <n v="0.60347135603581636"/>
    <n v="5.4608545093619933E-2"/>
    <n v="0.17925901903030589"/>
    <n v="5.4608545093619933E-2"/>
    <n v="0.60347135603581636"/>
    <n v="0.17925901903030589"/>
    <n v="0.1934304755648697"/>
    <n v="8.0262932079880639E-2"/>
    <n v="0.41718733645693051"/>
    <n v="0.2208494020706914"/>
    <n v="0.22014888113846229"/>
    <n v="0.28034451276574129"/>
    <n v="2.8666139811467369E-2"/>
    <n v="0.28034451276574129"/>
    <n v="0.47215386546005478"/>
    <n v="0.28034451276574129"/>
    <n v="2.8666139811467369E-2"/>
    <n v="0.47215386546005478"/>
    <n v="0.49396426768541057"/>
    <n v="0.3363251081679795"/>
    <n v="-0.16529466680915481"/>
    <n v="0.50164106380070639"/>
    <n v="0.47867852372107123"/>
    <n v="0.20920814554721179"/>
    <n v="0.16009546856288939"/>
    <n v="0.20920814554721179"/>
    <n v="0.39862242963217581"/>
    <n v="0.20920814554721179"/>
    <n v="0.16009546856288939"/>
    <n v="0.39862242963217581"/>
    <n v="0.42440252044696608"/>
    <n v="0.24186841749884799"/>
    <n v="2.8974807183301251E-2"/>
    <n v="0.42767472570593179"/>
    <n v="0.4565356651164022"/>
    <n v="129.62590749191779"/>
    <n v="0.63106181687003726"/>
    <n v="129.62590749191779"/>
    <n v="9.0941304745002611"/>
    <n v="129.62590749191779"/>
    <n v="0.63106181687003726"/>
    <n v="9.0941304745002611"/>
    <n v="9.0337548044137677"/>
    <n v="385.73794747236269"/>
    <n v="-9.7878196251838689E-2"/>
    <n v="16.230229912009982"/>
    <n v="17.172044477935479"/>
  </r>
  <r>
    <d v="2026-02-05T23:15:26"/>
    <s v="02-05_23-15-26_multihead_spsa_f7_w5_h5_effsu2_effsu2_realamplitudes_full_r3_4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863685587694871"/>
    <m/>
    <n v="128"/>
    <x v="2"/>
    <x v="2"/>
    <n v="24.156512009136879"/>
    <n v="0.52586616514219497"/>
    <n v="24.156512009136879"/>
    <n v="7.5966463178856989"/>
    <n v="24.156512009136879"/>
    <n v="7.5966463178856989"/>
    <n v="8.5440478247755909"/>
    <n v="0.52586616514219497"/>
    <n v="115.618310775711"/>
    <n v="17.897348000672441"/>
    <n v="18.841003224299062"/>
    <n v="1.075092988997575E-2"/>
    <n v="0.5714285714285714"/>
    <n v="2.3163221508344121E-2"/>
    <n v="0.83180506276445731"/>
    <n v="2.3163221508344121E-2"/>
    <n v="0.1232676951406509"/>
    <n v="2.3163221508344121E-2"/>
    <n v="0.83180506276445731"/>
    <n v="0.1232676951406509"/>
    <n v="0.13399954228402111"/>
    <n v="4.091456216283431E-2"/>
    <n v="0.70290737786543844"/>
    <n v="0.15445796593006239"/>
    <n v="0.14682125564769391"/>
    <n v="0.2280279673749662"/>
    <n v="0.20993179571753909"/>
    <n v="0.2280279673749662"/>
    <n v="0.42554239490524809"/>
    <n v="0.2280279673749662"/>
    <n v="0.20993179571753909"/>
    <n v="0.42554239490524809"/>
    <n v="0.4611251759224525"/>
    <n v="0.33451110617302432"/>
    <n v="-0.15900953733482859"/>
    <n v="0.50312171654000337"/>
    <n v="0.46947614698107132"/>
    <n v="0.1655033043560232"/>
    <n v="0.33555658202099231"/>
    <n v="0.1655033043560232"/>
    <n v="0.35859584826319879"/>
    <n v="0.1655033043560232"/>
    <n v="0.33555658202099231"/>
    <n v="0.35859584826319879"/>
    <n v="0.34952773197716369"/>
    <n v="0.29554593566387821"/>
    <n v="-0.18652344994805239"/>
    <n v="0.47059465643365123"/>
    <n v="0.47363127071469913"/>
    <n v="96.209353543308396"/>
    <n v="0.72617122006579149"/>
    <n v="96.209353543308396"/>
    <n v="7.5239599113497819"/>
    <n v="96.209353543308396"/>
    <n v="0.72617122006579149"/>
    <n v="7.5239599113497819"/>
    <n v="8.4714569070636259"/>
    <n v="461.80227149884331"/>
    <n v="-0.31437067102265748"/>
    <n v="17.84691393929257"/>
    <n v="18.79678296659463"/>
  </r>
  <r>
    <d v="2026-02-06T18:53:57"/>
    <s v="02-06_18-53-57_multihead_spsa_f7_w5_h5_effsu2_effsu2_realamplitudes_full_r3_4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8142313392990261"/>
    <m/>
    <n v="128"/>
    <x v="0"/>
    <x v="0"/>
    <n v="55.332374446679232"/>
    <n v="0.31961734041269968"/>
    <n v="55.332374446679232"/>
    <n v="11.67629354935281"/>
    <n v="55.332374446679232"/>
    <n v="11.67629354935281"/>
    <n v="11.15153573900168"/>
    <n v="0.31961734041269968"/>
    <n v="104.25151772578209"/>
    <n v="16.87074866852392"/>
    <n v="18.010020767355279"/>
    <n v="-0.2197400100476401"/>
    <n v="0.5714285714285714"/>
    <n v="8.7519581654969675E-2"/>
    <n v="0.3644946779947752"/>
    <n v="8.7519581654969675E-2"/>
    <n v="0.23242038689589989"/>
    <n v="8.7519581654969675E-2"/>
    <n v="0.3644946779947752"/>
    <n v="0.23242038689589989"/>
    <n v="0.19096920276397239"/>
    <n v="0.22111757551518499"/>
    <n v="-0.60559949409690716"/>
    <n v="0.38926457510972401"/>
    <n v="0.37636674441523271"/>
    <n v="0.18588997541409319"/>
    <n v="0.35593093794490849"/>
    <n v="0.18588997541409319"/>
    <n v="0.36973096846495518"/>
    <n v="0.18588997541409319"/>
    <n v="0.35593093794490849"/>
    <n v="0.36973096846495518"/>
    <n v="0.32461915370668137"/>
    <n v="0.31488408881047653"/>
    <n v="-9.1006114151435336E-2"/>
    <n v="0.48322365852669741"/>
    <n v="0.49059633295163307"/>
    <n v="0.20259834928021239"/>
    <n v="0.18663170988374231"/>
    <n v="0.20259834928021239"/>
    <n v="0.39908058567261201"/>
    <n v="0.20259834928021239"/>
    <n v="0.18663170988374231"/>
    <n v="0.39908058567261201"/>
    <n v="0.42612256426880452"/>
    <n v="0.2485163455085852"/>
    <n v="2.2854789764989998E-3"/>
    <n v="0.44225024010221409"/>
    <n v="0.43972498612364319"/>
    <n v="220.8534898803679"/>
    <n v="0.37141203582736843"/>
    <n v="220.8534898803679"/>
    <n v="11.610817097856559"/>
    <n v="220.8534898803679"/>
    <n v="0.37141203582736843"/>
    <n v="11.610817097856559"/>
    <n v="11.084627455627141"/>
    <n v="416.22155289329112"/>
    <n v="-0.1846399109187096"/>
    <n v="16.803667747449921"/>
    <n v="17.944400418772609"/>
  </r>
  <r>
    <d v="2026-02-07T14:18:31"/>
    <s v="02-07_14-18-31_multihead_spsa_f7_w5_h5_effsu2_effsu2_realamplitudes_full_r3_4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3562081043852439"/>
    <m/>
    <n v="128"/>
    <x v="1"/>
    <x v="1"/>
    <n v="32.700438588196519"/>
    <n v="0.55005057921360101"/>
    <n v="32.700438588196519"/>
    <n v="8.8472155895062006"/>
    <n v="32.700438588196519"/>
    <n v="8.8472155895062006"/>
    <n v="8.8542326084026914"/>
    <n v="0.55005057921360101"/>
    <n v="98.8311002680597"/>
    <n v="16.43137253712333"/>
    <n v="17.4763991711472"/>
    <n v="-6.5316894817425114E-2"/>
    <n v="0.5714285714285714"/>
    <n v="5.958746776235252E-2"/>
    <n v="0.56731793992025437"/>
    <n v="5.958746776235252E-2"/>
    <n v="0.1896458185039305"/>
    <n v="5.958746776235252E-2"/>
    <n v="0.56731793992025437"/>
    <n v="0.1896458185039305"/>
    <n v="0.17555666851867949"/>
    <n v="0.169984500064187"/>
    <n v="-0.2343072533762984"/>
    <n v="0.30466355848328291"/>
    <n v="0.29709297996140049"/>
    <n v="0.1104484483400892"/>
    <n v="0.61731971630328009"/>
    <n v="0.1104484483400892"/>
    <n v="0.27710673357996279"/>
    <n v="0.1104484483400892"/>
    <n v="0.61731971630328009"/>
    <n v="0.27710673357996279"/>
    <n v="0.25447798034188879"/>
    <n v="0.28228221426832661"/>
    <n v="2.1952417963192691E-2"/>
    <n v="0.45224283089746792"/>
    <n v="0.43454556480620188"/>
    <n v="0.15270669304402271"/>
    <n v="0.38693092884614072"/>
    <n v="0.15270669304402271"/>
    <n v="0.34102632750112633"/>
    <n v="0.15270669304402271"/>
    <n v="0.38693092884614072"/>
    <n v="0.34102632750112633"/>
    <n v="0.39174543847212978"/>
    <n v="0.23057689563128611"/>
    <n v="7.4306695951687041E-2"/>
    <n v="0.42131863753820609"/>
    <n v="0.4200469929639945"/>
    <n v="130.4790117436396"/>
    <n v="0.62863373178472903"/>
    <n v="130.4790117436396"/>
    <n v="8.7936988024614937"/>
    <n v="130.4790117436396"/>
    <n v="0.62863373178472903"/>
    <n v="8.7936988024614937"/>
    <n v="8.7929841549116201"/>
    <n v="394.64155746227487"/>
    <n v="-0.1232194398082689"/>
    <n v="16.370313306754522"/>
    <n v="17.41681408676838"/>
  </r>
  <r>
    <d v="2026-02-06T02:07:03"/>
    <s v="02-06_02-07-03_multihead_spsa_f7_w5_h5_effsu2_effsu2_realamplitudes_full_r3_4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054042275991947"/>
    <m/>
    <n v="128"/>
    <x v="2"/>
    <x v="2"/>
    <n v="23.49990717914665"/>
    <n v="0.7431526309366121"/>
    <n v="23.49990717914665"/>
    <n v="7.3342493828488209"/>
    <n v="23.49990717914665"/>
    <n v="7.3342493828488209"/>
    <n v="7.8875681440001522"/>
    <n v="0.7431526309366121"/>
    <n v="104.8112218979136"/>
    <n v="16.84593715077019"/>
    <n v="17.54033801211585"/>
    <n v="0.1974853795873461"/>
    <n v="0.5714285714285714"/>
    <n v="3.8431227397336842E-2"/>
    <n v="0.72093959911183236"/>
    <n v="3.8431227397336842E-2"/>
    <n v="0.1505414284468149"/>
    <n v="3.8431227397336842E-2"/>
    <n v="0.72093959911183236"/>
    <n v="0.1505414284468149"/>
    <n v="0.1502025935164801"/>
    <n v="6.6549278602799924E-2"/>
    <n v="0.51676619188585593"/>
    <n v="0.21529424807206529"/>
    <n v="0.14319861235824721"/>
    <n v="4.2645082017198598E-2"/>
    <n v="0.85224389903277598"/>
    <n v="4.2645082017198598E-2"/>
    <n v="0.1618366262841959"/>
    <n v="4.2645082017198598E-2"/>
    <n v="0.85224389903277598"/>
    <n v="0.1618366262841959"/>
    <n v="0.16152686444885031"/>
    <n v="0.22358056861163819"/>
    <n v="0.22534108254809951"/>
    <n v="0.40308816234833378"/>
    <n v="0.37869891629978802"/>
    <n v="8.3070218199706905E-2"/>
    <n v="0.66649934919642884"/>
    <n v="8.3070218199706905E-2"/>
    <n v="0.240026898775794"/>
    <n v="8.3070218199706905E-2"/>
    <n v="0.66649934919642884"/>
    <n v="0.240026898775794"/>
    <n v="0.3136937805717282"/>
    <n v="0.18937622927643399"/>
    <n v="0.23971433951716911"/>
    <n v="0.37865567240663678"/>
    <n v="0.39999775942246002"/>
    <n v="93.835482188972691"/>
    <n v="0.73292767640541245"/>
    <n v="93.835482188972691"/>
    <n v="7.3022530957676128"/>
    <n v="93.835482188972691"/>
    <n v="0.73292767640541245"/>
    <n v="7.3022530957676128"/>
    <n v="7.8542661907619511"/>
    <n v="418.76538151516201"/>
    <n v="-0.19188009560174149"/>
    <n v="16.810983310719781"/>
    <n v="17.507479015503218"/>
  </r>
  <r>
    <d v="2026-02-06T23:11:53"/>
    <s v="02-06_23-11-53_multihead_spsa_f7_w5_h5_effsu2_effsu2_realamplitudes_full_r3_4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8283911427511429"/>
    <m/>
    <n v="128"/>
    <x v="0"/>
    <x v="0"/>
    <n v="56.352636043782162"/>
    <n v="0.3056377371056036"/>
    <n v="56.352636043782162"/>
    <n v="12.22908744577864"/>
    <n v="56.352636043782162"/>
    <n v="12.22908744577864"/>
    <n v="11.924448339881421"/>
    <n v="0.3056377371056036"/>
    <n v="97.901594373238837"/>
    <n v="16.59562869587738"/>
    <n v="17.95623853741245"/>
    <n v="4.2279557070581952E-3"/>
    <n v="0.5714285714285714"/>
    <n v="9.5753837588275506E-2"/>
    <n v="0.30470333336748051"/>
    <n v="9.5753837588275506E-2"/>
    <n v="0.23641031856637901"/>
    <n v="9.5753837588275506E-2"/>
    <n v="0.30470333336748051"/>
    <n v="0.23641031856637901"/>
    <n v="0.13698338836804419"/>
    <n v="0.10675067740666799"/>
    <n v="0.22485205782804191"/>
    <n v="0.26467943808338318"/>
    <n v="0.1759134017122263"/>
    <n v="0.16983505120185491"/>
    <n v="0.41155782129731722"/>
    <n v="0.16983505120185491"/>
    <n v="0.35375531364985657"/>
    <n v="0.16983505120185491"/>
    <n v="0.41155782129731722"/>
    <n v="0.35375531364985657"/>
    <n v="0.44956498024283031"/>
    <n v="0.31227604206239379"/>
    <n v="-8.1969789201197685E-2"/>
    <n v="0.48013955070203601"/>
    <n v="0.51755849672741794"/>
    <n v="0.21259783587656789"/>
    <n v="0.14648693405603261"/>
    <n v="0.21259783587656789"/>
    <n v="0.40472826161112152"/>
    <n v="0.21259783587656789"/>
    <n v="0.14648693405603261"/>
    <n v="0.40472826161112152"/>
    <n v="0.44775598668276129"/>
    <n v="0.25239862821630521"/>
    <n v="-1.3300658121581099E-2"/>
    <n v="0.43848754916882698"/>
    <n v="0.45744225366287872"/>
    <n v="224.93235745046201"/>
    <n v="0.35980285970158432"/>
    <n v="224.93235745046201"/>
    <n v="12.16598227032279"/>
    <n v="224.93235745046201"/>
    <n v="0.35980285970158432"/>
    <n v="12.16598227032279"/>
    <n v="11.845437142569761"/>
    <n v="390.9349521452699"/>
    <n v="-0.11266978767703149"/>
    <n v="16.540154498480931"/>
    <n v="17.902734731602571"/>
  </r>
  <r>
    <d v="2026-02-07T17:31:01"/>
    <s v="02-07_17-31-01_multihead_spsa_f7_w5_h5_effsu2_effsu2_realamplitudes_full_r3_4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278633993311051"/>
    <m/>
    <n v="128"/>
    <x v="1"/>
    <x v="1"/>
    <n v="32.202705765153759"/>
    <n v="0.57553734072667107"/>
    <n v="32.202705765153759"/>
    <n v="8.9902981425890367"/>
    <n v="32.202705765153759"/>
    <n v="8.9902981425890367"/>
    <n v="9.5390704129156187"/>
    <n v="0.57553734072667107"/>
    <n v="99.509001420036782"/>
    <n v="16.631702914319678"/>
    <n v="17.64527802068968"/>
    <n v="4.0812408813158091E-2"/>
    <n v="0.5714285714285714"/>
    <n v="5.704459132551909E-2"/>
    <n v="0.5857825106854595"/>
    <n v="5.704459132551909E-2"/>
    <n v="0.18592919755385359"/>
    <n v="5.704459132551909E-2"/>
    <n v="0.5857825106854595"/>
    <n v="0.18592919755385359"/>
    <n v="0.13503336248962111"/>
    <n v="8.4177661755247227E-2"/>
    <n v="0.38876133743062041"/>
    <n v="0.23287302893582909"/>
    <n v="0.17020135998870209"/>
    <n v="9.5409876454297576E-2"/>
    <n v="0.66942515591912477"/>
    <n v="9.5409876454297576E-2"/>
    <n v="0.25726169368474527"/>
    <n v="9.5409876454297576E-2"/>
    <n v="0.66942515591912477"/>
    <n v="0.25726169368474527"/>
    <n v="0.32654992444562642"/>
    <n v="0.31430466827495068"/>
    <n v="-8.8998545749641389E-2"/>
    <n v="0.48327877608559072"/>
    <n v="0.51379160326165307"/>
    <n v="0.1462855620749435"/>
    <n v="0.41270973867103689"/>
    <n v="0.1462855620749435"/>
    <n v="0.33035713839172298"/>
    <n v="0.1462855620749435"/>
    <n v="0.41270973867103689"/>
    <n v="0.33035713839172298"/>
    <n v="0.41673371837720929"/>
    <n v="0.25045048911173312"/>
    <n v="-5.4794958168338237E-3"/>
    <n v="0.44005082508916932"/>
    <n v="0.45546340295143478"/>
    <n v="128.51208303076001"/>
    <n v="0.63423195763106466"/>
    <n v="128.51208303076001"/>
    <n v="8.9410893940737015"/>
    <n v="128.51208303076001"/>
    <n v="0.63423195763106466"/>
    <n v="8.9410893940737015"/>
    <n v="9.4796540553301494"/>
    <n v="397.3870728610068"/>
    <n v="-0.1310336606115188"/>
    <n v="16.578614521604621"/>
    <n v="17.58820337032952"/>
  </r>
  <r>
    <d v="2026-02-06T04:46:25"/>
    <s v="02-06_04-46-25_multihead_spsa_f7_w5_h5_effsu2_effsu2_realamplitudes_full_r3_4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098984751851461"/>
    <m/>
    <n v="128"/>
    <x v="2"/>
    <x v="2"/>
    <n v="22.71993866149996"/>
    <n v="0.75313283650651719"/>
    <n v="22.71993866149996"/>
    <n v="7.3424709833987123"/>
    <n v="22.71993866149996"/>
    <n v="7.3424709833987123"/>
    <n v="7.8485806093934487"/>
    <n v="0.75313283650651719"/>
    <n v="113.33623757937031"/>
    <n v="17.618888352813538"/>
    <n v="18.742907187626539"/>
    <n v="3.8345955742663612E-2"/>
    <n v="0.5714285714285714"/>
    <n v="3.2166351073209587E-2"/>
    <n v="0.76643070145031467"/>
    <n v="3.2166351073209587E-2"/>
    <n v="0.14519623681806801"/>
    <n v="3.2166351073209587E-2"/>
    <n v="0.76643070145031467"/>
    <n v="0.14519623681806801"/>
    <n v="0.1389410864990421"/>
    <n v="6.0894985897267141E-2"/>
    <n v="0.55782366769404113"/>
    <n v="0.2027561100531074"/>
    <n v="0.18173141208322621"/>
    <n v="5.2921168950530818E-2"/>
    <n v="0.8166394525960905"/>
    <n v="5.2921168950530818E-2"/>
    <n v="0.17538627398709231"/>
    <n v="5.2921168950530818E-2"/>
    <n v="0.8166394525960905"/>
    <n v="0.17538627398709231"/>
    <n v="0.21509277853088821"/>
    <n v="0.34508236508752282"/>
    <n v="-0.19563669164283001"/>
    <n v="0.49668804243500081"/>
    <n v="0.56450430345557245"/>
    <n v="7.7800055069918633E-2"/>
    <n v="0.68765738719989211"/>
    <n v="7.7800055069918633E-2"/>
    <n v="0.22107887961206679"/>
    <n v="7.7800055069918633E-2"/>
    <n v="0.68765738719989211"/>
    <n v="0.22107887961206679"/>
    <n v="0.30627577941617878"/>
    <n v="0.2292363504501625"/>
    <n v="7.9688560836903788E-2"/>
    <n v="0.41467253977619839"/>
    <n v="0.37719335056065822"/>
    <n v="90.71686707090663"/>
    <n v="0.74180380477977048"/>
    <n v="90.71686707090663"/>
    <n v="7.3118898923092361"/>
    <n v="90.71686707090663"/>
    <n v="0.74180380477977048"/>
    <n v="7.3118898923092361"/>
    <n v="7.8038587347997028"/>
    <n v="452.70973661604347"/>
    <n v="-0.28849171391745743"/>
    <n v="17.57288234160329"/>
    <n v="18.691327375206111"/>
  </r>
  <r>
    <d v="2026-02-06T10:17:06"/>
    <s v="02-06_10-17-06_multihead_spsa_f7_w5_h5_effsu2_effsu2_realamplitudes_full_r3_4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4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s v="full"/>
    <x v="0"/>
    <x v="0"/>
    <s v="false"/>
    <n v="200"/>
    <n v="80"/>
    <n v="120"/>
    <s v="spsa"/>
    <n v="4000"/>
    <n v="4000"/>
    <n v="0.1798637296773809"/>
    <m/>
    <n v="128"/>
    <x v="0"/>
    <x v="0"/>
    <n v="41.456532129799463"/>
    <n v="0.39825042534131339"/>
    <n v="41.456532129799463"/>
    <n v="10.320105522845701"/>
    <n v="41.456532129799463"/>
    <n v="10.320105522845701"/>
    <n v="14.705131228314761"/>
    <n v="0.39825042534131339"/>
    <n v="111.92432259646399"/>
    <n v="17.055324933459779"/>
    <n v="18.76076655645349"/>
    <n v="-3.3026504617059332E-2"/>
    <n v="0.5714285714285714"/>
    <n v="5.7627717394179143E-2"/>
    <n v="0.58154826146915961"/>
    <n v="5.7627717394179143E-2"/>
    <n v="0.1880185469510012"/>
    <n v="5.7627717394179143E-2"/>
    <n v="0.58154826146915961"/>
    <n v="0.1880185469510012"/>
    <n v="0.15471328524615799"/>
    <n v="0.1087568465406271"/>
    <n v="0.21028467602199269"/>
    <n v="0.2720778288888977"/>
    <n v="0.2435058968607608"/>
    <n v="0.2004363438571837"/>
    <n v="0.30553087813222218"/>
    <n v="0.2004363438571837"/>
    <n v="0.39448621928540978"/>
    <n v="0.2004363438571837"/>
    <n v="0.30553087813222218"/>
    <n v="0.39448621928540978"/>
    <n v="0.43837031229081402"/>
    <n v="0.3178233020161948"/>
    <n v="-0.1011898601461827"/>
    <n v="0.48694083506156921"/>
    <n v="0.44320522050590611"/>
    <n v="0.20510340611652689"/>
    <n v="0.17657469904018849"/>
    <n v="0.20510340611652689"/>
    <n v="0.39289793314031501"/>
    <n v="0.20510340611652689"/>
    <n v="0.17657469904018849"/>
    <n v="0.39289793314031501"/>
    <n v="0.41494173936739231"/>
    <n v="0.2413331903461407"/>
    <n v="3.1123574908053061E-2"/>
    <n v="0.43350717554336199"/>
    <n v="0.43256032877437128"/>
    <n v="165.36296105183021"/>
    <n v="0.52934786272368517"/>
    <n v="165.36296105183021"/>
    <n v="10.2544611598291"/>
    <n v="165.36296105183021"/>
    <n v="0.52934786272368517"/>
    <n v="10.2544611598291"/>
    <n v="14.66604647432156"/>
    <n v="447.02937704695267"/>
    <n v="-0.27232440925210022"/>
    <n v="17.001055699421531"/>
    <n v="18.716398448242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74571-CE72-4261-8FEF-60FD17F1BBF7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G10" firstHeaderRow="0" firstDataRow="1" firstDataCol="1"/>
  <pivotFields count="95">
    <pivotField numFmtId="16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sd="0"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sd="0"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5">
    <field x="32"/>
    <field x="33"/>
    <field x="20"/>
    <field x="21"/>
    <field x="2"/>
  </rowFields>
  <rowItems count="9">
    <i>
      <x/>
    </i>
    <i r="1">
      <x/>
    </i>
    <i>
      <x v="1"/>
    </i>
    <i r="1">
      <x v="1"/>
    </i>
    <i r="2">
      <x/>
    </i>
    <i>
      <x v="2"/>
    </i>
    <i r="1">
      <x v="2"/>
    </i>
    <i r="2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global open R2" fld="41" subtotal="average" baseField="0" baseItem="0"/>
    <dataField name="Promedio de global closed R2" fld="45" subtotal="average" baseField="0" baseItem="0"/>
    <dataField name="Promedio de Surge Velocity Global open R2" fld="52" subtotal="average" baseField="0" baseItem="0"/>
    <dataField name="Promedio de Sway Velocity Global open R2" fld="64" subtotal="average" baseField="0" baseItem="0"/>
    <dataField name="Promedio de Yaw Rate Global open R2" fld="76" subtotal="average" baseField="0" baseItem="0"/>
    <dataField name="Promedio de Yaw Angle Global open R2" fld="8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7"/>
  <sheetViews>
    <sheetView workbookViewId="0">
      <selection activeCell="C19" sqref="C19"/>
    </sheetView>
  </sheetViews>
  <sheetFormatPr baseColWidth="10" defaultColWidth="8.88671875" defaultRowHeight="14.4" x14ac:dyDescent="0.3"/>
  <cols>
    <col min="4" max="29" width="11.5546875" bestFit="1" customWidth="1"/>
    <col min="30" max="30" width="6.33203125" bestFit="1" customWidth="1"/>
    <col min="31" max="34" width="11.5546875" bestFit="1" customWidth="1"/>
  </cols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 s="2">
        <v>46059.310613425929</v>
      </c>
      <c r="B2" s="3" t="s">
        <v>95</v>
      </c>
      <c r="C2" s="3">
        <v>0</v>
      </c>
      <c r="D2" s="3" t="s">
        <v>96</v>
      </c>
      <c r="E2" s="3">
        <v>16590</v>
      </c>
      <c r="F2" s="3">
        <v>4.5</v>
      </c>
      <c r="G2" s="3" t="s">
        <v>97</v>
      </c>
      <c r="H2" s="3" t="s">
        <v>98</v>
      </c>
      <c r="I2" s="3">
        <v>5</v>
      </c>
      <c r="J2" s="3">
        <v>5</v>
      </c>
      <c r="K2" s="3" t="s">
        <v>99</v>
      </c>
      <c r="L2" s="3" t="s">
        <v>100</v>
      </c>
      <c r="M2" s="3" t="s">
        <v>101</v>
      </c>
      <c r="N2" s="3" t="s">
        <v>101</v>
      </c>
      <c r="O2" s="3" t="s">
        <v>102</v>
      </c>
      <c r="P2" s="3" t="s">
        <v>103</v>
      </c>
      <c r="Q2" s="3" t="s">
        <v>104</v>
      </c>
      <c r="R2" s="3" t="s">
        <v>105</v>
      </c>
      <c r="S2" s="3" t="s">
        <v>106</v>
      </c>
      <c r="T2" s="3" t="s">
        <v>107</v>
      </c>
      <c r="U2" s="3" t="s">
        <v>108</v>
      </c>
      <c r="V2" s="3" t="s">
        <v>109</v>
      </c>
      <c r="W2" s="3" t="s">
        <v>101</v>
      </c>
      <c r="X2" s="3">
        <v>200</v>
      </c>
      <c r="Y2" s="3">
        <v>80</v>
      </c>
      <c r="Z2" s="3">
        <v>120</v>
      </c>
      <c r="AA2" s="3" t="s">
        <v>110</v>
      </c>
      <c r="AB2" s="3">
        <v>4000</v>
      </c>
      <c r="AC2" s="3">
        <v>4000</v>
      </c>
      <c r="AD2" s="3">
        <v>0.18885315764313079</v>
      </c>
      <c r="AE2" s="3"/>
      <c r="AF2" s="3">
        <v>128</v>
      </c>
      <c r="AG2" s="3" t="s">
        <v>111</v>
      </c>
      <c r="AH2" s="3">
        <v>0.05</v>
      </c>
      <c r="AI2" s="3">
        <v>52.714515536070117</v>
      </c>
      <c r="AJ2" s="3">
        <v>0.27927645558142228</v>
      </c>
      <c r="AK2" s="3">
        <v>52.714515536070117</v>
      </c>
      <c r="AL2" s="3">
        <v>11.5363950422381</v>
      </c>
      <c r="AM2" s="3">
        <v>52.714515536070117</v>
      </c>
      <c r="AN2" s="3">
        <v>11.5363950422381</v>
      </c>
      <c r="AO2" s="3">
        <v>10.28584011269049</v>
      </c>
      <c r="AP2" s="3">
        <v>0.27927645558142228</v>
      </c>
      <c r="AQ2" s="3">
        <v>119.68532753337649</v>
      </c>
      <c r="AR2" s="3">
        <v>18.048971140068129</v>
      </c>
      <c r="AS2" s="3">
        <v>16.167485315898531</v>
      </c>
      <c r="AT2" s="3">
        <v>-0.17555522608920349</v>
      </c>
      <c r="AU2" s="3">
        <v>0.5714285714285714</v>
      </c>
      <c r="AV2" s="3">
        <v>8.972309693181052E-2</v>
      </c>
      <c r="AW2" s="3">
        <v>0.34849430803102488</v>
      </c>
      <c r="AX2" s="3">
        <v>8.972309693181052E-2</v>
      </c>
      <c r="AY2" s="3">
        <v>0.2388376249165656</v>
      </c>
      <c r="AZ2" s="3">
        <v>8.972309693181052E-2</v>
      </c>
      <c r="BA2" s="3">
        <v>0.34849430803102488</v>
      </c>
      <c r="BB2" s="3">
        <v>0.2388376249165656</v>
      </c>
      <c r="BC2" s="3">
        <v>0.23637839628318749</v>
      </c>
      <c r="BD2" s="3">
        <v>0.12680571288224329</v>
      </c>
      <c r="BE2" s="3">
        <v>7.9226569946062253E-2</v>
      </c>
      <c r="BF2" s="3">
        <v>0.29172292451253501</v>
      </c>
      <c r="BG2" s="3">
        <v>0.30683683355260633</v>
      </c>
      <c r="BH2" s="3">
        <v>0.25095075237707909</v>
      </c>
      <c r="BI2" s="3">
        <v>0.13050924157973209</v>
      </c>
      <c r="BJ2" s="3">
        <v>0.25095075237707909</v>
      </c>
      <c r="BK2" s="3">
        <v>0.43367252387265209</v>
      </c>
      <c r="BL2" s="3">
        <v>0.25095075237707909</v>
      </c>
      <c r="BM2" s="3">
        <v>0.13050924157973209</v>
      </c>
      <c r="BN2" s="3">
        <v>0.43367252387265209</v>
      </c>
      <c r="BO2" s="3">
        <v>0.52846878004532938</v>
      </c>
      <c r="BP2" s="3">
        <v>0.34362249300197761</v>
      </c>
      <c r="BQ2" s="3">
        <v>-0.1905785466688317</v>
      </c>
      <c r="BR2" s="3">
        <v>0.50394068183505636</v>
      </c>
      <c r="BS2" s="3">
        <v>0.54265825081381802</v>
      </c>
      <c r="BT2" s="3">
        <v>0.1901193969399731</v>
      </c>
      <c r="BU2" s="3">
        <v>0.23673075641340749</v>
      </c>
      <c r="BV2" s="3">
        <v>0.1901193969399731</v>
      </c>
      <c r="BW2" s="3">
        <v>0.37702902977354907</v>
      </c>
      <c r="BX2" s="3">
        <v>0.1901193969399731</v>
      </c>
      <c r="BY2" s="3">
        <v>0.23673075641340749</v>
      </c>
      <c r="BZ2" s="3">
        <v>0.37702902977354907</v>
      </c>
      <c r="CA2" s="3">
        <v>0.42530943803555948</v>
      </c>
      <c r="CB2" s="3">
        <v>0.30649937380663189</v>
      </c>
      <c r="CC2" s="3">
        <v>-0.23049803949785949</v>
      </c>
      <c r="CD2" s="3">
        <v>0.48207103860737638</v>
      </c>
      <c r="CE2" s="3">
        <v>0.54674946404668934</v>
      </c>
      <c r="CF2" s="3">
        <v>210.32726889803209</v>
      </c>
      <c r="CG2" s="3">
        <v>0.40137151630151341</v>
      </c>
      <c r="CH2" s="3">
        <v>210.32726889803209</v>
      </c>
      <c r="CI2" s="3">
        <v>11.4677575000839</v>
      </c>
      <c r="CJ2" s="3">
        <v>210.32726889803209</v>
      </c>
      <c r="CK2" s="3">
        <v>0.40137151630151341</v>
      </c>
      <c r="CL2" s="3">
        <v>11.4677575000839</v>
      </c>
      <c r="CM2" s="3">
        <v>10.190608841365179</v>
      </c>
      <c r="CN2" s="3">
        <v>477.96438255381338</v>
      </c>
      <c r="CO2" s="3">
        <v>-0.36037088813617801</v>
      </c>
      <c r="CP2" s="3">
        <v>17.99064328156663</v>
      </c>
      <c r="CQ2" s="3">
        <v>16.090275714513769</v>
      </c>
    </row>
    <row r="3" spans="1:95" x14ac:dyDescent="0.3">
      <c r="A3" s="2">
        <v>46060.130439814813</v>
      </c>
      <c r="B3" s="3" t="s">
        <v>113</v>
      </c>
      <c r="C3" s="3">
        <v>0</v>
      </c>
      <c r="D3" s="3" t="s">
        <v>96</v>
      </c>
      <c r="E3" s="3">
        <v>16590</v>
      </c>
      <c r="F3" s="3">
        <v>4.5</v>
      </c>
      <c r="G3" s="3" t="s">
        <v>97</v>
      </c>
      <c r="H3" s="3" t="s">
        <v>98</v>
      </c>
      <c r="I3" s="3">
        <v>5</v>
      </c>
      <c r="J3" s="3">
        <v>5</v>
      </c>
      <c r="K3" s="3" t="s">
        <v>99</v>
      </c>
      <c r="L3" s="3" t="s">
        <v>100</v>
      </c>
      <c r="M3" s="3" t="s">
        <v>101</v>
      </c>
      <c r="N3" s="3" t="s">
        <v>101</v>
      </c>
      <c r="O3" s="3" t="s">
        <v>102</v>
      </c>
      <c r="P3" s="3" t="s">
        <v>103</v>
      </c>
      <c r="Q3" s="3" t="s">
        <v>104</v>
      </c>
      <c r="R3" s="3" t="s">
        <v>105</v>
      </c>
      <c r="S3" s="3" t="s">
        <v>106</v>
      </c>
      <c r="T3" s="3" t="s">
        <v>107</v>
      </c>
      <c r="U3" s="3" t="s">
        <v>108</v>
      </c>
      <c r="V3" s="3" t="s">
        <v>109</v>
      </c>
      <c r="W3" s="3" t="s">
        <v>101</v>
      </c>
      <c r="X3" s="3">
        <v>200</v>
      </c>
      <c r="Y3" s="3">
        <v>80</v>
      </c>
      <c r="Z3" s="3">
        <v>120</v>
      </c>
      <c r="AA3" s="3" t="s">
        <v>110</v>
      </c>
      <c r="AB3" s="3">
        <v>4000</v>
      </c>
      <c r="AC3" s="3">
        <v>4000</v>
      </c>
      <c r="AD3" s="3">
        <v>0.1242643515738177</v>
      </c>
      <c r="AE3" s="3"/>
      <c r="AF3" s="3">
        <v>128</v>
      </c>
      <c r="AG3" s="3" t="s">
        <v>112</v>
      </c>
      <c r="AH3" s="3">
        <v>0.1</v>
      </c>
      <c r="AI3" s="3">
        <v>33.888542530893481</v>
      </c>
      <c r="AJ3" s="3">
        <v>0.56242883378510045</v>
      </c>
      <c r="AK3" s="3">
        <v>33.888542530893481</v>
      </c>
      <c r="AL3" s="3">
        <v>9.1535355728296306</v>
      </c>
      <c r="AM3" s="3">
        <v>33.888542530893481</v>
      </c>
      <c r="AN3" s="3">
        <v>9.1535355728296306</v>
      </c>
      <c r="AO3" s="3">
        <v>8.367439756109933</v>
      </c>
      <c r="AP3" s="3">
        <v>0.56242883378510045</v>
      </c>
      <c r="AQ3" s="3">
        <v>118.2104156267126</v>
      </c>
      <c r="AR3" s="3">
        <v>17.951896129873312</v>
      </c>
      <c r="AS3" s="3">
        <v>17.462736738642789</v>
      </c>
      <c r="AT3" s="3">
        <v>-6.0770344230990092E-2</v>
      </c>
      <c r="AU3" s="3">
        <v>0.5714285714285714</v>
      </c>
      <c r="AV3" s="3">
        <v>5.4410628069959242E-2</v>
      </c>
      <c r="AW3" s="3">
        <v>0.6049084895260981</v>
      </c>
      <c r="AX3" s="3">
        <v>5.4410628069959242E-2</v>
      </c>
      <c r="AY3" s="3">
        <v>0.18747330790015779</v>
      </c>
      <c r="AZ3" s="3">
        <v>5.4410628069959242E-2</v>
      </c>
      <c r="BA3" s="3">
        <v>0.6049084895260981</v>
      </c>
      <c r="BB3" s="3">
        <v>0.18747330790015779</v>
      </c>
      <c r="BC3" s="3">
        <v>0.17803692114003219</v>
      </c>
      <c r="BD3" s="3">
        <v>8.8189893729314461E-2</v>
      </c>
      <c r="BE3" s="3">
        <v>0.35962734564931398</v>
      </c>
      <c r="BF3" s="3">
        <v>0.2404653199475856</v>
      </c>
      <c r="BG3" s="3">
        <v>0.23037034405836301</v>
      </c>
      <c r="BH3" s="3">
        <v>0.13530839214267509</v>
      </c>
      <c r="BI3" s="3">
        <v>0.53118532066410629</v>
      </c>
      <c r="BJ3" s="3">
        <v>0.13530839214267509</v>
      </c>
      <c r="BK3" s="3">
        <v>0.31897310661728823</v>
      </c>
      <c r="BL3" s="3">
        <v>0.13530839214267509</v>
      </c>
      <c r="BM3" s="3">
        <v>0.53118532066410629</v>
      </c>
      <c r="BN3" s="3">
        <v>0.31897310661728823</v>
      </c>
      <c r="BO3" s="3">
        <v>0.38096998811711968</v>
      </c>
      <c r="BP3" s="3">
        <v>0.31826790366960822</v>
      </c>
      <c r="BQ3" s="3">
        <v>-0.1027303099163448</v>
      </c>
      <c r="BR3" s="3">
        <v>0.49453824683887659</v>
      </c>
      <c r="BS3" s="3">
        <v>0.51983548534005686</v>
      </c>
      <c r="BT3" s="3">
        <v>0.124907198381882</v>
      </c>
      <c r="BU3" s="3">
        <v>0.49853710688152042</v>
      </c>
      <c r="BV3" s="3">
        <v>0.124907198381882</v>
      </c>
      <c r="BW3" s="3">
        <v>0.29595333780458921</v>
      </c>
      <c r="BX3" s="3">
        <v>0.124907198381882</v>
      </c>
      <c r="BY3" s="3">
        <v>0.49853710688152042</v>
      </c>
      <c r="BZ3" s="3">
        <v>0.29595333780458921</v>
      </c>
      <c r="CA3" s="3">
        <v>0.3501948018951252</v>
      </c>
      <c r="CB3" s="3">
        <v>0.2879838809684494</v>
      </c>
      <c r="CC3" s="3">
        <v>-0.1561641922382104</v>
      </c>
      <c r="CD3" s="3">
        <v>0.47024457682838711</v>
      </c>
      <c r="CE3" s="3">
        <v>0.49351165356321952</v>
      </c>
      <c r="CF3" s="3">
        <v>135.23954390497931</v>
      </c>
      <c r="CG3" s="3">
        <v>0.6150844180686732</v>
      </c>
      <c r="CH3" s="3">
        <v>135.23954390497931</v>
      </c>
      <c r="CI3" s="3">
        <v>9.1020534111173657</v>
      </c>
      <c r="CJ3" s="3">
        <v>135.23954390497931</v>
      </c>
      <c r="CK3" s="3">
        <v>0.6150844180686732</v>
      </c>
      <c r="CL3" s="3">
        <v>9.1020534111173657</v>
      </c>
      <c r="CM3" s="3">
        <v>8.2956905890761163</v>
      </c>
      <c r="CN3" s="3">
        <v>472.14722082848368</v>
      </c>
      <c r="CO3" s="3">
        <v>-0.34381422041873039</v>
      </c>
      <c r="CP3" s="3">
        <v>17.899047104651999</v>
      </c>
      <c r="CQ3" s="3">
        <v>17.39862783554149</v>
      </c>
    </row>
    <row r="4" spans="1:95" x14ac:dyDescent="0.3">
      <c r="A4" s="4">
        <v>46058.699386574073</v>
      </c>
      <c r="B4" s="5" t="s">
        <v>114</v>
      </c>
      <c r="C4" s="5">
        <v>0</v>
      </c>
      <c r="D4" s="5" t="s">
        <v>96</v>
      </c>
      <c r="E4" s="5">
        <v>16590</v>
      </c>
      <c r="F4" s="5">
        <v>4.5</v>
      </c>
      <c r="G4" s="5" t="s">
        <v>97</v>
      </c>
      <c r="H4" s="5" t="s">
        <v>98</v>
      </c>
      <c r="I4" s="5">
        <v>5</v>
      </c>
      <c r="J4" s="5">
        <v>5</v>
      </c>
      <c r="K4" s="5" t="s">
        <v>99</v>
      </c>
      <c r="L4" s="5" t="s">
        <v>100</v>
      </c>
      <c r="M4" s="5" t="s">
        <v>101</v>
      </c>
      <c r="N4" s="5" t="s">
        <v>101</v>
      </c>
      <c r="O4" s="5" t="s">
        <v>102</v>
      </c>
      <c r="P4" s="5" t="s">
        <v>103</v>
      </c>
      <c r="Q4" s="5" t="s">
        <v>104</v>
      </c>
      <c r="R4" s="5" t="s">
        <v>105</v>
      </c>
      <c r="S4" s="5" t="s">
        <v>106</v>
      </c>
      <c r="T4" s="5" t="s">
        <v>107</v>
      </c>
      <c r="U4" s="5" t="s">
        <v>108</v>
      </c>
      <c r="V4" s="5" t="s">
        <v>109</v>
      </c>
      <c r="W4" s="5" t="s">
        <v>101</v>
      </c>
      <c r="X4" s="5">
        <v>200</v>
      </c>
      <c r="Y4" s="5">
        <v>80</v>
      </c>
      <c r="Z4" s="5">
        <v>120</v>
      </c>
      <c r="AA4" s="5" t="s">
        <v>110</v>
      </c>
      <c r="AB4" s="5">
        <v>4000</v>
      </c>
      <c r="AC4" s="5">
        <v>4000</v>
      </c>
      <c r="AD4" s="5">
        <v>0.1005270800365871</v>
      </c>
      <c r="AE4" s="5"/>
      <c r="AF4" s="5">
        <v>128</v>
      </c>
      <c r="AG4" s="5" t="s">
        <v>115</v>
      </c>
      <c r="AH4" s="5">
        <v>0.15</v>
      </c>
      <c r="AI4" s="5">
        <v>23.996430523296681</v>
      </c>
      <c r="AJ4" s="5">
        <v>0.76106982989235195</v>
      </c>
      <c r="AK4" s="5">
        <v>23.996430523296681</v>
      </c>
      <c r="AL4" s="5">
        <v>7.4566596548542377</v>
      </c>
      <c r="AM4" s="5">
        <v>23.996430523296681</v>
      </c>
      <c r="AN4" s="5">
        <v>7.4566596548542377</v>
      </c>
      <c r="AO4" s="5">
        <v>7.6567626609735582</v>
      </c>
      <c r="AP4" s="5">
        <v>0.76106982989235195</v>
      </c>
      <c r="AQ4" s="5">
        <v>123.69778138023131</v>
      </c>
      <c r="AR4" s="5">
        <v>18.865362182278432</v>
      </c>
      <c r="AS4" s="5">
        <v>18.812835215700549</v>
      </c>
      <c r="AT4" s="5">
        <v>-1.318806764611713E-3</v>
      </c>
      <c r="AU4" s="5">
        <v>0.5714285714285714</v>
      </c>
      <c r="AV4" s="5">
        <v>2.7807275351321319E-2</v>
      </c>
      <c r="AW4" s="5">
        <v>0.79808322729538617</v>
      </c>
      <c r="AX4" s="5">
        <v>2.7807275351321319E-2</v>
      </c>
      <c r="AY4" s="5">
        <v>0.133091126507312</v>
      </c>
      <c r="AZ4" s="5">
        <v>2.7807275351321319E-2</v>
      </c>
      <c r="BA4" s="5">
        <v>0.79808322729538617</v>
      </c>
      <c r="BB4" s="5">
        <v>0.133091126507312</v>
      </c>
      <c r="BC4" s="5">
        <v>0.12716358924806029</v>
      </c>
      <c r="BD4" s="5">
        <v>5.0740319851718431E-2</v>
      </c>
      <c r="BE4" s="5">
        <v>0.63155967274686586</v>
      </c>
      <c r="BF4" s="5">
        <v>0.17517045883084481</v>
      </c>
      <c r="BG4" s="5">
        <v>0.15750783568244309</v>
      </c>
      <c r="BH4" s="5">
        <v>5.7095828428264578E-2</v>
      </c>
      <c r="BI4" s="5">
        <v>0.80217514913790877</v>
      </c>
      <c r="BJ4" s="5">
        <v>5.7095828428264578E-2</v>
      </c>
      <c r="BK4" s="5">
        <v>0.18783963559987599</v>
      </c>
      <c r="BL4" s="5">
        <v>5.7095828428264578E-2</v>
      </c>
      <c r="BM4" s="5">
        <v>0.80217514913790877</v>
      </c>
      <c r="BN4" s="5">
        <v>0.18783963559987599</v>
      </c>
      <c r="BO4" s="5">
        <v>0.21506146973699061</v>
      </c>
      <c r="BP4" s="5">
        <v>0.31722457899118611</v>
      </c>
      <c r="BQ4" s="5">
        <v>-9.9115412740995001E-2</v>
      </c>
      <c r="BR4" s="5">
        <v>0.49409216707493242</v>
      </c>
      <c r="BS4" s="5">
        <v>0.4833023439113307</v>
      </c>
      <c r="BT4" s="5">
        <v>7.0548325828101069E-2</v>
      </c>
      <c r="BU4" s="5">
        <v>0.71677078637001701</v>
      </c>
      <c r="BV4" s="5">
        <v>7.0548325828101069E-2</v>
      </c>
      <c r="BW4" s="5">
        <v>0.20871941132913499</v>
      </c>
      <c r="BX4" s="5">
        <v>7.0548325828101069E-2</v>
      </c>
      <c r="BY4" s="5">
        <v>0.71677078637001701</v>
      </c>
      <c r="BZ4" s="5">
        <v>0.20871941132913499</v>
      </c>
      <c r="CA4" s="5">
        <v>0.25071194461870272</v>
      </c>
      <c r="CB4" s="5">
        <v>0.28179207384421201</v>
      </c>
      <c r="CC4" s="5">
        <v>-0.13130604511478519</v>
      </c>
      <c r="CD4" s="5">
        <v>0.46924151231374012</v>
      </c>
      <c r="CE4" s="5">
        <v>0.47638797693439078</v>
      </c>
      <c r="CF4" s="5">
        <v>95.830270663579341</v>
      </c>
      <c r="CG4" s="5">
        <v>0.72725015676609295</v>
      </c>
      <c r="CH4" s="5">
        <v>95.830270663579341</v>
      </c>
      <c r="CI4" s="5">
        <v>7.4257378076050609</v>
      </c>
      <c r="CJ4" s="5">
        <v>95.830270663579341</v>
      </c>
      <c r="CK4" s="5">
        <v>0.72725015676609295</v>
      </c>
      <c r="CL4" s="5">
        <v>7.4257378076050609</v>
      </c>
      <c r="CM4" s="5">
        <v>7.6195585108641009</v>
      </c>
      <c r="CN4" s="5">
        <v>494.14136854823909</v>
      </c>
      <c r="CO4" s="5">
        <v>-0.40641344194953821</v>
      </c>
      <c r="CP4" s="5">
        <v>18.82201514860553</v>
      </c>
      <c r="CQ4" s="5">
        <v>18.764449390143461</v>
      </c>
    </row>
    <row r="5" spans="1:95" x14ac:dyDescent="0.3">
      <c r="A5" s="4">
        <v>46060.297395833331</v>
      </c>
      <c r="B5" s="5" t="s">
        <v>116</v>
      </c>
      <c r="C5" s="5">
        <v>1</v>
      </c>
      <c r="D5" s="5" t="s">
        <v>96</v>
      </c>
      <c r="E5" s="5">
        <v>16590</v>
      </c>
      <c r="F5" s="5">
        <v>4.5</v>
      </c>
      <c r="G5" s="5" t="s">
        <v>97</v>
      </c>
      <c r="H5" s="5" t="s">
        <v>98</v>
      </c>
      <c r="I5" s="5">
        <v>5</v>
      </c>
      <c r="J5" s="5">
        <v>5</v>
      </c>
      <c r="K5" s="5" t="s">
        <v>99</v>
      </c>
      <c r="L5" s="5" t="s">
        <v>100</v>
      </c>
      <c r="M5" s="5" t="s">
        <v>101</v>
      </c>
      <c r="N5" s="5" t="s">
        <v>101</v>
      </c>
      <c r="O5" s="5" t="s">
        <v>102</v>
      </c>
      <c r="P5" s="5" t="s">
        <v>103</v>
      </c>
      <c r="Q5" s="5" t="s">
        <v>104</v>
      </c>
      <c r="R5" s="5" t="s">
        <v>105</v>
      </c>
      <c r="S5" s="5" t="s">
        <v>106</v>
      </c>
      <c r="T5" s="5" t="s">
        <v>107</v>
      </c>
      <c r="U5" s="5" t="s">
        <v>108</v>
      </c>
      <c r="V5" s="5" t="s">
        <v>109</v>
      </c>
      <c r="W5" s="5" t="s">
        <v>101</v>
      </c>
      <c r="X5" s="5">
        <v>200</v>
      </c>
      <c r="Y5" s="5">
        <v>80</v>
      </c>
      <c r="Z5" s="5">
        <v>120</v>
      </c>
      <c r="AA5" s="5" t="s">
        <v>110</v>
      </c>
      <c r="AB5" s="5">
        <v>4000</v>
      </c>
      <c r="AC5" s="5">
        <v>4000</v>
      </c>
      <c r="AD5" s="5">
        <v>0.1393396752194869</v>
      </c>
      <c r="AE5" s="5"/>
      <c r="AF5" s="5">
        <v>128</v>
      </c>
      <c r="AG5" s="5" t="s">
        <v>112</v>
      </c>
      <c r="AH5" s="5">
        <v>0.1</v>
      </c>
      <c r="AI5" s="5">
        <v>27.448262633267991</v>
      </c>
      <c r="AJ5" s="5">
        <v>0.62402183467244154</v>
      </c>
      <c r="AK5" s="5">
        <v>27.448262633267991</v>
      </c>
      <c r="AL5" s="5">
        <v>8.4526432549206376</v>
      </c>
      <c r="AM5" s="5">
        <v>27.448262633267991</v>
      </c>
      <c r="AN5" s="5">
        <v>8.4526432549206376</v>
      </c>
      <c r="AO5" s="5">
        <v>10.84611364635199</v>
      </c>
      <c r="AP5" s="5">
        <v>0.62402183467244154</v>
      </c>
      <c r="AQ5" s="5">
        <v>102.2218021091587</v>
      </c>
      <c r="AR5" s="5">
        <v>16.330803138941999</v>
      </c>
      <c r="AS5" s="5">
        <v>17.673739825843828</v>
      </c>
      <c r="AT5" s="5">
        <v>7.2001044901549877E-2</v>
      </c>
      <c r="AU5" s="5">
        <v>0.5714285714285714</v>
      </c>
      <c r="AV5" s="5">
        <v>3.6531541639759933E-2</v>
      </c>
      <c r="AW5" s="5">
        <v>0.7347337739267561</v>
      </c>
      <c r="AX5" s="5">
        <v>3.6531541639759933E-2</v>
      </c>
      <c r="AY5" s="5">
        <v>0.1561728856680831</v>
      </c>
      <c r="AZ5" s="5">
        <v>3.6531541639759933E-2</v>
      </c>
      <c r="BA5" s="5">
        <v>0.7347337739267561</v>
      </c>
      <c r="BB5" s="5">
        <v>0.1561728856680831</v>
      </c>
      <c r="BC5" s="5">
        <v>0.1400893798692891</v>
      </c>
      <c r="BD5" s="5">
        <v>7.5446058425075388E-2</v>
      </c>
      <c r="BE5" s="5">
        <v>0.45216406720872432</v>
      </c>
      <c r="BF5" s="5">
        <v>0.22353902407638049</v>
      </c>
      <c r="BG5" s="5">
        <v>0.1904875885850299</v>
      </c>
      <c r="BH5" s="5">
        <v>0.1161743532729184</v>
      </c>
      <c r="BI5" s="5">
        <v>0.59748067866131627</v>
      </c>
      <c r="BJ5" s="5">
        <v>0.1161743532729184</v>
      </c>
      <c r="BK5" s="5">
        <v>0.28675561836115498</v>
      </c>
      <c r="BL5" s="5">
        <v>0.1161743532729184</v>
      </c>
      <c r="BM5" s="5">
        <v>0.59748067866131627</v>
      </c>
      <c r="BN5" s="5">
        <v>0.28675561836115498</v>
      </c>
      <c r="BO5" s="5">
        <v>0.31845270576442858</v>
      </c>
      <c r="BP5" s="5">
        <v>0.30248656323465101</v>
      </c>
      <c r="BQ5" s="5">
        <v>-4.8051335919641718E-2</v>
      </c>
      <c r="BR5" s="5">
        <v>0.47102975322783291</v>
      </c>
      <c r="BS5" s="5">
        <v>0.44331084748101313</v>
      </c>
      <c r="BT5" s="5">
        <v>0.13063125384518351</v>
      </c>
      <c r="BU5" s="5">
        <v>0.4755568347260114</v>
      </c>
      <c r="BV5" s="5">
        <v>0.13063125384518351</v>
      </c>
      <c r="BW5" s="5">
        <v>0.3091998256186041</v>
      </c>
      <c r="BX5" s="5">
        <v>0.13063125384518351</v>
      </c>
      <c r="BY5" s="5">
        <v>0.4755568347260114</v>
      </c>
      <c r="BZ5" s="5">
        <v>0.3091998256186041</v>
      </c>
      <c r="CA5" s="5">
        <v>0.35284717992416548</v>
      </c>
      <c r="CB5" s="5">
        <v>0.23765148405486841</v>
      </c>
      <c r="CC5" s="5">
        <v>4.5904461136798143E-2</v>
      </c>
      <c r="CD5" s="5">
        <v>0.42592010841338018</v>
      </c>
      <c r="CE5" s="5">
        <v>0.42470911652236898</v>
      </c>
      <c r="CF5" s="5">
        <v>109.5097133843136</v>
      </c>
      <c r="CG5" s="5">
        <v>0.68831605137568119</v>
      </c>
      <c r="CH5" s="5">
        <v>109.5097133843136</v>
      </c>
      <c r="CI5" s="5">
        <v>8.4082951090859428</v>
      </c>
      <c r="CJ5" s="5">
        <v>109.5097133843136</v>
      </c>
      <c r="CK5" s="5">
        <v>0.68831605137568119</v>
      </c>
      <c r="CL5" s="5">
        <v>8.4082951090859428</v>
      </c>
      <c r="CM5" s="5">
        <v>10.810522559208611</v>
      </c>
      <c r="CN5" s="5">
        <v>408.27162433092002</v>
      </c>
      <c r="CO5" s="5">
        <v>-0.1620130128196775</v>
      </c>
      <c r="CP5" s="5">
        <v>16.28090847434024</v>
      </c>
      <c r="CQ5" s="5">
        <v>17.6297588171273</v>
      </c>
    </row>
    <row r="6" spans="1:95" x14ac:dyDescent="0.3">
      <c r="A6" s="2">
        <v>46058.831631944442</v>
      </c>
      <c r="B6" s="3" t="s">
        <v>117</v>
      </c>
      <c r="C6" s="3">
        <v>1</v>
      </c>
      <c r="D6" s="3" t="s">
        <v>96</v>
      </c>
      <c r="E6" s="3">
        <v>16590</v>
      </c>
      <c r="F6" s="3">
        <v>4.5</v>
      </c>
      <c r="G6" s="3" t="s">
        <v>97</v>
      </c>
      <c r="H6" s="3" t="s">
        <v>98</v>
      </c>
      <c r="I6" s="3">
        <v>5</v>
      </c>
      <c r="J6" s="3">
        <v>5</v>
      </c>
      <c r="K6" s="3" t="s">
        <v>99</v>
      </c>
      <c r="L6" s="3" t="s">
        <v>100</v>
      </c>
      <c r="M6" s="3" t="s">
        <v>101</v>
      </c>
      <c r="N6" s="3" t="s">
        <v>101</v>
      </c>
      <c r="O6" s="3" t="s">
        <v>102</v>
      </c>
      <c r="P6" s="3" t="s">
        <v>103</v>
      </c>
      <c r="Q6" s="3" t="s">
        <v>104</v>
      </c>
      <c r="R6" s="3" t="s">
        <v>105</v>
      </c>
      <c r="S6" s="3" t="s">
        <v>106</v>
      </c>
      <c r="T6" s="3" t="s">
        <v>107</v>
      </c>
      <c r="U6" s="3" t="s">
        <v>108</v>
      </c>
      <c r="V6" s="3" t="s">
        <v>109</v>
      </c>
      <c r="W6" s="3" t="s">
        <v>101</v>
      </c>
      <c r="X6" s="3">
        <v>200</v>
      </c>
      <c r="Y6" s="3">
        <v>80</v>
      </c>
      <c r="Z6" s="3">
        <v>120</v>
      </c>
      <c r="AA6" s="3" t="s">
        <v>110</v>
      </c>
      <c r="AB6" s="3">
        <v>4000</v>
      </c>
      <c r="AC6" s="3">
        <v>4000</v>
      </c>
      <c r="AD6" s="3">
        <v>0.1193700189692493</v>
      </c>
      <c r="AE6" s="3"/>
      <c r="AF6" s="3">
        <v>128</v>
      </c>
      <c r="AG6" s="3" t="s">
        <v>115</v>
      </c>
      <c r="AH6" s="3">
        <v>0.15</v>
      </c>
      <c r="AI6" s="3">
        <v>20.787792651419451</v>
      </c>
      <c r="AJ6" s="3">
        <v>0.75465785003142238</v>
      </c>
      <c r="AK6" s="3">
        <v>20.787792651419451</v>
      </c>
      <c r="AL6" s="3">
        <v>7.1649913821589264</v>
      </c>
      <c r="AM6" s="3">
        <v>20.787792651419451</v>
      </c>
      <c r="AN6" s="3">
        <v>7.1649913821589264</v>
      </c>
      <c r="AO6" s="3">
        <v>8.607585278808191</v>
      </c>
      <c r="AP6" s="3">
        <v>0.75465785003142238</v>
      </c>
      <c r="AQ6" s="3">
        <v>120.2008337211759</v>
      </c>
      <c r="AR6" s="3">
        <v>18.23187752062616</v>
      </c>
      <c r="AS6" s="3">
        <v>19.379622644112139</v>
      </c>
      <c r="AT6" s="3">
        <v>-0.1151548605921517</v>
      </c>
      <c r="AU6" s="3">
        <v>0.5714285714285714</v>
      </c>
      <c r="AV6" s="3">
        <v>2.440882255594486E-2</v>
      </c>
      <c r="AW6" s="3">
        <v>0.82276038864836931</v>
      </c>
      <c r="AX6" s="3">
        <v>2.440882255594486E-2</v>
      </c>
      <c r="AY6" s="3">
        <v>0.13063608250653519</v>
      </c>
      <c r="AZ6" s="3">
        <v>2.440882255594486E-2</v>
      </c>
      <c r="BA6" s="3">
        <v>0.82276038864836931</v>
      </c>
      <c r="BB6" s="3">
        <v>0.13063608250653519</v>
      </c>
      <c r="BC6" s="3">
        <v>0.13003597412495771</v>
      </c>
      <c r="BD6" s="3">
        <v>4.7187304198755012E-2</v>
      </c>
      <c r="BE6" s="3">
        <v>0.65735916028929642</v>
      </c>
      <c r="BF6" s="3">
        <v>0.172038756864377</v>
      </c>
      <c r="BG6" s="3">
        <v>0.13217728944683699</v>
      </c>
      <c r="BH6" s="3">
        <v>7.1726129478140249E-2</v>
      </c>
      <c r="BI6" s="3">
        <v>0.75148428076920681</v>
      </c>
      <c r="BJ6" s="3">
        <v>7.1726129478140249E-2</v>
      </c>
      <c r="BK6" s="3">
        <v>0.2115397924212287</v>
      </c>
      <c r="BL6" s="3">
        <v>7.1726129478140249E-2</v>
      </c>
      <c r="BM6" s="3">
        <v>0.75148428076920681</v>
      </c>
      <c r="BN6" s="3">
        <v>0.2115397924212287</v>
      </c>
      <c r="BO6" s="3">
        <v>0.20740855311343451</v>
      </c>
      <c r="BP6" s="3">
        <v>0.40110402085090979</v>
      </c>
      <c r="BQ6" s="3">
        <v>-0.38973976364507829</v>
      </c>
      <c r="BR6" s="3">
        <v>0.5414275384599232</v>
      </c>
      <c r="BS6" s="3">
        <v>0.57909850377966621</v>
      </c>
      <c r="BT6" s="3">
        <v>7.9570519786551552E-2</v>
      </c>
      <c r="BU6" s="3">
        <v>0.68054953136397311</v>
      </c>
      <c r="BV6" s="3">
        <v>7.9570519786551552E-2</v>
      </c>
      <c r="BW6" s="3">
        <v>0.22480441577309809</v>
      </c>
      <c r="BX6" s="3">
        <v>7.9570519786551552E-2</v>
      </c>
      <c r="BY6" s="3">
        <v>0.68054953136397311</v>
      </c>
      <c r="BZ6" s="3">
        <v>0.22480441577309809</v>
      </c>
      <c r="CA6" s="3">
        <v>0.27762715147830908</v>
      </c>
      <c r="CB6" s="3">
        <v>0.3392619219567079</v>
      </c>
      <c r="CC6" s="3">
        <v>-0.36202930746402728</v>
      </c>
      <c r="CD6" s="3">
        <v>0.50773329455344118</v>
      </c>
      <c r="CE6" s="3">
        <v>0.5024848046068392</v>
      </c>
      <c r="CF6" s="3">
        <v>82.975465133857085</v>
      </c>
      <c r="CG6" s="3">
        <v>0.76383719934413963</v>
      </c>
      <c r="CH6" s="3">
        <v>82.975465133857085</v>
      </c>
      <c r="CI6" s="3">
        <v>7.1330517970172567</v>
      </c>
      <c r="CJ6" s="3">
        <v>82.975465133857085</v>
      </c>
      <c r="CK6" s="3">
        <v>0.76383719934413963</v>
      </c>
      <c r="CL6" s="3">
        <v>7.1330517970172567</v>
      </c>
      <c r="CM6" s="3">
        <v>8.5723535752078828</v>
      </c>
      <c r="CN6" s="3">
        <v>480.0157816376971</v>
      </c>
      <c r="CO6" s="3">
        <v>-0.36620953154879771</v>
      </c>
      <c r="CP6" s="3">
        <v>18.17347229009307</v>
      </c>
      <c r="CQ6" s="3">
        <v>19.325008379137131</v>
      </c>
    </row>
    <row r="7" spans="1:95" x14ac:dyDescent="0.3">
      <c r="A7" s="4">
        <v>46059.60633101852</v>
      </c>
      <c r="B7" s="5" t="s">
        <v>118</v>
      </c>
      <c r="C7" s="5">
        <v>2</v>
      </c>
      <c r="D7" s="5" t="s">
        <v>96</v>
      </c>
      <c r="E7" s="5">
        <v>16590</v>
      </c>
      <c r="F7" s="5">
        <v>4.5</v>
      </c>
      <c r="G7" s="5" t="s">
        <v>97</v>
      </c>
      <c r="H7" s="5" t="s">
        <v>98</v>
      </c>
      <c r="I7" s="5">
        <v>5</v>
      </c>
      <c r="J7" s="5">
        <v>5</v>
      </c>
      <c r="K7" s="5" t="s">
        <v>99</v>
      </c>
      <c r="L7" s="5" t="s">
        <v>100</v>
      </c>
      <c r="M7" s="5" t="s">
        <v>101</v>
      </c>
      <c r="N7" s="5" t="s">
        <v>101</v>
      </c>
      <c r="O7" s="5" t="s">
        <v>102</v>
      </c>
      <c r="P7" s="5" t="s">
        <v>103</v>
      </c>
      <c r="Q7" s="5" t="s">
        <v>104</v>
      </c>
      <c r="R7" s="5" t="s">
        <v>105</v>
      </c>
      <c r="S7" s="5" t="s">
        <v>106</v>
      </c>
      <c r="T7" s="5" t="s">
        <v>107</v>
      </c>
      <c r="U7" s="5" t="s">
        <v>108</v>
      </c>
      <c r="V7" s="5" t="s">
        <v>109</v>
      </c>
      <c r="W7" s="5" t="s">
        <v>101</v>
      </c>
      <c r="X7" s="5">
        <v>200</v>
      </c>
      <c r="Y7" s="5">
        <v>80</v>
      </c>
      <c r="Z7" s="5">
        <v>120</v>
      </c>
      <c r="AA7" s="5" t="s">
        <v>110</v>
      </c>
      <c r="AB7" s="5">
        <v>4000</v>
      </c>
      <c r="AC7" s="5">
        <v>4000</v>
      </c>
      <c r="AD7" s="5">
        <v>0.22595456375338721</v>
      </c>
      <c r="AE7" s="5"/>
      <c r="AF7" s="5">
        <v>128</v>
      </c>
      <c r="AG7" s="5" t="s">
        <v>111</v>
      </c>
      <c r="AH7" s="5">
        <v>0.05</v>
      </c>
      <c r="AI7" s="5">
        <v>51.538664479192299</v>
      </c>
      <c r="AJ7" s="5">
        <v>0.19645196207771171</v>
      </c>
      <c r="AK7" s="5">
        <v>51.538664479192299</v>
      </c>
      <c r="AL7" s="5">
        <v>11.69719218063004</v>
      </c>
      <c r="AM7" s="5">
        <v>51.538664479192299</v>
      </c>
      <c r="AN7" s="5">
        <v>11.69719218063004</v>
      </c>
      <c r="AO7" s="5">
        <v>9.480200977147252</v>
      </c>
      <c r="AP7" s="5">
        <v>0.19645196207771171</v>
      </c>
      <c r="AQ7" s="5">
        <v>94.6951210551739</v>
      </c>
      <c r="AR7" s="5">
        <v>16.237128618926569</v>
      </c>
      <c r="AS7" s="5">
        <v>16.899739085955169</v>
      </c>
      <c r="AT7" s="5">
        <v>-9.308578879100543E-2</v>
      </c>
      <c r="AU7" s="5">
        <v>0.5714285714285714</v>
      </c>
      <c r="AV7" s="5">
        <v>9.0005970230310525E-2</v>
      </c>
      <c r="AW7" s="5">
        <v>0.34644028214046901</v>
      </c>
      <c r="AX7" s="5">
        <v>9.0005970230310525E-2</v>
      </c>
      <c r="AY7" s="5">
        <v>0.2293633385938911</v>
      </c>
      <c r="AZ7" s="5">
        <v>9.0005970230310525E-2</v>
      </c>
      <c r="BA7" s="5">
        <v>0.34644028214046901</v>
      </c>
      <c r="BB7" s="5">
        <v>0.2293633385938911</v>
      </c>
      <c r="BC7" s="5">
        <v>0.24570971521601559</v>
      </c>
      <c r="BD7" s="5">
        <v>0.14589876050338799</v>
      </c>
      <c r="BE7" s="5">
        <v>-5.9413642302343472E-2</v>
      </c>
      <c r="BF7" s="5">
        <v>0.3154867095588087</v>
      </c>
      <c r="BG7" s="5">
        <v>0.27864943520850299</v>
      </c>
      <c r="BH7" s="5">
        <v>0.30831559864507169</v>
      </c>
      <c r="BI7" s="5">
        <v>-6.8247698639645415E-2</v>
      </c>
      <c r="BJ7" s="5">
        <v>0.30831559864507169</v>
      </c>
      <c r="BK7" s="5">
        <v>0.49797368359390992</v>
      </c>
      <c r="BL7" s="5">
        <v>0.30831559864507169</v>
      </c>
      <c r="BM7" s="5">
        <v>-6.8247698639645415E-2</v>
      </c>
      <c r="BN7" s="5">
        <v>0.49797368359390992</v>
      </c>
      <c r="BO7" s="5">
        <v>0.504135781485329</v>
      </c>
      <c r="BP7" s="5">
        <v>0.36300871511082161</v>
      </c>
      <c r="BQ7" s="5">
        <v>-0.25774766572767582</v>
      </c>
      <c r="BR7" s="5">
        <v>0.52155606601963556</v>
      </c>
      <c r="BS7" s="5">
        <v>0.48770788153493377</v>
      </c>
      <c r="BT7" s="5">
        <v>0.22602259597023039</v>
      </c>
      <c r="BU7" s="5">
        <v>9.2590768557167635E-2</v>
      </c>
      <c r="BV7" s="5">
        <v>0.22602259597023039</v>
      </c>
      <c r="BW7" s="5">
        <v>0.41055339087683862</v>
      </c>
      <c r="BX7" s="5">
        <v>0.22602259597023039</v>
      </c>
      <c r="BY7" s="5">
        <v>9.2590768557167635E-2</v>
      </c>
      <c r="BZ7" s="5">
        <v>0.41055339087683862</v>
      </c>
      <c r="CA7" s="5">
        <v>0.43832748986106429</v>
      </c>
      <c r="CB7" s="5">
        <v>0.24391672215536289</v>
      </c>
      <c r="CC7" s="5">
        <v>2.0751511870058189E-2</v>
      </c>
      <c r="CD7" s="5">
        <v>0.43128866126241211</v>
      </c>
      <c r="CE7" s="5">
        <v>0.45495188078344789</v>
      </c>
      <c r="CF7" s="5">
        <v>205.5303137519229</v>
      </c>
      <c r="CG7" s="5">
        <v>0.41502449625285381</v>
      </c>
      <c r="CH7" s="5">
        <v>205.5303137519229</v>
      </c>
      <c r="CI7" s="5">
        <v>11.61544850744473</v>
      </c>
      <c r="CJ7" s="5">
        <v>205.5303137519229</v>
      </c>
      <c r="CK7" s="5">
        <v>0.41502449625285381</v>
      </c>
      <c r="CL7" s="5">
        <v>11.61544850744473</v>
      </c>
      <c r="CM7" s="5">
        <v>9.3728367318495476</v>
      </c>
      <c r="CN7" s="5">
        <v>378.02766002292481</v>
      </c>
      <c r="CO7" s="5">
        <v>-7.593335900406295E-2</v>
      </c>
      <c r="CP7" s="5">
        <v>16.177646007233001</v>
      </c>
      <c r="CQ7" s="5">
        <v>16.84299038524912</v>
      </c>
    </row>
    <row r="8" spans="1:95" x14ac:dyDescent="0.3">
      <c r="A8" s="4">
        <v>46060.451469907413</v>
      </c>
      <c r="B8" s="5" t="s">
        <v>119</v>
      </c>
      <c r="C8" s="5">
        <v>2</v>
      </c>
      <c r="D8" s="5" t="s">
        <v>96</v>
      </c>
      <c r="E8" s="5">
        <v>16590</v>
      </c>
      <c r="F8" s="5">
        <v>4.5</v>
      </c>
      <c r="G8" s="5" t="s">
        <v>97</v>
      </c>
      <c r="H8" s="5" t="s">
        <v>98</v>
      </c>
      <c r="I8" s="5">
        <v>5</v>
      </c>
      <c r="J8" s="5">
        <v>5</v>
      </c>
      <c r="K8" s="5" t="s">
        <v>99</v>
      </c>
      <c r="L8" s="5" t="s">
        <v>100</v>
      </c>
      <c r="M8" s="5" t="s">
        <v>101</v>
      </c>
      <c r="N8" s="5" t="s">
        <v>101</v>
      </c>
      <c r="O8" s="5" t="s">
        <v>102</v>
      </c>
      <c r="P8" s="5" t="s">
        <v>103</v>
      </c>
      <c r="Q8" s="5" t="s">
        <v>104</v>
      </c>
      <c r="R8" s="5" t="s">
        <v>105</v>
      </c>
      <c r="S8" s="5" t="s">
        <v>106</v>
      </c>
      <c r="T8" s="5" t="s">
        <v>107</v>
      </c>
      <c r="U8" s="5" t="s">
        <v>108</v>
      </c>
      <c r="V8" s="5" t="s">
        <v>109</v>
      </c>
      <c r="W8" s="5" t="s">
        <v>101</v>
      </c>
      <c r="X8" s="5">
        <v>200</v>
      </c>
      <c r="Y8" s="5">
        <v>80</v>
      </c>
      <c r="Z8" s="5">
        <v>120</v>
      </c>
      <c r="AA8" s="5" t="s">
        <v>110</v>
      </c>
      <c r="AB8" s="5">
        <v>4000</v>
      </c>
      <c r="AC8" s="5">
        <v>4000</v>
      </c>
      <c r="AD8" s="5">
        <v>0.2064896717471108</v>
      </c>
      <c r="AE8" s="5"/>
      <c r="AF8" s="5">
        <v>128</v>
      </c>
      <c r="AG8" s="5" t="s">
        <v>112</v>
      </c>
      <c r="AH8" s="5">
        <v>0.1</v>
      </c>
      <c r="AI8" s="5">
        <v>32.542517173831072</v>
      </c>
      <c r="AJ8" s="5">
        <v>0.35582369532005331</v>
      </c>
      <c r="AK8" s="5">
        <v>32.542517173831072</v>
      </c>
      <c r="AL8" s="5">
        <v>9.1768692653066122</v>
      </c>
      <c r="AM8" s="5">
        <v>32.542517173831072</v>
      </c>
      <c r="AN8" s="5">
        <v>9.1768692653066122</v>
      </c>
      <c r="AO8" s="5">
        <v>9.1304198309008502</v>
      </c>
      <c r="AP8" s="5">
        <v>0.35582369532005331</v>
      </c>
      <c r="AQ8" s="5">
        <v>96.599100982527375</v>
      </c>
      <c r="AR8" s="5">
        <v>16.281263582430149</v>
      </c>
      <c r="AS8" s="5">
        <v>17.223646972497239</v>
      </c>
      <c r="AT8" s="5">
        <v>4.5747320144809388E-2</v>
      </c>
      <c r="AU8" s="5">
        <v>0.5714285714285714</v>
      </c>
      <c r="AV8" s="5">
        <v>5.4608545093619933E-2</v>
      </c>
      <c r="AW8" s="5">
        <v>0.60347135603581636</v>
      </c>
      <c r="AX8" s="5">
        <v>5.4608545093619933E-2</v>
      </c>
      <c r="AY8" s="5">
        <v>0.17925901903030589</v>
      </c>
      <c r="AZ8" s="5">
        <v>5.4608545093619933E-2</v>
      </c>
      <c r="BA8" s="5">
        <v>0.60347135603581636</v>
      </c>
      <c r="BB8" s="5">
        <v>0.17925901903030589</v>
      </c>
      <c r="BC8" s="5">
        <v>0.1934304755648697</v>
      </c>
      <c r="BD8" s="5">
        <v>8.0262932079880639E-2</v>
      </c>
      <c r="BE8" s="5">
        <v>0.41718733645693051</v>
      </c>
      <c r="BF8" s="5">
        <v>0.2208494020706914</v>
      </c>
      <c r="BG8" s="5">
        <v>0.22014888113846229</v>
      </c>
      <c r="BH8" s="5">
        <v>0.28034451276574129</v>
      </c>
      <c r="BI8" s="5">
        <v>2.8666139811467369E-2</v>
      </c>
      <c r="BJ8" s="5">
        <v>0.28034451276574129</v>
      </c>
      <c r="BK8" s="5">
        <v>0.47215386546005478</v>
      </c>
      <c r="BL8" s="5">
        <v>0.28034451276574129</v>
      </c>
      <c r="BM8" s="5">
        <v>2.8666139811467369E-2</v>
      </c>
      <c r="BN8" s="5">
        <v>0.47215386546005478</v>
      </c>
      <c r="BO8" s="5">
        <v>0.49396426768541057</v>
      </c>
      <c r="BP8" s="5">
        <v>0.3363251081679795</v>
      </c>
      <c r="BQ8" s="5">
        <v>-0.16529466680915481</v>
      </c>
      <c r="BR8" s="5">
        <v>0.50164106380070639</v>
      </c>
      <c r="BS8" s="5">
        <v>0.47867852372107123</v>
      </c>
      <c r="BT8" s="5">
        <v>0.20920814554721179</v>
      </c>
      <c r="BU8" s="5">
        <v>0.16009546856288939</v>
      </c>
      <c r="BV8" s="5">
        <v>0.20920814554721179</v>
      </c>
      <c r="BW8" s="5">
        <v>0.39862242963217581</v>
      </c>
      <c r="BX8" s="5">
        <v>0.20920814554721179</v>
      </c>
      <c r="BY8" s="5">
        <v>0.16009546856288939</v>
      </c>
      <c r="BZ8" s="5">
        <v>0.39862242963217581</v>
      </c>
      <c r="CA8" s="5">
        <v>0.42440252044696608</v>
      </c>
      <c r="CB8" s="5">
        <v>0.24186841749884799</v>
      </c>
      <c r="CC8" s="5">
        <v>2.8974807183301251E-2</v>
      </c>
      <c r="CD8" s="5">
        <v>0.42767472570593179</v>
      </c>
      <c r="CE8" s="5">
        <v>0.4565356651164022</v>
      </c>
      <c r="CF8" s="5">
        <v>129.62590749191779</v>
      </c>
      <c r="CG8" s="5">
        <v>0.63106181687003726</v>
      </c>
      <c r="CH8" s="5">
        <v>129.62590749191779</v>
      </c>
      <c r="CI8" s="5">
        <v>9.0941304745002611</v>
      </c>
      <c r="CJ8" s="5">
        <v>129.62590749191779</v>
      </c>
      <c r="CK8" s="5">
        <v>0.63106181687003726</v>
      </c>
      <c r="CL8" s="5">
        <v>9.0941304745002611</v>
      </c>
      <c r="CM8" s="5">
        <v>9.0337548044137677</v>
      </c>
      <c r="CN8" s="5">
        <v>385.73794747236269</v>
      </c>
      <c r="CO8" s="5">
        <v>-9.7878196251838689E-2</v>
      </c>
      <c r="CP8" s="5">
        <v>16.230229912009982</v>
      </c>
      <c r="CQ8" s="5">
        <v>17.172044477935479</v>
      </c>
    </row>
    <row r="9" spans="1:95" x14ac:dyDescent="0.3">
      <c r="A9" s="2">
        <v>46058.969050925924</v>
      </c>
      <c r="B9" s="3" t="s">
        <v>120</v>
      </c>
      <c r="C9" s="3">
        <v>2</v>
      </c>
      <c r="D9" s="3" t="s">
        <v>96</v>
      </c>
      <c r="E9" s="3">
        <v>16590</v>
      </c>
      <c r="F9" s="3">
        <v>4.5</v>
      </c>
      <c r="G9" s="3" t="s">
        <v>97</v>
      </c>
      <c r="H9" s="3" t="s">
        <v>98</v>
      </c>
      <c r="I9" s="3">
        <v>5</v>
      </c>
      <c r="J9" s="3">
        <v>5</v>
      </c>
      <c r="K9" s="3" t="s">
        <v>99</v>
      </c>
      <c r="L9" s="3" t="s">
        <v>100</v>
      </c>
      <c r="M9" s="3" t="s">
        <v>101</v>
      </c>
      <c r="N9" s="3" t="s">
        <v>101</v>
      </c>
      <c r="O9" s="3" t="s">
        <v>102</v>
      </c>
      <c r="P9" s="3" t="s">
        <v>103</v>
      </c>
      <c r="Q9" s="3" t="s">
        <v>104</v>
      </c>
      <c r="R9" s="3" t="s">
        <v>105</v>
      </c>
      <c r="S9" s="3" t="s">
        <v>106</v>
      </c>
      <c r="T9" s="3" t="s">
        <v>107</v>
      </c>
      <c r="U9" s="3" t="s">
        <v>108</v>
      </c>
      <c r="V9" s="3" t="s">
        <v>109</v>
      </c>
      <c r="W9" s="3" t="s">
        <v>101</v>
      </c>
      <c r="X9" s="3">
        <v>200</v>
      </c>
      <c r="Y9" s="3">
        <v>80</v>
      </c>
      <c r="Z9" s="3">
        <v>120</v>
      </c>
      <c r="AA9" s="3" t="s">
        <v>110</v>
      </c>
      <c r="AB9" s="3">
        <v>4000</v>
      </c>
      <c r="AC9" s="3">
        <v>4000</v>
      </c>
      <c r="AD9" s="3">
        <v>0.1863685587694871</v>
      </c>
      <c r="AE9" s="3"/>
      <c r="AF9" s="3">
        <v>128</v>
      </c>
      <c r="AG9" s="3" t="s">
        <v>115</v>
      </c>
      <c r="AH9" s="3">
        <v>0.15</v>
      </c>
      <c r="AI9" s="3">
        <v>24.156512009136879</v>
      </c>
      <c r="AJ9" s="3">
        <v>0.52586616514219497</v>
      </c>
      <c r="AK9" s="3">
        <v>24.156512009136879</v>
      </c>
      <c r="AL9" s="3">
        <v>7.5966463178856989</v>
      </c>
      <c r="AM9" s="3">
        <v>24.156512009136879</v>
      </c>
      <c r="AN9" s="3">
        <v>7.5966463178856989</v>
      </c>
      <c r="AO9" s="3">
        <v>8.5440478247755909</v>
      </c>
      <c r="AP9" s="3">
        <v>0.52586616514219497</v>
      </c>
      <c r="AQ9" s="3">
        <v>115.618310775711</v>
      </c>
      <c r="AR9" s="3">
        <v>17.897348000672441</v>
      </c>
      <c r="AS9" s="3">
        <v>18.841003224299062</v>
      </c>
      <c r="AT9" s="3">
        <v>1.075092988997575E-2</v>
      </c>
      <c r="AU9" s="3">
        <v>0.5714285714285714</v>
      </c>
      <c r="AV9" s="3">
        <v>2.3163221508344121E-2</v>
      </c>
      <c r="AW9" s="3">
        <v>0.83180506276445731</v>
      </c>
      <c r="AX9" s="3">
        <v>2.3163221508344121E-2</v>
      </c>
      <c r="AY9" s="3">
        <v>0.1232676951406509</v>
      </c>
      <c r="AZ9" s="3">
        <v>2.3163221508344121E-2</v>
      </c>
      <c r="BA9" s="3">
        <v>0.83180506276445731</v>
      </c>
      <c r="BB9" s="3">
        <v>0.1232676951406509</v>
      </c>
      <c r="BC9" s="3">
        <v>0.13399954228402111</v>
      </c>
      <c r="BD9" s="3">
        <v>4.091456216283431E-2</v>
      </c>
      <c r="BE9" s="3">
        <v>0.70290737786543844</v>
      </c>
      <c r="BF9" s="3">
        <v>0.15445796593006239</v>
      </c>
      <c r="BG9" s="3">
        <v>0.14682125564769391</v>
      </c>
      <c r="BH9" s="3">
        <v>0.2280279673749662</v>
      </c>
      <c r="BI9" s="3">
        <v>0.20993179571753909</v>
      </c>
      <c r="BJ9" s="3">
        <v>0.2280279673749662</v>
      </c>
      <c r="BK9" s="3">
        <v>0.42554239490524809</v>
      </c>
      <c r="BL9" s="3">
        <v>0.2280279673749662</v>
      </c>
      <c r="BM9" s="3">
        <v>0.20993179571753909</v>
      </c>
      <c r="BN9" s="3">
        <v>0.42554239490524809</v>
      </c>
      <c r="BO9" s="3">
        <v>0.4611251759224525</v>
      </c>
      <c r="BP9" s="3">
        <v>0.33451110617302432</v>
      </c>
      <c r="BQ9" s="3">
        <v>-0.15900953733482859</v>
      </c>
      <c r="BR9" s="3">
        <v>0.50312171654000337</v>
      </c>
      <c r="BS9" s="3">
        <v>0.46947614698107132</v>
      </c>
      <c r="BT9" s="3">
        <v>0.1655033043560232</v>
      </c>
      <c r="BU9" s="3">
        <v>0.33555658202099231</v>
      </c>
      <c r="BV9" s="3">
        <v>0.1655033043560232</v>
      </c>
      <c r="BW9" s="3">
        <v>0.35859584826319879</v>
      </c>
      <c r="BX9" s="3">
        <v>0.1655033043560232</v>
      </c>
      <c r="BY9" s="3">
        <v>0.33555658202099231</v>
      </c>
      <c r="BZ9" s="3">
        <v>0.35859584826319879</v>
      </c>
      <c r="CA9" s="3">
        <v>0.34952773197716369</v>
      </c>
      <c r="CB9" s="3">
        <v>0.29554593566387821</v>
      </c>
      <c r="CC9" s="3">
        <v>-0.18652344994805239</v>
      </c>
      <c r="CD9" s="3">
        <v>0.47059465643365123</v>
      </c>
      <c r="CE9" s="3">
        <v>0.47363127071469913</v>
      </c>
      <c r="CF9" s="3">
        <v>96.209353543308396</v>
      </c>
      <c r="CG9" s="3">
        <v>0.72617122006579149</v>
      </c>
      <c r="CH9" s="3">
        <v>96.209353543308396</v>
      </c>
      <c r="CI9" s="3">
        <v>7.5239599113497819</v>
      </c>
      <c r="CJ9" s="3">
        <v>96.209353543308396</v>
      </c>
      <c r="CK9" s="3">
        <v>0.72617122006579149</v>
      </c>
      <c r="CL9" s="3">
        <v>7.5239599113497819</v>
      </c>
      <c r="CM9" s="3">
        <v>8.4714569070636259</v>
      </c>
      <c r="CN9" s="3">
        <v>461.80227149884331</v>
      </c>
      <c r="CO9" s="3">
        <v>-0.31437067102265748</v>
      </c>
      <c r="CP9" s="3">
        <v>17.84691393929257</v>
      </c>
      <c r="CQ9" s="3">
        <v>18.79678296659463</v>
      </c>
    </row>
    <row r="10" spans="1:95" x14ac:dyDescent="0.3">
      <c r="A10" s="4">
        <v>46059.787465277783</v>
      </c>
      <c r="B10" s="5" t="s">
        <v>121</v>
      </c>
      <c r="C10" s="5">
        <v>3</v>
      </c>
      <c r="D10" s="5" t="s">
        <v>96</v>
      </c>
      <c r="E10" s="5">
        <v>16590</v>
      </c>
      <c r="F10" s="5">
        <v>4.5</v>
      </c>
      <c r="G10" s="5" t="s">
        <v>97</v>
      </c>
      <c r="H10" s="5" t="s">
        <v>98</v>
      </c>
      <c r="I10" s="5">
        <v>5</v>
      </c>
      <c r="J10" s="5">
        <v>5</v>
      </c>
      <c r="K10" s="5" t="s">
        <v>99</v>
      </c>
      <c r="L10" s="5" t="s">
        <v>100</v>
      </c>
      <c r="M10" s="5" t="s">
        <v>101</v>
      </c>
      <c r="N10" s="5" t="s">
        <v>101</v>
      </c>
      <c r="O10" s="5" t="s">
        <v>102</v>
      </c>
      <c r="P10" s="5" t="s">
        <v>103</v>
      </c>
      <c r="Q10" s="5" t="s">
        <v>104</v>
      </c>
      <c r="R10" s="5" t="s">
        <v>105</v>
      </c>
      <c r="S10" s="5" t="s">
        <v>106</v>
      </c>
      <c r="T10" s="5" t="s">
        <v>107</v>
      </c>
      <c r="U10" s="5" t="s">
        <v>108</v>
      </c>
      <c r="V10" s="5" t="s">
        <v>109</v>
      </c>
      <c r="W10" s="5" t="s">
        <v>101</v>
      </c>
      <c r="X10" s="5">
        <v>200</v>
      </c>
      <c r="Y10" s="5">
        <v>80</v>
      </c>
      <c r="Z10" s="5">
        <v>120</v>
      </c>
      <c r="AA10" s="5" t="s">
        <v>110</v>
      </c>
      <c r="AB10" s="5">
        <v>4000</v>
      </c>
      <c r="AC10" s="5">
        <v>4000</v>
      </c>
      <c r="AD10" s="5">
        <v>0.18142313392990261</v>
      </c>
      <c r="AE10" s="5"/>
      <c r="AF10" s="5">
        <v>128</v>
      </c>
      <c r="AG10" s="5" t="s">
        <v>111</v>
      </c>
      <c r="AH10" s="5">
        <v>0.05</v>
      </c>
      <c r="AI10" s="5">
        <v>55.332374446679232</v>
      </c>
      <c r="AJ10" s="5">
        <v>0.31961734041269968</v>
      </c>
      <c r="AK10" s="5">
        <v>55.332374446679232</v>
      </c>
      <c r="AL10" s="5">
        <v>11.67629354935281</v>
      </c>
      <c r="AM10" s="5">
        <v>55.332374446679232</v>
      </c>
      <c r="AN10" s="5">
        <v>11.67629354935281</v>
      </c>
      <c r="AO10" s="5">
        <v>11.15153573900168</v>
      </c>
      <c r="AP10" s="5">
        <v>0.31961734041269968</v>
      </c>
      <c r="AQ10" s="5">
        <v>104.25151772578209</v>
      </c>
      <c r="AR10" s="5">
        <v>16.87074866852392</v>
      </c>
      <c r="AS10" s="5">
        <v>18.010020767355279</v>
      </c>
      <c r="AT10" s="5">
        <v>-0.2197400100476401</v>
      </c>
      <c r="AU10" s="5">
        <v>0.5714285714285714</v>
      </c>
      <c r="AV10" s="5">
        <v>8.7519581654969675E-2</v>
      </c>
      <c r="AW10" s="5">
        <v>0.3644946779947752</v>
      </c>
      <c r="AX10" s="5">
        <v>8.7519581654969675E-2</v>
      </c>
      <c r="AY10" s="5">
        <v>0.23242038689589989</v>
      </c>
      <c r="AZ10" s="5">
        <v>8.7519581654969675E-2</v>
      </c>
      <c r="BA10" s="5">
        <v>0.3644946779947752</v>
      </c>
      <c r="BB10" s="5">
        <v>0.23242038689589989</v>
      </c>
      <c r="BC10" s="5">
        <v>0.19096920276397239</v>
      </c>
      <c r="BD10" s="5">
        <v>0.22111757551518499</v>
      </c>
      <c r="BE10" s="5">
        <v>-0.60559949409690716</v>
      </c>
      <c r="BF10" s="5">
        <v>0.38926457510972401</v>
      </c>
      <c r="BG10" s="5">
        <v>0.37636674441523271</v>
      </c>
      <c r="BH10" s="5">
        <v>0.18588997541409319</v>
      </c>
      <c r="BI10" s="5">
        <v>0.35593093794490849</v>
      </c>
      <c r="BJ10" s="5">
        <v>0.18588997541409319</v>
      </c>
      <c r="BK10" s="5">
        <v>0.36973096846495518</v>
      </c>
      <c r="BL10" s="5">
        <v>0.18588997541409319</v>
      </c>
      <c r="BM10" s="5">
        <v>0.35593093794490849</v>
      </c>
      <c r="BN10" s="5">
        <v>0.36973096846495518</v>
      </c>
      <c r="BO10" s="5">
        <v>0.32461915370668137</v>
      </c>
      <c r="BP10" s="5">
        <v>0.31488408881047653</v>
      </c>
      <c r="BQ10" s="5">
        <v>-9.1006114151435336E-2</v>
      </c>
      <c r="BR10" s="5">
        <v>0.48322365852669741</v>
      </c>
      <c r="BS10" s="5">
        <v>0.49059633295163307</v>
      </c>
      <c r="BT10" s="5">
        <v>0.20259834928021239</v>
      </c>
      <c r="BU10" s="5">
        <v>0.18663170988374231</v>
      </c>
      <c r="BV10" s="5">
        <v>0.20259834928021239</v>
      </c>
      <c r="BW10" s="5">
        <v>0.39908058567261201</v>
      </c>
      <c r="BX10" s="5">
        <v>0.20259834928021239</v>
      </c>
      <c r="BY10" s="5">
        <v>0.18663170988374231</v>
      </c>
      <c r="BZ10" s="5">
        <v>0.39908058567261201</v>
      </c>
      <c r="CA10" s="5">
        <v>0.42612256426880452</v>
      </c>
      <c r="CB10" s="5">
        <v>0.2485163455085852</v>
      </c>
      <c r="CC10" s="5">
        <v>2.2854789764989998E-3</v>
      </c>
      <c r="CD10" s="5">
        <v>0.44225024010221409</v>
      </c>
      <c r="CE10" s="5">
        <v>0.43972498612364319</v>
      </c>
      <c r="CF10" s="5">
        <v>220.8534898803679</v>
      </c>
      <c r="CG10" s="5">
        <v>0.37141203582736843</v>
      </c>
      <c r="CH10" s="5">
        <v>220.8534898803679</v>
      </c>
      <c r="CI10" s="5">
        <v>11.610817097856559</v>
      </c>
      <c r="CJ10" s="5">
        <v>220.8534898803679</v>
      </c>
      <c r="CK10" s="5">
        <v>0.37141203582736843</v>
      </c>
      <c r="CL10" s="5">
        <v>11.610817097856559</v>
      </c>
      <c r="CM10" s="5">
        <v>11.084627455627141</v>
      </c>
      <c r="CN10" s="5">
        <v>416.22155289329112</v>
      </c>
      <c r="CO10" s="5">
        <v>-0.1846399109187096</v>
      </c>
      <c r="CP10" s="5">
        <v>16.803667747449921</v>
      </c>
      <c r="CQ10" s="5">
        <v>17.944400418772609</v>
      </c>
    </row>
    <row r="11" spans="1:95" x14ac:dyDescent="0.3">
      <c r="A11" s="4">
        <v>46060.596192129633</v>
      </c>
      <c r="B11" s="5" t="s">
        <v>122</v>
      </c>
      <c r="C11" s="5">
        <v>3</v>
      </c>
      <c r="D11" s="5" t="s">
        <v>96</v>
      </c>
      <c r="E11" s="5">
        <v>16590</v>
      </c>
      <c r="F11" s="5">
        <v>4.5</v>
      </c>
      <c r="G11" s="5" t="s">
        <v>97</v>
      </c>
      <c r="H11" s="5" t="s">
        <v>98</v>
      </c>
      <c r="I11" s="5">
        <v>5</v>
      </c>
      <c r="J11" s="5">
        <v>5</v>
      </c>
      <c r="K11" s="5" t="s">
        <v>99</v>
      </c>
      <c r="L11" s="5" t="s">
        <v>100</v>
      </c>
      <c r="M11" s="5" t="s">
        <v>101</v>
      </c>
      <c r="N11" s="5" t="s">
        <v>101</v>
      </c>
      <c r="O11" s="5" t="s">
        <v>102</v>
      </c>
      <c r="P11" s="5" t="s">
        <v>103</v>
      </c>
      <c r="Q11" s="5" t="s">
        <v>104</v>
      </c>
      <c r="R11" s="5" t="s">
        <v>105</v>
      </c>
      <c r="S11" s="5" t="s">
        <v>106</v>
      </c>
      <c r="T11" s="5" t="s">
        <v>107</v>
      </c>
      <c r="U11" s="5" t="s">
        <v>108</v>
      </c>
      <c r="V11" s="5" t="s">
        <v>109</v>
      </c>
      <c r="W11" s="5" t="s">
        <v>101</v>
      </c>
      <c r="X11" s="5">
        <v>200</v>
      </c>
      <c r="Y11" s="5">
        <v>80</v>
      </c>
      <c r="Z11" s="5">
        <v>120</v>
      </c>
      <c r="AA11" s="5" t="s">
        <v>110</v>
      </c>
      <c r="AB11" s="5">
        <v>4000</v>
      </c>
      <c r="AC11" s="5">
        <v>4000</v>
      </c>
      <c r="AD11" s="5">
        <v>0.13562081043852439</v>
      </c>
      <c r="AE11" s="5"/>
      <c r="AF11" s="5">
        <v>128</v>
      </c>
      <c r="AG11" s="5" t="s">
        <v>112</v>
      </c>
      <c r="AH11" s="5">
        <v>0.1</v>
      </c>
      <c r="AI11" s="5">
        <v>32.700438588196519</v>
      </c>
      <c r="AJ11" s="5">
        <v>0.55005057921360101</v>
      </c>
      <c r="AK11" s="5">
        <v>32.700438588196519</v>
      </c>
      <c r="AL11" s="5">
        <v>8.8472155895062006</v>
      </c>
      <c r="AM11" s="5">
        <v>32.700438588196519</v>
      </c>
      <c r="AN11" s="5">
        <v>8.8472155895062006</v>
      </c>
      <c r="AO11" s="5">
        <v>8.8542326084026914</v>
      </c>
      <c r="AP11" s="5">
        <v>0.55005057921360101</v>
      </c>
      <c r="AQ11" s="5">
        <v>98.8311002680597</v>
      </c>
      <c r="AR11" s="5">
        <v>16.43137253712333</v>
      </c>
      <c r="AS11" s="5">
        <v>17.4763991711472</v>
      </c>
      <c r="AT11" s="5">
        <v>-6.5316894817425114E-2</v>
      </c>
      <c r="AU11" s="5">
        <v>0.5714285714285714</v>
      </c>
      <c r="AV11" s="5">
        <v>5.958746776235252E-2</v>
      </c>
      <c r="AW11" s="5">
        <v>0.56731793992025437</v>
      </c>
      <c r="AX11" s="5">
        <v>5.958746776235252E-2</v>
      </c>
      <c r="AY11" s="5">
        <v>0.1896458185039305</v>
      </c>
      <c r="AZ11" s="5">
        <v>5.958746776235252E-2</v>
      </c>
      <c r="BA11" s="5">
        <v>0.56731793992025437</v>
      </c>
      <c r="BB11" s="5">
        <v>0.1896458185039305</v>
      </c>
      <c r="BC11" s="5">
        <v>0.17555666851867949</v>
      </c>
      <c r="BD11" s="5">
        <v>0.169984500064187</v>
      </c>
      <c r="BE11" s="5">
        <v>-0.2343072533762984</v>
      </c>
      <c r="BF11" s="5">
        <v>0.30466355848328291</v>
      </c>
      <c r="BG11" s="5">
        <v>0.29709297996140049</v>
      </c>
      <c r="BH11" s="5">
        <v>0.1104484483400892</v>
      </c>
      <c r="BI11" s="5">
        <v>0.61731971630328009</v>
      </c>
      <c r="BJ11" s="5">
        <v>0.1104484483400892</v>
      </c>
      <c r="BK11" s="5">
        <v>0.27710673357996279</v>
      </c>
      <c r="BL11" s="5">
        <v>0.1104484483400892</v>
      </c>
      <c r="BM11" s="5">
        <v>0.61731971630328009</v>
      </c>
      <c r="BN11" s="5">
        <v>0.27710673357996279</v>
      </c>
      <c r="BO11" s="5">
        <v>0.25447798034188879</v>
      </c>
      <c r="BP11" s="5">
        <v>0.28228221426832661</v>
      </c>
      <c r="BQ11" s="5">
        <v>2.1952417963192691E-2</v>
      </c>
      <c r="BR11" s="5">
        <v>0.45224283089746792</v>
      </c>
      <c r="BS11" s="5">
        <v>0.43454556480620188</v>
      </c>
      <c r="BT11" s="5">
        <v>0.15270669304402271</v>
      </c>
      <c r="BU11" s="5">
        <v>0.38693092884614072</v>
      </c>
      <c r="BV11" s="5">
        <v>0.15270669304402271</v>
      </c>
      <c r="BW11" s="5">
        <v>0.34102632750112633</v>
      </c>
      <c r="BX11" s="5">
        <v>0.15270669304402271</v>
      </c>
      <c r="BY11" s="5">
        <v>0.38693092884614072</v>
      </c>
      <c r="BZ11" s="5">
        <v>0.34102632750112633</v>
      </c>
      <c r="CA11" s="5">
        <v>0.39174543847212978</v>
      </c>
      <c r="CB11" s="5">
        <v>0.23057689563128611</v>
      </c>
      <c r="CC11" s="5">
        <v>7.4306695951687041E-2</v>
      </c>
      <c r="CD11" s="5">
        <v>0.42131863753820609</v>
      </c>
      <c r="CE11" s="5">
        <v>0.4200469929639945</v>
      </c>
      <c r="CF11" s="5">
        <v>130.4790117436396</v>
      </c>
      <c r="CG11" s="5">
        <v>0.62863373178472903</v>
      </c>
      <c r="CH11" s="5">
        <v>130.4790117436396</v>
      </c>
      <c r="CI11" s="5">
        <v>8.7936988024614937</v>
      </c>
      <c r="CJ11" s="5">
        <v>130.4790117436396</v>
      </c>
      <c r="CK11" s="5">
        <v>0.62863373178472903</v>
      </c>
      <c r="CL11" s="5">
        <v>8.7936988024614937</v>
      </c>
      <c r="CM11" s="5">
        <v>8.7929841549116201</v>
      </c>
      <c r="CN11" s="5">
        <v>394.64155746227487</v>
      </c>
      <c r="CO11" s="5">
        <v>-0.1232194398082689</v>
      </c>
      <c r="CP11" s="5">
        <v>16.370313306754522</v>
      </c>
      <c r="CQ11" s="5">
        <v>17.41681408676838</v>
      </c>
    </row>
    <row r="12" spans="1:95" x14ac:dyDescent="0.3">
      <c r="A12" s="2">
        <v>46059.088229166657</v>
      </c>
      <c r="B12" s="3" t="s">
        <v>123</v>
      </c>
      <c r="C12" s="3">
        <v>3</v>
      </c>
      <c r="D12" s="3" t="s">
        <v>96</v>
      </c>
      <c r="E12" s="3">
        <v>16590</v>
      </c>
      <c r="F12" s="3">
        <v>4.5</v>
      </c>
      <c r="G12" s="3" t="s">
        <v>97</v>
      </c>
      <c r="H12" s="3" t="s">
        <v>98</v>
      </c>
      <c r="I12" s="3">
        <v>5</v>
      </c>
      <c r="J12" s="3">
        <v>5</v>
      </c>
      <c r="K12" s="3" t="s">
        <v>99</v>
      </c>
      <c r="L12" s="3" t="s">
        <v>100</v>
      </c>
      <c r="M12" s="3" t="s">
        <v>101</v>
      </c>
      <c r="N12" s="3" t="s">
        <v>101</v>
      </c>
      <c r="O12" s="3" t="s">
        <v>102</v>
      </c>
      <c r="P12" s="3" t="s">
        <v>103</v>
      </c>
      <c r="Q12" s="3" t="s">
        <v>104</v>
      </c>
      <c r="R12" s="3" t="s">
        <v>105</v>
      </c>
      <c r="S12" s="3" t="s">
        <v>106</v>
      </c>
      <c r="T12" s="3" t="s">
        <v>107</v>
      </c>
      <c r="U12" s="3" t="s">
        <v>108</v>
      </c>
      <c r="V12" s="3" t="s">
        <v>109</v>
      </c>
      <c r="W12" s="3" t="s">
        <v>101</v>
      </c>
      <c r="X12" s="3">
        <v>200</v>
      </c>
      <c r="Y12" s="3">
        <v>80</v>
      </c>
      <c r="Z12" s="3">
        <v>120</v>
      </c>
      <c r="AA12" s="3" t="s">
        <v>110</v>
      </c>
      <c r="AB12" s="3">
        <v>4000</v>
      </c>
      <c r="AC12" s="3">
        <v>4000</v>
      </c>
      <c r="AD12" s="3">
        <v>0.1054042275991947</v>
      </c>
      <c r="AE12" s="3"/>
      <c r="AF12" s="3">
        <v>128</v>
      </c>
      <c r="AG12" s="3" t="s">
        <v>115</v>
      </c>
      <c r="AH12" s="3">
        <v>0.15</v>
      </c>
      <c r="AI12" s="3">
        <v>23.49990717914665</v>
      </c>
      <c r="AJ12" s="3">
        <v>0.7431526309366121</v>
      </c>
      <c r="AK12" s="3">
        <v>23.49990717914665</v>
      </c>
      <c r="AL12" s="3">
        <v>7.3342493828488209</v>
      </c>
      <c r="AM12" s="3">
        <v>23.49990717914665</v>
      </c>
      <c r="AN12" s="3">
        <v>7.3342493828488209</v>
      </c>
      <c r="AO12" s="3">
        <v>7.8875681440001522</v>
      </c>
      <c r="AP12" s="3">
        <v>0.7431526309366121</v>
      </c>
      <c r="AQ12" s="3">
        <v>104.8112218979136</v>
      </c>
      <c r="AR12" s="3">
        <v>16.84593715077019</v>
      </c>
      <c r="AS12" s="3">
        <v>17.54033801211585</v>
      </c>
      <c r="AT12" s="3">
        <v>0.1974853795873461</v>
      </c>
      <c r="AU12" s="3">
        <v>0.5714285714285714</v>
      </c>
      <c r="AV12" s="3">
        <v>3.8431227397336842E-2</v>
      </c>
      <c r="AW12" s="3">
        <v>0.72093959911183236</v>
      </c>
      <c r="AX12" s="3">
        <v>3.8431227397336842E-2</v>
      </c>
      <c r="AY12" s="3">
        <v>0.1505414284468149</v>
      </c>
      <c r="AZ12" s="3">
        <v>3.8431227397336842E-2</v>
      </c>
      <c r="BA12" s="3">
        <v>0.72093959911183236</v>
      </c>
      <c r="BB12" s="3">
        <v>0.1505414284468149</v>
      </c>
      <c r="BC12" s="3">
        <v>0.1502025935164801</v>
      </c>
      <c r="BD12" s="3">
        <v>6.6549278602799924E-2</v>
      </c>
      <c r="BE12" s="3">
        <v>0.51676619188585593</v>
      </c>
      <c r="BF12" s="3">
        <v>0.21529424807206529</v>
      </c>
      <c r="BG12" s="3">
        <v>0.14319861235824721</v>
      </c>
      <c r="BH12" s="3">
        <v>4.2645082017198598E-2</v>
      </c>
      <c r="BI12" s="3">
        <v>0.85224389903277598</v>
      </c>
      <c r="BJ12" s="3">
        <v>4.2645082017198598E-2</v>
      </c>
      <c r="BK12" s="3">
        <v>0.1618366262841959</v>
      </c>
      <c r="BL12" s="3">
        <v>4.2645082017198598E-2</v>
      </c>
      <c r="BM12" s="3">
        <v>0.85224389903277598</v>
      </c>
      <c r="BN12" s="3">
        <v>0.1618366262841959</v>
      </c>
      <c r="BO12" s="3">
        <v>0.16152686444885031</v>
      </c>
      <c r="BP12" s="3">
        <v>0.22358056861163819</v>
      </c>
      <c r="BQ12" s="3">
        <v>0.22534108254809951</v>
      </c>
      <c r="BR12" s="3">
        <v>0.40308816234833378</v>
      </c>
      <c r="BS12" s="3">
        <v>0.37869891629978802</v>
      </c>
      <c r="BT12" s="3">
        <v>8.3070218199706905E-2</v>
      </c>
      <c r="BU12" s="3">
        <v>0.66649934919642884</v>
      </c>
      <c r="BV12" s="3">
        <v>8.3070218199706905E-2</v>
      </c>
      <c r="BW12" s="3">
        <v>0.240026898775794</v>
      </c>
      <c r="BX12" s="3">
        <v>8.3070218199706905E-2</v>
      </c>
      <c r="BY12" s="3">
        <v>0.66649934919642884</v>
      </c>
      <c r="BZ12" s="3">
        <v>0.240026898775794</v>
      </c>
      <c r="CA12" s="3">
        <v>0.3136937805717282</v>
      </c>
      <c r="CB12" s="3">
        <v>0.18937622927643399</v>
      </c>
      <c r="CC12" s="3">
        <v>0.23971433951716911</v>
      </c>
      <c r="CD12" s="3">
        <v>0.37865567240663678</v>
      </c>
      <c r="CE12" s="3">
        <v>0.39999775942246002</v>
      </c>
      <c r="CF12" s="3">
        <v>93.835482188972691</v>
      </c>
      <c r="CG12" s="3">
        <v>0.73292767640541245</v>
      </c>
      <c r="CH12" s="3">
        <v>93.835482188972691</v>
      </c>
      <c r="CI12" s="3">
        <v>7.3022530957676128</v>
      </c>
      <c r="CJ12" s="3">
        <v>93.835482188972691</v>
      </c>
      <c r="CK12" s="3">
        <v>0.73292767640541245</v>
      </c>
      <c r="CL12" s="3">
        <v>7.3022530957676128</v>
      </c>
      <c r="CM12" s="3">
        <v>7.8542661907619511</v>
      </c>
      <c r="CN12" s="3">
        <v>418.76538151516201</v>
      </c>
      <c r="CO12" s="3">
        <v>-0.19188009560174149</v>
      </c>
      <c r="CP12" s="3">
        <v>16.810983310719781</v>
      </c>
      <c r="CQ12" s="3">
        <v>17.507479015503218</v>
      </c>
    </row>
    <row r="13" spans="1:95" x14ac:dyDescent="0.3">
      <c r="A13" s="4">
        <v>46059.966585648152</v>
      </c>
      <c r="B13" s="5" t="s">
        <v>124</v>
      </c>
      <c r="C13" s="5">
        <v>4</v>
      </c>
      <c r="D13" s="5" t="s">
        <v>96</v>
      </c>
      <c r="E13" s="5">
        <v>16590</v>
      </c>
      <c r="F13" s="5">
        <v>4.5</v>
      </c>
      <c r="G13" s="5" t="s">
        <v>97</v>
      </c>
      <c r="H13" s="5" t="s">
        <v>98</v>
      </c>
      <c r="I13" s="5">
        <v>5</v>
      </c>
      <c r="J13" s="5">
        <v>5</v>
      </c>
      <c r="K13" s="5" t="s">
        <v>99</v>
      </c>
      <c r="L13" s="5" t="s">
        <v>100</v>
      </c>
      <c r="M13" s="5" t="s">
        <v>101</v>
      </c>
      <c r="N13" s="5" t="s">
        <v>101</v>
      </c>
      <c r="O13" s="5" t="s">
        <v>102</v>
      </c>
      <c r="P13" s="5" t="s">
        <v>103</v>
      </c>
      <c r="Q13" s="5" t="s">
        <v>104</v>
      </c>
      <c r="R13" s="5" t="s">
        <v>105</v>
      </c>
      <c r="S13" s="5" t="s">
        <v>106</v>
      </c>
      <c r="T13" s="5" t="s">
        <v>107</v>
      </c>
      <c r="U13" s="5" t="s">
        <v>108</v>
      </c>
      <c r="V13" s="5" t="s">
        <v>109</v>
      </c>
      <c r="W13" s="5" t="s">
        <v>101</v>
      </c>
      <c r="X13" s="5">
        <v>200</v>
      </c>
      <c r="Y13" s="5">
        <v>80</v>
      </c>
      <c r="Z13" s="5">
        <v>120</v>
      </c>
      <c r="AA13" s="5" t="s">
        <v>110</v>
      </c>
      <c r="AB13" s="5">
        <v>4000</v>
      </c>
      <c r="AC13" s="5">
        <v>4000</v>
      </c>
      <c r="AD13" s="5">
        <v>0.18283911427511429</v>
      </c>
      <c r="AE13" s="5"/>
      <c r="AF13" s="5">
        <v>128</v>
      </c>
      <c r="AG13" s="5" t="s">
        <v>111</v>
      </c>
      <c r="AH13" s="5">
        <v>0.05</v>
      </c>
      <c r="AI13" s="5">
        <v>56.352636043782162</v>
      </c>
      <c r="AJ13" s="5">
        <v>0.3056377371056036</v>
      </c>
      <c r="AK13" s="5">
        <v>56.352636043782162</v>
      </c>
      <c r="AL13" s="5">
        <v>12.22908744577864</v>
      </c>
      <c r="AM13" s="5">
        <v>56.352636043782162</v>
      </c>
      <c r="AN13" s="5">
        <v>12.22908744577864</v>
      </c>
      <c r="AO13" s="5">
        <v>11.924448339881421</v>
      </c>
      <c r="AP13" s="5">
        <v>0.3056377371056036</v>
      </c>
      <c r="AQ13" s="5">
        <v>97.901594373238837</v>
      </c>
      <c r="AR13" s="5">
        <v>16.59562869587738</v>
      </c>
      <c r="AS13" s="5">
        <v>17.95623853741245</v>
      </c>
      <c r="AT13" s="5">
        <v>4.2279557070581952E-3</v>
      </c>
      <c r="AU13" s="5">
        <v>0.5714285714285714</v>
      </c>
      <c r="AV13" s="5">
        <v>9.5753837588275506E-2</v>
      </c>
      <c r="AW13" s="5">
        <v>0.30470333336748051</v>
      </c>
      <c r="AX13" s="5">
        <v>9.5753837588275506E-2</v>
      </c>
      <c r="AY13" s="5">
        <v>0.23641031856637901</v>
      </c>
      <c r="AZ13" s="5">
        <v>9.5753837588275506E-2</v>
      </c>
      <c r="BA13" s="5">
        <v>0.30470333336748051</v>
      </c>
      <c r="BB13" s="5">
        <v>0.23641031856637901</v>
      </c>
      <c r="BC13" s="5">
        <v>0.13698338836804419</v>
      </c>
      <c r="BD13" s="5">
        <v>0.10675067740666799</v>
      </c>
      <c r="BE13" s="5">
        <v>0.22485205782804191</v>
      </c>
      <c r="BF13" s="5">
        <v>0.26467943808338318</v>
      </c>
      <c r="BG13" s="5">
        <v>0.1759134017122263</v>
      </c>
      <c r="BH13" s="5">
        <v>0.16983505120185491</v>
      </c>
      <c r="BI13" s="5">
        <v>0.41155782129731722</v>
      </c>
      <c r="BJ13" s="5">
        <v>0.16983505120185491</v>
      </c>
      <c r="BK13" s="5">
        <v>0.35375531364985657</v>
      </c>
      <c r="BL13" s="5">
        <v>0.16983505120185491</v>
      </c>
      <c r="BM13" s="5">
        <v>0.41155782129731722</v>
      </c>
      <c r="BN13" s="5">
        <v>0.35375531364985657</v>
      </c>
      <c r="BO13" s="5">
        <v>0.44956498024283031</v>
      </c>
      <c r="BP13" s="5">
        <v>0.31227604206239379</v>
      </c>
      <c r="BQ13" s="5">
        <v>-8.1969789201197685E-2</v>
      </c>
      <c r="BR13" s="5">
        <v>0.48013955070203601</v>
      </c>
      <c r="BS13" s="5">
        <v>0.51755849672741794</v>
      </c>
      <c r="BT13" s="5">
        <v>0.21259783587656789</v>
      </c>
      <c r="BU13" s="5">
        <v>0.14648693405603261</v>
      </c>
      <c r="BV13" s="5">
        <v>0.21259783587656789</v>
      </c>
      <c r="BW13" s="5">
        <v>0.40472826161112152</v>
      </c>
      <c r="BX13" s="5">
        <v>0.21259783587656789</v>
      </c>
      <c r="BY13" s="5">
        <v>0.14648693405603261</v>
      </c>
      <c r="BZ13" s="5">
        <v>0.40472826161112152</v>
      </c>
      <c r="CA13" s="5">
        <v>0.44775598668276129</v>
      </c>
      <c r="CB13" s="5">
        <v>0.25239862821630521</v>
      </c>
      <c r="CC13" s="5">
        <v>-1.3300658121581099E-2</v>
      </c>
      <c r="CD13" s="5">
        <v>0.43848754916882698</v>
      </c>
      <c r="CE13" s="5">
        <v>0.45744225366287872</v>
      </c>
      <c r="CF13" s="5">
        <v>224.93235745046201</v>
      </c>
      <c r="CG13" s="5">
        <v>0.35980285970158432</v>
      </c>
      <c r="CH13" s="5">
        <v>224.93235745046201</v>
      </c>
      <c r="CI13" s="5">
        <v>12.16598227032279</v>
      </c>
      <c r="CJ13" s="5">
        <v>224.93235745046201</v>
      </c>
      <c r="CK13" s="5">
        <v>0.35980285970158432</v>
      </c>
      <c r="CL13" s="5">
        <v>12.16598227032279</v>
      </c>
      <c r="CM13" s="5">
        <v>11.845437142569761</v>
      </c>
      <c r="CN13" s="5">
        <v>390.9349521452699</v>
      </c>
      <c r="CO13" s="5">
        <v>-0.11266978767703149</v>
      </c>
      <c r="CP13" s="5">
        <v>16.540154498480931</v>
      </c>
      <c r="CQ13" s="5">
        <v>17.902734731602571</v>
      </c>
    </row>
    <row r="14" spans="1:95" x14ac:dyDescent="0.3">
      <c r="A14" s="4">
        <v>46060.729872685188</v>
      </c>
      <c r="B14" s="5" t="s">
        <v>125</v>
      </c>
      <c r="C14" s="5">
        <v>4</v>
      </c>
      <c r="D14" s="5" t="s">
        <v>96</v>
      </c>
      <c r="E14" s="5">
        <v>16590</v>
      </c>
      <c r="F14" s="5">
        <v>4.5</v>
      </c>
      <c r="G14" s="5" t="s">
        <v>97</v>
      </c>
      <c r="H14" s="5" t="s">
        <v>98</v>
      </c>
      <c r="I14" s="5">
        <v>5</v>
      </c>
      <c r="J14" s="5">
        <v>5</v>
      </c>
      <c r="K14" s="5" t="s">
        <v>99</v>
      </c>
      <c r="L14" s="5" t="s">
        <v>100</v>
      </c>
      <c r="M14" s="5" t="s">
        <v>101</v>
      </c>
      <c r="N14" s="5" t="s">
        <v>101</v>
      </c>
      <c r="O14" s="5" t="s">
        <v>102</v>
      </c>
      <c r="P14" s="5" t="s">
        <v>103</v>
      </c>
      <c r="Q14" s="5" t="s">
        <v>104</v>
      </c>
      <c r="R14" s="5" t="s">
        <v>105</v>
      </c>
      <c r="S14" s="5" t="s">
        <v>106</v>
      </c>
      <c r="T14" s="5" t="s">
        <v>107</v>
      </c>
      <c r="U14" s="5" t="s">
        <v>108</v>
      </c>
      <c r="V14" s="5" t="s">
        <v>109</v>
      </c>
      <c r="W14" s="5" t="s">
        <v>101</v>
      </c>
      <c r="X14" s="5">
        <v>200</v>
      </c>
      <c r="Y14" s="5">
        <v>80</v>
      </c>
      <c r="Z14" s="5">
        <v>120</v>
      </c>
      <c r="AA14" s="5" t="s">
        <v>110</v>
      </c>
      <c r="AB14" s="5">
        <v>4000</v>
      </c>
      <c r="AC14" s="5">
        <v>4000</v>
      </c>
      <c r="AD14" s="5">
        <v>0.1278633993311051</v>
      </c>
      <c r="AE14" s="5"/>
      <c r="AF14" s="5">
        <v>128</v>
      </c>
      <c r="AG14" s="5" t="s">
        <v>112</v>
      </c>
      <c r="AH14" s="5">
        <v>0.1</v>
      </c>
      <c r="AI14" s="5">
        <v>32.202705765153759</v>
      </c>
      <c r="AJ14" s="5">
        <v>0.57553734072667107</v>
      </c>
      <c r="AK14" s="5">
        <v>32.202705765153759</v>
      </c>
      <c r="AL14" s="5">
        <v>8.9902981425890367</v>
      </c>
      <c r="AM14" s="5">
        <v>32.202705765153759</v>
      </c>
      <c r="AN14" s="5">
        <v>8.9902981425890367</v>
      </c>
      <c r="AO14" s="5">
        <v>9.5390704129156187</v>
      </c>
      <c r="AP14" s="5">
        <v>0.57553734072667107</v>
      </c>
      <c r="AQ14" s="5">
        <v>99.509001420036782</v>
      </c>
      <c r="AR14" s="5">
        <v>16.631702914319678</v>
      </c>
      <c r="AS14" s="5">
        <v>17.64527802068968</v>
      </c>
      <c r="AT14" s="5">
        <v>4.0812408813158091E-2</v>
      </c>
      <c r="AU14" s="5">
        <v>0.5714285714285714</v>
      </c>
      <c r="AV14" s="5">
        <v>5.704459132551909E-2</v>
      </c>
      <c r="AW14" s="5">
        <v>0.5857825106854595</v>
      </c>
      <c r="AX14" s="5">
        <v>5.704459132551909E-2</v>
      </c>
      <c r="AY14" s="5">
        <v>0.18592919755385359</v>
      </c>
      <c r="AZ14" s="5">
        <v>5.704459132551909E-2</v>
      </c>
      <c r="BA14" s="5">
        <v>0.5857825106854595</v>
      </c>
      <c r="BB14" s="5">
        <v>0.18592919755385359</v>
      </c>
      <c r="BC14" s="5">
        <v>0.13503336248962111</v>
      </c>
      <c r="BD14" s="5">
        <v>8.4177661755247227E-2</v>
      </c>
      <c r="BE14" s="5">
        <v>0.38876133743062041</v>
      </c>
      <c r="BF14" s="5">
        <v>0.23287302893582909</v>
      </c>
      <c r="BG14" s="5">
        <v>0.17020135998870209</v>
      </c>
      <c r="BH14" s="5">
        <v>9.5409876454297576E-2</v>
      </c>
      <c r="BI14" s="5">
        <v>0.66942515591912477</v>
      </c>
      <c r="BJ14" s="5">
        <v>9.5409876454297576E-2</v>
      </c>
      <c r="BK14" s="5">
        <v>0.25726169368474527</v>
      </c>
      <c r="BL14" s="5">
        <v>9.5409876454297576E-2</v>
      </c>
      <c r="BM14" s="5">
        <v>0.66942515591912477</v>
      </c>
      <c r="BN14" s="5">
        <v>0.25726169368474527</v>
      </c>
      <c r="BO14" s="5">
        <v>0.32654992444562642</v>
      </c>
      <c r="BP14" s="5">
        <v>0.31430466827495068</v>
      </c>
      <c r="BQ14" s="5">
        <v>-8.8998545749641389E-2</v>
      </c>
      <c r="BR14" s="5">
        <v>0.48327877608559072</v>
      </c>
      <c r="BS14" s="5">
        <v>0.51379160326165307</v>
      </c>
      <c r="BT14" s="5">
        <v>0.1462855620749435</v>
      </c>
      <c r="BU14" s="5">
        <v>0.41270973867103689</v>
      </c>
      <c r="BV14" s="5">
        <v>0.1462855620749435</v>
      </c>
      <c r="BW14" s="5">
        <v>0.33035713839172298</v>
      </c>
      <c r="BX14" s="5">
        <v>0.1462855620749435</v>
      </c>
      <c r="BY14" s="5">
        <v>0.41270973867103689</v>
      </c>
      <c r="BZ14" s="5">
        <v>0.33035713839172298</v>
      </c>
      <c r="CA14" s="5">
        <v>0.41673371837720929</v>
      </c>
      <c r="CB14" s="5">
        <v>0.25045048911173312</v>
      </c>
      <c r="CC14" s="5">
        <v>-5.4794958168338237E-3</v>
      </c>
      <c r="CD14" s="5">
        <v>0.44005082508916932</v>
      </c>
      <c r="CE14" s="5">
        <v>0.45546340295143478</v>
      </c>
      <c r="CF14" s="5">
        <v>128.51208303076001</v>
      </c>
      <c r="CG14" s="5">
        <v>0.63423195763106466</v>
      </c>
      <c r="CH14" s="5">
        <v>128.51208303076001</v>
      </c>
      <c r="CI14" s="5">
        <v>8.9410893940737015</v>
      </c>
      <c r="CJ14" s="5">
        <v>128.51208303076001</v>
      </c>
      <c r="CK14" s="5">
        <v>0.63423195763106466</v>
      </c>
      <c r="CL14" s="5">
        <v>8.9410893940737015</v>
      </c>
      <c r="CM14" s="5">
        <v>9.4796540553301494</v>
      </c>
      <c r="CN14" s="5">
        <v>397.3870728610068</v>
      </c>
      <c r="CO14" s="5">
        <v>-0.1310336606115188</v>
      </c>
      <c r="CP14" s="5">
        <v>16.578614521604621</v>
      </c>
      <c r="CQ14" s="5">
        <v>17.58820337032952</v>
      </c>
    </row>
    <row r="15" spans="1:95" x14ac:dyDescent="0.3">
      <c r="A15" s="6">
        <v>46059.198900462958</v>
      </c>
      <c r="B15" s="7" t="s">
        <v>126</v>
      </c>
      <c r="C15" s="7">
        <v>4</v>
      </c>
      <c r="D15" s="7" t="s">
        <v>96</v>
      </c>
      <c r="E15" s="7">
        <v>16590</v>
      </c>
      <c r="F15" s="7">
        <v>4.5</v>
      </c>
      <c r="G15" s="7" t="s">
        <v>97</v>
      </c>
      <c r="H15" s="7" t="s">
        <v>98</v>
      </c>
      <c r="I15" s="7">
        <v>5</v>
      </c>
      <c r="J15" s="7">
        <v>5</v>
      </c>
      <c r="K15" s="7" t="s">
        <v>99</v>
      </c>
      <c r="L15" s="7" t="s">
        <v>100</v>
      </c>
      <c r="M15" s="7" t="s">
        <v>101</v>
      </c>
      <c r="N15" s="7" t="s">
        <v>101</v>
      </c>
      <c r="O15" s="7" t="s">
        <v>102</v>
      </c>
      <c r="P15" s="7" t="s">
        <v>103</v>
      </c>
      <c r="Q15" s="7" t="s">
        <v>104</v>
      </c>
      <c r="R15" s="7" t="s">
        <v>105</v>
      </c>
      <c r="S15" s="7" t="s">
        <v>106</v>
      </c>
      <c r="T15" s="7" t="s">
        <v>107</v>
      </c>
      <c r="U15" s="7" t="s">
        <v>108</v>
      </c>
      <c r="V15" s="7" t="s">
        <v>109</v>
      </c>
      <c r="W15" s="7" t="s">
        <v>101</v>
      </c>
      <c r="X15" s="7">
        <v>200</v>
      </c>
      <c r="Y15" s="7">
        <v>80</v>
      </c>
      <c r="Z15" s="7">
        <v>120</v>
      </c>
      <c r="AA15" s="7" t="s">
        <v>110</v>
      </c>
      <c r="AB15" s="7">
        <v>4000</v>
      </c>
      <c r="AC15" s="7">
        <v>4000</v>
      </c>
      <c r="AD15" s="7">
        <v>0.1098984751851461</v>
      </c>
      <c r="AE15" s="7"/>
      <c r="AF15" s="7">
        <v>128</v>
      </c>
      <c r="AG15" s="7" t="s">
        <v>115</v>
      </c>
      <c r="AH15" s="7">
        <v>0.15</v>
      </c>
      <c r="AI15" s="7">
        <v>22.71993866149996</v>
      </c>
      <c r="AJ15" s="7">
        <v>0.75313283650651719</v>
      </c>
      <c r="AK15" s="7">
        <v>22.71993866149996</v>
      </c>
      <c r="AL15" s="7">
        <v>7.3424709833987123</v>
      </c>
      <c r="AM15" s="7">
        <v>22.71993866149996</v>
      </c>
      <c r="AN15" s="7">
        <v>7.3424709833987123</v>
      </c>
      <c r="AO15" s="7">
        <v>7.8485806093934487</v>
      </c>
      <c r="AP15" s="7">
        <v>0.75313283650651719</v>
      </c>
      <c r="AQ15" s="7">
        <v>113.33623757937031</v>
      </c>
      <c r="AR15" s="7">
        <v>17.618888352813538</v>
      </c>
      <c r="AS15" s="7">
        <v>18.742907187626539</v>
      </c>
      <c r="AT15" s="7">
        <v>3.8345955742663612E-2</v>
      </c>
      <c r="AU15" s="7">
        <v>0.5714285714285714</v>
      </c>
      <c r="AV15" s="7">
        <v>3.2166351073209587E-2</v>
      </c>
      <c r="AW15" s="7">
        <v>0.76643070145031467</v>
      </c>
      <c r="AX15" s="7">
        <v>3.2166351073209587E-2</v>
      </c>
      <c r="AY15" s="7">
        <v>0.14519623681806801</v>
      </c>
      <c r="AZ15" s="7">
        <v>3.2166351073209587E-2</v>
      </c>
      <c r="BA15" s="7">
        <v>0.76643070145031467</v>
      </c>
      <c r="BB15" s="7">
        <v>0.14519623681806801</v>
      </c>
      <c r="BC15" s="7">
        <v>0.1389410864990421</v>
      </c>
      <c r="BD15" s="7">
        <v>6.0894985897267141E-2</v>
      </c>
      <c r="BE15" s="7">
        <v>0.55782366769404113</v>
      </c>
      <c r="BF15" s="7">
        <v>0.2027561100531074</v>
      </c>
      <c r="BG15" s="7">
        <v>0.18173141208322621</v>
      </c>
      <c r="BH15" s="7">
        <v>5.2921168950530818E-2</v>
      </c>
      <c r="BI15" s="7">
        <v>0.8166394525960905</v>
      </c>
      <c r="BJ15" s="7">
        <v>5.2921168950530818E-2</v>
      </c>
      <c r="BK15" s="7">
        <v>0.17538627398709231</v>
      </c>
      <c r="BL15" s="7">
        <v>5.2921168950530818E-2</v>
      </c>
      <c r="BM15" s="7">
        <v>0.8166394525960905</v>
      </c>
      <c r="BN15" s="7">
        <v>0.17538627398709231</v>
      </c>
      <c r="BO15" s="7">
        <v>0.21509277853088821</v>
      </c>
      <c r="BP15" s="7">
        <v>0.34508236508752282</v>
      </c>
      <c r="BQ15" s="7">
        <v>-0.19563669164283001</v>
      </c>
      <c r="BR15" s="7">
        <v>0.49668804243500081</v>
      </c>
      <c r="BS15" s="7">
        <v>0.56450430345557245</v>
      </c>
      <c r="BT15" s="7">
        <v>7.7800055069918633E-2</v>
      </c>
      <c r="BU15" s="7">
        <v>0.68765738719989211</v>
      </c>
      <c r="BV15" s="7">
        <v>7.7800055069918633E-2</v>
      </c>
      <c r="BW15" s="7">
        <v>0.22107887961206679</v>
      </c>
      <c r="BX15" s="7">
        <v>7.7800055069918633E-2</v>
      </c>
      <c r="BY15" s="7">
        <v>0.68765738719989211</v>
      </c>
      <c r="BZ15" s="7">
        <v>0.22107887961206679</v>
      </c>
      <c r="CA15" s="7">
        <v>0.30627577941617878</v>
      </c>
      <c r="CB15" s="7">
        <v>0.2292363504501625</v>
      </c>
      <c r="CC15" s="7">
        <v>7.9688560836903788E-2</v>
      </c>
      <c r="CD15" s="7">
        <v>0.41467253977619839</v>
      </c>
      <c r="CE15" s="7">
        <v>0.37719335056065822</v>
      </c>
      <c r="CF15" s="7">
        <v>90.71686707090663</v>
      </c>
      <c r="CG15" s="7">
        <v>0.74180380477977048</v>
      </c>
      <c r="CH15" s="7">
        <v>90.71686707090663</v>
      </c>
      <c r="CI15" s="7">
        <v>7.3118898923092361</v>
      </c>
      <c r="CJ15" s="7">
        <v>90.71686707090663</v>
      </c>
      <c r="CK15" s="7">
        <v>0.74180380477977048</v>
      </c>
      <c r="CL15" s="7">
        <v>7.3118898923092361</v>
      </c>
      <c r="CM15" s="7">
        <v>7.8038587347997028</v>
      </c>
      <c r="CN15" s="7">
        <v>452.70973661604347</v>
      </c>
      <c r="CO15" s="7">
        <v>-0.28849171391745743</v>
      </c>
      <c r="CP15" s="7">
        <v>17.57288234160329</v>
      </c>
      <c r="CQ15" s="7">
        <v>18.691327375206111</v>
      </c>
    </row>
    <row r="16" spans="1:95" x14ac:dyDescent="0.3">
      <c r="A16" s="2">
        <v>46059.428541666668</v>
      </c>
      <c r="B16" s="3" t="s">
        <v>135</v>
      </c>
      <c r="C16" s="3">
        <v>1</v>
      </c>
      <c r="D16" s="3" t="s">
        <v>96</v>
      </c>
      <c r="E16" s="3">
        <v>16590</v>
      </c>
      <c r="F16" s="3">
        <v>4.5</v>
      </c>
      <c r="G16" s="3" t="s">
        <v>97</v>
      </c>
      <c r="H16" s="3" t="s">
        <v>98</v>
      </c>
      <c r="I16" s="3">
        <v>5</v>
      </c>
      <c r="J16" s="3">
        <v>5</v>
      </c>
      <c r="K16" s="3" t="s">
        <v>99</v>
      </c>
      <c r="L16" s="3" t="s">
        <v>100</v>
      </c>
      <c r="M16" s="3" t="s">
        <v>101</v>
      </c>
      <c r="N16" s="3" t="s">
        <v>101</v>
      </c>
      <c r="O16" s="3" t="s">
        <v>102</v>
      </c>
      <c r="P16" s="3" t="s">
        <v>103</v>
      </c>
      <c r="Q16" s="3" t="s">
        <v>104</v>
      </c>
      <c r="R16" s="3" t="s">
        <v>105</v>
      </c>
      <c r="S16" s="3" t="s">
        <v>106</v>
      </c>
      <c r="T16" s="3" t="s">
        <v>107</v>
      </c>
      <c r="U16" s="3" t="s">
        <v>108</v>
      </c>
      <c r="V16" s="3" t="s">
        <v>109</v>
      </c>
      <c r="W16" s="3" t="s">
        <v>101</v>
      </c>
      <c r="X16" s="3">
        <v>200</v>
      </c>
      <c r="Y16" s="3">
        <v>80</v>
      </c>
      <c r="Z16" s="3">
        <v>120</v>
      </c>
      <c r="AA16" s="3" t="s">
        <v>110</v>
      </c>
      <c r="AB16" s="3">
        <v>4000</v>
      </c>
      <c r="AC16" s="3">
        <v>4000</v>
      </c>
      <c r="AD16" s="3">
        <v>0.1798637296773809</v>
      </c>
      <c r="AE16" s="3"/>
      <c r="AF16" s="3">
        <v>128</v>
      </c>
      <c r="AG16" s="3" t="s">
        <v>111</v>
      </c>
      <c r="AH16" s="3">
        <v>0.05</v>
      </c>
      <c r="AI16" s="3">
        <v>41.456532129799463</v>
      </c>
      <c r="AJ16" s="3">
        <v>0.39825042534131339</v>
      </c>
      <c r="AK16" s="3">
        <v>41.456532129799463</v>
      </c>
      <c r="AL16" s="3">
        <v>10.320105522845701</v>
      </c>
      <c r="AM16" s="3">
        <v>41.456532129799463</v>
      </c>
      <c r="AN16" s="3">
        <v>10.320105522845701</v>
      </c>
      <c r="AO16" s="3">
        <v>14.705131228314761</v>
      </c>
      <c r="AP16" s="3">
        <v>0.39825042534131339</v>
      </c>
      <c r="AQ16" s="3">
        <v>111.92432259646399</v>
      </c>
      <c r="AR16" s="3">
        <v>17.055324933459779</v>
      </c>
      <c r="AS16" s="3">
        <v>18.76076655645349</v>
      </c>
      <c r="AT16" s="3">
        <v>-3.3026504617059332E-2</v>
      </c>
      <c r="AU16" s="3">
        <v>0.5714285714285714</v>
      </c>
      <c r="AV16" s="3">
        <v>5.7627717394179143E-2</v>
      </c>
      <c r="AW16" s="3">
        <v>0.58154826146915961</v>
      </c>
      <c r="AX16" s="3">
        <v>5.7627717394179143E-2</v>
      </c>
      <c r="AY16" s="3">
        <v>0.1880185469510012</v>
      </c>
      <c r="AZ16" s="3">
        <v>5.7627717394179143E-2</v>
      </c>
      <c r="BA16" s="3">
        <v>0.58154826146915961</v>
      </c>
      <c r="BB16" s="3">
        <v>0.1880185469510012</v>
      </c>
      <c r="BC16" s="3">
        <v>0.15471328524615799</v>
      </c>
      <c r="BD16" s="3">
        <v>0.1087568465406271</v>
      </c>
      <c r="BE16" s="3">
        <v>0.21028467602199269</v>
      </c>
      <c r="BF16" s="3">
        <v>0.2720778288888977</v>
      </c>
      <c r="BG16" s="3">
        <v>0.2435058968607608</v>
      </c>
      <c r="BH16" s="3">
        <v>0.2004363438571837</v>
      </c>
      <c r="BI16" s="3">
        <v>0.30553087813222218</v>
      </c>
      <c r="BJ16" s="3">
        <v>0.2004363438571837</v>
      </c>
      <c r="BK16" s="3">
        <v>0.39448621928540978</v>
      </c>
      <c r="BL16" s="3">
        <v>0.2004363438571837</v>
      </c>
      <c r="BM16" s="3">
        <v>0.30553087813222218</v>
      </c>
      <c r="BN16" s="3">
        <v>0.39448621928540978</v>
      </c>
      <c r="BO16" s="3">
        <v>0.43837031229081402</v>
      </c>
      <c r="BP16" s="3">
        <v>0.3178233020161948</v>
      </c>
      <c r="BQ16" s="3">
        <v>-0.1011898601461827</v>
      </c>
      <c r="BR16" s="3">
        <v>0.48694083506156921</v>
      </c>
      <c r="BS16" s="3">
        <v>0.44320522050590611</v>
      </c>
      <c r="BT16" s="3">
        <v>0.20510340611652689</v>
      </c>
      <c r="BU16" s="3">
        <v>0.17657469904018849</v>
      </c>
      <c r="BV16" s="3">
        <v>0.20510340611652689</v>
      </c>
      <c r="BW16" s="3">
        <v>0.39289793314031501</v>
      </c>
      <c r="BX16" s="3">
        <v>0.20510340611652689</v>
      </c>
      <c r="BY16" s="3">
        <v>0.17657469904018849</v>
      </c>
      <c r="BZ16" s="3">
        <v>0.39289793314031501</v>
      </c>
      <c r="CA16" s="3">
        <v>0.41494173936739231</v>
      </c>
      <c r="CB16" s="3">
        <v>0.2413331903461407</v>
      </c>
      <c r="CC16" s="3">
        <v>3.1123574908053061E-2</v>
      </c>
      <c r="CD16" s="3">
        <v>0.43350717554336199</v>
      </c>
      <c r="CE16" s="3">
        <v>0.43256032877437128</v>
      </c>
      <c r="CF16" s="3">
        <v>165.36296105183021</v>
      </c>
      <c r="CG16" s="3">
        <v>0.52934786272368517</v>
      </c>
      <c r="CH16" s="3">
        <v>165.36296105183021</v>
      </c>
      <c r="CI16" s="3">
        <v>10.2544611598291</v>
      </c>
      <c r="CJ16" s="3">
        <v>165.36296105183021</v>
      </c>
      <c r="CK16" s="3">
        <v>0.52934786272368517</v>
      </c>
      <c r="CL16" s="3">
        <v>10.2544611598291</v>
      </c>
      <c r="CM16" s="3">
        <v>14.66604647432156</v>
      </c>
      <c r="CN16" s="3">
        <v>447.02937704695267</v>
      </c>
      <c r="CO16" s="3">
        <v>-0.27232440925210022</v>
      </c>
      <c r="CP16" s="3">
        <v>17.001055699421531</v>
      </c>
      <c r="CQ16" s="10">
        <v>18.71639844824211</v>
      </c>
    </row>
    <row r="17" spans="4:34" x14ac:dyDescent="0.3">
      <c r="D17" t="b">
        <f>[1]Main_results!D48=D2</f>
        <v>1</v>
      </c>
      <c r="E17" t="b">
        <f>[1]Main_results!E48=E2</f>
        <v>1</v>
      </c>
      <c r="F17" t="b">
        <f>[1]Main_results!F48=F2</f>
        <v>1</v>
      </c>
      <c r="G17" t="b">
        <f>[1]Main_results!G48=G2</f>
        <v>1</v>
      </c>
      <c r="H17" t="b">
        <f>[1]Main_results!H48=H2</f>
        <v>1</v>
      </c>
      <c r="I17" t="b">
        <f>[1]Main_results!I48=I2</f>
        <v>1</v>
      </c>
      <c r="J17" t="b">
        <f>[1]Main_results!J48=J2</f>
        <v>1</v>
      </c>
      <c r="K17" t="b">
        <f>[1]Main_results!K48=K2</f>
        <v>1</v>
      </c>
      <c r="L17" t="b">
        <f>[1]Main_results!L48=L2</f>
        <v>1</v>
      </c>
      <c r="M17" t="b">
        <f>[1]Main_results!M48=M2</f>
        <v>1</v>
      </c>
      <c r="N17" t="b">
        <f>[1]Main_results!N48=N2</f>
        <v>1</v>
      </c>
      <c r="O17" t="b">
        <f>[1]Main_results!O48=O2</f>
        <v>1</v>
      </c>
      <c r="P17" t="b">
        <f>[1]Main_results!P48=P2</f>
        <v>1</v>
      </c>
      <c r="Q17" t="b">
        <f>[1]Main_results!Q48=Q2</f>
        <v>1</v>
      </c>
      <c r="R17" t="b">
        <f>[1]Main_results!R48=R2</f>
        <v>1</v>
      </c>
      <c r="S17" t="b">
        <f>[1]Main_results!S48=S2</f>
        <v>1</v>
      </c>
      <c r="T17" t="b">
        <f>[1]Main_results!T48=T2</f>
        <v>1</v>
      </c>
      <c r="U17" t="b">
        <f>[1]Main_results!U48=U2</f>
        <v>1</v>
      </c>
      <c r="V17" t="b">
        <f>[1]Main_results!V48=V2</f>
        <v>1</v>
      </c>
      <c r="W17" t="b">
        <f>[1]Main_results!W48=W2</f>
        <v>1</v>
      </c>
      <c r="X17" t="b">
        <f>[1]Main_results!X48=X2</f>
        <v>1</v>
      </c>
      <c r="Y17" t="b">
        <f>[1]Main_results!Y48=Y2</f>
        <v>1</v>
      </c>
      <c r="Z17" t="b">
        <f>[1]Main_results!Z48=Z2</f>
        <v>1</v>
      </c>
      <c r="AA17" t="b">
        <f>[1]Main_results!AA48=AA2</f>
        <v>1</v>
      </c>
      <c r="AB17" t="b">
        <f>[1]Main_results!AB48=AB2</f>
        <v>1</v>
      </c>
      <c r="AC17" t="b">
        <f>[1]Main_results!AC48=AC2</f>
        <v>1</v>
      </c>
      <c r="AD17" t="b">
        <f>[1]Main_results!AD48=AD2</f>
        <v>0</v>
      </c>
      <c r="AE17" t="b">
        <f>[1]Main_results!AE48=AE2</f>
        <v>1</v>
      </c>
      <c r="AF17" t="b">
        <f>[1]Main_results!AF48=AF2</f>
        <v>1</v>
      </c>
      <c r="AG17" t="b">
        <f>[1]Main_results!AG48=AG2</f>
        <v>1</v>
      </c>
      <c r="AH17" t="b">
        <f>[1]Main_results!AH48=AH2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1549-81B7-4173-812E-FF7A878E311F}">
  <dimension ref="A1:G10"/>
  <sheetViews>
    <sheetView tabSelected="1" workbookViewId="0">
      <selection activeCell="A6" sqref="A6"/>
    </sheetView>
  </sheetViews>
  <sheetFormatPr baseColWidth="10" defaultRowHeight="14.4" x14ac:dyDescent="0.3"/>
  <cols>
    <col min="1" max="1" width="16.5546875" bestFit="1" customWidth="1"/>
    <col min="2" max="2" width="24.88671875" bestFit="1" customWidth="1"/>
    <col min="3" max="3" width="25.88671875" bestFit="1" customWidth="1"/>
    <col min="4" max="4" width="37.88671875" bestFit="1" customWidth="1"/>
    <col min="5" max="5" width="37.5546875" bestFit="1" customWidth="1"/>
    <col min="6" max="6" width="33.44140625" bestFit="1" customWidth="1"/>
    <col min="7" max="7" width="34.44140625" bestFit="1" customWidth="1"/>
  </cols>
  <sheetData>
    <row r="1" spans="1:7" x14ac:dyDescent="0.3">
      <c r="A1" s="8" t="s">
        <v>127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</row>
    <row r="2" spans="1:7" x14ac:dyDescent="0.3">
      <c r="A2" s="9" t="s">
        <v>111</v>
      </c>
      <c r="B2" s="11">
        <v>0.29984678410375015</v>
      </c>
      <c r="C2" s="11">
        <v>-0.10343591476757004</v>
      </c>
      <c r="D2" s="11">
        <v>0.38913617260058181</v>
      </c>
      <c r="E2" s="11">
        <v>0.22705623606290692</v>
      </c>
      <c r="F2" s="11">
        <v>0.16780297359010771</v>
      </c>
      <c r="G2" s="11">
        <v>0.41539175416140106</v>
      </c>
    </row>
    <row r="3" spans="1:7" x14ac:dyDescent="0.3">
      <c r="A3" s="12">
        <v>0.05</v>
      </c>
      <c r="B3" s="11">
        <v>0.29984678410375015</v>
      </c>
      <c r="C3" s="11">
        <v>-0.10343591476757004</v>
      </c>
      <c r="D3" s="11">
        <v>0.38913617260058181</v>
      </c>
      <c r="E3" s="11">
        <v>0.22705623606290692</v>
      </c>
      <c r="F3" s="11">
        <v>0.16780297359010771</v>
      </c>
      <c r="G3" s="11">
        <v>0.41539175416140106</v>
      </c>
    </row>
    <row r="4" spans="1:7" x14ac:dyDescent="0.3">
      <c r="A4" s="9" t="s">
        <v>112</v>
      </c>
      <c r="B4" s="11">
        <v>0.53357245674357345</v>
      </c>
      <c r="C4" s="11">
        <v>6.4947069622204295E-3</v>
      </c>
      <c r="D4" s="11">
        <v>0.61924281401887682</v>
      </c>
      <c r="E4" s="11">
        <v>0.48881540227185899</v>
      </c>
      <c r="F4" s="11">
        <v>0.38676601553751977</v>
      </c>
      <c r="G4" s="11">
        <v>0.63946559514603707</v>
      </c>
    </row>
    <row r="5" spans="1:7" x14ac:dyDescent="0.3">
      <c r="A5" s="12">
        <v>0.1</v>
      </c>
      <c r="B5" s="11">
        <v>0.53357245674357345</v>
      </c>
      <c r="C5" s="11">
        <v>6.4947069622204295E-3</v>
      </c>
      <c r="D5" s="11">
        <v>0.61924281401887682</v>
      </c>
      <c r="E5" s="11">
        <v>0.48881540227185899</v>
      </c>
      <c r="F5" s="11">
        <v>0.38676601553751977</v>
      </c>
      <c r="G5" s="11">
        <v>0.63946559514603707</v>
      </c>
    </row>
    <row r="6" spans="1:7" x14ac:dyDescent="0.3">
      <c r="A6" s="13" t="s">
        <v>108</v>
      </c>
      <c r="B6" s="11">
        <v>0.53357245674357345</v>
      </c>
      <c r="C6" s="11">
        <v>6.4947069622204295E-3</v>
      </c>
      <c r="D6" s="11">
        <v>0.61924281401887682</v>
      </c>
      <c r="E6" s="11">
        <v>0.48881540227185899</v>
      </c>
      <c r="F6" s="11">
        <v>0.38676601553751977</v>
      </c>
      <c r="G6" s="11">
        <v>0.63946559514603707</v>
      </c>
    </row>
    <row r="7" spans="1:7" x14ac:dyDescent="0.3">
      <c r="A7" s="9" t="s">
        <v>115</v>
      </c>
      <c r="B7" s="11">
        <v>0.7075758625018197</v>
      </c>
      <c r="C7" s="11">
        <v>2.602171957264441E-2</v>
      </c>
      <c r="D7" s="11">
        <v>0.78800379585407188</v>
      </c>
      <c r="E7" s="11">
        <v>0.68649491545070429</v>
      </c>
      <c r="F7" s="11">
        <v>0.61740672723026058</v>
      </c>
      <c r="G7" s="11">
        <v>0.73839801147224149</v>
      </c>
    </row>
    <row r="8" spans="1:7" x14ac:dyDescent="0.3">
      <c r="A8" s="12">
        <v>0.15</v>
      </c>
      <c r="B8" s="11">
        <v>0.7075758625018197</v>
      </c>
      <c r="C8" s="11">
        <v>2.602171957264441E-2</v>
      </c>
      <c r="D8" s="11">
        <v>0.78800379585407188</v>
      </c>
      <c r="E8" s="11">
        <v>0.68649491545070429</v>
      </c>
      <c r="F8" s="11">
        <v>0.61740672723026058</v>
      </c>
      <c r="G8" s="11">
        <v>0.73839801147224149</v>
      </c>
    </row>
    <row r="9" spans="1:7" x14ac:dyDescent="0.3">
      <c r="A9" s="13" t="s">
        <v>108</v>
      </c>
      <c r="B9" s="11">
        <v>0.7075758625018197</v>
      </c>
      <c r="C9" s="11">
        <v>2.602171957264441E-2</v>
      </c>
      <c r="D9" s="11">
        <v>0.78800379585407188</v>
      </c>
      <c r="E9" s="11">
        <v>0.68649491545070429</v>
      </c>
      <c r="F9" s="11">
        <v>0.61740672723026058</v>
      </c>
      <c r="G9" s="11">
        <v>0.73839801147224149</v>
      </c>
    </row>
    <row r="10" spans="1:7" x14ac:dyDescent="0.3">
      <c r="A10" s="9" t="s">
        <v>128</v>
      </c>
      <c r="B10" s="11">
        <v>0.51366503444971445</v>
      </c>
      <c r="C10" s="11">
        <v>-2.3639829410901741E-2</v>
      </c>
      <c r="D10" s="11">
        <v>0.59879426082451015</v>
      </c>
      <c r="E10" s="11">
        <v>0.46745551792848994</v>
      </c>
      <c r="F10" s="11">
        <v>0.39065857211929611</v>
      </c>
      <c r="G10" s="11">
        <v>0.59775178692655984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Main_results</vt:lpstr>
      <vt:lpstr>Analizer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2026-05-05T11:44:27Z</dcterms:modified>
</cp:coreProperties>
</file>