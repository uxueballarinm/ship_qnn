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sorted_by_experiment/"/>
    </mc:Choice>
  </mc:AlternateContent>
  <xr:revisionPtr revIDLastSave="46" documentId="11_AD4D2F04E46CFB4ACB3E20D455D6CCDA693EDF1F" xr6:coauthVersionLast="47" xr6:coauthVersionMax="47" xr10:uidLastSave="{E9DDB2A9-0E51-4B23-817F-74C92E4F6B6B}"/>
  <bookViews>
    <workbookView xWindow="28680" yWindow="-5580" windowWidth="51840" windowHeight="21120" xr2:uid="{00000000-000D-0000-FFFF-FFFF00000000}"/>
  </bookViews>
  <sheets>
    <sheet name="Main_results" sheetId="1" r:id="rId1"/>
    <sheet name="Analizer" sheetId="3" r:id="rId2"/>
  </sheets>
  <definedNames>
    <definedName name="_xlnm._FilterDatabase" localSheetId="0" hidden="1">Main_results!$A$1:$CQ$16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<sst xmlns="http://schemas.openxmlformats.org/spreadsheetml/2006/main" count="392" uniqueCount="140">
  <si>
    <t>02-06_10-58-46_multihead_spsa_f7_w5_h5_effsu2_effsu2_realamplitudes_full_r3_5_2.pkl</t>
  </si>
  <si>
    <t>data/reduce_row_number_absolutes</t>
  </si>
  <si>
    <t>[['wv', 'asv', 'ararad'], ['sv', 'yr', 'rarad'], ['ya', 'yr', 'rarad']]</t>
  </si>
  <si>
    <t>['Surge Velocity', 'Sway Velocity', 'Yaw Rate', 'Yaw Angle']</t>
  </si>
  <si>
    <t>motion</t>
  </si>
  <si>
    <t>true</t>
  </si>
  <si>
    <t>false</t>
  </si>
  <si>
    <t>multihead</t>
  </si>
  <si>
    <t>[{'features': ['wv', 'asv', 'ararad'], 'output_dim': 1, 'reps': 3, 'encoding': 'compact', 'ansatz': 'efficientsu2', 'entangle': 'full', 'map': [0, 1, 2]}, {'features': ['sv', 'yr', 'rarad'], 'output_dim': 2, 'reps': 5, 'encoding': 'compact', 'ansatz': 'efficientsu2', 'entangle': 'full', 'map': [0, 1, 2]}, {'features': ['ya', 'yr', 'rarad'], 'output_dim': 1, 'reps': 2, 'encoding': 'compact', 'ansatz': 'realamplitudes', 'entangle': 'full', 'map': [0, 1, 2]}]</t>
  </si>
  <si>
    <t>multihead3</t>
  </si>
  <si>
    <t>compact</t>
  </si>
  <si>
    <t>['effsu2', 'effsu2', 'realamplitudes']</t>
  </si>
  <si>
    <t>full</t>
  </si>
  <si>
    <t>[3, 5, 2]</t>
  </si>
  <si>
    <t>[0, 1, 2]</t>
  </si>
  <si>
    <t>spsa</t>
  </si>
  <si>
    <t>[0.05, 0.001]</t>
  </si>
  <si>
    <t>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</t>
  </si>
  <si>
    <t>02-09_14-57-35_multihead_spsa_f7_w5_h5_effsu2_effsu2_realamplitudes_lin_lin_full_r3_5_2.pkl</t>
  </si>
  <si>
    <t>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'full', 'map': [0, 1, 2]}]</t>
  </si>
  <si>
    <t>['lin', 'lin', 'full']</t>
  </si>
  <si>
    <t>02-09_09-40-11_multihead_spsa_f7_w5_h5_effsu2_effsu2_realamplitudes_lin_r3_5_2.pkl</t>
  </si>
  <si>
    <t>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'lin', 'map': [0, 1, 2]}]</t>
  </si>
  <si>
    <t>lin</t>
  </si>
  <si>
    <t>02-06_14-50-06_multihead_spsa_f7_w5_h5_effsu2_effsu2_realamplitudes_full_r3_5_2.pkl</t>
  </si>
  <si>
    <t>02-09_19-21-31_multihead_spsa_f7_w5_h5_effsu2_effsu2_realamplitudes_lin_lin_full_r3_5_2.pkl</t>
  </si>
  <si>
    <t>02-09_13-31-54_multihead_spsa_f7_w5_h5_effsu2_effsu2_realamplitudes_lin_r3_5_2.pkl</t>
  </si>
  <si>
    <t>02-06_20-35-46_multihead_spsa_f7_w5_h5_effsu2_effsu2_realamplitudes_full_r3_5_2.pkl</t>
  </si>
  <si>
    <t>02-09_23-47-04_multihead_spsa_f7_w5_h5_effsu2_effsu2_realamplitudes_lin_lin_full_r3_5_2.pkl</t>
  </si>
  <si>
    <t>02-09_18-00-41_multihead_spsa_f7_w5_h5_effsu2_effsu2_realamplitudes_lin_r3_5_2.pkl</t>
  </si>
  <si>
    <t>02-10_04-13-07_multihead_spsa_f7_w5_h5_effsu2_effsu2_realamplitudes_lin_lin_full_r3_5_2.pkl</t>
  </si>
  <si>
    <t>02-09_22-18-21_multihead_spsa_f7_w5_h5_effsu2_effsu2_realamplitudes_lin_r3_5_2.pkl</t>
  </si>
  <si>
    <t>02-07_00-12-12_multihead_spsa_f7_w5_h5_effsu2_effsu2_realamplitudes_full_r3_5_2.pkl</t>
  </si>
  <si>
    <t>02-10_08-54-36_multihead_spsa_f7_w5_h5_effsu2_effsu2_realamplitudes_lin_lin_full_r3_5_2.pkl</t>
  </si>
  <si>
    <t>02-10_02-37-16_multihead_spsa_f7_w5_h5_effsu2_effsu2_realamplitudes_lin_r3_5_2.pkl</t>
  </si>
  <si>
    <t>02-07_03-56-55_multihead_spsa_f7_w5_h5_effsu2_effsu2_realamplitudes_full_r3_5_2.pkl</t>
  </si>
  <si>
    <t>date</t>
  </si>
  <si>
    <t>model_id</t>
  </si>
  <si>
    <t>run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</si>
  <si>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</si>
  <si>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</si>
  <si>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</si>
  <si>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</si>
  <si>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</si>
  <si>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</si>
  <si>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</si>
  <si>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</si>
  <si>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</si>
  <si>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</si>
  <si>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</si>
  <si>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</si>
  <si>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</si>
  <si>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</si>
  <si>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</si>
  <si>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</si>
  <si>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</si>
  <si>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</si>
  <si>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</si>
  <si>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</si>
  <si>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total params</t>
  </si>
  <si>
    <t>q params</t>
  </si>
  <si>
    <t>c params</t>
  </si>
  <si>
    <t>optimizer</t>
  </si>
  <si>
    <t>maxiter</t>
  </si>
  <si>
    <t>iterations</t>
  </si>
  <si>
    <t>final val loss</t>
  </si>
  <si>
    <t>tolerance</t>
  </si>
  <si>
    <t>batch_size</t>
  </si>
  <si>
    <t>learning_rate</t>
  </si>
  <si>
    <t>perturbation</t>
  </si>
  <si>
    <t>step MSE</t>
  </si>
  <si>
    <t>step R2</t>
  </si>
  <si>
    <t>local MSE</t>
  </si>
  <si>
    <t>local ADE</t>
  </si>
  <si>
    <t>global open MSE</t>
  </si>
  <si>
    <t>global open ADE</t>
  </si>
  <si>
    <t>global open FDE</t>
  </si>
  <si>
    <t>global open R2</t>
  </si>
  <si>
    <t>global closed MSE</t>
  </si>
  <si>
    <t>global closed ADE</t>
  </si>
  <si>
    <t>global closed FDE</t>
  </si>
  <si>
    <t>global closed R2</t>
  </si>
  <si>
    <t>recursivity</t>
  </si>
  <si>
    <t>Surge Velocity Step MSE</t>
  </si>
  <si>
    <t>Surge Velocity Step R2</t>
  </si>
  <si>
    <t>Surge Velocity Local MSE</t>
  </si>
  <si>
    <t>Surge Velocity Local ADE</t>
  </si>
  <si>
    <t>Surge Velocity Global open MSE</t>
  </si>
  <si>
    <t>Surge Velocity Global open R2</t>
  </si>
  <si>
    <t>Surge Velocity Global open ADE</t>
  </si>
  <si>
    <t>Surge Velocity Global open FDE</t>
  </si>
  <si>
    <t>Surge Velocity Global closed MSE</t>
  </si>
  <si>
    <t>Surge Velocity Global closed R2</t>
  </si>
  <si>
    <t>Surge Velocity Global closed ADE</t>
  </si>
  <si>
    <t>Surge Velocity Global closed FDE</t>
  </si>
  <si>
    <t>Sway Velocity Step MSE</t>
  </si>
  <si>
    <t>Sway Velocity Step R2</t>
  </si>
  <si>
    <t>Sway Velocity Local MSE</t>
  </si>
  <si>
    <t>Sway Velocity Local ADE</t>
  </si>
  <si>
    <t>Sway Velocity Global open MSE</t>
  </si>
  <si>
    <t>Sway Velocity Global open R2</t>
  </si>
  <si>
    <t>Sway Velocity Global open ADE</t>
  </si>
  <si>
    <t>Sway Velocity Global open FDE</t>
  </si>
  <si>
    <t>Sway Velocity Global closed MSE</t>
  </si>
  <si>
    <t>Sway Velocity Global closed R2</t>
  </si>
  <si>
    <t>Sway Velocity Global closed ADE</t>
  </si>
  <si>
    <t>Sway Velocity Global closed FDE</t>
  </si>
  <si>
    <t>Yaw Rate Step MSE</t>
  </si>
  <si>
    <t>Yaw Rate Step R2</t>
  </si>
  <si>
    <t>Yaw Rate Local MSE</t>
  </si>
  <si>
    <t>Yaw Rate Local ADE</t>
  </si>
  <si>
    <t>Yaw Rate Global open MSE</t>
  </si>
  <si>
    <t>Yaw Rate Global open R2</t>
  </si>
  <si>
    <t>Yaw Rate Global open ADE</t>
  </si>
  <si>
    <t>Yaw Rate Global open FDE</t>
  </si>
  <si>
    <t>Yaw Rate Global closed MSE</t>
  </si>
  <si>
    <t>Yaw Rate Global closed R2</t>
  </si>
  <si>
    <t>Yaw Rate Global closed ADE</t>
  </si>
  <si>
    <t>Yaw Rate Global closed FDE</t>
  </si>
  <si>
    <t>Yaw Angle Step MSE</t>
  </si>
  <si>
    <t>Yaw Angle Step R2</t>
  </si>
  <si>
    <t>Yaw Angle Local MSE</t>
  </si>
  <si>
    <t>Yaw Angle Local ADE</t>
  </si>
  <si>
    <t>Yaw Angle Global open MSE</t>
  </si>
  <si>
    <t>Yaw Angle Global open R2</t>
  </si>
  <si>
    <t>Yaw Angle Global open ADE</t>
  </si>
  <si>
    <t>Yaw Angle Global open FDE</t>
  </si>
  <si>
    <t>Yaw Angle Global closed MSE</t>
  </si>
  <si>
    <t>Yaw Angle Global closed R2</t>
  </si>
  <si>
    <t>Yaw Angle Global closed ADE</t>
  </si>
  <si>
    <t>Yaw Angle Global closed FDE</t>
  </si>
  <si>
    <t>Etiquetas de fila</t>
  </si>
  <si>
    <t>Total general</t>
  </si>
  <si>
    <t>Cuenta de model_id</t>
  </si>
  <si>
    <t>Promedio de global open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</si>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</sst>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2" borderId="1" xfId="0" applyNumberFormat="1" applyFill="1" applyBorder="1"/>
    <xf numFmtId="0" fontId="0" fillId="3" borderId="2" xfId="0" applyFill="1" applyBorder="1"/>
    <xf numFmtId="0" fontId="0" fillId="2" borderId="2" xfId="0" applyFill="1" applyBorder="1"/>
    <xf numFmtId="0" fontId="0" fillId="3" borderId="3" xfId="0" applyFill="1" applyBorder="1"/>
    <xf numFmtId="164" fontId="0" fillId="3" borderId="1" xfId="0" applyNumberFormat="1" applyFill="1" applyBorder="1"/>
    <xf numFmtId="0" fontId="0" fillId="2" borderId="3" xfId="0" applyFill="1" applyBorder="1"/>
    <xf numFmtId="0" fontId="1" fillId="4" borderId="4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64.468835069441" createdVersion="8" refreshedVersion="8" minRefreshableVersion="3" recordCount="15" xr:uid="{3C1814C8-738B-423F-B438-573108A844EA}">
  <cacheSource type="worksheet">
    <worksheetSource ref="A1:CQ16" sheet="Main_results"/>
  </cacheSource>
  <cacheFields count="95">
    <cacheField name="date" numFmtId="164">
      <sharedItems containsSemiMixedTypes="0" containsNonDate="0" containsDate="1" containsString="0" minDate="2026-02-06T10:58:46" maxDate="2026-02-10T08:54:36"/>
    </cacheField>
    <cacheField name="model_id" numFmtId="0">
      <sharedItems/>
    </cacheField>
    <cacheField name="run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/>
    </cacheField>
    <cacheField name="encoding" numFmtId="0">
      <sharedItems/>
    </cacheField>
    <cacheField name="ansatz" numFmtId="0">
      <sharedItems/>
    </cacheField>
    <cacheField name="entangle" numFmtId="0">
      <sharedItems count="3">
        <s v="full"/>
        <s v="['lin', 'lin', 'full']"/>
        <s v="lin"/>
      </sharedItems>
    </cacheField>
    <cacheField name="reps" numFmtId="0">
      <sharedItems/>
    </cacheField>
    <cacheField name="map" numFmtId="0">
      <sharedItems/>
    </cacheField>
    <cacheField name="reorder" numFmtId="0">
      <sharedItems/>
    </cacheField>
    <cacheField name="total params" numFmtId="0">
      <sharedItems containsSemiMixedTypes="0" containsString="0" containsNumber="1" containsInteger="1" minValue="210" maxValue="210"/>
    </cacheField>
    <cacheField name="q params" numFmtId="0">
      <sharedItems containsSemiMixedTypes="0" containsString="0" containsNumber="1" containsInteger="1" minValue="90" maxValue="90"/>
    </cacheField>
    <cacheField name="c params" numFmtId="0">
      <sharedItems containsSemiMixedTypes="0" containsString="0" containsNumber="1" containsInteger="1" minValue="120" maxValue="120"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final val loss" numFmtId="0">
      <sharedItems containsSemiMixedTypes="0" containsString="0" containsNumber="1" minValue="9.0376580867257805E-2" maxValue="0.1430048034288742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128" maxValue="128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step MSE" numFmtId="0">
      <sharedItems containsSemiMixedTypes="0" containsString="0" containsNumber="1" minValue="19.38458504464603" maxValue="54.808297953623622"/>
    </cacheField>
    <cacheField name="step R2" numFmtId="0">
      <sharedItems containsSemiMixedTypes="0" containsString="0" containsNumber="1" minValue="0.66103022800475519" maxValue="0.78511120389983824"/>
    </cacheField>
    <cacheField name="local MSE" numFmtId="0">
      <sharedItems containsSemiMixedTypes="0" containsString="0" containsNumber="1" minValue="19.38458504464603" maxValue="54.808297953623622"/>
    </cacheField>
    <cacheField name="local ADE" numFmtId="0">
      <sharedItems containsSemiMixedTypes="0" containsString="0" containsNumber="1" minValue="6.80211191424043" maxValue="11.921129903162321"/>
    </cacheField>
    <cacheField name="global open MSE" numFmtId="0">
      <sharedItems containsSemiMixedTypes="0" containsString="0" containsNumber="1" minValue="19.38458504464603" maxValue="54.808297953623622"/>
    </cacheField>
    <cacheField name="global open ADE" numFmtId="0">
      <sharedItems containsSemiMixedTypes="0" containsString="0" containsNumber="1" minValue="6.80211191424043" maxValue="11.921129903162321"/>
    </cacheField>
    <cacheField name="global open FDE" numFmtId="0">
      <sharedItems containsSemiMixedTypes="0" containsString="0" containsNumber="1" minValue="7.1660450605898536" maxValue="13.497548281214289"/>
    </cacheField>
    <cacheField name="global open R2" numFmtId="0">
      <sharedItems containsSemiMixedTypes="0" containsString="0" containsNumber="1" minValue="0.66103022800475519" maxValue="0.78511120389983824"/>
    </cacheField>
    <cacheField name="global closed MSE" numFmtId="0">
      <sharedItems containsSemiMixedTypes="0" containsString="0" containsNumber="1" minValue="87.495074864982996" maxValue="170.0519738532555"/>
    </cacheField>
    <cacheField name="global closed ADE" numFmtId="0">
      <sharedItems containsSemiMixedTypes="0" containsString="0" containsNumber="1" minValue="14.69352366891145" maxValue="21.806079262615501"/>
    </cacheField>
    <cacheField name="global closed FDE" numFmtId="0">
      <sharedItems containsSemiMixedTypes="0" containsString="0" containsNumber="1" minValue="14.84275502167365" maxValue="23.31634891402345"/>
    </cacheField>
    <cacheField name="global closed R2" numFmtId="0">
      <sharedItems containsSemiMixedTypes="0" containsString="0" containsNumber="1" minValue="-1.131939046537173" maxValue="0.25618586824317868"/>
    </cacheField>
    <cacheField name="recursivity" numFmtId="0">
      <sharedItems containsSemiMixedTypes="0" containsString="0" containsNumber="1" minValue="0.5714285714285714" maxValue="0.5714285714285714"/>
    </cacheField>
    <cacheField name="Surge Velocity Step MSE" numFmtId="0">
      <sharedItems containsSemiMixedTypes="0" containsString="0" containsNumber="1" minValue="1.8902673735374732E-2" maxValue="3.0084381879389159E-2"/>
    </cacheField>
    <cacheField name="Surge Velocity Step R2" numFmtId="0">
      <sharedItems containsSemiMixedTypes="0" containsString="0" containsNumber="1" minValue="0.78154848969729129" maxValue="0.86274214830782503"/>
    </cacheField>
    <cacheField name="Surge Velocity Local MSE" numFmtId="0">
      <sharedItems containsSemiMixedTypes="0" containsString="0" containsNumber="1" minValue="1.8902673735374732E-2" maxValue="3.0084381879389159E-2"/>
    </cacheField>
    <cacheField name="Surge Velocity Local ADE" numFmtId="0">
      <sharedItems containsSemiMixedTypes="0" containsString="0" containsNumber="1" minValue="0.11197758429497751" maxValue="0.1458375667651518"/>
    </cacheField>
    <cacheField name="Surge Velocity Global open MSE" numFmtId="0">
      <sharedItems containsSemiMixedTypes="0" containsString="0" containsNumber="1" minValue="1.8902673735374732E-2" maxValue="3.0084381879389159E-2"/>
    </cacheField>
    <cacheField name="Surge Velocity Global open R2" numFmtId="0">
      <sharedItems containsSemiMixedTypes="0" containsString="0" containsNumber="1" minValue="0.78154848969729129" maxValue="0.86274214830782503"/>
    </cacheField>
    <cacheField name="Surge Velocity Global open ADE" numFmtId="0">
      <sharedItems containsSemiMixedTypes="0" containsString="0" containsNumber="1" minValue="0.11197758429497751" maxValue="0.1458375667651518"/>
    </cacheField>
    <cacheField name="Surge Velocity Global open FDE" numFmtId="0">
      <sharedItems containsSemiMixedTypes="0" containsString="0" containsNumber="1" minValue="9.5749931970105173E-2" maxValue="0.15806223010415599"/>
    </cacheField>
    <cacheField name="Surge Velocity Global closed MSE" numFmtId="0">
      <sharedItems containsSemiMixedTypes="0" containsString="0" containsNumber="1" minValue="2.950162166626347E-2" maxValue="0.52864701923618518"/>
    </cacheField>
    <cacheField name="Surge Velocity Global closed R2" numFmtId="0">
      <sharedItems containsSemiMixedTypes="0" containsString="0" containsNumber="1" minValue="-2.838660878330618" maxValue="0.78578008232937568"/>
    </cacheField>
    <cacheField name="Surge Velocity Global closed ADE" numFmtId="0">
      <sharedItems containsSemiMixedTypes="0" containsString="0" containsNumber="1" minValue="0.13500006711836629" maxValue="0.60645443360690932"/>
    </cacheField>
    <cacheField name="Surge Velocity Global closed FDE" numFmtId="0">
      <sharedItems containsSemiMixedTypes="0" containsString="0" containsNumber="1" minValue="0.12199522489857451" maxValue="0.76966376862335983"/>
    </cacheField>
    <cacheField name="Sway Velocity Step MSE" numFmtId="0">
      <sharedItems containsSemiMixedTypes="0" containsString="0" containsNumber="1" minValue="4.5190850444097007E-2" maxValue="6.933138573658805E-2"/>
    </cacheField>
    <cacheField name="Sway Velocity Step R2" numFmtId="0">
      <sharedItems containsSemiMixedTypes="0" containsString="0" containsNumber="1" minValue="0.7597815563595014" maxValue="0.84342335516391276"/>
    </cacheField>
    <cacheField name="Sway Velocity Local MSE" numFmtId="0">
      <sharedItems containsSemiMixedTypes="0" containsString="0" containsNumber="1" minValue="4.5190850444097007E-2" maxValue="6.933138573658805E-2"/>
    </cacheField>
    <cacheField name="Sway Velocity Local ADE" numFmtId="0">
      <sharedItems containsSemiMixedTypes="0" containsString="0" containsNumber="1" minValue="0.168212837680042" maxValue="0.21867620852500849"/>
    </cacheField>
    <cacheField name="Sway Velocity Global open MSE" numFmtId="0">
      <sharedItems containsSemiMixedTypes="0" containsString="0" containsNumber="1" minValue="4.5190850444097007E-2" maxValue="6.933138573658805E-2"/>
    </cacheField>
    <cacheField name="Sway Velocity Global open R2" numFmtId="0">
      <sharedItems containsSemiMixedTypes="0" containsString="0" containsNumber="1" minValue="0.7597815563595014" maxValue="0.84342335516391276"/>
    </cacheField>
    <cacheField name="Sway Velocity Global open ADE" numFmtId="0">
      <sharedItems containsSemiMixedTypes="0" containsString="0" containsNumber="1" minValue="0.168212837680042" maxValue="0.21867620852500849"/>
    </cacheField>
    <cacheField name="Sway Velocity Global open FDE" numFmtId="0">
      <sharedItems containsSemiMixedTypes="0" containsString="0" containsNumber="1" minValue="0.18496170953195759" maxValue="0.27001301543346162"/>
    </cacheField>
    <cacheField name="Sway Velocity Global closed MSE" numFmtId="0">
      <sharedItems containsSemiMixedTypes="0" containsString="0" containsNumber="1" minValue="0.15996108620278879" maxValue="0.38216139293601459"/>
    </cacheField>
    <cacheField name="Sway Velocity Global closed R2" numFmtId="0">
      <sharedItems containsSemiMixedTypes="0" containsString="0" containsNumber="1" minValue="-0.32410760372452702" maxValue="0.44576900111778212"/>
    </cacheField>
    <cacheField name="Sway Velocity Global closed ADE" numFmtId="0">
      <sharedItems containsSemiMixedTypes="0" containsString="0" containsNumber="1" minValue="0.32204585308130301" maxValue="0.52386836431769723"/>
    </cacheField>
    <cacheField name="Sway Velocity Global closed FDE" numFmtId="0">
      <sharedItems containsSemiMixedTypes="0" containsString="0" containsNumber="1" minValue="0.28694191916870088" maxValue="0.51613963763519211"/>
    </cacheField>
    <cacheField name="Yaw Rate Step MSE" numFmtId="0">
      <sharedItems containsSemiMixedTypes="0" containsString="0" containsNumber="1" minValue="5.8308024607810378E-2" maxValue="8.9722151950446666E-2"/>
    </cacheField>
    <cacheField name="Yaw Rate Step R2" numFmtId="0">
      <sharedItems containsSemiMixedTypes="0" containsString="0" containsNumber="1" minValue="0.63979393920652505" maxValue="0.7659117241388923"/>
    </cacheField>
    <cacheField name="Yaw Rate Local MSE" numFmtId="0">
      <sharedItems containsSemiMixedTypes="0" containsString="0" containsNumber="1" minValue="5.8308024607810378E-2" maxValue="8.9722151950446666E-2"/>
    </cacheField>
    <cacheField name="Yaw Rate Local ADE" numFmtId="0">
      <sharedItems containsSemiMixedTypes="0" containsString="0" containsNumber="1" minValue="0.1927722218002321" maxValue="0.25718616104821529"/>
    </cacheField>
    <cacheField name="Yaw Rate Global open MSE" numFmtId="0">
      <sharedItems containsSemiMixedTypes="0" containsString="0" containsNumber="1" minValue="5.8308024607810378E-2" maxValue="8.9722151950446666E-2"/>
    </cacheField>
    <cacheField name="Yaw Rate Global open R2" numFmtId="0">
      <sharedItems containsSemiMixedTypes="0" containsString="0" containsNumber="1" minValue="0.63979393920652505" maxValue="0.7659117241388923"/>
    </cacheField>
    <cacheField name="Yaw Rate Global open ADE" numFmtId="0">
      <sharedItems containsSemiMixedTypes="0" containsString="0" containsNumber="1" minValue="0.1927722218002321" maxValue="0.25718616104821529"/>
    </cacheField>
    <cacheField name="Yaw Rate Global open FDE" numFmtId="0">
      <sharedItems containsSemiMixedTypes="0" containsString="0" containsNumber="1" minValue="0.23113415902838319" maxValue="0.3267544486234833"/>
    </cacheField>
    <cacheField name="Yaw Rate Global closed MSE" numFmtId="0">
      <sharedItems containsSemiMixedTypes="0" containsString="0" containsNumber="1" minValue="0.1324664465837487" maxValue="0.37935956709596991"/>
    </cacheField>
    <cacheField name="Yaw Rate Global closed R2" numFmtId="0">
      <sharedItems containsSemiMixedTypes="0" containsString="0" containsNumber="1" minValue="-0.52300866973662674" maxValue="0.46818911635563087"/>
    </cacheField>
    <cacheField name="Yaw Rate Global closed ADE" numFmtId="0">
      <sharedItems containsSemiMixedTypes="0" containsString="0" containsNumber="1" minValue="0.28795612039963497" maxValue="0.52272124759347138"/>
    </cacheField>
    <cacheField name="Yaw Rate Global closed FDE" numFmtId="0">
      <sharedItems containsSemiMixedTypes="0" containsString="0" containsNumber="1" minValue="0.29725886987067068" maxValue="0.51373249306540314"/>
    </cacheField>
    <cacheField name="Yaw Angle Step MSE" numFmtId="0">
      <sharedItems containsSemiMixedTypes="0" containsString="0" containsNumber="1" minValue="77.391702690777322" maxValue="219.06468293646401"/>
    </cacheField>
    <cacheField name="Yaw Angle Step R2" numFmtId="0">
      <sharedItems containsSemiMixedTypes="0" containsString="0" containsNumber="1" minValue="0.37650329571995828" maxValue="0.77972957156076317"/>
    </cacheField>
    <cacheField name="Yaw Angle Local MSE" numFmtId="0">
      <sharedItems containsSemiMixedTypes="0" containsString="0" containsNumber="1" minValue="77.391702690777322" maxValue="219.06468293646401"/>
    </cacheField>
    <cacheField name="Yaw Angle Local ADE" numFmtId="0">
      <sharedItems containsSemiMixedTypes="0" containsString="0" containsNumber="1" minValue="6.7721209388298327" maxValue="11.901337881005819"/>
    </cacheField>
    <cacheField name="Yaw Angle Global open MSE" numFmtId="0">
      <sharedItems containsSemiMixedTypes="0" containsString="0" containsNumber="1" minValue="77.391702690777322" maxValue="219.06468293646401"/>
    </cacheField>
    <cacheField name="Yaw Angle Global open R2" numFmtId="0">
      <sharedItems containsSemiMixedTypes="0" containsString="0" containsNumber="1" minValue="0.37650329571995828" maxValue="0.77972957156076317"/>
    </cacheField>
    <cacheField name="Yaw Angle Global open ADE" numFmtId="0">
      <sharedItems containsSemiMixedTypes="0" containsString="0" containsNumber="1" minValue="6.7721209388298327" maxValue="11.901337881005819"/>
    </cacheField>
    <cacheField name="Yaw Angle Global open FDE" numFmtId="0">
      <sharedItems containsSemiMixedTypes="0" containsString="0" containsNumber="1" minValue="7.1291440519565246" maxValue="13.47394557542242"/>
    </cacheField>
    <cacheField name="Yaw Angle Global closed MSE" numFmtId="0">
      <sharedItems containsSemiMixedTypes="0" containsString="0" containsNumber="1" minValue="349.5647131653659" maxValue="678.94382277075522"/>
    </cacheField>
    <cacheField name="Yaw Angle Global closed R2" numFmtId="0">
      <sharedItems containsSemiMixedTypes="0" containsString="0" containsNumber="1" minValue="-0.93239380357643165" maxValue="5.0772051904999227E-3"/>
    </cacheField>
    <cacheField name="Yaw Angle Global closed ADE" numFmtId="0">
      <sharedItems containsSemiMixedTypes="0" containsString="0" containsNumber="1" minValue="14.656555397039099" maxValue="21.740184603193061"/>
    </cacheField>
    <cacheField name="Yaw Angle Global closed FDE" numFmtId="0">
      <sharedItems containsSemiMixedTypes="0" containsString="0" containsNumber="1" minValue="14.804498740459371" maxValue="23.2526023818187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6-02-06T10:58:46"/>
    <s v="02-06_10-58-46_multihead_spsa_f7_w5_h5_effsu2_effsu2_realamplitudes_full_r3_5_2.pkl"/>
    <x v="0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5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x v="0"/>
    <s v="[3, 5, 2]"/>
    <s v="[0, 1, 2]"/>
    <s v="false"/>
    <n v="210"/>
    <n v="90"/>
    <n v="120"/>
    <s v="spsa"/>
    <n v="4000"/>
    <n v="4000"/>
    <n v="0.1022984348484198"/>
    <m/>
    <n v="128"/>
    <s v="[0.05, 0.001]"/>
    <n v="0.15"/>
    <n v="25.99838145862989"/>
    <n v="0.77385176782163967"/>
    <n v="25.99838145862989"/>
    <n v="7.694404440716009"/>
    <n v="25.99838145862989"/>
    <n v="7.694404440716009"/>
    <n v="7.1660450605898536"/>
    <n v="0.77385176782163967"/>
    <n v="170.0519738532555"/>
    <n v="21.806079262615501"/>
    <n v="23.31634891402345"/>
    <n v="-1.131939046537173"/>
    <n v="0.5714285714285714"/>
    <n v="2.1791293765083632E-2"/>
    <n v="0.8417670320262145"/>
    <n v="2.1791293765083632E-2"/>
    <n v="0.11749936181449119"/>
    <n v="2.1791293765083632E-2"/>
    <n v="0.8417670320262145"/>
    <n v="0.11749936181449119"/>
    <n v="0.1016315508107663"/>
    <n v="0.52864701923618518"/>
    <n v="-2.838660878330618"/>
    <n v="0.60645443360690932"/>
    <n v="0.75530863040688034"/>
    <n v="5.7948675171007609E-2"/>
    <n v="0.79922021732702642"/>
    <n v="5.7948675171007609E-2"/>
    <n v="0.1905917270190621"/>
    <n v="5.7948675171007609E-2"/>
    <n v="0.79922021732702642"/>
    <n v="0.1905917270190621"/>
    <n v="0.19864177118877599"/>
    <n v="0.35606605593339741"/>
    <n v="-0.23369283450500841"/>
    <n v="0.5128949603970604"/>
    <n v="0.50327657817880289"/>
    <n v="6.2271521279278132E-2"/>
    <n v="0.74999953866449631"/>
    <n v="6.2271521279278132E-2"/>
    <n v="0.19946335721016409"/>
    <n v="6.2271521279278132E-2"/>
    <n v="0.74999953866449631"/>
    <n v="0.19946335721016409"/>
    <n v="0.23113415902838319"/>
    <n v="0.37935956709596991"/>
    <n v="-0.52300866973662674"/>
    <n v="0.52272124759347138"/>
    <n v="0.51373249306540314"/>
    <n v="103.85151434430411"/>
    <n v="0.70442028326882322"/>
    <n v="103.85151434430411"/>
    <n v="7.6662280718856577"/>
    <n v="103.85151434430411"/>
    <n v="0.70442028326882322"/>
    <n v="7.6662280718856577"/>
    <n v="7.1291440519565246"/>
    <n v="678.94382277075522"/>
    <n v="-0.93239380357643165"/>
    <n v="21.740184603193061"/>
    <n v="23.252602381818789"/>
  </r>
  <r>
    <d v="2026-02-06T14:50:06"/>
    <s v="02-06_14-50-06_multihead_spsa_f7_w5_h5_effsu2_effsu2_realamplitudes_full_r3_5_2.pkl"/>
    <x v="1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icientsu2', 'entangle': 'full', 'map': [0, 1, 2]}, {'features': ['sv', 'yr', 'rarad'], 'output_dim': 2, 'reps': 5, 'encoding': 'compact', 'ansatz': 'efficient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x v="0"/>
    <s v="[3, 5, 2]"/>
    <s v="[0, 1, 2]"/>
    <s v="false"/>
    <n v="210"/>
    <n v="90"/>
    <n v="120"/>
    <s v="spsa"/>
    <n v="4000"/>
    <n v="4000"/>
    <n v="9.0376580867257805E-2"/>
    <m/>
    <n v="128"/>
    <s v="[0.05, 0.001]"/>
    <n v="0.15"/>
    <n v="19.38458504464603"/>
    <n v="0.78511120389983824"/>
    <n v="19.38458504464603"/>
    <n v="6.80211191424043"/>
    <n v="19.38458504464603"/>
    <n v="6.80211191424043"/>
    <n v="8.0053473811574687"/>
    <n v="0.78511120389983824"/>
    <n v="87.495074864982996"/>
    <n v="14.69352366891145"/>
    <n v="14.84275502167365"/>
    <n v="0.25618586824317868"/>
    <n v="0.5714285714285714"/>
    <n v="2.3234070941860949E-2"/>
    <n v="0.83129060427174528"/>
    <n v="2.3234070941860949E-2"/>
    <n v="0.12702629921526329"/>
    <n v="2.3234070941860949E-2"/>
    <n v="0.83129060427174528"/>
    <n v="0.12702629921526329"/>
    <n v="0.13326185672027141"/>
    <n v="0.1231587617794634"/>
    <n v="0.1057081503088019"/>
    <n v="0.27520394228737621"/>
    <n v="0.27619705748519191"/>
    <n v="4.5190850444097007E-2"/>
    <n v="0.84342335516391276"/>
    <n v="4.5190850444097007E-2"/>
    <n v="0.168212837680042"/>
    <n v="4.5190850444097007E-2"/>
    <n v="0.84342335516391276"/>
    <n v="0.168212837680042"/>
    <n v="0.1856969801156127"/>
    <n v="0.15996108620278879"/>
    <n v="0.44576900111778212"/>
    <n v="0.32204585308130301"/>
    <n v="0.28694191916870088"/>
    <n v="7.8212566421123147E-2"/>
    <n v="0.68600128460293208"/>
    <n v="7.8212566421123147E-2"/>
    <n v="0.22347929028757771"/>
    <n v="7.8212566421123147E-2"/>
    <n v="0.68600128460293208"/>
    <n v="0.22347929028757771"/>
    <n v="0.25729525339202952"/>
    <n v="0.1324664465837487"/>
    <n v="0.46818911635563087"/>
    <n v="0.28795612039963497"/>
    <n v="0.29725886987067068"/>
    <n v="77.391702690777322"/>
    <n v="0.77972957156076317"/>
    <n v="77.391702690777322"/>
    <n v="6.7721209388298327"/>
    <n v="77.391702690777322"/>
    <n v="0.77972957156076317"/>
    <n v="6.7721209388298327"/>
    <n v="7.9790038903724678"/>
    <n v="349.5647131653659"/>
    <n v="5.0772051904999227E-3"/>
    <n v="14.656555397039099"/>
    <n v="14.804498740459371"/>
  </r>
  <r>
    <d v="2026-02-09T14:57:35"/>
    <s v="02-09_14-57-35_multihead_spsa_f7_w5_h5_effsu2_effsu2_realamplitudes_lin_lin_full_r3_5_2.pkl"/>
    <x v="0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x v="1"/>
    <s v="[3, 5, 2]"/>
    <s v="[0, 1, 2]"/>
    <s v="false"/>
    <n v="210"/>
    <n v="90"/>
    <n v="120"/>
    <s v="spsa"/>
    <n v="4000"/>
    <n v="4000"/>
    <n v="0.11011106073970391"/>
    <m/>
    <n v="128"/>
    <s v="[0.05, 0.001]"/>
    <n v="0.15"/>
    <n v="24.052984584973789"/>
    <n v="0.7676882512379406"/>
    <n v="24.052984584973789"/>
    <n v="7.4445182752302452"/>
    <n v="24.052984584973789"/>
    <n v="7.4445182752302452"/>
    <n v="7.2039312218504543"/>
    <n v="0.7676882512379406"/>
    <n v="124.9530186026641"/>
    <n v="18.27534794762736"/>
    <n v="18.44335638719047"/>
    <n v="2.8955220514903481E-2"/>
    <n v="0.5714285714285714"/>
    <n v="2.92905513261029E-2"/>
    <n v="0.78731272590413948"/>
    <n v="2.92905513261029E-2"/>
    <n v="0.13905238576319459"/>
    <n v="2.92905513261029E-2"/>
    <n v="0.78731272590413948"/>
    <n v="0.13905238576319459"/>
    <n v="0.15806223010415599"/>
    <n v="6.997646760024373E-2"/>
    <n v="0.49188036855114597"/>
    <n v="0.21229789739897401"/>
    <n v="0.18802537762567539"/>
    <n v="5.7228914777861142E-2"/>
    <n v="0.8017140333614069"/>
    <n v="5.7228914777861142E-2"/>
    <n v="0.18539852807474719"/>
    <n v="5.7228914777861142E-2"/>
    <n v="0.8017140333614069"/>
    <n v="0.18539852807474719"/>
    <n v="0.2077843989717694"/>
    <n v="0.27946529452281732"/>
    <n v="3.1712443237998711E-2"/>
    <n v="0.4489291359401541"/>
    <n v="0.51613963763519211"/>
    <n v="6.0990472798176827E-2"/>
    <n v="0.7551425431180433"/>
    <n v="6.0990472798176827E-2"/>
    <n v="0.1966831115605388"/>
    <n v="6.0990472798176827E-2"/>
    <n v="0.7551425431180433"/>
    <n v="0.1966831115605388"/>
    <n v="0.2513350128500913"/>
    <n v="0.24582581591533581"/>
    <n v="1.308710427376014E-2"/>
    <n v="0.42441572603220151"/>
    <n v="0.49311705368105252"/>
    <n v="96.064428400993023"/>
    <n v="0.72658370256817262"/>
    <n v="96.064428400993023"/>
    <n v="7.4154543745610244"/>
    <n v="96.064428400993023"/>
    <n v="0.72658370256817262"/>
    <n v="7.4154543745610244"/>
    <n v="7.157760741574255"/>
    <n v="499.21680683261889"/>
    <n v="-0.42085903400330338"/>
    <n v="18.230879121099768"/>
    <n v="18.390153996299031"/>
  </r>
  <r>
    <d v="2026-02-09T09:40:11"/>
    <s v="02-09_09-40-11_multihead_spsa_f7_w5_h5_effsu2_effsu2_realamplitudes_lin_r3_5_2.pkl"/>
    <x v="0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lin', 'map': [0, 1, 2]}]"/>
    <s v="multihead3"/>
    <s v="compact"/>
    <s v="['effsu2', 'effsu2', 'realamplitudes']"/>
    <x v="2"/>
    <s v="[3, 5, 2]"/>
    <s v="[0, 1, 2]"/>
    <s v="false"/>
    <n v="210"/>
    <n v="90"/>
    <n v="120"/>
    <s v="spsa"/>
    <n v="4000"/>
    <n v="4000"/>
    <n v="0.12151611224103161"/>
    <m/>
    <n v="128"/>
    <s v="[0.05, 0.001]"/>
    <n v="0.15"/>
    <n v="47.627720147244069"/>
    <n v="0.70242768343791406"/>
    <n v="47.627720147244069"/>
    <n v="11.031062985266811"/>
    <n v="47.627720147244069"/>
    <n v="11.031062985266811"/>
    <n v="11.59448178909985"/>
    <n v="0.70242768343791406"/>
    <n v="103.8639681214016"/>
    <n v="17.09030073451925"/>
    <n v="17.798666067683651"/>
    <n v="-0.69195796713513513"/>
    <n v="0.5714285714285714"/>
    <n v="2.999646231887907E-2"/>
    <n v="0.78218689938294084"/>
    <n v="2.999646231887907E-2"/>
    <n v="0.14130694447013301"/>
    <n v="2.999646231887907E-2"/>
    <n v="0.78218689938294084"/>
    <n v="0.14130694447013301"/>
    <n v="0.1560879035104677"/>
    <n v="0.49776270064581202"/>
    <n v="-2.6144007932211668"/>
    <n v="0.5845727986958168"/>
    <n v="0.76966376862335983"/>
    <n v="5.6734564102151178E-2"/>
    <n v="0.80342685286833049"/>
    <n v="5.6734564102151178E-2"/>
    <n v="0.18613917609825481"/>
    <n v="5.6734564102151178E-2"/>
    <n v="0.80342685286833049"/>
    <n v="0.18613917609825481"/>
    <n v="0.21013822743705779"/>
    <n v="0.27978931203462742"/>
    <n v="3.0589791763888541E-2"/>
    <n v="0.44755496327504579"/>
    <n v="0.50608693714673825"/>
    <n v="5.8308024607810378E-2"/>
    <n v="0.7659117241388923"/>
    <n v="5.8308024607810378E-2"/>
    <n v="0.1927722218002321"/>
    <n v="5.8308024607810378E-2"/>
    <n v="0.7659117241388923"/>
    <n v="0.1927722218002321"/>
    <n v="0.24755049678989499"/>
    <n v="0.25020287143111591"/>
    <n v="-4.4853891510998611E-3"/>
    <n v="0.4199632719186886"/>
    <n v="0.47273620000326388"/>
    <n v="190.36584153794749"/>
    <n v="0.45818525736149041"/>
    <n v="190.36584153794749"/>
    <n v="11.01132678223963"/>
    <n v="190.36584153794749"/>
    <n v="0.45818525736149041"/>
    <n v="11.01132678223963"/>
    <n v="11.57460730178766"/>
    <n v="414.42811760149482"/>
    <n v="-0.17953547793213481"/>
    <n v="17.02259369897028"/>
    <n v="17.715162513350929"/>
  </r>
  <r>
    <d v="2026-02-06T20:35:46"/>
    <s v="02-06_20-35-46_multihead_spsa_f7_w5_h5_effsu2_effsu2_realamplitudes_full_r3_5_2.pkl"/>
    <x v="2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x v="0"/>
    <s v="[3, 5, 2]"/>
    <s v="[0, 1, 2]"/>
    <s v="false"/>
    <n v="210"/>
    <n v="90"/>
    <n v="120"/>
    <s v="spsa"/>
    <n v="4000"/>
    <n v="4000"/>
    <n v="9.9458144795925935E-2"/>
    <m/>
    <n v="128"/>
    <s v="[0.05, 0.001]"/>
    <n v="0.15"/>
    <n v="22.745918225871961"/>
    <n v="0.75433683174301391"/>
    <n v="22.745918225871961"/>
    <n v="7.4876899190053621"/>
    <n v="22.745918225871961"/>
    <n v="7.4876899190053621"/>
    <n v="8.2755451448728063"/>
    <n v="0.75433683174301391"/>
    <n v="123.7825635866524"/>
    <n v="18.078652028919151"/>
    <n v="19.71112560883617"/>
    <n v="-0.34708475593579152"/>
    <n v="0.5714285714285714"/>
    <n v="2.990015792506107E-2"/>
    <n v="0.78288619379964752"/>
    <n v="2.990015792506107E-2"/>
    <n v="0.13726689199768891"/>
    <n v="2.990015792506107E-2"/>
    <n v="0.78288619379964752"/>
    <n v="0.13726689199768891"/>
    <n v="0.1388921880677656"/>
    <n v="0.2273129520606145"/>
    <n v="-0.65058593818171184"/>
    <n v="0.38949096185967941"/>
    <n v="0.33827235490667762"/>
    <n v="4.9525207828402959E-2"/>
    <n v="0.82840573256805838"/>
    <n v="4.9525207828402959E-2"/>
    <n v="0.17647055208777029"/>
    <n v="4.9525207828402959E-2"/>
    <n v="0.82840573256805838"/>
    <n v="0.17647055208777029"/>
    <n v="0.18715067115944961"/>
    <n v="0.32482097026336137"/>
    <n v="-0.12543528604655971"/>
    <n v="0.50146070365232109"/>
    <n v="0.50855420553775543"/>
    <n v="8.3556496122447768E-2"/>
    <n v="0.66454709714725757"/>
    <n v="8.3556496122447768E-2"/>
    <n v="0.23844536330270399"/>
    <n v="8.3556496122447768E-2"/>
    <n v="0.66454709714725757"/>
    <n v="0.23844536330270399"/>
    <n v="0.30604890756594483"/>
    <n v="0.30027668822203563"/>
    <n v="-0.20551592512300881"/>
    <n v="0.48651504349031549"/>
    <n v="0.45773869298570441"/>
    <n v="90.820691041611752"/>
    <n v="0.74150830345709184"/>
    <n v="90.820691041611752"/>
    <n v="7.4593445223460941"/>
    <n v="90.820691041611752"/>
    <n v="0.74150830345709184"/>
    <n v="7.4593445223460941"/>
    <n v="8.2471783279102144"/>
    <n v="494.27784373606352"/>
    <n v="-0.40680187439188309"/>
    <n v="18.018261670674871"/>
    <n v="19.655377320094679"/>
  </r>
  <r>
    <d v="2026-02-07T00:12:12"/>
    <s v="02-07_00-12-12_multihead_spsa_f7_w5_h5_effsu2_effsu2_realamplitudes_full_r3_5_2.pkl"/>
    <x v="3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x v="0"/>
    <s v="[3, 5, 2]"/>
    <s v="[0, 1, 2]"/>
    <s v="false"/>
    <n v="210"/>
    <n v="90"/>
    <n v="120"/>
    <s v="spsa"/>
    <n v="4000"/>
    <n v="4000"/>
    <n v="9.770328586674408E-2"/>
    <m/>
    <n v="128"/>
    <s v="[0.05, 0.001]"/>
    <n v="0.15"/>
    <n v="24.169062231657591"/>
    <n v="0.78126569276423408"/>
    <n v="24.169062231657591"/>
    <n v="7.4955072285137607"/>
    <n v="24.169062231657591"/>
    <n v="7.4955072285137607"/>
    <n v="7.5745990678265196"/>
    <n v="0.78126569276423408"/>
    <n v="126.88972531267579"/>
    <n v="18.32201838223931"/>
    <n v="19.339548238685321"/>
    <n v="-8.5596688202165427E-2"/>
    <n v="0.5714285714285714"/>
    <n v="1.8902673735374732E-2"/>
    <n v="0.86274214830782503"/>
    <n v="1.8902673735374732E-2"/>
    <n v="0.11197758429497751"/>
    <n v="1.8902673735374732E-2"/>
    <n v="0.86274214830782503"/>
    <n v="0.11197758429497751"/>
    <n v="0.1398257679311237"/>
    <n v="6.3234809778444298E-2"/>
    <n v="0.54083352102143567"/>
    <n v="0.20249737249369679"/>
    <n v="0.21116035834276681"/>
    <n v="5.8903407657228027E-2"/>
    <n v="0.79591227317595692"/>
    <n v="5.8903407657228027E-2"/>
    <n v="0.1943552372788333"/>
    <n v="5.8903407657228027E-2"/>
    <n v="0.79591227317595692"/>
    <n v="0.1943552372788333"/>
    <n v="0.20100563788778891"/>
    <n v="0.38216139293601459"/>
    <n v="-0.32410760372452702"/>
    <n v="0.52386836431769723"/>
    <n v="0.50542414796411761"/>
    <n v="6.4473063114922097E-2"/>
    <n v="0.74116104454626197"/>
    <n v="6.4473063114922097E-2"/>
    <n v="0.2078280039411245"/>
    <n v="6.4473063114922097E-2"/>
    <n v="0.74116104454626197"/>
    <n v="0.2078280039411245"/>
    <n v="0.25941851645642122"/>
    <n v="0.27812149292858251"/>
    <n v="-0.11656982375026791"/>
    <n v="0.44918344120769499"/>
    <n v="0.4300358339762394"/>
    <n v="96.533969782122583"/>
    <n v="0.7252473050268935"/>
    <n v="96.533969782122583"/>
    <n v="7.4684315026792216"/>
    <n v="96.533969782122583"/>
    <n v="0.7252473050268935"/>
    <n v="7.4684315026792216"/>
    <n v="7.5413233318944064"/>
    <n v="506.8353835550605"/>
    <n v="-0.44254284635531382"/>
    <n v="18.27112242289903"/>
    <n v="19.292298986076069"/>
  </r>
  <r>
    <d v="2026-02-09T19:21:31"/>
    <s v="02-09_19-21-31_multihead_spsa_f7_w5_h5_effsu2_effsu2_realamplitudes_lin_lin_full_r3_5_2.pkl"/>
    <x v="1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x v="1"/>
    <s v="[3, 5, 2]"/>
    <s v="[0, 1, 2]"/>
    <s v="false"/>
    <n v="210"/>
    <n v="90"/>
    <n v="120"/>
    <s v="spsa"/>
    <n v="4000"/>
    <n v="4000"/>
    <n v="0.1230364924799362"/>
    <m/>
    <n v="128"/>
    <s v="[0.05, 0.001]"/>
    <n v="0.15"/>
    <n v="20.041709838212441"/>
    <n v="0.74691930287889996"/>
    <n v="20.041709838212441"/>
    <n v="6.9095660488150372"/>
    <n v="20.041709838212441"/>
    <n v="6.9095660488150372"/>
    <n v="8.1844587342412627"/>
    <n v="0.74691930287889996"/>
    <n v="102.9757346757815"/>
    <n v="15.935811227624381"/>
    <n v="17.224912963395148"/>
    <n v="0.20776719187071299"/>
    <n v="0.5714285714285714"/>
    <n v="2.6152090965507479E-2"/>
    <n v="0.81010200602117444"/>
    <n v="2.6152090965507479E-2"/>
    <n v="0.13169183490659811"/>
    <n v="2.6152090965507479E-2"/>
    <n v="0.81010200602117444"/>
    <n v="0.13169183490659811"/>
    <n v="0.14834454306748379"/>
    <n v="2.950162166626347E-2"/>
    <n v="0.78578008232937568"/>
    <n v="0.13500006711836629"/>
    <n v="0.12199522489857451"/>
    <n v="6.7701797053085599E-2"/>
    <n v="0.76542773309700962"/>
    <n v="6.7701797053085599E-2"/>
    <n v="0.2073460860103796"/>
    <n v="6.7701797053085599E-2"/>
    <n v="0.76542773309700962"/>
    <n v="0.2073460860103796"/>
    <n v="0.27001301543346162"/>
    <n v="0.27156725758394279"/>
    <n v="5.9077454352587933E-2"/>
    <n v="0.43447673048624558"/>
    <n v="0.43413080811639942"/>
    <n v="8.9722151950446666E-2"/>
    <n v="0.63979393920652505"/>
    <n v="8.9722151950446666E-2"/>
    <n v="0.25718616104821529"/>
    <n v="8.9722151950446666E-2"/>
    <n v="0.63979393920652505"/>
    <n v="0.25718616104821529"/>
    <n v="0.3267544486234833"/>
    <n v="0.20995299188259181"/>
    <n v="0.15710514612265339"/>
    <n v="0.38274174187578303"/>
    <n v="0.38582853132814249"/>
    <n v="79.983263312880695"/>
    <n v="0.77235353319089028"/>
    <n v="79.983263312880695"/>
    <n v="6.8726334085726108"/>
    <n v="79.983263312880695"/>
    <n v="0.77235353319089028"/>
    <n v="6.8726334085726108"/>
    <n v="8.1419226314194919"/>
    <n v="411.39191683199311"/>
    <n v="-0.1708939153217621"/>
    <n v="15.8969218645193"/>
    <n v="17.18812187697608"/>
  </r>
  <r>
    <d v="2026-02-09T13:31:54"/>
    <s v="02-09_13-31-54_multihead_spsa_f7_w5_h5_effsu2_effsu2_realamplitudes_lin_r3_5_2.pkl"/>
    <x v="1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lin', 'map': [0, 1, 2]}]"/>
    <s v="multihead3"/>
    <s v="compact"/>
    <s v="['effsu2', 'effsu2', 'realamplitudes']"/>
    <x v="2"/>
    <s v="[3, 5, 2]"/>
    <s v="[0, 1, 2]"/>
    <s v="false"/>
    <n v="210"/>
    <n v="90"/>
    <n v="120"/>
    <s v="spsa"/>
    <n v="4000"/>
    <n v="4000"/>
    <n v="0.1430048034288742"/>
    <m/>
    <n v="128"/>
    <s v="[0.05, 0.001]"/>
    <n v="0.15"/>
    <n v="54.808297953623622"/>
    <n v="0.66103022800475519"/>
    <n v="54.808297953623622"/>
    <n v="11.921129903162321"/>
    <n v="54.808297953623622"/>
    <n v="11.921129903162321"/>
    <n v="13.497548281214289"/>
    <n v="0.66103022800475519"/>
    <n v="106.1251251017128"/>
    <n v="17.456536713046521"/>
    <n v="16.584688910328691"/>
    <n v="0.12807598831882161"/>
    <n v="0.5714285714285714"/>
    <n v="2.6418362518750439E-2"/>
    <n v="0.808168530266553"/>
    <n v="2.6418362518750439E-2"/>
    <n v="0.13280917939606779"/>
    <n v="2.6418362518750439E-2"/>
    <n v="0.808168530266553"/>
    <n v="0.13280917939606779"/>
    <n v="0.1509768796120389"/>
    <n v="4.0074650292417399E-2"/>
    <n v="0.70900622401588742"/>
    <n v="0.15966516117391499"/>
    <n v="0.1372624830938006"/>
    <n v="5.4369358413097389E-2"/>
    <n v="0.81162178541551477"/>
    <n v="5.4369358413097389E-2"/>
    <n v="0.1868650793005836"/>
    <n v="5.4369358413097389E-2"/>
    <n v="0.81162178541551477"/>
    <n v="0.1868650793005836"/>
    <n v="0.26870307273114902"/>
    <n v="0.29157274541262218"/>
    <n v="-1.023728816146807E-2"/>
    <n v="0.43070789794584458"/>
    <n v="0.42601231704431031"/>
    <n v="8.7721157098902394E-2"/>
    <n v="0.64782730061699212"/>
    <n v="8.7721157098902394E-2"/>
    <n v="0.25226031044965508"/>
    <n v="8.7721157098902394E-2"/>
    <n v="0.64782730061699212"/>
    <n v="0.25226031044965508"/>
    <n v="0.2929918961756674"/>
    <n v="0.24407909075407899"/>
    <n v="2.0099653303710219E-2"/>
    <n v="0.3997939294533544"/>
    <n v="0.40542753518641561"/>
    <n v="219.06468293646401"/>
    <n v="0.37650329571995828"/>
    <n v="219.06468293646401"/>
    <n v="11.901337881005819"/>
    <n v="219.06468293646401"/>
    <n v="0.37650329571995828"/>
    <n v="11.901337881005819"/>
    <n v="13.47394557542242"/>
    <n v="423.92477392039177"/>
    <n v="-0.20656463588284751"/>
    <n v="17.412142199688589"/>
    <n v="16.540230427431069"/>
  </r>
  <r>
    <d v="2026-02-07T03:56:55"/>
    <s v="02-07_03-56-55_multihead_spsa_f7_w5_h5_effsu2_effsu2_realamplitudes_full_r3_5_2.pkl"/>
    <x v="4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x v="0"/>
    <s v="[3, 5, 2]"/>
    <s v="[0, 1, 2]"/>
    <s v="false"/>
    <n v="210"/>
    <n v="90"/>
    <n v="120"/>
    <s v="spsa"/>
    <n v="4000"/>
    <n v="4000"/>
    <n v="0.1124703341496842"/>
    <m/>
    <n v="128"/>
    <s v="[0.05, 0.001]"/>
    <n v="0.15"/>
    <n v="21.356283414583089"/>
    <n v="0.75044355188041667"/>
    <n v="21.356283414583089"/>
    <n v="7.2243362737262684"/>
    <n v="21.356283414583089"/>
    <n v="7.2243362737262684"/>
    <n v="7.9053364304289344"/>
    <n v="0.75044355188041667"/>
    <n v="104.7774749719442"/>
    <n v="16.697717027402359"/>
    <n v="17.15465820850272"/>
    <n v="-0.16126147744066779"/>
    <n v="0.5714285714285714"/>
    <n v="2.6607088316595501E-2"/>
    <n v="0.80679813695956659"/>
    <n v="2.6607088316595501E-2"/>
    <n v="0.13059841457188989"/>
    <n v="2.6607088316595501E-2"/>
    <n v="0.80679813695956659"/>
    <n v="0.13059841457188989"/>
    <n v="0.1086830047649934"/>
    <n v="0.15791145905063991"/>
    <n v="-0.14664136567651551"/>
    <n v="0.30106988412206881"/>
    <n v="0.31399109272887038"/>
    <n v="6.5643772639719669E-2"/>
    <n v="0.77255834813233004"/>
    <n v="6.5643772639719669E-2"/>
    <n v="0.2053718560457769"/>
    <n v="6.5643772639719669E-2"/>
    <n v="0.77255834813233004"/>
    <n v="0.2053718560457769"/>
    <n v="0.21911958566090489"/>
    <n v="0.33921826488266371"/>
    <n v="-0.17531883689930661"/>
    <n v="0.50626830932459321"/>
    <n v="0.51477433492460944"/>
    <n v="8.3430559901587029E-2"/>
    <n v="0.66505269124014688"/>
    <n v="8.3430559901587029E-2"/>
    <n v="0.23963891803419729"/>
    <n v="8.3430559901587029E-2"/>
    <n v="0.66505269124014688"/>
    <n v="0.23963891803419729"/>
    <n v="0.27823529718608259"/>
    <n v="0.28207522469183283"/>
    <n v="-0.13244280620682991"/>
    <n v="0.46052660849201432"/>
    <n v="0.45379448746707818"/>
    <n v="85.249452237474287"/>
    <n v="0.75736503118962306"/>
    <n v="85.249452237474287"/>
    <n v="7.1912902341083251"/>
    <n v="85.249452237474287"/>
    <n v="0.75736503118962306"/>
    <n v="7.1912902341083251"/>
    <n v="7.8682851783192511"/>
    <n v="418.33069493914962"/>
    <n v="-0.1906429009800179"/>
    <n v="16.635069774092059"/>
    <n v="17.092503746355781"/>
  </r>
  <r>
    <d v="2026-02-09T23:47:04"/>
    <s v="02-09_23-47-04_multihead_spsa_f7_w5_h5_effsu2_effsu2_realamplitudes_lin_lin_full_r3_5_2.pkl"/>
    <x v="2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x v="1"/>
    <s v="[3, 5, 2]"/>
    <s v="[0, 1, 2]"/>
    <s v="false"/>
    <n v="210"/>
    <n v="90"/>
    <n v="120"/>
    <s v="spsa"/>
    <n v="4000"/>
    <n v="4000"/>
    <n v="9.4701621710686329E-2"/>
    <m/>
    <n v="128"/>
    <s v="[0.05, 0.001]"/>
    <n v="0.15"/>
    <n v="22.770680756401561"/>
    <n v="0.76595660349696737"/>
    <n v="22.770680756401561"/>
    <n v="7.5282340621389734"/>
    <n v="22.770680756401561"/>
    <n v="7.5282340621389734"/>
    <n v="8.1241137852646883"/>
    <n v="0.76595660349696737"/>
    <n v="110.34651256367491"/>
    <n v="17.01913451108754"/>
    <n v="18.305512214375209"/>
    <n v="-5.8813404517024492E-2"/>
    <n v="0.5714285714285714"/>
    <n v="2.8691319755932611E-2"/>
    <n v="0.79166392188514922"/>
    <n v="2.8691319755932611E-2"/>
    <n v="0.13378377970119179"/>
    <n v="2.8691319755932611E-2"/>
    <n v="0.79166392188514922"/>
    <n v="0.13378377970119179"/>
    <n v="0.12809903163757019"/>
    <n v="0.117082826081106"/>
    <n v="0.14982729941180059"/>
    <n v="0.26718641168345197"/>
    <n v="0.20837226561782199"/>
    <n v="5.6111067893681962E-2"/>
    <n v="0.80558713406310245"/>
    <n v="5.6111067893681962E-2"/>
    <n v="0.18394253266714999"/>
    <n v="5.6111067893681962E-2"/>
    <n v="0.80558713406310245"/>
    <n v="0.18394253266714999"/>
    <n v="0.19132856249781879"/>
    <n v="0.29817049045076333"/>
    <n v="-3.309706555897507E-2"/>
    <n v="0.46454283185943129"/>
    <n v="0.46041873765183172"/>
    <n v="6.8404694171192645E-2"/>
    <n v="0.72537678943772799"/>
    <n v="6.8404694171192645E-2"/>
    <n v="0.21325682625288489"/>
    <n v="6.8404694171192645E-2"/>
    <n v="0.72537678943772799"/>
    <n v="0.21325682625288489"/>
    <n v="0.27512486479846737"/>
    <n v="0.27341666348599691"/>
    <n v="-9.768142168480165E-2"/>
    <n v="0.44444789483321878"/>
    <n v="0.42909973822088171"/>
    <n v="90.929515943785631"/>
    <n v="0.74119856860189071"/>
    <n v="90.929515943785631"/>
    <n v="7.5037117906729076"/>
    <n v="90.929515943785631"/>
    <n v="0.74119856860189071"/>
    <n v="7.5037117906729076"/>
    <n v="8.0956725382780714"/>
    <n v="440.69738027468242"/>
    <n v="-0.25430243023612409"/>
    <n v="16.96724850344081"/>
    <n v="18.262461782071892"/>
  </r>
  <r>
    <d v="2026-02-09T18:00:41"/>
    <s v="02-09_18-00-41_multihead_spsa_f7_w5_h5_effsu2_effsu2_realamplitudes_lin_r3_5_2.pkl"/>
    <x v="2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lin', 'map': [0, 1, 2]}]"/>
    <s v="multihead3"/>
    <s v="compact"/>
    <s v="['effsu2', 'effsu2', 'realamplitudes']"/>
    <x v="2"/>
    <s v="[3, 5, 2]"/>
    <s v="[0, 1, 2]"/>
    <s v="false"/>
    <n v="210"/>
    <n v="90"/>
    <n v="120"/>
    <s v="spsa"/>
    <n v="4000"/>
    <n v="4000"/>
    <n v="0.1223210466385999"/>
    <m/>
    <n v="128"/>
    <s v="[0.05, 0.001]"/>
    <n v="0.15"/>
    <n v="50.180759730157803"/>
    <n v="0.67610735849527281"/>
    <n v="50.180759730157803"/>
    <n v="11.44287690342254"/>
    <n v="50.180759730157803"/>
    <n v="11.44287690342254"/>
    <n v="12.615911966833711"/>
    <n v="0.67610735849527281"/>
    <n v="95.261407535482903"/>
    <n v="16.231996411592991"/>
    <n v="16.321169175506991"/>
    <n v="-2.1445863217036291E-2"/>
    <n v="0.5714285714285714"/>
    <n v="2.744150235311137E-2"/>
    <n v="0.80073921219171051"/>
    <n v="2.744150235311137E-2"/>
    <n v="0.130563310437004"/>
    <n v="2.744150235311137E-2"/>
    <n v="0.80073921219171051"/>
    <n v="0.130563310437004"/>
    <n v="0.13379915429685951"/>
    <n v="0.1106188414103617"/>
    <n v="0.19676418578555899"/>
    <n v="0.26063698866484403"/>
    <n v="0.2034636472001648"/>
    <n v="5.3935191148310239E-2"/>
    <n v="0.81312608225768479"/>
    <n v="5.3935191148310239E-2"/>
    <n v="0.1782685237176902"/>
    <n v="5.3935191148310239E-2"/>
    <n v="0.81312608225768479"/>
    <n v="0.1782685237176902"/>
    <n v="0.1959699274152838"/>
    <n v="0.30640249900355032"/>
    <n v="-6.1619216985442149E-2"/>
    <n v="0.47192049659712698"/>
    <n v="0.47191574058267338"/>
    <n v="8.4343974273741143E-2"/>
    <n v="0.66138562145065394"/>
    <n v="8.4343974273741143E-2"/>
    <n v="0.2406053542061786"/>
    <n v="8.4343974273741143E-2"/>
    <n v="0.66138562145065394"/>
    <n v="0.2406053542061786"/>
    <n v="0.30654251315156172"/>
    <n v="0.28355891726921623"/>
    <n v="-0.138399362610236"/>
    <n v="0.45401481338338923"/>
    <n v="0.43904430966445213"/>
    <n v="200.55731825285611"/>
    <n v="0.42917851808104113"/>
    <n v="200.55731825285611"/>
    <n v="11.42364588845299"/>
    <n v="200.55731825285611"/>
    <n v="0.42917851808104113"/>
    <n v="11.42364588845299"/>
    <n v="12.5972885915244"/>
    <n v="380.3450498842497"/>
    <n v="-8.2529059058037868E-2"/>
    <n v="16.17257182556078"/>
    <n v="16.267766208828402"/>
  </r>
  <r>
    <d v="2026-02-10T04:13:07"/>
    <s v="02-10_04-13-07_multihead_spsa_f7_w5_h5_effsu2_effsu2_realamplitudes_lin_lin_full_r3_5_2.pkl"/>
    <x v="3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x v="1"/>
    <s v="[3, 5, 2]"/>
    <s v="[0, 1, 2]"/>
    <s v="false"/>
    <n v="210"/>
    <n v="90"/>
    <n v="120"/>
    <s v="spsa"/>
    <n v="4000"/>
    <n v="4000"/>
    <n v="9.6683866248923278E-2"/>
    <m/>
    <n v="128"/>
    <s v="[0.05, 0.001]"/>
    <n v="0.15"/>
    <n v="24.56965122133159"/>
    <n v="0.76333720287210804"/>
    <n v="24.56965122133159"/>
    <n v="7.5128364323358356"/>
    <n v="24.56965122133159"/>
    <n v="7.5128364323358356"/>
    <n v="7.5708418780050097"/>
    <n v="0.76333720287210804"/>
    <n v="114.18988576654201"/>
    <n v="17.135937741823781"/>
    <n v="18.10452506356102"/>
    <n v="-3.5269288357953427E-2"/>
    <n v="0.5714285714285714"/>
    <n v="3.0084381879389159E-2"/>
    <n v="0.78154848969729129"/>
    <n v="3.0084381879389159E-2"/>
    <n v="0.1458375667651518"/>
    <n v="3.0084381879389159E-2"/>
    <n v="0.78154848969729129"/>
    <n v="0.1458375667651518"/>
    <n v="0.15436543279766471"/>
    <n v="8.5014888449552378E-2"/>
    <n v="0.38268198913056423"/>
    <n v="0.22514527540888041"/>
    <n v="0.2083433553607503"/>
    <n v="4.8958943468307897E-2"/>
    <n v="0.83036771763190709"/>
    <n v="4.8958943468307897E-2"/>
    <n v="0.16979576299065621"/>
    <n v="4.8958943468307897E-2"/>
    <n v="0.83036771763190709"/>
    <n v="0.16979576299065621"/>
    <n v="0.1972552495638614"/>
    <n v="0.34669868233405687"/>
    <n v="-0.20123688568578341"/>
    <n v="0.50042722457952249"/>
    <n v="0.48236712565836898"/>
    <n v="6.9562670856040357E-2"/>
    <n v="0.72072787931829563"/>
    <n v="6.9562670856040357E-2"/>
    <n v="0.20346803216787479"/>
    <n v="6.9562670856040357E-2"/>
    <n v="0.72072787931829563"/>
    <n v="0.20346803216787479"/>
    <n v="0.24806629250479811"/>
    <n v="0.25517803432008079"/>
    <n v="-2.4459094496795512E-2"/>
    <n v="0.42849007335742412"/>
    <n v="0.41115629318985653"/>
    <n v="98.129998889122589"/>
    <n v="0.72070472484093928"/>
    <n v="98.129998889122589"/>
    <n v="7.4815034440777683"/>
    <n v="98.129998889122589"/>
    <n v="0.72070472484093928"/>
    <n v="7.4815034440777683"/>
    <n v="7.5304569636687546"/>
    <n v="456.07265146106522"/>
    <n v="-0.29806316237979869"/>
    <n v="17.079690831202601"/>
    <n v="18.058282893433649"/>
  </r>
  <r>
    <d v="2026-02-09T22:18:21"/>
    <s v="02-09_22-18-21_multihead_spsa_f7_w5_h5_effsu2_effsu2_realamplitudes_lin_r3_5_2.pkl"/>
    <x v="3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lin', 'map': [0, 1, 2]}]"/>
    <s v="multihead3"/>
    <s v="compact"/>
    <s v="['effsu2', 'effsu2', 'realamplitudes']"/>
    <x v="2"/>
    <s v="[3, 5, 2]"/>
    <s v="[0, 1, 2]"/>
    <s v="false"/>
    <n v="210"/>
    <n v="90"/>
    <n v="120"/>
    <s v="spsa"/>
    <n v="4000"/>
    <n v="4000"/>
    <n v="0.1016385117206083"/>
    <m/>
    <n v="128"/>
    <s v="[0.05, 0.001]"/>
    <n v="0.15"/>
    <n v="32.530730461482818"/>
    <n v="0.7320103905331159"/>
    <n v="32.530730461482818"/>
    <n v="8.857595948056165"/>
    <n v="32.530730461482818"/>
    <n v="8.857595948056165"/>
    <n v="10.086421812826019"/>
    <n v="0.7320103905331159"/>
    <n v="124.1163527834637"/>
    <n v="18.182599745653931"/>
    <n v="19.79108536622595"/>
    <n v="-8.6014833449464756E-2"/>
    <n v="0.5714285714285714"/>
    <n v="2.726385669013465E-2"/>
    <n v="0.80202914939339776"/>
    <n v="2.726385669013465E-2"/>
    <n v="0.1357205856680942"/>
    <n v="2.726385669013465E-2"/>
    <n v="0.80202914939339776"/>
    <n v="0.1357205856680942"/>
    <n v="0.1448253401320721"/>
    <n v="9.6767907321040125E-2"/>
    <n v="0.29733987595749239"/>
    <n v="0.2411998726310606"/>
    <n v="0.22906311347952621"/>
    <n v="5.566925355554829E-2"/>
    <n v="0.80711792638114077"/>
    <n v="5.566925355554829E-2"/>
    <n v="0.18995740377377379"/>
    <n v="5.566925355554829E-2"/>
    <n v="0.80711792638114077"/>
    <n v="0.18995740377377379"/>
    <n v="0.20324276316249509"/>
    <n v="0.34441448438470118"/>
    <n v="-0.19332262765485669"/>
    <n v="0.4997213254256746"/>
    <n v="0.47875951496381969"/>
    <n v="7.7517790939231015E-2"/>
    <n v="0.68879058840392071"/>
    <n v="7.7517790939231015E-2"/>
    <n v="0.22682633815776701"/>
    <n v="7.7517790939231015E-2"/>
    <n v="0.68879058840392071"/>
    <n v="0.22682633815776701"/>
    <n v="0.25799750339317568"/>
    <n v="0.25831160471827919"/>
    <n v="-3.7039388491276082E-2"/>
    <n v="0.42996935573980299"/>
    <n v="0.38028493331733298"/>
    <n v="129.9624709447464"/>
    <n v="0.6301038979540039"/>
    <n v="129.9624709447464"/>
    <n v="8.8266210462596941"/>
    <n v="129.9624709447464"/>
    <n v="0.6301038979540039"/>
    <n v="8.8266210462596941"/>
    <n v="10.060579092232921"/>
    <n v="495.76591713742999"/>
    <n v="-0.41103719360921159"/>
    <n v="18.12995233203424"/>
    <n v="19.74896418057337"/>
  </r>
  <r>
    <d v="2026-02-10T08:54:36"/>
    <s v="02-10_08-54-36_multihead_spsa_f7_w5_h5_effsu2_effsu2_realamplitudes_lin_lin_full_r3_5_2.pkl"/>
    <x v="4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full', 'map': [0, 1, 2]}]"/>
    <s v="multihead3"/>
    <s v="compact"/>
    <s v="['effsu2', 'effsu2', 'realamplitudes']"/>
    <x v="1"/>
    <s v="[3, 5, 2]"/>
    <s v="[0, 1, 2]"/>
    <s v="false"/>
    <n v="210"/>
    <n v="90"/>
    <n v="120"/>
    <s v="spsa"/>
    <n v="4000"/>
    <n v="4000"/>
    <n v="0.1311838566205574"/>
    <m/>
    <n v="128"/>
    <s v="[0.05, 0.001]"/>
    <n v="0.15"/>
    <n v="22.06524387879648"/>
    <n v="0.7430486074363678"/>
    <n v="22.06524387879648"/>
    <n v="7.4071609941844478"/>
    <n v="22.06524387879648"/>
    <n v="7.4071609941844478"/>
    <n v="8.2519118591846361"/>
    <n v="0.7430486074363678"/>
    <n v="102.5355552748786"/>
    <n v="16.43032872913512"/>
    <n v="16.685015748172908"/>
    <n v="0.20067815192200511"/>
    <n v="0.5714285714285714"/>
    <n v="2.62219920977581E-2"/>
    <n v="0.80959443342176929"/>
    <n v="2.62219920977581E-2"/>
    <n v="0.12672222255655519"/>
    <n v="2.62219920977581E-2"/>
    <n v="0.80959443342176929"/>
    <n v="0.12672222255655519"/>
    <n v="0.1002469131473141"/>
    <n v="4.2034668360600137E-2"/>
    <n v="0.69477395861878921"/>
    <n v="0.16901114919302121"/>
    <n v="0.19673066051899571"/>
    <n v="6.933138573658805E-2"/>
    <n v="0.7597815563595014"/>
    <n v="6.933138573658805E-2"/>
    <n v="0.21867620852500849"/>
    <n v="6.933138573658805E-2"/>
    <n v="0.7597815563595014"/>
    <n v="0.21867620852500849"/>
    <n v="0.23642621588320961"/>
    <n v="0.26577684641636068"/>
    <n v="7.9139992320599206E-2"/>
    <n v="0.45208803747142567"/>
    <n v="0.45984572387109601"/>
    <n v="8.6306393262797806E-2"/>
    <n v="0.65350712992645588"/>
    <n v="8.6306393262797806E-2"/>
    <n v="0.2415839630239871"/>
    <n v="8.6306393262797806E-2"/>
    <n v="0.65350712992645588"/>
    <n v="0.2415839630239871"/>
    <n v="0.2585973504288393"/>
    <n v="0.20059146556561741"/>
    <n v="0.19468871321669959"/>
    <n v="0.38575067038228472"/>
    <n v="0.3547094259105168"/>
    <n v="88.079115744088426"/>
    <n v="0.74931131003774243"/>
    <n v="88.079115744088426"/>
    <n v="7.3732099113583489"/>
    <n v="88.079115744088426"/>
    <n v="0.74931131003774243"/>
    <n v="7.3732099113583489"/>
    <n v="8.2187179206880234"/>
    <n v="409.63381811917168"/>
    <n v="-0.16589005646806901"/>
    <n v="16.387979879136861"/>
    <n v="16.6405887242997"/>
  </r>
  <r>
    <d v="2026-02-10T02:37:16"/>
    <s v="02-10_02-37-16_multihead_spsa_f7_w5_h5_effsu2_effsu2_realamplitudes_lin_r3_5_2.pkl"/>
    <x v="4"/>
    <s v="data/reduce_row_number_absolutes"/>
    <n v="16590"/>
    <n v="4.5"/>
    <s v="[['wv', 'asv', 'ararad'], ['sv', 'yr', 'rarad'], ['ya', 'yr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, 'rarad'], 'output_dim': 1, 'reps': 2, 'encoding': 'compact', 'ansatz': 'realamplitudes', 'entangle': 'lin', 'map': [0, 1, 2]}]"/>
    <s v="multihead3"/>
    <s v="compact"/>
    <s v="['effsu2', 'effsu2', 'realamplitudes']"/>
    <x v="2"/>
    <s v="[3, 5, 2]"/>
    <s v="[0, 1, 2]"/>
    <s v="false"/>
    <n v="210"/>
    <n v="90"/>
    <n v="120"/>
    <s v="spsa"/>
    <n v="4000"/>
    <n v="4000"/>
    <n v="0.13789056700318891"/>
    <m/>
    <n v="128"/>
    <s v="[0.05, 0.001]"/>
    <n v="0.15"/>
    <n v="44.49576785667427"/>
    <n v="0.71819620792697447"/>
    <n v="44.49576785667427"/>
    <n v="10.44752566295222"/>
    <n v="44.49576785667427"/>
    <n v="10.44752566295222"/>
    <n v="11.073933102194911"/>
    <n v="0.71819620792697447"/>
    <n v="107.2615337987752"/>
    <n v="17.23076443859765"/>
    <n v="18.28624287535694"/>
    <n v="0.22949311652139881"/>
    <n v="0.5714285714285714"/>
    <n v="2.3459503854867909E-2"/>
    <n v="0.82965366984790567"/>
    <n v="2.3459503854867909E-2"/>
    <n v="0.119090652779477"/>
    <n v="2.3459503854867909E-2"/>
    <n v="0.82965366984790567"/>
    <n v="0.119090652779477"/>
    <n v="9.5749931970105173E-2"/>
    <n v="4.139020231510844E-2"/>
    <n v="0.69945361537693351"/>
    <n v="0.16933873548397321"/>
    <n v="0.16096167529128769"/>
    <n v="5.3080039083100217E-2"/>
    <n v="0.81608900151853991"/>
    <n v="5.3080039083100217E-2"/>
    <n v="0.1881377163668693"/>
    <n v="5.3080039083100217E-2"/>
    <n v="0.81608900151853991"/>
    <n v="0.1881377163668693"/>
    <n v="0.18496170953195759"/>
    <n v="0.234271532644409"/>
    <n v="0.18829917557214459"/>
    <n v="0.42168973699835671"/>
    <n v="0.42711334167671111"/>
    <n v="6.6454458130148469E-2"/>
    <n v="0.73320637027914559"/>
    <n v="6.6454458130148469E-2"/>
    <n v="0.21314071880778521"/>
    <n v="6.6454458130148469E-2"/>
    <n v="0.73320637027914559"/>
    <n v="0.21314071880778521"/>
    <n v="0.24667075360624741"/>
    <n v="0.1868031718176883"/>
    <n v="0.25004435135105779"/>
    <n v="0.36885078786685982"/>
    <n v="0.34067511424828489"/>
    <n v="177.84007742562881"/>
    <n v="0.49383579006230471"/>
    <n v="177.84007742562881"/>
    <n v="10.427858091725611"/>
    <n v="177.84007742562881"/>
    <n v="0.49383579006230471"/>
    <n v="10.427858091725611"/>
    <n v="11.05696002178567"/>
    <n v="428.58367028832288"/>
    <n v="-0.21982467621454169"/>
    <n v="17.192952439074279"/>
    <n v="18.249516306173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F7A0B-9720-4033-A1B9-DE6D99FD91A1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22" firstHeaderRow="0" firstDataRow="1" firstDataCol="1"/>
  <pivotFields count="95">
    <pivotField numFmtId="164"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19"/>
    <field x="2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Promedio de global open R2" fld="41" subtotal="average" baseField="0" baseItem="0"/>
    <dataField name="Promedio de global closed R2" fld="45" subtotal="average" baseField="0" baseItem="0"/>
    <dataField name="Promedio de Surge Velocity Global open R2" fld="52" subtotal="average" baseField="0" baseItem="0"/>
    <dataField name="Promedio de Sway Velocity Global open R2" fld="64" subtotal="average" baseField="0" baseItem="0"/>
    <dataField name="Promedio de Yaw Rate Global open R2" fld="76" subtotal="average" baseField="0" baseItem="0"/>
    <dataField name="Promedio de Yaw Angle Global open R2" fld="88" subtotal="average" baseField="0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6"/>
  <sheetViews>
    <sheetView tabSelected="1" workbookViewId="0">
      <selection activeCell="B2" sqref="B2"/>
    </sheetView>
  </sheetViews>
  <sheetFormatPr baseColWidth="10" defaultColWidth="8.88671875" defaultRowHeight="14.4" x14ac:dyDescent="0.3"/>
  <sheetData>
    <row r="1" spans="1:95" x14ac:dyDescent="0.3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  <c r="L1" s="7" t="s">
        <v>47</v>
      </c>
      <c r="M1" s="7" t="s">
        <v>48</v>
      </c>
      <c r="N1" s="7" t="s">
        <v>49</v>
      </c>
      <c r="O1" s="7" t="s">
        <v>50</v>
      </c>
      <c r="P1" s="7" t="s">
        <v>51</v>
      </c>
      <c r="Q1" s="7" t="s">
        <v>52</v>
      </c>
      <c r="R1" s="7" t="s">
        <v>53</v>
      </c>
      <c r="S1" s="7" t="s">
        <v>54</v>
      </c>
      <c r="T1" s="7" t="s">
        <v>55</v>
      </c>
      <c r="U1" s="7" t="s">
        <v>56</v>
      </c>
      <c r="V1" s="7" t="s">
        <v>57</v>
      </c>
      <c r="W1" s="7" t="s">
        <v>58</v>
      </c>
      <c r="X1" s="7" t="s">
        <v>59</v>
      </c>
      <c r="Y1" s="7" t="s">
        <v>60</v>
      </c>
      <c r="Z1" s="7" t="s">
        <v>61</v>
      </c>
      <c r="AA1" s="7" t="s">
        <v>62</v>
      </c>
      <c r="AB1" s="7" t="s">
        <v>63</v>
      </c>
      <c r="AC1" s="7" t="s">
        <v>64</v>
      </c>
      <c r="AD1" s="7" t="s">
        <v>65</v>
      </c>
      <c r="AE1" s="7" t="s">
        <v>66</v>
      </c>
      <c r="AF1" s="7" t="s">
        <v>67</v>
      </c>
      <c r="AG1" s="7" t="s">
        <v>68</v>
      </c>
      <c r="AH1" s="7" t="s">
        <v>69</v>
      </c>
      <c r="AI1" s="7" t="s">
        <v>70</v>
      </c>
      <c r="AJ1" s="7" t="s">
        <v>71</v>
      </c>
      <c r="AK1" s="7" t="s">
        <v>72</v>
      </c>
      <c r="AL1" s="7" t="s">
        <v>73</v>
      </c>
      <c r="AM1" s="7" t="s">
        <v>74</v>
      </c>
      <c r="AN1" s="7" t="s">
        <v>75</v>
      </c>
      <c r="AO1" s="7" t="s">
        <v>76</v>
      </c>
      <c r="AP1" s="7" t="s">
        <v>77</v>
      </c>
      <c r="AQ1" s="7" t="s">
        <v>78</v>
      </c>
      <c r="AR1" s="7" t="s">
        <v>79</v>
      </c>
      <c r="AS1" s="7" t="s">
        <v>80</v>
      </c>
      <c r="AT1" s="7" t="s">
        <v>81</v>
      </c>
      <c r="AU1" s="7" t="s">
        <v>82</v>
      </c>
      <c r="AV1" s="7" t="s">
        <v>83</v>
      </c>
      <c r="AW1" s="7" t="s">
        <v>84</v>
      </c>
      <c r="AX1" s="7" t="s">
        <v>85</v>
      </c>
      <c r="AY1" s="7" t="s">
        <v>86</v>
      </c>
      <c r="AZ1" s="7" t="s">
        <v>87</v>
      </c>
      <c r="BA1" s="7" t="s">
        <v>88</v>
      </c>
      <c r="BB1" s="7" t="s">
        <v>89</v>
      </c>
      <c r="BC1" s="7" t="s">
        <v>90</v>
      </c>
      <c r="BD1" s="7" t="s">
        <v>91</v>
      </c>
      <c r="BE1" s="7" t="s">
        <v>92</v>
      </c>
      <c r="BF1" s="7" t="s">
        <v>93</v>
      </c>
      <c r="BG1" s="7" t="s">
        <v>94</v>
      </c>
      <c r="BH1" s="7" t="s">
        <v>95</v>
      </c>
      <c r="BI1" s="7" t="s">
        <v>96</v>
      </c>
      <c r="BJ1" s="7" t="s">
        <v>97</v>
      </c>
      <c r="BK1" s="7" t="s">
        <v>98</v>
      </c>
      <c r="BL1" s="7" t="s">
        <v>99</v>
      </c>
      <c r="BM1" s="7" t="s">
        <v>100</v>
      </c>
      <c r="BN1" s="7" t="s">
        <v>101</v>
      </c>
      <c r="BO1" s="7" t="s">
        <v>102</v>
      </c>
      <c r="BP1" s="7" t="s">
        <v>103</v>
      </c>
      <c r="BQ1" s="7" t="s">
        <v>104</v>
      </c>
      <c r="BR1" s="7" t="s">
        <v>105</v>
      </c>
      <c r="BS1" s="7" t="s">
        <v>106</v>
      </c>
      <c r="BT1" s="7" t="s">
        <v>107</v>
      </c>
      <c r="BU1" s="7" t="s">
        <v>108</v>
      </c>
      <c r="BV1" s="7" t="s">
        <v>109</v>
      </c>
      <c r="BW1" s="7" t="s">
        <v>110</v>
      </c>
      <c r="BX1" s="7" t="s">
        <v>111</v>
      </c>
      <c r="BY1" s="7" t="s">
        <v>112</v>
      </c>
      <c r="BZ1" s="7" t="s">
        <v>113</v>
      </c>
      <c r="CA1" s="7" t="s">
        <v>114</v>
      </c>
      <c r="CB1" s="7" t="s">
        <v>115</v>
      </c>
      <c r="CC1" s="7" t="s">
        <v>116</v>
      </c>
      <c r="CD1" s="7" t="s">
        <v>117</v>
      </c>
      <c r="CE1" s="7" t="s">
        <v>118</v>
      </c>
      <c r="CF1" s="7" t="s">
        <v>119</v>
      </c>
      <c r="CG1" s="7" t="s">
        <v>120</v>
      </c>
      <c r="CH1" s="7" t="s">
        <v>121</v>
      </c>
      <c r="CI1" s="7" t="s">
        <v>122</v>
      </c>
      <c r="CJ1" s="7" t="s">
        <v>123</v>
      </c>
      <c r="CK1" s="7" t="s">
        <v>124</v>
      </c>
      <c r="CL1" s="7" t="s">
        <v>125</v>
      </c>
      <c r="CM1" s="7" t="s">
        <v>126</v>
      </c>
      <c r="CN1" s="7" t="s">
        <v>127</v>
      </c>
      <c r="CO1" s="7" t="s">
        <v>128</v>
      </c>
      <c r="CP1" s="7" t="s">
        <v>129</v>
      </c>
      <c r="CQ1" s="7" t="s">
        <v>130</v>
      </c>
    </row>
    <row r="2" spans="1:95" x14ac:dyDescent="0.3">
      <c r="A2" s="1">
        <v>46059.457476851851</v>
      </c>
      <c r="B2" s="2" t="s">
        <v>0</v>
      </c>
      <c r="C2" s="2">
        <v>0</v>
      </c>
      <c r="D2" s="2" t="s">
        <v>1</v>
      </c>
      <c r="E2" s="3">
        <v>16590</v>
      </c>
      <c r="F2" s="3">
        <v>4.5</v>
      </c>
      <c r="G2" s="2" t="s">
        <v>2</v>
      </c>
      <c r="H2" s="2" t="s">
        <v>3</v>
      </c>
      <c r="I2" s="2">
        <v>5</v>
      </c>
      <c r="J2" s="2">
        <v>5</v>
      </c>
      <c r="K2" s="2" t="s">
        <v>4</v>
      </c>
      <c r="L2" s="2" t="s">
        <v>5</v>
      </c>
      <c r="M2" s="2" t="s">
        <v>6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  <c r="W2" s="2" t="s">
        <v>6</v>
      </c>
      <c r="X2" s="2">
        <v>210</v>
      </c>
      <c r="Y2" s="2">
        <v>90</v>
      </c>
      <c r="Z2" s="2">
        <v>120</v>
      </c>
      <c r="AA2" s="2" t="s">
        <v>15</v>
      </c>
      <c r="AB2" s="2">
        <v>4000</v>
      </c>
      <c r="AC2" s="2">
        <v>4000</v>
      </c>
      <c r="AD2" s="2">
        <v>0.1022984348484198</v>
      </c>
      <c r="AE2" s="2"/>
      <c r="AF2" s="2">
        <v>128</v>
      </c>
      <c r="AG2" s="2" t="s">
        <v>16</v>
      </c>
      <c r="AH2" s="2">
        <v>0.15</v>
      </c>
      <c r="AI2" s="2">
        <v>25.99838145862989</v>
      </c>
      <c r="AJ2" s="2">
        <v>0.77385176782163967</v>
      </c>
      <c r="AK2" s="2">
        <v>25.99838145862989</v>
      </c>
      <c r="AL2" s="2">
        <v>7.694404440716009</v>
      </c>
      <c r="AM2" s="2">
        <v>25.99838145862989</v>
      </c>
      <c r="AN2" s="2">
        <v>7.694404440716009</v>
      </c>
      <c r="AO2" s="2">
        <v>7.1660450605898536</v>
      </c>
      <c r="AP2" s="2">
        <v>0.77385176782163967</v>
      </c>
      <c r="AQ2" s="2">
        <v>170.0519738532555</v>
      </c>
      <c r="AR2" s="2">
        <v>21.806079262615501</v>
      </c>
      <c r="AS2" s="2">
        <v>23.31634891402345</v>
      </c>
      <c r="AT2" s="2">
        <v>-1.131939046537173</v>
      </c>
      <c r="AU2" s="2">
        <v>0.5714285714285714</v>
      </c>
      <c r="AV2" s="2">
        <v>2.1791293765083632E-2</v>
      </c>
      <c r="AW2" s="2">
        <v>0.8417670320262145</v>
      </c>
      <c r="AX2" s="2">
        <v>2.1791293765083632E-2</v>
      </c>
      <c r="AY2" s="2">
        <v>0.11749936181449119</v>
      </c>
      <c r="AZ2" s="2">
        <v>2.1791293765083632E-2</v>
      </c>
      <c r="BA2" s="2">
        <v>0.8417670320262145</v>
      </c>
      <c r="BB2" s="2">
        <v>0.11749936181449119</v>
      </c>
      <c r="BC2" s="2">
        <v>0.1016315508107663</v>
      </c>
      <c r="BD2" s="2">
        <v>0.52864701923618518</v>
      </c>
      <c r="BE2" s="2">
        <v>-2.838660878330618</v>
      </c>
      <c r="BF2" s="2">
        <v>0.60645443360690932</v>
      </c>
      <c r="BG2" s="2">
        <v>0.75530863040688034</v>
      </c>
      <c r="BH2" s="2">
        <v>5.7948675171007609E-2</v>
      </c>
      <c r="BI2" s="2">
        <v>0.79922021732702642</v>
      </c>
      <c r="BJ2" s="2">
        <v>5.7948675171007609E-2</v>
      </c>
      <c r="BK2" s="2">
        <v>0.1905917270190621</v>
      </c>
      <c r="BL2" s="2">
        <v>5.7948675171007609E-2</v>
      </c>
      <c r="BM2" s="2">
        <v>0.79922021732702642</v>
      </c>
      <c r="BN2" s="2">
        <v>0.1905917270190621</v>
      </c>
      <c r="BO2" s="2">
        <v>0.19864177118877599</v>
      </c>
      <c r="BP2" s="2">
        <v>0.35606605593339741</v>
      </c>
      <c r="BQ2" s="2">
        <v>-0.23369283450500841</v>
      </c>
      <c r="BR2" s="2">
        <v>0.5128949603970604</v>
      </c>
      <c r="BS2" s="2">
        <v>0.50327657817880289</v>
      </c>
      <c r="BT2" s="2">
        <v>6.2271521279278132E-2</v>
      </c>
      <c r="BU2" s="2">
        <v>0.74999953866449631</v>
      </c>
      <c r="BV2" s="2">
        <v>6.2271521279278132E-2</v>
      </c>
      <c r="BW2" s="2">
        <v>0.19946335721016409</v>
      </c>
      <c r="BX2" s="2">
        <v>6.2271521279278132E-2</v>
      </c>
      <c r="BY2" s="2">
        <v>0.74999953866449631</v>
      </c>
      <c r="BZ2" s="2">
        <v>0.19946335721016409</v>
      </c>
      <c r="CA2" s="2">
        <v>0.23113415902838319</v>
      </c>
      <c r="CB2" s="2">
        <v>0.37935956709596991</v>
      </c>
      <c r="CC2" s="2">
        <v>-0.52300866973662674</v>
      </c>
      <c r="CD2" s="2">
        <v>0.52272124759347138</v>
      </c>
      <c r="CE2" s="2">
        <v>0.51373249306540314</v>
      </c>
      <c r="CF2" s="2">
        <v>103.85151434430411</v>
      </c>
      <c r="CG2" s="2">
        <v>0.70442028326882322</v>
      </c>
      <c r="CH2" s="2">
        <v>103.85151434430411</v>
      </c>
      <c r="CI2" s="2">
        <v>7.6662280718856577</v>
      </c>
      <c r="CJ2" s="2">
        <v>103.85151434430411</v>
      </c>
      <c r="CK2" s="2">
        <v>0.70442028326882322</v>
      </c>
      <c r="CL2" s="2">
        <v>7.6662280718856577</v>
      </c>
      <c r="CM2" s="2">
        <v>7.1291440519565246</v>
      </c>
      <c r="CN2" s="2">
        <v>678.94382277075522</v>
      </c>
      <c r="CO2" s="2">
        <v>-0.93239380357643165</v>
      </c>
      <c r="CP2" s="2">
        <v>21.740184603193061</v>
      </c>
      <c r="CQ2" s="4">
        <v>23.252602381818789</v>
      </c>
    </row>
    <row r="3" spans="1:95" x14ac:dyDescent="0.3">
      <c r="A3" s="5">
        <v>46059.618125000001</v>
      </c>
      <c r="B3" s="2" t="s">
        <v>24</v>
      </c>
      <c r="C3" s="2">
        <v>1</v>
      </c>
      <c r="D3" s="2" t="s">
        <v>1</v>
      </c>
      <c r="E3" s="2">
        <v>16590</v>
      </c>
      <c r="F3" s="2">
        <v>4.5</v>
      </c>
      <c r="G3" s="2" t="s">
        <v>2</v>
      </c>
      <c r="H3" s="2" t="s">
        <v>3</v>
      </c>
      <c r="I3" s="2">
        <v>5</v>
      </c>
      <c r="J3" s="2">
        <v>5</v>
      </c>
      <c r="K3" s="2" t="s">
        <v>4</v>
      </c>
      <c r="L3" s="2" t="s">
        <v>5</v>
      </c>
      <c r="M3" s="2" t="s">
        <v>6</v>
      </c>
      <c r="N3" s="2" t="s">
        <v>6</v>
      </c>
      <c r="O3" s="2" t="s">
        <v>7</v>
      </c>
      <c r="P3" s="2" t="s">
        <v>8</v>
      </c>
      <c r="Q3" s="2" t="s">
        <v>9</v>
      </c>
      <c r="R3" s="2" t="s">
        <v>10</v>
      </c>
      <c r="S3" s="2" t="s">
        <v>11</v>
      </c>
      <c r="T3" s="2" t="s">
        <v>12</v>
      </c>
      <c r="U3" s="2" t="s">
        <v>13</v>
      </c>
      <c r="V3" s="2" t="s">
        <v>14</v>
      </c>
      <c r="W3" s="2" t="s">
        <v>6</v>
      </c>
      <c r="X3" s="2">
        <v>210</v>
      </c>
      <c r="Y3" s="2">
        <v>90</v>
      </c>
      <c r="Z3" s="2">
        <v>120</v>
      </c>
      <c r="AA3" s="2" t="s">
        <v>15</v>
      </c>
      <c r="AB3" s="2">
        <v>4000</v>
      </c>
      <c r="AC3" s="2">
        <v>4000</v>
      </c>
      <c r="AD3" s="2">
        <v>9.0376580867257805E-2</v>
      </c>
      <c r="AE3" s="2"/>
      <c r="AF3" s="2">
        <v>128</v>
      </c>
      <c r="AG3" s="2" t="s">
        <v>16</v>
      </c>
      <c r="AH3" s="2">
        <v>0.15</v>
      </c>
      <c r="AI3" s="2">
        <v>19.38458504464603</v>
      </c>
      <c r="AJ3" s="2">
        <v>0.78511120389983824</v>
      </c>
      <c r="AK3" s="2">
        <v>19.38458504464603</v>
      </c>
      <c r="AL3" s="2">
        <v>6.80211191424043</v>
      </c>
      <c r="AM3" s="2">
        <v>19.38458504464603</v>
      </c>
      <c r="AN3" s="2">
        <v>6.80211191424043</v>
      </c>
      <c r="AO3" s="2">
        <v>8.0053473811574687</v>
      </c>
      <c r="AP3" s="2">
        <v>0.78511120389983824</v>
      </c>
      <c r="AQ3" s="2">
        <v>87.495074864982996</v>
      </c>
      <c r="AR3" s="2">
        <v>14.69352366891145</v>
      </c>
      <c r="AS3" s="2">
        <v>14.84275502167365</v>
      </c>
      <c r="AT3" s="2">
        <v>0.25618586824317868</v>
      </c>
      <c r="AU3" s="2">
        <v>0.5714285714285714</v>
      </c>
      <c r="AV3" s="2">
        <v>2.3234070941860949E-2</v>
      </c>
      <c r="AW3" s="2">
        <v>0.83129060427174528</v>
      </c>
      <c r="AX3" s="2">
        <v>2.3234070941860949E-2</v>
      </c>
      <c r="AY3" s="2">
        <v>0.12702629921526329</v>
      </c>
      <c r="AZ3" s="2">
        <v>2.3234070941860949E-2</v>
      </c>
      <c r="BA3" s="2">
        <v>0.83129060427174528</v>
      </c>
      <c r="BB3" s="2">
        <v>0.12702629921526329</v>
      </c>
      <c r="BC3" s="2">
        <v>0.13326185672027141</v>
      </c>
      <c r="BD3" s="2">
        <v>0.1231587617794634</v>
      </c>
      <c r="BE3" s="2">
        <v>0.1057081503088019</v>
      </c>
      <c r="BF3" s="2">
        <v>0.27520394228737621</v>
      </c>
      <c r="BG3" s="2">
        <v>0.27619705748519191</v>
      </c>
      <c r="BH3" s="2">
        <v>4.5190850444097007E-2</v>
      </c>
      <c r="BI3" s="2">
        <v>0.84342335516391276</v>
      </c>
      <c r="BJ3" s="2">
        <v>4.5190850444097007E-2</v>
      </c>
      <c r="BK3" s="2">
        <v>0.168212837680042</v>
      </c>
      <c r="BL3" s="2">
        <v>4.5190850444097007E-2</v>
      </c>
      <c r="BM3" s="2">
        <v>0.84342335516391276</v>
      </c>
      <c r="BN3" s="2">
        <v>0.168212837680042</v>
      </c>
      <c r="BO3" s="2">
        <v>0.1856969801156127</v>
      </c>
      <c r="BP3" s="2">
        <v>0.15996108620278879</v>
      </c>
      <c r="BQ3" s="2">
        <v>0.44576900111778212</v>
      </c>
      <c r="BR3" s="2">
        <v>0.32204585308130301</v>
      </c>
      <c r="BS3" s="2">
        <v>0.28694191916870088</v>
      </c>
      <c r="BT3" s="2">
        <v>7.8212566421123147E-2</v>
      </c>
      <c r="BU3" s="2">
        <v>0.68600128460293208</v>
      </c>
      <c r="BV3" s="2">
        <v>7.8212566421123147E-2</v>
      </c>
      <c r="BW3" s="2">
        <v>0.22347929028757771</v>
      </c>
      <c r="BX3" s="2">
        <v>7.8212566421123147E-2</v>
      </c>
      <c r="BY3" s="2">
        <v>0.68600128460293208</v>
      </c>
      <c r="BZ3" s="2">
        <v>0.22347929028757771</v>
      </c>
      <c r="CA3" s="2">
        <v>0.25729525339202952</v>
      </c>
      <c r="CB3" s="2">
        <v>0.1324664465837487</v>
      </c>
      <c r="CC3" s="2">
        <v>0.46818911635563087</v>
      </c>
      <c r="CD3" s="2">
        <v>0.28795612039963497</v>
      </c>
      <c r="CE3" s="2">
        <v>0.29725886987067068</v>
      </c>
      <c r="CF3" s="2">
        <v>77.391702690777322</v>
      </c>
      <c r="CG3" s="2">
        <v>0.77972957156076317</v>
      </c>
      <c r="CH3" s="2">
        <v>77.391702690777322</v>
      </c>
      <c r="CI3" s="2">
        <v>6.7721209388298327</v>
      </c>
      <c r="CJ3" s="2">
        <v>77.391702690777322</v>
      </c>
      <c r="CK3" s="2">
        <v>0.77972957156076317</v>
      </c>
      <c r="CL3" s="2">
        <v>6.7721209388298327</v>
      </c>
      <c r="CM3" s="2">
        <v>7.9790038903724678</v>
      </c>
      <c r="CN3" s="2">
        <v>349.5647131653659</v>
      </c>
      <c r="CO3" s="2">
        <v>5.0772051904999227E-3</v>
      </c>
      <c r="CP3" s="2">
        <v>14.656555397039099</v>
      </c>
      <c r="CQ3" s="4">
        <v>14.804498740459371</v>
      </c>
    </row>
    <row r="4" spans="1:95" x14ac:dyDescent="0.3">
      <c r="A4" s="1">
        <v>46062.62332175926</v>
      </c>
      <c r="B4" s="3" t="s">
        <v>18</v>
      </c>
      <c r="C4" s="3">
        <v>0</v>
      </c>
      <c r="D4" s="3" t="s">
        <v>1</v>
      </c>
      <c r="E4" s="3">
        <v>16590</v>
      </c>
      <c r="F4" s="3">
        <v>4.5</v>
      </c>
      <c r="G4" s="3" t="s">
        <v>2</v>
      </c>
      <c r="H4" s="3" t="s">
        <v>3</v>
      </c>
      <c r="I4" s="3">
        <v>5</v>
      </c>
      <c r="J4" s="3">
        <v>5</v>
      </c>
      <c r="K4" s="3" t="s">
        <v>4</v>
      </c>
      <c r="L4" s="3" t="s">
        <v>5</v>
      </c>
      <c r="M4" s="3" t="s">
        <v>6</v>
      </c>
      <c r="N4" s="3" t="s">
        <v>6</v>
      </c>
      <c r="O4" s="3" t="s">
        <v>7</v>
      </c>
      <c r="P4" s="3" t="s">
        <v>19</v>
      </c>
      <c r="Q4" s="2" t="s">
        <v>9</v>
      </c>
      <c r="R4" s="3" t="s">
        <v>10</v>
      </c>
      <c r="S4" s="3" t="s">
        <v>11</v>
      </c>
      <c r="T4" s="3" t="s">
        <v>20</v>
      </c>
      <c r="U4" s="3" t="s">
        <v>13</v>
      </c>
      <c r="V4" s="3" t="s">
        <v>14</v>
      </c>
      <c r="W4" s="3" t="s">
        <v>6</v>
      </c>
      <c r="X4" s="3">
        <v>210</v>
      </c>
      <c r="Y4" s="3">
        <v>90</v>
      </c>
      <c r="Z4" s="3">
        <v>120</v>
      </c>
      <c r="AA4" s="3" t="s">
        <v>15</v>
      </c>
      <c r="AB4" s="3">
        <v>4000</v>
      </c>
      <c r="AC4" s="3">
        <v>4000</v>
      </c>
      <c r="AD4" s="3">
        <v>0.11011106073970391</v>
      </c>
      <c r="AE4" s="3"/>
      <c r="AF4" s="3">
        <v>128</v>
      </c>
      <c r="AG4" s="3" t="s">
        <v>16</v>
      </c>
      <c r="AH4" s="3">
        <v>0.15</v>
      </c>
      <c r="AI4" s="3">
        <v>24.052984584973789</v>
      </c>
      <c r="AJ4" s="3">
        <v>0.7676882512379406</v>
      </c>
      <c r="AK4" s="3">
        <v>24.052984584973789</v>
      </c>
      <c r="AL4" s="3">
        <v>7.4445182752302452</v>
      </c>
      <c r="AM4" s="3">
        <v>24.052984584973789</v>
      </c>
      <c r="AN4" s="3">
        <v>7.4445182752302452</v>
      </c>
      <c r="AO4" s="3">
        <v>7.2039312218504543</v>
      </c>
      <c r="AP4" s="3">
        <v>0.7676882512379406</v>
      </c>
      <c r="AQ4" s="3">
        <v>124.9530186026641</v>
      </c>
      <c r="AR4" s="3">
        <v>18.27534794762736</v>
      </c>
      <c r="AS4" s="3">
        <v>18.44335638719047</v>
      </c>
      <c r="AT4" s="3">
        <v>2.8955220514903481E-2</v>
      </c>
      <c r="AU4" s="3">
        <v>0.5714285714285714</v>
      </c>
      <c r="AV4" s="3">
        <v>2.92905513261029E-2</v>
      </c>
      <c r="AW4" s="3">
        <v>0.78731272590413948</v>
      </c>
      <c r="AX4" s="3">
        <v>2.92905513261029E-2</v>
      </c>
      <c r="AY4" s="3">
        <v>0.13905238576319459</v>
      </c>
      <c r="AZ4" s="3">
        <v>2.92905513261029E-2</v>
      </c>
      <c r="BA4" s="3">
        <v>0.78731272590413948</v>
      </c>
      <c r="BB4" s="3">
        <v>0.13905238576319459</v>
      </c>
      <c r="BC4" s="3">
        <v>0.15806223010415599</v>
      </c>
      <c r="BD4" s="3">
        <v>6.997646760024373E-2</v>
      </c>
      <c r="BE4" s="3">
        <v>0.49188036855114597</v>
      </c>
      <c r="BF4" s="3">
        <v>0.21229789739897401</v>
      </c>
      <c r="BG4" s="3">
        <v>0.18802537762567539</v>
      </c>
      <c r="BH4" s="3">
        <v>5.7228914777861142E-2</v>
      </c>
      <c r="BI4" s="3">
        <v>0.8017140333614069</v>
      </c>
      <c r="BJ4" s="3">
        <v>5.7228914777861142E-2</v>
      </c>
      <c r="BK4" s="3">
        <v>0.18539852807474719</v>
      </c>
      <c r="BL4" s="3">
        <v>5.7228914777861142E-2</v>
      </c>
      <c r="BM4" s="3">
        <v>0.8017140333614069</v>
      </c>
      <c r="BN4" s="3">
        <v>0.18539852807474719</v>
      </c>
      <c r="BO4" s="3">
        <v>0.2077843989717694</v>
      </c>
      <c r="BP4" s="3">
        <v>0.27946529452281732</v>
      </c>
      <c r="BQ4" s="3">
        <v>3.1712443237998711E-2</v>
      </c>
      <c r="BR4" s="3">
        <v>0.4489291359401541</v>
      </c>
      <c r="BS4" s="3">
        <v>0.51613963763519211</v>
      </c>
      <c r="BT4" s="3">
        <v>6.0990472798176827E-2</v>
      </c>
      <c r="BU4" s="3">
        <v>0.7551425431180433</v>
      </c>
      <c r="BV4" s="3">
        <v>6.0990472798176827E-2</v>
      </c>
      <c r="BW4" s="3">
        <v>0.1966831115605388</v>
      </c>
      <c r="BX4" s="3">
        <v>6.0990472798176827E-2</v>
      </c>
      <c r="BY4" s="3">
        <v>0.7551425431180433</v>
      </c>
      <c r="BZ4" s="3">
        <v>0.1966831115605388</v>
      </c>
      <c r="CA4" s="3">
        <v>0.2513350128500913</v>
      </c>
      <c r="CB4" s="3">
        <v>0.24582581591533581</v>
      </c>
      <c r="CC4" s="3">
        <v>1.308710427376014E-2</v>
      </c>
      <c r="CD4" s="3">
        <v>0.42441572603220151</v>
      </c>
      <c r="CE4" s="3">
        <v>0.49311705368105252</v>
      </c>
      <c r="CF4" s="3">
        <v>96.064428400993023</v>
      </c>
      <c r="CG4" s="3">
        <v>0.72658370256817262</v>
      </c>
      <c r="CH4" s="3">
        <v>96.064428400993023</v>
      </c>
      <c r="CI4" s="3">
        <v>7.4154543745610244</v>
      </c>
      <c r="CJ4" s="3">
        <v>96.064428400993023</v>
      </c>
      <c r="CK4" s="3">
        <v>0.72658370256817262</v>
      </c>
      <c r="CL4" s="3">
        <v>7.4154543745610244</v>
      </c>
      <c r="CM4" s="3">
        <v>7.157760741574255</v>
      </c>
      <c r="CN4" s="3">
        <v>499.21680683261889</v>
      </c>
      <c r="CO4" s="3">
        <v>-0.42085903400330338</v>
      </c>
      <c r="CP4" s="3">
        <v>18.230879121099768</v>
      </c>
      <c r="CQ4" s="6">
        <v>18.390153996299031</v>
      </c>
    </row>
    <row r="5" spans="1:95" x14ac:dyDescent="0.3">
      <c r="A5" s="1">
        <v>46062.402905092589</v>
      </c>
      <c r="B5" s="3" t="s">
        <v>21</v>
      </c>
      <c r="C5" s="3">
        <v>0</v>
      </c>
      <c r="D5" s="3" t="s">
        <v>1</v>
      </c>
      <c r="E5" s="3">
        <v>16590</v>
      </c>
      <c r="F5" s="3">
        <v>4.5</v>
      </c>
      <c r="G5" s="3" t="s">
        <v>2</v>
      </c>
      <c r="H5" s="3" t="s">
        <v>3</v>
      </c>
      <c r="I5" s="3">
        <v>5</v>
      </c>
      <c r="J5" s="3">
        <v>5</v>
      </c>
      <c r="K5" s="3" t="s">
        <v>4</v>
      </c>
      <c r="L5" s="3" t="s">
        <v>5</v>
      </c>
      <c r="M5" s="3" t="s">
        <v>6</v>
      </c>
      <c r="N5" s="3" t="s">
        <v>6</v>
      </c>
      <c r="O5" s="3" t="s">
        <v>7</v>
      </c>
      <c r="P5" s="3" t="s">
        <v>22</v>
      </c>
      <c r="Q5" s="3" t="s">
        <v>9</v>
      </c>
      <c r="R5" s="3" t="s">
        <v>10</v>
      </c>
      <c r="S5" s="3" t="s">
        <v>11</v>
      </c>
      <c r="T5" s="3" t="s">
        <v>23</v>
      </c>
      <c r="U5" s="3" t="s">
        <v>13</v>
      </c>
      <c r="V5" s="3" t="s">
        <v>14</v>
      </c>
      <c r="W5" s="3" t="s">
        <v>6</v>
      </c>
      <c r="X5" s="3">
        <v>210</v>
      </c>
      <c r="Y5" s="3">
        <v>90</v>
      </c>
      <c r="Z5" s="3">
        <v>120</v>
      </c>
      <c r="AA5" s="3" t="s">
        <v>15</v>
      </c>
      <c r="AB5" s="3">
        <v>4000</v>
      </c>
      <c r="AC5" s="3">
        <v>4000</v>
      </c>
      <c r="AD5" s="3">
        <v>0.12151611224103161</v>
      </c>
      <c r="AE5" s="3"/>
      <c r="AF5" s="3">
        <v>128</v>
      </c>
      <c r="AG5" s="3" t="s">
        <v>16</v>
      </c>
      <c r="AH5" s="3">
        <v>0.15</v>
      </c>
      <c r="AI5" s="3">
        <v>47.627720147244069</v>
      </c>
      <c r="AJ5" s="3">
        <v>0.70242768343791406</v>
      </c>
      <c r="AK5" s="3">
        <v>47.627720147244069</v>
      </c>
      <c r="AL5" s="3">
        <v>11.031062985266811</v>
      </c>
      <c r="AM5" s="3">
        <v>47.627720147244069</v>
      </c>
      <c r="AN5" s="3">
        <v>11.031062985266811</v>
      </c>
      <c r="AO5" s="3">
        <v>11.59448178909985</v>
      </c>
      <c r="AP5" s="3">
        <v>0.70242768343791406</v>
      </c>
      <c r="AQ5" s="3">
        <v>103.8639681214016</v>
      </c>
      <c r="AR5" s="3">
        <v>17.09030073451925</v>
      </c>
      <c r="AS5" s="3">
        <v>17.798666067683651</v>
      </c>
      <c r="AT5" s="3">
        <v>-0.69195796713513513</v>
      </c>
      <c r="AU5" s="3">
        <v>0.5714285714285714</v>
      </c>
      <c r="AV5" s="3">
        <v>2.999646231887907E-2</v>
      </c>
      <c r="AW5" s="3">
        <v>0.78218689938294084</v>
      </c>
      <c r="AX5" s="3">
        <v>2.999646231887907E-2</v>
      </c>
      <c r="AY5" s="3">
        <v>0.14130694447013301</v>
      </c>
      <c r="AZ5" s="3">
        <v>2.999646231887907E-2</v>
      </c>
      <c r="BA5" s="3">
        <v>0.78218689938294084</v>
      </c>
      <c r="BB5" s="3">
        <v>0.14130694447013301</v>
      </c>
      <c r="BC5" s="3">
        <v>0.1560879035104677</v>
      </c>
      <c r="BD5" s="3">
        <v>0.49776270064581202</v>
      </c>
      <c r="BE5" s="3">
        <v>-2.6144007932211668</v>
      </c>
      <c r="BF5" s="3">
        <v>0.5845727986958168</v>
      </c>
      <c r="BG5" s="3">
        <v>0.76966376862335983</v>
      </c>
      <c r="BH5" s="3">
        <v>5.6734564102151178E-2</v>
      </c>
      <c r="BI5" s="3">
        <v>0.80342685286833049</v>
      </c>
      <c r="BJ5" s="3">
        <v>5.6734564102151178E-2</v>
      </c>
      <c r="BK5" s="3">
        <v>0.18613917609825481</v>
      </c>
      <c r="BL5" s="3">
        <v>5.6734564102151178E-2</v>
      </c>
      <c r="BM5" s="3">
        <v>0.80342685286833049</v>
      </c>
      <c r="BN5" s="3">
        <v>0.18613917609825481</v>
      </c>
      <c r="BO5" s="3">
        <v>0.21013822743705779</v>
      </c>
      <c r="BP5" s="3">
        <v>0.27978931203462742</v>
      </c>
      <c r="BQ5" s="3">
        <v>3.0589791763888541E-2</v>
      </c>
      <c r="BR5" s="3">
        <v>0.44755496327504579</v>
      </c>
      <c r="BS5" s="3">
        <v>0.50608693714673825</v>
      </c>
      <c r="BT5" s="3">
        <v>5.8308024607810378E-2</v>
      </c>
      <c r="BU5" s="3">
        <v>0.7659117241388923</v>
      </c>
      <c r="BV5" s="3">
        <v>5.8308024607810378E-2</v>
      </c>
      <c r="BW5" s="3">
        <v>0.1927722218002321</v>
      </c>
      <c r="BX5" s="3">
        <v>5.8308024607810378E-2</v>
      </c>
      <c r="BY5" s="3">
        <v>0.7659117241388923</v>
      </c>
      <c r="BZ5" s="3">
        <v>0.1927722218002321</v>
      </c>
      <c r="CA5" s="3">
        <v>0.24755049678989499</v>
      </c>
      <c r="CB5" s="3">
        <v>0.25020287143111591</v>
      </c>
      <c r="CC5" s="3">
        <v>-4.4853891510998611E-3</v>
      </c>
      <c r="CD5" s="3">
        <v>0.4199632719186886</v>
      </c>
      <c r="CE5" s="3">
        <v>0.47273620000326388</v>
      </c>
      <c r="CF5" s="3">
        <v>190.36584153794749</v>
      </c>
      <c r="CG5" s="3">
        <v>0.45818525736149041</v>
      </c>
      <c r="CH5" s="3">
        <v>190.36584153794749</v>
      </c>
      <c r="CI5" s="3">
        <v>11.01132678223963</v>
      </c>
      <c r="CJ5" s="3">
        <v>190.36584153794749</v>
      </c>
      <c r="CK5" s="3">
        <v>0.45818525736149041</v>
      </c>
      <c r="CL5" s="3">
        <v>11.01132678223963</v>
      </c>
      <c r="CM5" s="3">
        <v>11.57460730178766</v>
      </c>
      <c r="CN5" s="3">
        <v>414.42811760149482</v>
      </c>
      <c r="CO5" s="3">
        <v>-0.17953547793213481</v>
      </c>
      <c r="CP5" s="3">
        <v>17.02259369897028</v>
      </c>
      <c r="CQ5" s="6">
        <v>17.715162513350929</v>
      </c>
    </row>
    <row r="6" spans="1:95" x14ac:dyDescent="0.3">
      <c r="A6" s="1">
        <v>46059.858171296299</v>
      </c>
      <c r="B6" s="3" t="s">
        <v>27</v>
      </c>
      <c r="C6" s="3">
        <v>2</v>
      </c>
      <c r="D6" s="3" t="s">
        <v>1</v>
      </c>
      <c r="E6" s="3">
        <v>16590</v>
      </c>
      <c r="F6" s="3">
        <v>4.5</v>
      </c>
      <c r="G6" s="3" t="s">
        <v>2</v>
      </c>
      <c r="H6" s="3" t="s">
        <v>3</v>
      </c>
      <c r="I6" s="3">
        <v>5</v>
      </c>
      <c r="J6" s="3">
        <v>5</v>
      </c>
      <c r="K6" s="3" t="s">
        <v>4</v>
      </c>
      <c r="L6" s="3" t="s">
        <v>5</v>
      </c>
      <c r="M6" s="3" t="s">
        <v>6</v>
      </c>
      <c r="N6" s="3" t="s">
        <v>6</v>
      </c>
      <c r="O6" s="3" t="s">
        <v>7</v>
      </c>
      <c r="P6" s="3" t="s">
        <v>17</v>
      </c>
      <c r="Q6" s="3" t="s">
        <v>9</v>
      </c>
      <c r="R6" s="3" t="s">
        <v>10</v>
      </c>
      <c r="S6" s="3" t="s">
        <v>11</v>
      </c>
      <c r="T6" s="3" t="s">
        <v>12</v>
      </c>
      <c r="U6" s="3" t="s">
        <v>13</v>
      </c>
      <c r="V6" s="3" t="s">
        <v>14</v>
      </c>
      <c r="W6" s="3" t="s">
        <v>6</v>
      </c>
      <c r="X6" s="3">
        <v>210</v>
      </c>
      <c r="Y6" s="3">
        <v>90</v>
      </c>
      <c r="Z6" s="3">
        <v>120</v>
      </c>
      <c r="AA6" s="3" t="s">
        <v>15</v>
      </c>
      <c r="AB6" s="3">
        <v>4000</v>
      </c>
      <c r="AC6" s="3">
        <v>4000</v>
      </c>
      <c r="AD6" s="3">
        <v>9.9458144795925935E-2</v>
      </c>
      <c r="AE6" s="3"/>
      <c r="AF6" s="3">
        <v>128</v>
      </c>
      <c r="AG6" s="3" t="s">
        <v>16</v>
      </c>
      <c r="AH6" s="3">
        <v>0.15</v>
      </c>
      <c r="AI6" s="3">
        <v>22.745918225871961</v>
      </c>
      <c r="AJ6" s="3">
        <v>0.75433683174301391</v>
      </c>
      <c r="AK6" s="3">
        <v>22.745918225871961</v>
      </c>
      <c r="AL6" s="3">
        <v>7.4876899190053621</v>
      </c>
      <c r="AM6" s="3">
        <v>22.745918225871961</v>
      </c>
      <c r="AN6" s="3">
        <v>7.4876899190053621</v>
      </c>
      <c r="AO6" s="3">
        <v>8.2755451448728063</v>
      </c>
      <c r="AP6" s="3">
        <v>0.75433683174301391</v>
      </c>
      <c r="AQ6" s="3">
        <v>123.7825635866524</v>
      </c>
      <c r="AR6" s="3">
        <v>18.078652028919151</v>
      </c>
      <c r="AS6" s="3">
        <v>19.71112560883617</v>
      </c>
      <c r="AT6" s="3">
        <v>-0.34708475593579152</v>
      </c>
      <c r="AU6" s="3">
        <v>0.5714285714285714</v>
      </c>
      <c r="AV6" s="3">
        <v>2.990015792506107E-2</v>
      </c>
      <c r="AW6" s="3">
        <v>0.78288619379964752</v>
      </c>
      <c r="AX6" s="3">
        <v>2.990015792506107E-2</v>
      </c>
      <c r="AY6" s="3">
        <v>0.13726689199768891</v>
      </c>
      <c r="AZ6" s="3">
        <v>2.990015792506107E-2</v>
      </c>
      <c r="BA6" s="3">
        <v>0.78288619379964752</v>
      </c>
      <c r="BB6" s="3">
        <v>0.13726689199768891</v>
      </c>
      <c r="BC6" s="3">
        <v>0.1388921880677656</v>
      </c>
      <c r="BD6" s="3">
        <v>0.2273129520606145</v>
      </c>
      <c r="BE6" s="3">
        <v>-0.65058593818171184</v>
      </c>
      <c r="BF6" s="3">
        <v>0.38949096185967941</v>
      </c>
      <c r="BG6" s="3">
        <v>0.33827235490667762</v>
      </c>
      <c r="BH6" s="3">
        <v>4.9525207828402959E-2</v>
      </c>
      <c r="BI6" s="3">
        <v>0.82840573256805838</v>
      </c>
      <c r="BJ6" s="3">
        <v>4.9525207828402959E-2</v>
      </c>
      <c r="BK6" s="3">
        <v>0.17647055208777029</v>
      </c>
      <c r="BL6" s="3">
        <v>4.9525207828402959E-2</v>
      </c>
      <c r="BM6" s="3">
        <v>0.82840573256805838</v>
      </c>
      <c r="BN6" s="3">
        <v>0.17647055208777029</v>
      </c>
      <c r="BO6" s="3">
        <v>0.18715067115944961</v>
      </c>
      <c r="BP6" s="3">
        <v>0.32482097026336137</v>
      </c>
      <c r="BQ6" s="3">
        <v>-0.12543528604655971</v>
      </c>
      <c r="BR6" s="3">
        <v>0.50146070365232109</v>
      </c>
      <c r="BS6" s="3">
        <v>0.50855420553775543</v>
      </c>
      <c r="BT6" s="3">
        <v>8.3556496122447768E-2</v>
      </c>
      <c r="BU6" s="3">
        <v>0.66454709714725757</v>
      </c>
      <c r="BV6" s="3">
        <v>8.3556496122447768E-2</v>
      </c>
      <c r="BW6" s="3">
        <v>0.23844536330270399</v>
      </c>
      <c r="BX6" s="3">
        <v>8.3556496122447768E-2</v>
      </c>
      <c r="BY6" s="3">
        <v>0.66454709714725757</v>
      </c>
      <c r="BZ6" s="3">
        <v>0.23844536330270399</v>
      </c>
      <c r="CA6" s="3">
        <v>0.30604890756594483</v>
      </c>
      <c r="CB6" s="3">
        <v>0.30027668822203563</v>
      </c>
      <c r="CC6" s="3">
        <v>-0.20551592512300881</v>
      </c>
      <c r="CD6" s="3">
        <v>0.48651504349031549</v>
      </c>
      <c r="CE6" s="3">
        <v>0.45773869298570441</v>
      </c>
      <c r="CF6" s="3">
        <v>90.820691041611752</v>
      </c>
      <c r="CG6" s="3">
        <v>0.74150830345709184</v>
      </c>
      <c r="CH6" s="3">
        <v>90.820691041611752</v>
      </c>
      <c r="CI6" s="3">
        <v>7.4593445223460941</v>
      </c>
      <c r="CJ6" s="3">
        <v>90.820691041611752</v>
      </c>
      <c r="CK6" s="3">
        <v>0.74150830345709184</v>
      </c>
      <c r="CL6" s="3">
        <v>7.4593445223460941</v>
      </c>
      <c r="CM6" s="3">
        <v>8.2471783279102144</v>
      </c>
      <c r="CN6" s="3">
        <v>494.27784373606352</v>
      </c>
      <c r="CO6" s="3">
        <v>-0.40680187439188309</v>
      </c>
      <c r="CP6" s="3">
        <v>18.018261670674871</v>
      </c>
      <c r="CQ6" s="6">
        <v>19.655377320094679</v>
      </c>
    </row>
    <row r="7" spans="1:95" x14ac:dyDescent="0.3">
      <c r="A7" s="1">
        <v>46060.008472222216</v>
      </c>
      <c r="B7" s="3" t="s">
        <v>32</v>
      </c>
      <c r="C7" s="3">
        <v>3</v>
      </c>
      <c r="D7" s="3" t="s">
        <v>1</v>
      </c>
      <c r="E7" s="3">
        <v>16590</v>
      </c>
      <c r="F7" s="3">
        <v>4.5</v>
      </c>
      <c r="G7" s="3" t="s">
        <v>2</v>
      </c>
      <c r="H7" s="3" t="s">
        <v>3</v>
      </c>
      <c r="I7" s="3">
        <v>5</v>
      </c>
      <c r="J7" s="3">
        <v>5</v>
      </c>
      <c r="K7" s="3" t="s">
        <v>4</v>
      </c>
      <c r="L7" s="3" t="s">
        <v>5</v>
      </c>
      <c r="M7" s="3" t="s">
        <v>6</v>
      </c>
      <c r="N7" s="3" t="s">
        <v>6</v>
      </c>
      <c r="O7" s="3" t="s">
        <v>7</v>
      </c>
      <c r="P7" s="3" t="s">
        <v>17</v>
      </c>
      <c r="Q7" s="3" t="s">
        <v>9</v>
      </c>
      <c r="R7" s="3" t="s">
        <v>10</v>
      </c>
      <c r="S7" s="3" t="s">
        <v>11</v>
      </c>
      <c r="T7" s="3" t="s">
        <v>12</v>
      </c>
      <c r="U7" s="3" t="s">
        <v>13</v>
      </c>
      <c r="V7" s="3" t="s">
        <v>14</v>
      </c>
      <c r="W7" s="3" t="s">
        <v>6</v>
      </c>
      <c r="X7" s="3">
        <v>210</v>
      </c>
      <c r="Y7" s="3">
        <v>90</v>
      </c>
      <c r="Z7" s="3">
        <v>120</v>
      </c>
      <c r="AA7" s="3" t="s">
        <v>15</v>
      </c>
      <c r="AB7" s="3">
        <v>4000</v>
      </c>
      <c r="AC7" s="3">
        <v>4000</v>
      </c>
      <c r="AD7" s="3">
        <v>9.770328586674408E-2</v>
      </c>
      <c r="AE7" s="3"/>
      <c r="AF7" s="3">
        <v>128</v>
      </c>
      <c r="AG7" s="3" t="s">
        <v>16</v>
      </c>
      <c r="AH7" s="3">
        <v>0.15</v>
      </c>
      <c r="AI7" s="3">
        <v>24.169062231657591</v>
      </c>
      <c r="AJ7" s="3">
        <v>0.78126569276423408</v>
      </c>
      <c r="AK7" s="3">
        <v>24.169062231657591</v>
      </c>
      <c r="AL7" s="3">
        <v>7.4955072285137607</v>
      </c>
      <c r="AM7" s="3">
        <v>24.169062231657591</v>
      </c>
      <c r="AN7" s="3">
        <v>7.4955072285137607</v>
      </c>
      <c r="AO7" s="3">
        <v>7.5745990678265196</v>
      </c>
      <c r="AP7" s="3">
        <v>0.78126569276423408</v>
      </c>
      <c r="AQ7" s="3">
        <v>126.88972531267579</v>
      </c>
      <c r="AR7" s="3">
        <v>18.32201838223931</v>
      </c>
      <c r="AS7" s="3">
        <v>19.339548238685321</v>
      </c>
      <c r="AT7" s="3">
        <v>-8.5596688202165427E-2</v>
      </c>
      <c r="AU7" s="3">
        <v>0.5714285714285714</v>
      </c>
      <c r="AV7" s="3">
        <v>1.8902673735374732E-2</v>
      </c>
      <c r="AW7" s="3">
        <v>0.86274214830782503</v>
      </c>
      <c r="AX7" s="3">
        <v>1.8902673735374732E-2</v>
      </c>
      <c r="AY7" s="3">
        <v>0.11197758429497751</v>
      </c>
      <c r="AZ7" s="3">
        <v>1.8902673735374732E-2</v>
      </c>
      <c r="BA7" s="3">
        <v>0.86274214830782503</v>
      </c>
      <c r="BB7" s="3">
        <v>0.11197758429497751</v>
      </c>
      <c r="BC7" s="3">
        <v>0.1398257679311237</v>
      </c>
      <c r="BD7" s="3">
        <v>6.3234809778444298E-2</v>
      </c>
      <c r="BE7" s="3">
        <v>0.54083352102143567</v>
      </c>
      <c r="BF7" s="3">
        <v>0.20249737249369679</v>
      </c>
      <c r="BG7" s="3">
        <v>0.21116035834276681</v>
      </c>
      <c r="BH7" s="3">
        <v>5.8903407657228027E-2</v>
      </c>
      <c r="BI7" s="3">
        <v>0.79591227317595692</v>
      </c>
      <c r="BJ7" s="3">
        <v>5.8903407657228027E-2</v>
      </c>
      <c r="BK7" s="3">
        <v>0.1943552372788333</v>
      </c>
      <c r="BL7" s="3">
        <v>5.8903407657228027E-2</v>
      </c>
      <c r="BM7" s="3">
        <v>0.79591227317595692</v>
      </c>
      <c r="BN7" s="3">
        <v>0.1943552372788333</v>
      </c>
      <c r="BO7" s="3">
        <v>0.20100563788778891</v>
      </c>
      <c r="BP7" s="3">
        <v>0.38216139293601459</v>
      </c>
      <c r="BQ7" s="3">
        <v>-0.32410760372452702</v>
      </c>
      <c r="BR7" s="3">
        <v>0.52386836431769723</v>
      </c>
      <c r="BS7" s="3">
        <v>0.50542414796411761</v>
      </c>
      <c r="BT7" s="3">
        <v>6.4473063114922097E-2</v>
      </c>
      <c r="BU7" s="3">
        <v>0.74116104454626197</v>
      </c>
      <c r="BV7" s="3">
        <v>6.4473063114922097E-2</v>
      </c>
      <c r="BW7" s="3">
        <v>0.2078280039411245</v>
      </c>
      <c r="BX7" s="3">
        <v>6.4473063114922097E-2</v>
      </c>
      <c r="BY7" s="3">
        <v>0.74116104454626197</v>
      </c>
      <c r="BZ7" s="3">
        <v>0.2078280039411245</v>
      </c>
      <c r="CA7" s="3">
        <v>0.25941851645642122</v>
      </c>
      <c r="CB7" s="3">
        <v>0.27812149292858251</v>
      </c>
      <c r="CC7" s="3">
        <v>-0.11656982375026791</v>
      </c>
      <c r="CD7" s="3">
        <v>0.44918344120769499</v>
      </c>
      <c r="CE7" s="3">
        <v>0.4300358339762394</v>
      </c>
      <c r="CF7" s="3">
        <v>96.533969782122583</v>
      </c>
      <c r="CG7" s="3">
        <v>0.7252473050268935</v>
      </c>
      <c r="CH7" s="3">
        <v>96.533969782122583</v>
      </c>
      <c r="CI7" s="3">
        <v>7.4684315026792216</v>
      </c>
      <c r="CJ7" s="3">
        <v>96.533969782122583</v>
      </c>
      <c r="CK7" s="3">
        <v>0.7252473050268935</v>
      </c>
      <c r="CL7" s="3">
        <v>7.4684315026792216</v>
      </c>
      <c r="CM7" s="3">
        <v>7.5413233318944064</v>
      </c>
      <c r="CN7" s="3">
        <v>506.8353835550605</v>
      </c>
      <c r="CO7" s="3">
        <v>-0.44254284635531382</v>
      </c>
      <c r="CP7" s="3">
        <v>18.27112242289903</v>
      </c>
      <c r="CQ7" s="6">
        <v>19.292298986076069</v>
      </c>
    </row>
    <row r="8" spans="1:95" x14ac:dyDescent="0.3">
      <c r="A8" s="5">
        <v>46062.806608796287</v>
      </c>
      <c r="B8" s="2" t="s">
        <v>25</v>
      </c>
      <c r="C8" s="2">
        <v>1</v>
      </c>
      <c r="D8" s="2" t="s">
        <v>1</v>
      </c>
      <c r="E8" s="2">
        <v>16590</v>
      </c>
      <c r="F8" s="2">
        <v>4.5</v>
      </c>
      <c r="G8" s="2" t="s">
        <v>2</v>
      </c>
      <c r="H8" s="2" t="s">
        <v>3</v>
      </c>
      <c r="I8" s="2">
        <v>5</v>
      </c>
      <c r="J8" s="2">
        <v>5</v>
      </c>
      <c r="K8" s="2" t="s">
        <v>4</v>
      </c>
      <c r="L8" s="2" t="s">
        <v>5</v>
      </c>
      <c r="M8" s="2" t="s">
        <v>6</v>
      </c>
      <c r="N8" s="2" t="s">
        <v>6</v>
      </c>
      <c r="O8" s="2" t="s">
        <v>7</v>
      </c>
      <c r="P8" s="2" t="s">
        <v>19</v>
      </c>
      <c r="Q8" s="3" t="s">
        <v>9</v>
      </c>
      <c r="R8" s="2" t="s">
        <v>10</v>
      </c>
      <c r="S8" s="2" t="s">
        <v>11</v>
      </c>
      <c r="T8" s="2" t="s">
        <v>20</v>
      </c>
      <c r="U8" s="2" t="s">
        <v>13</v>
      </c>
      <c r="V8" s="2" t="s">
        <v>14</v>
      </c>
      <c r="W8" s="2" t="s">
        <v>6</v>
      </c>
      <c r="X8" s="2">
        <v>210</v>
      </c>
      <c r="Y8" s="2">
        <v>90</v>
      </c>
      <c r="Z8" s="2">
        <v>120</v>
      </c>
      <c r="AA8" s="2" t="s">
        <v>15</v>
      </c>
      <c r="AB8" s="2">
        <v>4000</v>
      </c>
      <c r="AC8" s="2">
        <v>4000</v>
      </c>
      <c r="AD8" s="2">
        <v>0.1230364924799362</v>
      </c>
      <c r="AE8" s="2"/>
      <c r="AF8" s="2">
        <v>128</v>
      </c>
      <c r="AG8" s="2" t="s">
        <v>16</v>
      </c>
      <c r="AH8" s="2">
        <v>0.15</v>
      </c>
      <c r="AI8" s="2">
        <v>20.041709838212441</v>
      </c>
      <c r="AJ8" s="2">
        <v>0.74691930287889996</v>
      </c>
      <c r="AK8" s="2">
        <v>20.041709838212441</v>
      </c>
      <c r="AL8" s="2">
        <v>6.9095660488150372</v>
      </c>
      <c r="AM8" s="2">
        <v>20.041709838212441</v>
      </c>
      <c r="AN8" s="2">
        <v>6.9095660488150372</v>
      </c>
      <c r="AO8" s="2">
        <v>8.1844587342412627</v>
      </c>
      <c r="AP8" s="2">
        <v>0.74691930287889996</v>
      </c>
      <c r="AQ8" s="2">
        <v>102.9757346757815</v>
      </c>
      <c r="AR8" s="2">
        <v>15.935811227624381</v>
      </c>
      <c r="AS8" s="2">
        <v>17.224912963395148</v>
      </c>
      <c r="AT8" s="2">
        <v>0.20776719187071299</v>
      </c>
      <c r="AU8" s="2">
        <v>0.5714285714285714</v>
      </c>
      <c r="AV8" s="2">
        <v>2.6152090965507479E-2</v>
      </c>
      <c r="AW8" s="2">
        <v>0.81010200602117444</v>
      </c>
      <c r="AX8" s="2">
        <v>2.6152090965507479E-2</v>
      </c>
      <c r="AY8" s="2">
        <v>0.13169183490659811</v>
      </c>
      <c r="AZ8" s="2">
        <v>2.6152090965507479E-2</v>
      </c>
      <c r="BA8" s="2">
        <v>0.81010200602117444</v>
      </c>
      <c r="BB8" s="2">
        <v>0.13169183490659811</v>
      </c>
      <c r="BC8" s="2">
        <v>0.14834454306748379</v>
      </c>
      <c r="BD8" s="2">
        <v>2.950162166626347E-2</v>
      </c>
      <c r="BE8" s="2">
        <v>0.78578008232937568</v>
      </c>
      <c r="BF8" s="2">
        <v>0.13500006711836629</v>
      </c>
      <c r="BG8" s="2">
        <v>0.12199522489857451</v>
      </c>
      <c r="BH8" s="2">
        <v>6.7701797053085599E-2</v>
      </c>
      <c r="BI8" s="2">
        <v>0.76542773309700962</v>
      </c>
      <c r="BJ8" s="2">
        <v>6.7701797053085599E-2</v>
      </c>
      <c r="BK8" s="2">
        <v>0.2073460860103796</v>
      </c>
      <c r="BL8" s="2">
        <v>6.7701797053085599E-2</v>
      </c>
      <c r="BM8" s="2">
        <v>0.76542773309700962</v>
      </c>
      <c r="BN8" s="2">
        <v>0.2073460860103796</v>
      </c>
      <c r="BO8" s="2">
        <v>0.27001301543346162</v>
      </c>
      <c r="BP8" s="2">
        <v>0.27156725758394279</v>
      </c>
      <c r="BQ8" s="2">
        <v>5.9077454352587933E-2</v>
      </c>
      <c r="BR8" s="2">
        <v>0.43447673048624558</v>
      </c>
      <c r="BS8" s="2">
        <v>0.43413080811639942</v>
      </c>
      <c r="BT8" s="2">
        <v>8.9722151950446666E-2</v>
      </c>
      <c r="BU8" s="2">
        <v>0.63979393920652505</v>
      </c>
      <c r="BV8" s="2">
        <v>8.9722151950446666E-2</v>
      </c>
      <c r="BW8" s="2">
        <v>0.25718616104821529</v>
      </c>
      <c r="BX8" s="2">
        <v>8.9722151950446666E-2</v>
      </c>
      <c r="BY8" s="2">
        <v>0.63979393920652505</v>
      </c>
      <c r="BZ8" s="2">
        <v>0.25718616104821529</v>
      </c>
      <c r="CA8" s="2">
        <v>0.3267544486234833</v>
      </c>
      <c r="CB8" s="2">
        <v>0.20995299188259181</v>
      </c>
      <c r="CC8" s="2">
        <v>0.15710514612265339</v>
      </c>
      <c r="CD8" s="2">
        <v>0.38274174187578303</v>
      </c>
      <c r="CE8" s="2">
        <v>0.38582853132814249</v>
      </c>
      <c r="CF8" s="2">
        <v>79.983263312880695</v>
      </c>
      <c r="CG8" s="2">
        <v>0.77235353319089028</v>
      </c>
      <c r="CH8" s="2">
        <v>79.983263312880695</v>
      </c>
      <c r="CI8" s="2">
        <v>6.8726334085726108</v>
      </c>
      <c r="CJ8" s="2">
        <v>79.983263312880695</v>
      </c>
      <c r="CK8" s="2">
        <v>0.77235353319089028</v>
      </c>
      <c r="CL8" s="2">
        <v>6.8726334085726108</v>
      </c>
      <c r="CM8" s="2">
        <v>8.1419226314194919</v>
      </c>
      <c r="CN8" s="2">
        <v>411.39191683199311</v>
      </c>
      <c r="CO8" s="2">
        <v>-0.1708939153217621</v>
      </c>
      <c r="CP8" s="2">
        <v>15.8969218645193</v>
      </c>
      <c r="CQ8" s="4">
        <v>17.18812187697608</v>
      </c>
    </row>
    <row r="9" spans="1:95" x14ac:dyDescent="0.3">
      <c r="A9" s="5">
        <v>46062.563819444447</v>
      </c>
      <c r="B9" s="2" t="s">
        <v>26</v>
      </c>
      <c r="C9" s="2">
        <v>1</v>
      </c>
      <c r="D9" s="2" t="s">
        <v>1</v>
      </c>
      <c r="E9" s="2">
        <v>16590</v>
      </c>
      <c r="F9" s="2">
        <v>4.5</v>
      </c>
      <c r="G9" s="2" t="s">
        <v>2</v>
      </c>
      <c r="H9" s="2" t="s">
        <v>3</v>
      </c>
      <c r="I9" s="2">
        <v>5</v>
      </c>
      <c r="J9" s="2">
        <v>5</v>
      </c>
      <c r="K9" s="2" t="s">
        <v>4</v>
      </c>
      <c r="L9" s="2" t="s">
        <v>5</v>
      </c>
      <c r="M9" s="2" t="s">
        <v>6</v>
      </c>
      <c r="N9" s="2" t="s">
        <v>6</v>
      </c>
      <c r="O9" s="2" t="s">
        <v>7</v>
      </c>
      <c r="P9" s="2" t="s">
        <v>22</v>
      </c>
      <c r="Q9" s="2" t="s">
        <v>9</v>
      </c>
      <c r="R9" s="2" t="s">
        <v>10</v>
      </c>
      <c r="S9" s="2" t="s">
        <v>11</v>
      </c>
      <c r="T9" s="2" t="s">
        <v>23</v>
      </c>
      <c r="U9" s="2" t="s">
        <v>13</v>
      </c>
      <c r="V9" s="2" t="s">
        <v>14</v>
      </c>
      <c r="W9" s="2" t="s">
        <v>6</v>
      </c>
      <c r="X9" s="2">
        <v>210</v>
      </c>
      <c r="Y9" s="2">
        <v>90</v>
      </c>
      <c r="Z9" s="2">
        <v>120</v>
      </c>
      <c r="AA9" s="2" t="s">
        <v>15</v>
      </c>
      <c r="AB9" s="2">
        <v>4000</v>
      </c>
      <c r="AC9" s="2">
        <v>4000</v>
      </c>
      <c r="AD9" s="2">
        <v>0.1430048034288742</v>
      </c>
      <c r="AE9" s="2"/>
      <c r="AF9" s="2">
        <v>128</v>
      </c>
      <c r="AG9" s="2" t="s">
        <v>16</v>
      </c>
      <c r="AH9" s="2">
        <v>0.15</v>
      </c>
      <c r="AI9" s="2">
        <v>54.808297953623622</v>
      </c>
      <c r="AJ9" s="2">
        <v>0.66103022800475519</v>
      </c>
      <c r="AK9" s="2">
        <v>54.808297953623622</v>
      </c>
      <c r="AL9" s="2">
        <v>11.921129903162321</v>
      </c>
      <c r="AM9" s="2">
        <v>54.808297953623622</v>
      </c>
      <c r="AN9" s="2">
        <v>11.921129903162321</v>
      </c>
      <c r="AO9" s="2">
        <v>13.497548281214289</v>
      </c>
      <c r="AP9" s="2">
        <v>0.66103022800475519</v>
      </c>
      <c r="AQ9" s="2">
        <v>106.1251251017128</v>
      </c>
      <c r="AR9" s="2">
        <v>17.456536713046521</v>
      </c>
      <c r="AS9" s="2">
        <v>16.584688910328691</v>
      </c>
      <c r="AT9" s="2">
        <v>0.12807598831882161</v>
      </c>
      <c r="AU9" s="2">
        <v>0.5714285714285714</v>
      </c>
      <c r="AV9" s="2">
        <v>2.6418362518750439E-2</v>
      </c>
      <c r="AW9" s="2">
        <v>0.808168530266553</v>
      </c>
      <c r="AX9" s="2">
        <v>2.6418362518750439E-2</v>
      </c>
      <c r="AY9" s="2">
        <v>0.13280917939606779</v>
      </c>
      <c r="AZ9" s="2">
        <v>2.6418362518750439E-2</v>
      </c>
      <c r="BA9" s="2">
        <v>0.808168530266553</v>
      </c>
      <c r="BB9" s="2">
        <v>0.13280917939606779</v>
      </c>
      <c r="BC9" s="2">
        <v>0.1509768796120389</v>
      </c>
      <c r="BD9" s="2">
        <v>4.0074650292417399E-2</v>
      </c>
      <c r="BE9" s="2">
        <v>0.70900622401588742</v>
      </c>
      <c r="BF9" s="2">
        <v>0.15966516117391499</v>
      </c>
      <c r="BG9" s="2">
        <v>0.1372624830938006</v>
      </c>
      <c r="BH9" s="2">
        <v>5.4369358413097389E-2</v>
      </c>
      <c r="BI9" s="2">
        <v>0.81162178541551477</v>
      </c>
      <c r="BJ9" s="2">
        <v>5.4369358413097389E-2</v>
      </c>
      <c r="BK9" s="2">
        <v>0.1868650793005836</v>
      </c>
      <c r="BL9" s="2">
        <v>5.4369358413097389E-2</v>
      </c>
      <c r="BM9" s="2">
        <v>0.81162178541551477</v>
      </c>
      <c r="BN9" s="2">
        <v>0.1868650793005836</v>
      </c>
      <c r="BO9" s="2">
        <v>0.26870307273114902</v>
      </c>
      <c r="BP9" s="2">
        <v>0.29157274541262218</v>
      </c>
      <c r="BQ9" s="2">
        <v>-1.023728816146807E-2</v>
      </c>
      <c r="BR9" s="2">
        <v>0.43070789794584458</v>
      </c>
      <c r="BS9" s="2">
        <v>0.42601231704431031</v>
      </c>
      <c r="BT9" s="2">
        <v>8.7721157098902394E-2</v>
      </c>
      <c r="BU9" s="2">
        <v>0.64782730061699212</v>
      </c>
      <c r="BV9" s="2">
        <v>8.7721157098902394E-2</v>
      </c>
      <c r="BW9" s="2">
        <v>0.25226031044965508</v>
      </c>
      <c r="BX9" s="2">
        <v>8.7721157098902394E-2</v>
      </c>
      <c r="BY9" s="2">
        <v>0.64782730061699212</v>
      </c>
      <c r="BZ9" s="2">
        <v>0.25226031044965508</v>
      </c>
      <c r="CA9" s="2">
        <v>0.2929918961756674</v>
      </c>
      <c r="CB9" s="2">
        <v>0.24407909075407899</v>
      </c>
      <c r="CC9" s="2">
        <v>2.0099653303710219E-2</v>
      </c>
      <c r="CD9" s="2">
        <v>0.3997939294533544</v>
      </c>
      <c r="CE9" s="2">
        <v>0.40542753518641561</v>
      </c>
      <c r="CF9" s="2">
        <v>219.06468293646401</v>
      </c>
      <c r="CG9" s="2">
        <v>0.37650329571995828</v>
      </c>
      <c r="CH9" s="2">
        <v>219.06468293646401</v>
      </c>
      <c r="CI9" s="2">
        <v>11.901337881005819</v>
      </c>
      <c r="CJ9" s="2">
        <v>219.06468293646401</v>
      </c>
      <c r="CK9" s="2">
        <v>0.37650329571995828</v>
      </c>
      <c r="CL9" s="2">
        <v>11.901337881005819</v>
      </c>
      <c r="CM9" s="2">
        <v>13.47394557542242</v>
      </c>
      <c r="CN9" s="2">
        <v>423.92477392039177</v>
      </c>
      <c r="CO9" s="2">
        <v>-0.20656463588284751</v>
      </c>
      <c r="CP9" s="2">
        <v>17.412142199688589</v>
      </c>
      <c r="CQ9" s="4">
        <v>16.540230427431069</v>
      </c>
    </row>
    <row r="10" spans="1:95" x14ac:dyDescent="0.3">
      <c r="A10" s="5">
        <v>46060.164525462962</v>
      </c>
      <c r="B10" s="2" t="s">
        <v>35</v>
      </c>
      <c r="C10" s="2">
        <v>4</v>
      </c>
      <c r="D10" s="2" t="s">
        <v>1</v>
      </c>
      <c r="E10" s="2">
        <v>16590</v>
      </c>
      <c r="F10" s="2">
        <v>4.5</v>
      </c>
      <c r="G10" s="2" t="s">
        <v>2</v>
      </c>
      <c r="H10" s="2" t="s">
        <v>3</v>
      </c>
      <c r="I10" s="2">
        <v>5</v>
      </c>
      <c r="J10" s="2">
        <v>5</v>
      </c>
      <c r="K10" s="2" t="s">
        <v>4</v>
      </c>
      <c r="L10" s="2" t="s">
        <v>5</v>
      </c>
      <c r="M10" s="2" t="s">
        <v>6</v>
      </c>
      <c r="N10" s="2" t="s">
        <v>6</v>
      </c>
      <c r="O10" s="2" t="s">
        <v>7</v>
      </c>
      <c r="P10" s="2" t="s">
        <v>17</v>
      </c>
      <c r="Q10" s="2" t="s">
        <v>9</v>
      </c>
      <c r="R10" s="2" t="s">
        <v>10</v>
      </c>
      <c r="S10" s="2" t="s">
        <v>11</v>
      </c>
      <c r="T10" s="2" t="s">
        <v>12</v>
      </c>
      <c r="U10" s="2" t="s">
        <v>13</v>
      </c>
      <c r="V10" s="2" t="s">
        <v>14</v>
      </c>
      <c r="W10" s="2" t="s">
        <v>6</v>
      </c>
      <c r="X10" s="2">
        <v>210</v>
      </c>
      <c r="Y10" s="2">
        <v>90</v>
      </c>
      <c r="Z10" s="2">
        <v>120</v>
      </c>
      <c r="AA10" s="2" t="s">
        <v>15</v>
      </c>
      <c r="AB10" s="2">
        <v>4000</v>
      </c>
      <c r="AC10" s="2">
        <v>4000</v>
      </c>
      <c r="AD10" s="2">
        <v>0.1124703341496842</v>
      </c>
      <c r="AE10" s="2"/>
      <c r="AF10" s="2">
        <v>128</v>
      </c>
      <c r="AG10" s="2" t="s">
        <v>16</v>
      </c>
      <c r="AH10" s="2">
        <v>0.15</v>
      </c>
      <c r="AI10" s="2">
        <v>21.356283414583089</v>
      </c>
      <c r="AJ10" s="2">
        <v>0.75044355188041667</v>
      </c>
      <c r="AK10" s="2">
        <v>21.356283414583089</v>
      </c>
      <c r="AL10" s="2">
        <v>7.2243362737262684</v>
      </c>
      <c r="AM10" s="2">
        <v>21.356283414583089</v>
      </c>
      <c r="AN10" s="2">
        <v>7.2243362737262684</v>
      </c>
      <c r="AO10" s="2">
        <v>7.9053364304289344</v>
      </c>
      <c r="AP10" s="2">
        <v>0.75044355188041667</v>
      </c>
      <c r="AQ10" s="2">
        <v>104.7774749719442</v>
      </c>
      <c r="AR10" s="2">
        <v>16.697717027402359</v>
      </c>
      <c r="AS10" s="2">
        <v>17.15465820850272</v>
      </c>
      <c r="AT10" s="2">
        <v>-0.16126147744066779</v>
      </c>
      <c r="AU10" s="2">
        <v>0.5714285714285714</v>
      </c>
      <c r="AV10" s="2">
        <v>2.6607088316595501E-2</v>
      </c>
      <c r="AW10" s="2">
        <v>0.80679813695956659</v>
      </c>
      <c r="AX10" s="2">
        <v>2.6607088316595501E-2</v>
      </c>
      <c r="AY10" s="2">
        <v>0.13059841457188989</v>
      </c>
      <c r="AZ10" s="2">
        <v>2.6607088316595501E-2</v>
      </c>
      <c r="BA10" s="2">
        <v>0.80679813695956659</v>
      </c>
      <c r="BB10" s="2">
        <v>0.13059841457188989</v>
      </c>
      <c r="BC10" s="2">
        <v>0.1086830047649934</v>
      </c>
      <c r="BD10" s="2">
        <v>0.15791145905063991</v>
      </c>
      <c r="BE10" s="2">
        <v>-0.14664136567651551</v>
      </c>
      <c r="BF10" s="2">
        <v>0.30106988412206881</v>
      </c>
      <c r="BG10" s="2">
        <v>0.31399109272887038</v>
      </c>
      <c r="BH10" s="2">
        <v>6.5643772639719669E-2</v>
      </c>
      <c r="BI10" s="2">
        <v>0.77255834813233004</v>
      </c>
      <c r="BJ10" s="2">
        <v>6.5643772639719669E-2</v>
      </c>
      <c r="BK10" s="2">
        <v>0.2053718560457769</v>
      </c>
      <c r="BL10" s="2">
        <v>6.5643772639719669E-2</v>
      </c>
      <c r="BM10" s="2">
        <v>0.77255834813233004</v>
      </c>
      <c r="BN10" s="2">
        <v>0.2053718560457769</v>
      </c>
      <c r="BO10" s="2">
        <v>0.21911958566090489</v>
      </c>
      <c r="BP10" s="2">
        <v>0.33921826488266371</v>
      </c>
      <c r="BQ10" s="2">
        <v>-0.17531883689930661</v>
      </c>
      <c r="BR10" s="2">
        <v>0.50626830932459321</v>
      </c>
      <c r="BS10" s="2">
        <v>0.51477433492460944</v>
      </c>
      <c r="BT10" s="2">
        <v>8.3430559901587029E-2</v>
      </c>
      <c r="BU10" s="2">
        <v>0.66505269124014688</v>
      </c>
      <c r="BV10" s="2">
        <v>8.3430559901587029E-2</v>
      </c>
      <c r="BW10" s="2">
        <v>0.23963891803419729</v>
      </c>
      <c r="BX10" s="2">
        <v>8.3430559901587029E-2</v>
      </c>
      <c r="BY10" s="2">
        <v>0.66505269124014688</v>
      </c>
      <c r="BZ10" s="2">
        <v>0.23963891803419729</v>
      </c>
      <c r="CA10" s="2">
        <v>0.27823529718608259</v>
      </c>
      <c r="CB10" s="2">
        <v>0.28207522469183283</v>
      </c>
      <c r="CC10" s="2">
        <v>-0.13244280620682991</v>
      </c>
      <c r="CD10" s="2">
        <v>0.46052660849201432</v>
      </c>
      <c r="CE10" s="2">
        <v>0.45379448746707818</v>
      </c>
      <c r="CF10" s="2">
        <v>85.249452237474287</v>
      </c>
      <c r="CG10" s="2">
        <v>0.75736503118962306</v>
      </c>
      <c r="CH10" s="2">
        <v>85.249452237474287</v>
      </c>
      <c r="CI10" s="2">
        <v>7.1912902341083251</v>
      </c>
      <c r="CJ10" s="2">
        <v>85.249452237474287</v>
      </c>
      <c r="CK10" s="2">
        <v>0.75736503118962306</v>
      </c>
      <c r="CL10" s="2">
        <v>7.1912902341083251</v>
      </c>
      <c r="CM10" s="2">
        <v>7.8682851783192511</v>
      </c>
      <c r="CN10" s="2">
        <v>418.33069493914962</v>
      </c>
      <c r="CO10" s="2">
        <v>-0.1906429009800179</v>
      </c>
      <c r="CP10" s="2">
        <v>16.635069774092059</v>
      </c>
      <c r="CQ10" s="4">
        <v>17.092503746355781</v>
      </c>
    </row>
    <row r="11" spans="1:95" x14ac:dyDescent="0.3">
      <c r="A11" s="1">
        <v>46062.991018518522</v>
      </c>
      <c r="B11" s="3" t="s">
        <v>28</v>
      </c>
      <c r="C11" s="3">
        <v>2</v>
      </c>
      <c r="D11" s="3" t="s">
        <v>1</v>
      </c>
      <c r="E11" s="3">
        <v>16590</v>
      </c>
      <c r="F11" s="3">
        <v>4.5</v>
      </c>
      <c r="G11" s="3" t="s">
        <v>2</v>
      </c>
      <c r="H11" s="3" t="s">
        <v>3</v>
      </c>
      <c r="I11" s="3">
        <v>5</v>
      </c>
      <c r="J11" s="3">
        <v>5</v>
      </c>
      <c r="K11" s="3" t="s">
        <v>4</v>
      </c>
      <c r="L11" s="3" t="s">
        <v>5</v>
      </c>
      <c r="M11" s="3" t="s">
        <v>6</v>
      </c>
      <c r="N11" s="3" t="s">
        <v>6</v>
      </c>
      <c r="O11" s="3" t="s">
        <v>7</v>
      </c>
      <c r="P11" s="3" t="s">
        <v>19</v>
      </c>
      <c r="Q11" s="3" t="s">
        <v>9</v>
      </c>
      <c r="R11" s="3" t="s">
        <v>10</v>
      </c>
      <c r="S11" s="3" t="s">
        <v>11</v>
      </c>
      <c r="T11" s="3" t="s">
        <v>20</v>
      </c>
      <c r="U11" s="3" t="s">
        <v>13</v>
      </c>
      <c r="V11" s="3" t="s">
        <v>14</v>
      </c>
      <c r="W11" s="3" t="s">
        <v>6</v>
      </c>
      <c r="X11" s="3">
        <v>210</v>
      </c>
      <c r="Y11" s="3">
        <v>90</v>
      </c>
      <c r="Z11" s="3">
        <v>120</v>
      </c>
      <c r="AA11" s="3" t="s">
        <v>15</v>
      </c>
      <c r="AB11" s="3">
        <v>4000</v>
      </c>
      <c r="AC11" s="3">
        <v>4000</v>
      </c>
      <c r="AD11" s="3">
        <v>9.4701621710686329E-2</v>
      </c>
      <c r="AE11" s="3"/>
      <c r="AF11" s="3">
        <v>128</v>
      </c>
      <c r="AG11" s="3" t="s">
        <v>16</v>
      </c>
      <c r="AH11" s="3">
        <v>0.15</v>
      </c>
      <c r="AI11" s="3">
        <v>22.770680756401561</v>
      </c>
      <c r="AJ11" s="3">
        <v>0.76595660349696737</v>
      </c>
      <c r="AK11" s="3">
        <v>22.770680756401561</v>
      </c>
      <c r="AL11" s="3">
        <v>7.5282340621389734</v>
      </c>
      <c r="AM11" s="3">
        <v>22.770680756401561</v>
      </c>
      <c r="AN11" s="3">
        <v>7.5282340621389734</v>
      </c>
      <c r="AO11" s="3">
        <v>8.1241137852646883</v>
      </c>
      <c r="AP11" s="3">
        <v>0.76595660349696737</v>
      </c>
      <c r="AQ11" s="3">
        <v>110.34651256367491</v>
      </c>
      <c r="AR11" s="3">
        <v>17.01913451108754</v>
      </c>
      <c r="AS11" s="3">
        <v>18.305512214375209</v>
      </c>
      <c r="AT11" s="3">
        <v>-5.8813404517024492E-2</v>
      </c>
      <c r="AU11" s="3">
        <v>0.5714285714285714</v>
      </c>
      <c r="AV11" s="3">
        <v>2.8691319755932611E-2</v>
      </c>
      <c r="AW11" s="3">
        <v>0.79166392188514922</v>
      </c>
      <c r="AX11" s="3">
        <v>2.8691319755932611E-2</v>
      </c>
      <c r="AY11" s="3">
        <v>0.13378377970119179</v>
      </c>
      <c r="AZ11" s="3">
        <v>2.8691319755932611E-2</v>
      </c>
      <c r="BA11" s="3">
        <v>0.79166392188514922</v>
      </c>
      <c r="BB11" s="3">
        <v>0.13378377970119179</v>
      </c>
      <c r="BC11" s="3">
        <v>0.12809903163757019</v>
      </c>
      <c r="BD11" s="3">
        <v>0.117082826081106</v>
      </c>
      <c r="BE11" s="3">
        <v>0.14982729941180059</v>
      </c>
      <c r="BF11" s="3">
        <v>0.26718641168345197</v>
      </c>
      <c r="BG11" s="3">
        <v>0.20837226561782199</v>
      </c>
      <c r="BH11" s="3">
        <v>5.6111067893681962E-2</v>
      </c>
      <c r="BI11" s="3">
        <v>0.80558713406310245</v>
      </c>
      <c r="BJ11" s="3">
        <v>5.6111067893681962E-2</v>
      </c>
      <c r="BK11" s="3">
        <v>0.18394253266714999</v>
      </c>
      <c r="BL11" s="3">
        <v>5.6111067893681962E-2</v>
      </c>
      <c r="BM11" s="3">
        <v>0.80558713406310245</v>
      </c>
      <c r="BN11" s="3">
        <v>0.18394253266714999</v>
      </c>
      <c r="BO11" s="3">
        <v>0.19132856249781879</v>
      </c>
      <c r="BP11" s="3">
        <v>0.29817049045076333</v>
      </c>
      <c r="BQ11" s="3">
        <v>-3.309706555897507E-2</v>
      </c>
      <c r="BR11" s="3">
        <v>0.46454283185943129</v>
      </c>
      <c r="BS11" s="3">
        <v>0.46041873765183172</v>
      </c>
      <c r="BT11" s="3">
        <v>6.8404694171192645E-2</v>
      </c>
      <c r="BU11" s="3">
        <v>0.72537678943772799</v>
      </c>
      <c r="BV11" s="3">
        <v>6.8404694171192645E-2</v>
      </c>
      <c r="BW11" s="3">
        <v>0.21325682625288489</v>
      </c>
      <c r="BX11" s="3">
        <v>6.8404694171192645E-2</v>
      </c>
      <c r="BY11" s="3">
        <v>0.72537678943772799</v>
      </c>
      <c r="BZ11" s="3">
        <v>0.21325682625288489</v>
      </c>
      <c r="CA11" s="3">
        <v>0.27512486479846737</v>
      </c>
      <c r="CB11" s="3">
        <v>0.27341666348599691</v>
      </c>
      <c r="CC11" s="3">
        <v>-9.768142168480165E-2</v>
      </c>
      <c r="CD11" s="3">
        <v>0.44444789483321878</v>
      </c>
      <c r="CE11" s="3">
        <v>0.42909973822088171</v>
      </c>
      <c r="CF11" s="3">
        <v>90.929515943785631</v>
      </c>
      <c r="CG11" s="3">
        <v>0.74119856860189071</v>
      </c>
      <c r="CH11" s="3">
        <v>90.929515943785631</v>
      </c>
      <c r="CI11" s="3">
        <v>7.5037117906729076</v>
      </c>
      <c r="CJ11" s="3">
        <v>90.929515943785631</v>
      </c>
      <c r="CK11" s="3">
        <v>0.74119856860189071</v>
      </c>
      <c r="CL11" s="3">
        <v>7.5037117906729076</v>
      </c>
      <c r="CM11" s="3">
        <v>8.0956725382780714</v>
      </c>
      <c r="CN11" s="3">
        <v>440.69738027468242</v>
      </c>
      <c r="CO11" s="3">
        <v>-0.25430243023612409</v>
      </c>
      <c r="CP11" s="3">
        <v>16.96724850344081</v>
      </c>
      <c r="CQ11" s="6">
        <v>18.262461782071892</v>
      </c>
    </row>
    <row r="12" spans="1:95" x14ac:dyDescent="0.3">
      <c r="A12" s="5">
        <v>46062.750474537039</v>
      </c>
      <c r="B12" s="2" t="s">
        <v>29</v>
      </c>
      <c r="C12" s="2">
        <v>2</v>
      </c>
      <c r="D12" s="2" t="s">
        <v>1</v>
      </c>
      <c r="E12" s="2">
        <v>16590</v>
      </c>
      <c r="F12" s="2">
        <v>4.5</v>
      </c>
      <c r="G12" s="2" t="s">
        <v>2</v>
      </c>
      <c r="H12" s="2" t="s">
        <v>3</v>
      </c>
      <c r="I12" s="2">
        <v>5</v>
      </c>
      <c r="J12" s="2">
        <v>5</v>
      </c>
      <c r="K12" s="2" t="s">
        <v>4</v>
      </c>
      <c r="L12" s="2" t="s">
        <v>5</v>
      </c>
      <c r="M12" s="2" t="s">
        <v>6</v>
      </c>
      <c r="N12" s="2" t="s">
        <v>6</v>
      </c>
      <c r="O12" s="2" t="s">
        <v>7</v>
      </c>
      <c r="P12" s="2" t="s">
        <v>22</v>
      </c>
      <c r="Q12" s="2" t="s">
        <v>9</v>
      </c>
      <c r="R12" s="2" t="s">
        <v>10</v>
      </c>
      <c r="S12" s="2" t="s">
        <v>11</v>
      </c>
      <c r="T12" s="2" t="s">
        <v>23</v>
      </c>
      <c r="U12" s="2" t="s">
        <v>13</v>
      </c>
      <c r="V12" s="2" t="s">
        <v>14</v>
      </c>
      <c r="W12" s="2" t="s">
        <v>6</v>
      </c>
      <c r="X12" s="2">
        <v>210</v>
      </c>
      <c r="Y12" s="2">
        <v>90</v>
      </c>
      <c r="Z12" s="2">
        <v>120</v>
      </c>
      <c r="AA12" s="2" t="s">
        <v>15</v>
      </c>
      <c r="AB12" s="2">
        <v>4000</v>
      </c>
      <c r="AC12" s="2">
        <v>4000</v>
      </c>
      <c r="AD12" s="2">
        <v>0.1223210466385999</v>
      </c>
      <c r="AE12" s="2"/>
      <c r="AF12" s="2">
        <v>128</v>
      </c>
      <c r="AG12" s="2" t="s">
        <v>16</v>
      </c>
      <c r="AH12" s="2">
        <v>0.15</v>
      </c>
      <c r="AI12" s="2">
        <v>50.180759730157803</v>
      </c>
      <c r="AJ12" s="2">
        <v>0.67610735849527281</v>
      </c>
      <c r="AK12" s="2">
        <v>50.180759730157803</v>
      </c>
      <c r="AL12" s="2">
        <v>11.44287690342254</v>
      </c>
      <c r="AM12" s="2">
        <v>50.180759730157803</v>
      </c>
      <c r="AN12" s="2">
        <v>11.44287690342254</v>
      </c>
      <c r="AO12" s="2">
        <v>12.615911966833711</v>
      </c>
      <c r="AP12" s="2">
        <v>0.67610735849527281</v>
      </c>
      <c r="AQ12" s="2">
        <v>95.261407535482903</v>
      </c>
      <c r="AR12" s="2">
        <v>16.231996411592991</v>
      </c>
      <c r="AS12" s="2">
        <v>16.321169175506991</v>
      </c>
      <c r="AT12" s="2">
        <v>-2.1445863217036291E-2</v>
      </c>
      <c r="AU12" s="2">
        <v>0.5714285714285714</v>
      </c>
      <c r="AV12" s="2">
        <v>2.744150235311137E-2</v>
      </c>
      <c r="AW12" s="2">
        <v>0.80073921219171051</v>
      </c>
      <c r="AX12" s="2">
        <v>2.744150235311137E-2</v>
      </c>
      <c r="AY12" s="2">
        <v>0.130563310437004</v>
      </c>
      <c r="AZ12" s="2">
        <v>2.744150235311137E-2</v>
      </c>
      <c r="BA12" s="2">
        <v>0.80073921219171051</v>
      </c>
      <c r="BB12" s="2">
        <v>0.130563310437004</v>
      </c>
      <c r="BC12" s="2">
        <v>0.13379915429685951</v>
      </c>
      <c r="BD12" s="2">
        <v>0.1106188414103617</v>
      </c>
      <c r="BE12" s="2">
        <v>0.19676418578555899</v>
      </c>
      <c r="BF12" s="2">
        <v>0.26063698866484403</v>
      </c>
      <c r="BG12" s="2">
        <v>0.2034636472001648</v>
      </c>
      <c r="BH12" s="2">
        <v>5.3935191148310239E-2</v>
      </c>
      <c r="BI12" s="2">
        <v>0.81312608225768479</v>
      </c>
      <c r="BJ12" s="2">
        <v>5.3935191148310239E-2</v>
      </c>
      <c r="BK12" s="2">
        <v>0.1782685237176902</v>
      </c>
      <c r="BL12" s="2">
        <v>5.3935191148310239E-2</v>
      </c>
      <c r="BM12" s="2">
        <v>0.81312608225768479</v>
      </c>
      <c r="BN12" s="2">
        <v>0.1782685237176902</v>
      </c>
      <c r="BO12" s="2">
        <v>0.1959699274152838</v>
      </c>
      <c r="BP12" s="2">
        <v>0.30640249900355032</v>
      </c>
      <c r="BQ12" s="2">
        <v>-6.1619216985442149E-2</v>
      </c>
      <c r="BR12" s="2">
        <v>0.47192049659712698</v>
      </c>
      <c r="BS12" s="2">
        <v>0.47191574058267338</v>
      </c>
      <c r="BT12" s="2">
        <v>8.4343974273741143E-2</v>
      </c>
      <c r="BU12" s="2">
        <v>0.66138562145065394</v>
      </c>
      <c r="BV12" s="2">
        <v>8.4343974273741143E-2</v>
      </c>
      <c r="BW12" s="2">
        <v>0.2406053542061786</v>
      </c>
      <c r="BX12" s="2">
        <v>8.4343974273741143E-2</v>
      </c>
      <c r="BY12" s="2">
        <v>0.66138562145065394</v>
      </c>
      <c r="BZ12" s="2">
        <v>0.2406053542061786</v>
      </c>
      <c r="CA12" s="2">
        <v>0.30654251315156172</v>
      </c>
      <c r="CB12" s="2">
        <v>0.28355891726921623</v>
      </c>
      <c r="CC12" s="2">
        <v>-0.138399362610236</v>
      </c>
      <c r="CD12" s="2">
        <v>0.45401481338338923</v>
      </c>
      <c r="CE12" s="2">
        <v>0.43904430966445213</v>
      </c>
      <c r="CF12" s="2">
        <v>200.55731825285611</v>
      </c>
      <c r="CG12" s="2">
        <v>0.42917851808104113</v>
      </c>
      <c r="CH12" s="2">
        <v>200.55731825285611</v>
      </c>
      <c r="CI12" s="2">
        <v>11.42364588845299</v>
      </c>
      <c r="CJ12" s="2">
        <v>200.55731825285611</v>
      </c>
      <c r="CK12" s="2">
        <v>0.42917851808104113</v>
      </c>
      <c r="CL12" s="2">
        <v>11.42364588845299</v>
      </c>
      <c r="CM12" s="2">
        <v>12.5972885915244</v>
      </c>
      <c r="CN12" s="2">
        <v>380.3450498842497</v>
      </c>
      <c r="CO12" s="2">
        <v>-8.2529059058037868E-2</v>
      </c>
      <c r="CP12" s="2">
        <v>16.17257182556078</v>
      </c>
      <c r="CQ12" s="4">
        <v>16.267766208828402</v>
      </c>
    </row>
    <row r="13" spans="1:95" x14ac:dyDescent="0.3">
      <c r="A13" s="5">
        <v>46063.175775462973</v>
      </c>
      <c r="B13" s="2" t="s">
        <v>30</v>
      </c>
      <c r="C13" s="2">
        <v>3</v>
      </c>
      <c r="D13" s="2" t="s">
        <v>1</v>
      </c>
      <c r="E13" s="2">
        <v>16590</v>
      </c>
      <c r="F13" s="2">
        <v>4.5</v>
      </c>
      <c r="G13" s="2" t="s">
        <v>2</v>
      </c>
      <c r="H13" s="2" t="s">
        <v>3</v>
      </c>
      <c r="I13" s="2">
        <v>5</v>
      </c>
      <c r="J13" s="2">
        <v>5</v>
      </c>
      <c r="K13" s="2" t="s">
        <v>4</v>
      </c>
      <c r="L13" s="2" t="s">
        <v>5</v>
      </c>
      <c r="M13" s="2" t="s">
        <v>6</v>
      </c>
      <c r="N13" s="2" t="s">
        <v>6</v>
      </c>
      <c r="O13" s="2" t="s">
        <v>7</v>
      </c>
      <c r="P13" s="2" t="s">
        <v>19</v>
      </c>
      <c r="Q13" s="3" t="s">
        <v>9</v>
      </c>
      <c r="R13" s="2" t="s">
        <v>10</v>
      </c>
      <c r="S13" s="2" t="s">
        <v>11</v>
      </c>
      <c r="T13" s="2" t="s">
        <v>20</v>
      </c>
      <c r="U13" s="2" t="s">
        <v>13</v>
      </c>
      <c r="V13" s="2" t="s">
        <v>14</v>
      </c>
      <c r="W13" s="2" t="s">
        <v>6</v>
      </c>
      <c r="X13" s="2">
        <v>210</v>
      </c>
      <c r="Y13" s="2">
        <v>90</v>
      </c>
      <c r="Z13" s="2">
        <v>120</v>
      </c>
      <c r="AA13" s="2" t="s">
        <v>15</v>
      </c>
      <c r="AB13" s="2">
        <v>4000</v>
      </c>
      <c r="AC13" s="2">
        <v>4000</v>
      </c>
      <c r="AD13" s="2">
        <v>9.6683866248923278E-2</v>
      </c>
      <c r="AE13" s="2"/>
      <c r="AF13" s="2">
        <v>128</v>
      </c>
      <c r="AG13" s="2" t="s">
        <v>16</v>
      </c>
      <c r="AH13" s="2">
        <v>0.15</v>
      </c>
      <c r="AI13" s="2">
        <v>24.56965122133159</v>
      </c>
      <c r="AJ13" s="2">
        <v>0.76333720287210804</v>
      </c>
      <c r="AK13" s="2">
        <v>24.56965122133159</v>
      </c>
      <c r="AL13" s="2">
        <v>7.5128364323358356</v>
      </c>
      <c r="AM13" s="2">
        <v>24.56965122133159</v>
      </c>
      <c r="AN13" s="2">
        <v>7.5128364323358356</v>
      </c>
      <c r="AO13" s="2">
        <v>7.5708418780050097</v>
      </c>
      <c r="AP13" s="2">
        <v>0.76333720287210804</v>
      </c>
      <c r="AQ13" s="2">
        <v>114.18988576654201</v>
      </c>
      <c r="AR13" s="2">
        <v>17.135937741823781</v>
      </c>
      <c r="AS13" s="2">
        <v>18.10452506356102</v>
      </c>
      <c r="AT13" s="2">
        <v>-3.5269288357953427E-2</v>
      </c>
      <c r="AU13" s="2">
        <v>0.5714285714285714</v>
      </c>
      <c r="AV13" s="2">
        <v>3.0084381879389159E-2</v>
      </c>
      <c r="AW13" s="2">
        <v>0.78154848969729129</v>
      </c>
      <c r="AX13" s="2">
        <v>3.0084381879389159E-2</v>
      </c>
      <c r="AY13" s="2">
        <v>0.1458375667651518</v>
      </c>
      <c r="AZ13" s="2">
        <v>3.0084381879389159E-2</v>
      </c>
      <c r="BA13" s="2">
        <v>0.78154848969729129</v>
      </c>
      <c r="BB13" s="2">
        <v>0.1458375667651518</v>
      </c>
      <c r="BC13" s="2">
        <v>0.15436543279766471</v>
      </c>
      <c r="BD13" s="2">
        <v>8.5014888449552378E-2</v>
      </c>
      <c r="BE13" s="2">
        <v>0.38268198913056423</v>
      </c>
      <c r="BF13" s="2">
        <v>0.22514527540888041</v>
      </c>
      <c r="BG13" s="2">
        <v>0.2083433553607503</v>
      </c>
      <c r="BH13" s="2">
        <v>4.8958943468307897E-2</v>
      </c>
      <c r="BI13" s="2">
        <v>0.83036771763190709</v>
      </c>
      <c r="BJ13" s="2">
        <v>4.8958943468307897E-2</v>
      </c>
      <c r="BK13" s="2">
        <v>0.16979576299065621</v>
      </c>
      <c r="BL13" s="2">
        <v>4.8958943468307897E-2</v>
      </c>
      <c r="BM13" s="2">
        <v>0.83036771763190709</v>
      </c>
      <c r="BN13" s="2">
        <v>0.16979576299065621</v>
      </c>
      <c r="BO13" s="2">
        <v>0.1972552495638614</v>
      </c>
      <c r="BP13" s="2">
        <v>0.34669868233405687</v>
      </c>
      <c r="BQ13" s="2">
        <v>-0.20123688568578341</v>
      </c>
      <c r="BR13" s="2">
        <v>0.50042722457952249</v>
      </c>
      <c r="BS13" s="2">
        <v>0.48236712565836898</v>
      </c>
      <c r="BT13" s="2">
        <v>6.9562670856040357E-2</v>
      </c>
      <c r="BU13" s="2">
        <v>0.72072787931829563</v>
      </c>
      <c r="BV13" s="2">
        <v>6.9562670856040357E-2</v>
      </c>
      <c r="BW13" s="2">
        <v>0.20346803216787479</v>
      </c>
      <c r="BX13" s="2">
        <v>6.9562670856040357E-2</v>
      </c>
      <c r="BY13" s="2">
        <v>0.72072787931829563</v>
      </c>
      <c r="BZ13" s="2">
        <v>0.20346803216787479</v>
      </c>
      <c r="CA13" s="2">
        <v>0.24806629250479811</v>
      </c>
      <c r="CB13" s="2">
        <v>0.25517803432008079</v>
      </c>
      <c r="CC13" s="2">
        <v>-2.4459094496795512E-2</v>
      </c>
      <c r="CD13" s="2">
        <v>0.42849007335742412</v>
      </c>
      <c r="CE13" s="2">
        <v>0.41115629318985653</v>
      </c>
      <c r="CF13" s="2">
        <v>98.129998889122589</v>
      </c>
      <c r="CG13" s="2">
        <v>0.72070472484093928</v>
      </c>
      <c r="CH13" s="2">
        <v>98.129998889122589</v>
      </c>
      <c r="CI13" s="2">
        <v>7.4815034440777683</v>
      </c>
      <c r="CJ13" s="2">
        <v>98.129998889122589</v>
      </c>
      <c r="CK13" s="2">
        <v>0.72070472484093928</v>
      </c>
      <c r="CL13" s="2">
        <v>7.4815034440777683</v>
      </c>
      <c r="CM13" s="2">
        <v>7.5304569636687546</v>
      </c>
      <c r="CN13" s="2">
        <v>456.07265146106522</v>
      </c>
      <c r="CO13" s="2">
        <v>-0.29806316237979869</v>
      </c>
      <c r="CP13" s="2">
        <v>17.079690831202601</v>
      </c>
      <c r="CQ13" s="4">
        <v>18.058282893433649</v>
      </c>
    </row>
    <row r="14" spans="1:95" x14ac:dyDescent="0.3">
      <c r="A14" s="5">
        <v>46062.929409722223</v>
      </c>
      <c r="B14" s="2" t="s">
        <v>31</v>
      </c>
      <c r="C14" s="2">
        <v>3</v>
      </c>
      <c r="D14" s="2" t="s">
        <v>1</v>
      </c>
      <c r="E14" s="2">
        <v>16590</v>
      </c>
      <c r="F14" s="2">
        <v>4.5</v>
      </c>
      <c r="G14" s="2" t="s">
        <v>2</v>
      </c>
      <c r="H14" s="2" t="s">
        <v>3</v>
      </c>
      <c r="I14" s="2">
        <v>5</v>
      </c>
      <c r="J14" s="2">
        <v>5</v>
      </c>
      <c r="K14" s="2" t="s">
        <v>4</v>
      </c>
      <c r="L14" s="2" t="s">
        <v>5</v>
      </c>
      <c r="M14" s="2" t="s">
        <v>6</v>
      </c>
      <c r="N14" s="2" t="s">
        <v>6</v>
      </c>
      <c r="O14" s="2" t="s">
        <v>7</v>
      </c>
      <c r="P14" s="2" t="s">
        <v>22</v>
      </c>
      <c r="Q14" s="2" t="s">
        <v>9</v>
      </c>
      <c r="R14" s="2" t="s">
        <v>10</v>
      </c>
      <c r="S14" s="2" t="s">
        <v>11</v>
      </c>
      <c r="T14" s="2" t="s">
        <v>23</v>
      </c>
      <c r="U14" s="2" t="s">
        <v>13</v>
      </c>
      <c r="V14" s="2" t="s">
        <v>14</v>
      </c>
      <c r="W14" s="2" t="s">
        <v>6</v>
      </c>
      <c r="X14" s="2">
        <v>210</v>
      </c>
      <c r="Y14" s="2">
        <v>90</v>
      </c>
      <c r="Z14" s="2">
        <v>120</v>
      </c>
      <c r="AA14" s="2" t="s">
        <v>15</v>
      </c>
      <c r="AB14" s="2">
        <v>4000</v>
      </c>
      <c r="AC14" s="2">
        <v>4000</v>
      </c>
      <c r="AD14" s="2">
        <v>0.1016385117206083</v>
      </c>
      <c r="AE14" s="2"/>
      <c r="AF14" s="2">
        <v>128</v>
      </c>
      <c r="AG14" s="2" t="s">
        <v>16</v>
      </c>
      <c r="AH14" s="2">
        <v>0.15</v>
      </c>
      <c r="AI14" s="2">
        <v>32.530730461482818</v>
      </c>
      <c r="AJ14" s="2">
        <v>0.7320103905331159</v>
      </c>
      <c r="AK14" s="2">
        <v>32.530730461482818</v>
      </c>
      <c r="AL14" s="2">
        <v>8.857595948056165</v>
      </c>
      <c r="AM14" s="2">
        <v>32.530730461482818</v>
      </c>
      <c r="AN14" s="2">
        <v>8.857595948056165</v>
      </c>
      <c r="AO14" s="2">
        <v>10.086421812826019</v>
      </c>
      <c r="AP14" s="2">
        <v>0.7320103905331159</v>
      </c>
      <c r="AQ14" s="2">
        <v>124.1163527834637</v>
      </c>
      <c r="AR14" s="2">
        <v>18.182599745653931</v>
      </c>
      <c r="AS14" s="2">
        <v>19.79108536622595</v>
      </c>
      <c r="AT14" s="2">
        <v>-8.6014833449464756E-2</v>
      </c>
      <c r="AU14" s="2">
        <v>0.5714285714285714</v>
      </c>
      <c r="AV14" s="2">
        <v>2.726385669013465E-2</v>
      </c>
      <c r="AW14" s="2">
        <v>0.80202914939339776</v>
      </c>
      <c r="AX14" s="2">
        <v>2.726385669013465E-2</v>
      </c>
      <c r="AY14" s="2">
        <v>0.1357205856680942</v>
      </c>
      <c r="AZ14" s="2">
        <v>2.726385669013465E-2</v>
      </c>
      <c r="BA14" s="2">
        <v>0.80202914939339776</v>
      </c>
      <c r="BB14" s="2">
        <v>0.1357205856680942</v>
      </c>
      <c r="BC14" s="2">
        <v>0.1448253401320721</v>
      </c>
      <c r="BD14" s="2">
        <v>9.6767907321040125E-2</v>
      </c>
      <c r="BE14" s="2">
        <v>0.29733987595749239</v>
      </c>
      <c r="BF14" s="2">
        <v>0.2411998726310606</v>
      </c>
      <c r="BG14" s="2">
        <v>0.22906311347952621</v>
      </c>
      <c r="BH14" s="2">
        <v>5.566925355554829E-2</v>
      </c>
      <c r="BI14" s="2">
        <v>0.80711792638114077</v>
      </c>
      <c r="BJ14" s="2">
        <v>5.566925355554829E-2</v>
      </c>
      <c r="BK14" s="2">
        <v>0.18995740377377379</v>
      </c>
      <c r="BL14" s="2">
        <v>5.566925355554829E-2</v>
      </c>
      <c r="BM14" s="2">
        <v>0.80711792638114077</v>
      </c>
      <c r="BN14" s="2">
        <v>0.18995740377377379</v>
      </c>
      <c r="BO14" s="2">
        <v>0.20324276316249509</v>
      </c>
      <c r="BP14" s="2">
        <v>0.34441448438470118</v>
      </c>
      <c r="BQ14" s="2">
        <v>-0.19332262765485669</v>
      </c>
      <c r="BR14" s="2">
        <v>0.4997213254256746</v>
      </c>
      <c r="BS14" s="2">
        <v>0.47875951496381969</v>
      </c>
      <c r="BT14" s="2">
        <v>7.7517790939231015E-2</v>
      </c>
      <c r="BU14" s="2">
        <v>0.68879058840392071</v>
      </c>
      <c r="BV14" s="2">
        <v>7.7517790939231015E-2</v>
      </c>
      <c r="BW14" s="2">
        <v>0.22682633815776701</v>
      </c>
      <c r="BX14" s="2">
        <v>7.7517790939231015E-2</v>
      </c>
      <c r="BY14" s="2">
        <v>0.68879058840392071</v>
      </c>
      <c r="BZ14" s="2">
        <v>0.22682633815776701</v>
      </c>
      <c r="CA14" s="2">
        <v>0.25799750339317568</v>
      </c>
      <c r="CB14" s="2">
        <v>0.25831160471827919</v>
      </c>
      <c r="CC14" s="2">
        <v>-3.7039388491276082E-2</v>
      </c>
      <c r="CD14" s="2">
        <v>0.42996935573980299</v>
      </c>
      <c r="CE14" s="2">
        <v>0.38028493331733298</v>
      </c>
      <c r="CF14" s="2">
        <v>129.9624709447464</v>
      </c>
      <c r="CG14" s="2">
        <v>0.6301038979540039</v>
      </c>
      <c r="CH14" s="2">
        <v>129.9624709447464</v>
      </c>
      <c r="CI14" s="2">
        <v>8.8266210462596941</v>
      </c>
      <c r="CJ14" s="2">
        <v>129.9624709447464</v>
      </c>
      <c r="CK14" s="2">
        <v>0.6301038979540039</v>
      </c>
      <c r="CL14" s="2">
        <v>8.8266210462596941</v>
      </c>
      <c r="CM14" s="2">
        <v>10.060579092232921</v>
      </c>
      <c r="CN14" s="2">
        <v>495.76591713742999</v>
      </c>
      <c r="CO14" s="2">
        <v>-0.41103719360921159</v>
      </c>
      <c r="CP14" s="2">
        <v>18.12995233203424</v>
      </c>
      <c r="CQ14" s="4">
        <v>19.74896418057337</v>
      </c>
    </row>
    <row r="15" spans="1:95" x14ac:dyDescent="0.3">
      <c r="A15" s="1">
        <v>46063.371249999997</v>
      </c>
      <c r="B15" s="3" t="s">
        <v>33</v>
      </c>
      <c r="C15" s="3">
        <v>4</v>
      </c>
      <c r="D15" s="3" t="s">
        <v>1</v>
      </c>
      <c r="E15" s="3">
        <v>16590</v>
      </c>
      <c r="F15" s="3">
        <v>4.5</v>
      </c>
      <c r="G15" s="3" t="s">
        <v>2</v>
      </c>
      <c r="H15" s="3" t="s">
        <v>3</v>
      </c>
      <c r="I15" s="3">
        <v>5</v>
      </c>
      <c r="J15" s="3">
        <v>5</v>
      </c>
      <c r="K15" s="3" t="s">
        <v>4</v>
      </c>
      <c r="L15" s="3" t="s">
        <v>5</v>
      </c>
      <c r="M15" s="3" t="s">
        <v>6</v>
      </c>
      <c r="N15" s="3" t="s">
        <v>6</v>
      </c>
      <c r="O15" s="3" t="s">
        <v>7</v>
      </c>
      <c r="P15" s="3" t="s">
        <v>19</v>
      </c>
      <c r="Q15" s="2" t="s">
        <v>9</v>
      </c>
      <c r="R15" s="3" t="s">
        <v>10</v>
      </c>
      <c r="S15" s="3" t="s">
        <v>11</v>
      </c>
      <c r="T15" s="3" t="s">
        <v>20</v>
      </c>
      <c r="U15" s="3" t="s">
        <v>13</v>
      </c>
      <c r="V15" s="3" t="s">
        <v>14</v>
      </c>
      <c r="W15" s="3" t="s">
        <v>6</v>
      </c>
      <c r="X15" s="3">
        <v>210</v>
      </c>
      <c r="Y15" s="3">
        <v>90</v>
      </c>
      <c r="Z15" s="3">
        <v>120</v>
      </c>
      <c r="AA15" s="3" t="s">
        <v>15</v>
      </c>
      <c r="AB15" s="3">
        <v>4000</v>
      </c>
      <c r="AC15" s="3">
        <v>4000</v>
      </c>
      <c r="AD15" s="3">
        <v>0.1311838566205574</v>
      </c>
      <c r="AE15" s="3"/>
      <c r="AF15" s="3">
        <v>128</v>
      </c>
      <c r="AG15" s="3" t="s">
        <v>16</v>
      </c>
      <c r="AH15" s="3">
        <v>0.15</v>
      </c>
      <c r="AI15" s="3">
        <v>22.06524387879648</v>
      </c>
      <c r="AJ15" s="3">
        <v>0.7430486074363678</v>
      </c>
      <c r="AK15" s="3">
        <v>22.06524387879648</v>
      </c>
      <c r="AL15" s="3">
        <v>7.4071609941844478</v>
      </c>
      <c r="AM15" s="3">
        <v>22.06524387879648</v>
      </c>
      <c r="AN15" s="3">
        <v>7.4071609941844478</v>
      </c>
      <c r="AO15" s="3">
        <v>8.2519118591846361</v>
      </c>
      <c r="AP15" s="3">
        <v>0.7430486074363678</v>
      </c>
      <c r="AQ15" s="3">
        <v>102.5355552748786</v>
      </c>
      <c r="AR15" s="3">
        <v>16.43032872913512</v>
      </c>
      <c r="AS15" s="3">
        <v>16.685015748172908</v>
      </c>
      <c r="AT15" s="3">
        <v>0.20067815192200511</v>
      </c>
      <c r="AU15" s="3">
        <v>0.5714285714285714</v>
      </c>
      <c r="AV15" s="3">
        <v>2.62219920977581E-2</v>
      </c>
      <c r="AW15" s="3">
        <v>0.80959443342176929</v>
      </c>
      <c r="AX15" s="3">
        <v>2.62219920977581E-2</v>
      </c>
      <c r="AY15" s="3">
        <v>0.12672222255655519</v>
      </c>
      <c r="AZ15" s="3">
        <v>2.62219920977581E-2</v>
      </c>
      <c r="BA15" s="3">
        <v>0.80959443342176929</v>
      </c>
      <c r="BB15" s="3">
        <v>0.12672222255655519</v>
      </c>
      <c r="BC15" s="3">
        <v>0.1002469131473141</v>
      </c>
      <c r="BD15" s="3">
        <v>4.2034668360600137E-2</v>
      </c>
      <c r="BE15" s="3">
        <v>0.69477395861878921</v>
      </c>
      <c r="BF15" s="3">
        <v>0.16901114919302121</v>
      </c>
      <c r="BG15" s="3">
        <v>0.19673066051899571</v>
      </c>
      <c r="BH15" s="3">
        <v>6.933138573658805E-2</v>
      </c>
      <c r="BI15" s="3">
        <v>0.7597815563595014</v>
      </c>
      <c r="BJ15" s="3">
        <v>6.933138573658805E-2</v>
      </c>
      <c r="BK15" s="3">
        <v>0.21867620852500849</v>
      </c>
      <c r="BL15" s="3">
        <v>6.933138573658805E-2</v>
      </c>
      <c r="BM15" s="3">
        <v>0.7597815563595014</v>
      </c>
      <c r="BN15" s="3">
        <v>0.21867620852500849</v>
      </c>
      <c r="BO15" s="3">
        <v>0.23642621588320961</v>
      </c>
      <c r="BP15" s="3">
        <v>0.26577684641636068</v>
      </c>
      <c r="BQ15" s="3">
        <v>7.9139992320599206E-2</v>
      </c>
      <c r="BR15" s="3">
        <v>0.45208803747142567</v>
      </c>
      <c r="BS15" s="3">
        <v>0.45984572387109601</v>
      </c>
      <c r="BT15" s="3">
        <v>8.6306393262797806E-2</v>
      </c>
      <c r="BU15" s="3">
        <v>0.65350712992645588</v>
      </c>
      <c r="BV15" s="3">
        <v>8.6306393262797806E-2</v>
      </c>
      <c r="BW15" s="3">
        <v>0.2415839630239871</v>
      </c>
      <c r="BX15" s="3">
        <v>8.6306393262797806E-2</v>
      </c>
      <c r="BY15" s="3">
        <v>0.65350712992645588</v>
      </c>
      <c r="BZ15" s="3">
        <v>0.2415839630239871</v>
      </c>
      <c r="CA15" s="3">
        <v>0.2585973504288393</v>
      </c>
      <c r="CB15" s="3">
        <v>0.20059146556561741</v>
      </c>
      <c r="CC15" s="3">
        <v>0.19468871321669959</v>
      </c>
      <c r="CD15" s="3">
        <v>0.38575067038228472</v>
      </c>
      <c r="CE15" s="3">
        <v>0.3547094259105168</v>
      </c>
      <c r="CF15" s="3">
        <v>88.079115744088426</v>
      </c>
      <c r="CG15" s="3">
        <v>0.74931131003774243</v>
      </c>
      <c r="CH15" s="3">
        <v>88.079115744088426</v>
      </c>
      <c r="CI15" s="3">
        <v>7.3732099113583489</v>
      </c>
      <c r="CJ15" s="3">
        <v>88.079115744088426</v>
      </c>
      <c r="CK15" s="3">
        <v>0.74931131003774243</v>
      </c>
      <c r="CL15" s="3">
        <v>7.3732099113583489</v>
      </c>
      <c r="CM15" s="3">
        <v>8.2187179206880234</v>
      </c>
      <c r="CN15" s="3">
        <v>409.63381811917168</v>
      </c>
      <c r="CO15" s="3">
        <v>-0.16589005646806901</v>
      </c>
      <c r="CP15" s="3">
        <v>16.387979879136861</v>
      </c>
      <c r="CQ15" s="6">
        <v>16.6405887242997</v>
      </c>
    </row>
    <row r="16" spans="1:95" x14ac:dyDescent="0.3">
      <c r="A16" s="1">
        <v>46063.109212962961</v>
      </c>
      <c r="B16" s="3" t="s">
        <v>34</v>
      </c>
      <c r="C16" s="3">
        <v>4</v>
      </c>
      <c r="D16" s="3" t="s">
        <v>1</v>
      </c>
      <c r="E16" s="3">
        <v>16590</v>
      </c>
      <c r="F16" s="3">
        <v>4.5</v>
      </c>
      <c r="G16" s="3" t="s">
        <v>2</v>
      </c>
      <c r="H16" s="3" t="s">
        <v>3</v>
      </c>
      <c r="I16" s="3">
        <v>5</v>
      </c>
      <c r="J16" s="3">
        <v>5</v>
      </c>
      <c r="K16" s="3" t="s">
        <v>4</v>
      </c>
      <c r="L16" s="3" t="s">
        <v>5</v>
      </c>
      <c r="M16" s="3" t="s">
        <v>6</v>
      </c>
      <c r="N16" s="3" t="s">
        <v>6</v>
      </c>
      <c r="O16" s="3" t="s">
        <v>7</v>
      </c>
      <c r="P16" s="3" t="s">
        <v>22</v>
      </c>
      <c r="Q16" s="3" t="s">
        <v>9</v>
      </c>
      <c r="R16" s="3" t="s">
        <v>10</v>
      </c>
      <c r="S16" s="3" t="s">
        <v>11</v>
      </c>
      <c r="T16" s="3" t="s">
        <v>23</v>
      </c>
      <c r="U16" s="3" t="s">
        <v>13</v>
      </c>
      <c r="V16" s="3" t="s">
        <v>14</v>
      </c>
      <c r="W16" s="3" t="s">
        <v>6</v>
      </c>
      <c r="X16" s="3">
        <v>210</v>
      </c>
      <c r="Y16" s="3">
        <v>90</v>
      </c>
      <c r="Z16" s="3">
        <v>120</v>
      </c>
      <c r="AA16" s="3" t="s">
        <v>15</v>
      </c>
      <c r="AB16" s="3">
        <v>4000</v>
      </c>
      <c r="AC16" s="3">
        <v>4000</v>
      </c>
      <c r="AD16" s="3">
        <v>0.13789056700318891</v>
      </c>
      <c r="AE16" s="3"/>
      <c r="AF16" s="3">
        <v>128</v>
      </c>
      <c r="AG16" s="3" t="s">
        <v>16</v>
      </c>
      <c r="AH16" s="3">
        <v>0.15</v>
      </c>
      <c r="AI16" s="3">
        <v>44.49576785667427</v>
      </c>
      <c r="AJ16" s="3">
        <v>0.71819620792697447</v>
      </c>
      <c r="AK16" s="3">
        <v>44.49576785667427</v>
      </c>
      <c r="AL16" s="3">
        <v>10.44752566295222</v>
      </c>
      <c r="AM16" s="3">
        <v>44.49576785667427</v>
      </c>
      <c r="AN16" s="3">
        <v>10.44752566295222</v>
      </c>
      <c r="AO16" s="3">
        <v>11.073933102194911</v>
      </c>
      <c r="AP16" s="3">
        <v>0.71819620792697447</v>
      </c>
      <c r="AQ16" s="3">
        <v>107.2615337987752</v>
      </c>
      <c r="AR16" s="3">
        <v>17.23076443859765</v>
      </c>
      <c r="AS16" s="3">
        <v>18.28624287535694</v>
      </c>
      <c r="AT16" s="3">
        <v>0.22949311652139881</v>
      </c>
      <c r="AU16" s="3">
        <v>0.5714285714285714</v>
      </c>
      <c r="AV16" s="3">
        <v>2.3459503854867909E-2</v>
      </c>
      <c r="AW16" s="3">
        <v>0.82965366984790567</v>
      </c>
      <c r="AX16" s="3">
        <v>2.3459503854867909E-2</v>
      </c>
      <c r="AY16" s="3">
        <v>0.119090652779477</v>
      </c>
      <c r="AZ16" s="3">
        <v>2.3459503854867909E-2</v>
      </c>
      <c r="BA16" s="3">
        <v>0.82965366984790567</v>
      </c>
      <c r="BB16" s="3">
        <v>0.119090652779477</v>
      </c>
      <c r="BC16" s="3">
        <v>9.5749931970105173E-2</v>
      </c>
      <c r="BD16" s="3">
        <v>4.139020231510844E-2</v>
      </c>
      <c r="BE16" s="3">
        <v>0.69945361537693351</v>
      </c>
      <c r="BF16" s="3">
        <v>0.16933873548397321</v>
      </c>
      <c r="BG16" s="3">
        <v>0.16096167529128769</v>
      </c>
      <c r="BH16" s="3">
        <v>5.3080039083100217E-2</v>
      </c>
      <c r="BI16" s="3">
        <v>0.81608900151853991</v>
      </c>
      <c r="BJ16" s="3">
        <v>5.3080039083100217E-2</v>
      </c>
      <c r="BK16" s="3">
        <v>0.1881377163668693</v>
      </c>
      <c r="BL16" s="3">
        <v>5.3080039083100217E-2</v>
      </c>
      <c r="BM16" s="3">
        <v>0.81608900151853991</v>
      </c>
      <c r="BN16" s="3">
        <v>0.1881377163668693</v>
      </c>
      <c r="BO16" s="3">
        <v>0.18496170953195759</v>
      </c>
      <c r="BP16" s="3">
        <v>0.234271532644409</v>
      </c>
      <c r="BQ16" s="3">
        <v>0.18829917557214459</v>
      </c>
      <c r="BR16" s="3">
        <v>0.42168973699835671</v>
      </c>
      <c r="BS16" s="3">
        <v>0.42711334167671111</v>
      </c>
      <c r="BT16" s="3">
        <v>6.6454458130148469E-2</v>
      </c>
      <c r="BU16" s="3">
        <v>0.73320637027914559</v>
      </c>
      <c r="BV16" s="3">
        <v>6.6454458130148469E-2</v>
      </c>
      <c r="BW16" s="3">
        <v>0.21314071880778521</v>
      </c>
      <c r="BX16" s="3">
        <v>6.6454458130148469E-2</v>
      </c>
      <c r="BY16" s="3">
        <v>0.73320637027914559</v>
      </c>
      <c r="BZ16" s="3">
        <v>0.21314071880778521</v>
      </c>
      <c r="CA16" s="3">
        <v>0.24667075360624741</v>
      </c>
      <c r="CB16" s="3">
        <v>0.1868031718176883</v>
      </c>
      <c r="CC16" s="3">
        <v>0.25004435135105779</v>
      </c>
      <c r="CD16" s="3">
        <v>0.36885078786685982</v>
      </c>
      <c r="CE16" s="3">
        <v>0.34067511424828489</v>
      </c>
      <c r="CF16" s="3">
        <v>177.84007742562881</v>
      </c>
      <c r="CG16" s="3">
        <v>0.49383579006230471</v>
      </c>
      <c r="CH16" s="3">
        <v>177.84007742562881</v>
      </c>
      <c r="CI16" s="3">
        <v>10.427858091725611</v>
      </c>
      <c r="CJ16" s="3">
        <v>177.84007742562881</v>
      </c>
      <c r="CK16" s="3">
        <v>0.49383579006230471</v>
      </c>
      <c r="CL16" s="3">
        <v>10.427858091725611</v>
      </c>
      <c r="CM16" s="3">
        <v>11.05696002178567</v>
      </c>
      <c r="CN16" s="3">
        <v>428.58367028832288</v>
      </c>
      <c r="CO16" s="3">
        <v>-0.21982467621454169</v>
      </c>
      <c r="CP16" s="3">
        <v>17.192952439074279</v>
      </c>
      <c r="CQ16" s="6">
        <v>18.24951630617392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9D82-96CC-4854-8F5C-5CBE8EBD4E9F}">
  <dimension ref="A3:H22"/>
  <sheetViews>
    <sheetView workbookViewId="0">
      <selection activeCell="G30" sqref="G30"/>
    </sheetView>
  </sheetViews>
  <sheetFormatPr baseColWidth="10" defaultRowHeight="14.4" x14ac:dyDescent="0.3"/>
  <cols>
    <col min="1" max="1" width="17.109375" bestFit="1" customWidth="1"/>
    <col min="2" max="2" width="25.44140625" bestFit="1" customWidth="1"/>
    <col min="3" max="3" width="26.6640625" bestFit="1" customWidth="1"/>
    <col min="4" max="4" width="39" bestFit="1" customWidth="1"/>
    <col min="5" max="5" width="38.5546875" bestFit="1" customWidth="1"/>
    <col min="6" max="6" width="34.44140625" bestFit="1" customWidth="1"/>
    <col min="7" max="7" width="35.6640625" bestFit="1" customWidth="1"/>
    <col min="8" max="8" width="18.44140625" bestFit="1" customWidth="1"/>
  </cols>
  <sheetData>
    <row r="3" spans="1:8" x14ac:dyDescent="0.3">
      <c r="A3" s="8" t="s">
        <v>131</v>
      </c>
      <c r="B3" t="s">
        <v>134</v>
      </c>
      <c r="C3" t="s">
        <v>135</v>
      </c>
      <c r="D3" t="s">
        <v>136</v>
      </c>
      <c r="E3" t="s">
        <v>137</v>
      </c>
      <c r="F3" t="s">
        <v>138</v>
      </c>
      <c r="G3" t="s">
        <v>139</v>
      </c>
      <c r="H3" t="s">
        <v>133</v>
      </c>
    </row>
    <row r="4" spans="1:8" x14ac:dyDescent="0.3">
      <c r="A4" s="9" t="s">
        <v>20</v>
      </c>
      <c r="B4">
        <v>0.7573899935844568</v>
      </c>
      <c r="C4">
        <v>6.8663574286528736E-2</v>
      </c>
      <c r="D4">
        <v>0.79604431538590481</v>
      </c>
      <c r="E4">
        <v>0.79257563490258554</v>
      </c>
      <c r="F4">
        <v>0.69890965620140955</v>
      </c>
      <c r="G4">
        <v>0.74203036784792697</v>
      </c>
      <c r="H4">
        <v>5</v>
      </c>
    </row>
    <row r="5" spans="1:8" x14ac:dyDescent="0.3">
      <c r="A5" s="10">
        <v>0</v>
      </c>
      <c r="B5">
        <v>0.7676882512379406</v>
      </c>
      <c r="C5">
        <v>2.8955220514903481E-2</v>
      </c>
      <c r="D5">
        <v>0.78731272590413948</v>
      </c>
      <c r="E5">
        <v>0.8017140333614069</v>
      </c>
      <c r="F5">
        <v>0.7551425431180433</v>
      </c>
      <c r="G5">
        <v>0.72658370256817262</v>
      </c>
      <c r="H5">
        <v>1</v>
      </c>
    </row>
    <row r="6" spans="1:8" x14ac:dyDescent="0.3">
      <c r="A6" s="10">
        <v>1</v>
      </c>
      <c r="B6">
        <v>0.74691930287889996</v>
      </c>
      <c r="C6">
        <v>0.20776719187071299</v>
      </c>
      <c r="D6">
        <v>0.81010200602117444</v>
      </c>
      <c r="E6">
        <v>0.76542773309700962</v>
      </c>
      <c r="F6">
        <v>0.63979393920652505</v>
      </c>
      <c r="G6">
        <v>0.77235353319089028</v>
      </c>
      <c r="H6">
        <v>1</v>
      </c>
    </row>
    <row r="7" spans="1:8" x14ac:dyDescent="0.3">
      <c r="A7" s="10">
        <v>2</v>
      </c>
      <c r="B7">
        <v>0.76595660349696737</v>
      </c>
      <c r="C7">
        <v>-5.8813404517024492E-2</v>
      </c>
      <c r="D7">
        <v>0.79166392188514922</v>
      </c>
      <c r="E7">
        <v>0.80558713406310245</v>
      </c>
      <c r="F7">
        <v>0.72537678943772799</v>
      </c>
      <c r="G7">
        <v>0.74119856860189071</v>
      </c>
      <c r="H7">
        <v>1</v>
      </c>
    </row>
    <row r="8" spans="1:8" x14ac:dyDescent="0.3">
      <c r="A8" s="10">
        <v>3</v>
      </c>
      <c r="B8">
        <v>0.76333720287210804</v>
      </c>
      <c r="C8">
        <v>-3.5269288357953427E-2</v>
      </c>
      <c r="D8">
        <v>0.78154848969729129</v>
      </c>
      <c r="E8">
        <v>0.83036771763190709</v>
      </c>
      <c r="F8">
        <v>0.72072787931829563</v>
      </c>
      <c r="G8">
        <v>0.72070472484093928</v>
      </c>
      <c r="H8">
        <v>1</v>
      </c>
    </row>
    <row r="9" spans="1:8" x14ac:dyDescent="0.3">
      <c r="A9" s="10">
        <v>4</v>
      </c>
      <c r="B9">
        <v>0.7430486074363678</v>
      </c>
      <c r="C9">
        <v>0.20067815192200511</v>
      </c>
      <c r="D9">
        <v>0.80959443342176929</v>
      </c>
      <c r="E9">
        <v>0.7597815563595014</v>
      </c>
      <c r="F9">
        <v>0.65350712992645588</v>
      </c>
      <c r="G9">
        <v>0.74931131003774243</v>
      </c>
      <c r="H9">
        <v>1</v>
      </c>
    </row>
    <row r="10" spans="1:8" x14ac:dyDescent="0.3">
      <c r="A10" s="9" t="s">
        <v>12</v>
      </c>
      <c r="B10">
        <v>0.76900180962182851</v>
      </c>
      <c r="C10">
        <v>-0.29393921997452382</v>
      </c>
      <c r="D10">
        <v>0.8250968230729997</v>
      </c>
      <c r="E10">
        <v>0.80790398527345686</v>
      </c>
      <c r="F10">
        <v>0.70135233124021901</v>
      </c>
      <c r="G10">
        <v>0.74165409890063894</v>
      </c>
      <c r="H10">
        <v>5</v>
      </c>
    </row>
    <row r="11" spans="1:8" x14ac:dyDescent="0.3">
      <c r="A11" s="10">
        <v>0</v>
      </c>
      <c r="B11">
        <v>0.77385176782163967</v>
      </c>
      <c r="C11">
        <v>-1.131939046537173</v>
      </c>
      <c r="D11">
        <v>0.8417670320262145</v>
      </c>
      <c r="E11">
        <v>0.79922021732702642</v>
      </c>
      <c r="F11">
        <v>0.74999953866449631</v>
      </c>
      <c r="G11">
        <v>0.70442028326882322</v>
      </c>
      <c r="H11">
        <v>1</v>
      </c>
    </row>
    <row r="12" spans="1:8" x14ac:dyDescent="0.3">
      <c r="A12" s="10">
        <v>1</v>
      </c>
      <c r="B12">
        <v>0.78511120389983824</v>
      </c>
      <c r="C12">
        <v>0.25618586824317868</v>
      </c>
      <c r="D12">
        <v>0.83129060427174528</v>
      </c>
      <c r="E12">
        <v>0.84342335516391276</v>
      </c>
      <c r="F12">
        <v>0.68600128460293208</v>
      </c>
      <c r="G12">
        <v>0.77972957156076317</v>
      </c>
      <c r="H12">
        <v>1</v>
      </c>
    </row>
    <row r="13" spans="1:8" x14ac:dyDescent="0.3">
      <c r="A13" s="10">
        <v>2</v>
      </c>
      <c r="B13">
        <v>0.75433683174301391</v>
      </c>
      <c r="C13">
        <v>-0.34708475593579152</v>
      </c>
      <c r="D13">
        <v>0.78288619379964752</v>
      </c>
      <c r="E13">
        <v>0.82840573256805838</v>
      </c>
      <c r="F13">
        <v>0.66454709714725757</v>
      </c>
      <c r="G13">
        <v>0.74150830345709184</v>
      </c>
      <c r="H13">
        <v>1</v>
      </c>
    </row>
    <row r="14" spans="1:8" x14ac:dyDescent="0.3">
      <c r="A14" s="10">
        <v>3</v>
      </c>
      <c r="B14">
        <v>0.78126569276423408</v>
      </c>
      <c r="C14">
        <v>-8.5596688202165427E-2</v>
      </c>
      <c r="D14">
        <v>0.86274214830782503</v>
      </c>
      <c r="E14">
        <v>0.79591227317595692</v>
      </c>
      <c r="F14">
        <v>0.74116104454626197</v>
      </c>
      <c r="G14">
        <v>0.7252473050268935</v>
      </c>
      <c r="H14">
        <v>1</v>
      </c>
    </row>
    <row r="15" spans="1:8" x14ac:dyDescent="0.3">
      <c r="A15" s="10">
        <v>4</v>
      </c>
      <c r="B15">
        <v>0.75044355188041667</v>
      </c>
      <c r="C15">
        <v>-0.16126147744066779</v>
      </c>
      <c r="D15">
        <v>0.80679813695956659</v>
      </c>
      <c r="E15">
        <v>0.77255834813233004</v>
      </c>
      <c r="F15">
        <v>0.66505269124014688</v>
      </c>
      <c r="G15">
        <v>0.75736503118962306</v>
      </c>
      <c r="H15">
        <v>1</v>
      </c>
    </row>
    <row r="16" spans="1:8" x14ac:dyDescent="0.3">
      <c r="A16" s="9" t="s">
        <v>23</v>
      </c>
      <c r="B16">
        <v>0.69795437367960644</v>
      </c>
      <c r="C16">
        <v>-8.8369911792283179E-2</v>
      </c>
      <c r="D16">
        <v>0.80455549221650158</v>
      </c>
      <c r="E16">
        <v>0.81027632968824204</v>
      </c>
      <c r="F16">
        <v>0.69942432097792095</v>
      </c>
      <c r="G16">
        <v>0.47756135183575965</v>
      </c>
      <c r="H16">
        <v>5</v>
      </c>
    </row>
    <row r="17" spans="1:8" x14ac:dyDescent="0.3">
      <c r="A17" s="10">
        <v>0</v>
      </c>
      <c r="B17">
        <v>0.70242768343791406</v>
      </c>
      <c r="C17">
        <v>-0.69195796713513513</v>
      </c>
      <c r="D17">
        <v>0.78218689938294084</v>
      </c>
      <c r="E17">
        <v>0.80342685286833049</v>
      </c>
      <c r="F17">
        <v>0.7659117241388923</v>
      </c>
      <c r="G17">
        <v>0.45818525736149041</v>
      </c>
      <c r="H17">
        <v>1</v>
      </c>
    </row>
    <row r="18" spans="1:8" x14ac:dyDescent="0.3">
      <c r="A18" s="10">
        <v>1</v>
      </c>
      <c r="B18">
        <v>0.66103022800475519</v>
      </c>
      <c r="C18">
        <v>0.12807598831882161</v>
      </c>
      <c r="D18">
        <v>0.808168530266553</v>
      </c>
      <c r="E18">
        <v>0.81162178541551477</v>
      </c>
      <c r="F18">
        <v>0.64782730061699212</v>
      </c>
      <c r="G18">
        <v>0.37650329571995828</v>
      </c>
      <c r="H18">
        <v>1</v>
      </c>
    </row>
    <row r="19" spans="1:8" x14ac:dyDescent="0.3">
      <c r="A19" s="10">
        <v>2</v>
      </c>
      <c r="B19">
        <v>0.67610735849527281</v>
      </c>
      <c r="C19">
        <v>-2.1445863217036291E-2</v>
      </c>
      <c r="D19">
        <v>0.80073921219171051</v>
      </c>
      <c r="E19">
        <v>0.81312608225768479</v>
      </c>
      <c r="F19">
        <v>0.66138562145065394</v>
      </c>
      <c r="G19">
        <v>0.42917851808104113</v>
      </c>
      <c r="H19">
        <v>1</v>
      </c>
    </row>
    <row r="20" spans="1:8" x14ac:dyDescent="0.3">
      <c r="A20" s="10">
        <v>3</v>
      </c>
      <c r="B20">
        <v>0.7320103905331159</v>
      </c>
      <c r="C20">
        <v>-8.6014833449464756E-2</v>
      </c>
      <c r="D20">
        <v>0.80202914939339776</v>
      </c>
      <c r="E20">
        <v>0.80711792638114077</v>
      </c>
      <c r="F20">
        <v>0.68879058840392071</v>
      </c>
      <c r="G20">
        <v>0.6301038979540039</v>
      </c>
      <c r="H20">
        <v>1</v>
      </c>
    </row>
    <row r="21" spans="1:8" x14ac:dyDescent="0.3">
      <c r="A21" s="10">
        <v>4</v>
      </c>
      <c r="B21">
        <v>0.71819620792697447</v>
      </c>
      <c r="C21">
        <v>0.22949311652139881</v>
      </c>
      <c r="D21">
        <v>0.82965366984790567</v>
      </c>
      <c r="E21">
        <v>0.81608900151853991</v>
      </c>
      <c r="F21">
        <v>0.73320637027914559</v>
      </c>
      <c r="G21">
        <v>0.49383579006230471</v>
      </c>
      <c r="H21">
        <v>1</v>
      </c>
    </row>
    <row r="22" spans="1:8" x14ac:dyDescent="0.3">
      <c r="A22" s="9" t="s">
        <v>132</v>
      </c>
      <c r="B22">
        <v>0.74144872562863062</v>
      </c>
      <c r="C22">
        <v>-0.10454851916009276</v>
      </c>
      <c r="D22">
        <v>0.80856554355846877</v>
      </c>
      <c r="E22">
        <v>0.80358531662142818</v>
      </c>
      <c r="F22">
        <v>0.69989543613984972</v>
      </c>
      <c r="G22">
        <v>0.65374860619477526</v>
      </c>
      <c r="H2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Main_results</vt:lpstr>
      <vt:lpstr>Analizer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2026-02-16T08:20:32Z</dcterms:modified>
</cp:coreProperties>
</file>