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sorted_by_experiment/"/>
    </mc:Choice>
  </mc:AlternateContent>
  <xr:revisionPtr revIDLastSave="46" documentId="11_AD4D2F04E46CFB4ACB3E20D455D6CCDA693EDF1F" xr6:coauthVersionLast="47" xr6:coauthVersionMax="47" xr10:uidLastSave="{3D091741-953C-4584-B7FA-99D471698841}"/>
  <bookViews>
    <workbookView xWindow="28680" yWindow="-5580" windowWidth="51840" windowHeight="21120" activeTab="1" xr2:uid="{00000000-000D-0000-FFFF-FFFF00000000}"/>
  </bookViews>
  <sheets>
    <sheet name="Main_experiments" sheetId="1" r:id="rId1"/>
    <sheet name="Analizer" sheetId="2" r:id="rId2"/>
  </sheets>
  <definedNames>
    <definedName name="_xlnm._FilterDatabase" localSheetId="0" hidden="1">Main_experiments!$A$1:$CQ$19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" i="1" l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<sst xmlns="http://schemas.openxmlformats.org/spreadsheetml/2006/main" count="468" uniqueCount="156">
  <si>
    <t>date</t>
  </si>
  <si>
    <t>model_id</t>
  </si>
  <si>
    <t>run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</si>
  <si>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</si>
  <si>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</si>
  <si>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</si>
  <si>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</si>
  <si>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</si>
  <si>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</si>
  <si>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</si>
  <si>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</si>
  <si>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</si>
  <si>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</si>
  <si>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</si>
  <si>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</si>
  <si>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</si>
  <si>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</si>
  <si>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</si>
  <si>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</si>
  <si>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</si>
  <si>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</si>
  <si>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</si>
  <si>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</si>
  <si>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total params</t>
  </si>
  <si>
    <t>q params</t>
  </si>
  <si>
    <t>c params</t>
  </si>
  <si>
    <t>optimizer</t>
  </si>
  <si>
    <t>maxiter</t>
  </si>
  <si>
    <t>iterations</t>
  </si>
  <si>
    <t>final val loss</t>
  </si>
  <si>
    <t>tolerance</t>
  </si>
  <si>
    <t>batch_size</t>
  </si>
  <si>
    <t>learning_rate</t>
  </si>
  <si>
    <t>perturbation</t>
  </si>
  <si>
    <t>step MSE</t>
  </si>
  <si>
    <t>step R2</t>
  </si>
  <si>
    <t>local MSE</t>
  </si>
  <si>
    <t>local ADE</t>
  </si>
  <si>
    <t>global open MSE</t>
  </si>
  <si>
    <t>global open ADE</t>
  </si>
  <si>
    <t>global open FDE</t>
  </si>
  <si>
    <t>global open R2</t>
  </si>
  <si>
    <t>global closed MSE</t>
  </si>
  <si>
    <t>global closed ADE</t>
  </si>
  <si>
    <t>global closed FDE</t>
  </si>
  <si>
    <t>global closed R2</t>
  </si>
  <si>
    <t>recursivity</t>
  </si>
  <si>
    <t>Surge Velocity Step MSE</t>
  </si>
  <si>
    <t>Surge Velocity Step R2</t>
  </si>
  <si>
    <t>Surge Velocity Local MSE</t>
  </si>
  <si>
    <t>Surge Velocity Local ADE</t>
  </si>
  <si>
    <t>Surge Velocity Global open MSE</t>
  </si>
  <si>
    <t>Surge Velocity Global open R2</t>
  </si>
  <si>
    <t>Surge Velocity Global open ADE</t>
  </si>
  <si>
    <t>Surge Velocity Global open FDE</t>
  </si>
  <si>
    <t>Surge Velocity Global closed MSE</t>
  </si>
  <si>
    <t>Surge Velocity Global closed R2</t>
  </si>
  <si>
    <t>Surge Velocity Global closed ADE</t>
  </si>
  <si>
    <t>Surge Velocity Global closed FDE</t>
  </si>
  <si>
    <t>Sway Velocity Step MSE</t>
  </si>
  <si>
    <t>Sway Velocity Step R2</t>
  </si>
  <si>
    <t>Sway Velocity Local MSE</t>
  </si>
  <si>
    <t>Sway Velocity Local ADE</t>
  </si>
  <si>
    <t>Sway Velocity Global open MSE</t>
  </si>
  <si>
    <t>Sway Velocity Global open R2</t>
  </si>
  <si>
    <t>Sway Velocity Global open ADE</t>
  </si>
  <si>
    <t>Sway Velocity Global open FDE</t>
  </si>
  <si>
    <t>Sway Velocity Global closed MSE</t>
  </si>
  <si>
    <t>Sway Velocity Global closed R2</t>
  </si>
  <si>
    <t>Sway Velocity Global closed ADE</t>
  </si>
  <si>
    <t>Sway Velocity Global closed FDE</t>
  </si>
  <si>
    <t>Yaw Rate Step MSE</t>
  </si>
  <si>
    <t>Yaw Rate Step R2</t>
  </si>
  <si>
    <t>Yaw Rate Local MSE</t>
  </si>
  <si>
    <t>Yaw Rate Local ADE</t>
  </si>
  <si>
    <t>Yaw Rate Global open MSE</t>
  </si>
  <si>
    <t>Yaw Rate Global open R2</t>
  </si>
  <si>
    <t>Yaw Rate Global open ADE</t>
  </si>
  <si>
    <t>Yaw Rate Global open FDE</t>
  </si>
  <si>
    <t>Yaw Rate Global closed MSE</t>
  </si>
  <si>
    <t>Yaw Rate Global closed R2</t>
  </si>
  <si>
    <t>Yaw Rate Global closed ADE</t>
  </si>
  <si>
    <t>Yaw Rate Global closed FDE</t>
  </si>
  <si>
    <t>Yaw Angle Step MSE</t>
  </si>
  <si>
    <t>Yaw Angle Step R2</t>
  </si>
  <si>
    <t>Yaw Angle Local MSE</t>
  </si>
  <si>
    <t>Yaw Angle Local ADE</t>
  </si>
  <si>
    <t>Yaw Angle Global open MSE</t>
  </si>
  <si>
    <t>Yaw Angle Global open R2</t>
  </si>
  <si>
    <t>Yaw Angle Global open ADE</t>
  </si>
  <si>
    <t>Yaw Angle Global open FDE</t>
  </si>
  <si>
    <t>Yaw Angle Global closed MSE</t>
  </si>
  <si>
    <t>Yaw Angle Global closed R2</t>
  </si>
  <si>
    <t>Yaw Angle Global closed ADE</t>
  </si>
  <si>
    <t>Yaw Angle Global closed FDE</t>
  </si>
  <si>
    <t>02-04_23-11-09_multihead_spsa_f7_w5_h5_effsu2_effsu2_realamplitudes_full_r3_3_2.pkl</t>
  </si>
  <si>
    <t>data/reduce_row_number_absolutes</t>
  </si>
  <si>
    <t>[['wv', 'sv', 'rarad'], ['sv', 'yr', 'rarad'], ['ya', 'yr', 'rarad']]</t>
  </si>
  <si>
    <t>['Surge Velocity', 'Sway Velocity', 'Yaw Rate', 'Yaw Angle']</t>
  </si>
  <si>
    <t>motion</t>
  </si>
  <si>
    <t>true</t>
  </si>
  <si>
    <t>false</t>
  </si>
  <si>
    <t>multihead</t>
  </si>
  <si>
    <t>[{'features': ['wv', 'sv', 'rarad'], 'output_dim': 1, 'reps': 3, 'encoding': 'compact', 'ansatz': 'efficientsu2', 'entangle': 'full', 'map': [0, 1, 2]}, {'features': ['sv', 'yr', 'rarad'], 'output_dim': 2, 'reps': 3, 'encoding': 'compact', 'ansatz': 'efficientsu2', 'entangle': 'full', 'map': [0, 1, 2]}, {'features': ['ya', 'yr', 'rarad'], 'output_dim': 1, 'reps': 2, 'encoding': 'compact', 'ansatz': 'realamplitudes', 'entangle': 'full', 'map': [0, 1, 2]}]</t>
  </si>
  <si>
    <t>compact</t>
  </si>
  <si>
    <t>['effsu2', 'effsu2', 'realamplitudes']</t>
  </si>
  <si>
    <t>full</t>
  </si>
  <si>
    <t>[3, 3, 2]</t>
  </si>
  <si>
    <t>[0, 1, 2]</t>
  </si>
  <si>
    <t>spsa</t>
  </si>
  <si>
    <t>[0.02, 0.001]</t>
  </si>
  <si>
    <t>02-05_02-09-39_multihead_spsa_f7_w5_h5_effsu2_effsu2_realamplitudes_full_r3_3_2.pkl</t>
  </si>
  <si>
    <t>02-04_11-51-04_multihead_spsa_f7_w5_h5_effsu2_effsu2_realamplitudes_full_r3_3_2.pkl</t>
  </si>
  <si>
    <t>02-05_05-08-26_multihead_spsa_f7_w5_h5_effsu2_effsu2_realamplitudes_full_r3_3_2.pkl</t>
  </si>
  <si>
    <t>02-04_20-04-19_multihead_spsa_f7_w5_h5_effsu2_effsu2_realamplitudes_full_r3_3_2.pkl</t>
  </si>
  <si>
    <t>02-05_08-21-20_multihead_spsa_f7_w5_h5_effsu2_effsu2_effsu2_realamplitudes_full_r3_3_3_2.pkl</t>
  </si>
  <si>
    <t>[['wv', 'sv', 'rarad'], ['sv', 'yr', 'rarad'], ['sv', 'yr', 'rarad'], ['ya', 'yr', 'rarad']]</t>
  </si>
  <si>
    <t>[{'features': ['wv', 'sv', 'rarad'],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['ya', 'yr', 'rarad'], 'output_dim': 1, 'reps': 2, 'encoding': 'compact', 'ansatz': 'realamplitudes', 'entangle': 'full', 'map': [0, 1, 2]}]</t>
  </si>
  <si>
    <t>['effsu2', 'effsu2', 'effsu2', 'realamplitudes']</t>
  </si>
  <si>
    <t>[3, 3, 3, 2]</t>
  </si>
  <si>
    <t>02-05_00-12-58_multihead_spsa_f7_w5_h5_effsu2_effsu2_effsu2_realamplitudes_full_r3_3_3_2.pkl</t>
  </si>
  <si>
    <t>02-04_12-03-00_multihead_spsa_f7_w5_h5_effsu2_effsu2_effsu2_realamplitudes_full_r3_3_3_2.pkl</t>
  </si>
  <si>
    <t>02-04_22-20-57_multihead_spsa_f7_w5_h5_effsu2_full_r5.pkl</t>
  </si>
  <si>
    <t>['wv', 'sv', 'yr', 'ya', 'rarad']</t>
  </si>
  <si>
    <t>[{'features': ['wv', 'sv', 'yr', 'ya', 'rarad'], 'output_dim': 4, 'reps': 5, 'encoding': 'compact', 'ansatz': 'efficientsu2', 'entangle': 'full', 'map': [0, 1, 2, 3, 4, -1]}]</t>
  </si>
  <si>
    <t>effsu2</t>
  </si>
  <si>
    <t>5</t>
  </si>
  <si>
    <t>[0, 1, 2, 3, 4, -1]</t>
  </si>
  <si>
    <t>02-05_03-28-09_multihead_spsa_f5_w5_h5_effsu2_full_r3_4.pkl</t>
  </si>
  <si>
    <t>[['wv', 'sv', 'rarad'], ['sv', 'yr', 'ya', 'rarad']]</t>
  </si>
  <si>
    <t>[{'features': ['wv', 'sv', 'rarad'], 'output_dim': 1, 'reps': 3, 'encoding': 'compact', 'ansatz': 'efficientsu2', 'entangle': 'full', 'map': [0, 1, 2]}, {'features': ['sv', 'yr', 'ya', 'rarad'], 'output_dim': 3, 'reps': 4, 'encoding': 'compact', 'ansatz': 'efficientsu2', 'entangle': 'full', 'map': [0, 1, -1, 2, 3, -1]}]</t>
  </si>
  <si>
    <t>[3, 4]</t>
  </si>
  <si>
    <t>[[0, 1, 2], [0, 1, -1, 2, 3, -1]]</t>
  </si>
  <si>
    <t>02-04_13-41-34_multihead_spsa_f5_w5_h5_effsu2_full_r3_4.pkl</t>
  </si>
  <si>
    <t>02-04_18-30-40_multihead_spsa_f7_w5_h5_effsu2_full_r5.pkl</t>
  </si>
  <si>
    <t>02-05_00-33-17_multihead_spsa_f5_w5_h5_effsu2_full_r3_4.pkl</t>
  </si>
  <si>
    <t>02-04_20-10-43_multihead_spsa_f7_w5_h5_effsu2_full_r5.pkl</t>
  </si>
  <si>
    <t>02-05_06-25-58_multihead_spsa_f5_w5_h5_effsu2_full_r3_4.pkl</t>
  </si>
  <si>
    <t>02-05_09-27-45_multihead_spsa_f5_w5_h5_effsu2_full_r3_4.pkl</t>
  </si>
  <si>
    <t>02-04_11-49-55_multihead_spsa_f7_w5_h5_effsu2_full_r5.pkl</t>
  </si>
  <si>
    <t>02-04_16-19-42_multihead_spsa_f7_w5_h5_effsu2_full_r5.pkl</t>
  </si>
  <si>
    <t>Etiquetas de fila</t>
  </si>
  <si>
    <t>multihead1</t>
  </si>
  <si>
    <t>multihead2</t>
  </si>
  <si>
    <t>multihead3</t>
  </si>
  <si>
    <t>multihead4</t>
  </si>
  <si>
    <t>Total general</t>
  </si>
  <si>
    <t>Promedio de global open R2</t>
  </si>
  <si>
    <t>Promedio de global closed R2</t>
  </si>
  <si>
    <t>Promedio de Surge Velocity Global open R2</t>
  </si>
  <si>
    <t>Promedio de Sway Velocity Global open R2</t>
  </si>
  <si>
    <t>Promedio de Yaw Rate Global open R2</t>
  </si>
  <si>
    <t>Promedio de Yaw Angle Global open R2</t>
  </si>
  <si>
    <t>02-09_09-26-09_multihead_spsa_f5_w5_h5_effsu2_effsu2_effsu2_realamplitudes_full_r3_3_3_2.pkl</t>
  </si>
  <si>
    <t>[{'features': ['wv', 'sv',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['ya', 'yr', 'rarad'], 'output_dim': 1, 'reps': 2, 'encoding': 'compact', 'ansatz': 'realamplitudes', 'entangle': 'full', 'map': [0, 1, 2]}]</t>
  </si>
  <si>
    <t>02-09_14-16-34_multihead_spsa_f5_w5_h5_effsu2_effsu2_effsu2_realamplitudes_full_r3_3_3_2.pkl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</si>
</sst>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4" fontId="0" fillId="3" borderId="2" xfId="0" applyNumberFormat="1" applyFill="1" applyBorder="1"/>
    <xf numFmtId="0" fontId="0" fillId="3" borderId="3" xfId="0" applyFill="1" applyBorder="1"/>
    <xf numFmtId="164" fontId="0" fillId="4" borderId="2" xfId="0" applyNumberFormat="1" applyFill="1" applyBorder="1"/>
    <xf numFmtId="0" fontId="0" fillId="4" borderId="3" xfId="0" applyFill="1" applyBorder="1"/>
    <xf numFmtId="164" fontId="0" fillId="4" borderId="4" xfId="0" applyNumberFormat="1" applyFill="1" applyBorder="1"/>
    <xf numFmtId="0" fontId="0" fillId="4" borderId="5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4" borderId="6" xfId="0" applyFill="1" applyBorder="1"/>
    <xf numFmtId="164" fontId="0" fillId="3" borderId="4" xfId="0" applyNumberFormat="1" applyFill="1" applyBorder="1"/>
    <xf numFmtId="0" fontId="0" fillId="3" borderId="5" xfId="0" applyFill="1" applyBorder="1"/>
    <xf numFmtId="0" fontId="0" fillId="3" borderId="7" xfId="0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064.428901388892" createdVersion="8" refreshedVersion="8" minRefreshableVersion="3" recordCount="20" xr:uid="{B490A4B5-2545-47CB-8532-43EF778F8CCD}">
  <cacheSource type="worksheet">
    <worksheetSource ref="A1:CQ21" sheet="Main_experiments"/>
  </cacheSource>
  <cacheFields count="95">
    <cacheField name="date" numFmtId="164">
      <sharedItems containsSemiMixedTypes="0" containsNonDate="0" containsDate="1" containsString="0" minDate="2026-02-04T11:49:55" maxDate="2026-02-09T14:16:34"/>
    </cacheField>
    <cacheField name="model_id" numFmtId="0">
      <sharedItems/>
    </cacheField>
    <cacheField name="run" numFmtId="0">
      <sharedItems containsSemiMixedTypes="0" containsString="0" containsNumber="1" containsInteger="1" minValue="0" maxValue="4" count="5">
        <n v="2"/>
        <n v="3"/>
        <n v="0"/>
        <n v="4"/>
        <n v="1"/>
      </sharedItems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unt="4">
        <s v="multihead3"/>
        <s v="multihead4"/>
        <s v="multihead1"/>
        <s v="multihead2"/>
      </sharedItems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MixedTypes="1" containsNumber="1" containsInteger="1" minValue="5" maxValue="5"/>
    </cacheField>
    <cacheField name="map" numFmtId="0">
      <sharedItems/>
    </cacheField>
    <cacheField name="reorder" numFmtId="0">
      <sharedItems/>
    </cacheField>
    <cacheField name="total params" numFmtId="0">
      <sharedItems containsSemiMixedTypes="0" containsString="0" containsNumber="1" containsInteger="1" minValue="170" maxValue="220"/>
    </cacheField>
    <cacheField name="q params" numFmtId="0">
      <sharedItems containsSemiMixedTypes="0" containsString="0" containsNumber="1" containsInteger="1" minValue="50" maxValue="100"/>
    </cacheField>
    <cacheField name="c params" numFmtId="0">
      <sharedItems containsSemiMixedTypes="0" containsString="0" containsNumber="1" containsInteger="1" minValue="120" maxValue="120"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final val loss" numFmtId="0">
      <sharedItems containsSemiMixedTypes="0" containsString="0" containsNumber="1" minValue="0.106298759815626" maxValue="0.2334033855647818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128" maxValue="128"/>
    </cacheField>
    <cacheField name="learning_rate" numFmtId="0">
      <sharedItems/>
    </cacheField>
    <cacheField name="perturbation" numFmtId="0">
      <sharedItems containsSemiMixedTypes="0" containsString="0" containsNumber="1" minValue="0.1" maxValue="0.1"/>
    </cacheField>
    <cacheField name="step MSE" numFmtId="0">
      <sharedItems containsSemiMixedTypes="0" containsString="0" containsNumber="1" minValue="26.244086568016279" maxValue="92.717720257598543"/>
    </cacheField>
    <cacheField name="step R2" numFmtId="0">
      <sharedItems containsSemiMixedTypes="0" containsString="0" containsNumber="1" minValue="0.1639624719058457" maxValue="0.63694174133948656"/>
    </cacheField>
    <cacheField name="local MSE" numFmtId="0">
      <sharedItems containsSemiMixedTypes="0" containsString="0" containsNumber="1" minValue="26.244086568016279" maxValue="92.717720257598543"/>
    </cacheField>
    <cacheField name="local ADE" numFmtId="0">
      <sharedItems containsSemiMixedTypes="0" containsString="0" containsNumber="1" minValue="8.2111218643640438" maxValue="16.340282229330061"/>
    </cacheField>
    <cacheField name="global open MSE" numFmtId="0">
      <sharedItems containsSemiMixedTypes="0" containsString="0" containsNumber="1" minValue="26.244086568016279" maxValue="92.717720257598543"/>
    </cacheField>
    <cacheField name="global open ADE" numFmtId="0">
      <sharedItems containsSemiMixedTypes="0" containsString="0" containsNumber="1" minValue="8.2111218643640438" maxValue="16.340282229330061"/>
    </cacheField>
    <cacheField name="global open FDE" numFmtId="0">
      <sharedItems containsSemiMixedTypes="0" containsString="0" containsNumber="1" minValue="8.359060218315074" maxValue="16.768282915892879"/>
    </cacheField>
    <cacheField name="global open R2" numFmtId="0">
      <sharedItems containsSemiMixedTypes="0" containsString="0" containsNumber="1" minValue="0.1639624719058457" maxValue="0.63694174133948656"/>
    </cacheField>
    <cacheField name="global closed MSE" numFmtId="0">
      <sharedItems containsSemiMixedTypes="0" containsString="0" containsNumber="1" minValue="88.593301486989716" maxValue="124.15128599981939"/>
    </cacheField>
    <cacheField name="global closed ADE" numFmtId="0">
      <sharedItems containsSemiMixedTypes="0" containsString="0" containsNumber="1" minValue="15.62306190661049" maxValue="18.606096824557319"/>
    </cacheField>
    <cacheField name="global closed FDE" numFmtId="0">
      <sharedItems containsSemiMixedTypes="0" containsString="0" containsNumber="1" minValue="15.7931790403461" maxValue="20.642010598456249"/>
    </cacheField>
    <cacheField name="global closed R2" numFmtId="0">
      <sharedItems containsSemiMixedTypes="0" containsString="0" containsNumber="1" minValue="-0.97662816764721994" maxValue="7.0137181520892961E-2"/>
    </cacheField>
    <cacheField name="recursivity" numFmtId="0">
      <sharedItems containsSemiMixedTypes="0" containsString="0" containsNumber="1" minValue="0.5714285714285714" maxValue="0.8"/>
    </cacheField>
    <cacheField name="Surge Velocity Step MSE" numFmtId="0">
      <sharedItems containsSemiMixedTypes="0" containsString="0" containsNumber="1" minValue="4.3759533981894499E-2" maxValue="0.15032763076368019"/>
    </cacheField>
    <cacheField name="Surge Velocity Step R2" numFmtId="0">
      <sharedItems containsSemiMixedTypes="0" containsString="0" containsNumber="1" minValue="-9.1572966737671235E-2" maxValue="0.68224920402846412"/>
    </cacheField>
    <cacheField name="Surge Velocity Local MSE" numFmtId="0">
      <sharedItems containsSemiMixedTypes="0" containsString="0" containsNumber="1" minValue="4.3759533981894499E-2" maxValue="0.15032763076368019"/>
    </cacheField>
    <cacheField name="Surge Velocity Local ADE" numFmtId="0">
      <sharedItems containsSemiMixedTypes="0" containsString="0" containsNumber="1" minValue="0.16869601537597831" maxValue="0.32812788360886358"/>
    </cacheField>
    <cacheField name="Surge Velocity Global open MSE" numFmtId="0">
      <sharedItems containsSemiMixedTypes="0" containsString="0" containsNumber="1" minValue="4.3759533981894499E-2" maxValue="0.15032763076368019"/>
    </cacheField>
    <cacheField name="Surge Velocity Global open R2" numFmtId="0">
      <sharedItems containsSemiMixedTypes="0" containsString="0" containsNumber="1" minValue="-9.1572966737671235E-2" maxValue="0.68224920402846412"/>
    </cacheField>
    <cacheField name="Surge Velocity Global open ADE" numFmtId="0">
      <sharedItems containsSemiMixedTypes="0" containsString="0" containsNumber="1" minValue="0.16869601537597831" maxValue="0.32812788360886358"/>
    </cacheField>
    <cacheField name="Surge Velocity Global open FDE" numFmtId="0">
      <sharedItems containsSemiMixedTypes="0" containsString="0" containsNumber="1" minValue="0.1464374632459288" maxValue="0.31873209919875811"/>
    </cacheField>
    <cacheField name="Surge Velocity Global closed MSE" numFmtId="0">
      <sharedItems containsSemiMixedTypes="0" containsString="0" containsNumber="1" minValue="0.1238469720845726" maxValue="0.70744421716857553"/>
    </cacheField>
    <cacheField name="Surge Velocity Global closed R2" numFmtId="0">
      <sharedItems containsSemiMixedTypes="0" containsString="0" containsNumber="1" minValue="-4.1369597126830042" maxValue="0.1007108536663212"/>
    </cacheField>
    <cacheField name="Surge Velocity Global closed ADE" numFmtId="0">
      <sharedItems containsSemiMixedTypes="0" containsString="0" containsNumber="1" minValue="0.29361250510775982" maxValue="0.73188980237650791"/>
    </cacheField>
    <cacheField name="Surge Velocity Global closed FDE" numFmtId="0">
      <sharedItems containsSemiMixedTypes="0" containsString="0" containsNumber="1" minValue="0.27541710644471717" maxValue="0.72465838477928313"/>
    </cacheField>
    <cacheField name="Sway Velocity Step MSE" numFmtId="0">
      <sharedItems containsSemiMixedTypes="0" containsString="0" containsNumber="1" minValue="5.0604950264957357E-2" maxValue="0.27898293106587341"/>
    </cacheField>
    <cacheField name="Sway Velocity Step R2" numFmtId="0">
      <sharedItems containsSemiMixedTypes="0" containsString="0" containsNumber="1" minValue="3.33837295921523E-2" maxValue="0.82466465563895819"/>
    </cacheField>
    <cacheField name="Sway Velocity Local MSE" numFmtId="0">
      <sharedItems containsSemiMixedTypes="0" containsString="0" containsNumber="1" minValue="5.0604950264957357E-2" maxValue="0.27898293106587341"/>
    </cacheField>
    <cacheField name="Sway Velocity Local ADE" numFmtId="0">
      <sharedItems containsSemiMixedTypes="0" containsString="0" containsNumber="1" minValue="0.1820221922440621" maxValue="0.46223939558538701"/>
    </cacheField>
    <cacheField name="Sway Velocity Global open MSE" numFmtId="0">
      <sharedItems containsSemiMixedTypes="0" containsString="0" containsNumber="1" minValue="5.0604950264957357E-2" maxValue="0.27898293106587341"/>
    </cacheField>
    <cacheField name="Sway Velocity Global open R2" numFmtId="0">
      <sharedItems containsSemiMixedTypes="0" containsString="0" containsNumber="1" minValue="3.33837295921523E-2" maxValue="0.82466465563895819"/>
    </cacheField>
    <cacheField name="Sway Velocity Global open ADE" numFmtId="0">
      <sharedItems containsSemiMixedTypes="0" containsString="0" containsNumber="1" minValue="0.1820221922440621" maxValue="0.46223939558538701"/>
    </cacheField>
    <cacheField name="Sway Velocity Global open FDE" numFmtId="0">
      <sharedItems containsSemiMixedTypes="0" containsString="0" containsNumber="1" minValue="0.23368899329141549" maxValue="0.4688775657622678"/>
    </cacheField>
    <cacheField name="Sway Velocity Global closed MSE" numFmtId="0">
      <sharedItems containsSemiMixedTypes="0" containsString="0" containsNumber="1" minValue="0.2309396149826487" maxValue="0.31301944590034841"/>
    </cacheField>
    <cacheField name="Sway Velocity Global closed R2" numFmtId="0">
      <sharedItems containsSemiMixedTypes="0" containsString="0" containsNumber="1" minValue="-8.4545524722023702E-2" maxValue="0.1998435586324698"/>
    </cacheField>
    <cacheField name="Sway Velocity Global closed ADE" numFmtId="0">
      <sharedItems containsSemiMixedTypes="0" containsString="0" containsNumber="1" minValue="0.40389876542514058" maxValue="0.49625489633044539"/>
    </cacheField>
    <cacheField name="Sway Velocity Global closed FDE" numFmtId="0">
      <sharedItems containsSemiMixedTypes="0" containsString="0" containsNumber="1" minValue="0.38371312205054459" maxValue="0.54350241058031223"/>
    </cacheField>
    <cacheField name="Yaw Rate Step MSE" numFmtId="0">
      <sharedItems containsSemiMixedTypes="0" containsString="0" containsNumber="1" minValue="0.1171210835342954" maxValue="0.24988883089886679"/>
    </cacheField>
    <cacheField name="Yaw Rate Step R2" numFmtId="0">
      <sharedItems containsSemiMixedTypes="0" containsString="0" containsNumber="1" minValue="-3.2246157457385132E-3" maxValue="0.52979589523162285"/>
    </cacheField>
    <cacheField name="Yaw Rate Local MSE" numFmtId="0">
      <sharedItems containsSemiMixedTypes="0" containsString="0" containsNumber="1" minValue="0.1171210835342954" maxValue="0.24988883089886679"/>
    </cacheField>
    <cacheField name="Yaw Rate Local ADE" numFmtId="0">
      <sharedItems containsSemiMixedTypes="0" containsString="0" containsNumber="1" minValue="0.29440450902296711" maxValue="0.44674476602672031"/>
    </cacheField>
    <cacheField name="Yaw Rate Global open MSE" numFmtId="0">
      <sharedItems containsSemiMixedTypes="0" containsString="0" containsNumber="1" minValue="0.1171210835342954" maxValue="0.24988883089886679"/>
    </cacheField>
    <cacheField name="Yaw Rate Global open R2" numFmtId="0">
      <sharedItems containsSemiMixedTypes="0" containsString="0" containsNumber="1" minValue="-3.2246157457385132E-3" maxValue="0.52979589523162285"/>
    </cacheField>
    <cacheField name="Yaw Rate Global open ADE" numFmtId="0">
      <sharedItems containsSemiMixedTypes="0" containsString="0" containsNumber="1" minValue="0.29440450902296711" maxValue="0.44674476602672031"/>
    </cacheField>
    <cacheField name="Yaw Rate Global open FDE" numFmtId="0">
      <sharedItems containsSemiMixedTypes="0" containsString="0" containsNumber="1" minValue="0.30322386351183722" maxValue="0.4472581912098812"/>
    </cacheField>
    <cacheField name="Yaw Rate Global closed MSE" numFmtId="0">
      <sharedItems containsSemiMixedTypes="0" containsString="0" containsNumber="1" minValue="0.19644508038493361" maxValue="0.32402882197817851"/>
    </cacheField>
    <cacheField name="Yaw Rate Global closed R2" numFmtId="0">
      <sharedItems containsSemiMixedTypes="0" containsString="0" containsNumber="1" minValue="-0.30087322930877147" maxValue="0.21133513820761429"/>
    </cacheField>
    <cacheField name="Yaw Rate Global closed ADE" numFmtId="0">
      <sharedItems containsSemiMixedTypes="0" containsString="0" containsNumber="1" minValue="0.37341608646470381" maxValue="0.5016488903410472"/>
    </cacheField>
    <cacheField name="Yaw Rate Global closed FDE" numFmtId="0">
      <sharedItems containsSemiMixedTypes="0" containsString="0" containsNumber="1" minValue="0.37336286486800441" maxValue="0.5242698264981005"/>
    </cacheField>
    <cacheField name="Yaw Angle Step MSE" numFmtId="0">
      <sharedItems containsSemiMixedTypes="0" containsString="0" containsNumber="1" minValue="104.6683946359708" maxValue="370.37182898458337"/>
    </cacheField>
    <cacheField name="Yaw Angle Step R2" numFmtId="0">
      <sharedItems containsSemiMixedTypes="0" containsString="0" containsNumber="1" minValue="-5.4143514301824291E-2" maxValue="0.70209529795937831"/>
    </cacheField>
    <cacheField name="Yaw Angle Local MSE" numFmtId="0">
      <sharedItems containsSemiMixedTypes="0" containsString="0" containsNumber="1" minValue="104.6683946359708" maxValue="370.37182898458337"/>
    </cacheField>
    <cacheField name="Yaw Angle Local ADE" numFmtId="0">
      <sharedItems containsSemiMixedTypes="0" containsString="0" containsNumber="1" minValue="8.1609859695471521" maxValue="16.29880855172809"/>
    </cacheField>
    <cacheField name="Yaw Angle Global open MSE" numFmtId="0">
      <sharedItems containsSemiMixedTypes="0" containsString="0" containsNumber="1" minValue="104.6683946359708" maxValue="370.37182898458337"/>
    </cacheField>
    <cacheField name="Yaw Angle Global open R2" numFmtId="0">
      <sharedItems containsSemiMixedTypes="0" containsString="0" containsNumber="1" minValue="-5.4143514301824291E-2" maxValue="0.70209529795937831"/>
    </cacheField>
    <cacheField name="Yaw Angle Global open ADE" numFmtId="0">
      <sharedItems containsSemiMixedTypes="0" containsString="0" containsNumber="1" minValue="8.1609859695471521" maxValue="16.29880855172809"/>
    </cacheField>
    <cacheField name="Yaw Angle Global open FDE" numFmtId="0">
      <sharedItems containsSemiMixedTypes="0" containsString="0" containsNumber="1" minValue="8.2988238538632508" maxValue="16.733222602176529"/>
    </cacheField>
    <cacheField name="Yaw Angle Global closed MSE" numFmtId="0">
      <sharedItems containsSemiMixedTypes="0" containsString="0" containsNumber="1" minValue="353.69412146513122" maxValue="495.87395596653198"/>
    </cacheField>
    <cacheField name="Yaw Angle Global closed R2" numFmtId="0">
      <sharedItems containsSemiMixedTypes="0" containsString="0" containsNumber="1" minValue="-0.41134469116188138" maxValue="-6.6758187612299116E-3"/>
    </cacheField>
    <cacheField name="Yaw Angle Global closed ADE" numFmtId="0">
      <sharedItems containsSemiMixedTypes="0" containsString="0" containsNumber="1" minValue="15.569265787078031" maxValue="18.5568535300295"/>
    </cacheField>
    <cacheField name="Yaw Angle Global closed FDE" numFmtId="0">
      <sharedItems containsSemiMixedTypes="0" containsString="0" containsNumber="1" minValue="15.720790176418969" maxValue="20.592639045976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d v="2026-02-04T23:11:09"/>
    <s v="02-04_23-11-09_multihead_spsa_f7_w5_h5_effsu2_effsu2_realamplitudes_full_r3_3_2.pkl"/>
    <x v="0"/>
    <s v="data/reduce_row_number_absolutes"/>
    <n v="16590"/>
    <n v="4.5"/>
    <s v="[['wv', 'sv', '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3, 'encoding': 'compact', 'ansatz': 'efficientsu2', 'entangle': 'full', 'map': [0, 1, 2]}, {'features': ['sv', 'yr', 'rarad'], 'output_dim': 2, 'reps': 3, 'encoding': 'compact', 'ansatz': 'efficientsu2', 'entangle': 'full', 'map': [0, 1, 2]}, {'features': ['ya', 'yr', 'rarad'], 'output_dim': 1, 'reps': 2, 'encoding': 'compact', 'ansatz': 'realamplitudes', 'entangle': 'full', 'map': [0, 1, 2]}]"/>
    <x v="0"/>
    <s v="compact"/>
    <s v="['effsu2', 'effsu2', 'realamplitudes']"/>
    <s v="full"/>
    <s v="[3, 3, 2]"/>
    <s v="[0, 1, 2]"/>
    <s v="false"/>
    <n v="190"/>
    <n v="70"/>
    <n v="120"/>
    <s v="spsa"/>
    <n v="4000"/>
    <n v="4000"/>
    <n v="0.106298759815626"/>
    <m/>
    <n v="128"/>
    <s v="[0.02, 0.001]"/>
    <n v="0.1"/>
    <n v="29.123440947665351"/>
    <n v="0.63694174133948656"/>
    <n v="29.123440947665351"/>
    <n v="8.6133933006045691"/>
    <n v="29.123440947665351"/>
    <n v="8.6133933006045691"/>
    <n v="8.6300523392353128"/>
    <n v="0.63694174133948656"/>
    <n v="93.514849393201374"/>
    <n v="16.025255490599029"/>
    <n v="16.834320435790939"/>
    <n v="-5.6414073006590272E-2"/>
    <n v="0.5714285714285714"/>
    <n v="5.4223367376250151E-2"/>
    <n v="0.60626824428273829"/>
    <n v="5.4223367376250151E-2"/>
    <n v="0.1779821239229615"/>
    <n v="5.4223367376250151E-2"/>
    <n v="0.60626824428273829"/>
    <n v="0.1779821239229615"/>
    <n v="0.1886026471745689"/>
    <n v="0.13738728565869099"/>
    <n v="2.3906700542087882E-3"/>
    <n v="0.31237393746317199"/>
    <n v="0.30963190318211542"/>
    <n v="5.0604950264957357E-2"/>
    <n v="0.82466465563895819"/>
    <n v="5.0604950264957357E-2"/>
    <n v="0.1820221922440621"/>
    <n v="5.0604950264957357E-2"/>
    <n v="0.82466465563895819"/>
    <n v="0.1820221922440621"/>
    <n v="0.2550669098702345"/>
    <n v="0.30667359879675921"/>
    <n v="-6.2558519866871887E-2"/>
    <n v="0.47991475865331679"/>
    <n v="0.46097636311445828"/>
    <n v="0.13756850924472089"/>
    <n v="0.44770594856396589"/>
    <n v="0.13756850924472089"/>
    <n v="0.32590050541575222"/>
    <n v="0.13756850924472089"/>
    <n v="0.44770594856396589"/>
    <n v="0.32590050541575222"/>
    <n v="0.37625322887187762"/>
    <n v="0.27471534608007958"/>
    <n v="-0.1028952215242656"/>
    <n v="0.46024436924568563"/>
    <n v="0.46012443903788869"/>
    <n v="116.2513669637756"/>
    <n v="0.66912811687228424"/>
    <n v="116.2513669637756"/>
    <n v="8.5738217023665513"/>
    <n v="116.2513669637756"/>
    <n v="0.66912811687228424"/>
    <n v="8.5738217023665513"/>
    <n v="8.5787779192943212"/>
    <n v="373.34062134227082"/>
    <n v="-6.2593220689442841E-2"/>
    <n v="15.967803679604611"/>
    <n v="16.780974805650569"/>
  </r>
  <r>
    <d v="2026-02-05T02:09:39"/>
    <s v="02-05_02-09-39_multihead_spsa_f7_w5_h5_effsu2_effsu2_realamplitudes_full_r3_3_2.pkl"/>
    <x v="1"/>
    <s v="data/reduce_row_number_absolutes"/>
    <n v="16590"/>
    <n v="4.5"/>
    <s v="[['wv', 'sv', '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3, 'encoding': 'compact', 'ansatz': 'efficientsu2', 'entangle': 'full', 'map': [0, 1, 2]}, {'features': ['sv', 'yr', 'rarad'], 'output_dim': 2, 'reps': 3, 'encoding': 'compact', 'ansatz': 'efficientsu2', 'entangle': 'full', 'map': [0, 1, 2]}, {'features': ['ya', 'yr', 'rarad'], 'output_dim': 1, 'reps': 2, 'encoding': 'compact', 'ansatz': 'realamplitudes', 'entangle': 'full', 'map': [0, 1, 2]}]"/>
    <x v="0"/>
    <s v="compact"/>
    <s v="['effsu2', 'effsu2', 'realamplitudes']"/>
    <s v="full"/>
    <s v="[3, 3, 2]"/>
    <s v="[0, 1, 2]"/>
    <s v="false"/>
    <n v="190"/>
    <n v="70"/>
    <n v="120"/>
    <s v="spsa"/>
    <n v="4000"/>
    <n v="4000"/>
    <n v="0.1142989550961462"/>
    <m/>
    <n v="128"/>
    <s v="[0.02, 0.001]"/>
    <n v="0.1"/>
    <n v="33.571529878620098"/>
    <n v="0.63569625167631649"/>
    <n v="33.571529878620098"/>
    <n v="8.9682795490812914"/>
    <n v="33.571529878620098"/>
    <n v="8.9682795490812914"/>
    <n v="8.359060218315074"/>
    <n v="0.63569625167631649"/>
    <n v="104.89327929643051"/>
    <n v="16.605371767166758"/>
    <n v="17.584049286512311"/>
    <n v="7.0137181520892961E-2"/>
    <n v="0.5714285714285714"/>
    <n v="5.0385827674987782E-2"/>
    <n v="0.63413374429361613"/>
    <n v="5.0385827674987782E-2"/>
    <n v="0.1729239784734298"/>
    <n v="5.0385827674987782E-2"/>
    <n v="0.63413374429361613"/>
    <n v="0.1729239784734298"/>
    <n v="0.1748957360725665"/>
    <n v="0.1263032512743287"/>
    <n v="8.2875090881547209E-2"/>
    <n v="0.29361250510775982"/>
    <n v="0.3337770363681456"/>
    <n v="6.9157582816173499E-2"/>
    <n v="0.76038374635756067"/>
    <n v="6.9157582816173499E-2"/>
    <n v="0.22031414692417839"/>
    <n v="6.9157582816173499E-2"/>
    <n v="0.76038374635756067"/>
    <n v="0.22031414692417839"/>
    <n v="0.30334791412572609"/>
    <n v="0.2309396149826487"/>
    <n v="0.1998435586324698"/>
    <n v="0.40389876542514058"/>
    <n v="0.38897801937207649"/>
    <n v="0.1171210835342954"/>
    <n v="0.52979589523162285"/>
    <n v="0.1171210835342954"/>
    <n v="0.29440450902296711"/>
    <n v="0.1171210835342954"/>
    <n v="0.52979589523162285"/>
    <n v="0.29440450902296711"/>
    <n v="0.36224086544359102"/>
    <n v="0.20165513720227821"/>
    <n v="0.1904184080368713"/>
    <n v="0.37728682612944281"/>
    <n v="0.38330192043243749"/>
    <n v="134.0494550204545"/>
    <n v="0.61847162082246798"/>
    <n v="134.0494550204545"/>
    <n v="8.9305953849055193"/>
    <n v="134.0494550204545"/>
    <n v="0.61847162082246798"/>
    <n v="8.9305953849055193"/>
    <n v="8.2988238538632508"/>
    <n v="419.01421918226288"/>
    <n v="-0.19258833146732399"/>
    <n v="16.562580782976749"/>
    <n v="17.541461324067718"/>
  </r>
  <r>
    <d v="2026-02-04T11:51:04"/>
    <s v="02-04_11-51-04_multihead_spsa_f7_w5_h5_effsu2_effsu2_realamplitudes_full_r3_3_2.pkl"/>
    <x v="2"/>
    <s v="data/reduce_row_number_absolutes"/>
    <n v="16590"/>
    <n v="4.5"/>
    <s v="[['wv', 'sv', '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3, 'encoding': 'compact', 'ansatz': 'efficientsu2', 'entangle': 'full', 'map': [0, 1, 2]}, {'features': ['sv', 'yr', 'rarad'], 'output_dim': 2, 'reps': 3, 'encoding': 'compact', 'ansatz': 'efficientsu2', 'entangle': 'full', 'map': [0, 1, 2]}, {'features': ['ya', 'yr', 'rarad'], 'output_dim': 1, 'reps': 2, 'encoding': 'compact', 'ansatz': 'realamplitudes', 'entangle': 'full', 'map': [0, 1, 2]}]"/>
    <x v="0"/>
    <s v="compact"/>
    <s v="['effsu2', 'effsu2', 'realamplitudes']"/>
    <s v="full"/>
    <s v="[3, 3, 2]"/>
    <s v="[0, 1, 2]"/>
    <s v="false"/>
    <n v="190"/>
    <n v="70"/>
    <n v="120"/>
    <s v="spsa"/>
    <n v="4000"/>
    <n v="4000"/>
    <n v="0.11781053869581359"/>
    <m/>
    <n v="128"/>
    <s v="[0.02, 0.001]"/>
    <n v="0.1"/>
    <n v="30.580704870182821"/>
    <n v="0.63023845631517894"/>
    <n v="30.580704870182821"/>
    <n v="8.7114229443649176"/>
    <n v="30.580704870182821"/>
    <n v="8.7114229443649176"/>
    <n v="8.3922479471049876"/>
    <n v="0.63023845631517894"/>
    <n v="105.5948920917308"/>
    <n v="17.06601003806442"/>
    <n v="17.1728210295046"/>
    <n v="2.6775595018331271E-3"/>
    <n v="0.5714285714285714"/>
    <n v="5.4983410060893523E-2"/>
    <n v="0.60074935168855093"/>
    <n v="5.4983410060893523E-2"/>
    <n v="0.18626543148712699"/>
    <n v="5.4983410060893523E-2"/>
    <n v="0.60074935168855093"/>
    <n v="0.18626543148712699"/>
    <n v="0.20865264612428111"/>
    <n v="0.14190977343340669"/>
    <n v="-3.0448438579398159E-2"/>
    <n v="0.31414033215269049"/>
    <n v="0.29965197495807783"/>
    <n v="7.3517550084749722E-2"/>
    <n v="0.74527739098252044"/>
    <n v="7.3517550084749722E-2"/>
    <n v="0.21852309237838119"/>
    <n v="7.3517550084749722E-2"/>
    <n v="0.74527739098252044"/>
    <n v="0.21852309237838119"/>
    <n v="0.29037281797130632"/>
    <n v="0.26870912119218998"/>
    <n v="6.8980286503493526E-2"/>
    <n v="0.45456873788639962"/>
    <n v="0.48500952720603779"/>
    <n v="0.11896951058840891"/>
    <n v="0.5223750452703555"/>
    <n v="0.11896951058840891"/>
    <n v="0.30304968390700981"/>
    <n v="0.11896951058840891"/>
    <n v="0.5223750452703555"/>
    <n v="0.30304968390700981"/>
    <n v="0.30322386351183722"/>
    <n v="0.20609598237444191"/>
    <n v="0.1725898193184208"/>
    <n v="0.39592355069507501"/>
    <n v="0.37336286486800441"/>
    <n v="122.0753490099968"/>
    <n v="0.65255203731929556"/>
    <n v="122.0753490099968"/>
    <n v="8.6710603246968301"/>
    <n v="122.0753490099968"/>
    <n v="0.65255203731929556"/>
    <n v="8.6710603246968301"/>
    <n v="8.3498211938254006"/>
    <n v="421.76285348992383"/>
    <n v="-0.20041142923518621"/>
    <n v="17.019946475733811"/>
    <n v="17.126577693489519"/>
  </r>
  <r>
    <d v="2026-02-05T05:08:26"/>
    <s v="02-05_05-08-26_multihead_spsa_f7_w5_h5_effsu2_effsu2_realamplitudes_full_r3_3_2.pkl"/>
    <x v="3"/>
    <s v="data/reduce_row_number_absolutes"/>
    <n v="16590"/>
    <n v="4.5"/>
    <s v="[['wv', 'sv', '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3, 'encoding': 'compact', 'ansatz': 'efficientsu2', 'entangle': 'full', 'map': [0, 1, 2]}, {'features': ['sv', 'yr', 'rarad'], 'output_dim': 2, 'reps': 3, 'encoding': 'compact', 'ansatz': 'efficientsu2', 'entangle': 'full', 'map': [0, 1, 2]}, {'features': ['ya', 'yr', 'rarad'], 'output_dim': 1, 'reps': 2, 'encoding': 'compact', 'ansatz': 'realamplitudes', 'entangle': 'full', 'map': [0, 1, 2]}]"/>
    <x v="0"/>
    <s v="compact"/>
    <s v="['effsu2', 'effsu2', 'realamplitudes']"/>
    <s v="full"/>
    <s v="[3, 3, 2]"/>
    <s v="[0, 1, 2]"/>
    <s v="false"/>
    <n v="190"/>
    <n v="70"/>
    <n v="120"/>
    <s v="spsa"/>
    <n v="4000"/>
    <n v="4000"/>
    <n v="0.1252292752028594"/>
    <m/>
    <n v="128"/>
    <s v="[0.02, 0.001]"/>
    <n v="0.1"/>
    <n v="30.089637168473121"/>
    <n v="0.62521523282106095"/>
    <n v="30.089637168473121"/>
    <n v="8.7427212243098609"/>
    <n v="30.089637168473121"/>
    <n v="8.7427212243098609"/>
    <n v="9.2847750705107934"/>
    <n v="0.62521523282106095"/>
    <n v="90.189841017295123"/>
    <n v="15.627266985737521"/>
    <n v="15.838986713080001"/>
    <n v="-4.2180864983690891E-2"/>
    <n v="0.5714285714285714"/>
    <n v="6.0343184624275237E-2"/>
    <n v="0.56183045839212831"/>
    <n v="6.0343184624275237E-2"/>
    <n v="0.19168921482796381"/>
    <n v="6.0343184624275237E-2"/>
    <n v="0.56183045839212831"/>
    <n v="0.19168921482796381"/>
    <n v="0.15665666315844171"/>
    <n v="0.15748196339324241"/>
    <n v="-0.1435226718837341"/>
    <n v="0.33518134367587538"/>
    <n v="0.375937768831347"/>
    <n v="6.2902241566907088E-2"/>
    <n v="0.78205716775790635"/>
    <n v="6.2902241566907088E-2"/>
    <n v="0.20410380288234539"/>
    <n v="6.2902241566907088E-2"/>
    <n v="0.78205716775790635"/>
    <n v="0.20410380288234539"/>
    <n v="0.23368899329141549"/>
    <n v="0.29118347792668448"/>
    <n v="-8.8885594632264198E-3"/>
    <n v="0.47429052273904848"/>
    <n v="0.48865494825711941"/>
    <n v="0.1248345238469534"/>
    <n v="0.49882887215216493"/>
    <n v="0.1248345238469534"/>
    <n v="0.31093458506804861"/>
    <n v="0.1248345238469534"/>
    <n v="0.49882887215216493"/>
    <n v="0.31093458506804861"/>
    <n v="0.41284075078833338"/>
    <n v="0.2469702373203905"/>
    <n v="8.4926143151355937E-3"/>
    <n v="0.44346536430283129"/>
    <n v="0.4399116634294376"/>
    <n v="120.1104687238541"/>
    <n v="0.65814443298204217"/>
    <n v="120.1104687238541"/>
    <n v="8.7073568029411756"/>
    <n v="120.1104687238541"/>
    <n v="0.65814443298204217"/>
    <n v="8.7073568029411756"/>
    <n v="9.2364494088706994"/>
    <n v="360.06372839054183"/>
    <n v="-2.480484290294727E-2"/>
    <n v="15.569265787078031"/>
    <n v="15.77584111959243"/>
  </r>
  <r>
    <d v="2026-02-04T20:04:19"/>
    <s v="02-04_20-04-19_multihead_spsa_f7_w5_h5_effsu2_effsu2_realamplitudes_full_r3_3_2.pkl"/>
    <x v="4"/>
    <s v="data/reduce_row_number_absolutes"/>
    <n v="16590"/>
    <n v="4.5"/>
    <s v="[['wv', 'sv', '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3, 'encoding': 'compact', 'ansatz': 'efficientsu2', 'entangle': 'full', 'map': [0, 1, 2]}, {'features': ['sv', 'yr', 'rarad'], 'output_dim': 2, 'reps': 3, 'encoding': 'compact', 'ansatz': 'efficientsu2', 'entangle': 'full', 'map': [0, 1, 2]}, {'features': ['ya', 'yr', 'rarad'], 'output_dim': 1, 'reps': 2, 'encoding': 'compact', 'ansatz': 'realamplitudes', 'entangle': 'full', 'map': [0, 1, 2]}]"/>
    <x v="0"/>
    <s v="compact"/>
    <s v="['effsu2', 'effsu2', 'realamplitudes']"/>
    <s v="full"/>
    <s v="[3, 3, 2]"/>
    <s v="[0, 1, 2]"/>
    <s v="false"/>
    <n v="190"/>
    <n v="70"/>
    <n v="120"/>
    <s v="spsa"/>
    <n v="4000"/>
    <n v="4000"/>
    <n v="0.1296207488365449"/>
    <m/>
    <n v="128"/>
    <s v="[0.02, 0.001]"/>
    <n v="0.1"/>
    <n v="29.140694869377391"/>
    <n v="0.60028632478344535"/>
    <n v="29.140694869377391"/>
    <n v="8.762709528118231"/>
    <n v="29.140694869377391"/>
    <n v="8.762709528118231"/>
    <n v="10.70367599845085"/>
    <n v="0.60028632478344535"/>
    <n v="124.15128599981939"/>
    <n v="18.606096824557319"/>
    <n v="20.642010598456249"/>
    <n v="-0.17768283657896289"/>
    <n v="0.5714285714285714"/>
    <n v="4.3870195786120163E-2"/>
    <n v="0.68144565624866149"/>
    <n v="4.3870195786120163E-2"/>
    <n v="0.16869601537597831"/>
    <n v="4.3870195786120163E-2"/>
    <n v="0.68144565624866149"/>
    <n v="0.16869601537597831"/>
    <n v="0.18430365880067501"/>
    <n v="0.16068684397550151"/>
    <n v="-0.1667942486886396"/>
    <n v="0.34152436995886409"/>
    <n v="0.32749585419707122"/>
    <n v="8.3379872928518908E-2"/>
    <n v="0.71110654874360457"/>
    <n v="8.3379872928518908E-2"/>
    <n v="0.24092837683981899"/>
    <n v="8.3379872928518908E-2"/>
    <n v="0.71110654874360457"/>
    <n v="0.24092837683981899"/>
    <n v="0.25787135776009701"/>
    <n v="0.2869434374999148"/>
    <n v="5.8022750191701888E-3"/>
    <n v="0.46733529703501547"/>
    <n v="0.47058270979489208"/>
    <n v="0.16451585099325561"/>
    <n v="0.33952089493912457"/>
    <n v="0.16451585099325561"/>
    <n v="0.35358254648193999"/>
    <n v="0.16451585099325561"/>
    <n v="0.33952089493912457"/>
    <n v="0.35358254648193999"/>
    <n v="0.39820189704049502"/>
    <n v="0.28355775126808558"/>
    <n v="-0.13839468148450521"/>
    <n v="0.46821281670938603"/>
    <n v="0.5031082236626705"/>
    <n v="116.27101355780179"/>
    <n v="0.66907219920239136"/>
    <n v="116.27101355780179"/>
    <n v="8.7201735715221176"/>
    <n v="116.27101355780179"/>
    <n v="0.66907219920239136"/>
    <n v="8.7201735715221176"/>
    <n v="10.66802571525179"/>
    <n v="495.87395596653198"/>
    <n v="-0.41134469116188138"/>
    <n v="18.5568535300295"/>
    <n v="20.59263904597697"/>
  </r>
  <r>
    <d v="2026-02-05T08:21:20"/>
    <s v="02-05_08-21-20_multihead_spsa_f7_w5_h5_effsu2_effsu2_effsu2_realamplitudes_full_r3_3_3_2.pkl"/>
    <x v="3"/>
    <s v="data/reduce_row_number_absolutes"/>
    <n v="16590"/>
    <n v="4.5"/>
    <s v="[['wv', 'sv', 'rarad'], ['sv', 'yr', '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ya', 'yr', 'rarad'], 'output_dim': 1, 'reps': 2, 'encoding': 'compact', 'ansatz': 'realamplitudes', 'entangle': 'full', 'map': [0, 1, 2]}]"/>
    <x v="1"/>
    <s v="compact"/>
    <s v="['effsu2', 'effsu2', 'effsu2', 'realamplitudes']"/>
    <s v="full"/>
    <s v="[3, 3, 3, 2]"/>
    <s v="[0, 1, 2]"/>
    <s v="false"/>
    <n v="220"/>
    <n v="100"/>
    <n v="120"/>
    <s v="spsa"/>
    <n v="4000"/>
    <n v="4000"/>
    <n v="0.140677106239807"/>
    <m/>
    <n v="128"/>
    <s v="[0.02, 0.001]"/>
    <n v="0.1"/>
    <n v="31.938672382267921"/>
    <n v="0.56502965149674655"/>
    <n v="31.938672382267921"/>
    <n v="9.0028222524529262"/>
    <n v="31.938672382267921"/>
    <n v="9.0028222524529262"/>
    <n v="9.1254713899332991"/>
    <n v="0.56502965149674655"/>
    <n v="89.125500004473281"/>
    <n v="15.62306190661049"/>
    <n v="16.057425048868041"/>
    <n v="1.514699021450067E-2"/>
    <n v="0.5714285714285714"/>
    <n v="6.2470704065846899E-2"/>
    <n v="0.54638191645189604"/>
    <n v="6.2470704065846899E-2"/>
    <n v="0.1962093270107918"/>
    <n v="6.2470704065846899E-2"/>
    <n v="0.54638191645189604"/>
    <n v="0.1962093270107918"/>
    <n v="0.1609007543776319"/>
    <n v="0.1499838141135108"/>
    <n v="-8.9076413316768743E-2"/>
    <n v="0.32790960318607182"/>
    <n v="0.3283239531074264"/>
    <n v="8.9810529820702617E-2"/>
    <n v="0.68882569608481803"/>
    <n v="8.9810529820702617E-2"/>
    <n v="0.25455132484564158"/>
    <n v="8.9810529820702617E-2"/>
    <n v="0.68882569608481803"/>
    <n v="0.25455132484564158"/>
    <n v="0.29014443581993021"/>
    <n v="0.28252317956493428"/>
    <n v="2.1117524676299571E-2"/>
    <n v="0.45435570507285561"/>
    <n v="0.42262993127919368"/>
    <n v="0.15252613185552311"/>
    <n v="0.38765582490611888"/>
    <n v="0.15252613185552311"/>
    <n v="0.34547561964169832"/>
    <n v="0.15252613185552311"/>
    <n v="0.38765582490611888"/>
    <n v="0.34547561964169832"/>
    <n v="0.40136253790825599"/>
    <n v="0.21387122506527101"/>
    <n v="0.141374679238816"/>
    <n v="0.40078144533090998"/>
    <n v="0.40499995736472749"/>
    <n v="127.4498821633298"/>
    <n v="0.63725516854415476"/>
    <n v="127.4498821633298"/>
    <n v="8.9541443398717799"/>
    <n v="127.4498821633298"/>
    <n v="0.63725516854415476"/>
    <n v="8.9541443398717799"/>
    <n v="9.0733701668406113"/>
    <n v="355.85562179915058"/>
    <n v="-1.282782974034413E-2"/>
    <n v="15.571032682179821"/>
    <n v="16.004214899034078"/>
  </r>
  <r>
    <d v="2026-02-05T00:12:58"/>
    <s v="02-05_00-12-58_multihead_spsa_f7_w5_h5_effsu2_effsu2_effsu2_realamplitudes_full_r3_3_3_2.pkl"/>
    <x v="0"/>
    <s v="data/reduce_row_number_absolutes"/>
    <n v="16590"/>
    <n v="4.5"/>
    <s v="[['wv', 'sv', 'rarad'], ['sv', 'yr', '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ya', 'yr', 'rarad'], 'output_dim': 1, 'reps': 2, 'encoding': 'compact', 'ansatz': 'realamplitudes', 'entangle': 'full', 'map': [0, 1, 2]}]"/>
    <x v="1"/>
    <s v="compact"/>
    <s v="['effsu2', 'effsu2', 'effsu2', 'realamplitudes']"/>
    <s v="full"/>
    <s v="[3, 3, 3, 2]"/>
    <s v="[0, 1, 2]"/>
    <s v="false"/>
    <n v="220"/>
    <n v="100"/>
    <n v="120"/>
    <s v="spsa"/>
    <n v="4000"/>
    <n v="4000"/>
    <n v="0.13445614728713609"/>
    <m/>
    <n v="128"/>
    <s v="[0.02, 0.001]"/>
    <n v="0.1"/>
    <n v="33.152786557549248"/>
    <n v="0.56365043824400662"/>
    <n v="33.152786557549248"/>
    <n v="9.3362041829918034"/>
    <n v="33.152786557549248"/>
    <n v="9.3362041829918034"/>
    <n v="8.7108126063794522"/>
    <n v="0.56365043824400662"/>
    <n v="106.27420895782591"/>
    <n v="17.017676164653281"/>
    <n v="18.30814752656471"/>
    <n v="-7.3771216897262598E-2"/>
    <n v="0.5714285714285714"/>
    <n v="5.8734477210984411E-2"/>
    <n v="0.57351175420460121"/>
    <n v="5.8734477210984411E-2"/>
    <n v="0.1831052480059279"/>
    <n v="5.8734477210984411E-2"/>
    <n v="0.57351175420460121"/>
    <n v="0.1831052480059279"/>
    <n v="0.20342911472324671"/>
    <n v="0.1242270679702958"/>
    <n v="9.7950866087750388E-2"/>
    <n v="0.29743825497302551"/>
    <n v="0.29605788930882798"/>
    <n v="7.7732870853090621E-2"/>
    <n v="0.7306722048369052"/>
    <n v="7.7732870853090621E-2"/>
    <n v="0.22930014938253879"/>
    <n v="7.7732870853090621E-2"/>
    <n v="0.7306722048369052"/>
    <n v="0.22930014938253879"/>
    <n v="0.29229561594047437"/>
    <n v="0.30298656435868038"/>
    <n v="-4.9783733023158312E-2"/>
    <n v="0.47199929216589348"/>
    <n v="0.42550297261391129"/>
    <n v="0.16763787509376091"/>
    <n v="0.3269869556777657"/>
    <n v="0.16763787509376091"/>
    <n v="0.36939765341779068"/>
    <n v="0.16763787509376091"/>
    <n v="0.3269869556777657"/>
    <n v="0.36939765341779068"/>
    <n v="0.421598195294622"/>
    <n v="0.28280492146026098"/>
    <n v="-0.1353723079275915"/>
    <n v="0.46890073532172971"/>
    <n v="0.5242698264981005"/>
    <n v="132.30704100703929"/>
    <n v="0.62343083825675794"/>
    <n v="132.30704100703929"/>
    <n v="9.2904748487691631"/>
    <n v="132.30704100703929"/>
    <n v="0.62343083825675794"/>
    <n v="9.2904748487691631"/>
    <n v="8.6500074653235828"/>
    <n v="424.38681727751691"/>
    <n v="-0.20787969272606091"/>
    <n v="16.963230901762181"/>
    <n v="18.256774466130349"/>
  </r>
  <r>
    <d v="2026-02-04T12:03:00"/>
    <s v="02-04_12-03-00_multihead_spsa_f7_w5_h5_effsu2_effsu2_effsu2_realamplitudes_full_r3_3_3_2.pkl"/>
    <x v="2"/>
    <s v="data/reduce_row_number_absolutes"/>
    <n v="16590"/>
    <n v="4.5"/>
    <s v="[['wv', 'sv', 'rarad'], ['sv', 'yr', '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sv', 'yr', 'rarad'], 'output_dim': 1, 'reps': 3, 'encoding': 'compact', 'ansatz': 'efficientsu2', 'entangle': 'full', 'map': [0, 1, 2]}, {'features': ['ya', 'yr', 'rarad'], 'output_dim': 1, 'reps': 2, 'encoding': 'compact', 'ansatz': 'realamplitudes', 'entangle': 'full', 'map': [0, 1, 2]}]"/>
    <x v="1"/>
    <s v="compact"/>
    <s v="['effsu2', 'effsu2', 'effsu2', 'realamplitudes']"/>
    <s v="full"/>
    <s v="[3, 3, 3, 2]"/>
    <s v="[0, 1, 2]"/>
    <s v="false"/>
    <n v="220"/>
    <n v="100"/>
    <n v="120"/>
    <s v="spsa"/>
    <n v="4000"/>
    <n v="4000"/>
    <n v="0.14313134981929709"/>
    <m/>
    <n v="128"/>
    <s v="[0.02, 0.001]"/>
    <n v="0.1"/>
    <n v="33.433877837118231"/>
    <n v="0.5538846963606926"/>
    <n v="33.433877837118231"/>
    <n v="9.1968345280261552"/>
    <n v="33.433877837118231"/>
    <n v="9.1968345280261552"/>
    <n v="8.50496606873795"/>
    <n v="0.5538846963606926"/>
    <n v="89.39173594606352"/>
    <n v="15.722445131035631"/>
    <n v="15.7931790403461"/>
    <n v="-0.97662816764721994"/>
    <n v="0.5714285714285714"/>
    <n v="5.6009493820832687E-2"/>
    <n v="0.59329865690763661"/>
    <n v="5.6009493820832687E-2"/>
    <n v="0.18800700034394169"/>
    <n v="5.6009493820832687E-2"/>
    <n v="0.59329865690763661"/>
    <n v="0.18800700034394169"/>
    <n v="0.1948666657511352"/>
    <n v="0.70744421716857553"/>
    <n v="-4.1369597126830042"/>
    <n v="0.73188980237650791"/>
    <n v="0.72465838477928313"/>
    <n v="0.1103000524320638"/>
    <n v="0.61783387642989185"/>
    <n v="0.1103000524320638"/>
    <n v="0.27764445066351678"/>
    <n v="0.1103000524320638"/>
    <n v="0.61783387642989185"/>
    <n v="0.27764445066351678"/>
    <n v="0.34103145942638152"/>
    <n v="0.27896558091179291"/>
    <n v="3.3443844170360497E-2"/>
    <n v="0.43577333653017303"/>
    <n v="0.42813220158726262"/>
    <n v="0.15340408246560119"/>
    <n v="0.38413113090410528"/>
    <n v="0.15340408246560119"/>
    <n v="0.34502200862693733"/>
    <n v="0.15340408246560119"/>
    <n v="0.38413113090410528"/>
    <n v="0.34502200862693733"/>
    <n v="0.42084106748718852"/>
    <n v="0.19644508038493361"/>
    <n v="0.21133513820761429"/>
    <n v="0.37341608646470381"/>
    <n v="0.40478513484996531"/>
    <n v="133.41579771975449"/>
    <n v="0.62027512120113926"/>
    <n v="133.41579771975449"/>
    <n v="9.1460324937362198"/>
    <n v="133.41579771975449"/>
    <n v="0.62027512120113926"/>
    <n v="9.1460324937362198"/>
    <n v="8.4439531955738403"/>
    <n v="356.3840889057891"/>
    <n v="-1.4331940283827119E-2"/>
    <n v="15.63706406606893"/>
    <n v="15.720790176418969"/>
  </r>
  <r>
    <d v="2026-02-04T22:20:57"/>
    <s v="02-04_22-20-57_multihead_spsa_f7_w5_h5_effsu2_full_r5.pkl"/>
    <x v="3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5, 'encoding': 'compact', 'ansatz': 'efficientsu2', 'entangle': 'full', 'map': [0, 1, 2, 3, 4, -1]}]"/>
    <x v="2"/>
    <s v="compact"/>
    <s v="effsu2"/>
    <s v="full"/>
    <s v="5"/>
    <s v="[0, 1, 2, 3, 4, -1]"/>
    <s v="false"/>
    <n v="170"/>
    <n v="50"/>
    <n v="120"/>
    <s v="spsa"/>
    <n v="4000"/>
    <n v="4000"/>
    <n v="0.1945776566870201"/>
    <m/>
    <n v="128"/>
    <s v="[0.02, 0.001]"/>
    <n v="0.1"/>
    <n v="45.550217109114307"/>
    <n v="0.2769559677646114"/>
    <n v="45.550217109114307"/>
    <n v="11.323726540747529"/>
    <n v="45.550217109114307"/>
    <n v="11.323726540747529"/>
    <n v="11.26196537442766"/>
    <n v="0.2769559677646114"/>
    <n v="100.3333487336558"/>
    <n v="16.672657701846671"/>
    <n v="17.60704614940062"/>
    <n v="-2.6272675139448198E-2"/>
    <n v="0.5714285714285714"/>
    <n v="0.1205047329737913"/>
    <n v="0.1249798309871798"/>
    <n v="0.1205047329737913"/>
    <n v="0.28777386443926561"/>
    <n v="0.1205047329737913"/>
    <n v="0.1249798309871798"/>
    <n v="0.28777386443926561"/>
    <n v="0.31228119648842401"/>
    <n v="0.1238469720845726"/>
    <n v="0.1007108536663212"/>
    <n v="0.29571407240600239"/>
    <n v="0.30641168997265589"/>
    <n v="0.20472111600387741"/>
    <n v="0.29068505779417969"/>
    <n v="0.20472111600387741"/>
    <n v="0.39936439249999067"/>
    <n v="0.20472111600387741"/>
    <n v="0.29068505779417969"/>
    <n v="0.39936439249999067"/>
    <n v="0.40074736397828609"/>
    <n v="0.30341313687295779"/>
    <n v="-5.1261715676914177E-2"/>
    <n v="0.48490381645830738"/>
    <n v="0.47500950954327598"/>
    <n v="0.19696482563157949"/>
    <n v="0.20924852543874231"/>
    <n v="0.19696482563157949"/>
    <n v="0.38922267644463687"/>
    <n v="0.19696482563157949"/>
    <n v="0.20924852543874231"/>
    <n v="0.38922267644463687"/>
    <n v="0.37155134775181958"/>
    <n v="0.25262496343237989"/>
    <n v="-1.42093224238613E-2"/>
    <n v="0.4424246932822527"/>
    <n v="0.44450448170960422"/>
    <n v="181.67867776184869"/>
    <n v="0.48291045683834749"/>
    <n v="181.67867776184869"/>
    <n v="11.2653401751605"/>
    <n v="181.67867776184869"/>
    <n v="0.48291045683834749"/>
    <n v="11.2653401751605"/>
    <n v="11.20277673250771"/>
    <n v="400.65350986223291"/>
    <n v="-0.14033051612333841"/>
    <n v="16.613259218045339"/>
    <n v="17.55023441257601"/>
  </r>
  <r>
    <d v="2026-02-05T03:28:09"/>
    <s v="02-05_03-28-09_multihead_spsa_f5_w5_h5_effsu2_full_r3_4.pkl"/>
    <x v="0"/>
    <s v="data/reduce_row_number_absolutes"/>
    <n v="16590"/>
    <n v="4.5"/>
    <s v="[['wv', 'sv', 'rarad'], ['sv', 'yr', 'ya', 'rarad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3, 'encoding': 'compact', 'ansatz': 'efficientsu2', 'entangle': 'full', 'map': [0, 1, 2]}, {'features': ['sv', 'yr', 'ya', 'rarad'], 'output_dim': 3, 'reps': 4, 'encoding': 'compact', 'ansatz': 'efficientsu2', 'entangle': 'full', 'map': [0, 1, -1, 2, 3, -1]}]"/>
    <x v="3"/>
    <s v="compact"/>
    <s v="effsu2"/>
    <s v="full"/>
    <s v="[3, 4]"/>
    <s v="[[0, 1, 2], [0, 1, -1, 2, 3, -1]]"/>
    <s v="false"/>
    <n v="190"/>
    <n v="70"/>
    <n v="120"/>
    <s v="spsa"/>
    <n v="4000"/>
    <n v="4000"/>
    <n v="0.2157177813995961"/>
    <m/>
    <n v="128"/>
    <s v="[0.02, 0.001]"/>
    <n v="0.1"/>
    <n v="81.727987489234962"/>
    <n v="0.2692380942070991"/>
    <n v="81.727987489234962"/>
    <n v="15.113199304348059"/>
    <n v="81.727987489234962"/>
    <n v="15.113199304348059"/>
    <n v="14.382433719211059"/>
    <n v="0.2692380942070991"/>
    <n v="99.86372838505234"/>
    <n v="16.803200599871879"/>
    <n v="15.81940527470141"/>
    <n v="-9.7366682175646618E-2"/>
    <n v="0.8"/>
    <n v="5.0290491680519002E-2"/>
    <n v="0.6348260068789473"/>
    <n v="5.0290491680519002E-2"/>
    <n v="0.1688086640208481"/>
    <n v="5.0290491680519002E-2"/>
    <n v="0.6348260068789473"/>
    <n v="0.1688086640208481"/>
    <n v="0.1734904269333527"/>
    <n v="0.13928608795509551"/>
    <n v="-1.139708969032394E-2"/>
    <n v="0.31351838263230908"/>
    <n v="0.30517302078294151"/>
    <n v="0.24179389970168849"/>
    <n v="0.16223578036095329"/>
    <n v="0.24179389970168849"/>
    <n v="0.43215832009650113"/>
    <n v="0.24179389970168849"/>
    <n v="0.16223578036095329"/>
    <n v="0.43215832009650113"/>
    <n v="0.44820196350010588"/>
    <n v="0.27198504889340291"/>
    <n v="5.7629896698016769E-2"/>
    <n v="0.45574287335875913"/>
    <n v="0.43287188352705652"/>
    <n v="0.19703980838753879"/>
    <n v="0.208947493390754"/>
    <n v="0.19703980838753879"/>
    <n v="0.38505400340293477"/>
    <n v="0.19703980838753879"/>
    <n v="0.208947493390754"/>
    <n v="0.38505400340293477"/>
    <n v="0.39405115543909708"/>
    <n v="0.32402882197817851"/>
    <n v="-0.30087322930877147"/>
    <n v="0.49892895660397441"/>
    <n v="0.51879127390719215"/>
    <n v="326.4228257571707"/>
    <n v="7.0943096197743305E-2"/>
    <n v="326.4228257571707"/>
    <n v="15.06990766499476"/>
    <n v="326.4228257571707"/>
    <n v="7.0943096197743305E-2"/>
    <n v="15.06990766499476"/>
    <n v="14.33228665811682"/>
    <n v="398.71961358138441"/>
    <n v="-0.1348263064015085"/>
    <n v="16.743271442176471"/>
    <n v="15.75524607425848"/>
  </r>
  <r>
    <d v="2026-02-04T13:41:34"/>
    <s v="02-04_13-41-34_multihead_spsa_f5_w5_h5_effsu2_full_r3_4.pkl"/>
    <x v="2"/>
    <s v="data/reduce_row_number_absolutes"/>
    <n v="16590"/>
    <n v="4.5"/>
    <s v="[['wv', 'sv', 'rarad'], ['sv', 'yr', 'ya', 'rarad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3, 'encoding': 'compact', 'ansatz': 'efficientsu2', 'entangle': 'full', 'map': [0, 1, 2]}, {'features': ['sv', 'yr', 'ya', 'rarad'], 'output_dim': 3, 'reps': 4, 'encoding': 'compact', 'ansatz': 'efficientsu2', 'entangle': 'full', 'map': [0, 1, -1, 2, 3, -1]}]"/>
    <x v="3"/>
    <s v="compact"/>
    <s v="effsu2"/>
    <s v="full"/>
    <s v="[3, 4]"/>
    <s v="[[0, 1, 2], [0, 1, -1, 2, 3, -1]]"/>
    <s v="false"/>
    <n v="190"/>
    <n v="70"/>
    <n v="120"/>
    <s v="spsa"/>
    <n v="4000"/>
    <n v="4000"/>
    <n v="0.2272237729495013"/>
    <m/>
    <n v="128"/>
    <s v="[0.02, 0.001]"/>
    <n v="0.1"/>
    <n v="80.663090650400932"/>
    <n v="0.24309033730430241"/>
    <n v="80.663090650400932"/>
    <n v="14.917995872545591"/>
    <n v="80.663090650400932"/>
    <n v="14.917995872545591"/>
    <n v="15.229624193430659"/>
    <n v="0.24309033730430241"/>
    <n v="100.221436204309"/>
    <n v="16.699257724313789"/>
    <n v="16.67188095754631"/>
    <n v="-0.1997762829973472"/>
    <n v="0.8"/>
    <n v="5.8995764504640238E-2"/>
    <n v="0.57161447061902326"/>
    <n v="5.8995764504640238E-2"/>
    <n v="0.19339857198401331"/>
    <n v="5.8995764504640238E-2"/>
    <n v="0.57161447061902326"/>
    <n v="0.19339857198401331"/>
    <n v="0.20738502986866969"/>
    <n v="0.18452289481754439"/>
    <n v="-0.33987479682726601"/>
    <n v="0.36640240539178631"/>
    <n v="0.37418300480767153"/>
    <n v="0.25230089787716797"/>
    <n v="0.12583127578871511"/>
    <n v="0.25230089787716797"/>
    <n v="0.43165071534545763"/>
    <n v="0.25230089787716797"/>
    <n v="0.12583127578871511"/>
    <n v="0.43165071534545763"/>
    <n v="0.39739942914465992"/>
    <n v="0.29620998603653542"/>
    <n v="-2.6304336492150249E-2"/>
    <n v="0.4693779184336887"/>
    <n v="0.54350241058031223"/>
    <n v="0.20131545631384479"/>
    <n v="0.1917821193622192"/>
    <n v="0.20131545631384479"/>
    <n v="0.38838158611499851"/>
    <n v="0.20131545631384479"/>
    <n v="0.1917821193622192"/>
    <n v="0.38838158611499851"/>
    <n v="0.38377322709935008"/>
    <n v="0.32237166745064227"/>
    <n v="-0.29422027804184753"/>
    <n v="0.5016488903410472"/>
    <n v="0.47768253443097469"/>
    <n v="322.13975048290831"/>
    <n v="8.3133483447250467E-2"/>
    <n v="322.13975048290831"/>
    <n v="14.872205756891439"/>
    <n v="322.13975048290831"/>
    <n v="8.3133483447250467E-2"/>
    <n v="14.872205756891439"/>
    <n v="15.192723012383491"/>
    <n v="400.08264026893062"/>
    <n v="-0.13870572062811479"/>
    <n v="16.634919050308469"/>
    <n v="16.60518374186708"/>
  </r>
  <r>
    <d v="2026-02-04T18:30:40"/>
    <s v="02-04_18-30-40_multihead_spsa_f7_w5_h5_effsu2_full_r5.pkl"/>
    <x v="0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5, 'encoding': 'compact', 'ansatz': 'efficientsu2', 'entangle': 'full', 'map': [0, 1, 2, 3, 4, -1]}]"/>
    <x v="2"/>
    <s v="compact"/>
    <s v="effsu2"/>
    <s v="full"/>
    <s v="5"/>
    <s v="[0, 1, 2, 3, 4, -1]"/>
    <s v="false"/>
    <n v="170"/>
    <n v="50"/>
    <n v="120"/>
    <s v="spsa"/>
    <n v="4000"/>
    <n v="4000"/>
    <n v="0.2110096517884896"/>
    <m/>
    <n v="128"/>
    <s v="[0.02, 0.001]"/>
    <n v="0.1"/>
    <n v="37.806179064559807"/>
    <n v="0.23605484071103039"/>
    <n v="37.806179064559807"/>
    <n v="10.069901540098821"/>
    <n v="37.806179064559807"/>
    <n v="10.069901540098821"/>
    <n v="9.7839186512107261"/>
    <n v="0.23605484071103039"/>
    <n v="108.55510299801369"/>
    <n v="17.533400503338619"/>
    <n v="16.941794091351461"/>
    <n v="-8.1139435827041251E-2"/>
    <n v="0.5714285714285714"/>
    <n v="0.12788810908224979"/>
    <n v="7.1366974040609543E-2"/>
    <n v="0.12788810908224979"/>
    <n v="0.2978440974799153"/>
    <n v="0.12788810908224979"/>
    <n v="7.1366974040609543E-2"/>
    <n v="0.2978440974799153"/>
    <n v="0.28216285042227868"/>
    <n v="0.1382711142163697"/>
    <n v="-4.0270680282159521E-3"/>
    <n v="0.31160286613068239"/>
    <n v="0.30745567370166688"/>
    <n v="0.22035479503547839"/>
    <n v="0.23651769902228639"/>
    <n v="0.22035479503547839"/>
    <n v="0.41634018563728192"/>
    <n v="0.22035479503547839"/>
    <n v="0.23651769902228639"/>
    <n v="0.41634018563728192"/>
    <n v="0.43195891361770677"/>
    <n v="0.30663178670120139"/>
    <n v="-6.2413649886075673E-2"/>
    <n v="0.48820062356030203"/>
    <n v="0.47833830111821968"/>
    <n v="0.2328719110688586"/>
    <n v="6.5092934887587717E-2"/>
    <n v="0.2328719110688586"/>
    <n v="0.4279418247895741"/>
    <n v="0.2328719110688586"/>
    <n v="6.5092934887587717E-2"/>
    <n v="0.4279418247895741"/>
    <n v="0.41633593783952078"/>
    <n v="0.25512385662814158"/>
    <n v="-2.4241588200166531E-2"/>
    <n v="0.44812874907830702"/>
    <n v="0.43542730937417512"/>
    <n v="150.64360144305331"/>
    <n v="0.57124175489363815"/>
    <n v="150.64360144305331"/>
    <n v="9.991136131554093"/>
    <n v="150.64360144305331"/>
    <n v="0.57124175489363815"/>
    <n v="9.991136131554093"/>
    <n v="9.699342588011632"/>
    <n v="433.52038523450818"/>
    <n v="-0.23387543719370549"/>
    <n v="17.476490268376381"/>
    <n v="16.88327972201775"/>
  </r>
  <r>
    <d v="2026-02-05T00:33:17"/>
    <s v="02-05_00-33-17_multihead_spsa_f5_w5_h5_effsu2_full_r3_4.pkl"/>
    <x v="4"/>
    <s v="data/reduce_row_number_absolutes"/>
    <n v="16590"/>
    <n v="4.5"/>
    <s v="[['wv', 'sv', 'rarad'], ['sv', 'yr', 'ya', 'rarad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3, 'encoding': 'compact', 'ansatz': 'efficientsu2', 'entangle': 'full', 'map': [0, 1, 2]}, {'features': ['sv', 'yr', 'ya', 'rarad'], 'output_dim': 3, 'reps': 4, 'encoding': 'compact', 'ansatz': 'efficientsu2', 'entangle': 'full', 'map': [0, 1, -1, 2, 3, -1]}]"/>
    <x v="3"/>
    <s v="compact"/>
    <s v="effsu2"/>
    <s v="full"/>
    <s v="[3, 4]"/>
    <s v="[[0, 1, 2], [0, 1, -1, 2, 3, -1]]"/>
    <s v="false"/>
    <n v="190"/>
    <n v="70"/>
    <n v="120"/>
    <s v="spsa"/>
    <n v="4000"/>
    <n v="4000"/>
    <n v="0.2303219746065428"/>
    <m/>
    <n v="128"/>
    <s v="[0.02, 0.001]"/>
    <n v="0.1"/>
    <n v="92.717720257598543"/>
    <n v="0.23588080372307041"/>
    <n v="92.717720257598543"/>
    <n v="16.340282229330061"/>
    <n v="92.717720257598543"/>
    <n v="16.340282229330061"/>
    <n v="16.768282915892879"/>
    <n v="0.23588080372307041"/>
    <n v="92.960637202734361"/>
    <n v="16.388589764033679"/>
    <n v="16.772922103206149"/>
    <n v="-7.1431990308937099E-2"/>
    <n v="0.8"/>
    <n v="4.3759533981894499E-2"/>
    <n v="0.68224920402846412"/>
    <n v="4.3759533981894499E-2"/>
    <n v="0.16925253876988319"/>
    <n v="4.3759533981894499E-2"/>
    <n v="0.68224920402846412"/>
    <n v="0.16925253876988319"/>
    <n v="0.17627332282463701"/>
    <n v="0.1482362721132115"/>
    <n v="-7.6386998895250136E-2"/>
    <n v="0.32745196009158961"/>
    <n v="0.29885516574706611"/>
    <n v="0.26054493348201901"/>
    <n v="9.7267453195608256E-2"/>
    <n v="0.26054493348201901"/>
    <n v="0.44765193911038248"/>
    <n v="0.26054493348201901"/>
    <n v="9.7267453195608256E-2"/>
    <n v="0.44765193911038248"/>
    <n v="0.4185015843494248"/>
    <n v="0.31301944590034841"/>
    <n v="-8.4545524722023702E-2"/>
    <n v="0.49625489633044539"/>
    <n v="0.53893311273586586"/>
    <n v="0.1947475783461923"/>
    <n v="0.218150071970032"/>
    <n v="0.1947475783461923"/>
    <n v="0.38137052625937329"/>
    <n v="0.1947475783461923"/>
    <n v="0.218150071970032"/>
    <n v="0.38137052625937329"/>
    <n v="0.37981600401677701"/>
    <n v="0.26615704267931889"/>
    <n v="-6.8536340377879368E-2"/>
    <n v="0.46368684221372952"/>
    <n v="0.49428542194073122"/>
    <n v="370.37182898458337"/>
    <n v="-5.4143514301824291E-2"/>
    <n v="370.37182898458337"/>
    <n v="16.29880855172809"/>
    <n v="370.37182898458337"/>
    <n v="-5.4143514301824291E-2"/>
    <n v="16.29880855172809"/>
    <n v="16.733222602176529"/>
    <n v="371.11513605024572"/>
    <n v="-5.6259097240599187E-2"/>
    <n v="16.327500802822978"/>
    <n v="16.708866586082522"/>
  </r>
  <r>
    <d v="2026-02-04T20:10:43"/>
    <s v="02-04_20-10-43_multihead_spsa_f7_w5_h5_effsu2_full_r5.pkl"/>
    <x v="1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5, 'encoding': 'compact', 'ansatz': 'efficientsu2', 'entangle': 'full', 'map': [0, 1, 2, 3, 4, -1]}]"/>
    <x v="2"/>
    <s v="compact"/>
    <s v="effsu2"/>
    <s v="full"/>
    <s v="5"/>
    <s v="[0, 1, 2, 3, 4, -1]"/>
    <s v="false"/>
    <n v="170"/>
    <n v="50"/>
    <n v="120"/>
    <s v="spsa"/>
    <n v="4000"/>
    <n v="4000"/>
    <n v="0.20527538416761609"/>
    <m/>
    <n v="128"/>
    <s v="[0.02, 0.001]"/>
    <n v="0.1"/>
    <n v="39.342726060451668"/>
    <n v="0.2277918768074656"/>
    <n v="39.342726060451668"/>
    <n v="10.31984017463366"/>
    <n v="39.342726060451668"/>
    <n v="10.31984017463366"/>
    <n v="10.73696802094118"/>
    <n v="0.2277918768074656"/>
    <n v="108.4005700777186"/>
    <n v="17.487992699009439"/>
    <n v="18.8582502920002"/>
    <n v="-3.4733031196505809E-2"/>
    <n v="0.5714285714285714"/>
    <n v="0.120996714568968"/>
    <n v="0.1214074084943942"/>
    <n v="0.120996714568968"/>
    <n v="0.28464076382123621"/>
    <n v="0.120996714568968"/>
    <n v="0.1214074084943942"/>
    <n v="0.28464076382123621"/>
    <n v="0.2772715972849229"/>
    <n v="0.137018841943154"/>
    <n v="5.0660478114549212E-3"/>
    <n v="0.31726751927121111"/>
    <n v="0.30908057063374228"/>
    <n v="0.23452412546018661"/>
    <n v="0.1874239954147566"/>
    <n v="0.23452412546018661"/>
    <n v="0.42633962630939398"/>
    <n v="0.23452412546018661"/>
    <n v="0.1874239954147566"/>
    <n v="0.42633962630939398"/>
    <n v="0.45388581216622642"/>
    <n v="0.27915206441498691"/>
    <n v="3.2797718661314978E-2"/>
    <n v="0.46598506250591559"/>
    <n v="0.46071766645346712"/>
    <n v="0.2369912619174866"/>
    <n v="4.8555044188866692E-2"/>
    <n v="0.2369912619174866"/>
    <n v="0.43272432833028368"/>
    <n v="0.2369912619174866"/>
    <n v="4.8555044188866692E-2"/>
    <n v="0.43272432833028368"/>
    <n v="0.42143214009157243"/>
    <n v="0.2352717070097427"/>
    <n v="5.5458513244965653E-2"/>
    <n v="0.42859526389050012"/>
    <n v="0.39086744890386099"/>
    <n v="156.77839213985979"/>
    <n v="0.55378105913184739"/>
    <n v="156.77839213985979"/>
    <n v="10.24638541228857"/>
    <n v="156.77839213985979"/>
    <n v="0.55378105913184739"/>
    <n v="10.24638541228857"/>
    <n v="10.674560391360339"/>
    <n v="432.95083769750562"/>
    <n v="-0.23225440450376289"/>
    <n v="17.434751825978118"/>
    <n v="18.813493147855791"/>
  </r>
  <r>
    <d v="2026-02-05T06:25:58"/>
    <s v="02-05_06-25-58_multihead_spsa_f5_w5_h5_effsu2_full_r3_4.pkl"/>
    <x v="1"/>
    <s v="data/reduce_row_number_absolutes"/>
    <n v="16590"/>
    <n v="4.5"/>
    <s v="[['wv', 'sv', 'rarad'], ['sv', 'yr', 'ya', 'rarad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3, 'encoding': 'compact', 'ansatz': 'efficientsu2', 'entangle': 'full', 'map': [0, 1, 2]}, {'features': ['sv', 'yr', 'ya', 'rarad'], 'output_dim': 3, 'reps': 4, 'encoding': 'compact', 'ansatz': 'efficientsu2', 'entangle': 'full', 'map': [0, 1, -1, 2, 3, -1]}]"/>
    <x v="3"/>
    <s v="compact"/>
    <s v="effsu2"/>
    <s v="full"/>
    <s v="[3, 4]"/>
    <s v="[[0, 1, 2], [0, 1, -1, 2, 3, -1]]"/>
    <s v="false"/>
    <n v="190"/>
    <n v="70"/>
    <n v="120"/>
    <s v="spsa"/>
    <n v="4000"/>
    <n v="4000"/>
    <n v="0.22629529222254"/>
    <m/>
    <n v="128"/>
    <s v="[0.02, 0.001]"/>
    <n v="0.1"/>
    <n v="79.680596584143473"/>
    <n v="0.22441703568840529"/>
    <n v="79.680596584143473"/>
    <n v="14.84800120519755"/>
    <n v="79.680596584143473"/>
    <n v="14.84800120519755"/>
    <n v="16.61178077259688"/>
    <n v="0.22441703568840529"/>
    <n v="88.593301486989716"/>
    <n v="16.03509679543107"/>
    <n v="15.969981040060089"/>
    <n v="3.514228914947487E-3"/>
    <n v="0.8"/>
    <n v="4.8421844872190388E-2"/>
    <n v="0.64839479879025408"/>
    <n v="4.8421844872190388E-2"/>
    <n v="0.1699058858042844"/>
    <n v="4.8421844872190388E-2"/>
    <n v="0.64839479879025408"/>
    <n v="0.1699058858042844"/>
    <n v="0.14920854939412459"/>
    <n v="0.1283062994908867"/>
    <n v="6.8330370971046883E-2"/>
    <n v="0.3005253796131383"/>
    <n v="0.31269202675828239"/>
    <n v="0.27898293106587341"/>
    <n v="3.33837295921523E-2"/>
    <n v="0.27898293106587341"/>
    <n v="0.46223939558538701"/>
    <n v="0.27898293106587341"/>
    <n v="3.33837295921523E-2"/>
    <n v="0.46223939558538701"/>
    <n v="0.44661546017081277"/>
    <n v="0.29751476007696021"/>
    <n v="-3.082509986595916E-2"/>
    <n v="0.4802816486211241"/>
    <n v="0.46132265673857781"/>
    <n v="0.2188279402596669"/>
    <n v="0.121475035551774"/>
    <n v="0.2188279402596669"/>
    <n v="0.41209264418152752"/>
    <n v="0.2188279402596669"/>
    <n v="0.121475035551774"/>
    <n v="0.41209264418152752"/>
    <n v="0.40178346800301051"/>
    <n v="0.25326342325959428"/>
    <n v="-1.6772536684067418E-2"/>
    <n v="0.44206395072718141"/>
    <n v="0.41966856021906729"/>
    <n v="318.17615362037492"/>
    <n v="9.4414578819437822E-2"/>
    <n v="318.17615362037492"/>
    <n v="14.791754001183341"/>
    <n v="318.17615362037492"/>
    <n v="9.4414578819437822E-2"/>
    <n v="14.791754001183341"/>
    <n v="16.563881479767101"/>
    <n v="353.69412146513122"/>
    <n v="-6.6758187612299116E-3"/>
    <n v="15.979138751360001"/>
    <n v="15.91693469349773"/>
  </r>
  <r>
    <d v="2026-02-05T09:27:45"/>
    <s v="02-05_09-27-45_multihead_spsa_f5_w5_h5_effsu2_full_r3_4.pkl"/>
    <x v="3"/>
    <s v="data/reduce_row_number_absolutes"/>
    <n v="16590"/>
    <n v="4.5"/>
    <s v="[['wv', 'sv', 'rarad'], ['sv', 'yr', 'ya', 'rarad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3, 'encoding': 'compact', 'ansatz': 'efficientsu2', 'entangle': 'full', 'map': [0, 1, 2]}, {'features': ['sv', 'yr', 'ya', 'rarad'], 'output_dim': 3, 'reps': 4, 'encoding': 'compact', 'ansatz': 'efficientsu2', 'entangle': 'full', 'map': [0, 1, -1, 2, 3, -1]}]"/>
    <x v="3"/>
    <s v="compact"/>
    <s v="effsu2"/>
    <s v="full"/>
    <s v="[3, 4]"/>
    <s v="[[0, 1, 2], [0, 1, -1, 2, 3, -1]]"/>
    <s v="false"/>
    <n v="190"/>
    <n v="70"/>
    <n v="120"/>
    <s v="spsa"/>
    <n v="4000"/>
    <n v="4000"/>
    <n v="0.2334033855647818"/>
    <m/>
    <n v="128"/>
    <s v="[0.02, 0.001]"/>
    <n v="0.1"/>
    <n v="90.490256892462142"/>
    <n v="0.2202892811909633"/>
    <n v="90.490256892462142"/>
    <n v="16.33242731158462"/>
    <n v="90.490256892462142"/>
    <n v="16.33242731158462"/>
    <n v="16.02597502421315"/>
    <n v="0.2202892811909633"/>
    <n v="93.613224385043949"/>
    <n v="16.45603437019702"/>
    <n v="15.9422538507679"/>
    <n v="-0.1131467479854249"/>
    <n v="0.8"/>
    <n v="5.570149269512422E-2"/>
    <n v="0.59553514331296475"/>
    <n v="5.570149269512422E-2"/>
    <n v="0.1860230835580686"/>
    <n v="5.570149269512422E-2"/>
    <n v="0.59553514331296475"/>
    <n v="0.1860230835580686"/>
    <n v="0.1464374632459288"/>
    <n v="0.1546325448922195"/>
    <n v="-0.122832209386335"/>
    <n v="0.33259607296042393"/>
    <n v="0.3428614790697691"/>
    <n v="0.27359740070351668"/>
    <n v="5.2043442045314081E-2"/>
    <n v="0.27359740070351668"/>
    <n v="0.45890480809806178"/>
    <n v="0.27359740070351668"/>
    <n v="5.2043442045314081E-2"/>
    <n v="0.45890480809806178"/>
    <n v="0.46150574758109458"/>
    <n v="0.31015785788046951"/>
    <n v="-7.4630733416866546E-2"/>
    <n v="0.4941521410653853"/>
    <n v="0.47345340360443039"/>
    <n v="0.18374468269534369"/>
    <n v="0.26232321777133621"/>
    <n v="0.18374468269534369"/>
    <n v="0.368694624800044"/>
    <n v="0.18374468269534369"/>
    <n v="0.26232321777133621"/>
    <n v="0.368694624800044"/>
    <n v="0.42023021202969119"/>
    <n v="0.29679366705726118"/>
    <n v="-0.19153269683266869"/>
    <n v="0.48768198437521237"/>
    <n v="0.46041774383044293"/>
    <n v="361.44798399375378"/>
    <n v="-2.874467836576455E-2"/>
    <n v="361.44798399375378"/>
    <n v="16.29198522364641"/>
    <n v="361.44798399375378"/>
    <n v="-2.874467836576455E-2"/>
    <n v="16.29198522364641"/>
    <n v="15.97683360909433"/>
    <n v="373.69131347034511"/>
    <n v="-6.3591352305823134E-2"/>
    <n v="16.39129398177673"/>
    <n v="15.88484264316237"/>
  </r>
  <r>
    <d v="2026-02-04T11:49:55"/>
    <s v="02-04_11-49-55_multihead_spsa_f7_w5_h5_effsu2_full_r5.pkl"/>
    <x v="2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5, 'encoding': 'compact', 'ansatz': 'efficientsu2', 'entangle': 'full', 'map': [0, 1, 2, 3, 4, -1]}]"/>
    <x v="2"/>
    <s v="compact"/>
    <s v="effsu2"/>
    <s v="full"/>
    <n v="5"/>
    <s v="[0, 1, 2, 3, 4, -1]"/>
    <s v="false"/>
    <n v="170"/>
    <n v="50"/>
    <n v="120"/>
    <s v="spsa"/>
    <n v="4000"/>
    <n v="4000"/>
    <n v="0.2016609423875014"/>
    <m/>
    <n v="128"/>
    <s v="[0.02, 0.001]"/>
    <n v="0.1"/>
    <n v="38.863486658573279"/>
    <n v="0.1971518892342837"/>
    <n v="38.863486658573279"/>
    <n v="10.120487130128559"/>
    <n v="38.863486658573279"/>
    <n v="10.120487130128559"/>
    <n v="10.215977344264241"/>
    <n v="0.1971518892342837"/>
    <n v="98.053237889707205"/>
    <n v="16.76907795679432"/>
    <n v="16.87362011083648"/>
    <n v="-8.9631621744887813E-3"/>
    <n v="0.5714285714285714"/>
    <n v="0.15032763076368019"/>
    <n v="-9.1572966737671235E-2"/>
    <n v="0.15032763076368019"/>
    <n v="0.32812788360886358"/>
    <n v="0.15032763076368019"/>
    <n v="-9.1572966737671235E-2"/>
    <n v="0.32812788360886358"/>
    <n v="0.31873209919875811"/>
    <n v="0.15220725942669369"/>
    <n v="-0.1052215011130733"/>
    <n v="0.33319451712702541"/>
    <n v="0.34284407466026401"/>
    <n v="0.2291036898938982"/>
    <n v="0.20620464694441809"/>
    <n v="0.2291036898938982"/>
    <n v="0.4249380706967269"/>
    <n v="0.2291036898938982"/>
    <n v="0.20620464694441809"/>
    <n v="0.4249380706967269"/>
    <n v="0.41685329186745551"/>
    <n v="0.26561535781659229"/>
    <n v="7.9699515827736822E-2"/>
    <n v="0.45024263816430748"/>
    <n v="0.4308246758431159"/>
    <n v="0.2205111028044181"/>
    <n v="0.1147176703221172"/>
    <n v="0.2205111028044181"/>
    <n v="0.41875797558133282"/>
    <n v="0.2205111028044181"/>
    <n v="0.1147176703221172"/>
    <n v="0.41875797558133282"/>
    <n v="0.40686403546881961"/>
    <n v="0.22314280079231669"/>
    <n v="0.1041522353117907"/>
    <n v="0.41485080909548139"/>
    <n v="0.42435967170640693"/>
    <n v="154.85400421083111"/>
    <n v="0.5592582064082694"/>
    <n v="154.85400421083111"/>
    <n v="10.03951602994259"/>
    <n v="154.85400421083111"/>
    <n v="0.5592582064082694"/>
    <n v="10.03951602994259"/>
    <n v="10.144053131974561"/>
    <n v="391.57198614079277"/>
    <n v="-0.1144828987244115"/>
    <n v="16.715745890832761"/>
    <n v="16.82033381418195"/>
  </r>
  <r>
    <d v="2026-02-04T16:19:42"/>
    <s v="02-04_16-19-42_multihead_spsa_f7_w5_h5_effsu2_full_r5.pkl"/>
    <x v="4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5, 'encoding': 'compact', 'ansatz': 'efficientsu2', 'entangle': 'full', 'map': [0, 1, 2, 3, 4, -1]}]"/>
    <x v="2"/>
    <s v="compact"/>
    <s v="effsu2"/>
    <s v="full"/>
    <s v="5"/>
    <s v="[0, 1, 2, 3, 4, -1]"/>
    <s v="false"/>
    <n v="170"/>
    <n v="50"/>
    <n v="120"/>
    <s v="spsa"/>
    <n v="4000"/>
    <n v="4000"/>
    <n v="0.2264661329344731"/>
    <m/>
    <n v="128"/>
    <s v="[0.02, 0.001]"/>
    <n v="0.1"/>
    <n v="45.10687725671248"/>
    <n v="0.1639624719058457"/>
    <n v="45.10687725671248"/>
    <n v="10.98245431347909"/>
    <n v="45.10687725671248"/>
    <n v="10.98245431347909"/>
    <n v="11.636802812298249"/>
    <n v="0.1639624719058457"/>
    <n v="109.9716040374521"/>
    <n v="17.59633941197497"/>
    <n v="17.664157880629769"/>
    <n v="-8.4454852991385554E-2"/>
    <n v="0.5714285714285714"/>
    <n v="0.13095584062665519"/>
    <n v="4.9091276578540732E-2"/>
    <n v="0.13095584062665519"/>
    <n v="0.3043442478845344"/>
    <n v="0.13095584062665519"/>
    <n v="4.9091276578540732E-2"/>
    <n v="0.3043442478845344"/>
    <n v="0.31019223619327302"/>
    <n v="0.14547315739129121"/>
    <n v="-5.6323213421344047E-2"/>
    <n v="0.32351726846784201"/>
    <n v="0.31823827427267148"/>
    <n v="0.25349144312789079"/>
    <n v="0.121706290774009"/>
    <n v="0.25349144312789079"/>
    <n v="0.44423493265238478"/>
    <n v="0.25349144312789079"/>
    <n v="0.121706290774009"/>
    <n v="0.44423493265238478"/>
    <n v="0.4688775657622678"/>
    <n v="0.29205874989237229"/>
    <n v="-1.1921189881988431E-2"/>
    <n v="0.47513444639065672"/>
    <n v="0.46839232090972083"/>
    <n v="0.24988883089886679"/>
    <n v="-3.2246157457385132E-3"/>
    <n v="0.24988883089886679"/>
    <n v="0.44674476602672031"/>
    <n v="0.24988883089886679"/>
    <n v="-3.2246157457385132E-3"/>
    <n v="0.44674476602672031"/>
    <n v="0.4472581912098812"/>
    <n v="0.25395495522385481"/>
    <n v="-1.954881878769554E-2"/>
    <n v="0.44865966244113598"/>
    <n v="0.46817514983558522"/>
    <n v="179.79317291219709"/>
    <n v="0.48827693601656719"/>
    <n v="179.79317291219709"/>
    <n v="10.898376515713441"/>
    <n v="179.79317291219709"/>
    <n v="0.48827693601656719"/>
    <n v="10.898376515713441"/>
    <n v="11.570834827940219"/>
    <n v="439.19492928730199"/>
    <n v="-0.25002618987452441"/>
    <n v="17.540453779104631"/>
    <n v="17.60633977557103"/>
  </r>
  <r>
    <d v="2026-02-09T09:26:09"/>
    <s v="02-09_09-26-09_multihead_spsa_f5_w5_h5_effsu2_effsu2_effsu2_realamplitudes_full_r3_3_3_2.pkl"/>
    <x v="4"/>
    <s v="data/reduce_row_number_absolutes"/>
    <n v="16590"/>
    <n v="4.5"/>
    <s v="[['wv', 'sv', 'rarad'], ['sv', 'yr', '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ya', 'yr', 'rarad'], 'output_dim': 1, 'reps': 2, 'encoding': 'compact', 'ansatz': 'realamplitudes', 'entangle': 'full', 'map': [0, 1, 2]}]"/>
    <x v="1"/>
    <s v="compact"/>
    <s v="['effsu2', 'effsu2', 'effsu2', 'realamplitudes']"/>
    <s v="full"/>
    <s v="[3, 3, 3, 2]"/>
    <s v="[0, 1, 2]"/>
    <s v="false"/>
    <n v="220"/>
    <n v="100"/>
    <n v="120"/>
    <s v="spsa"/>
    <n v="4000"/>
    <n v="4000"/>
    <n v="0.13671024516103861"/>
    <m/>
    <n v="128"/>
    <s v="[0.02, 0.001]"/>
    <n v="0.1"/>
    <n v="26.244086568016279"/>
    <n v="0.59016009129504998"/>
    <n v="26.244086568016279"/>
    <n v="8.2111218643640438"/>
    <n v="26.244086568016279"/>
    <n v="8.2111218643640438"/>
    <n v="10.27310031894875"/>
    <n v="0.59016009129504998"/>
    <n v="102.92328221357999"/>
    <n v="16.558905961575132"/>
    <n v="17.531892881303168"/>
    <n v="-4.0488664291370158E-3"/>
    <n v="0.8"/>
    <n v="4.7150419888541052E-2"/>
    <n v="0.65762698807133346"/>
    <n v="4.7150419888541052E-2"/>
    <n v="0.17390385770913591"/>
    <n v="4.7150419888541052E-2"/>
    <n v="0.65762698807133346"/>
    <n v="0.17390385770913591"/>
    <n v="0.17121037200303721"/>
    <n v="0.13310991716889151"/>
    <n v="3.3449895750253138E-2"/>
    <n v="0.30355841622573548"/>
    <n v="0.27541710644471717"/>
    <n v="8.7202595882455033E-2"/>
    <n v="0.69786163017307123"/>
    <n v="8.7202595882455033E-2"/>
    <n v="0.24190585376552851"/>
    <n v="8.7202595882455033E-2"/>
    <n v="0.69786163017307123"/>
    <n v="0.24190585376552851"/>
    <n v="0.26366073574789728"/>
    <n v="0.27153143607548058"/>
    <n v="5.9201568228579471E-2"/>
    <n v="0.44913441581723729"/>
    <n v="0.38371312205054459"/>
    <n v="0.17359862032325529"/>
    <n v="0.30305644897641593"/>
    <n v="0.17359862032325529"/>
    <n v="0.36695089911049888"/>
    <n v="0.17359862032325529"/>
    <n v="0.30305644897641593"/>
    <n v="0.36695089911049888"/>
    <n v="0.41470035148518469"/>
    <n v="0.23386973858734561"/>
    <n v="6.1086973015607171E-2"/>
    <n v="0.42451039190580442"/>
    <n v="0.44368023994669831"/>
    <n v="104.6683946359708"/>
    <n v="0.70209529795937831"/>
    <n v="104.6683946359708"/>
    <n v="8.1609859695471521"/>
    <n v="104.6683946359708"/>
    <n v="0.70209529795937831"/>
    <n v="8.1609859695471521"/>
    <n v="10.232450127317859"/>
    <n v="411.0546177624858"/>
    <n v="-0.16993390271098671"/>
    <n v="16.50699218492305"/>
    <n v="17.486620292355251"/>
  </r>
  <r>
    <d v="2026-02-09T14:16:34"/>
    <s v="02-09_14-16-34_multihead_spsa_f5_w5_h5_effsu2_effsu2_effsu2_realamplitudes_full_r3_3_3_2.pkl"/>
    <x v="1"/>
    <s v="data/reduce_row_number_absolutes"/>
    <n v="16590"/>
    <n v="4.5"/>
    <s v="[['wv', 'sv', 'rarad'], ['sv', 'yr', '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sv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sv', 'yr', 'rarad'], 'output_dim': 1, 'reps': 3, 'encoding': 'compact', 'ansatz': 'effsu2', 'entangle': 'full', 'map': [0, 1, 2]}, {'features': ['ya', 'yr', 'rarad'], 'output_dim': 1, 'reps': 2, 'encoding': 'compact', 'ansatz': 'realamplitudes', 'entangle': 'full', 'map': [0, 1, 2]}]"/>
    <x v="1"/>
    <s v="compact"/>
    <s v="['effsu2', 'effsu2', 'effsu2', 'realamplitudes']"/>
    <s v="full"/>
    <s v="[3, 3, 3, 2]"/>
    <s v="[0, 1, 2]"/>
    <s v="false"/>
    <n v="220"/>
    <n v="100"/>
    <n v="120"/>
    <s v="spsa"/>
    <n v="4000"/>
    <n v="4000"/>
    <n v="0.13792199489875909"/>
    <m/>
    <n v="128"/>
    <s v="[0.02, 0.001]"/>
    <n v="0.1"/>
    <n v="29.941904953320481"/>
    <n v="0.57365135623854457"/>
    <n v="29.941904953320481"/>
    <n v="8.4177059410940114"/>
    <n v="29.941904953320481"/>
    <n v="8.4177059410940114"/>
    <n v="8.4679729527719445"/>
    <n v="0.57365135623854457"/>
    <n v="106.0287659255718"/>
    <n v="17.202464663126701"/>
    <n v="18.832918641928622"/>
    <n v="-6.6706666520244207E-2"/>
    <n v="0.8"/>
    <n v="5.1377782208611077E-2"/>
    <n v="0.62693087182342966"/>
    <n v="5.1377782208611077E-2"/>
    <n v="0.17600769478428999"/>
    <n v="5.1377782208611077E-2"/>
    <n v="0.62693087182342966"/>
    <n v="0.17600769478428999"/>
    <n v="0.16425273357293199"/>
    <n v="0.13676811726575611"/>
    <n v="6.8866331459753738E-3"/>
    <n v="0.31355789590639488"/>
    <n v="0.34620541970666241"/>
    <n v="9.063859511591274E-2"/>
    <n v="0.68595662669676583"/>
    <n v="9.063859511591274E-2"/>
    <n v="0.2598201345445813"/>
    <n v="9.063859511591274E-2"/>
    <n v="0.68595662669676583"/>
    <n v="0.2598201345445813"/>
    <n v="0.32067209465989632"/>
    <n v="0.30102212504520298"/>
    <n v="-4.2977370370857797E-2"/>
    <n v="0.46772853691913457"/>
    <n v="0.46647623102765212"/>
    <n v="0.1689516374837029"/>
    <n v="0.32171261522769501"/>
    <n v="0.1689516374837029"/>
    <n v="0.35527623306537182"/>
    <n v="0.1689516374837029"/>
    <n v="0.32171261522769501"/>
    <n v="0.35527623306537182"/>
    <n v="0.40248556861060092"/>
    <n v="0.25546291875975241"/>
    <n v="-2.56028154125858E-2"/>
    <n v="0.44562725426672939"/>
    <n v="0.44228274678593082"/>
    <n v="119.4566517984745"/>
    <n v="0.66000531120628303"/>
    <n v="119.4566517984745"/>
    <n v="8.360984429965864"/>
    <n v="119.4566517984745"/>
    <n v="0.66000531120628303"/>
    <n v="8.360984429965864"/>
    <n v="8.4043274380517001"/>
    <n v="423.42181054121602"/>
    <n v="-0.20513311344351101"/>
    <n v="17.152030310582379"/>
    <n v="18.7771072726786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77427-C516-4EB5-9747-E7A1FFB2538F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G6" firstHeaderRow="0" firstDataRow="1" firstDataCol="1"/>
  <pivotFields count="95">
    <pivotField numFmtId="164" showAll="0"/>
    <pivotField showAll="0"/>
    <pivotField axis="axisRow" showAll="0">
      <items count="6">
        <item x="2"/>
        <item x="4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sd="0" x="2"/>
        <item sd="0" x="3"/>
        <item sd="0" x="0"/>
        <item sd="0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16"/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Promedio de global open R2" fld="41" subtotal="average" baseField="0" baseItem="0"/>
    <dataField name="Promedio de global closed R2" fld="45" subtotal="average" baseField="0" baseItem="0"/>
    <dataField name="Promedio de Surge Velocity Global open R2" fld="52" subtotal="average" baseField="0" baseItem="0"/>
    <dataField name="Promedio de Sway Velocity Global open R2" fld="64" subtotal="average" baseField="0" baseItem="0"/>
    <dataField name="Promedio de Yaw Rate Global open R2" fld="76" subtotal="average" baseField="0" baseItem="0"/>
    <dataField name="Promedio de Yaw Angle Global open R2" fld="8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21"/>
  <sheetViews>
    <sheetView workbookViewId="0">
      <selection activeCell="P6" sqref="P6"/>
    </sheetView>
  </sheetViews>
  <sheetFormatPr baseColWidth="10" defaultColWidth="8.88671875" defaultRowHeight="14.4" x14ac:dyDescent="0.3"/>
  <sheetData>
    <row r="1" spans="1:9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x14ac:dyDescent="0.3">
      <c r="A2" s="2">
        <v>46057.96607638889</v>
      </c>
      <c r="B2" s="3" t="s">
        <v>95</v>
      </c>
      <c r="C2" s="3">
        <v>2</v>
      </c>
      <c r="D2" s="3" t="s">
        <v>96</v>
      </c>
      <c r="E2" s="5">
        <v>16590</v>
      </c>
      <c r="F2" s="5">
        <v>4.5</v>
      </c>
      <c r="G2" s="3" t="s">
        <v>97</v>
      </c>
      <c r="H2" s="3" t="s">
        <v>98</v>
      </c>
      <c r="I2" s="3">
        <v>5</v>
      </c>
      <c r="J2" s="3">
        <v>5</v>
      </c>
      <c r="K2" s="3" t="s">
        <v>99</v>
      </c>
      <c r="L2" s="3" t="s">
        <v>100</v>
      </c>
      <c r="M2" s="3" t="s">
        <v>101</v>
      </c>
      <c r="N2" s="3" t="s">
        <v>101</v>
      </c>
      <c r="O2" s="3" t="s">
        <v>102</v>
      </c>
      <c r="P2" s="3" t="s">
        <v>103</v>
      </c>
      <c r="Q2" s="3" t="str">
        <f t="shared" ref="Q2:Q19" si="0">IF(ISBLANK(P2),"","multihead"&amp; (LEN(P2)-LEN(SUBSTITUTE(P2,"{",""))))</f>
        <v>multihead3</v>
      </c>
      <c r="R2" s="3" t="s">
        <v>104</v>
      </c>
      <c r="S2" s="3" t="s">
        <v>105</v>
      </c>
      <c r="T2" s="3" t="s">
        <v>106</v>
      </c>
      <c r="U2" s="3" t="s">
        <v>107</v>
      </c>
      <c r="V2" s="3" t="s">
        <v>108</v>
      </c>
      <c r="W2" s="3" t="s">
        <v>101</v>
      </c>
      <c r="X2" s="3">
        <v>190</v>
      </c>
      <c r="Y2" s="3">
        <v>70</v>
      </c>
      <c r="Z2" s="3">
        <v>120</v>
      </c>
      <c r="AA2" s="3" t="s">
        <v>109</v>
      </c>
      <c r="AB2" s="3">
        <v>4000</v>
      </c>
      <c r="AC2" s="3">
        <v>4000</v>
      </c>
      <c r="AD2" s="3">
        <v>0.106298759815626</v>
      </c>
      <c r="AE2" s="3"/>
      <c r="AF2" s="3">
        <v>128</v>
      </c>
      <c r="AG2" s="3" t="s">
        <v>110</v>
      </c>
      <c r="AH2" s="3">
        <v>0.1</v>
      </c>
      <c r="AI2" s="3">
        <v>29.123440947665351</v>
      </c>
      <c r="AJ2" s="3">
        <v>0.63694174133948656</v>
      </c>
      <c r="AK2" s="3">
        <v>29.123440947665351</v>
      </c>
      <c r="AL2" s="3">
        <v>8.6133933006045691</v>
      </c>
      <c r="AM2" s="3">
        <v>29.123440947665351</v>
      </c>
      <c r="AN2" s="3">
        <v>8.6133933006045691</v>
      </c>
      <c r="AO2" s="3">
        <v>8.6300523392353128</v>
      </c>
      <c r="AP2" s="3">
        <v>0.63694174133948656</v>
      </c>
      <c r="AQ2" s="3">
        <v>93.514849393201374</v>
      </c>
      <c r="AR2" s="3">
        <v>16.025255490599029</v>
      </c>
      <c r="AS2" s="3">
        <v>16.834320435790939</v>
      </c>
      <c r="AT2" s="3">
        <v>-5.6414073006590272E-2</v>
      </c>
      <c r="AU2" s="3">
        <v>0.5714285714285714</v>
      </c>
      <c r="AV2" s="3">
        <v>5.4223367376250151E-2</v>
      </c>
      <c r="AW2" s="3">
        <v>0.60626824428273829</v>
      </c>
      <c r="AX2" s="3">
        <v>5.4223367376250151E-2</v>
      </c>
      <c r="AY2" s="3">
        <v>0.1779821239229615</v>
      </c>
      <c r="AZ2" s="3">
        <v>5.4223367376250151E-2</v>
      </c>
      <c r="BA2" s="3">
        <v>0.60626824428273829</v>
      </c>
      <c r="BB2" s="3">
        <v>0.1779821239229615</v>
      </c>
      <c r="BC2" s="3">
        <v>0.1886026471745689</v>
      </c>
      <c r="BD2" s="3">
        <v>0.13738728565869099</v>
      </c>
      <c r="BE2" s="3">
        <v>2.3906700542087882E-3</v>
      </c>
      <c r="BF2" s="3">
        <v>0.31237393746317199</v>
      </c>
      <c r="BG2" s="3">
        <v>0.30963190318211542</v>
      </c>
      <c r="BH2" s="3">
        <v>5.0604950264957357E-2</v>
      </c>
      <c r="BI2" s="3">
        <v>0.82466465563895819</v>
      </c>
      <c r="BJ2" s="3">
        <v>5.0604950264957357E-2</v>
      </c>
      <c r="BK2" s="3">
        <v>0.1820221922440621</v>
      </c>
      <c r="BL2" s="3">
        <v>5.0604950264957357E-2</v>
      </c>
      <c r="BM2" s="3">
        <v>0.82466465563895819</v>
      </c>
      <c r="BN2" s="3">
        <v>0.1820221922440621</v>
      </c>
      <c r="BO2" s="3">
        <v>0.2550669098702345</v>
      </c>
      <c r="BP2" s="3">
        <v>0.30667359879675921</v>
      </c>
      <c r="BQ2" s="3">
        <v>-6.2558519866871887E-2</v>
      </c>
      <c r="BR2" s="3">
        <v>0.47991475865331679</v>
      </c>
      <c r="BS2" s="3">
        <v>0.46097636311445828</v>
      </c>
      <c r="BT2" s="3">
        <v>0.13756850924472089</v>
      </c>
      <c r="BU2" s="3">
        <v>0.44770594856396589</v>
      </c>
      <c r="BV2" s="3">
        <v>0.13756850924472089</v>
      </c>
      <c r="BW2" s="3">
        <v>0.32590050541575222</v>
      </c>
      <c r="BX2" s="3">
        <v>0.13756850924472089</v>
      </c>
      <c r="BY2" s="3">
        <v>0.44770594856396589</v>
      </c>
      <c r="BZ2" s="3">
        <v>0.32590050541575222</v>
      </c>
      <c r="CA2" s="3">
        <v>0.37625322887187762</v>
      </c>
      <c r="CB2" s="3">
        <v>0.27471534608007958</v>
      </c>
      <c r="CC2" s="3">
        <v>-0.1028952215242656</v>
      </c>
      <c r="CD2" s="3">
        <v>0.46024436924568563</v>
      </c>
      <c r="CE2" s="3">
        <v>0.46012443903788869</v>
      </c>
      <c r="CF2" s="3">
        <v>116.2513669637756</v>
      </c>
      <c r="CG2" s="3">
        <v>0.66912811687228424</v>
      </c>
      <c r="CH2" s="3">
        <v>116.2513669637756</v>
      </c>
      <c r="CI2" s="3">
        <v>8.5738217023665513</v>
      </c>
      <c r="CJ2" s="3">
        <v>116.2513669637756</v>
      </c>
      <c r="CK2" s="3">
        <v>0.66912811687228424</v>
      </c>
      <c r="CL2" s="3">
        <v>8.5738217023665513</v>
      </c>
      <c r="CM2" s="3">
        <v>8.5787779192943212</v>
      </c>
      <c r="CN2" s="3">
        <v>373.34062134227082</v>
      </c>
      <c r="CO2" s="3">
        <v>-6.2593220689442841E-2</v>
      </c>
      <c r="CP2" s="3">
        <v>15.967803679604611</v>
      </c>
      <c r="CQ2" s="3">
        <v>16.780974805650569</v>
      </c>
    </row>
    <row r="3" spans="1:95" x14ac:dyDescent="0.3">
      <c r="A3" s="4">
        <v>46058.09003472222</v>
      </c>
      <c r="B3" s="5" t="s">
        <v>111</v>
      </c>
      <c r="C3" s="5">
        <v>3</v>
      </c>
      <c r="D3" s="5" t="s">
        <v>96</v>
      </c>
      <c r="E3" s="12">
        <v>16590</v>
      </c>
      <c r="F3" s="12">
        <v>4.5</v>
      </c>
      <c r="G3" s="5" t="s">
        <v>97</v>
      </c>
      <c r="H3" s="5" t="s">
        <v>98</v>
      </c>
      <c r="I3" s="5">
        <v>5</v>
      </c>
      <c r="J3" s="5">
        <v>5</v>
      </c>
      <c r="K3" s="5" t="s">
        <v>99</v>
      </c>
      <c r="L3" s="5" t="s">
        <v>100</v>
      </c>
      <c r="M3" s="5" t="s">
        <v>101</v>
      </c>
      <c r="N3" s="5" t="s">
        <v>101</v>
      </c>
      <c r="O3" s="5" t="s">
        <v>102</v>
      </c>
      <c r="P3" s="5" t="s">
        <v>103</v>
      </c>
      <c r="Q3" s="5" t="str">
        <f t="shared" si="0"/>
        <v>multihead3</v>
      </c>
      <c r="R3" s="5" t="s">
        <v>104</v>
      </c>
      <c r="S3" s="5" t="s">
        <v>105</v>
      </c>
      <c r="T3" s="5" t="s">
        <v>106</v>
      </c>
      <c r="U3" s="5" t="s">
        <v>107</v>
      </c>
      <c r="V3" s="5" t="s">
        <v>108</v>
      </c>
      <c r="W3" s="5" t="s">
        <v>101</v>
      </c>
      <c r="X3" s="5">
        <v>190</v>
      </c>
      <c r="Y3" s="5">
        <v>70</v>
      </c>
      <c r="Z3" s="5">
        <v>120</v>
      </c>
      <c r="AA3" s="5" t="s">
        <v>109</v>
      </c>
      <c r="AB3" s="5">
        <v>4000</v>
      </c>
      <c r="AC3" s="5">
        <v>4000</v>
      </c>
      <c r="AD3" s="5">
        <v>0.1142989550961462</v>
      </c>
      <c r="AE3" s="5"/>
      <c r="AF3" s="5">
        <v>128</v>
      </c>
      <c r="AG3" s="5" t="s">
        <v>110</v>
      </c>
      <c r="AH3" s="5">
        <v>0.1</v>
      </c>
      <c r="AI3" s="5">
        <v>33.571529878620098</v>
      </c>
      <c r="AJ3" s="5">
        <v>0.63569625167631649</v>
      </c>
      <c r="AK3" s="5">
        <v>33.571529878620098</v>
      </c>
      <c r="AL3" s="5">
        <v>8.9682795490812914</v>
      </c>
      <c r="AM3" s="5">
        <v>33.571529878620098</v>
      </c>
      <c r="AN3" s="5">
        <v>8.9682795490812914</v>
      </c>
      <c r="AO3" s="5">
        <v>8.359060218315074</v>
      </c>
      <c r="AP3" s="5">
        <v>0.63569625167631649</v>
      </c>
      <c r="AQ3" s="5">
        <v>104.89327929643051</v>
      </c>
      <c r="AR3" s="5">
        <v>16.605371767166758</v>
      </c>
      <c r="AS3" s="5">
        <v>17.584049286512311</v>
      </c>
      <c r="AT3" s="5">
        <v>7.0137181520892961E-2</v>
      </c>
      <c r="AU3" s="5">
        <v>0.5714285714285714</v>
      </c>
      <c r="AV3" s="5">
        <v>5.0385827674987782E-2</v>
      </c>
      <c r="AW3" s="5">
        <v>0.63413374429361613</v>
      </c>
      <c r="AX3" s="5">
        <v>5.0385827674987782E-2</v>
      </c>
      <c r="AY3" s="5">
        <v>0.1729239784734298</v>
      </c>
      <c r="AZ3" s="5">
        <v>5.0385827674987782E-2</v>
      </c>
      <c r="BA3" s="5">
        <v>0.63413374429361613</v>
      </c>
      <c r="BB3" s="5">
        <v>0.1729239784734298</v>
      </c>
      <c r="BC3" s="5">
        <v>0.1748957360725665</v>
      </c>
      <c r="BD3" s="5">
        <v>0.1263032512743287</v>
      </c>
      <c r="BE3" s="5">
        <v>8.2875090881547209E-2</v>
      </c>
      <c r="BF3" s="5">
        <v>0.29361250510775982</v>
      </c>
      <c r="BG3" s="5">
        <v>0.3337770363681456</v>
      </c>
      <c r="BH3" s="5">
        <v>6.9157582816173499E-2</v>
      </c>
      <c r="BI3" s="5">
        <v>0.76038374635756067</v>
      </c>
      <c r="BJ3" s="5">
        <v>6.9157582816173499E-2</v>
      </c>
      <c r="BK3" s="5">
        <v>0.22031414692417839</v>
      </c>
      <c r="BL3" s="5">
        <v>6.9157582816173499E-2</v>
      </c>
      <c r="BM3" s="5">
        <v>0.76038374635756067</v>
      </c>
      <c r="BN3" s="5">
        <v>0.22031414692417839</v>
      </c>
      <c r="BO3" s="5">
        <v>0.30334791412572609</v>
      </c>
      <c r="BP3" s="5">
        <v>0.2309396149826487</v>
      </c>
      <c r="BQ3" s="5">
        <v>0.1998435586324698</v>
      </c>
      <c r="BR3" s="5">
        <v>0.40389876542514058</v>
      </c>
      <c r="BS3" s="5">
        <v>0.38897801937207649</v>
      </c>
      <c r="BT3" s="5">
        <v>0.1171210835342954</v>
      </c>
      <c r="BU3" s="5">
        <v>0.52979589523162285</v>
      </c>
      <c r="BV3" s="5">
        <v>0.1171210835342954</v>
      </c>
      <c r="BW3" s="5">
        <v>0.29440450902296711</v>
      </c>
      <c r="BX3" s="5">
        <v>0.1171210835342954</v>
      </c>
      <c r="BY3" s="5">
        <v>0.52979589523162285</v>
      </c>
      <c r="BZ3" s="5">
        <v>0.29440450902296711</v>
      </c>
      <c r="CA3" s="5">
        <v>0.36224086544359102</v>
      </c>
      <c r="CB3" s="5">
        <v>0.20165513720227821</v>
      </c>
      <c r="CC3" s="5">
        <v>0.1904184080368713</v>
      </c>
      <c r="CD3" s="5">
        <v>0.37728682612944281</v>
      </c>
      <c r="CE3" s="5">
        <v>0.38330192043243749</v>
      </c>
      <c r="CF3" s="5">
        <v>134.0494550204545</v>
      </c>
      <c r="CG3" s="5">
        <v>0.61847162082246798</v>
      </c>
      <c r="CH3" s="5">
        <v>134.0494550204545</v>
      </c>
      <c r="CI3" s="5">
        <v>8.9305953849055193</v>
      </c>
      <c r="CJ3" s="5">
        <v>134.0494550204545</v>
      </c>
      <c r="CK3" s="5">
        <v>0.61847162082246798</v>
      </c>
      <c r="CL3" s="5">
        <v>8.9305953849055193</v>
      </c>
      <c r="CM3" s="5">
        <v>8.2988238538632508</v>
      </c>
      <c r="CN3" s="5">
        <v>419.01421918226288</v>
      </c>
      <c r="CO3" s="5">
        <v>-0.19258833146732399</v>
      </c>
      <c r="CP3" s="5">
        <v>16.562580782976749</v>
      </c>
      <c r="CQ3" s="5">
        <v>17.541461324067718</v>
      </c>
    </row>
    <row r="4" spans="1:95" x14ac:dyDescent="0.3">
      <c r="A4" s="2">
        <v>46057.493796296287</v>
      </c>
      <c r="B4" s="3" t="s">
        <v>112</v>
      </c>
      <c r="C4" s="3">
        <v>0</v>
      </c>
      <c r="D4" s="3" t="s">
        <v>96</v>
      </c>
      <c r="E4" s="5">
        <v>16590</v>
      </c>
      <c r="F4" s="5">
        <v>4.5</v>
      </c>
      <c r="G4" s="3" t="s">
        <v>97</v>
      </c>
      <c r="H4" s="3" t="s">
        <v>98</v>
      </c>
      <c r="I4" s="3">
        <v>5</v>
      </c>
      <c r="J4" s="3">
        <v>5</v>
      </c>
      <c r="K4" s="3" t="s">
        <v>99</v>
      </c>
      <c r="L4" s="3" t="s">
        <v>100</v>
      </c>
      <c r="M4" s="3" t="s">
        <v>101</v>
      </c>
      <c r="N4" s="3" t="s">
        <v>101</v>
      </c>
      <c r="O4" s="3" t="s">
        <v>102</v>
      </c>
      <c r="P4" s="3" t="s">
        <v>103</v>
      </c>
      <c r="Q4" s="3" t="str">
        <f t="shared" si="0"/>
        <v>multihead3</v>
      </c>
      <c r="R4" s="3" t="s">
        <v>104</v>
      </c>
      <c r="S4" s="3" t="s">
        <v>105</v>
      </c>
      <c r="T4" s="3" t="s">
        <v>106</v>
      </c>
      <c r="U4" s="3" t="s">
        <v>107</v>
      </c>
      <c r="V4" s="3" t="s">
        <v>108</v>
      </c>
      <c r="W4" s="3" t="s">
        <v>101</v>
      </c>
      <c r="X4" s="3">
        <v>190</v>
      </c>
      <c r="Y4" s="3">
        <v>70</v>
      </c>
      <c r="Z4" s="3">
        <v>120</v>
      </c>
      <c r="AA4" s="3" t="s">
        <v>109</v>
      </c>
      <c r="AB4" s="3">
        <v>4000</v>
      </c>
      <c r="AC4" s="3">
        <v>4000</v>
      </c>
      <c r="AD4" s="3">
        <v>0.11781053869581359</v>
      </c>
      <c r="AE4" s="3"/>
      <c r="AF4" s="3">
        <v>128</v>
      </c>
      <c r="AG4" s="3" t="s">
        <v>110</v>
      </c>
      <c r="AH4" s="3">
        <v>0.1</v>
      </c>
      <c r="AI4" s="3">
        <v>30.580704870182821</v>
      </c>
      <c r="AJ4" s="3">
        <v>0.63023845631517894</v>
      </c>
      <c r="AK4" s="3">
        <v>30.580704870182821</v>
      </c>
      <c r="AL4" s="3">
        <v>8.7114229443649176</v>
      </c>
      <c r="AM4" s="3">
        <v>30.580704870182821</v>
      </c>
      <c r="AN4" s="3">
        <v>8.7114229443649176</v>
      </c>
      <c r="AO4" s="3">
        <v>8.3922479471049876</v>
      </c>
      <c r="AP4" s="3">
        <v>0.63023845631517894</v>
      </c>
      <c r="AQ4" s="3">
        <v>105.5948920917308</v>
      </c>
      <c r="AR4" s="3">
        <v>17.06601003806442</v>
      </c>
      <c r="AS4" s="3">
        <v>17.1728210295046</v>
      </c>
      <c r="AT4" s="3">
        <v>2.6775595018331271E-3</v>
      </c>
      <c r="AU4" s="3">
        <v>0.5714285714285714</v>
      </c>
      <c r="AV4" s="3">
        <v>5.4983410060893523E-2</v>
      </c>
      <c r="AW4" s="3">
        <v>0.60074935168855093</v>
      </c>
      <c r="AX4" s="3">
        <v>5.4983410060893523E-2</v>
      </c>
      <c r="AY4" s="3">
        <v>0.18626543148712699</v>
      </c>
      <c r="AZ4" s="3">
        <v>5.4983410060893523E-2</v>
      </c>
      <c r="BA4" s="3">
        <v>0.60074935168855093</v>
      </c>
      <c r="BB4" s="3">
        <v>0.18626543148712699</v>
      </c>
      <c r="BC4" s="3">
        <v>0.20865264612428111</v>
      </c>
      <c r="BD4" s="3">
        <v>0.14190977343340669</v>
      </c>
      <c r="BE4" s="3">
        <v>-3.0448438579398159E-2</v>
      </c>
      <c r="BF4" s="3">
        <v>0.31414033215269049</v>
      </c>
      <c r="BG4" s="3">
        <v>0.29965197495807783</v>
      </c>
      <c r="BH4" s="3">
        <v>7.3517550084749722E-2</v>
      </c>
      <c r="BI4" s="3">
        <v>0.74527739098252044</v>
      </c>
      <c r="BJ4" s="3">
        <v>7.3517550084749722E-2</v>
      </c>
      <c r="BK4" s="3">
        <v>0.21852309237838119</v>
      </c>
      <c r="BL4" s="3">
        <v>7.3517550084749722E-2</v>
      </c>
      <c r="BM4" s="3">
        <v>0.74527739098252044</v>
      </c>
      <c r="BN4" s="3">
        <v>0.21852309237838119</v>
      </c>
      <c r="BO4" s="3">
        <v>0.29037281797130632</v>
      </c>
      <c r="BP4" s="3">
        <v>0.26870912119218998</v>
      </c>
      <c r="BQ4" s="3">
        <v>6.8980286503493526E-2</v>
      </c>
      <c r="BR4" s="3">
        <v>0.45456873788639962</v>
      </c>
      <c r="BS4" s="3">
        <v>0.48500952720603779</v>
      </c>
      <c r="BT4" s="3">
        <v>0.11896951058840891</v>
      </c>
      <c r="BU4" s="3">
        <v>0.5223750452703555</v>
      </c>
      <c r="BV4" s="3">
        <v>0.11896951058840891</v>
      </c>
      <c r="BW4" s="3">
        <v>0.30304968390700981</v>
      </c>
      <c r="BX4" s="3">
        <v>0.11896951058840891</v>
      </c>
      <c r="BY4" s="3">
        <v>0.5223750452703555</v>
      </c>
      <c r="BZ4" s="3">
        <v>0.30304968390700981</v>
      </c>
      <c r="CA4" s="3">
        <v>0.30322386351183722</v>
      </c>
      <c r="CB4" s="3">
        <v>0.20609598237444191</v>
      </c>
      <c r="CC4" s="3">
        <v>0.1725898193184208</v>
      </c>
      <c r="CD4" s="3">
        <v>0.39592355069507501</v>
      </c>
      <c r="CE4" s="3">
        <v>0.37336286486800441</v>
      </c>
      <c r="CF4" s="3">
        <v>122.0753490099968</v>
      </c>
      <c r="CG4" s="3">
        <v>0.65255203731929556</v>
      </c>
      <c r="CH4" s="3">
        <v>122.0753490099968</v>
      </c>
      <c r="CI4" s="3">
        <v>8.6710603246968301</v>
      </c>
      <c r="CJ4" s="3">
        <v>122.0753490099968</v>
      </c>
      <c r="CK4" s="3">
        <v>0.65255203731929556</v>
      </c>
      <c r="CL4" s="3">
        <v>8.6710603246968301</v>
      </c>
      <c r="CM4" s="3">
        <v>8.3498211938254006</v>
      </c>
      <c r="CN4" s="3">
        <v>421.76285348992383</v>
      </c>
      <c r="CO4" s="3">
        <v>-0.20041142923518621</v>
      </c>
      <c r="CP4" s="3">
        <v>17.019946475733811</v>
      </c>
      <c r="CQ4" s="3">
        <v>17.126577693489519</v>
      </c>
    </row>
    <row r="5" spans="1:95" x14ac:dyDescent="0.3">
      <c r="A5" s="4">
        <v>46058.214189814818</v>
      </c>
      <c r="B5" s="5" t="s">
        <v>113</v>
      </c>
      <c r="C5" s="5">
        <v>4</v>
      </c>
      <c r="D5" s="5" t="s">
        <v>96</v>
      </c>
      <c r="E5" s="12">
        <v>16590</v>
      </c>
      <c r="F5" s="12">
        <v>4.5</v>
      </c>
      <c r="G5" s="5" t="s">
        <v>97</v>
      </c>
      <c r="H5" s="5" t="s">
        <v>98</v>
      </c>
      <c r="I5" s="5">
        <v>5</v>
      </c>
      <c r="J5" s="5">
        <v>5</v>
      </c>
      <c r="K5" s="5" t="s">
        <v>99</v>
      </c>
      <c r="L5" s="5" t="s">
        <v>100</v>
      </c>
      <c r="M5" s="5" t="s">
        <v>101</v>
      </c>
      <c r="N5" s="5" t="s">
        <v>101</v>
      </c>
      <c r="O5" s="5" t="s">
        <v>102</v>
      </c>
      <c r="P5" s="5" t="s">
        <v>103</v>
      </c>
      <c r="Q5" s="5" t="str">
        <f t="shared" si="0"/>
        <v>multihead3</v>
      </c>
      <c r="R5" s="5" t="s">
        <v>104</v>
      </c>
      <c r="S5" s="5" t="s">
        <v>105</v>
      </c>
      <c r="T5" s="5" t="s">
        <v>106</v>
      </c>
      <c r="U5" s="5" t="s">
        <v>107</v>
      </c>
      <c r="V5" s="5" t="s">
        <v>108</v>
      </c>
      <c r="W5" s="5" t="s">
        <v>101</v>
      </c>
      <c r="X5" s="5">
        <v>190</v>
      </c>
      <c r="Y5" s="5">
        <v>70</v>
      </c>
      <c r="Z5" s="5">
        <v>120</v>
      </c>
      <c r="AA5" s="5" t="s">
        <v>109</v>
      </c>
      <c r="AB5" s="5">
        <v>4000</v>
      </c>
      <c r="AC5" s="5">
        <v>4000</v>
      </c>
      <c r="AD5" s="5">
        <v>0.1252292752028594</v>
      </c>
      <c r="AE5" s="5"/>
      <c r="AF5" s="5">
        <v>128</v>
      </c>
      <c r="AG5" s="5" t="s">
        <v>110</v>
      </c>
      <c r="AH5" s="5">
        <v>0.1</v>
      </c>
      <c r="AI5" s="5">
        <v>30.089637168473121</v>
      </c>
      <c r="AJ5" s="5">
        <v>0.62521523282106095</v>
      </c>
      <c r="AK5" s="5">
        <v>30.089637168473121</v>
      </c>
      <c r="AL5" s="5">
        <v>8.7427212243098609</v>
      </c>
      <c r="AM5" s="5">
        <v>30.089637168473121</v>
      </c>
      <c r="AN5" s="5">
        <v>8.7427212243098609</v>
      </c>
      <c r="AO5" s="5">
        <v>9.2847750705107934</v>
      </c>
      <c r="AP5" s="5">
        <v>0.62521523282106095</v>
      </c>
      <c r="AQ5" s="5">
        <v>90.189841017295123</v>
      </c>
      <c r="AR5" s="5">
        <v>15.627266985737521</v>
      </c>
      <c r="AS5" s="5">
        <v>15.838986713080001</v>
      </c>
      <c r="AT5" s="5">
        <v>-4.2180864983690891E-2</v>
      </c>
      <c r="AU5" s="5">
        <v>0.5714285714285714</v>
      </c>
      <c r="AV5" s="5">
        <v>6.0343184624275237E-2</v>
      </c>
      <c r="AW5" s="5">
        <v>0.56183045839212831</v>
      </c>
      <c r="AX5" s="5">
        <v>6.0343184624275237E-2</v>
      </c>
      <c r="AY5" s="5">
        <v>0.19168921482796381</v>
      </c>
      <c r="AZ5" s="5">
        <v>6.0343184624275237E-2</v>
      </c>
      <c r="BA5" s="5">
        <v>0.56183045839212831</v>
      </c>
      <c r="BB5" s="5">
        <v>0.19168921482796381</v>
      </c>
      <c r="BC5" s="5">
        <v>0.15665666315844171</v>
      </c>
      <c r="BD5" s="5">
        <v>0.15748196339324241</v>
      </c>
      <c r="BE5" s="5">
        <v>-0.1435226718837341</v>
      </c>
      <c r="BF5" s="5">
        <v>0.33518134367587538</v>
      </c>
      <c r="BG5" s="5">
        <v>0.375937768831347</v>
      </c>
      <c r="BH5" s="5">
        <v>6.2902241566907088E-2</v>
      </c>
      <c r="BI5" s="5">
        <v>0.78205716775790635</v>
      </c>
      <c r="BJ5" s="5">
        <v>6.2902241566907088E-2</v>
      </c>
      <c r="BK5" s="5">
        <v>0.20410380288234539</v>
      </c>
      <c r="BL5" s="5">
        <v>6.2902241566907088E-2</v>
      </c>
      <c r="BM5" s="5">
        <v>0.78205716775790635</v>
      </c>
      <c r="BN5" s="5">
        <v>0.20410380288234539</v>
      </c>
      <c r="BO5" s="5">
        <v>0.23368899329141549</v>
      </c>
      <c r="BP5" s="5">
        <v>0.29118347792668448</v>
      </c>
      <c r="BQ5" s="5">
        <v>-8.8885594632264198E-3</v>
      </c>
      <c r="BR5" s="5">
        <v>0.47429052273904848</v>
      </c>
      <c r="BS5" s="5">
        <v>0.48865494825711941</v>
      </c>
      <c r="BT5" s="5">
        <v>0.1248345238469534</v>
      </c>
      <c r="BU5" s="5">
        <v>0.49882887215216493</v>
      </c>
      <c r="BV5" s="5">
        <v>0.1248345238469534</v>
      </c>
      <c r="BW5" s="5">
        <v>0.31093458506804861</v>
      </c>
      <c r="BX5" s="5">
        <v>0.1248345238469534</v>
      </c>
      <c r="BY5" s="5">
        <v>0.49882887215216493</v>
      </c>
      <c r="BZ5" s="5">
        <v>0.31093458506804861</v>
      </c>
      <c r="CA5" s="5">
        <v>0.41284075078833338</v>
      </c>
      <c r="CB5" s="5">
        <v>0.2469702373203905</v>
      </c>
      <c r="CC5" s="5">
        <v>8.4926143151355937E-3</v>
      </c>
      <c r="CD5" s="5">
        <v>0.44346536430283129</v>
      </c>
      <c r="CE5" s="5">
        <v>0.4399116634294376</v>
      </c>
      <c r="CF5" s="5">
        <v>120.1104687238541</v>
      </c>
      <c r="CG5" s="5">
        <v>0.65814443298204217</v>
      </c>
      <c r="CH5" s="5">
        <v>120.1104687238541</v>
      </c>
      <c r="CI5" s="5">
        <v>8.7073568029411756</v>
      </c>
      <c r="CJ5" s="5">
        <v>120.1104687238541</v>
      </c>
      <c r="CK5" s="5">
        <v>0.65814443298204217</v>
      </c>
      <c r="CL5" s="5">
        <v>8.7073568029411756</v>
      </c>
      <c r="CM5" s="5">
        <v>9.2364494088706994</v>
      </c>
      <c r="CN5" s="5">
        <v>360.06372839054183</v>
      </c>
      <c r="CO5" s="5">
        <v>-2.480484290294727E-2</v>
      </c>
      <c r="CP5" s="5">
        <v>15.569265787078031</v>
      </c>
      <c r="CQ5" s="5">
        <v>15.77584111959243</v>
      </c>
    </row>
    <row r="6" spans="1:95" x14ac:dyDescent="0.3">
      <c r="A6" s="2">
        <v>46057.836331018523</v>
      </c>
      <c r="B6" s="3" t="s">
        <v>114</v>
      </c>
      <c r="C6" s="3">
        <v>1</v>
      </c>
      <c r="D6" s="3" t="s">
        <v>96</v>
      </c>
      <c r="E6" s="5">
        <v>16590</v>
      </c>
      <c r="F6" s="5">
        <v>4.5</v>
      </c>
      <c r="G6" s="3" t="s">
        <v>97</v>
      </c>
      <c r="H6" s="3" t="s">
        <v>98</v>
      </c>
      <c r="I6" s="3">
        <v>5</v>
      </c>
      <c r="J6" s="3">
        <v>5</v>
      </c>
      <c r="K6" s="3" t="s">
        <v>99</v>
      </c>
      <c r="L6" s="3" t="s">
        <v>100</v>
      </c>
      <c r="M6" s="3" t="s">
        <v>101</v>
      </c>
      <c r="N6" s="3" t="s">
        <v>101</v>
      </c>
      <c r="O6" s="3" t="s">
        <v>102</v>
      </c>
      <c r="P6" s="3" t="s">
        <v>103</v>
      </c>
      <c r="Q6" s="3" t="str">
        <f t="shared" si="0"/>
        <v>multihead3</v>
      </c>
      <c r="R6" s="3" t="s">
        <v>104</v>
      </c>
      <c r="S6" s="3" t="s">
        <v>105</v>
      </c>
      <c r="T6" s="3" t="s">
        <v>106</v>
      </c>
      <c r="U6" s="3" t="s">
        <v>107</v>
      </c>
      <c r="V6" s="3" t="s">
        <v>108</v>
      </c>
      <c r="W6" s="3" t="s">
        <v>101</v>
      </c>
      <c r="X6" s="3">
        <v>190</v>
      </c>
      <c r="Y6" s="3">
        <v>70</v>
      </c>
      <c r="Z6" s="3">
        <v>120</v>
      </c>
      <c r="AA6" s="3" t="s">
        <v>109</v>
      </c>
      <c r="AB6" s="3">
        <v>4000</v>
      </c>
      <c r="AC6" s="3">
        <v>4000</v>
      </c>
      <c r="AD6" s="3">
        <v>0.1296207488365449</v>
      </c>
      <c r="AE6" s="3"/>
      <c r="AF6" s="3">
        <v>128</v>
      </c>
      <c r="AG6" s="3" t="s">
        <v>110</v>
      </c>
      <c r="AH6" s="3">
        <v>0.1</v>
      </c>
      <c r="AI6" s="3">
        <v>29.140694869377391</v>
      </c>
      <c r="AJ6" s="3">
        <v>0.60028632478344535</v>
      </c>
      <c r="AK6" s="3">
        <v>29.140694869377391</v>
      </c>
      <c r="AL6" s="3">
        <v>8.762709528118231</v>
      </c>
      <c r="AM6" s="3">
        <v>29.140694869377391</v>
      </c>
      <c r="AN6" s="3">
        <v>8.762709528118231</v>
      </c>
      <c r="AO6" s="3">
        <v>10.70367599845085</v>
      </c>
      <c r="AP6" s="3">
        <v>0.60028632478344535</v>
      </c>
      <c r="AQ6" s="3">
        <v>124.15128599981939</v>
      </c>
      <c r="AR6" s="3">
        <v>18.606096824557319</v>
      </c>
      <c r="AS6" s="3">
        <v>20.642010598456249</v>
      </c>
      <c r="AT6" s="3">
        <v>-0.17768283657896289</v>
      </c>
      <c r="AU6" s="3">
        <v>0.5714285714285714</v>
      </c>
      <c r="AV6" s="3">
        <v>4.3870195786120163E-2</v>
      </c>
      <c r="AW6" s="3">
        <v>0.68144565624866149</v>
      </c>
      <c r="AX6" s="3">
        <v>4.3870195786120163E-2</v>
      </c>
      <c r="AY6" s="3">
        <v>0.16869601537597831</v>
      </c>
      <c r="AZ6" s="3">
        <v>4.3870195786120163E-2</v>
      </c>
      <c r="BA6" s="3">
        <v>0.68144565624866149</v>
      </c>
      <c r="BB6" s="3">
        <v>0.16869601537597831</v>
      </c>
      <c r="BC6" s="3">
        <v>0.18430365880067501</v>
      </c>
      <c r="BD6" s="3">
        <v>0.16068684397550151</v>
      </c>
      <c r="BE6" s="3">
        <v>-0.1667942486886396</v>
      </c>
      <c r="BF6" s="3">
        <v>0.34152436995886409</v>
      </c>
      <c r="BG6" s="3">
        <v>0.32749585419707122</v>
      </c>
      <c r="BH6" s="3">
        <v>8.3379872928518908E-2</v>
      </c>
      <c r="BI6" s="3">
        <v>0.71110654874360457</v>
      </c>
      <c r="BJ6" s="3">
        <v>8.3379872928518908E-2</v>
      </c>
      <c r="BK6" s="3">
        <v>0.24092837683981899</v>
      </c>
      <c r="BL6" s="3">
        <v>8.3379872928518908E-2</v>
      </c>
      <c r="BM6" s="3">
        <v>0.71110654874360457</v>
      </c>
      <c r="BN6" s="3">
        <v>0.24092837683981899</v>
      </c>
      <c r="BO6" s="3">
        <v>0.25787135776009701</v>
      </c>
      <c r="BP6" s="3">
        <v>0.2869434374999148</v>
      </c>
      <c r="BQ6" s="3">
        <v>5.8022750191701888E-3</v>
      </c>
      <c r="BR6" s="3">
        <v>0.46733529703501547</v>
      </c>
      <c r="BS6" s="3">
        <v>0.47058270979489208</v>
      </c>
      <c r="BT6" s="3">
        <v>0.16451585099325561</v>
      </c>
      <c r="BU6" s="3">
        <v>0.33952089493912457</v>
      </c>
      <c r="BV6" s="3">
        <v>0.16451585099325561</v>
      </c>
      <c r="BW6" s="3">
        <v>0.35358254648193999</v>
      </c>
      <c r="BX6" s="3">
        <v>0.16451585099325561</v>
      </c>
      <c r="BY6" s="3">
        <v>0.33952089493912457</v>
      </c>
      <c r="BZ6" s="3">
        <v>0.35358254648193999</v>
      </c>
      <c r="CA6" s="3">
        <v>0.39820189704049502</v>
      </c>
      <c r="CB6" s="3">
        <v>0.28355775126808558</v>
      </c>
      <c r="CC6" s="3">
        <v>-0.13839468148450521</v>
      </c>
      <c r="CD6" s="3">
        <v>0.46821281670938603</v>
      </c>
      <c r="CE6" s="3">
        <v>0.5031082236626705</v>
      </c>
      <c r="CF6" s="3">
        <v>116.27101355780179</v>
      </c>
      <c r="CG6" s="3">
        <v>0.66907219920239136</v>
      </c>
      <c r="CH6" s="3">
        <v>116.27101355780179</v>
      </c>
      <c r="CI6" s="3">
        <v>8.7201735715221176</v>
      </c>
      <c r="CJ6" s="3">
        <v>116.27101355780179</v>
      </c>
      <c r="CK6" s="3">
        <v>0.66907219920239136</v>
      </c>
      <c r="CL6" s="3">
        <v>8.7201735715221176</v>
      </c>
      <c r="CM6" s="3">
        <v>10.66802571525179</v>
      </c>
      <c r="CN6" s="3">
        <v>495.87395596653198</v>
      </c>
      <c r="CO6" s="3">
        <v>-0.41134469116188138</v>
      </c>
      <c r="CP6" s="3">
        <v>18.5568535300295</v>
      </c>
      <c r="CQ6" s="3">
        <v>20.59263904597697</v>
      </c>
    </row>
    <row r="7" spans="1:95" x14ac:dyDescent="0.3">
      <c r="A7" s="4">
        <v>46058.34814814815</v>
      </c>
      <c r="B7" s="5" t="s">
        <v>115</v>
      </c>
      <c r="C7" s="5">
        <v>4</v>
      </c>
      <c r="D7" s="5" t="s">
        <v>96</v>
      </c>
      <c r="E7" s="12">
        <v>16590</v>
      </c>
      <c r="F7" s="12">
        <v>4.5</v>
      </c>
      <c r="G7" s="5" t="s">
        <v>116</v>
      </c>
      <c r="H7" s="5" t="s">
        <v>98</v>
      </c>
      <c r="I7" s="5">
        <v>5</v>
      </c>
      <c r="J7" s="5">
        <v>5</v>
      </c>
      <c r="K7" s="5" t="s">
        <v>99</v>
      </c>
      <c r="L7" s="5" t="s">
        <v>100</v>
      </c>
      <c r="M7" s="5" t="s">
        <v>101</v>
      </c>
      <c r="N7" s="5" t="s">
        <v>101</v>
      </c>
      <c r="O7" s="5" t="s">
        <v>102</v>
      </c>
      <c r="P7" s="5" t="s">
        <v>117</v>
      </c>
      <c r="Q7" s="5" t="str">
        <f t="shared" si="0"/>
        <v>multihead4</v>
      </c>
      <c r="R7" s="5" t="s">
        <v>104</v>
      </c>
      <c r="S7" s="5" t="s">
        <v>118</v>
      </c>
      <c r="T7" s="5" t="s">
        <v>106</v>
      </c>
      <c r="U7" s="5" t="s">
        <v>119</v>
      </c>
      <c r="V7" s="5" t="s">
        <v>108</v>
      </c>
      <c r="W7" s="5" t="s">
        <v>101</v>
      </c>
      <c r="X7" s="5">
        <v>220</v>
      </c>
      <c r="Y7" s="5">
        <v>100</v>
      </c>
      <c r="Z7" s="5">
        <v>120</v>
      </c>
      <c r="AA7" s="5" t="s">
        <v>109</v>
      </c>
      <c r="AB7" s="5">
        <v>4000</v>
      </c>
      <c r="AC7" s="5">
        <v>4000</v>
      </c>
      <c r="AD7" s="5">
        <v>0.140677106239807</v>
      </c>
      <c r="AE7" s="5"/>
      <c r="AF7" s="5">
        <v>128</v>
      </c>
      <c r="AG7" s="5" t="s">
        <v>110</v>
      </c>
      <c r="AH7" s="5">
        <v>0.1</v>
      </c>
      <c r="AI7" s="5">
        <v>31.938672382267921</v>
      </c>
      <c r="AJ7" s="5">
        <v>0.56502965149674655</v>
      </c>
      <c r="AK7" s="5">
        <v>31.938672382267921</v>
      </c>
      <c r="AL7" s="5">
        <v>9.0028222524529262</v>
      </c>
      <c r="AM7" s="5">
        <v>31.938672382267921</v>
      </c>
      <c r="AN7" s="5">
        <v>9.0028222524529262</v>
      </c>
      <c r="AO7" s="5">
        <v>9.1254713899332991</v>
      </c>
      <c r="AP7" s="5">
        <v>0.56502965149674655</v>
      </c>
      <c r="AQ7" s="5">
        <v>89.125500004473281</v>
      </c>
      <c r="AR7" s="5">
        <v>15.62306190661049</v>
      </c>
      <c r="AS7" s="5">
        <v>16.057425048868041</v>
      </c>
      <c r="AT7" s="5">
        <v>1.514699021450067E-2</v>
      </c>
      <c r="AU7" s="5">
        <v>0.5714285714285714</v>
      </c>
      <c r="AV7" s="5">
        <v>6.2470704065846899E-2</v>
      </c>
      <c r="AW7" s="5">
        <v>0.54638191645189604</v>
      </c>
      <c r="AX7" s="5">
        <v>6.2470704065846899E-2</v>
      </c>
      <c r="AY7" s="5">
        <v>0.1962093270107918</v>
      </c>
      <c r="AZ7" s="5">
        <v>6.2470704065846899E-2</v>
      </c>
      <c r="BA7" s="5">
        <v>0.54638191645189604</v>
      </c>
      <c r="BB7" s="5">
        <v>0.1962093270107918</v>
      </c>
      <c r="BC7" s="5">
        <v>0.1609007543776319</v>
      </c>
      <c r="BD7" s="5">
        <v>0.1499838141135108</v>
      </c>
      <c r="BE7" s="5">
        <v>-8.9076413316768743E-2</v>
      </c>
      <c r="BF7" s="5">
        <v>0.32790960318607182</v>
      </c>
      <c r="BG7" s="5">
        <v>0.3283239531074264</v>
      </c>
      <c r="BH7" s="5">
        <v>8.9810529820702617E-2</v>
      </c>
      <c r="BI7" s="5">
        <v>0.68882569608481803</v>
      </c>
      <c r="BJ7" s="5">
        <v>8.9810529820702617E-2</v>
      </c>
      <c r="BK7" s="5">
        <v>0.25455132484564158</v>
      </c>
      <c r="BL7" s="5">
        <v>8.9810529820702617E-2</v>
      </c>
      <c r="BM7" s="5">
        <v>0.68882569608481803</v>
      </c>
      <c r="BN7" s="5">
        <v>0.25455132484564158</v>
      </c>
      <c r="BO7" s="5">
        <v>0.29014443581993021</v>
      </c>
      <c r="BP7" s="5">
        <v>0.28252317956493428</v>
      </c>
      <c r="BQ7" s="5">
        <v>2.1117524676299571E-2</v>
      </c>
      <c r="BR7" s="5">
        <v>0.45435570507285561</v>
      </c>
      <c r="BS7" s="5">
        <v>0.42262993127919368</v>
      </c>
      <c r="BT7" s="5">
        <v>0.15252613185552311</v>
      </c>
      <c r="BU7" s="5">
        <v>0.38765582490611888</v>
      </c>
      <c r="BV7" s="5">
        <v>0.15252613185552311</v>
      </c>
      <c r="BW7" s="5">
        <v>0.34547561964169832</v>
      </c>
      <c r="BX7" s="5">
        <v>0.15252613185552311</v>
      </c>
      <c r="BY7" s="5">
        <v>0.38765582490611888</v>
      </c>
      <c r="BZ7" s="5">
        <v>0.34547561964169832</v>
      </c>
      <c r="CA7" s="5">
        <v>0.40136253790825599</v>
      </c>
      <c r="CB7" s="5">
        <v>0.21387122506527101</v>
      </c>
      <c r="CC7" s="5">
        <v>0.141374679238816</v>
      </c>
      <c r="CD7" s="5">
        <v>0.40078144533090998</v>
      </c>
      <c r="CE7" s="5">
        <v>0.40499995736472749</v>
      </c>
      <c r="CF7" s="5">
        <v>127.4498821633298</v>
      </c>
      <c r="CG7" s="5">
        <v>0.63725516854415476</v>
      </c>
      <c r="CH7" s="5">
        <v>127.4498821633298</v>
      </c>
      <c r="CI7" s="5">
        <v>8.9541443398717799</v>
      </c>
      <c r="CJ7" s="5">
        <v>127.4498821633298</v>
      </c>
      <c r="CK7" s="5">
        <v>0.63725516854415476</v>
      </c>
      <c r="CL7" s="5">
        <v>8.9541443398717799</v>
      </c>
      <c r="CM7" s="5">
        <v>9.0733701668406113</v>
      </c>
      <c r="CN7" s="5">
        <v>355.85562179915058</v>
      </c>
      <c r="CO7" s="5">
        <v>-1.282782974034413E-2</v>
      </c>
      <c r="CP7" s="5">
        <v>15.571032682179821</v>
      </c>
      <c r="CQ7" s="5">
        <v>16.004214899034078</v>
      </c>
    </row>
    <row r="8" spans="1:95" x14ac:dyDescent="0.3">
      <c r="A8" s="2">
        <v>46058.009004629632</v>
      </c>
      <c r="B8" s="3" t="s">
        <v>120</v>
      </c>
      <c r="C8" s="3">
        <v>2</v>
      </c>
      <c r="D8" s="3" t="s">
        <v>96</v>
      </c>
      <c r="E8" s="5">
        <v>16590</v>
      </c>
      <c r="F8" s="5">
        <v>4.5</v>
      </c>
      <c r="G8" s="3" t="s">
        <v>116</v>
      </c>
      <c r="H8" s="3" t="s">
        <v>98</v>
      </c>
      <c r="I8" s="3">
        <v>5</v>
      </c>
      <c r="J8" s="3">
        <v>5</v>
      </c>
      <c r="K8" s="3" t="s">
        <v>99</v>
      </c>
      <c r="L8" s="3" t="s">
        <v>100</v>
      </c>
      <c r="M8" s="3" t="s">
        <v>101</v>
      </c>
      <c r="N8" s="3" t="s">
        <v>101</v>
      </c>
      <c r="O8" s="3" t="s">
        <v>102</v>
      </c>
      <c r="P8" s="3" t="s">
        <v>117</v>
      </c>
      <c r="Q8" s="3" t="str">
        <f t="shared" si="0"/>
        <v>multihead4</v>
      </c>
      <c r="R8" s="3" t="s">
        <v>104</v>
      </c>
      <c r="S8" s="3" t="s">
        <v>118</v>
      </c>
      <c r="T8" s="3" t="s">
        <v>106</v>
      </c>
      <c r="U8" s="3" t="s">
        <v>119</v>
      </c>
      <c r="V8" s="3" t="s">
        <v>108</v>
      </c>
      <c r="W8" s="3" t="s">
        <v>101</v>
      </c>
      <c r="X8" s="3">
        <v>220</v>
      </c>
      <c r="Y8" s="3">
        <v>100</v>
      </c>
      <c r="Z8" s="3">
        <v>120</v>
      </c>
      <c r="AA8" s="3" t="s">
        <v>109</v>
      </c>
      <c r="AB8" s="3">
        <v>4000</v>
      </c>
      <c r="AC8" s="3">
        <v>4000</v>
      </c>
      <c r="AD8" s="3">
        <v>0.13445614728713609</v>
      </c>
      <c r="AE8" s="3"/>
      <c r="AF8" s="3">
        <v>128</v>
      </c>
      <c r="AG8" s="3" t="s">
        <v>110</v>
      </c>
      <c r="AH8" s="3">
        <v>0.1</v>
      </c>
      <c r="AI8" s="3">
        <v>33.152786557549248</v>
      </c>
      <c r="AJ8" s="3">
        <v>0.56365043824400662</v>
      </c>
      <c r="AK8" s="3">
        <v>33.152786557549248</v>
      </c>
      <c r="AL8" s="3">
        <v>9.3362041829918034</v>
      </c>
      <c r="AM8" s="3">
        <v>33.152786557549248</v>
      </c>
      <c r="AN8" s="3">
        <v>9.3362041829918034</v>
      </c>
      <c r="AO8" s="3">
        <v>8.7108126063794522</v>
      </c>
      <c r="AP8" s="3">
        <v>0.56365043824400662</v>
      </c>
      <c r="AQ8" s="3">
        <v>106.27420895782591</v>
      </c>
      <c r="AR8" s="3">
        <v>17.017676164653281</v>
      </c>
      <c r="AS8" s="3">
        <v>18.30814752656471</v>
      </c>
      <c r="AT8" s="3">
        <v>-7.3771216897262598E-2</v>
      </c>
      <c r="AU8" s="3">
        <v>0.5714285714285714</v>
      </c>
      <c r="AV8" s="3">
        <v>5.8734477210984411E-2</v>
      </c>
      <c r="AW8" s="3">
        <v>0.57351175420460121</v>
      </c>
      <c r="AX8" s="3">
        <v>5.8734477210984411E-2</v>
      </c>
      <c r="AY8" s="3">
        <v>0.1831052480059279</v>
      </c>
      <c r="AZ8" s="3">
        <v>5.8734477210984411E-2</v>
      </c>
      <c r="BA8" s="3">
        <v>0.57351175420460121</v>
      </c>
      <c r="BB8" s="3">
        <v>0.1831052480059279</v>
      </c>
      <c r="BC8" s="3">
        <v>0.20342911472324671</v>
      </c>
      <c r="BD8" s="3">
        <v>0.1242270679702958</v>
      </c>
      <c r="BE8" s="3">
        <v>9.7950866087750388E-2</v>
      </c>
      <c r="BF8" s="3">
        <v>0.29743825497302551</v>
      </c>
      <c r="BG8" s="3">
        <v>0.29605788930882798</v>
      </c>
      <c r="BH8" s="3">
        <v>7.7732870853090621E-2</v>
      </c>
      <c r="BI8" s="3">
        <v>0.7306722048369052</v>
      </c>
      <c r="BJ8" s="3">
        <v>7.7732870853090621E-2</v>
      </c>
      <c r="BK8" s="3">
        <v>0.22930014938253879</v>
      </c>
      <c r="BL8" s="3">
        <v>7.7732870853090621E-2</v>
      </c>
      <c r="BM8" s="3">
        <v>0.7306722048369052</v>
      </c>
      <c r="BN8" s="3">
        <v>0.22930014938253879</v>
      </c>
      <c r="BO8" s="3">
        <v>0.29229561594047437</v>
      </c>
      <c r="BP8" s="3">
        <v>0.30298656435868038</v>
      </c>
      <c r="BQ8" s="3">
        <v>-4.9783733023158312E-2</v>
      </c>
      <c r="BR8" s="3">
        <v>0.47199929216589348</v>
      </c>
      <c r="BS8" s="3">
        <v>0.42550297261391129</v>
      </c>
      <c r="BT8" s="3">
        <v>0.16763787509376091</v>
      </c>
      <c r="BU8" s="3">
        <v>0.3269869556777657</v>
      </c>
      <c r="BV8" s="3">
        <v>0.16763787509376091</v>
      </c>
      <c r="BW8" s="3">
        <v>0.36939765341779068</v>
      </c>
      <c r="BX8" s="3">
        <v>0.16763787509376091</v>
      </c>
      <c r="BY8" s="3">
        <v>0.3269869556777657</v>
      </c>
      <c r="BZ8" s="3">
        <v>0.36939765341779068</v>
      </c>
      <c r="CA8" s="3">
        <v>0.421598195294622</v>
      </c>
      <c r="CB8" s="3">
        <v>0.28280492146026098</v>
      </c>
      <c r="CC8" s="3">
        <v>-0.1353723079275915</v>
      </c>
      <c r="CD8" s="3">
        <v>0.46890073532172971</v>
      </c>
      <c r="CE8" s="3">
        <v>0.5242698264981005</v>
      </c>
      <c r="CF8" s="3">
        <v>132.30704100703929</v>
      </c>
      <c r="CG8" s="3">
        <v>0.62343083825675794</v>
      </c>
      <c r="CH8" s="3">
        <v>132.30704100703929</v>
      </c>
      <c r="CI8" s="3">
        <v>9.2904748487691631</v>
      </c>
      <c r="CJ8" s="3">
        <v>132.30704100703929</v>
      </c>
      <c r="CK8" s="3">
        <v>0.62343083825675794</v>
      </c>
      <c r="CL8" s="3">
        <v>9.2904748487691631</v>
      </c>
      <c r="CM8" s="3">
        <v>8.6500074653235828</v>
      </c>
      <c r="CN8" s="3">
        <v>424.38681727751691</v>
      </c>
      <c r="CO8" s="3">
        <v>-0.20787969272606091</v>
      </c>
      <c r="CP8" s="3">
        <v>16.963230901762181</v>
      </c>
      <c r="CQ8" s="3">
        <v>18.256774466130349</v>
      </c>
    </row>
    <row r="9" spans="1:95" x14ac:dyDescent="0.3">
      <c r="A9" s="4">
        <v>46057.502083333333</v>
      </c>
      <c r="B9" s="5" t="s">
        <v>121</v>
      </c>
      <c r="C9" s="5">
        <v>0</v>
      </c>
      <c r="D9" s="5" t="s">
        <v>96</v>
      </c>
      <c r="E9" s="12">
        <v>16590</v>
      </c>
      <c r="F9" s="12">
        <v>4.5</v>
      </c>
      <c r="G9" s="5" t="s">
        <v>116</v>
      </c>
      <c r="H9" s="5" t="s">
        <v>98</v>
      </c>
      <c r="I9" s="5">
        <v>5</v>
      </c>
      <c r="J9" s="5">
        <v>5</v>
      </c>
      <c r="K9" s="5" t="s">
        <v>99</v>
      </c>
      <c r="L9" s="5" t="s">
        <v>100</v>
      </c>
      <c r="M9" s="5" t="s">
        <v>101</v>
      </c>
      <c r="N9" s="5" t="s">
        <v>101</v>
      </c>
      <c r="O9" s="5" t="s">
        <v>102</v>
      </c>
      <c r="P9" s="5" t="s">
        <v>117</v>
      </c>
      <c r="Q9" s="5" t="str">
        <f t="shared" si="0"/>
        <v>multihead4</v>
      </c>
      <c r="R9" s="5" t="s">
        <v>104</v>
      </c>
      <c r="S9" s="5" t="s">
        <v>118</v>
      </c>
      <c r="T9" s="5" t="s">
        <v>106</v>
      </c>
      <c r="U9" s="5" t="s">
        <v>119</v>
      </c>
      <c r="V9" s="5" t="s">
        <v>108</v>
      </c>
      <c r="W9" s="5" t="s">
        <v>101</v>
      </c>
      <c r="X9" s="5">
        <v>220</v>
      </c>
      <c r="Y9" s="5">
        <v>100</v>
      </c>
      <c r="Z9" s="5">
        <v>120</v>
      </c>
      <c r="AA9" s="5" t="s">
        <v>109</v>
      </c>
      <c r="AB9" s="5">
        <v>4000</v>
      </c>
      <c r="AC9" s="5">
        <v>4000</v>
      </c>
      <c r="AD9" s="5">
        <v>0.14313134981929709</v>
      </c>
      <c r="AE9" s="5"/>
      <c r="AF9" s="5">
        <v>128</v>
      </c>
      <c r="AG9" s="5" t="s">
        <v>110</v>
      </c>
      <c r="AH9" s="5">
        <v>0.1</v>
      </c>
      <c r="AI9" s="5">
        <v>33.433877837118231</v>
      </c>
      <c r="AJ9" s="5">
        <v>0.5538846963606926</v>
      </c>
      <c r="AK9" s="5">
        <v>33.433877837118231</v>
      </c>
      <c r="AL9" s="5">
        <v>9.1968345280261552</v>
      </c>
      <c r="AM9" s="5">
        <v>33.433877837118231</v>
      </c>
      <c r="AN9" s="5">
        <v>9.1968345280261552</v>
      </c>
      <c r="AO9" s="5">
        <v>8.50496606873795</v>
      </c>
      <c r="AP9" s="5">
        <v>0.5538846963606926</v>
      </c>
      <c r="AQ9" s="5">
        <v>89.39173594606352</v>
      </c>
      <c r="AR9" s="5">
        <v>15.722445131035631</v>
      </c>
      <c r="AS9" s="5">
        <v>15.7931790403461</v>
      </c>
      <c r="AT9" s="5">
        <v>-0.97662816764721994</v>
      </c>
      <c r="AU9" s="5">
        <v>0.5714285714285714</v>
      </c>
      <c r="AV9" s="5">
        <v>5.6009493820832687E-2</v>
      </c>
      <c r="AW9" s="5">
        <v>0.59329865690763661</v>
      </c>
      <c r="AX9" s="5">
        <v>5.6009493820832687E-2</v>
      </c>
      <c r="AY9" s="5">
        <v>0.18800700034394169</v>
      </c>
      <c r="AZ9" s="5">
        <v>5.6009493820832687E-2</v>
      </c>
      <c r="BA9" s="5">
        <v>0.59329865690763661</v>
      </c>
      <c r="BB9" s="5">
        <v>0.18800700034394169</v>
      </c>
      <c r="BC9" s="5">
        <v>0.1948666657511352</v>
      </c>
      <c r="BD9" s="5">
        <v>0.70744421716857553</v>
      </c>
      <c r="BE9" s="5">
        <v>-4.1369597126830042</v>
      </c>
      <c r="BF9" s="5">
        <v>0.73188980237650791</v>
      </c>
      <c r="BG9" s="5">
        <v>0.72465838477928313</v>
      </c>
      <c r="BH9" s="5">
        <v>0.1103000524320638</v>
      </c>
      <c r="BI9" s="5">
        <v>0.61783387642989185</v>
      </c>
      <c r="BJ9" s="5">
        <v>0.1103000524320638</v>
      </c>
      <c r="BK9" s="5">
        <v>0.27764445066351678</v>
      </c>
      <c r="BL9" s="5">
        <v>0.1103000524320638</v>
      </c>
      <c r="BM9" s="5">
        <v>0.61783387642989185</v>
      </c>
      <c r="BN9" s="5">
        <v>0.27764445066351678</v>
      </c>
      <c r="BO9" s="5">
        <v>0.34103145942638152</v>
      </c>
      <c r="BP9" s="5">
        <v>0.27896558091179291</v>
      </c>
      <c r="BQ9" s="5">
        <v>3.3443844170360497E-2</v>
      </c>
      <c r="BR9" s="5">
        <v>0.43577333653017303</v>
      </c>
      <c r="BS9" s="5">
        <v>0.42813220158726262</v>
      </c>
      <c r="BT9" s="5">
        <v>0.15340408246560119</v>
      </c>
      <c r="BU9" s="5">
        <v>0.38413113090410528</v>
      </c>
      <c r="BV9" s="5">
        <v>0.15340408246560119</v>
      </c>
      <c r="BW9" s="5">
        <v>0.34502200862693733</v>
      </c>
      <c r="BX9" s="5">
        <v>0.15340408246560119</v>
      </c>
      <c r="BY9" s="5">
        <v>0.38413113090410528</v>
      </c>
      <c r="BZ9" s="5">
        <v>0.34502200862693733</v>
      </c>
      <c r="CA9" s="5">
        <v>0.42084106748718852</v>
      </c>
      <c r="CB9" s="5">
        <v>0.19644508038493361</v>
      </c>
      <c r="CC9" s="5">
        <v>0.21133513820761429</v>
      </c>
      <c r="CD9" s="5">
        <v>0.37341608646470381</v>
      </c>
      <c r="CE9" s="5">
        <v>0.40478513484996531</v>
      </c>
      <c r="CF9" s="5">
        <v>133.41579771975449</v>
      </c>
      <c r="CG9" s="5">
        <v>0.62027512120113926</v>
      </c>
      <c r="CH9" s="5">
        <v>133.41579771975449</v>
      </c>
      <c r="CI9" s="5">
        <v>9.1460324937362198</v>
      </c>
      <c r="CJ9" s="5">
        <v>133.41579771975449</v>
      </c>
      <c r="CK9" s="5">
        <v>0.62027512120113926</v>
      </c>
      <c r="CL9" s="5">
        <v>9.1460324937362198</v>
      </c>
      <c r="CM9" s="5">
        <v>8.4439531955738403</v>
      </c>
      <c r="CN9" s="5">
        <v>356.3840889057891</v>
      </c>
      <c r="CO9" s="5">
        <v>-1.4331940283827119E-2</v>
      </c>
      <c r="CP9" s="5">
        <v>15.63706406606893</v>
      </c>
      <c r="CQ9" s="5">
        <v>15.720790176418969</v>
      </c>
    </row>
    <row r="10" spans="1:95" x14ac:dyDescent="0.3">
      <c r="A10" s="2">
        <v>46057.931215277778</v>
      </c>
      <c r="B10" s="3" t="s">
        <v>122</v>
      </c>
      <c r="C10" s="3">
        <v>4</v>
      </c>
      <c r="D10" s="3" t="s">
        <v>96</v>
      </c>
      <c r="E10" s="5">
        <v>16590</v>
      </c>
      <c r="F10" s="5">
        <v>4.5</v>
      </c>
      <c r="G10" s="3" t="s">
        <v>123</v>
      </c>
      <c r="H10" s="3" t="s">
        <v>98</v>
      </c>
      <c r="I10" s="3">
        <v>5</v>
      </c>
      <c r="J10" s="3">
        <v>5</v>
      </c>
      <c r="K10" s="3" t="s">
        <v>99</v>
      </c>
      <c r="L10" s="3" t="s">
        <v>100</v>
      </c>
      <c r="M10" s="3" t="s">
        <v>101</v>
      </c>
      <c r="N10" s="3" t="s">
        <v>101</v>
      </c>
      <c r="O10" s="3" t="s">
        <v>102</v>
      </c>
      <c r="P10" s="3" t="s">
        <v>124</v>
      </c>
      <c r="Q10" s="3" t="str">
        <f t="shared" si="0"/>
        <v>multihead1</v>
      </c>
      <c r="R10" s="3" t="s">
        <v>104</v>
      </c>
      <c r="S10" s="3" t="s">
        <v>125</v>
      </c>
      <c r="T10" s="3" t="s">
        <v>106</v>
      </c>
      <c r="U10" s="3" t="s">
        <v>126</v>
      </c>
      <c r="V10" s="3" t="s">
        <v>127</v>
      </c>
      <c r="W10" s="3" t="s">
        <v>101</v>
      </c>
      <c r="X10" s="3">
        <v>170</v>
      </c>
      <c r="Y10" s="3">
        <v>50</v>
      </c>
      <c r="Z10" s="3">
        <v>120</v>
      </c>
      <c r="AA10" s="3" t="s">
        <v>109</v>
      </c>
      <c r="AB10" s="3">
        <v>4000</v>
      </c>
      <c r="AC10" s="3">
        <v>4000</v>
      </c>
      <c r="AD10" s="3">
        <v>0.1945776566870201</v>
      </c>
      <c r="AE10" s="3"/>
      <c r="AF10" s="3">
        <v>128</v>
      </c>
      <c r="AG10" s="3" t="s">
        <v>110</v>
      </c>
      <c r="AH10" s="3">
        <v>0.1</v>
      </c>
      <c r="AI10" s="3">
        <v>45.550217109114307</v>
      </c>
      <c r="AJ10" s="3">
        <v>0.2769559677646114</v>
      </c>
      <c r="AK10" s="3">
        <v>45.550217109114307</v>
      </c>
      <c r="AL10" s="3">
        <v>11.323726540747529</v>
      </c>
      <c r="AM10" s="3">
        <v>45.550217109114307</v>
      </c>
      <c r="AN10" s="3">
        <v>11.323726540747529</v>
      </c>
      <c r="AO10" s="3">
        <v>11.26196537442766</v>
      </c>
      <c r="AP10" s="3">
        <v>0.2769559677646114</v>
      </c>
      <c r="AQ10" s="3">
        <v>100.3333487336558</v>
      </c>
      <c r="AR10" s="3">
        <v>16.672657701846671</v>
      </c>
      <c r="AS10" s="3">
        <v>17.60704614940062</v>
      </c>
      <c r="AT10" s="3">
        <v>-2.6272675139448198E-2</v>
      </c>
      <c r="AU10" s="3">
        <v>0.5714285714285714</v>
      </c>
      <c r="AV10" s="3">
        <v>0.1205047329737913</v>
      </c>
      <c r="AW10" s="3">
        <v>0.1249798309871798</v>
      </c>
      <c r="AX10" s="3">
        <v>0.1205047329737913</v>
      </c>
      <c r="AY10" s="3">
        <v>0.28777386443926561</v>
      </c>
      <c r="AZ10" s="3">
        <v>0.1205047329737913</v>
      </c>
      <c r="BA10" s="3">
        <v>0.1249798309871798</v>
      </c>
      <c r="BB10" s="3">
        <v>0.28777386443926561</v>
      </c>
      <c r="BC10" s="3">
        <v>0.31228119648842401</v>
      </c>
      <c r="BD10" s="3">
        <v>0.1238469720845726</v>
      </c>
      <c r="BE10" s="3">
        <v>0.1007108536663212</v>
      </c>
      <c r="BF10" s="3">
        <v>0.29571407240600239</v>
      </c>
      <c r="BG10" s="3">
        <v>0.30641168997265589</v>
      </c>
      <c r="BH10" s="3">
        <v>0.20472111600387741</v>
      </c>
      <c r="BI10" s="3">
        <v>0.29068505779417969</v>
      </c>
      <c r="BJ10" s="3">
        <v>0.20472111600387741</v>
      </c>
      <c r="BK10" s="3">
        <v>0.39936439249999067</v>
      </c>
      <c r="BL10" s="3">
        <v>0.20472111600387741</v>
      </c>
      <c r="BM10" s="3">
        <v>0.29068505779417969</v>
      </c>
      <c r="BN10" s="3">
        <v>0.39936439249999067</v>
      </c>
      <c r="BO10" s="3">
        <v>0.40074736397828609</v>
      </c>
      <c r="BP10" s="3">
        <v>0.30341313687295779</v>
      </c>
      <c r="BQ10" s="3">
        <v>-5.1261715676914177E-2</v>
      </c>
      <c r="BR10" s="3">
        <v>0.48490381645830738</v>
      </c>
      <c r="BS10" s="3">
        <v>0.47500950954327598</v>
      </c>
      <c r="BT10" s="3">
        <v>0.19696482563157949</v>
      </c>
      <c r="BU10" s="3">
        <v>0.20924852543874231</v>
      </c>
      <c r="BV10" s="3">
        <v>0.19696482563157949</v>
      </c>
      <c r="BW10" s="3">
        <v>0.38922267644463687</v>
      </c>
      <c r="BX10" s="3">
        <v>0.19696482563157949</v>
      </c>
      <c r="BY10" s="3">
        <v>0.20924852543874231</v>
      </c>
      <c r="BZ10" s="3">
        <v>0.38922267644463687</v>
      </c>
      <c r="CA10" s="3">
        <v>0.37155134775181958</v>
      </c>
      <c r="CB10" s="3">
        <v>0.25262496343237989</v>
      </c>
      <c r="CC10" s="3">
        <v>-1.42093224238613E-2</v>
      </c>
      <c r="CD10" s="3">
        <v>0.4424246932822527</v>
      </c>
      <c r="CE10" s="3">
        <v>0.44450448170960422</v>
      </c>
      <c r="CF10" s="3">
        <v>181.67867776184869</v>
      </c>
      <c r="CG10" s="3">
        <v>0.48291045683834749</v>
      </c>
      <c r="CH10" s="3">
        <v>181.67867776184869</v>
      </c>
      <c r="CI10" s="3">
        <v>11.2653401751605</v>
      </c>
      <c r="CJ10" s="3">
        <v>181.67867776184869</v>
      </c>
      <c r="CK10" s="3">
        <v>0.48291045683834749</v>
      </c>
      <c r="CL10" s="3">
        <v>11.2653401751605</v>
      </c>
      <c r="CM10" s="3">
        <v>11.20277673250771</v>
      </c>
      <c r="CN10" s="3">
        <v>400.65350986223291</v>
      </c>
      <c r="CO10" s="3">
        <v>-0.14033051612333841</v>
      </c>
      <c r="CP10" s="3">
        <v>16.613259218045339</v>
      </c>
      <c r="CQ10" s="3">
        <v>17.55023441257601</v>
      </c>
    </row>
    <row r="11" spans="1:95" x14ac:dyDescent="0.3">
      <c r="A11" s="4">
        <v>46058.144548611112</v>
      </c>
      <c r="B11" s="5" t="s">
        <v>128</v>
      </c>
      <c r="C11" s="5">
        <v>2</v>
      </c>
      <c r="D11" s="5" t="s">
        <v>96</v>
      </c>
      <c r="E11" s="12">
        <v>16590</v>
      </c>
      <c r="F11" s="12">
        <v>4.5</v>
      </c>
      <c r="G11" s="5" t="s">
        <v>129</v>
      </c>
      <c r="H11" s="5" t="s">
        <v>98</v>
      </c>
      <c r="I11" s="5">
        <v>5</v>
      </c>
      <c r="J11" s="5">
        <v>5</v>
      </c>
      <c r="K11" s="5" t="s">
        <v>99</v>
      </c>
      <c r="L11" s="5" t="s">
        <v>100</v>
      </c>
      <c r="M11" s="5" t="s">
        <v>101</v>
      </c>
      <c r="N11" s="5" t="s">
        <v>101</v>
      </c>
      <c r="O11" s="5" t="s">
        <v>102</v>
      </c>
      <c r="P11" s="5" t="s">
        <v>130</v>
      </c>
      <c r="Q11" s="5" t="str">
        <f t="shared" si="0"/>
        <v>multihead2</v>
      </c>
      <c r="R11" s="5" t="s">
        <v>104</v>
      </c>
      <c r="S11" s="5" t="s">
        <v>125</v>
      </c>
      <c r="T11" s="5" t="s">
        <v>106</v>
      </c>
      <c r="U11" s="5" t="s">
        <v>131</v>
      </c>
      <c r="V11" s="5" t="s">
        <v>132</v>
      </c>
      <c r="W11" s="5" t="s">
        <v>101</v>
      </c>
      <c r="X11" s="5">
        <v>190</v>
      </c>
      <c r="Y11" s="5">
        <v>70</v>
      </c>
      <c r="Z11" s="5">
        <v>120</v>
      </c>
      <c r="AA11" s="5" t="s">
        <v>109</v>
      </c>
      <c r="AB11" s="5">
        <v>4000</v>
      </c>
      <c r="AC11" s="5">
        <v>4000</v>
      </c>
      <c r="AD11" s="5">
        <v>0.2157177813995961</v>
      </c>
      <c r="AE11" s="5"/>
      <c r="AF11" s="5">
        <v>128</v>
      </c>
      <c r="AG11" s="5" t="s">
        <v>110</v>
      </c>
      <c r="AH11" s="5">
        <v>0.1</v>
      </c>
      <c r="AI11" s="5">
        <v>81.727987489234962</v>
      </c>
      <c r="AJ11" s="5">
        <v>0.2692380942070991</v>
      </c>
      <c r="AK11" s="5">
        <v>81.727987489234962</v>
      </c>
      <c r="AL11" s="5">
        <v>15.113199304348059</v>
      </c>
      <c r="AM11" s="5">
        <v>81.727987489234962</v>
      </c>
      <c r="AN11" s="5">
        <v>15.113199304348059</v>
      </c>
      <c r="AO11" s="5">
        <v>14.382433719211059</v>
      </c>
      <c r="AP11" s="5">
        <v>0.2692380942070991</v>
      </c>
      <c r="AQ11" s="5">
        <v>99.86372838505234</v>
      </c>
      <c r="AR11" s="5">
        <v>16.803200599871879</v>
      </c>
      <c r="AS11" s="5">
        <v>15.81940527470141</v>
      </c>
      <c r="AT11" s="5">
        <v>-9.7366682175646618E-2</v>
      </c>
      <c r="AU11" s="5">
        <v>0.8</v>
      </c>
      <c r="AV11" s="5">
        <v>5.0290491680519002E-2</v>
      </c>
      <c r="AW11" s="5">
        <v>0.6348260068789473</v>
      </c>
      <c r="AX11" s="5">
        <v>5.0290491680519002E-2</v>
      </c>
      <c r="AY11" s="5">
        <v>0.1688086640208481</v>
      </c>
      <c r="AZ11" s="5">
        <v>5.0290491680519002E-2</v>
      </c>
      <c r="BA11" s="5">
        <v>0.6348260068789473</v>
      </c>
      <c r="BB11" s="5">
        <v>0.1688086640208481</v>
      </c>
      <c r="BC11" s="5">
        <v>0.1734904269333527</v>
      </c>
      <c r="BD11" s="5">
        <v>0.13928608795509551</v>
      </c>
      <c r="BE11" s="5">
        <v>-1.139708969032394E-2</v>
      </c>
      <c r="BF11" s="5">
        <v>0.31351838263230908</v>
      </c>
      <c r="BG11" s="5">
        <v>0.30517302078294151</v>
      </c>
      <c r="BH11" s="5">
        <v>0.24179389970168849</v>
      </c>
      <c r="BI11" s="5">
        <v>0.16223578036095329</v>
      </c>
      <c r="BJ11" s="5">
        <v>0.24179389970168849</v>
      </c>
      <c r="BK11" s="5">
        <v>0.43215832009650113</v>
      </c>
      <c r="BL11" s="5">
        <v>0.24179389970168849</v>
      </c>
      <c r="BM11" s="5">
        <v>0.16223578036095329</v>
      </c>
      <c r="BN11" s="5">
        <v>0.43215832009650113</v>
      </c>
      <c r="BO11" s="5">
        <v>0.44820196350010588</v>
      </c>
      <c r="BP11" s="5">
        <v>0.27198504889340291</v>
      </c>
      <c r="BQ11" s="5">
        <v>5.7629896698016769E-2</v>
      </c>
      <c r="BR11" s="5">
        <v>0.45574287335875913</v>
      </c>
      <c r="BS11" s="5">
        <v>0.43287188352705652</v>
      </c>
      <c r="BT11" s="5">
        <v>0.19703980838753879</v>
      </c>
      <c r="BU11" s="5">
        <v>0.208947493390754</v>
      </c>
      <c r="BV11" s="5">
        <v>0.19703980838753879</v>
      </c>
      <c r="BW11" s="5">
        <v>0.38505400340293477</v>
      </c>
      <c r="BX11" s="5">
        <v>0.19703980838753879</v>
      </c>
      <c r="BY11" s="5">
        <v>0.208947493390754</v>
      </c>
      <c r="BZ11" s="5">
        <v>0.38505400340293477</v>
      </c>
      <c r="CA11" s="5">
        <v>0.39405115543909708</v>
      </c>
      <c r="CB11" s="5">
        <v>0.32402882197817851</v>
      </c>
      <c r="CC11" s="5">
        <v>-0.30087322930877147</v>
      </c>
      <c r="CD11" s="5">
        <v>0.49892895660397441</v>
      </c>
      <c r="CE11" s="5">
        <v>0.51879127390719215</v>
      </c>
      <c r="CF11" s="5">
        <v>326.4228257571707</v>
      </c>
      <c r="CG11" s="5">
        <v>7.0943096197743305E-2</v>
      </c>
      <c r="CH11" s="5">
        <v>326.4228257571707</v>
      </c>
      <c r="CI11" s="5">
        <v>15.06990766499476</v>
      </c>
      <c r="CJ11" s="5">
        <v>326.4228257571707</v>
      </c>
      <c r="CK11" s="5">
        <v>7.0943096197743305E-2</v>
      </c>
      <c r="CL11" s="5">
        <v>15.06990766499476</v>
      </c>
      <c r="CM11" s="5">
        <v>14.33228665811682</v>
      </c>
      <c r="CN11" s="5">
        <v>398.71961358138441</v>
      </c>
      <c r="CO11" s="5">
        <v>-0.1348263064015085</v>
      </c>
      <c r="CP11" s="5">
        <v>16.743271442176471</v>
      </c>
      <c r="CQ11" s="5">
        <v>15.75524607425848</v>
      </c>
    </row>
    <row r="12" spans="1:95" x14ac:dyDescent="0.3">
      <c r="A12" s="2">
        <v>46057.570532407408</v>
      </c>
      <c r="B12" s="3" t="s">
        <v>133</v>
      </c>
      <c r="C12" s="3">
        <v>0</v>
      </c>
      <c r="D12" s="3" t="s">
        <v>96</v>
      </c>
      <c r="E12" s="5">
        <v>16590</v>
      </c>
      <c r="F12" s="5">
        <v>4.5</v>
      </c>
      <c r="G12" s="3" t="s">
        <v>129</v>
      </c>
      <c r="H12" s="3" t="s">
        <v>98</v>
      </c>
      <c r="I12" s="3">
        <v>5</v>
      </c>
      <c r="J12" s="3">
        <v>5</v>
      </c>
      <c r="K12" s="3" t="s">
        <v>99</v>
      </c>
      <c r="L12" s="3" t="s">
        <v>100</v>
      </c>
      <c r="M12" s="3" t="s">
        <v>101</v>
      </c>
      <c r="N12" s="3" t="s">
        <v>101</v>
      </c>
      <c r="O12" s="3" t="s">
        <v>102</v>
      </c>
      <c r="P12" s="3" t="s">
        <v>130</v>
      </c>
      <c r="Q12" s="3" t="str">
        <f t="shared" si="0"/>
        <v>multihead2</v>
      </c>
      <c r="R12" s="3" t="s">
        <v>104</v>
      </c>
      <c r="S12" s="3" t="s">
        <v>125</v>
      </c>
      <c r="T12" s="3" t="s">
        <v>106</v>
      </c>
      <c r="U12" s="3" t="s">
        <v>131</v>
      </c>
      <c r="V12" s="3" t="s">
        <v>132</v>
      </c>
      <c r="W12" s="3" t="s">
        <v>101</v>
      </c>
      <c r="X12" s="3">
        <v>190</v>
      </c>
      <c r="Y12" s="3">
        <v>70</v>
      </c>
      <c r="Z12" s="3">
        <v>120</v>
      </c>
      <c r="AA12" s="3" t="s">
        <v>109</v>
      </c>
      <c r="AB12" s="3">
        <v>4000</v>
      </c>
      <c r="AC12" s="3">
        <v>4000</v>
      </c>
      <c r="AD12" s="3">
        <v>0.2272237729495013</v>
      </c>
      <c r="AE12" s="3"/>
      <c r="AF12" s="3">
        <v>128</v>
      </c>
      <c r="AG12" s="3" t="s">
        <v>110</v>
      </c>
      <c r="AH12" s="3">
        <v>0.1</v>
      </c>
      <c r="AI12" s="3">
        <v>80.663090650400932</v>
      </c>
      <c r="AJ12" s="3">
        <v>0.24309033730430241</v>
      </c>
      <c r="AK12" s="3">
        <v>80.663090650400932</v>
      </c>
      <c r="AL12" s="3">
        <v>14.917995872545591</v>
      </c>
      <c r="AM12" s="3">
        <v>80.663090650400932</v>
      </c>
      <c r="AN12" s="3">
        <v>14.917995872545591</v>
      </c>
      <c r="AO12" s="3">
        <v>15.229624193430659</v>
      </c>
      <c r="AP12" s="3">
        <v>0.24309033730430241</v>
      </c>
      <c r="AQ12" s="3">
        <v>100.221436204309</v>
      </c>
      <c r="AR12" s="3">
        <v>16.699257724313789</v>
      </c>
      <c r="AS12" s="3">
        <v>16.67188095754631</v>
      </c>
      <c r="AT12" s="3">
        <v>-0.1997762829973472</v>
      </c>
      <c r="AU12" s="3">
        <v>0.8</v>
      </c>
      <c r="AV12" s="3">
        <v>5.8995764504640238E-2</v>
      </c>
      <c r="AW12" s="3">
        <v>0.57161447061902326</v>
      </c>
      <c r="AX12" s="3">
        <v>5.8995764504640238E-2</v>
      </c>
      <c r="AY12" s="3">
        <v>0.19339857198401331</v>
      </c>
      <c r="AZ12" s="3">
        <v>5.8995764504640238E-2</v>
      </c>
      <c r="BA12" s="3">
        <v>0.57161447061902326</v>
      </c>
      <c r="BB12" s="3">
        <v>0.19339857198401331</v>
      </c>
      <c r="BC12" s="3">
        <v>0.20738502986866969</v>
      </c>
      <c r="BD12" s="3">
        <v>0.18452289481754439</v>
      </c>
      <c r="BE12" s="3">
        <v>-0.33987479682726601</v>
      </c>
      <c r="BF12" s="3">
        <v>0.36640240539178631</v>
      </c>
      <c r="BG12" s="3">
        <v>0.37418300480767153</v>
      </c>
      <c r="BH12" s="3">
        <v>0.25230089787716797</v>
      </c>
      <c r="BI12" s="3">
        <v>0.12583127578871511</v>
      </c>
      <c r="BJ12" s="3">
        <v>0.25230089787716797</v>
      </c>
      <c r="BK12" s="3">
        <v>0.43165071534545763</v>
      </c>
      <c r="BL12" s="3">
        <v>0.25230089787716797</v>
      </c>
      <c r="BM12" s="3">
        <v>0.12583127578871511</v>
      </c>
      <c r="BN12" s="3">
        <v>0.43165071534545763</v>
      </c>
      <c r="BO12" s="3">
        <v>0.39739942914465992</v>
      </c>
      <c r="BP12" s="3">
        <v>0.29620998603653542</v>
      </c>
      <c r="BQ12" s="3">
        <v>-2.6304336492150249E-2</v>
      </c>
      <c r="BR12" s="3">
        <v>0.4693779184336887</v>
      </c>
      <c r="BS12" s="3">
        <v>0.54350241058031223</v>
      </c>
      <c r="BT12" s="3">
        <v>0.20131545631384479</v>
      </c>
      <c r="BU12" s="3">
        <v>0.1917821193622192</v>
      </c>
      <c r="BV12" s="3">
        <v>0.20131545631384479</v>
      </c>
      <c r="BW12" s="3">
        <v>0.38838158611499851</v>
      </c>
      <c r="BX12" s="3">
        <v>0.20131545631384479</v>
      </c>
      <c r="BY12" s="3">
        <v>0.1917821193622192</v>
      </c>
      <c r="BZ12" s="3">
        <v>0.38838158611499851</v>
      </c>
      <c r="CA12" s="3">
        <v>0.38377322709935008</v>
      </c>
      <c r="CB12" s="3">
        <v>0.32237166745064227</v>
      </c>
      <c r="CC12" s="3">
        <v>-0.29422027804184753</v>
      </c>
      <c r="CD12" s="3">
        <v>0.5016488903410472</v>
      </c>
      <c r="CE12" s="3">
        <v>0.47768253443097469</v>
      </c>
      <c r="CF12" s="3">
        <v>322.13975048290831</v>
      </c>
      <c r="CG12" s="3">
        <v>8.3133483447250467E-2</v>
      </c>
      <c r="CH12" s="3">
        <v>322.13975048290831</v>
      </c>
      <c r="CI12" s="3">
        <v>14.872205756891439</v>
      </c>
      <c r="CJ12" s="3">
        <v>322.13975048290831</v>
      </c>
      <c r="CK12" s="3">
        <v>8.3133483447250467E-2</v>
      </c>
      <c r="CL12" s="3">
        <v>14.872205756891439</v>
      </c>
      <c r="CM12" s="3">
        <v>15.192723012383491</v>
      </c>
      <c r="CN12" s="3">
        <v>400.08264026893062</v>
      </c>
      <c r="CO12" s="3">
        <v>-0.13870572062811479</v>
      </c>
      <c r="CP12" s="3">
        <v>16.634919050308469</v>
      </c>
      <c r="CQ12" s="3">
        <v>16.60518374186708</v>
      </c>
    </row>
    <row r="13" spans="1:95" x14ac:dyDescent="0.3">
      <c r="A13" s="4">
        <v>46057.771296296298</v>
      </c>
      <c r="B13" s="5" t="s">
        <v>134</v>
      </c>
      <c r="C13" s="5">
        <v>2</v>
      </c>
      <c r="D13" s="5" t="s">
        <v>96</v>
      </c>
      <c r="E13" s="12">
        <v>16590</v>
      </c>
      <c r="F13" s="12">
        <v>4.5</v>
      </c>
      <c r="G13" s="5" t="s">
        <v>123</v>
      </c>
      <c r="H13" s="5" t="s">
        <v>98</v>
      </c>
      <c r="I13" s="5">
        <v>5</v>
      </c>
      <c r="J13" s="5">
        <v>5</v>
      </c>
      <c r="K13" s="5" t="s">
        <v>99</v>
      </c>
      <c r="L13" s="5" t="s">
        <v>100</v>
      </c>
      <c r="M13" s="5" t="s">
        <v>101</v>
      </c>
      <c r="N13" s="5" t="s">
        <v>101</v>
      </c>
      <c r="O13" s="5" t="s">
        <v>102</v>
      </c>
      <c r="P13" s="5" t="s">
        <v>124</v>
      </c>
      <c r="Q13" s="5" t="str">
        <f t="shared" si="0"/>
        <v>multihead1</v>
      </c>
      <c r="R13" s="5" t="s">
        <v>104</v>
      </c>
      <c r="S13" s="5" t="s">
        <v>125</v>
      </c>
      <c r="T13" s="5" t="s">
        <v>106</v>
      </c>
      <c r="U13" s="5" t="s">
        <v>126</v>
      </c>
      <c r="V13" s="5" t="s">
        <v>127</v>
      </c>
      <c r="W13" s="5" t="s">
        <v>101</v>
      </c>
      <c r="X13" s="5">
        <v>170</v>
      </c>
      <c r="Y13" s="5">
        <v>50</v>
      </c>
      <c r="Z13" s="5">
        <v>120</v>
      </c>
      <c r="AA13" s="5" t="s">
        <v>109</v>
      </c>
      <c r="AB13" s="5">
        <v>4000</v>
      </c>
      <c r="AC13" s="5">
        <v>4000</v>
      </c>
      <c r="AD13" s="5">
        <v>0.2110096517884896</v>
      </c>
      <c r="AE13" s="5"/>
      <c r="AF13" s="5">
        <v>128</v>
      </c>
      <c r="AG13" s="5" t="s">
        <v>110</v>
      </c>
      <c r="AH13" s="5">
        <v>0.1</v>
      </c>
      <c r="AI13" s="5">
        <v>37.806179064559807</v>
      </c>
      <c r="AJ13" s="5">
        <v>0.23605484071103039</v>
      </c>
      <c r="AK13" s="5">
        <v>37.806179064559807</v>
      </c>
      <c r="AL13" s="5">
        <v>10.069901540098821</v>
      </c>
      <c r="AM13" s="5">
        <v>37.806179064559807</v>
      </c>
      <c r="AN13" s="5">
        <v>10.069901540098821</v>
      </c>
      <c r="AO13" s="5">
        <v>9.7839186512107261</v>
      </c>
      <c r="AP13" s="5">
        <v>0.23605484071103039</v>
      </c>
      <c r="AQ13" s="5">
        <v>108.55510299801369</v>
      </c>
      <c r="AR13" s="5">
        <v>17.533400503338619</v>
      </c>
      <c r="AS13" s="5">
        <v>16.941794091351461</v>
      </c>
      <c r="AT13" s="5">
        <v>-8.1139435827041251E-2</v>
      </c>
      <c r="AU13" s="5">
        <v>0.5714285714285714</v>
      </c>
      <c r="AV13" s="5">
        <v>0.12788810908224979</v>
      </c>
      <c r="AW13" s="5">
        <v>7.1366974040609543E-2</v>
      </c>
      <c r="AX13" s="5">
        <v>0.12788810908224979</v>
      </c>
      <c r="AY13" s="5">
        <v>0.2978440974799153</v>
      </c>
      <c r="AZ13" s="5">
        <v>0.12788810908224979</v>
      </c>
      <c r="BA13" s="5">
        <v>7.1366974040609543E-2</v>
      </c>
      <c r="BB13" s="5">
        <v>0.2978440974799153</v>
      </c>
      <c r="BC13" s="5">
        <v>0.28216285042227868</v>
      </c>
      <c r="BD13" s="5">
        <v>0.1382711142163697</v>
      </c>
      <c r="BE13" s="5">
        <v>-4.0270680282159521E-3</v>
      </c>
      <c r="BF13" s="5">
        <v>0.31160286613068239</v>
      </c>
      <c r="BG13" s="5">
        <v>0.30745567370166688</v>
      </c>
      <c r="BH13" s="5">
        <v>0.22035479503547839</v>
      </c>
      <c r="BI13" s="5">
        <v>0.23651769902228639</v>
      </c>
      <c r="BJ13" s="5">
        <v>0.22035479503547839</v>
      </c>
      <c r="BK13" s="5">
        <v>0.41634018563728192</v>
      </c>
      <c r="BL13" s="5">
        <v>0.22035479503547839</v>
      </c>
      <c r="BM13" s="5">
        <v>0.23651769902228639</v>
      </c>
      <c r="BN13" s="5">
        <v>0.41634018563728192</v>
      </c>
      <c r="BO13" s="5">
        <v>0.43195891361770677</v>
      </c>
      <c r="BP13" s="5">
        <v>0.30663178670120139</v>
      </c>
      <c r="BQ13" s="5">
        <v>-6.2413649886075673E-2</v>
      </c>
      <c r="BR13" s="5">
        <v>0.48820062356030203</v>
      </c>
      <c r="BS13" s="5">
        <v>0.47833830111821968</v>
      </c>
      <c r="BT13" s="5">
        <v>0.2328719110688586</v>
      </c>
      <c r="BU13" s="5">
        <v>6.5092934887587717E-2</v>
      </c>
      <c r="BV13" s="5">
        <v>0.2328719110688586</v>
      </c>
      <c r="BW13" s="5">
        <v>0.4279418247895741</v>
      </c>
      <c r="BX13" s="5">
        <v>0.2328719110688586</v>
      </c>
      <c r="BY13" s="5">
        <v>6.5092934887587717E-2</v>
      </c>
      <c r="BZ13" s="5">
        <v>0.4279418247895741</v>
      </c>
      <c r="CA13" s="5">
        <v>0.41633593783952078</v>
      </c>
      <c r="CB13" s="5">
        <v>0.25512385662814158</v>
      </c>
      <c r="CC13" s="5">
        <v>-2.4241588200166531E-2</v>
      </c>
      <c r="CD13" s="5">
        <v>0.44812874907830702</v>
      </c>
      <c r="CE13" s="5">
        <v>0.43542730937417512</v>
      </c>
      <c r="CF13" s="5">
        <v>150.64360144305331</v>
      </c>
      <c r="CG13" s="5">
        <v>0.57124175489363815</v>
      </c>
      <c r="CH13" s="5">
        <v>150.64360144305331</v>
      </c>
      <c r="CI13" s="5">
        <v>9.991136131554093</v>
      </c>
      <c r="CJ13" s="5">
        <v>150.64360144305331</v>
      </c>
      <c r="CK13" s="5">
        <v>0.57124175489363815</v>
      </c>
      <c r="CL13" s="5">
        <v>9.991136131554093</v>
      </c>
      <c r="CM13" s="5">
        <v>9.699342588011632</v>
      </c>
      <c r="CN13" s="5">
        <v>433.52038523450818</v>
      </c>
      <c r="CO13" s="5">
        <v>-0.23387543719370549</v>
      </c>
      <c r="CP13" s="5">
        <v>17.476490268376381</v>
      </c>
      <c r="CQ13" s="5">
        <v>16.88327972201775</v>
      </c>
    </row>
    <row r="14" spans="1:95" x14ac:dyDescent="0.3">
      <c r="A14" s="2">
        <v>46058.023113425923</v>
      </c>
      <c r="B14" s="3" t="s">
        <v>135</v>
      </c>
      <c r="C14" s="3">
        <v>1</v>
      </c>
      <c r="D14" s="3" t="s">
        <v>96</v>
      </c>
      <c r="E14" s="5">
        <v>16590</v>
      </c>
      <c r="F14" s="5">
        <v>4.5</v>
      </c>
      <c r="G14" s="3" t="s">
        <v>129</v>
      </c>
      <c r="H14" s="3" t="s">
        <v>98</v>
      </c>
      <c r="I14" s="3">
        <v>5</v>
      </c>
      <c r="J14" s="3">
        <v>5</v>
      </c>
      <c r="K14" s="3" t="s">
        <v>99</v>
      </c>
      <c r="L14" s="3" t="s">
        <v>100</v>
      </c>
      <c r="M14" s="3" t="s">
        <v>101</v>
      </c>
      <c r="N14" s="3" t="s">
        <v>101</v>
      </c>
      <c r="O14" s="3" t="s">
        <v>102</v>
      </c>
      <c r="P14" s="3" t="s">
        <v>130</v>
      </c>
      <c r="Q14" s="3" t="str">
        <f t="shared" si="0"/>
        <v>multihead2</v>
      </c>
      <c r="R14" s="3" t="s">
        <v>104</v>
      </c>
      <c r="S14" s="3" t="s">
        <v>125</v>
      </c>
      <c r="T14" s="3" t="s">
        <v>106</v>
      </c>
      <c r="U14" s="3" t="s">
        <v>131</v>
      </c>
      <c r="V14" s="3" t="s">
        <v>132</v>
      </c>
      <c r="W14" s="3" t="s">
        <v>101</v>
      </c>
      <c r="X14" s="3">
        <v>190</v>
      </c>
      <c r="Y14" s="3">
        <v>70</v>
      </c>
      <c r="Z14" s="3">
        <v>120</v>
      </c>
      <c r="AA14" s="3" t="s">
        <v>109</v>
      </c>
      <c r="AB14" s="3">
        <v>4000</v>
      </c>
      <c r="AC14" s="3">
        <v>4000</v>
      </c>
      <c r="AD14" s="3">
        <v>0.2303219746065428</v>
      </c>
      <c r="AE14" s="3"/>
      <c r="AF14" s="3">
        <v>128</v>
      </c>
      <c r="AG14" s="3" t="s">
        <v>110</v>
      </c>
      <c r="AH14" s="3">
        <v>0.1</v>
      </c>
      <c r="AI14" s="3">
        <v>92.717720257598543</v>
      </c>
      <c r="AJ14" s="3">
        <v>0.23588080372307041</v>
      </c>
      <c r="AK14" s="3">
        <v>92.717720257598543</v>
      </c>
      <c r="AL14" s="3">
        <v>16.340282229330061</v>
      </c>
      <c r="AM14" s="3">
        <v>92.717720257598543</v>
      </c>
      <c r="AN14" s="3">
        <v>16.340282229330061</v>
      </c>
      <c r="AO14" s="3">
        <v>16.768282915892879</v>
      </c>
      <c r="AP14" s="3">
        <v>0.23588080372307041</v>
      </c>
      <c r="AQ14" s="3">
        <v>92.960637202734361</v>
      </c>
      <c r="AR14" s="3">
        <v>16.388589764033679</v>
      </c>
      <c r="AS14" s="3">
        <v>16.772922103206149</v>
      </c>
      <c r="AT14" s="3">
        <v>-7.1431990308937099E-2</v>
      </c>
      <c r="AU14" s="3">
        <v>0.8</v>
      </c>
      <c r="AV14" s="3">
        <v>4.3759533981894499E-2</v>
      </c>
      <c r="AW14" s="3">
        <v>0.68224920402846412</v>
      </c>
      <c r="AX14" s="3">
        <v>4.3759533981894499E-2</v>
      </c>
      <c r="AY14" s="3">
        <v>0.16925253876988319</v>
      </c>
      <c r="AZ14" s="3">
        <v>4.3759533981894499E-2</v>
      </c>
      <c r="BA14" s="3">
        <v>0.68224920402846412</v>
      </c>
      <c r="BB14" s="3">
        <v>0.16925253876988319</v>
      </c>
      <c r="BC14" s="3">
        <v>0.17627332282463701</v>
      </c>
      <c r="BD14" s="3">
        <v>0.1482362721132115</v>
      </c>
      <c r="BE14" s="3">
        <v>-7.6386998895250136E-2</v>
      </c>
      <c r="BF14" s="3">
        <v>0.32745196009158961</v>
      </c>
      <c r="BG14" s="3">
        <v>0.29885516574706611</v>
      </c>
      <c r="BH14" s="3">
        <v>0.26054493348201901</v>
      </c>
      <c r="BI14" s="3">
        <v>9.7267453195608256E-2</v>
      </c>
      <c r="BJ14" s="3">
        <v>0.26054493348201901</v>
      </c>
      <c r="BK14" s="3">
        <v>0.44765193911038248</v>
      </c>
      <c r="BL14" s="3">
        <v>0.26054493348201901</v>
      </c>
      <c r="BM14" s="3">
        <v>9.7267453195608256E-2</v>
      </c>
      <c r="BN14" s="3">
        <v>0.44765193911038248</v>
      </c>
      <c r="BO14" s="3">
        <v>0.4185015843494248</v>
      </c>
      <c r="BP14" s="3">
        <v>0.31301944590034841</v>
      </c>
      <c r="BQ14" s="3">
        <v>-8.4545524722023702E-2</v>
      </c>
      <c r="BR14" s="3">
        <v>0.49625489633044539</v>
      </c>
      <c r="BS14" s="3">
        <v>0.53893311273586586</v>
      </c>
      <c r="BT14" s="3">
        <v>0.1947475783461923</v>
      </c>
      <c r="BU14" s="3">
        <v>0.218150071970032</v>
      </c>
      <c r="BV14" s="3">
        <v>0.1947475783461923</v>
      </c>
      <c r="BW14" s="3">
        <v>0.38137052625937329</v>
      </c>
      <c r="BX14" s="3">
        <v>0.1947475783461923</v>
      </c>
      <c r="BY14" s="3">
        <v>0.218150071970032</v>
      </c>
      <c r="BZ14" s="3">
        <v>0.38137052625937329</v>
      </c>
      <c r="CA14" s="3">
        <v>0.37981600401677701</v>
      </c>
      <c r="CB14" s="3">
        <v>0.26615704267931889</v>
      </c>
      <c r="CC14" s="3">
        <v>-6.8536340377879368E-2</v>
      </c>
      <c r="CD14" s="3">
        <v>0.46368684221372952</v>
      </c>
      <c r="CE14" s="3">
        <v>0.49428542194073122</v>
      </c>
      <c r="CF14" s="3">
        <v>370.37182898458337</v>
      </c>
      <c r="CG14" s="3">
        <v>-5.4143514301824291E-2</v>
      </c>
      <c r="CH14" s="3">
        <v>370.37182898458337</v>
      </c>
      <c r="CI14" s="3">
        <v>16.29880855172809</v>
      </c>
      <c r="CJ14" s="3">
        <v>370.37182898458337</v>
      </c>
      <c r="CK14" s="3">
        <v>-5.4143514301824291E-2</v>
      </c>
      <c r="CL14" s="3">
        <v>16.29880855172809</v>
      </c>
      <c r="CM14" s="3">
        <v>16.733222602176529</v>
      </c>
      <c r="CN14" s="3">
        <v>371.11513605024572</v>
      </c>
      <c r="CO14" s="3">
        <v>-5.6259097240599187E-2</v>
      </c>
      <c r="CP14" s="3">
        <v>16.327500802822978</v>
      </c>
      <c r="CQ14" s="3">
        <v>16.708866586082522</v>
      </c>
    </row>
    <row r="15" spans="1:95" x14ac:dyDescent="0.3">
      <c r="A15" s="4">
        <v>46057.840775462973</v>
      </c>
      <c r="B15" s="5" t="s">
        <v>136</v>
      </c>
      <c r="C15" s="5">
        <v>3</v>
      </c>
      <c r="D15" s="5" t="s">
        <v>96</v>
      </c>
      <c r="E15" s="12">
        <v>16590</v>
      </c>
      <c r="F15" s="12">
        <v>4.5</v>
      </c>
      <c r="G15" s="5" t="s">
        <v>123</v>
      </c>
      <c r="H15" s="5" t="s">
        <v>98</v>
      </c>
      <c r="I15" s="5">
        <v>5</v>
      </c>
      <c r="J15" s="5">
        <v>5</v>
      </c>
      <c r="K15" s="5" t="s">
        <v>99</v>
      </c>
      <c r="L15" s="5" t="s">
        <v>100</v>
      </c>
      <c r="M15" s="5" t="s">
        <v>101</v>
      </c>
      <c r="N15" s="5" t="s">
        <v>101</v>
      </c>
      <c r="O15" s="5" t="s">
        <v>102</v>
      </c>
      <c r="P15" s="5" t="s">
        <v>124</v>
      </c>
      <c r="Q15" s="5" t="str">
        <f t="shared" si="0"/>
        <v>multihead1</v>
      </c>
      <c r="R15" s="5" t="s">
        <v>104</v>
      </c>
      <c r="S15" s="5" t="s">
        <v>125</v>
      </c>
      <c r="T15" s="5" t="s">
        <v>106</v>
      </c>
      <c r="U15" s="5" t="s">
        <v>126</v>
      </c>
      <c r="V15" s="5" t="s">
        <v>127</v>
      </c>
      <c r="W15" s="5" t="s">
        <v>101</v>
      </c>
      <c r="X15" s="5">
        <v>170</v>
      </c>
      <c r="Y15" s="5">
        <v>50</v>
      </c>
      <c r="Z15" s="5">
        <v>120</v>
      </c>
      <c r="AA15" s="5" t="s">
        <v>109</v>
      </c>
      <c r="AB15" s="5">
        <v>4000</v>
      </c>
      <c r="AC15" s="5">
        <v>4000</v>
      </c>
      <c r="AD15" s="5">
        <v>0.20527538416761609</v>
      </c>
      <c r="AE15" s="5"/>
      <c r="AF15" s="5">
        <v>128</v>
      </c>
      <c r="AG15" s="5" t="s">
        <v>110</v>
      </c>
      <c r="AH15" s="5">
        <v>0.1</v>
      </c>
      <c r="AI15" s="5">
        <v>39.342726060451668</v>
      </c>
      <c r="AJ15" s="5">
        <v>0.2277918768074656</v>
      </c>
      <c r="AK15" s="5">
        <v>39.342726060451668</v>
      </c>
      <c r="AL15" s="5">
        <v>10.31984017463366</v>
      </c>
      <c r="AM15" s="5">
        <v>39.342726060451668</v>
      </c>
      <c r="AN15" s="5">
        <v>10.31984017463366</v>
      </c>
      <c r="AO15" s="5">
        <v>10.73696802094118</v>
      </c>
      <c r="AP15" s="5">
        <v>0.2277918768074656</v>
      </c>
      <c r="AQ15" s="5">
        <v>108.4005700777186</v>
      </c>
      <c r="AR15" s="5">
        <v>17.487992699009439</v>
      </c>
      <c r="AS15" s="5">
        <v>18.8582502920002</v>
      </c>
      <c r="AT15" s="5">
        <v>-3.4733031196505809E-2</v>
      </c>
      <c r="AU15" s="5">
        <v>0.5714285714285714</v>
      </c>
      <c r="AV15" s="5">
        <v>0.120996714568968</v>
      </c>
      <c r="AW15" s="5">
        <v>0.1214074084943942</v>
      </c>
      <c r="AX15" s="5">
        <v>0.120996714568968</v>
      </c>
      <c r="AY15" s="5">
        <v>0.28464076382123621</v>
      </c>
      <c r="AZ15" s="5">
        <v>0.120996714568968</v>
      </c>
      <c r="BA15" s="5">
        <v>0.1214074084943942</v>
      </c>
      <c r="BB15" s="5">
        <v>0.28464076382123621</v>
      </c>
      <c r="BC15" s="5">
        <v>0.2772715972849229</v>
      </c>
      <c r="BD15" s="5">
        <v>0.137018841943154</v>
      </c>
      <c r="BE15" s="5">
        <v>5.0660478114549212E-3</v>
      </c>
      <c r="BF15" s="5">
        <v>0.31726751927121111</v>
      </c>
      <c r="BG15" s="5">
        <v>0.30908057063374228</v>
      </c>
      <c r="BH15" s="5">
        <v>0.23452412546018661</v>
      </c>
      <c r="BI15" s="5">
        <v>0.1874239954147566</v>
      </c>
      <c r="BJ15" s="5">
        <v>0.23452412546018661</v>
      </c>
      <c r="BK15" s="5">
        <v>0.42633962630939398</v>
      </c>
      <c r="BL15" s="5">
        <v>0.23452412546018661</v>
      </c>
      <c r="BM15" s="5">
        <v>0.1874239954147566</v>
      </c>
      <c r="BN15" s="5">
        <v>0.42633962630939398</v>
      </c>
      <c r="BO15" s="5">
        <v>0.45388581216622642</v>
      </c>
      <c r="BP15" s="5">
        <v>0.27915206441498691</v>
      </c>
      <c r="BQ15" s="5">
        <v>3.2797718661314978E-2</v>
      </c>
      <c r="BR15" s="5">
        <v>0.46598506250591559</v>
      </c>
      <c r="BS15" s="5">
        <v>0.46071766645346712</v>
      </c>
      <c r="BT15" s="5">
        <v>0.2369912619174866</v>
      </c>
      <c r="BU15" s="5">
        <v>4.8555044188866692E-2</v>
      </c>
      <c r="BV15" s="5">
        <v>0.2369912619174866</v>
      </c>
      <c r="BW15" s="5">
        <v>0.43272432833028368</v>
      </c>
      <c r="BX15" s="5">
        <v>0.2369912619174866</v>
      </c>
      <c r="BY15" s="5">
        <v>4.8555044188866692E-2</v>
      </c>
      <c r="BZ15" s="5">
        <v>0.43272432833028368</v>
      </c>
      <c r="CA15" s="5">
        <v>0.42143214009157243</v>
      </c>
      <c r="CB15" s="5">
        <v>0.2352717070097427</v>
      </c>
      <c r="CC15" s="5">
        <v>5.5458513244965653E-2</v>
      </c>
      <c r="CD15" s="5">
        <v>0.42859526389050012</v>
      </c>
      <c r="CE15" s="5">
        <v>0.39086744890386099</v>
      </c>
      <c r="CF15" s="5">
        <v>156.77839213985979</v>
      </c>
      <c r="CG15" s="5">
        <v>0.55378105913184739</v>
      </c>
      <c r="CH15" s="5">
        <v>156.77839213985979</v>
      </c>
      <c r="CI15" s="5">
        <v>10.24638541228857</v>
      </c>
      <c r="CJ15" s="5">
        <v>156.77839213985979</v>
      </c>
      <c r="CK15" s="5">
        <v>0.55378105913184739</v>
      </c>
      <c r="CL15" s="5">
        <v>10.24638541228857</v>
      </c>
      <c r="CM15" s="5">
        <v>10.674560391360339</v>
      </c>
      <c r="CN15" s="5">
        <v>432.95083769750562</v>
      </c>
      <c r="CO15" s="5">
        <v>-0.23225440450376289</v>
      </c>
      <c r="CP15" s="5">
        <v>17.434751825978118</v>
      </c>
      <c r="CQ15" s="5">
        <v>18.813493147855791</v>
      </c>
    </row>
    <row r="16" spans="1:95" x14ac:dyDescent="0.3">
      <c r="A16" s="2">
        <v>46058.26803240741</v>
      </c>
      <c r="B16" s="3" t="s">
        <v>137</v>
      </c>
      <c r="C16" s="3">
        <v>3</v>
      </c>
      <c r="D16" s="3" t="s">
        <v>96</v>
      </c>
      <c r="E16" s="5">
        <v>16590</v>
      </c>
      <c r="F16" s="5">
        <v>4.5</v>
      </c>
      <c r="G16" s="3" t="s">
        <v>129</v>
      </c>
      <c r="H16" s="3" t="s">
        <v>98</v>
      </c>
      <c r="I16" s="3">
        <v>5</v>
      </c>
      <c r="J16" s="3">
        <v>5</v>
      </c>
      <c r="K16" s="3" t="s">
        <v>99</v>
      </c>
      <c r="L16" s="3" t="s">
        <v>100</v>
      </c>
      <c r="M16" s="3" t="s">
        <v>101</v>
      </c>
      <c r="N16" s="3" t="s">
        <v>101</v>
      </c>
      <c r="O16" s="3" t="s">
        <v>102</v>
      </c>
      <c r="P16" s="3" t="s">
        <v>130</v>
      </c>
      <c r="Q16" s="3" t="str">
        <f t="shared" si="0"/>
        <v>multihead2</v>
      </c>
      <c r="R16" s="3" t="s">
        <v>104</v>
      </c>
      <c r="S16" s="3" t="s">
        <v>125</v>
      </c>
      <c r="T16" s="3" t="s">
        <v>106</v>
      </c>
      <c r="U16" s="3" t="s">
        <v>131</v>
      </c>
      <c r="V16" s="3" t="s">
        <v>132</v>
      </c>
      <c r="W16" s="3" t="s">
        <v>101</v>
      </c>
      <c r="X16" s="3">
        <v>190</v>
      </c>
      <c r="Y16" s="3">
        <v>70</v>
      </c>
      <c r="Z16" s="3">
        <v>120</v>
      </c>
      <c r="AA16" s="3" t="s">
        <v>109</v>
      </c>
      <c r="AB16" s="3">
        <v>4000</v>
      </c>
      <c r="AC16" s="3">
        <v>4000</v>
      </c>
      <c r="AD16" s="3">
        <v>0.22629529222254</v>
      </c>
      <c r="AE16" s="3"/>
      <c r="AF16" s="3">
        <v>128</v>
      </c>
      <c r="AG16" s="3" t="s">
        <v>110</v>
      </c>
      <c r="AH16" s="3">
        <v>0.1</v>
      </c>
      <c r="AI16" s="3">
        <v>79.680596584143473</v>
      </c>
      <c r="AJ16" s="3">
        <v>0.22441703568840529</v>
      </c>
      <c r="AK16" s="3">
        <v>79.680596584143473</v>
      </c>
      <c r="AL16" s="3">
        <v>14.84800120519755</v>
      </c>
      <c r="AM16" s="3">
        <v>79.680596584143473</v>
      </c>
      <c r="AN16" s="3">
        <v>14.84800120519755</v>
      </c>
      <c r="AO16" s="3">
        <v>16.61178077259688</v>
      </c>
      <c r="AP16" s="3">
        <v>0.22441703568840529</v>
      </c>
      <c r="AQ16" s="3">
        <v>88.593301486989716</v>
      </c>
      <c r="AR16" s="3">
        <v>16.03509679543107</v>
      </c>
      <c r="AS16" s="3">
        <v>15.969981040060089</v>
      </c>
      <c r="AT16" s="3">
        <v>3.514228914947487E-3</v>
      </c>
      <c r="AU16" s="3">
        <v>0.8</v>
      </c>
      <c r="AV16" s="3">
        <v>4.8421844872190388E-2</v>
      </c>
      <c r="AW16" s="3">
        <v>0.64839479879025408</v>
      </c>
      <c r="AX16" s="3">
        <v>4.8421844872190388E-2</v>
      </c>
      <c r="AY16" s="3">
        <v>0.1699058858042844</v>
      </c>
      <c r="AZ16" s="3">
        <v>4.8421844872190388E-2</v>
      </c>
      <c r="BA16" s="3">
        <v>0.64839479879025408</v>
      </c>
      <c r="BB16" s="3">
        <v>0.1699058858042844</v>
      </c>
      <c r="BC16" s="3">
        <v>0.14920854939412459</v>
      </c>
      <c r="BD16" s="3">
        <v>0.1283062994908867</v>
      </c>
      <c r="BE16" s="3">
        <v>6.8330370971046883E-2</v>
      </c>
      <c r="BF16" s="3">
        <v>0.3005253796131383</v>
      </c>
      <c r="BG16" s="3">
        <v>0.31269202675828239</v>
      </c>
      <c r="BH16" s="3">
        <v>0.27898293106587341</v>
      </c>
      <c r="BI16" s="3">
        <v>3.33837295921523E-2</v>
      </c>
      <c r="BJ16" s="3">
        <v>0.27898293106587341</v>
      </c>
      <c r="BK16" s="3">
        <v>0.46223939558538701</v>
      </c>
      <c r="BL16" s="3">
        <v>0.27898293106587341</v>
      </c>
      <c r="BM16" s="3">
        <v>3.33837295921523E-2</v>
      </c>
      <c r="BN16" s="3">
        <v>0.46223939558538701</v>
      </c>
      <c r="BO16" s="3">
        <v>0.44661546017081277</v>
      </c>
      <c r="BP16" s="3">
        <v>0.29751476007696021</v>
      </c>
      <c r="BQ16" s="3">
        <v>-3.082509986595916E-2</v>
      </c>
      <c r="BR16" s="3">
        <v>0.4802816486211241</v>
      </c>
      <c r="BS16" s="3">
        <v>0.46132265673857781</v>
      </c>
      <c r="BT16" s="3">
        <v>0.2188279402596669</v>
      </c>
      <c r="BU16" s="3">
        <v>0.121475035551774</v>
      </c>
      <c r="BV16" s="3">
        <v>0.2188279402596669</v>
      </c>
      <c r="BW16" s="3">
        <v>0.41209264418152752</v>
      </c>
      <c r="BX16" s="3">
        <v>0.2188279402596669</v>
      </c>
      <c r="BY16" s="3">
        <v>0.121475035551774</v>
      </c>
      <c r="BZ16" s="3">
        <v>0.41209264418152752</v>
      </c>
      <c r="CA16" s="3">
        <v>0.40178346800301051</v>
      </c>
      <c r="CB16" s="3">
        <v>0.25326342325959428</v>
      </c>
      <c r="CC16" s="3">
        <v>-1.6772536684067418E-2</v>
      </c>
      <c r="CD16" s="3">
        <v>0.44206395072718141</v>
      </c>
      <c r="CE16" s="3">
        <v>0.41966856021906729</v>
      </c>
      <c r="CF16" s="3">
        <v>318.17615362037492</v>
      </c>
      <c r="CG16" s="3">
        <v>9.4414578819437822E-2</v>
      </c>
      <c r="CH16" s="3">
        <v>318.17615362037492</v>
      </c>
      <c r="CI16" s="3">
        <v>14.791754001183341</v>
      </c>
      <c r="CJ16" s="3">
        <v>318.17615362037492</v>
      </c>
      <c r="CK16" s="3">
        <v>9.4414578819437822E-2</v>
      </c>
      <c r="CL16" s="3">
        <v>14.791754001183341</v>
      </c>
      <c r="CM16" s="3">
        <v>16.563881479767101</v>
      </c>
      <c r="CN16" s="3">
        <v>353.69412146513122</v>
      </c>
      <c r="CO16" s="3">
        <v>-6.6758187612299116E-3</v>
      </c>
      <c r="CP16" s="3">
        <v>15.979138751360001</v>
      </c>
      <c r="CQ16" s="3">
        <v>15.91693469349773</v>
      </c>
    </row>
    <row r="17" spans="1:95" x14ac:dyDescent="0.3">
      <c r="A17" s="4">
        <v>46058.394270833327</v>
      </c>
      <c r="B17" s="5" t="s">
        <v>138</v>
      </c>
      <c r="C17" s="5">
        <v>4</v>
      </c>
      <c r="D17" s="5" t="s">
        <v>96</v>
      </c>
      <c r="E17" s="12">
        <v>16590</v>
      </c>
      <c r="F17" s="12">
        <v>4.5</v>
      </c>
      <c r="G17" s="5" t="s">
        <v>129</v>
      </c>
      <c r="H17" s="5" t="s">
        <v>98</v>
      </c>
      <c r="I17" s="5">
        <v>5</v>
      </c>
      <c r="J17" s="5">
        <v>5</v>
      </c>
      <c r="K17" s="5" t="s">
        <v>99</v>
      </c>
      <c r="L17" s="5" t="s">
        <v>100</v>
      </c>
      <c r="M17" s="5" t="s">
        <v>101</v>
      </c>
      <c r="N17" s="5" t="s">
        <v>101</v>
      </c>
      <c r="O17" s="5" t="s">
        <v>102</v>
      </c>
      <c r="P17" s="5" t="s">
        <v>130</v>
      </c>
      <c r="Q17" s="5" t="str">
        <f t="shared" si="0"/>
        <v>multihead2</v>
      </c>
      <c r="R17" s="5" t="s">
        <v>104</v>
      </c>
      <c r="S17" s="5" t="s">
        <v>125</v>
      </c>
      <c r="T17" s="5" t="s">
        <v>106</v>
      </c>
      <c r="U17" s="5" t="s">
        <v>131</v>
      </c>
      <c r="V17" s="5" t="s">
        <v>132</v>
      </c>
      <c r="W17" s="5" t="s">
        <v>101</v>
      </c>
      <c r="X17" s="5">
        <v>190</v>
      </c>
      <c r="Y17" s="5">
        <v>70</v>
      </c>
      <c r="Z17" s="5">
        <v>120</v>
      </c>
      <c r="AA17" s="5" t="s">
        <v>109</v>
      </c>
      <c r="AB17" s="5">
        <v>4000</v>
      </c>
      <c r="AC17" s="5">
        <v>4000</v>
      </c>
      <c r="AD17" s="5">
        <v>0.2334033855647818</v>
      </c>
      <c r="AE17" s="5"/>
      <c r="AF17" s="5">
        <v>128</v>
      </c>
      <c r="AG17" s="5" t="s">
        <v>110</v>
      </c>
      <c r="AH17" s="5">
        <v>0.1</v>
      </c>
      <c r="AI17" s="5">
        <v>90.490256892462142</v>
      </c>
      <c r="AJ17" s="5">
        <v>0.2202892811909633</v>
      </c>
      <c r="AK17" s="5">
        <v>90.490256892462142</v>
      </c>
      <c r="AL17" s="5">
        <v>16.33242731158462</v>
      </c>
      <c r="AM17" s="5">
        <v>90.490256892462142</v>
      </c>
      <c r="AN17" s="5">
        <v>16.33242731158462</v>
      </c>
      <c r="AO17" s="5">
        <v>16.02597502421315</v>
      </c>
      <c r="AP17" s="5">
        <v>0.2202892811909633</v>
      </c>
      <c r="AQ17" s="5">
        <v>93.613224385043949</v>
      </c>
      <c r="AR17" s="5">
        <v>16.45603437019702</v>
      </c>
      <c r="AS17" s="5">
        <v>15.9422538507679</v>
      </c>
      <c r="AT17" s="5">
        <v>-0.1131467479854249</v>
      </c>
      <c r="AU17" s="5">
        <v>0.8</v>
      </c>
      <c r="AV17" s="5">
        <v>5.570149269512422E-2</v>
      </c>
      <c r="AW17" s="5">
        <v>0.59553514331296475</v>
      </c>
      <c r="AX17" s="5">
        <v>5.570149269512422E-2</v>
      </c>
      <c r="AY17" s="5">
        <v>0.1860230835580686</v>
      </c>
      <c r="AZ17" s="5">
        <v>5.570149269512422E-2</v>
      </c>
      <c r="BA17" s="5">
        <v>0.59553514331296475</v>
      </c>
      <c r="BB17" s="5">
        <v>0.1860230835580686</v>
      </c>
      <c r="BC17" s="5">
        <v>0.1464374632459288</v>
      </c>
      <c r="BD17" s="5">
        <v>0.1546325448922195</v>
      </c>
      <c r="BE17" s="5">
        <v>-0.122832209386335</v>
      </c>
      <c r="BF17" s="5">
        <v>0.33259607296042393</v>
      </c>
      <c r="BG17" s="5">
        <v>0.3428614790697691</v>
      </c>
      <c r="BH17" s="5">
        <v>0.27359740070351668</v>
      </c>
      <c r="BI17" s="5">
        <v>5.2043442045314081E-2</v>
      </c>
      <c r="BJ17" s="5">
        <v>0.27359740070351668</v>
      </c>
      <c r="BK17" s="5">
        <v>0.45890480809806178</v>
      </c>
      <c r="BL17" s="5">
        <v>0.27359740070351668</v>
      </c>
      <c r="BM17" s="5">
        <v>5.2043442045314081E-2</v>
      </c>
      <c r="BN17" s="5">
        <v>0.45890480809806178</v>
      </c>
      <c r="BO17" s="5">
        <v>0.46150574758109458</v>
      </c>
      <c r="BP17" s="5">
        <v>0.31015785788046951</v>
      </c>
      <c r="BQ17" s="5">
        <v>-7.4630733416866546E-2</v>
      </c>
      <c r="BR17" s="5">
        <v>0.4941521410653853</v>
      </c>
      <c r="BS17" s="5">
        <v>0.47345340360443039</v>
      </c>
      <c r="BT17" s="5">
        <v>0.18374468269534369</v>
      </c>
      <c r="BU17" s="5">
        <v>0.26232321777133621</v>
      </c>
      <c r="BV17" s="5">
        <v>0.18374468269534369</v>
      </c>
      <c r="BW17" s="5">
        <v>0.368694624800044</v>
      </c>
      <c r="BX17" s="5">
        <v>0.18374468269534369</v>
      </c>
      <c r="BY17" s="5">
        <v>0.26232321777133621</v>
      </c>
      <c r="BZ17" s="5">
        <v>0.368694624800044</v>
      </c>
      <c r="CA17" s="5">
        <v>0.42023021202969119</v>
      </c>
      <c r="CB17" s="5">
        <v>0.29679366705726118</v>
      </c>
      <c r="CC17" s="5">
        <v>-0.19153269683266869</v>
      </c>
      <c r="CD17" s="5">
        <v>0.48768198437521237</v>
      </c>
      <c r="CE17" s="5">
        <v>0.46041774383044293</v>
      </c>
      <c r="CF17" s="5">
        <v>361.44798399375378</v>
      </c>
      <c r="CG17" s="5">
        <v>-2.874467836576455E-2</v>
      </c>
      <c r="CH17" s="5">
        <v>361.44798399375378</v>
      </c>
      <c r="CI17" s="5">
        <v>16.29198522364641</v>
      </c>
      <c r="CJ17" s="5">
        <v>361.44798399375378</v>
      </c>
      <c r="CK17" s="5">
        <v>-2.874467836576455E-2</v>
      </c>
      <c r="CL17" s="5">
        <v>16.29198522364641</v>
      </c>
      <c r="CM17" s="5">
        <v>15.97683360909433</v>
      </c>
      <c r="CN17" s="5">
        <v>373.69131347034511</v>
      </c>
      <c r="CO17" s="5">
        <v>-6.3591352305823134E-2</v>
      </c>
      <c r="CP17" s="5">
        <v>16.39129398177673</v>
      </c>
      <c r="CQ17" s="5">
        <v>15.88484264316237</v>
      </c>
    </row>
    <row r="18" spans="1:95" x14ac:dyDescent="0.3">
      <c r="A18" s="2">
        <v>46057.492997685193</v>
      </c>
      <c r="B18" s="3" t="s">
        <v>139</v>
      </c>
      <c r="C18" s="3">
        <v>0</v>
      </c>
      <c r="D18" s="3" t="s">
        <v>96</v>
      </c>
      <c r="E18" s="5">
        <v>16590</v>
      </c>
      <c r="F18" s="5">
        <v>4.5</v>
      </c>
      <c r="G18" s="3" t="s">
        <v>123</v>
      </c>
      <c r="H18" s="3" t="s">
        <v>98</v>
      </c>
      <c r="I18" s="3">
        <v>5</v>
      </c>
      <c r="J18" s="3">
        <v>5</v>
      </c>
      <c r="K18" s="3" t="s">
        <v>99</v>
      </c>
      <c r="L18" s="3" t="s">
        <v>100</v>
      </c>
      <c r="M18" s="3" t="s">
        <v>101</v>
      </c>
      <c r="N18" s="3" t="s">
        <v>101</v>
      </c>
      <c r="O18" s="3" t="s">
        <v>102</v>
      </c>
      <c r="P18" s="3" t="s">
        <v>124</v>
      </c>
      <c r="Q18" s="3" t="str">
        <f t="shared" si="0"/>
        <v>multihead1</v>
      </c>
      <c r="R18" s="3" t="s">
        <v>104</v>
      </c>
      <c r="S18" s="3" t="s">
        <v>125</v>
      </c>
      <c r="T18" s="3" t="s">
        <v>106</v>
      </c>
      <c r="U18" s="3">
        <v>5</v>
      </c>
      <c r="V18" s="3" t="s">
        <v>127</v>
      </c>
      <c r="W18" s="3" t="s">
        <v>101</v>
      </c>
      <c r="X18" s="3">
        <v>170</v>
      </c>
      <c r="Y18" s="3">
        <v>50</v>
      </c>
      <c r="Z18" s="3">
        <v>120</v>
      </c>
      <c r="AA18" s="3" t="s">
        <v>109</v>
      </c>
      <c r="AB18" s="3">
        <v>4000</v>
      </c>
      <c r="AC18" s="3">
        <v>4000</v>
      </c>
      <c r="AD18" s="3">
        <v>0.2016609423875014</v>
      </c>
      <c r="AE18" s="3"/>
      <c r="AF18" s="3">
        <v>128</v>
      </c>
      <c r="AG18" s="3" t="s">
        <v>110</v>
      </c>
      <c r="AH18" s="3">
        <v>0.1</v>
      </c>
      <c r="AI18" s="3">
        <v>38.863486658573279</v>
      </c>
      <c r="AJ18" s="3">
        <v>0.1971518892342837</v>
      </c>
      <c r="AK18" s="3">
        <v>38.863486658573279</v>
      </c>
      <c r="AL18" s="3">
        <v>10.120487130128559</v>
      </c>
      <c r="AM18" s="3">
        <v>38.863486658573279</v>
      </c>
      <c r="AN18" s="3">
        <v>10.120487130128559</v>
      </c>
      <c r="AO18" s="3">
        <v>10.215977344264241</v>
      </c>
      <c r="AP18" s="3">
        <v>0.1971518892342837</v>
      </c>
      <c r="AQ18" s="3">
        <v>98.053237889707205</v>
      </c>
      <c r="AR18" s="3">
        <v>16.76907795679432</v>
      </c>
      <c r="AS18" s="3">
        <v>16.87362011083648</v>
      </c>
      <c r="AT18" s="3">
        <v>-8.9631621744887813E-3</v>
      </c>
      <c r="AU18" s="3">
        <v>0.5714285714285714</v>
      </c>
      <c r="AV18" s="3">
        <v>0.15032763076368019</v>
      </c>
      <c r="AW18" s="3">
        <v>-9.1572966737671235E-2</v>
      </c>
      <c r="AX18" s="3">
        <v>0.15032763076368019</v>
      </c>
      <c r="AY18" s="3">
        <v>0.32812788360886358</v>
      </c>
      <c r="AZ18" s="3">
        <v>0.15032763076368019</v>
      </c>
      <c r="BA18" s="3">
        <v>-9.1572966737671235E-2</v>
      </c>
      <c r="BB18" s="3">
        <v>0.32812788360886358</v>
      </c>
      <c r="BC18" s="3">
        <v>0.31873209919875811</v>
      </c>
      <c r="BD18" s="3">
        <v>0.15220725942669369</v>
      </c>
      <c r="BE18" s="3">
        <v>-0.1052215011130733</v>
      </c>
      <c r="BF18" s="3">
        <v>0.33319451712702541</v>
      </c>
      <c r="BG18" s="3">
        <v>0.34284407466026401</v>
      </c>
      <c r="BH18" s="3">
        <v>0.2291036898938982</v>
      </c>
      <c r="BI18" s="3">
        <v>0.20620464694441809</v>
      </c>
      <c r="BJ18" s="3">
        <v>0.2291036898938982</v>
      </c>
      <c r="BK18" s="3">
        <v>0.4249380706967269</v>
      </c>
      <c r="BL18" s="3">
        <v>0.2291036898938982</v>
      </c>
      <c r="BM18" s="3">
        <v>0.20620464694441809</v>
      </c>
      <c r="BN18" s="3">
        <v>0.4249380706967269</v>
      </c>
      <c r="BO18" s="3">
        <v>0.41685329186745551</v>
      </c>
      <c r="BP18" s="3">
        <v>0.26561535781659229</v>
      </c>
      <c r="BQ18" s="3">
        <v>7.9699515827736822E-2</v>
      </c>
      <c r="BR18" s="3">
        <v>0.45024263816430748</v>
      </c>
      <c r="BS18" s="3">
        <v>0.4308246758431159</v>
      </c>
      <c r="BT18" s="3">
        <v>0.2205111028044181</v>
      </c>
      <c r="BU18" s="3">
        <v>0.1147176703221172</v>
      </c>
      <c r="BV18" s="3">
        <v>0.2205111028044181</v>
      </c>
      <c r="BW18" s="3">
        <v>0.41875797558133282</v>
      </c>
      <c r="BX18" s="3">
        <v>0.2205111028044181</v>
      </c>
      <c r="BY18" s="3">
        <v>0.1147176703221172</v>
      </c>
      <c r="BZ18" s="3">
        <v>0.41875797558133282</v>
      </c>
      <c r="CA18" s="3">
        <v>0.40686403546881961</v>
      </c>
      <c r="CB18" s="3">
        <v>0.22314280079231669</v>
      </c>
      <c r="CC18" s="3">
        <v>0.1041522353117907</v>
      </c>
      <c r="CD18" s="3">
        <v>0.41485080909548139</v>
      </c>
      <c r="CE18" s="3">
        <v>0.42435967170640693</v>
      </c>
      <c r="CF18" s="3">
        <v>154.85400421083111</v>
      </c>
      <c r="CG18" s="3">
        <v>0.5592582064082694</v>
      </c>
      <c r="CH18" s="3">
        <v>154.85400421083111</v>
      </c>
      <c r="CI18" s="3">
        <v>10.03951602994259</v>
      </c>
      <c r="CJ18" s="3">
        <v>154.85400421083111</v>
      </c>
      <c r="CK18" s="3">
        <v>0.5592582064082694</v>
      </c>
      <c r="CL18" s="3">
        <v>10.03951602994259</v>
      </c>
      <c r="CM18" s="3">
        <v>10.144053131974561</v>
      </c>
      <c r="CN18" s="3">
        <v>391.57198614079277</v>
      </c>
      <c r="CO18" s="3">
        <v>-0.1144828987244115</v>
      </c>
      <c r="CP18" s="3">
        <v>16.715745890832761</v>
      </c>
      <c r="CQ18" s="3">
        <v>16.82033381418195</v>
      </c>
    </row>
    <row r="19" spans="1:95" x14ac:dyDescent="0.3">
      <c r="A19" s="6">
        <v>46057.680347222216</v>
      </c>
      <c r="B19" s="7" t="s">
        <v>140</v>
      </c>
      <c r="C19" s="7">
        <v>1</v>
      </c>
      <c r="D19" s="7" t="s">
        <v>96</v>
      </c>
      <c r="E19" s="12">
        <v>16590</v>
      </c>
      <c r="F19" s="12">
        <v>4.5</v>
      </c>
      <c r="G19" s="7" t="s">
        <v>123</v>
      </c>
      <c r="H19" s="7" t="s">
        <v>98</v>
      </c>
      <c r="I19" s="7">
        <v>5</v>
      </c>
      <c r="J19" s="7">
        <v>5</v>
      </c>
      <c r="K19" s="7" t="s">
        <v>99</v>
      </c>
      <c r="L19" s="7" t="s">
        <v>100</v>
      </c>
      <c r="M19" s="7" t="s">
        <v>101</v>
      </c>
      <c r="N19" s="7" t="s">
        <v>101</v>
      </c>
      <c r="O19" s="7" t="s">
        <v>102</v>
      </c>
      <c r="P19" s="7" t="s">
        <v>124</v>
      </c>
      <c r="Q19" s="7" t="str">
        <f t="shared" si="0"/>
        <v>multihead1</v>
      </c>
      <c r="R19" s="7" t="s">
        <v>104</v>
      </c>
      <c r="S19" s="7" t="s">
        <v>125</v>
      </c>
      <c r="T19" s="7" t="s">
        <v>106</v>
      </c>
      <c r="U19" s="7" t="s">
        <v>126</v>
      </c>
      <c r="V19" s="7" t="s">
        <v>127</v>
      </c>
      <c r="W19" s="7" t="s">
        <v>101</v>
      </c>
      <c r="X19" s="7">
        <v>170</v>
      </c>
      <c r="Y19" s="7">
        <v>50</v>
      </c>
      <c r="Z19" s="7">
        <v>120</v>
      </c>
      <c r="AA19" s="7" t="s">
        <v>109</v>
      </c>
      <c r="AB19" s="7">
        <v>4000</v>
      </c>
      <c r="AC19" s="7">
        <v>4000</v>
      </c>
      <c r="AD19" s="7">
        <v>0.2264661329344731</v>
      </c>
      <c r="AE19" s="7"/>
      <c r="AF19" s="7">
        <v>128</v>
      </c>
      <c r="AG19" s="7" t="s">
        <v>110</v>
      </c>
      <c r="AH19" s="7">
        <v>0.1</v>
      </c>
      <c r="AI19" s="7">
        <v>45.10687725671248</v>
      </c>
      <c r="AJ19" s="7">
        <v>0.1639624719058457</v>
      </c>
      <c r="AK19" s="7">
        <v>45.10687725671248</v>
      </c>
      <c r="AL19" s="7">
        <v>10.98245431347909</v>
      </c>
      <c r="AM19" s="7">
        <v>45.10687725671248</v>
      </c>
      <c r="AN19" s="7">
        <v>10.98245431347909</v>
      </c>
      <c r="AO19" s="7">
        <v>11.636802812298249</v>
      </c>
      <c r="AP19" s="7">
        <v>0.1639624719058457</v>
      </c>
      <c r="AQ19" s="7">
        <v>109.9716040374521</v>
      </c>
      <c r="AR19" s="7">
        <v>17.59633941197497</v>
      </c>
      <c r="AS19" s="7">
        <v>17.664157880629769</v>
      </c>
      <c r="AT19" s="7">
        <v>-8.4454852991385554E-2</v>
      </c>
      <c r="AU19" s="7">
        <v>0.5714285714285714</v>
      </c>
      <c r="AV19" s="7">
        <v>0.13095584062665519</v>
      </c>
      <c r="AW19" s="7">
        <v>4.9091276578540732E-2</v>
      </c>
      <c r="AX19" s="7">
        <v>0.13095584062665519</v>
      </c>
      <c r="AY19" s="7">
        <v>0.3043442478845344</v>
      </c>
      <c r="AZ19" s="7">
        <v>0.13095584062665519</v>
      </c>
      <c r="BA19" s="7">
        <v>4.9091276578540732E-2</v>
      </c>
      <c r="BB19" s="7">
        <v>0.3043442478845344</v>
      </c>
      <c r="BC19" s="7">
        <v>0.31019223619327302</v>
      </c>
      <c r="BD19" s="7">
        <v>0.14547315739129121</v>
      </c>
      <c r="BE19" s="7">
        <v>-5.6323213421344047E-2</v>
      </c>
      <c r="BF19" s="7">
        <v>0.32351726846784201</v>
      </c>
      <c r="BG19" s="7">
        <v>0.31823827427267148</v>
      </c>
      <c r="BH19" s="7">
        <v>0.25349144312789079</v>
      </c>
      <c r="BI19" s="7">
        <v>0.121706290774009</v>
      </c>
      <c r="BJ19" s="7">
        <v>0.25349144312789079</v>
      </c>
      <c r="BK19" s="7">
        <v>0.44423493265238478</v>
      </c>
      <c r="BL19" s="7">
        <v>0.25349144312789079</v>
      </c>
      <c r="BM19" s="7">
        <v>0.121706290774009</v>
      </c>
      <c r="BN19" s="7">
        <v>0.44423493265238478</v>
      </c>
      <c r="BO19" s="7">
        <v>0.4688775657622678</v>
      </c>
      <c r="BP19" s="7">
        <v>0.29205874989237229</v>
      </c>
      <c r="BQ19" s="7">
        <v>-1.1921189881988431E-2</v>
      </c>
      <c r="BR19" s="7">
        <v>0.47513444639065672</v>
      </c>
      <c r="BS19" s="7">
        <v>0.46839232090972083</v>
      </c>
      <c r="BT19" s="7">
        <v>0.24988883089886679</v>
      </c>
      <c r="BU19" s="7">
        <v>-3.2246157457385132E-3</v>
      </c>
      <c r="BV19" s="7">
        <v>0.24988883089886679</v>
      </c>
      <c r="BW19" s="7">
        <v>0.44674476602672031</v>
      </c>
      <c r="BX19" s="7">
        <v>0.24988883089886679</v>
      </c>
      <c r="BY19" s="7">
        <v>-3.2246157457385132E-3</v>
      </c>
      <c r="BZ19" s="7">
        <v>0.44674476602672031</v>
      </c>
      <c r="CA19" s="7">
        <v>0.4472581912098812</v>
      </c>
      <c r="CB19" s="7">
        <v>0.25395495522385481</v>
      </c>
      <c r="CC19" s="7">
        <v>-1.954881878769554E-2</v>
      </c>
      <c r="CD19" s="7">
        <v>0.44865966244113598</v>
      </c>
      <c r="CE19" s="7">
        <v>0.46817514983558522</v>
      </c>
      <c r="CF19" s="7">
        <v>179.79317291219709</v>
      </c>
      <c r="CG19" s="7">
        <v>0.48827693601656719</v>
      </c>
      <c r="CH19" s="7">
        <v>179.79317291219709</v>
      </c>
      <c r="CI19" s="7">
        <v>10.898376515713441</v>
      </c>
      <c r="CJ19" s="7">
        <v>179.79317291219709</v>
      </c>
      <c r="CK19" s="7">
        <v>0.48827693601656719</v>
      </c>
      <c r="CL19" s="7">
        <v>10.898376515713441</v>
      </c>
      <c r="CM19" s="7">
        <v>11.570834827940219</v>
      </c>
      <c r="CN19" s="7">
        <v>439.19492928730199</v>
      </c>
      <c r="CO19" s="7">
        <v>-0.25002618987452441</v>
      </c>
      <c r="CP19" s="7">
        <v>17.540453779104631</v>
      </c>
      <c r="CQ19" s="7">
        <v>17.60633977557103</v>
      </c>
    </row>
    <row r="20" spans="1:95" x14ac:dyDescent="0.3">
      <c r="A20" s="4">
        <v>46062.393159722233</v>
      </c>
      <c r="B20" s="5" t="s">
        <v>153</v>
      </c>
      <c r="C20" s="5">
        <v>1</v>
      </c>
      <c r="D20" s="5" t="s">
        <v>96</v>
      </c>
      <c r="E20" s="5">
        <v>16590</v>
      </c>
      <c r="F20" s="5">
        <v>4.5</v>
      </c>
      <c r="G20" s="5" t="s">
        <v>116</v>
      </c>
      <c r="H20" s="5" t="s">
        <v>98</v>
      </c>
      <c r="I20" s="5">
        <v>5</v>
      </c>
      <c r="J20" s="5">
        <v>5</v>
      </c>
      <c r="K20" s="5" t="s">
        <v>99</v>
      </c>
      <c r="L20" s="5" t="s">
        <v>100</v>
      </c>
      <c r="M20" s="5" t="s">
        <v>101</v>
      </c>
      <c r="N20" s="5" t="s">
        <v>101</v>
      </c>
      <c r="O20" s="5" t="s">
        <v>102</v>
      </c>
      <c r="P20" s="5" t="s">
        <v>154</v>
      </c>
      <c r="Q20" s="5" t="s">
        <v>145</v>
      </c>
      <c r="R20" s="5" t="s">
        <v>104</v>
      </c>
      <c r="S20" s="5" t="s">
        <v>118</v>
      </c>
      <c r="T20" s="5" t="s">
        <v>106</v>
      </c>
      <c r="U20" s="5" t="s">
        <v>119</v>
      </c>
      <c r="V20" s="5" t="s">
        <v>108</v>
      </c>
      <c r="W20" s="5" t="s">
        <v>101</v>
      </c>
      <c r="X20" s="5">
        <v>220</v>
      </c>
      <c r="Y20" s="5">
        <v>100</v>
      </c>
      <c r="Z20" s="5">
        <v>120</v>
      </c>
      <c r="AA20" s="5" t="s">
        <v>109</v>
      </c>
      <c r="AB20" s="5">
        <v>4000</v>
      </c>
      <c r="AC20" s="5">
        <v>4000</v>
      </c>
      <c r="AD20" s="5">
        <v>0.13671024516103861</v>
      </c>
      <c r="AE20" s="5"/>
      <c r="AF20" s="5">
        <v>128</v>
      </c>
      <c r="AG20" s="5" t="s">
        <v>110</v>
      </c>
      <c r="AH20" s="5">
        <v>0.1</v>
      </c>
      <c r="AI20" s="5">
        <v>26.244086568016279</v>
      </c>
      <c r="AJ20" s="5">
        <v>0.59016009129504998</v>
      </c>
      <c r="AK20" s="5">
        <v>26.244086568016279</v>
      </c>
      <c r="AL20" s="5">
        <v>8.2111218643640438</v>
      </c>
      <c r="AM20" s="5">
        <v>26.244086568016279</v>
      </c>
      <c r="AN20" s="5">
        <v>8.2111218643640438</v>
      </c>
      <c r="AO20" s="5">
        <v>10.27310031894875</v>
      </c>
      <c r="AP20" s="5">
        <v>0.59016009129504998</v>
      </c>
      <c r="AQ20" s="5">
        <v>102.92328221357999</v>
      </c>
      <c r="AR20" s="5">
        <v>16.558905961575132</v>
      </c>
      <c r="AS20" s="5">
        <v>17.531892881303168</v>
      </c>
      <c r="AT20" s="5">
        <v>-4.0488664291370158E-3</v>
      </c>
      <c r="AU20" s="5">
        <v>0.8</v>
      </c>
      <c r="AV20" s="5">
        <v>4.7150419888541052E-2</v>
      </c>
      <c r="AW20" s="5">
        <v>0.65762698807133346</v>
      </c>
      <c r="AX20" s="5">
        <v>4.7150419888541052E-2</v>
      </c>
      <c r="AY20" s="5">
        <v>0.17390385770913591</v>
      </c>
      <c r="AZ20" s="5">
        <v>4.7150419888541052E-2</v>
      </c>
      <c r="BA20" s="5">
        <v>0.65762698807133346</v>
      </c>
      <c r="BB20" s="5">
        <v>0.17390385770913591</v>
      </c>
      <c r="BC20" s="5">
        <v>0.17121037200303721</v>
      </c>
      <c r="BD20" s="5">
        <v>0.13310991716889151</v>
      </c>
      <c r="BE20" s="5">
        <v>3.3449895750253138E-2</v>
      </c>
      <c r="BF20" s="5">
        <v>0.30355841622573548</v>
      </c>
      <c r="BG20" s="5">
        <v>0.27541710644471717</v>
      </c>
      <c r="BH20" s="5">
        <v>8.7202595882455033E-2</v>
      </c>
      <c r="BI20" s="5">
        <v>0.69786163017307123</v>
      </c>
      <c r="BJ20" s="5">
        <v>8.7202595882455033E-2</v>
      </c>
      <c r="BK20" s="5">
        <v>0.24190585376552851</v>
      </c>
      <c r="BL20" s="5">
        <v>8.7202595882455033E-2</v>
      </c>
      <c r="BM20" s="5">
        <v>0.69786163017307123</v>
      </c>
      <c r="BN20" s="5">
        <v>0.24190585376552851</v>
      </c>
      <c r="BO20" s="5">
        <v>0.26366073574789728</v>
      </c>
      <c r="BP20" s="5">
        <v>0.27153143607548058</v>
      </c>
      <c r="BQ20" s="5">
        <v>5.9201568228579471E-2</v>
      </c>
      <c r="BR20" s="5">
        <v>0.44913441581723729</v>
      </c>
      <c r="BS20" s="5">
        <v>0.38371312205054459</v>
      </c>
      <c r="BT20" s="5">
        <v>0.17359862032325529</v>
      </c>
      <c r="BU20" s="5">
        <v>0.30305644897641593</v>
      </c>
      <c r="BV20" s="5">
        <v>0.17359862032325529</v>
      </c>
      <c r="BW20" s="5">
        <v>0.36695089911049888</v>
      </c>
      <c r="BX20" s="5">
        <v>0.17359862032325529</v>
      </c>
      <c r="BY20" s="5">
        <v>0.30305644897641593</v>
      </c>
      <c r="BZ20" s="5">
        <v>0.36695089911049888</v>
      </c>
      <c r="CA20" s="5">
        <v>0.41470035148518469</v>
      </c>
      <c r="CB20" s="5">
        <v>0.23386973858734561</v>
      </c>
      <c r="CC20" s="5">
        <v>6.1086973015607171E-2</v>
      </c>
      <c r="CD20" s="5">
        <v>0.42451039190580442</v>
      </c>
      <c r="CE20" s="5">
        <v>0.44368023994669831</v>
      </c>
      <c r="CF20" s="5">
        <v>104.6683946359708</v>
      </c>
      <c r="CG20" s="5">
        <v>0.70209529795937831</v>
      </c>
      <c r="CH20" s="5">
        <v>104.6683946359708</v>
      </c>
      <c r="CI20" s="5">
        <v>8.1609859695471521</v>
      </c>
      <c r="CJ20" s="5">
        <v>104.6683946359708</v>
      </c>
      <c r="CK20" s="5">
        <v>0.70209529795937831</v>
      </c>
      <c r="CL20" s="5">
        <v>8.1609859695471521</v>
      </c>
      <c r="CM20" s="5">
        <v>10.232450127317859</v>
      </c>
      <c r="CN20" s="5">
        <v>411.0546177624858</v>
      </c>
      <c r="CO20" s="5">
        <v>-0.16993390271098671</v>
      </c>
      <c r="CP20" s="5">
        <v>16.50699218492305</v>
      </c>
      <c r="CQ20" s="10">
        <v>17.486620292355251</v>
      </c>
    </row>
    <row r="21" spans="1:95" x14ac:dyDescent="0.3">
      <c r="A21" s="11">
        <v>46062.594837962963</v>
      </c>
      <c r="B21" s="12" t="s">
        <v>155</v>
      </c>
      <c r="C21" s="12">
        <v>3</v>
      </c>
      <c r="D21" s="12" t="s">
        <v>96</v>
      </c>
      <c r="E21" s="12">
        <v>16590</v>
      </c>
      <c r="F21" s="12">
        <v>4.5</v>
      </c>
      <c r="G21" s="12" t="s">
        <v>116</v>
      </c>
      <c r="H21" s="12" t="s">
        <v>98</v>
      </c>
      <c r="I21" s="12">
        <v>5</v>
      </c>
      <c r="J21" s="12">
        <v>5</v>
      </c>
      <c r="K21" s="12" t="s">
        <v>99</v>
      </c>
      <c r="L21" s="12" t="s">
        <v>100</v>
      </c>
      <c r="M21" s="12" t="s">
        <v>101</v>
      </c>
      <c r="N21" s="12" t="s">
        <v>101</v>
      </c>
      <c r="O21" s="12" t="s">
        <v>102</v>
      </c>
      <c r="P21" s="12" t="s">
        <v>154</v>
      </c>
      <c r="Q21" s="12" t="s">
        <v>145</v>
      </c>
      <c r="R21" s="12" t="s">
        <v>104</v>
      </c>
      <c r="S21" s="12" t="s">
        <v>118</v>
      </c>
      <c r="T21" s="12" t="s">
        <v>106</v>
      </c>
      <c r="U21" s="12" t="s">
        <v>119</v>
      </c>
      <c r="V21" s="12" t="s">
        <v>108</v>
      </c>
      <c r="W21" s="12" t="s">
        <v>101</v>
      </c>
      <c r="X21" s="12">
        <v>220</v>
      </c>
      <c r="Y21" s="12">
        <v>100</v>
      </c>
      <c r="Z21" s="12">
        <v>120</v>
      </c>
      <c r="AA21" s="12" t="s">
        <v>109</v>
      </c>
      <c r="AB21" s="12">
        <v>4000</v>
      </c>
      <c r="AC21" s="12">
        <v>4000</v>
      </c>
      <c r="AD21" s="12">
        <v>0.13792199489875909</v>
      </c>
      <c r="AE21" s="12"/>
      <c r="AF21" s="12">
        <v>128</v>
      </c>
      <c r="AG21" s="12" t="s">
        <v>110</v>
      </c>
      <c r="AH21" s="12">
        <v>0.1</v>
      </c>
      <c r="AI21" s="12">
        <v>29.941904953320481</v>
      </c>
      <c r="AJ21" s="12">
        <v>0.57365135623854457</v>
      </c>
      <c r="AK21" s="12">
        <v>29.941904953320481</v>
      </c>
      <c r="AL21" s="12">
        <v>8.4177059410940114</v>
      </c>
      <c r="AM21" s="12">
        <v>29.941904953320481</v>
      </c>
      <c r="AN21" s="12">
        <v>8.4177059410940114</v>
      </c>
      <c r="AO21" s="12">
        <v>8.4679729527719445</v>
      </c>
      <c r="AP21" s="12">
        <v>0.57365135623854457</v>
      </c>
      <c r="AQ21" s="12">
        <v>106.0287659255718</v>
      </c>
      <c r="AR21" s="12">
        <v>17.202464663126701</v>
      </c>
      <c r="AS21" s="12">
        <v>18.832918641928622</v>
      </c>
      <c r="AT21" s="12">
        <v>-6.6706666520244207E-2</v>
      </c>
      <c r="AU21" s="12">
        <v>0.8</v>
      </c>
      <c r="AV21" s="12">
        <v>5.1377782208611077E-2</v>
      </c>
      <c r="AW21" s="12">
        <v>0.62693087182342966</v>
      </c>
      <c r="AX21" s="12">
        <v>5.1377782208611077E-2</v>
      </c>
      <c r="AY21" s="12">
        <v>0.17600769478428999</v>
      </c>
      <c r="AZ21" s="12">
        <v>5.1377782208611077E-2</v>
      </c>
      <c r="BA21" s="12">
        <v>0.62693087182342966</v>
      </c>
      <c r="BB21" s="12">
        <v>0.17600769478428999</v>
      </c>
      <c r="BC21" s="12">
        <v>0.16425273357293199</v>
      </c>
      <c r="BD21" s="12">
        <v>0.13676811726575611</v>
      </c>
      <c r="BE21" s="12">
        <v>6.8866331459753738E-3</v>
      </c>
      <c r="BF21" s="12">
        <v>0.31355789590639488</v>
      </c>
      <c r="BG21" s="12">
        <v>0.34620541970666241</v>
      </c>
      <c r="BH21" s="12">
        <v>9.063859511591274E-2</v>
      </c>
      <c r="BI21" s="12">
        <v>0.68595662669676583</v>
      </c>
      <c r="BJ21" s="12">
        <v>9.063859511591274E-2</v>
      </c>
      <c r="BK21" s="12">
        <v>0.2598201345445813</v>
      </c>
      <c r="BL21" s="12">
        <v>9.063859511591274E-2</v>
      </c>
      <c r="BM21" s="12">
        <v>0.68595662669676583</v>
      </c>
      <c r="BN21" s="12">
        <v>0.2598201345445813</v>
      </c>
      <c r="BO21" s="12">
        <v>0.32067209465989632</v>
      </c>
      <c r="BP21" s="12">
        <v>0.30102212504520298</v>
      </c>
      <c r="BQ21" s="12">
        <v>-4.2977370370857797E-2</v>
      </c>
      <c r="BR21" s="12">
        <v>0.46772853691913457</v>
      </c>
      <c r="BS21" s="12">
        <v>0.46647623102765212</v>
      </c>
      <c r="BT21" s="12">
        <v>0.1689516374837029</v>
      </c>
      <c r="BU21" s="12">
        <v>0.32171261522769501</v>
      </c>
      <c r="BV21" s="12">
        <v>0.1689516374837029</v>
      </c>
      <c r="BW21" s="12">
        <v>0.35527623306537182</v>
      </c>
      <c r="BX21" s="12">
        <v>0.1689516374837029</v>
      </c>
      <c r="BY21" s="12">
        <v>0.32171261522769501</v>
      </c>
      <c r="BZ21" s="12">
        <v>0.35527623306537182</v>
      </c>
      <c r="CA21" s="12">
        <v>0.40248556861060092</v>
      </c>
      <c r="CB21" s="12">
        <v>0.25546291875975241</v>
      </c>
      <c r="CC21" s="12">
        <v>-2.56028154125858E-2</v>
      </c>
      <c r="CD21" s="12">
        <v>0.44562725426672939</v>
      </c>
      <c r="CE21" s="12">
        <v>0.44228274678593082</v>
      </c>
      <c r="CF21" s="12">
        <v>119.4566517984745</v>
      </c>
      <c r="CG21" s="12">
        <v>0.66000531120628303</v>
      </c>
      <c r="CH21" s="12">
        <v>119.4566517984745</v>
      </c>
      <c r="CI21" s="12">
        <v>8.360984429965864</v>
      </c>
      <c r="CJ21" s="12">
        <v>119.4566517984745</v>
      </c>
      <c r="CK21" s="12">
        <v>0.66000531120628303</v>
      </c>
      <c r="CL21" s="12">
        <v>8.360984429965864</v>
      </c>
      <c r="CM21" s="12">
        <v>8.4043274380517001</v>
      </c>
      <c r="CN21" s="12">
        <v>423.42181054121602</v>
      </c>
      <c r="CO21" s="12">
        <v>-0.20513311344351101</v>
      </c>
      <c r="CP21" s="12">
        <v>17.152030310582379</v>
      </c>
      <c r="CQ21" s="13">
        <v>18.777107272678641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75CB-F391-4B0D-A4B8-5C6BD94C729E}">
  <dimension ref="A1:G6"/>
  <sheetViews>
    <sheetView tabSelected="1" workbookViewId="0">
      <selection activeCell="A2" sqref="A2"/>
    </sheetView>
  </sheetViews>
  <sheetFormatPr baseColWidth="10" defaultRowHeight="14.4" x14ac:dyDescent="0.3"/>
  <cols>
    <col min="1" max="1" width="16.5546875" bestFit="1" customWidth="1"/>
    <col min="2" max="2" width="24.88671875" bestFit="1" customWidth="1"/>
    <col min="3" max="3" width="25.88671875" bestFit="1" customWidth="1"/>
    <col min="4" max="4" width="37.88671875" bestFit="1" customWidth="1"/>
    <col min="5" max="5" width="37.5546875" bestFit="1" customWidth="1"/>
    <col min="6" max="6" width="33.44140625" bestFit="1" customWidth="1"/>
    <col min="7" max="7" width="34.44140625" bestFit="1" customWidth="1"/>
  </cols>
  <sheetData>
    <row r="1" spans="1:7" x14ac:dyDescent="0.3">
      <c r="A1" s="8" t="s">
        <v>141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</row>
    <row r="2" spans="1:7" x14ac:dyDescent="0.3">
      <c r="A2" s="9" t="s">
        <v>142</v>
      </c>
      <c r="B2" s="14">
        <v>0.22038340928464736</v>
      </c>
      <c r="C2" s="14">
        <v>-4.7112631465773921E-2</v>
      </c>
      <c r="D2" s="14">
        <v>5.5054504672610603E-2</v>
      </c>
      <c r="E2" s="14">
        <v>0.20850753798992999</v>
      </c>
      <c r="F2" s="14">
        <v>8.6877911818315084E-2</v>
      </c>
      <c r="G2" s="14">
        <v>0.53109368265773393</v>
      </c>
    </row>
    <row r="3" spans="1:7" x14ac:dyDescent="0.3">
      <c r="A3" s="9" t="s">
        <v>143</v>
      </c>
      <c r="B3" s="14">
        <v>0.23858311042276811</v>
      </c>
      <c r="C3" s="14">
        <v>-9.5641494910481656E-2</v>
      </c>
      <c r="D3" s="14">
        <v>0.62652392472593077</v>
      </c>
      <c r="E3" s="14">
        <v>9.4152336196548614E-2</v>
      </c>
      <c r="F3" s="14">
        <v>0.20053558760922305</v>
      </c>
      <c r="G3" s="14">
        <v>3.312059315936855E-2</v>
      </c>
    </row>
    <row r="4" spans="1:7" x14ac:dyDescent="0.3">
      <c r="A4" s="9" t="s">
        <v>144</v>
      </c>
      <c r="B4" s="14">
        <v>0.62567560138709766</v>
      </c>
      <c r="C4" s="14">
        <v>-4.0692606709303594E-2</v>
      </c>
      <c r="D4" s="14">
        <v>0.61688549098113898</v>
      </c>
      <c r="E4" s="14">
        <v>0.76469790189610998</v>
      </c>
      <c r="F4" s="14">
        <v>0.46764533123144669</v>
      </c>
      <c r="G4" s="14">
        <v>0.65347368143969631</v>
      </c>
    </row>
    <row r="5" spans="1:7" x14ac:dyDescent="0.3">
      <c r="A5" s="9" t="s">
        <v>145</v>
      </c>
      <c r="B5" s="14">
        <v>0.56927524672700813</v>
      </c>
      <c r="C5" s="14">
        <v>-0.2212015854558726</v>
      </c>
      <c r="D5" s="14">
        <v>0.59955003749177938</v>
      </c>
      <c r="E5" s="14">
        <v>0.68423000684429047</v>
      </c>
      <c r="F5" s="14">
        <v>0.34470859513842017</v>
      </c>
      <c r="G5" s="14">
        <v>0.64861234743354257</v>
      </c>
    </row>
    <row r="6" spans="1:7" x14ac:dyDescent="0.3">
      <c r="A6" s="9" t="s">
        <v>146</v>
      </c>
      <c r="B6" s="14">
        <v>0.41347934195538028</v>
      </c>
      <c r="C6" s="14">
        <v>-0.10116207963535795</v>
      </c>
      <c r="D6" s="14">
        <v>0.47450348946786491</v>
      </c>
      <c r="E6" s="14">
        <v>0.43789694573171972</v>
      </c>
      <c r="F6" s="14">
        <v>0.27494185644935126</v>
      </c>
      <c r="G6" s="14">
        <v>0.46657507617258542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Main_experiments</vt:lpstr>
      <vt:lpstr>Analizer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2026-02-24T16:46:31Z</dcterms:modified>
</cp:coreProperties>
</file>