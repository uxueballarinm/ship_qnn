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sorted_by_experiment/"/>
    </mc:Choice>
  </mc:AlternateContent>
  <xr:revisionPtr revIDLastSave="107" documentId="11_AD4D2F04E46CFB4ACB3E20D455D6CCDA693EDF1F" xr6:coauthVersionLast="47" xr6:coauthVersionMax="47" xr10:uidLastSave="{45D18929-58A1-42BA-8977-D4794573B8A1}"/>
  <bookViews>
    <workbookView xWindow="28695" yWindow="-5460" windowWidth="26010" windowHeight="20985" activeTab="1" xr2:uid="{00000000-000D-0000-FFFF-FFFF00000000}"/>
  </bookViews>
  <sheets>
    <sheet name="Main_results" sheetId="1" r:id="rId1"/>
    <sheet name="Analizer" sheetId="2" r:id="rId2"/>
  </sheets>
  <definedNames>
    <definedName name="_xlnm._FilterDatabase" localSheetId="0" hidden="1">Main_results!$A$1:$CQ$21</definedName>
  </definedNames>
  <calcPr calcId="191029"/>
  <pivotCaches>
    <pivotCache cacheId="8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<sst xmlns="http://schemas.openxmlformats.org/spreadsheetml/2006/main" count="490" uniqueCount="144">
  <si>
    <t>date</t>
  </si>
  <si>
    <t>model_id</t>
  </si>
  <si>
    <t>run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</si>
  <si>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</si>
  <si>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</si>
  <si>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</si>
  <si>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</si>
  <si>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</si>
  <si>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</si>
  <si>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</si>
  <si>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</si>
  <si>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</si>
  <si>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</si>
  <si>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</si>
  <si>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</si>
  <si>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</si>
  <si>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</si>
  <si>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</si>
  <si>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</si>
  <si>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</si>
  <si>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</si>
  <si>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</si>
  <si>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</si>
  <si>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total params</t>
  </si>
  <si>
    <t>q params</t>
  </si>
  <si>
    <t>c params</t>
  </si>
  <si>
    <t>optimizer</t>
  </si>
  <si>
    <t>maxiter</t>
  </si>
  <si>
    <t>iterations</t>
  </si>
  <si>
    <t>final val loss</t>
  </si>
  <si>
    <t>tolerance</t>
  </si>
  <si>
    <t>batch_size</t>
  </si>
  <si>
    <t>learning_rate</t>
  </si>
  <si>
    <t>perturbation</t>
  </si>
  <si>
    <t>step MSE</t>
  </si>
  <si>
    <t>step R2</t>
  </si>
  <si>
    <t>local MSE</t>
  </si>
  <si>
    <t>local ADE</t>
  </si>
  <si>
    <t>global open MSE</t>
  </si>
  <si>
    <t>global open ADE</t>
  </si>
  <si>
    <t>global open FDE</t>
  </si>
  <si>
    <t>global open R2</t>
  </si>
  <si>
    <t>global closed MSE</t>
  </si>
  <si>
    <t>global closed ADE</t>
  </si>
  <si>
    <t>global closed FDE</t>
  </si>
  <si>
    <t>global closed R2</t>
  </si>
  <si>
    <t>recursivity</t>
  </si>
  <si>
    <t>Surge Velocity Step MSE</t>
  </si>
  <si>
    <t>Surge Velocity Step R2</t>
  </si>
  <si>
    <t>Surge Velocity Local MSE</t>
  </si>
  <si>
    <t>Surge Velocity Local ADE</t>
  </si>
  <si>
    <t>Surge Velocity Global open MSE</t>
  </si>
  <si>
    <t>Surge Velocity Global open R2</t>
  </si>
  <si>
    <t>Surge Velocity Global open ADE</t>
  </si>
  <si>
    <t>Surge Velocity Global open FDE</t>
  </si>
  <si>
    <t>Surge Velocity Global closed MSE</t>
  </si>
  <si>
    <t>Surge Velocity Global closed R2</t>
  </si>
  <si>
    <t>Surge Velocity Global closed ADE</t>
  </si>
  <si>
    <t>Surge Velocity Global closed FDE</t>
  </si>
  <si>
    <t>Sway Velocity Step MSE</t>
  </si>
  <si>
    <t>Sway Velocity Step R2</t>
  </si>
  <si>
    <t>Sway Velocity Local MSE</t>
  </si>
  <si>
    <t>Sway Velocity Local ADE</t>
  </si>
  <si>
    <t>Sway Velocity Global open MSE</t>
  </si>
  <si>
    <t>Sway Velocity Global open R2</t>
  </si>
  <si>
    <t>Sway Velocity Global open ADE</t>
  </si>
  <si>
    <t>Sway Velocity Global open FDE</t>
  </si>
  <si>
    <t>Sway Velocity Global closed MSE</t>
  </si>
  <si>
    <t>Sway Velocity Global closed R2</t>
  </si>
  <si>
    <t>Sway Velocity Global closed ADE</t>
  </si>
  <si>
    <t>Sway Velocity Global closed FDE</t>
  </si>
  <si>
    <t>Yaw Rate Step MSE</t>
  </si>
  <si>
    <t>Yaw Rate Step R2</t>
  </si>
  <si>
    <t>Yaw Rate Local MSE</t>
  </si>
  <si>
    <t>Yaw Rate Local ADE</t>
  </si>
  <si>
    <t>Yaw Rate Global open MSE</t>
  </si>
  <si>
    <t>Yaw Rate Global open R2</t>
  </si>
  <si>
    <t>Yaw Rate Global open ADE</t>
  </si>
  <si>
    <t>Yaw Rate Global open FDE</t>
  </si>
  <si>
    <t>Yaw Rate Global closed MSE</t>
  </si>
  <si>
    <t>Yaw Rate Global closed R2</t>
  </si>
  <si>
    <t>Yaw Rate Global closed ADE</t>
  </si>
  <si>
    <t>Yaw Rate Global closed FDE</t>
  </si>
  <si>
    <t>Yaw Angle Step MSE</t>
  </si>
  <si>
    <t>Yaw Angle Step R2</t>
  </si>
  <si>
    <t>Yaw Angle Local MSE</t>
  </si>
  <si>
    <t>Yaw Angle Local ADE</t>
  </si>
  <si>
    <t>Yaw Angle Global open MSE</t>
  </si>
  <si>
    <t>Yaw Angle Global open R2</t>
  </si>
  <si>
    <t>Yaw Angle Global open ADE</t>
  </si>
  <si>
    <t>Yaw Angle Global open FDE</t>
  </si>
  <si>
    <t>Yaw Angle Global closed MSE</t>
  </si>
  <si>
    <t>Yaw Angle Global closed R2</t>
  </si>
  <si>
    <t>Yaw Angle Global closed ADE</t>
  </si>
  <si>
    <t>Yaw Angle Global closed FDE</t>
  </si>
  <si>
    <t>02-05_16-47-07_multihead_spsa_f7_w5_h5_effsu2_effsu2_realamplitudes_full_r3_4_2.pkl</t>
  </si>
  <si>
    <t>data/reduce_row_number_absolutes</t>
  </si>
  <si>
    <t>[['wv', 'asv', 'ararad'], ['sv', 'yr', 'rarad'], ['ya', 'yr', 'rarad']]</t>
  </si>
  <si>
    <t>['Surge Velocity', 'Sway Velocity', 'Yaw Rate', 'Yaw Angle']</t>
  </si>
  <si>
    <t>motion</t>
  </si>
  <si>
    <t>true</t>
  </si>
  <si>
    <t>false</t>
  </si>
  <si>
    <t>multihead</t>
  </si>
  <si>
    <t>[{'features': ['wv', 'asv', 'ararad'], 'output_dim': 1, 'reps': 3, 'encoding': 'compact', 'ansatz': 'efficientsu2', 'entangle': 'full', 'map': [0, 1, 2]}, {'features': ['sv', 'yr', 'rarad'], 'output_dim': 2, 'reps': 4, 'encoding': 'compact', 'ansatz': 'efficientsu2', 'entangle': 'full', 'map': [0, 1, 2]}, {'features': ['ya', 'yr', 'rarad'], 'output_dim': 1, 'reps': 2, 'encoding': 'compact', 'ansatz': 'realamplitudes', 'entangle': 'full', 'map': [0, 1, 2]}]</t>
  </si>
  <si>
    <t>multihead3</t>
  </si>
  <si>
    <t>compact</t>
  </si>
  <si>
    <t>['effsu2', 'effsu2', 'realamplitudes']</t>
  </si>
  <si>
    <t>full</t>
  </si>
  <si>
    <t>[3, 4, 2]</t>
  </si>
  <si>
    <t>[0, 1, 2]</t>
  </si>
  <si>
    <t>spsa</t>
  </si>
  <si>
    <t>[0.05, 0.001]</t>
  </si>
  <si>
    <t>02-05_19-57-33_multihead_spsa_f7_w5_h5_effsu2_effsu2_realamplitudes_full_r3_4_2.pkl</t>
  </si>
  <si>
    <t>02-06_04-46-25_multihead_spsa_f7_w5_h5_effsu2_effsu2_realamplitudes_full_r3_4_2.pkl</t>
  </si>
  <si>
    <t>02-06_02-07-03_multihead_spsa_f7_w5_h5_effsu2_effsu2_realamplitudes_full_r3_4_2.pkl</t>
  </si>
  <si>
    <t>02-05_23-15-26_multihead_spsa_f7_w5_h5_effsu2_effsu2_realamplitudes_full_r3_4_2.pkl</t>
  </si>
  <si>
    <t>02-06_14-50-06_multihead_spsa_f7_w5_h5_effsu2_effsu2_realamplitudes_full_r3_5_2.pkl</t>
  </si>
  <si>
    <t>[{'features': ['wv', 'asv', 'ararad'], 'output_dim': 1, 'reps': 3, 'encoding': 'compact', 'ansatz': 'efficientsu2', 'entangle': 'full', 'map': [0, 1, 2]}, {'features': ['sv', 'yr', 'rarad'], 'output_dim': 2, 'reps': 5, 'encoding': 'compact', 'ansatz': 'efficientsu2', 'entangle': 'full', 'map': [0, 1, 2]}, {'features': ['ya', 'yr', 'rarad'], 'output_dim': 1, 'reps': 2, 'encoding': 'compact', 'ansatz': 'realamplitudes', 'entangle': 'full', 'map': [0, 1, 2]}]</t>
  </si>
  <si>
    <t>[3, 5, 2]</t>
  </si>
  <si>
    <t>02-06_20-35-46_multihead_spsa_f7_w5_h5_effsu2_effsu2_realamplitudes_full_r3_5_2.pkl</t>
  </si>
  <si>
    <t>[{'features': ['wv', 'asv', 'ararad'], 'output_dim': 1, 'reps': 3, 'encoding': 'compact', 'ansatz': 'effsu2', 'entangle': 'full', 'map': [0, 1, 2]}, {'features': ['sv', 'yr', 'rarad'], 'output_dim': 2, 'reps': 5, 'encoding': 'compact', 'ansatz': 'effsu2', 'entangle': 'full', 'map': [0, 1, 2]}, {'features': ['ya', 'yr', 'rarad'], 'output_dim': 1, 'reps': 2, 'encoding': 'compact', 'ansatz': 'realamplitudes', 'entangle': 'full', 'map': [0, 1, 2]}]</t>
  </si>
  <si>
    <t>02-07_00-12-12_multihead_spsa_f7_w5_h5_effsu2_effsu2_realamplitudes_full_r3_5_2.pkl</t>
  </si>
  <si>
    <t>02-07_03-56-55_multihead_spsa_f7_w5_h5_effsu2_effsu2_realamplitudes_full_r3_5_2.pkl</t>
  </si>
  <si>
    <t>Etiquetas de fila</t>
  </si>
  <si>
    <t>Total general</t>
  </si>
  <si>
    <t>Promedio de global open R2</t>
  </si>
  <si>
    <t>Promedio de global closed R2</t>
  </si>
  <si>
    <t>Promedio de Surge Velocity Global open R2</t>
  </si>
  <si>
    <t>Promedio de Sway Velocity Global open R2</t>
  </si>
  <si>
    <t>Promedio de Yaw Rate Global open R2</t>
  </si>
  <si>
    <t>Promedio de Yaw Angle Global open R2</t>
  </si>
  <si>
    <t>02-05_19-08-59_multihead_spsa_f7_w5_h5_effsu2_effsu2_realamplitudes_full_r3_4_2.pkl</t>
  </si>
  <si>
    <t>[0.02, 0.001]</t>
  </si>
  <si>
    <t>02-06_05-35-19_multihead_spsa_f7_w5_h5_effsu2_effsu2_realamplitudes_full_r3_5_2.pkl</t>
  </si>
  <si>
    <t>02-06_02-58-18_multihead_spsa_f7_w5_h5_effsu2_effsu2_realamplitudes_full_r3_4_2.pkl</t>
  </si>
  <si>
    <t>02-05_16-44-13_multihead_spsa_f7_w5_h5_effsu2_effsu2_realamplitudes_full_r3_4_2.pkl</t>
  </si>
  <si>
    <t>02-06_00-21-45_multihead_spsa_f7_w5_h5_effsu2_effsu2_realamplitudes_full_r3_4_2.pkl</t>
  </si>
  <si>
    <t>02-05_21-44-01_multihead_spsa_f7_w5_h5_effsu2_effsu2_realamplitudes_full_r3_4_2.pkl</t>
  </si>
  <si>
    <t>02-06_08-32-02_multihead_spsa_f7_w5_h5_effsu2_effsu2_realamplitudes_full_r3_5_2.pkl</t>
  </si>
  <si>
    <t>02-06_15-41-21_multihead_spsa_f7_w5_h5_effsu2_effsu2_realamplitudes_full_r3_5_2.pkl</t>
  </si>
  <si>
    <t>02-06_19-09-49_multihead_spsa_f7_w5_h5_effsu2_effsu2_realamplitudes_full_r3_5_2.pkl</t>
  </si>
  <si>
    <t>02-06_10-58-46_multihead_spsa_f7_w5_h5_effsu2_effsu2_realamplitudes_full_r3_5_2.pkl</t>
  </si>
  <si>
    <t>Cuenta de model_id</t>
  </si>
  <si>
    <t>02-06_11-51-25_multihead_spsa_f7_w5_h5_effsu2_effsu2_realamplitudes_full_r3_5_2.pkl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</si>
</sst>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64" fontId="0" fillId="3" borderId="2" xfId="0" applyNumberFormat="1" applyFill="1" applyBorder="1"/>
    <xf numFmtId="0" fontId="0" fillId="3" borderId="3" xfId="0" applyFill="1" applyBorder="1"/>
    <xf numFmtId="0" fontId="0" fillId="3" borderId="4" xfId="0" applyFill="1" applyBorder="1"/>
    <xf numFmtId="164" fontId="0" fillId="4" borderId="2" xfId="0" applyNumberFormat="1" applyFill="1" applyBorder="1"/>
    <xf numFmtId="0" fontId="0" fillId="4" borderId="3" xfId="0" applyFill="1" applyBorder="1"/>
    <xf numFmtId="0" fontId="0" fillId="4" borderId="4" xfId="0" applyFill="1" applyBorder="1"/>
    <xf numFmtId="164" fontId="0" fillId="3" borderId="5" xfId="0" applyNumberFormat="1" applyFill="1" applyBorder="1"/>
    <xf numFmtId="0" fontId="0" fillId="3" borderId="6" xfId="0" applyFill="1" applyBorder="1"/>
    <xf numFmtId="0" fontId="0" fillId="3" borderId="7" xfId="0" applyFill="1" applyBorder="1"/>
    <xf numFmtId="0" fontId="0" fillId="0" borderId="0" xfId="0" pivotButton="1"/>
    <xf numFmtId="0" fontId="0" fillId="0" borderId="0" xfId="0" applyAlignment="1">
      <alignment horizontal="left"/>
    </xf>
    <xf numFmtId="164" fontId="0" fillId="4" borderId="5" xfId="0" applyNumberFormat="1" applyFill="1" applyBorder="1"/>
    <xf numFmtId="0" fontId="0" fillId="4" borderId="6" xfId="0" applyFill="1" applyBorder="1"/>
    <xf numFmtId="0" fontId="0" fillId="4" borderId="7" xfId="0" applyFill="1" applyBorder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064.45151979167" createdVersion="8" refreshedVersion="8" minRefreshableVersion="3" recordCount="20" xr:uid="{A476E112-78C9-48E0-ACD9-3C3A11D2543A}">
  <cacheSource type="worksheet">
    <worksheetSource ref="A1:CQ21" sheet="Main_results"/>
  </cacheSource>
  <cacheFields count="95">
    <cacheField name="date" numFmtId="164">
      <sharedItems containsSemiMixedTypes="0" containsNonDate="0" containsDate="1" containsString="0" minDate="2026-02-05T16:44:13" maxDate="2026-02-07T03:56:55"/>
    </cacheField>
    <cacheField name="model_id" numFmtId="0">
      <sharedItems/>
    </cacheField>
    <cacheField name="run" numFmtId="0">
      <sharedItems containsSemiMixedTypes="0" containsString="0" containsNumber="1" containsInteger="1" minValue="0" maxValue="4" count="5">
        <n v="0"/>
        <n v="1"/>
        <n v="4"/>
        <n v="3"/>
        <n v="2"/>
      </sharedItems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/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 longText="1"/>
    </cacheField>
    <cacheField name="head_number" numFmtId="0">
      <sharedItems/>
    </cacheField>
    <cacheField name="encoding" numFmtId="0">
      <sharedItems/>
    </cacheField>
    <cacheField name="ansatz" numFmtId="0">
      <sharedItems/>
    </cacheField>
    <cacheField name="entangle" numFmtId="0">
      <sharedItems/>
    </cacheField>
    <cacheField name="reps" numFmtId="0">
      <sharedItems count="2">
        <s v="[3, 4, 2]"/>
        <s v="[3, 5, 2]"/>
      </sharedItems>
    </cacheField>
    <cacheField name="map" numFmtId="0">
      <sharedItems/>
    </cacheField>
    <cacheField name="reorder" numFmtId="0">
      <sharedItems/>
    </cacheField>
    <cacheField name="total params" numFmtId="0">
      <sharedItems containsSemiMixedTypes="0" containsString="0" containsNumber="1" containsInteger="1" minValue="200" maxValue="210"/>
    </cacheField>
    <cacheField name="q params" numFmtId="0">
      <sharedItems containsSemiMixedTypes="0" containsString="0" containsNumber="1" containsInteger="1" minValue="80" maxValue="90"/>
    </cacheField>
    <cacheField name="c params" numFmtId="0">
      <sharedItems containsSemiMixedTypes="0" containsString="0" containsNumber="1" containsInteger="1" minValue="120" maxValue="120"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final val loss" numFmtId="0">
      <sharedItems containsSemiMixedTypes="0" containsString="0" containsNumber="1" minValue="9.0376580867257805E-2" maxValue="0.2066072112366476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128" maxValue="128"/>
    </cacheField>
    <cacheField name="learning_rate" numFmtId="0">
      <sharedItems count="2">
        <s v="[0.05, 0.001]"/>
        <s v="[0.02, 0.001]"/>
      </sharedItems>
    </cacheField>
    <cacheField name="perturbation" numFmtId="0">
      <sharedItems containsSemiMixedTypes="0" containsString="0" containsNumber="1" minValue="0.1" maxValue="0.15" count="2">
        <n v="0.15"/>
        <n v="0.1"/>
      </sharedItems>
    </cacheField>
    <cacheField name="step MSE" numFmtId="0">
      <sharedItems containsSemiMixedTypes="0" containsString="0" containsNumber="1" minValue="19.38458504464603" maxValue="33.846718591069703"/>
    </cacheField>
    <cacheField name="step R2" numFmtId="0">
      <sharedItems containsSemiMixedTypes="0" containsString="0" containsNumber="1" minValue="0.354815434028801" maxValue="0.78511120389983824"/>
    </cacheField>
    <cacheField name="local MSE" numFmtId="0">
      <sharedItems containsSemiMixedTypes="0" containsString="0" containsNumber="1" minValue="19.38458504464603" maxValue="33.846718591069703"/>
    </cacheField>
    <cacheField name="local ADE" numFmtId="0">
      <sharedItems containsSemiMixedTypes="0" containsString="0" containsNumber="1" minValue="6.80211191424043" maxValue="9.4523972667791689"/>
    </cacheField>
    <cacheField name="global open MSE" numFmtId="0">
      <sharedItems containsSemiMixedTypes="0" containsString="0" containsNumber="1" minValue="19.38458504464603" maxValue="33.846718591069703"/>
    </cacheField>
    <cacheField name="global open ADE" numFmtId="0">
      <sharedItems containsSemiMixedTypes="0" containsString="0" containsNumber="1" minValue="6.80211191424043" maxValue="9.4523972667791689"/>
    </cacheField>
    <cacheField name="global open FDE" numFmtId="0">
      <sharedItems containsSemiMixedTypes="0" containsString="0" containsNumber="1" minValue="7.1660450605898536" maxValue="10.88554557715767"/>
    </cacheField>
    <cacheField name="global open R2" numFmtId="0">
      <sharedItems containsSemiMixedTypes="0" containsString="0" containsNumber="1" minValue="0.354815434028801" maxValue="0.78511120389983824"/>
    </cacheField>
    <cacheField name="global closed MSE" numFmtId="0">
      <sharedItems containsSemiMixedTypes="0" containsString="0" containsNumber="1" minValue="87.375327716712647" maxValue="170.0519738532555"/>
    </cacheField>
    <cacheField name="global closed ADE" numFmtId="0">
      <sharedItems containsSemiMixedTypes="0" containsString="0" containsNumber="1" minValue="14.69352366891145" maxValue="21.806079262615501"/>
    </cacheField>
    <cacheField name="global closed FDE" numFmtId="0">
      <sharedItems containsSemiMixedTypes="0" containsString="0" containsNumber="1" minValue="14.84275502167365" maxValue="23.31634891402345"/>
    </cacheField>
    <cacheField name="global closed R2" numFmtId="0">
      <sharedItems containsSemiMixedTypes="0" containsString="0" containsNumber="1" minValue="-1.131939046537173" maxValue="0.25618586824317868"/>
    </cacheField>
    <cacheField name="recursivity" numFmtId="0">
      <sharedItems containsSemiMixedTypes="0" containsString="0" containsNumber="1" minValue="0.5714285714285714" maxValue="0.5714285714285714"/>
    </cacheField>
    <cacheField name="Surge Velocity Step MSE" numFmtId="0">
      <sharedItems containsSemiMixedTypes="0" containsString="0" containsNumber="1" minValue="1.8902673735374732E-2" maxValue="5.9503822417119517E-2"/>
    </cacheField>
    <cacheField name="Surge Velocity Step R2" numFmtId="0">
      <sharedItems containsSemiMixedTypes="0" containsString="0" containsNumber="1" minValue="0.56792531327660911" maxValue="0.86274214830782503"/>
    </cacheField>
    <cacheField name="Surge Velocity Local MSE" numFmtId="0">
      <sharedItems containsSemiMixedTypes="0" containsString="0" containsNumber="1" minValue="1.8902673735374732E-2" maxValue="5.9503822417119517E-2"/>
    </cacheField>
    <cacheField name="Surge Velocity Local ADE" numFmtId="0">
      <sharedItems containsSemiMixedTypes="0" containsString="0" containsNumber="1" minValue="0.11197758429497751" maxValue="0.189387274186573"/>
    </cacheField>
    <cacheField name="Surge Velocity Global open MSE" numFmtId="0">
      <sharedItems containsSemiMixedTypes="0" containsString="0" containsNumber="1" minValue="1.8902673735374732E-2" maxValue="5.9503822417119517E-2"/>
    </cacheField>
    <cacheField name="Surge Velocity Global open R2" numFmtId="0">
      <sharedItems containsSemiMixedTypes="0" containsString="0" containsNumber="1" minValue="0.56792531327660911" maxValue="0.86274214830782503"/>
    </cacheField>
    <cacheField name="Surge Velocity Global open ADE" numFmtId="0">
      <sharedItems containsSemiMixedTypes="0" containsString="0" containsNumber="1" minValue="0.11197758429497751" maxValue="0.189387274186573"/>
    </cacheField>
    <cacheField name="Surge Velocity Global open FDE" numFmtId="0">
      <sharedItems containsSemiMixedTypes="0" containsString="0" containsNumber="1" minValue="0.1016315508107663" maxValue="0.1944827947312476"/>
    </cacheField>
    <cacheField name="Surge Velocity Global closed MSE" numFmtId="0">
      <sharedItems containsSemiMixedTypes="0" containsString="0" containsNumber="1" minValue="4.091456216283431E-2" maxValue="0.52864701923618518"/>
    </cacheField>
    <cacheField name="Surge Velocity Global closed R2" numFmtId="0">
      <sharedItems containsSemiMixedTypes="0" containsString="0" containsNumber="1" minValue="-2.838660878330618" maxValue="0.70290737786543844"/>
    </cacheField>
    <cacheField name="Surge Velocity Global closed ADE" numFmtId="0">
      <sharedItems containsSemiMixedTypes="0" containsString="0" containsNumber="1" minValue="0.15445796593006239" maxValue="0.60645443360690932"/>
    </cacheField>
    <cacheField name="Surge Velocity Global closed FDE" numFmtId="0">
      <sharedItems containsSemiMixedTypes="0" containsString="0" containsNumber="1" minValue="0.13217728944683699" maxValue="0.75530863040688034"/>
    </cacheField>
    <cacheField name="Sway Velocity Step MSE" numFmtId="0">
      <sharedItems containsSemiMixedTypes="0" containsString="0" containsNumber="1" minValue="4.2645082017198598E-2" maxValue="0.28043848070086302"/>
    </cacheField>
    <cacheField name="Sway Velocity Step R2" numFmtId="0">
      <sharedItems containsSemiMixedTypes="0" containsString="0" containsNumber="1" minValue="2.8340560986131361E-2" maxValue="0.85224389903277598"/>
    </cacheField>
    <cacheField name="Sway Velocity Local MSE" numFmtId="0">
      <sharedItems containsSemiMixedTypes="0" containsString="0" containsNumber="1" minValue="4.2645082017198598E-2" maxValue="0.28043848070086302"/>
    </cacheField>
    <cacheField name="Sway Velocity Local ADE" numFmtId="0">
      <sharedItems containsSemiMixedTypes="0" containsString="0" containsNumber="1" minValue="0.1618366262841959" maxValue="0.47218552945174058"/>
    </cacheField>
    <cacheField name="Sway Velocity Global open MSE" numFmtId="0">
      <sharedItems containsSemiMixedTypes="0" containsString="0" containsNumber="1" minValue="4.2645082017198598E-2" maxValue="0.28043848070086302"/>
    </cacheField>
    <cacheField name="Sway Velocity Global open R2" numFmtId="0">
      <sharedItems containsSemiMixedTypes="0" containsString="0" containsNumber="1" minValue="2.8340560986131361E-2" maxValue="0.85224389903277598"/>
    </cacheField>
    <cacheField name="Sway Velocity Global open ADE" numFmtId="0">
      <sharedItems containsSemiMixedTypes="0" containsString="0" containsNumber="1" minValue="0.1618366262841959" maxValue="0.47218552945174058"/>
    </cacheField>
    <cacheField name="Sway Velocity Global open FDE" numFmtId="0">
      <sharedItems containsSemiMixedTypes="0" containsString="0" containsNumber="1" minValue="0.16152686444885031" maxValue="0.49464711017908791"/>
    </cacheField>
    <cacheField name="Sway Velocity Global closed MSE" numFmtId="0">
      <sharedItems containsSemiMixedTypes="0" containsString="0" containsNumber="1" minValue="0.15996108620278879" maxValue="0.40110402085090979"/>
    </cacheField>
    <cacheField name="Sway Velocity Global closed R2" numFmtId="0">
      <sharedItems containsSemiMixedTypes="0" containsString="0" containsNumber="1" minValue="-0.38973976364507829" maxValue="0.44576900111778212"/>
    </cacheField>
    <cacheField name="Sway Velocity Global closed ADE" numFmtId="0">
      <sharedItems containsSemiMixedTypes="0" containsString="0" containsNumber="1" minValue="0.32204585308130301" maxValue="0.5414275384599232"/>
    </cacheField>
    <cacheField name="Sway Velocity Global closed FDE" numFmtId="0">
      <sharedItems containsSemiMixedTypes="0" containsString="0" containsNumber="1" minValue="0.28694191916870088" maxValue="0.57909850377966621"/>
    </cacheField>
    <cacheField name="Yaw Rate Step MSE" numFmtId="0">
      <sharedItems containsSemiMixedTypes="0" containsString="0" containsNumber="1" minValue="6.2271521279278132E-2" maxValue="0.20931608511823771"/>
    </cacheField>
    <cacheField name="Yaw Rate Step R2" numFmtId="0">
      <sharedItems containsSemiMixedTypes="0" containsString="0" containsNumber="1" minValue="0.15966212532671251" maxValue="0.74999953866449631"/>
    </cacheField>
    <cacheField name="Yaw Rate Local MSE" numFmtId="0">
      <sharedItems containsSemiMixedTypes="0" containsString="0" containsNumber="1" minValue="6.2271521279278132E-2" maxValue="0.20931608511823771"/>
    </cacheField>
    <cacheField name="Yaw Rate Local ADE" numFmtId="0">
      <sharedItems containsSemiMixedTypes="0" containsString="0" containsNumber="1" minValue="0.19946335721016409" maxValue="0.3987570830883716"/>
    </cacheField>
    <cacheField name="Yaw Rate Global open MSE" numFmtId="0">
      <sharedItems containsSemiMixedTypes="0" containsString="0" containsNumber="1" minValue="6.2271521279278132E-2" maxValue="0.20931608511823771"/>
    </cacheField>
    <cacheField name="Yaw Rate Global open R2" numFmtId="0">
      <sharedItems containsSemiMixedTypes="0" containsString="0" containsNumber="1" minValue="0.15966212532671251" maxValue="0.74999953866449631"/>
    </cacheField>
    <cacheField name="Yaw Rate Global open ADE" numFmtId="0">
      <sharedItems containsSemiMixedTypes="0" containsString="0" containsNumber="1" minValue="0.19946335721016409" maxValue="0.3987570830883716"/>
    </cacheField>
    <cacheField name="Yaw Rate Global open FDE" numFmtId="0">
      <sharedItems containsSemiMixedTypes="0" containsString="0" containsNumber="1" minValue="0.23113415902838319" maxValue="0.42402404648804909"/>
    </cacheField>
    <cacheField name="Yaw Rate Global closed MSE" numFmtId="0">
      <sharedItems containsSemiMixedTypes="0" containsString="0" containsNumber="1" minValue="0.1324664465837487" maxValue="0.37935956709596991"/>
    </cacheField>
    <cacheField name="Yaw Rate Global closed R2" numFmtId="0">
      <sharedItems containsSemiMixedTypes="0" containsString="0" containsNumber="1" minValue="-0.52300866973662674" maxValue="0.46818911635563087"/>
    </cacheField>
    <cacheField name="Yaw Rate Global closed ADE" numFmtId="0">
      <sharedItems containsSemiMixedTypes="0" containsString="0" containsNumber="1" minValue="0.28795612039963497" maxValue="0.52272124759347138"/>
    </cacheField>
    <cacheField name="Yaw Rate Global closed FDE" numFmtId="0">
      <sharedItems containsSemiMixedTypes="0" containsString="0" containsNumber="1" minValue="0.29725886987067068" maxValue="0.52109178702705772"/>
    </cacheField>
    <cacheField name="Yaw Angle Step MSE" numFmtId="0">
      <sharedItems containsSemiMixedTypes="0" containsString="0" containsNumber="1" minValue="77.391702690777322" maxValue="135.09915374484291"/>
    </cacheField>
    <cacheField name="Yaw Angle Step R2" numFmtId="0">
      <sharedItems containsSemiMixedTypes="0" containsString="0" containsNumber="1" minValue="0.61548399321234804" maxValue="0.77972957156076317"/>
    </cacheField>
    <cacheField name="Yaw Angle Local MSE" numFmtId="0">
      <sharedItems containsSemiMixedTypes="0" containsString="0" containsNumber="1" minValue="77.391702690777322" maxValue="135.09915374484291"/>
    </cacheField>
    <cacheField name="Yaw Angle Local ADE" numFmtId="0">
      <sharedItems containsSemiMixedTypes="0" containsString="0" containsNumber="1" minValue="6.7721209388298327" maxValue="9.4100864797064627"/>
    </cacheField>
    <cacheField name="Yaw Angle Global open MSE" numFmtId="0">
      <sharedItems containsSemiMixedTypes="0" containsString="0" containsNumber="1" minValue="77.391702690777322" maxValue="135.09915374484291"/>
    </cacheField>
    <cacheField name="Yaw Angle Global open R2" numFmtId="0">
      <sharedItems containsSemiMixedTypes="0" containsString="0" containsNumber="1" minValue="0.61548399321234804" maxValue="0.77972957156076317"/>
    </cacheField>
    <cacheField name="Yaw Angle Global open ADE" numFmtId="0">
      <sharedItems containsSemiMixedTypes="0" containsString="0" containsNumber="1" minValue="6.7721209388298327" maxValue="9.4100864797064627"/>
    </cacheField>
    <cacheField name="Yaw Angle Global open FDE" numFmtId="0">
      <sharedItems containsSemiMixedTypes="0" containsString="0" containsNumber="1" minValue="7.1291440519565246" maxValue="10.85072110947193"/>
    </cacheField>
    <cacheField name="Yaw Angle Global closed MSE" numFmtId="0">
      <sharedItems containsSemiMixedTypes="0" containsString="0" containsNumber="1" minValue="348.79253410601751" maxValue="678.94382277075522"/>
    </cacheField>
    <cacheField name="Yaw Angle Global closed R2" numFmtId="0">
      <sharedItems containsSemiMixedTypes="0" containsString="0" containsNumber="1" minValue="-0.93239380357643165" maxValue="7.2749629128500137E-3"/>
    </cacheField>
    <cacheField name="Yaw Angle Global closed ADE" numFmtId="0">
      <sharedItems containsSemiMixedTypes="0" containsString="0" containsNumber="1" minValue="14.656555397039099" maxValue="21.740184603193061"/>
    </cacheField>
    <cacheField name="Yaw Angle Global closed FDE" numFmtId="0">
      <sharedItems containsSemiMixedTypes="0" containsString="0" containsNumber="1" minValue="14.804498740459371" maxValue="23.2526023818187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d v="2026-02-05T16:47:07"/>
    <s v="02-05_16-47-07_multihead_spsa_f7_w5_h5_effsu2_effsu2_realamplitudes_full_r3_4_2.pkl"/>
    <x v="0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icientsu2', 'entangle': 'full', 'map': [0, 1, 2]}, {'features': ['sv', 'yr', 'rarad'], 'output_dim': 2, 'reps': 4, 'encoding': 'compact', 'ansatz': 'efficient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s v="full"/>
    <x v="0"/>
    <s v="[0, 1, 2]"/>
    <s v="false"/>
    <n v="200"/>
    <n v="80"/>
    <n v="120"/>
    <s v="spsa"/>
    <n v="4000"/>
    <n v="4000"/>
    <n v="0.1005270800365871"/>
    <m/>
    <n v="128"/>
    <x v="0"/>
    <x v="0"/>
    <n v="23.996430523296681"/>
    <n v="0.76106982989235195"/>
    <n v="23.996430523296681"/>
    <n v="7.4566596548542377"/>
    <n v="23.996430523296681"/>
    <n v="7.4566596548542377"/>
    <n v="7.6567626609735582"/>
    <n v="0.76106982989235195"/>
    <n v="123.69778138023131"/>
    <n v="18.865362182278432"/>
    <n v="18.812835215700549"/>
    <n v="-1.318806764611713E-3"/>
    <n v="0.5714285714285714"/>
    <n v="2.7807275351321319E-2"/>
    <n v="0.79808322729538617"/>
    <n v="2.7807275351321319E-2"/>
    <n v="0.133091126507312"/>
    <n v="2.7807275351321319E-2"/>
    <n v="0.79808322729538617"/>
    <n v="0.133091126507312"/>
    <n v="0.12716358924806029"/>
    <n v="5.0740319851718431E-2"/>
    <n v="0.63155967274686586"/>
    <n v="0.17517045883084481"/>
    <n v="0.15750783568244309"/>
    <n v="5.7095828428264578E-2"/>
    <n v="0.80217514913790877"/>
    <n v="5.7095828428264578E-2"/>
    <n v="0.18783963559987599"/>
    <n v="5.7095828428264578E-2"/>
    <n v="0.80217514913790877"/>
    <n v="0.18783963559987599"/>
    <n v="0.21506146973699061"/>
    <n v="0.31722457899118611"/>
    <n v="-9.9115412740995001E-2"/>
    <n v="0.49409216707493242"/>
    <n v="0.4833023439113307"/>
    <n v="7.0548325828101069E-2"/>
    <n v="0.71677078637001701"/>
    <n v="7.0548325828101069E-2"/>
    <n v="0.20871941132913499"/>
    <n v="7.0548325828101069E-2"/>
    <n v="0.71677078637001701"/>
    <n v="0.20871941132913499"/>
    <n v="0.25071194461870272"/>
    <n v="0.28179207384421201"/>
    <n v="-0.13130604511478519"/>
    <n v="0.46924151231374012"/>
    <n v="0.47638797693439078"/>
    <n v="95.830270663579341"/>
    <n v="0.72725015676609295"/>
    <n v="95.830270663579341"/>
    <n v="7.4257378076050609"/>
    <n v="95.830270663579341"/>
    <n v="0.72725015676609295"/>
    <n v="7.4257378076050609"/>
    <n v="7.6195585108641009"/>
    <n v="494.14136854823909"/>
    <n v="-0.40641344194953821"/>
    <n v="18.82201514860553"/>
    <n v="18.764449390143461"/>
  </r>
  <r>
    <d v="2026-02-05T19:57:33"/>
    <s v="02-05_19-57-33_multihead_spsa_f7_w5_h5_effsu2_effsu2_realamplitudes_full_r3_4_2.pkl"/>
    <x v="1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icientsu2', 'entangle': 'full', 'map': [0, 1, 2]}, {'features': ['sv', 'yr', 'rarad'], 'output_dim': 2, 'reps': 4, 'encoding': 'compact', 'ansatz': 'efficient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s v="full"/>
    <x v="0"/>
    <s v="[0, 1, 2]"/>
    <s v="false"/>
    <n v="200"/>
    <n v="80"/>
    <n v="120"/>
    <s v="spsa"/>
    <n v="4000"/>
    <n v="4000"/>
    <n v="0.1193700189692493"/>
    <m/>
    <n v="128"/>
    <x v="0"/>
    <x v="0"/>
    <n v="20.787792651419451"/>
    <n v="0.75465785003142238"/>
    <n v="20.787792651419451"/>
    <n v="7.1649913821589264"/>
    <n v="20.787792651419451"/>
    <n v="7.1649913821589264"/>
    <n v="8.607585278808191"/>
    <n v="0.75465785003142238"/>
    <n v="120.2008337211759"/>
    <n v="18.23187752062616"/>
    <n v="19.379622644112139"/>
    <n v="-0.1151548605921517"/>
    <n v="0.5714285714285714"/>
    <n v="2.440882255594486E-2"/>
    <n v="0.82276038864836931"/>
    <n v="2.440882255594486E-2"/>
    <n v="0.13063608250653519"/>
    <n v="2.440882255594486E-2"/>
    <n v="0.82276038864836931"/>
    <n v="0.13063608250653519"/>
    <n v="0.13003597412495771"/>
    <n v="4.7187304198755012E-2"/>
    <n v="0.65735916028929642"/>
    <n v="0.172038756864377"/>
    <n v="0.13217728944683699"/>
    <n v="7.1726129478140249E-2"/>
    <n v="0.75148428076920681"/>
    <n v="7.1726129478140249E-2"/>
    <n v="0.2115397924212287"/>
    <n v="7.1726129478140249E-2"/>
    <n v="0.75148428076920681"/>
    <n v="0.2115397924212287"/>
    <n v="0.20740855311343451"/>
    <n v="0.40110402085090979"/>
    <n v="-0.38973976364507829"/>
    <n v="0.5414275384599232"/>
    <n v="0.57909850377966621"/>
    <n v="7.9570519786551552E-2"/>
    <n v="0.68054953136397311"/>
    <n v="7.9570519786551552E-2"/>
    <n v="0.22480441577309809"/>
    <n v="7.9570519786551552E-2"/>
    <n v="0.68054953136397311"/>
    <n v="0.22480441577309809"/>
    <n v="0.27762715147830908"/>
    <n v="0.3392619219567079"/>
    <n v="-0.36202930746402728"/>
    <n v="0.50773329455344118"/>
    <n v="0.5024848046068392"/>
    <n v="82.975465133857085"/>
    <n v="0.76383719934413963"/>
    <n v="82.975465133857085"/>
    <n v="7.1330517970172567"/>
    <n v="82.975465133857085"/>
    <n v="0.76383719934413963"/>
    <n v="7.1330517970172567"/>
    <n v="8.5723535752078828"/>
    <n v="480.0157816376971"/>
    <n v="-0.36620953154879771"/>
    <n v="18.17347229009307"/>
    <n v="19.325008379137131"/>
  </r>
  <r>
    <d v="2026-02-06T04:46:25"/>
    <s v="02-06_04-46-25_multihead_spsa_f7_w5_h5_effsu2_effsu2_realamplitudes_full_r3_4_2.pkl"/>
    <x v="2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icientsu2', 'entangle': 'full', 'map': [0, 1, 2]}, {'features': ['sv', 'yr', 'rarad'], 'output_dim': 2, 'reps': 4, 'encoding': 'compact', 'ansatz': 'efficient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s v="full"/>
    <x v="0"/>
    <s v="[0, 1, 2]"/>
    <s v="false"/>
    <n v="200"/>
    <n v="80"/>
    <n v="120"/>
    <s v="spsa"/>
    <n v="4000"/>
    <n v="4000"/>
    <n v="0.1098984751851461"/>
    <m/>
    <n v="128"/>
    <x v="0"/>
    <x v="0"/>
    <n v="22.71993866149996"/>
    <n v="0.75313283650651719"/>
    <n v="22.71993866149996"/>
    <n v="7.3424709833987123"/>
    <n v="22.71993866149996"/>
    <n v="7.3424709833987123"/>
    <n v="7.8485806093934487"/>
    <n v="0.75313283650651719"/>
    <n v="113.33623757937031"/>
    <n v="17.618888352813538"/>
    <n v="18.742907187626539"/>
    <n v="3.8345955742663612E-2"/>
    <n v="0.5714285714285714"/>
    <n v="3.2166351073209587E-2"/>
    <n v="0.76643070145031467"/>
    <n v="3.2166351073209587E-2"/>
    <n v="0.14519623681806801"/>
    <n v="3.2166351073209587E-2"/>
    <n v="0.76643070145031467"/>
    <n v="0.14519623681806801"/>
    <n v="0.1389410864990421"/>
    <n v="6.0894985897267141E-2"/>
    <n v="0.55782366769404113"/>
    <n v="0.2027561100531074"/>
    <n v="0.18173141208322621"/>
    <n v="5.2921168950530818E-2"/>
    <n v="0.8166394525960905"/>
    <n v="5.2921168950530818E-2"/>
    <n v="0.17538627398709231"/>
    <n v="5.2921168950530818E-2"/>
    <n v="0.8166394525960905"/>
    <n v="0.17538627398709231"/>
    <n v="0.21509277853088821"/>
    <n v="0.34508236508752282"/>
    <n v="-0.19563669164283001"/>
    <n v="0.49668804243500081"/>
    <n v="0.56450430345557245"/>
    <n v="7.7800055069918633E-2"/>
    <n v="0.68765738719989211"/>
    <n v="7.7800055069918633E-2"/>
    <n v="0.22107887961206679"/>
    <n v="7.7800055069918633E-2"/>
    <n v="0.68765738719989211"/>
    <n v="0.22107887961206679"/>
    <n v="0.30627577941617878"/>
    <n v="0.2292363504501625"/>
    <n v="7.9688560836903788E-2"/>
    <n v="0.41467253977619839"/>
    <n v="0.37719335056065822"/>
    <n v="90.71686707090663"/>
    <n v="0.74180380477977048"/>
    <n v="90.71686707090663"/>
    <n v="7.3118898923092361"/>
    <n v="90.71686707090663"/>
    <n v="0.74180380477977048"/>
    <n v="7.3118898923092361"/>
    <n v="7.8038587347997028"/>
    <n v="452.70973661604347"/>
    <n v="-0.28849171391745743"/>
    <n v="17.57288234160329"/>
    <n v="18.691327375206111"/>
  </r>
  <r>
    <d v="2026-02-06T02:07:03"/>
    <s v="02-06_02-07-03_multihead_spsa_f7_w5_h5_effsu2_effsu2_realamplitudes_full_r3_4_2.pkl"/>
    <x v="3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icientsu2', 'entangle': 'full', 'map': [0, 1, 2]}, {'features': ['sv', 'yr', 'rarad'], 'output_dim': 2, 'reps': 4, 'encoding': 'compact', 'ansatz': 'efficient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s v="full"/>
    <x v="0"/>
    <s v="[0, 1, 2]"/>
    <s v="false"/>
    <n v="200"/>
    <n v="80"/>
    <n v="120"/>
    <s v="spsa"/>
    <n v="4000"/>
    <n v="4000"/>
    <n v="0.1054042275991947"/>
    <m/>
    <n v="128"/>
    <x v="0"/>
    <x v="0"/>
    <n v="23.49990717914665"/>
    <n v="0.7431526309366121"/>
    <n v="23.49990717914665"/>
    <n v="7.3342493828488209"/>
    <n v="23.49990717914665"/>
    <n v="7.3342493828488209"/>
    <n v="7.8875681440001522"/>
    <n v="0.7431526309366121"/>
    <n v="104.8112218979136"/>
    <n v="16.84593715077019"/>
    <n v="17.54033801211585"/>
    <n v="0.1974853795873461"/>
    <n v="0.5714285714285714"/>
    <n v="3.8431227397336842E-2"/>
    <n v="0.72093959911183236"/>
    <n v="3.8431227397336842E-2"/>
    <n v="0.1505414284468149"/>
    <n v="3.8431227397336842E-2"/>
    <n v="0.72093959911183236"/>
    <n v="0.1505414284468149"/>
    <n v="0.1502025935164801"/>
    <n v="6.6549278602799924E-2"/>
    <n v="0.51676619188585593"/>
    <n v="0.21529424807206529"/>
    <n v="0.14319861235824721"/>
    <n v="4.2645082017198598E-2"/>
    <n v="0.85224389903277598"/>
    <n v="4.2645082017198598E-2"/>
    <n v="0.1618366262841959"/>
    <n v="4.2645082017198598E-2"/>
    <n v="0.85224389903277598"/>
    <n v="0.1618366262841959"/>
    <n v="0.16152686444885031"/>
    <n v="0.22358056861163819"/>
    <n v="0.22534108254809951"/>
    <n v="0.40308816234833378"/>
    <n v="0.37869891629978802"/>
    <n v="8.3070218199706905E-2"/>
    <n v="0.66649934919642884"/>
    <n v="8.3070218199706905E-2"/>
    <n v="0.240026898775794"/>
    <n v="8.3070218199706905E-2"/>
    <n v="0.66649934919642884"/>
    <n v="0.240026898775794"/>
    <n v="0.3136937805717282"/>
    <n v="0.18937622927643399"/>
    <n v="0.23971433951716911"/>
    <n v="0.37865567240663678"/>
    <n v="0.39999775942246002"/>
    <n v="93.835482188972691"/>
    <n v="0.73292767640541245"/>
    <n v="93.835482188972691"/>
    <n v="7.3022530957676128"/>
    <n v="93.835482188972691"/>
    <n v="0.73292767640541245"/>
    <n v="7.3022530957676128"/>
    <n v="7.8542661907619511"/>
    <n v="418.76538151516201"/>
    <n v="-0.19188009560174149"/>
    <n v="16.810983310719781"/>
    <n v="17.507479015503218"/>
  </r>
  <r>
    <d v="2026-02-05T23:15:26"/>
    <s v="02-05_23-15-26_multihead_spsa_f7_w5_h5_effsu2_effsu2_realamplitudes_full_r3_4_2.pkl"/>
    <x v="4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icientsu2', 'entangle': 'full', 'map': [0, 1, 2]}, {'features': ['sv', 'yr', 'rarad'], 'output_dim': 2, 'reps': 4, 'encoding': 'compact', 'ansatz': 'efficient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s v="full"/>
    <x v="0"/>
    <s v="[0, 1, 2]"/>
    <s v="false"/>
    <n v="200"/>
    <n v="80"/>
    <n v="120"/>
    <s v="spsa"/>
    <n v="4000"/>
    <n v="4000"/>
    <n v="0.1863685587694871"/>
    <m/>
    <n v="128"/>
    <x v="0"/>
    <x v="0"/>
    <n v="24.156512009136879"/>
    <n v="0.52586616514219497"/>
    <n v="24.156512009136879"/>
    <n v="7.5966463178856989"/>
    <n v="24.156512009136879"/>
    <n v="7.5966463178856989"/>
    <n v="8.5440478247755909"/>
    <n v="0.52586616514219497"/>
    <n v="115.618310775711"/>
    <n v="17.897348000672441"/>
    <n v="18.841003224299062"/>
    <n v="1.075092988997575E-2"/>
    <n v="0.5714285714285714"/>
    <n v="2.3163221508344121E-2"/>
    <n v="0.83180506276445731"/>
    <n v="2.3163221508344121E-2"/>
    <n v="0.1232676951406509"/>
    <n v="2.3163221508344121E-2"/>
    <n v="0.83180506276445731"/>
    <n v="0.1232676951406509"/>
    <n v="0.13399954228402111"/>
    <n v="4.091456216283431E-2"/>
    <n v="0.70290737786543844"/>
    <n v="0.15445796593006239"/>
    <n v="0.14682125564769391"/>
    <n v="0.2280279673749662"/>
    <n v="0.20993179571753909"/>
    <n v="0.2280279673749662"/>
    <n v="0.42554239490524809"/>
    <n v="0.2280279673749662"/>
    <n v="0.20993179571753909"/>
    <n v="0.42554239490524809"/>
    <n v="0.4611251759224525"/>
    <n v="0.33451110617302432"/>
    <n v="-0.15900953733482859"/>
    <n v="0.50312171654000337"/>
    <n v="0.46947614698107132"/>
    <n v="0.1655033043560232"/>
    <n v="0.33555658202099231"/>
    <n v="0.1655033043560232"/>
    <n v="0.35859584826319879"/>
    <n v="0.1655033043560232"/>
    <n v="0.33555658202099231"/>
    <n v="0.35859584826319879"/>
    <n v="0.34952773197716369"/>
    <n v="0.29554593566387821"/>
    <n v="-0.18652344994805239"/>
    <n v="0.47059465643365123"/>
    <n v="0.47363127071469913"/>
    <n v="96.209353543308396"/>
    <n v="0.72617122006579149"/>
    <n v="96.209353543308396"/>
    <n v="7.5239599113497819"/>
    <n v="96.209353543308396"/>
    <n v="0.72617122006579149"/>
    <n v="7.5239599113497819"/>
    <n v="8.4714569070636259"/>
    <n v="461.80227149884331"/>
    <n v="-0.31437067102265748"/>
    <n v="17.84691393929257"/>
    <n v="18.79678296659463"/>
  </r>
  <r>
    <d v="2026-02-06T14:50:06"/>
    <s v="02-06_14-50-06_multihead_spsa_f7_w5_h5_effsu2_effsu2_realamplitudes_full_r3_5_2.pkl"/>
    <x v="1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su2', 'entangle': 'full', 'map': [0, 1, 2]}, {'features': ['sv', 'yr', 'rarad'], 'output_dim': 2, 'reps': 5, 'encoding': 'compact', 'ansatz': 'eff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s v="full"/>
    <x v="1"/>
    <s v="[0, 1, 2]"/>
    <s v="false"/>
    <n v="210"/>
    <n v="90"/>
    <n v="120"/>
    <s v="spsa"/>
    <n v="4000"/>
    <n v="4000"/>
    <n v="9.0376580867257805E-2"/>
    <m/>
    <n v="128"/>
    <x v="0"/>
    <x v="0"/>
    <n v="19.38458504464603"/>
    <n v="0.78511120389983824"/>
    <n v="19.38458504464603"/>
    <n v="6.80211191424043"/>
    <n v="19.38458504464603"/>
    <n v="6.80211191424043"/>
    <n v="8.0053473811574687"/>
    <n v="0.78511120389983824"/>
    <n v="87.495074864982996"/>
    <n v="14.69352366891145"/>
    <n v="14.84275502167365"/>
    <n v="0.25618586824317868"/>
    <n v="0.5714285714285714"/>
    <n v="2.3234070941860949E-2"/>
    <n v="0.83129060427174528"/>
    <n v="2.3234070941860949E-2"/>
    <n v="0.12702629921526329"/>
    <n v="2.3234070941860949E-2"/>
    <n v="0.83129060427174528"/>
    <n v="0.12702629921526329"/>
    <n v="0.13326185672027141"/>
    <n v="0.1231587617794634"/>
    <n v="0.1057081503088019"/>
    <n v="0.27520394228737621"/>
    <n v="0.27619705748519191"/>
    <n v="4.5190850444097007E-2"/>
    <n v="0.84342335516391276"/>
    <n v="4.5190850444097007E-2"/>
    <n v="0.168212837680042"/>
    <n v="4.5190850444097007E-2"/>
    <n v="0.84342335516391276"/>
    <n v="0.168212837680042"/>
    <n v="0.1856969801156127"/>
    <n v="0.15996108620278879"/>
    <n v="0.44576900111778212"/>
    <n v="0.32204585308130301"/>
    <n v="0.28694191916870088"/>
    <n v="7.8212566421123147E-2"/>
    <n v="0.68600128460293208"/>
    <n v="7.8212566421123147E-2"/>
    <n v="0.22347929028757771"/>
    <n v="7.8212566421123147E-2"/>
    <n v="0.68600128460293208"/>
    <n v="0.22347929028757771"/>
    <n v="0.25729525339202952"/>
    <n v="0.1324664465837487"/>
    <n v="0.46818911635563087"/>
    <n v="0.28795612039963497"/>
    <n v="0.29725886987067068"/>
    <n v="77.391702690777322"/>
    <n v="0.77972957156076317"/>
    <n v="77.391702690777322"/>
    <n v="6.7721209388298327"/>
    <n v="77.391702690777322"/>
    <n v="0.77972957156076317"/>
    <n v="6.7721209388298327"/>
    <n v="7.9790038903724678"/>
    <n v="349.5647131653659"/>
    <n v="5.0772051904999227E-3"/>
    <n v="14.656555397039099"/>
    <n v="14.804498740459371"/>
  </r>
  <r>
    <d v="2026-02-06T20:35:46"/>
    <s v="02-06_20-35-46_multihead_spsa_f7_w5_h5_effsu2_effsu2_realamplitudes_full_r3_5_2.pkl"/>
    <x v="4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su2', 'entangle': 'full', 'map': [0, 1, 2]}, {'features': ['sv', 'yr', 'rarad'], 'output_dim': 2, 'reps': 5, 'encoding': 'compact', 'ansatz': 'eff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s v="full"/>
    <x v="1"/>
    <s v="[0, 1, 2]"/>
    <s v="false"/>
    <n v="210"/>
    <n v="90"/>
    <n v="120"/>
    <s v="spsa"/>
    <n v="4000"/>
    <n v="4000"/>
    <n v="9.9458144795925935E-2"/>
    <m/>
    <n v="128"/>
    <x v="0"/>
    <x v="0"/>
    <n v="22.745918225871961"/>
    <n v="0.75433683174301391"/>
    <n v="22.745918225871961"/>
    <n v="7.4876899190053621"/>
    <n v="22.745918225871961"/>
    <n v="7.4876899190053621"/>
    <n v="8.2755451448728063"/>
    <n v="0.75433683174301391"/>
    <n v="123.7825635866524"/>
    <n v="18.078652028919151"/>
    <n v="19.71112560883617"/>
    <n v="-0.34708475593579152"/>
    <n v="0.5714285714285714"/>
    <n v="2.990015792506107E-2"/>
    <n v="0.78288619379964752"/>
    <n v="2.990015792506107E-2"/>
    <n v="0.13726689199768891"/>
    <n v="2.990015792506107E-2"/>
    <n v="0.78288619379964752"/>
    <n v="0.13726689199768891"/>
    <n v="0.1388921880677656"/>
    <n v="0.2273129520606145"/>
    <n v="-0.65058593818171184"/>
    <n v="0.38949096185967941"/>
    <n v="0.33827235490667762"/>
    <n v="4.9525207828402959E-2"/>
    <n v="0.82840573256805838"/>
    <n v="4.9525207828402959E-2"/>
    <n v="0.17647055208777029"/>
    <n v="4.9525207828402959E-2"/>
    <n v="0.82840573256805838"/>
    <n v="0.17647055208777029"/>
    <n v="0.18715067115944961"/>
    <n v="0.32482097026336137"/>
    <n v="-0.12543528604655971"/>
    <n v="0.50146070365232109"/>
    <n v="0.50855420553775543"/>
    <n v="8.3556496122447768E-2"/>
    <n v="0.66454709714725757"/>
    <n v="8.3556496122447768E-2"/>
    <n v="0.23844536330270399"/>
    <n v="8.3556496122447768E-2"/>
    <n v="0.66454709714725757"/>
    <n v="0.23844536330270399"/>
    <n v="0.30604890756594483"/>
    <n v="0.30027668822203563"/>
    <n v="-0.20551592512300881"/>
    <n v="0.48651504349031549"/>
    <n v="0.45773869298570441"/>
    <n v="90.820691041611752"/>
    <n v="0.74150830345709184"/>
    <n v="90.820691041611752"/>
    <n v="7.4593445223460941"/>
    <n v="90.820691041611752"/>
    <n v="0.74150830345709184"/>
    <n v="7.4593445223460941"/>
    <n v="8.2471783279102144"/>
    <n v="494.27784373606352"/>
    <n v="-0.40680187439188309"/>
    <n v="18.018261670674871"/>
    <n v="19.655377320094679"/>
  </r>
  <r>
    <d v="2026-02-07T00:12:12"/>
    <s v="02-07_00-12-12_multihead_spsa_f7_w5_h5_effsu2_effsu2_realamplitudes_full_r3_5_2.pkl"/>
    <x v="3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su2', 'entangle': 'full', 'map': [0, 1, 2]}, {'features': ['sv', 'yr', 'rarad'], 'output_dim': 2, 'reps': 5, 'encoding': 'compact', 'ansatz': 'eff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s v="full"/>
    <x v="1"/>
    <s v="[0, 1, 2]"/>
    <s v="false"/>
    <n v="210"/>
    <n v="90"/>
    <n v="120"/>
    <s v="spsa"/>
    <n v="4000"/>
    <n v="4000"/>
    <n v="9.770328586674408E-2"/>
    <m/>
    <n v="128"/>
    <x v="0"/>
    <x v="0"/>
    <n v="24.169062231657591"/>
    <n v="0.78126569276423408"/>
    <n v="24.169062231657591"/>
    <n v="7.4955072285137607"/>
    <n v="24.169062231657591"/>
    <n v="7.4955072285137607"/>
    <n v="7.5745990678265196"/>
    <n v="0.78126569276423408"/>
    <n v="126.88972531267579"/>
    <n v="18.32201838223931"/>
    <n v="19.339548238685321"/>
    <n v="-8.5596688202165427E-2"/>
    <n v="0.5714285714285714"/>
    <n v="1.8902673735374732E-2"/>
    <n v="0.86274214830782503"/>
    <n v="1.8902673735374732E-2"/>
    <n v="0.11197758429497751"/>
    <n v="1.8902673735374732E-2"/>
    <n v="0.86274214830782503"/>
    <n v="0.11197758429497751"/>
    <n v="0.1398257679311237"/>
    <n v="6.3234809778444298E-2"/>
    <n v="0.54083352102143567"/>
    <n v="0.20249737249369679"/>
    <n v="0.21116035834276681"/>
    <n v="5.8903407657228027E-2"/>
    <n v="0.79591227317595692"/>
    <n v="5.8903407657228027E-2"/>
    <n v="0.1943552372788333"/>
    <n v="5.8903407657228027E-2"/>
    <n v="0.79591227317595692"/>
    <n v="0.1943552372788333"/>
    <n v="0.20100563788778891"/>
    <n v="0.38216139293601459"/>
    <n v="-0.32410760372452702"/>
    <n v="0.52386836431769723"/>
    <n v="0.50542414796411761"/>
    <n v="6.4473063114922097E-2"/>
    <n v="0.74116104454626197"/>
    <n v="6.4473063114922097E-2"/>
    <n v="0.2078280039411245"/>
    <n v="6.4473063114922097E-2"/>
    <n v="0.74116104454626197"/>
    <n v="0.2078280039411245"/>
    <n v="0.25941851645642122"/>
    <n v="0.27812149292858251"/>
    <n v="-0.11656982375026791"/>
    <n v="0.44918344120769499"/>
    <n v="0.4300358339762394"/>
    <n v="96.533969782122583"/>
    <n v="0.7252473050268935"/>
    <n v="96.533969782122583"/>
    <n v="7.4684315026792216"/>
    <n v="96.533969782122583"/>
    <n v="0.7252473050268935"/>
    <n v="7.4684315026792216"/>
    <n v="7.5413233318944064"/>
    <n v="506.8353835550605"/>
    <n v="-0.44254284635531382"/>
    <n v="18.27112242289903"/>
    <n v="19.292298986076069"/>
  </r>
  <r>
    <d v="2026-02-07T03:56:55"/>
    <s v="02-07_03-56-55_multihead_spsa_f7_w5_h5_effsu2_effsu2_realamplitudes_full_r3_5_2.pkl"/>
    <x v="2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su2', 'entangle': 'full', 'map': [0, 1, 2]}, {'features': ['sv', 'yr', 'rarad'], 'output_dim': 2, 'reps': 5, 'encoding': 'compact', 'ansatz': 'eff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s v="full"/>
    <x v="1"/>
    <s v="[0, 1, 2]"/>
    <s v="false"/>
    <n v="210"/>
    <n v="90"/>
    <n v="120"/>
    <s v="spsa"/>
    <n v="4000"/>
    <n v="4000"/>
    <n v="0.1124703341496842"/>
    <m/>
    <n v="128"/>
    <x v="0"/>
    <x v="0"/>
    <n v="21.356283414583089"/>
    <n v="0.75044355188041667"/>
    <n v="21.356283414583089"/>
    <n v="7.2243362737262684"/>
    <n v="21.356283414583089"/>
    <n v="7.2243362737262684"/>
    <n v="7.9053364304289344"/>
    <n v="0.75044355188041667"/>
    <n v="104.7774749719442"/>
    <n v="16.697717027402359"/>
    <n v="17.15465820850272"/>
    <n v="-0.16126147744066779"/>
    <n v="0.5714285714285714"/>
    <n v="2.6607088316595501E-2"/>
    <n v="0.80679813695956659"/>
    <n v="2.6607088316595501E-2"/>
    <n v="0.13059841457188989"/>
    <n v="2.6607088316595501E-2"/>
    <n v="0.80679813695956659"/>
    <n v="0.13059841457188989"/>
    <n v="0.1086830047649934"/>
    <n v="0.15791145905063991"/>
    <n v="-0.14664136567651551"/>
    <n v="0.30106988412206881"/>
    <n v="0.31399109272887038"/>
    <n v="6.5643772639719669E-2"/>
    <n v="0.77255834813233004"/>
    <n v="6.5643772639719669E-2"/>
    <n v="0.2053718560457769"/>
    <n v="6.5643772639719669E-2"/>
    <n v="0.77255834813233004"/>
    <n v="0.2053718560457769"/>
    <n v="0.21911958566090489"/>
    <n v="0.33921826488266371"/>
    <n v="-0.17531883689930661"/>
    <n v="0.50626830932459321"/>
    <n v="0.51477433492460944"/>
    <n v="8.3430559901587029E-2"/>
    <n v="0.66505269124014688"/>
    <n v="8.3430559901587029E-2"/>
    <n v="0.23963891803419729"/>
    <n v="8.3430559901587029E-2"/>
    <n v="0.66505269124014688"/>
    <n v="0.23963891803419729"/>
    <n v="0.27823529718608259"/>
    <n v="0.28207522469183283"/>
    <n v="-0.13244280620682991"/>
    <n v="0.46052660849201432"/>
    <n v="0.45379448746707818"/>
    <n v="85.249452237474287"/>
    <n v="0.75736503118962306"/>
    <n v="85.249452237474287"/>
    <n v="7.1912902341083251"/>
    <n v="85.249452237474287"/>
    <n v="0.75736503118962306"/>
    <n v="7.1912902341083251"/>
    <n v="7.8682851783192511"/>
    <n v="418.33069493914962"/>
    <n v="-0.1906429009800179"/>
    <n v="16.635069774092059"/>
    <n v="17.092503746355781"/>
  </r>
  <r>
    <d v="2026-02-06T02:58:18"/>
    <s v="02-06_02-58-18_multihead_spsa_f7_w5_h5_effsu2_effsu2_realamplitudes_full_r3_4_2.pkl"/>
    <x v="2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icientsu2', 'entangle': 'full', 'map': [0, 1, 2]}, {'features': ['sv', 'yr', 'rarad'], 'output_dim': 2, 'reps': 4, 'encoding': 'compact', 'ansatz': 'efficient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s v="full"/>
    <x v="0"/>
    <s v="[0, 1, 2]"/>
    <s v="false"/>
    <n v="200"/>
    <n v="80"/>
    <n v="120"/>
    <s v="spsa"/>
    <n v="4000"/>
    <n v="4000"/>
    <n v="0.1278100798142475"/>
    <m/>
    <n v="128"/>
    <x v="1"/>
    <x v="1"/>
    <n v="32.204875758539153"/>
    <n v="0.57543203013650746"/>
    <n v="32.204875758539153"/>
    <n v="8.9895152845691744"/>
    <n v="32.204875758539153"/>
    <n v="8.9895152845691744"/>
    <n v="9.5456886058425425"/>
    <n v="0.57543203013650746"/>
    <n v="99.303375596082518"/>
    <n v="16.635865377346349"/>
    <n v="17.665163067677021"/>
    <n v="4.0054681531907298E-2"/>
    <n v="0.5714285714285714"/>
    <n v="5.7008719982722951E-2"/>
    <n v="0.58604298301431834"/>
    <n v="5.7008719982722951E-2"/>
    <n v="0.18592718422263921"/>
    <n v="5.7008719982722951E-2"/>
    <n v="0.58604298301431834"/>
    <n v="0.18592718422263921"/>
    <n v="0.13472079951234489"/>
    <n v="8.4299506436878294E-2"/>
    <n v="0.38787658750185761"/>
    <n v="0.23299345026938961"/>
    <n v="0.17090352358721431"/>
    <n v="9.556997615483992E-2"/>
    <n v="0.66887044465116152"/>
    <n v="9.556997615483992E-2"/>
    <n v="0.25769634236659938"/>
    <n v="9.556997615483992E-2"/>
    <n v="0.66887044465116152"/>
    <n v="0.25769634236659938"/>
    <n v="0.32756928574331939"/>
    <n v="0.31539384520352698"/>
    <n v="-9.2772311178559885E-2"/>
    <n v="0.48427817464641632"/>
    <n v="0.51596414078498898"/>
    <n v="0.14631114941789999"/>
    <n v="0.41260701358239199"/>
    <n v="0.14631114941789999"/>
    <n v="0.33036280167818932"/>
    <n v="0.14631114941789999"/>
    <n v="0.41260701358239199"/>
    <n v="0.33036280167818932"/>
    <n v="0.41610408803017179"/>
    <n v="0.25062916781317363"/>
    <n v="-6.1968342867040338E-3"/>
    <n v="0.44055258379694279"/>
    <n v="0.45437071168951748"/>
    <n v="128.52061318860129"/>
    <n v="0.63420767929815525"/>
    <n v="128.52061318860129"/>
    <n v="8.939943666489274"/>
    <n v="128.52061318860129"/>
    <n v="0.63420767929815525"/>
    <n v="8.939943666489274"/>
    <n v="9.4854260703145403"/>
    <n v="396.56317986487608"/>
    <n v="-0.12868871590897221"/>
    <n v="16.582740249468419"/>
    <n v="17.60967371253637"/>
  </r>
  <r>
    <d v="2026-02-06T19:09:49"/>
    <s v="02-06_19-09-49_multihead_spsa_f7_w5_h5_effsu2_effsu2_realamplitudes_full_r3_5_2.pkl"/>
    <x v="2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icientsu2', 'entangle': 'full', 'map': [0, 1, 2]}, {'features': ['sv', 'yr', 'rarad'], 'output_dim': 2, 'reps': 5, 'encoding': 'compact', 'ansatz': 'efficient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s v="full"/>
    <x v="1"/>
    <s v="[0, 1, 2]"/>
    <s v="false"/>
    <n v="210"/>
    <n v="90"/>
    <n v="120"/>
    <s v="spsa"/>
    <n v="4000"/>
    <n v="4000"/>
    <n v="0.1280967897574127"/>
    <m/>
    <n v="128"/>
    <x v="1"/>
    <x v="1"/>
    <n v="31.727193774110081"/>
    <n v="0.59931994667472654"/>
    <n v="31.727193774110081"/>
    <n v="9.038957370896707"/>
    <n v="31.727193774110081"/>
    <n v="9.038957370896707"/>
    <n v="9.47981749856541"/>
    <n v="0.59931994667472654"/>
    <n v="87.375327716712647"/>
    <n v="15.276790005769829"/>
    <n v="15.541853517929789"/>
    <n v="-2.391940674947288E-2"/>
    <n v="0.5714285714285714"/>
    <n v="5.0323433062692761E-2"/>
    <n v="0.63458680985252447"/>
    <n v="5.0323433062692761E-2"/>
    <n v="0.17633567946042561"/>
    <n v="5.0323433062692761E-2"/>
    <n v="0.63458680985252447"/>
    <n v="0.17633567946042561"/>
    <n v="0.12728313384950971"/>
    <n v="0.13478323152986629"/>
    <n v="2.129946996348964E-2"/>
    <n v="0.30203274309372358"/>
    <n v="0.28233485777514561"/>
    <n v="0.10624090304584061"/>
    <n v="0.63189796209186699"/>
    <n v="0.10624090304584061"/>
    <n v="0.26679539560801552"/>
    <n v="0.10624090304584061"/>
    <n v="0.63189796209186699"/>
    <n v="0.26679539560801552"/>
    <n v="0.28767882459646932"/>
    <n v="0.32760737604151219"/>
    <n v="-0.13508958694170331"/>
    <n v="0.49486463828888022"/>
    <n v="0.48676875295081551"/>
    <n v="0.12673640116854579"/>
    <n v="0.49119343627339102"/>
    <n v="0.12673640116854579"/>
    <n v="0.2985470996758261"/>
    <n v="0.12673640116854579"/>
    <n v="0.49119343627339102"/>
    <n v="0.2985470996758261"/>
    <n v="0.35483410684743327"/>
    <n v="0.24638615326080529"/>
    <n v="1.0837527067469431E-2"/>
    <n v="0.4317154918292373"/>
    <n v="0.44615935950167379"/>
    <n v="126.62547435916331"/>
    <n v="0.63960157848112131"/>
    <n v="126.62547435916331"/>
    <n v="8.996423532458488"/>
    <n v="126.62547435916331"/>
    <n v="0.63960157848112131"/>
    <n v="8.996423532458488"/>
    <n v="9.4372555560711824"/>
    <n v="348.79253410601751"/>
    <n v="7.2749629128500137E-3"/>
    <n v="15.212629906161061"/>
    <n v="15.476417785342919"/>
  </r>
  <r>
    <d v="2026-02-06T00:21:45"/>
    <s v="02-06_00-21-45_multihead_spsa_f7_w5_h5_effsu2_effsu2_realamplitudes_full_r3_4_2.pkl"/>
    <x v="3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icientsu2', 'entangle': 'full', 'map': [0, 1, 2]}, {'features': ['sv', 'yr', 'rarad'], 'output_dim': 2, 'reps': 4, 'encoding': 'compact', 'ansatz': 'efficient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s v="full"/>
    <x v="0"/>
    <s v="[0, 1, 2]"/>
    <s v="false"/>
    <n v="200"/>
    <n v="80"/>
    <n v="120"/>
    <s v="spsa"/>
    <n v="4000"/>
    <n v="4000"/>
    <n v="0.13574711025131331"/>
    <m/>
    <n v="128"/>
    <x v="1"/>
    <x v="1"/>
    <n v="32.581304418277433"/>
    <n v="0.5507176340906148"/>
    <n v="32.581304418277433"/>
    <n v="8.8420536060554191"/>
    <n v="32.581304418277433"/>
    <n v="8.8420536060554191"/>
    <n v="8.8414367868543948"/>
    <n v="0.5507176340906148"/>
    <n v="98.917223913479049"/>
    <n v="16.449510372972739"/>
    <n v="17.45668897553281"/>
    <n v="-6.6064347715469568E-2"/>
    <n v="0.5714285714285714"/>
    <n v="5.9503822417119517E-2"/>
    <n v="0.56792531327660911"/>
    <n v="5.9503822417119517E-2"/>
    <n v="0.189387274186573"/>
    <n v="5.9503822417119517E-2"/>
    <n v="0.56792531327660911"/>
    <n v="0.189387274186573"/>
    <n v="0.1749069685221023"/>
    <n v="0.17058122621047209"/>
    <n v="-0.2386402567404933"/>
    <n v="0.30580406308628472"/>
    <n v="0.29742131580784592"/>
    <n v="0.1105360404453514"/>
    <n v="0.61701622836664471"/>
    <n v="0.1105360404453514"/>
    <n v="0.27736777846974398"/>
    <n v="0.1105360404453514"/>
    <n v="0.61701622836664471"/>
    <n v="0.27736777846974398"/>
    <n v="0.25488019895159197"/>
    <n v="0.28190272734919208"/>
    <n v="2.326725908641436E-2"/>
    <n v="0.45172538543227558"/>
    <n v="0.43444942526730113"/>
    <n v="0.1524554327535439"/>
    <n v="0.38793965943830461"/>
    <n v="0.1524554327535439"/>
    <n v="0.34074581921352259"/>
    <n v="0.1524554327535439"/>
    <n v="0.38793965943830461"/>
    <n v="0.34074581921352259"/>
    <n v="0.39103660138906748"/>
    <n v="0.23032558319677421"/>
    <n v="7.5315635885650378E-2"/>
    <n v="0.42099572626738291"/>
    <n v="0.41919780940953871"/>
    <n v="130.0027223774932"/>
    <n v="0.6299893352808984"/>
    <n v="130.0027223774932"/>
    <n v="8.7893212820434758"/>
    <n v="130.0027223774932"/>
    <n v="0.6299893352808984"/>
    <n v="8.7893212820434758"/>
    <n v="8.7796324568253716"/>
    <n v="394.98608611715969"/>
    <n v="-0.1242000290934575"/>
    <n v="16.388733231754191"/>
    <n v="17.395452836237791"/>
  </r>
  <r>
    <d v="2026-02-05T21:44:01"/>
    <s v="02-05_21-44-01_multihead_spsa_f7_w5_h5_effsu2_effsu2_realamplitudes_full_r3_4_2.pkl"/>
    <x v="4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icientsu2', 'entangle': 'full', 'map': [0, 1, 2]}, {'features': ['sv', 'yr', 'rarad'], 'output_dim': 2, 'reps': 4, 'encoding': 'compact', 'ansatz': 'efficient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s v="full"/>
    <x v="0"/>
    <s v="[0, 1, 2]"/>
    <s v="false"/>
    <n v="200"/>
    <n v="80"/>
    <n v="120"/>
    <s v="spsa"/>
    <n v="4000"/>
    <n v="4000"/>
    <n v="0.2066072112366476"/>
    <m/>
    <n v="128"/>
    <x v="1"/>
    <x v="1"/>
    <n v="32.523388598974208"/>
    <n v="0.354815434028801"/>
    <n v="32.523388598974208"/>
    <n v="9.1730283877789862"/>
    <n v="32.523388598974208"/>
    <n v="9.1730283877789862"/>
    <n v="9.1154609799920312"/>
    <n v="0.354815434028801"/>
    <n v="97.214602394889027"/>
    <n v="16.299062418967761"/>
    <n v="17.26897877472015"/>
    <n v="4.7920437277333937E-2"/>
    <n v="0.5714285714285714"/>
    <n v="5.5089704638727241E-2"/>
    <n v="0.59997751561899637"/>
    <n v="5.5089704638727241E-2"/>
    <n v="0.1800353375208445"/>
    <n v="5.5089704638727241E-2"/>
    <n v="0.59997751561899637"/>
    <n v="0.1800353375208445"/>
    <n v="0.1944827947312476"/>
    <n v="7.9624868699413875E-2"/>
    <n v="0.42182050158861339"/>
    <n v="0.22016311273798839"/>
    <n v="0.21945113129811911"/>
    <n v="0.28043848070086302"/>
    <n v="2.8340560986131361E-2"/>
    <n v="0.28043848070086302"/>
    <n v="0.47218552945174058"/>
    <n v="0.28043848070086302"/>
    <n v="2.8340560986131361E-2"/>
    <n v="0.47218552945174058"/>
    <n v="0.49464711017908791"/>
    <n v="0.33505879217111639"/>
    <n v="-0.1609071523423411"/>
    <n v="0.50103104260821119"/>
    <n v="0.47986771892795882"/>
    <n v="0.20931608511823771"/>
    <n v="0.15966212532671251"/>
    <n v="0.20931608511823771"/>
    <n v="0.3987570830883716"/>
    <n v="0.20931608511823771"/>
    <n v="0.15966212532671251"/>
    <n v="0.3987570830883716"/>
    <n v="0.42402404648804909"/>
    <n v="0.24020222060666371"/>
    <n v="3.5664060684170162E-2"/>
    <n v="0.42637439936700611"/>
    <n v="0.45555687061645372"/>
    <n v="129.5487101254391"/>
    <n v="0.63128153418335964"/>
    <n v="129.5487101254391"/>
    <n v="9.0903048479087509"/>
    <n v="129.5487101254391"/>
    <n v="0.63128153418335964"/>
    <n v="9.0903048479087509"/>
    <n v="9.0186761014600574"/>
    <n v="388.20352369807722"/>
    <n v="-0.10489566082110489"/>
    <n v="16.247996303739011"/>
    <n v="17.217313768791701"/>
  </r>
  <r>
    <d v="2026-02-06T15:41:21"/>
    <s v="02-06_15-41-21_multihead_spsa_f7_w5_h5_effsu2_effsu2_realamplitudes_full_r3_5_2.pkl"/>
    <x v="3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icientsu2', 'entangle': 'full', 'map': [0, 1, 2]}, {'features': ['sv', 'yr', 'rarad'], 'output_dim': 2, 'reps': 5, 'encoding': 'compact', 'ansatz': 'efficient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s v="full"/>
    <x v="1"/>
    <s v="[0, 1, 2]"/>
    <s v="false"/>
    <n v="210"/>
    <n v="90"/>
    <n v="120"/>
    <s v="spsa"/>
    <n v="4000"/>
    <n v="4000"/>
    <n v="0.12507120101150879"/>
    <m/>
    <n v="128"/>
    <x v="1"/>
    <x v="1"/>
    <n v="33.154553814179387"/>
    <n v="0.56685573749224027"/>
    <n v="33.154553814179387"/>
    <n v="8.9554546135804305"/>
    <n v="33.154553814179387"/>
    <n v="8.9554546135804305"/>
    <n v="8.688121271382272"/>
    <n v="0.56685573749224027"/>
    <n v="102.06353280456401"/>
    <n v="16.469766999232831"/>
    <n v="18.00051268968005"/>
    <n v="-7.9152315035016796E-3"/>
    <n v="0.5714285714285714"/>
    <n v="4.6635772486501741E-2"/>
    <n v="0.66136399362789022"/>
    <n v="4.6635772486501741E-2"/>
    <n v="0.172519523099567"/>
    <n v="4.6635772486501741E-2"/>
    <n v="0.66136399362789022"/>
    <n v="0.172519523099567"/>
    <n v="0.1671855182394768"/>
    <n v="7.9857990732620815E-2"/>
    <n v="0.42012773421040828"/>
    <n v="0.2355554259524073"/>
    <n v="0.22742180987942559"/>
    <n v="0.12616478136830411"/>
    <n v="0.56286597908652647"/>
    <n v="0.12616478136830411"/>
    <n v="0.29218627171626099"/>
    <n v="0.12616478136830411"/>
    <n v="0.56286597908652647"/>
    <n v="0.29218627171626099"/>
    <n v="0.33599278348789852"/>
    <n v="0.34956648564180409"/>
    <n v="-0.2111732116359302"/>
    <n v="0.51413485890642707"/>
    <n v="0.52193818096453448"/>
    <n v="0.1445332773120471"/>
    <n v="0.41974460774305761"/>
    <n v="0.1445332773120471"/>
    <n v="0.32393023173172059"/>
    <n v="0.1445332773120471"/>
    <n v="0.41974460774305761"/>
    <n v="0.32393023173172059"/>
    <n v="0.39038689092087792"/>
    <n v="0.26917202806383589"/>
    <n v="-8.0640553051094521E-2"/>
    <n v="0.45086037993885297"/>
    <n v="0.44405984977160889"/>
    <n v="132.30088142555081"/>
    <n v="0.62344836951148308"/>
    <n v="132.30088142555081"/>
    <n v="8.8984131253958356"/>
    <n v="132.30088142555081"/>
    <n v="0.62344836951148308"/>
    <n v="8.8984131253958356"/>
    <n v="8.6195758147643957"/>
    <n v="407.55553471381819"/>
    <n v="-0.15997489553738789"/>
    <n v="16.411602855313639"/>
    <n v="17.943046862005971"/>
  </r>
  <r>
    <d v="2026-02-06T11:51:25"/>
    <s v="02-06_11-51-25_multihead_spsa_f7_w5_h5_effsu2_effsu2_realamplitudes_full_r3_5_2.pkl"/>
    <x v="4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icientsu2', 'entangle': 'full', 'map': [0, 1, 2]}, {'features': ['sv', 'yr', 'rarad'], 'output_dim': 2, 'reps': 5, 'encoding': 'compact', 'ansatz': 'efficient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s v="full"/>
    <x v="1"/>
    <s v="[0, 1, 2]"/>
    <s v="false"/>
    <n v="210"/>
    <n v="90"/>
    <n v="120"/>
    <s v="spsa"/>
    <n v="4000"/>
    <n v="4000"/>
    <n v="0.11982281220333579"/>
    <m/>
    <n v="128"/>
    <x v="1"/>
    <x v="1"/>
    <n v="33.846718591069703"/>
    <n v="0.5826011060751517"/>
    <n v="33.846718591069703"/>
    <n v="9.4523972667791689"/>
    <n v="33.846718591069703"/>
    <n v="9.4523972667791689"/>
    <n v="9.0635319289384277"/>
    <n v="0.5826011060751517"/>
    <n v="107.9193415115688"/>
    <n v="16.987789120309529"/>
    <n v="18.475572352788049"/>
    <n v="-0.2290843597431548"/>
    <n v="0.5714285714285714"/>
    <n v="5.4223320812633188E-2"/>
    <n v="0.60626858239480241"/>
    <n v="5.4223320812633188E-2"/>
    <n v="0.17617888565135459"/>
    <n v="5.4223320812633188E-2"/>
    <n v="0.60626858239480241"/>
    <n v="0.17617888565135459"/>
    <n v="0.1915381199940687"/>
    <n v="0.1960635700714107"/>
    <n v="-0.42367502078491248"/>
    <n v="0.35703160970340192"/>
    <n v="0.30664644635923433"/>
    <n v="8.3778641385504324E-2"/>
    <n v="0.70972490120991893"/>
    <n v="8.3778641385504324E-2"/>
    <n v="0.2350324029510524"/>
    <n v="8.3778641385504324E-2"/>
    <n v="0.70972490120991893"/>
    <n v="0.2350324029510524"/>
    <n v="0.27218381432143413"/>
    <n v="0.30302527392031881"/>
    <n v="-4.99178533865694E-2"/>
    <n v="0.4795348112120118"/>
    <n v="0.48814768125296482"/>
    <n v="0.14971865723859021"/>
    <n v="0.3989269474835353"/>
    <n v="0.14971865723859021"/>
    <n v="0.34141029888067292"/>
    <n v="0.14971865723859021"/>
    <n v="0.3989269474835353"/>
    <n v="0.34141029888067292"/>
    <n v="0.39676031590027039"/>
    <n v="0.30298714076112959"/>
    <n v="-0.21639753474617041"/>
    <n v="0.48466732412553271"/>
    <n v="0.43409786095480929"/>
    <n v="135.09915374484291"/>
    <n v="0.61548399321234804"/>
    <n v="135.09915374484291"/>
    <n v="9.4100864797064627"/>
    <n v="135.09915374484291"/>
    <n v="0.61548399321234804"/>
    <n v="9.4100864797064627"/>
    <n v="9.0067255414214813"/>
    <n v="430.87529006152192"/>
    <n v="-0.2263470300549684"/>
    <n v="16.925084650071771"/>
    <n v="18.421204664637951"/>
  </r>
  <r>
    <d v="2026-02-06T08:32:02"/>
    <s v="02-06_08-32-02_multihead_spsa_f7_w5_h5_effsu2_effsu2_realamplitudes_full_r3_5_2.pkl"/>
    <x v="1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icientsu2', 'entangle': 'full', 'map': [0, 1, 2]}, {'features': ['sv', 'yr', 'rarad'], 'output_dim': 2, 'reps': 5, 'encoding': 'compact', 'ansatz': 'efficient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s v="full"/>
    <x v="1"/>
    <s v="[0, 1, 2]"/>
    <s v="false"/>
    <n v="210"/>
    <n v="90"/>
    <n v="120"/>
    <s v="spsa"/>
    <n v="4000"/>
    <n v="4000"/>
    <n v="0.1157908048833724"/>
    <m/>
    <n v="128"/>
    <x v="1"/>
    <x v="1"/>
    <n v="27.512682232878571"/>
    <n v="0.60736432908204496"/>
    <n v="27.512682232878571"/>
    <n v="8.3268263600039187"/>
    <n v="27.512682232878571"/>
    <n v="8.3268263600039187"/>
    <n v="10.42628945399291"/>
    <n v="0.60736432908204496"/>
    <n v="111.56182475916999"/>
    <n v="17.718412143610191"/>
    <n v="19.17075105122969"/>
    <n v="-3.5102370108107628E-2"/>
    <n v="0.5714285714285714"/>
    <n v="4.0849339780707553E-2"/>
    <n v="0.70338097668951449"/>
    <n v="4.0849339780707553E-2"/>
    <n v="0.16456869023596341"/>
    <n v="4.0849339780707553E-2"/>
    <n v="0.70338097668951449"/>
    <n v="0.16456869023596341"/>
    <n v="0.1513509983331347"/>
    <n v="9.3457458473617722E-2"/>
    <n v="0.32137801486287348"/>
    <n v="0.2524762850271301"/>
    <n v="0.23965394625790659"/>
    <n v="9.5576511792626398E-2"/>
    <n v="0.66884780006212607"/>
    <n v="9.5576511792626398E-2"/>
    <n v="0.24544903370812871"/>
    <n v="9.5576511792626398E-2"/>
    <n v="0.66884780006212607"/>
    <n v="0.24544903370812871"/>
    <n v="0.30832445548831949"/>
    <n v="0.30587015369485943"/>
    <n v="-5.9774754190209611E-2"/>
    <n v="0.48623661873369528"/>
    <n v="0.45056104923991502"/>
    <n v="0.15701931466042851"/>
    <n v="0.36961711714670359"/>
    <n v="0.15701931466042851"/>
    <n v="0.34606884420737388"/>
    <n v="0.15701931466042851"/>
    <n v="0.36961711714670359"/>
    <n v="0.34606884420737388"/>
    <n v="0.33110947927406958"/>
    <n v="0.28242689649093"/>
    <n v="-0.1338546572457455"/>
    <n v="0.47111998448627052"/>
    <n v="0.47032810241797668"/>
    <n v="109.7572837652807"/>
    <n v="0.68761142242983186"/>
    <n v="109.7572837652807"/>
    <n v="8.2743374511765833"/>
    <n v="109.7572837652807"/>
    <n v="0.68761142242983186"/>
    <n v="8.2743374511765833"/>
    <n v="10.393711853443669"/>
    <n v="445.56554452802209"/>
    <n v="-0.26815808385935802"/>
    <n v="17.667099914738401"/>
    <n v="19.127487723382199"/>
  </r>
  <r>
    <d v="2026-02-05T19:08:59"/>
    <s v="02-05_19-08-59_multihead_spsa_f7_w5_h5_effsu2_effsu2_realamplitudes_full_r3_4_2.pkl"/>
    <x v="1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icientsu2', 'entangle': 'full', 'map': [0, 1, 2]}, {'features': ['sv', 'yr', 'rarad'], 'output_dim': 2, 'reps': 4, 'encoding': 'compact', 'ansatz': 'efficient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s v="full"/>
    <x v="0"/>
    <s v="[0, 1, 2]"/>
    <s v="false"/>
    <n v="200"/>
    <n v="80"/>
    <n v="120"/>
    <s v="spsa"/>
    <n v="4000"/>
    <n v="4000"/>
    <n v="0.1395430783224984"/>
    <m/>
    <n v="128"/>
    <x v="1"/>
    <x v="1"/>
    <n v="27.55674149227881"/>
    <n v="0.62327809627532005"/>
    <n v="27.55674149227881"/>
    <n v="8.4800101557840222"/>
    <n v="27.55674149227881"/>
    <n v="8.4800101557840222"/>
    <n v="10.88554557715767"/>
    <n v="0.62327809627532005"/>
    <n v="102.9702768527109"/>
    <n v="16.408472234389968"/>
    <n v="17.740693619175389"/>
    <n v="7.1770978582377298E-2"/>
    <n v="0.5714285714285714"/>
    <n v="3.6443937718917109E-2"/>
    <n v="0.73536989166031219"/>
    <n v="3.6443937718917109E-2"/>
    <n v="0.1559209934651983"/>
    <n v="3.6443937718917109E-2"/>
    <n v="0.73536989166031219"/>
    <n v="0.1559209934651983"/>
    <n v="0.13992737688590451"/>
    <n v="7.4915354096130246E-2"/>
    <n v="0.456017666815558"/>
    <n v="0.22253013041728309"/>
    <n v="0.1902222971650967"/>
    <n v="0.11646980994018991"/>
    <n v="0.59645698441344974"/>
    <n v="0.11646980994018991"/>
    <n v="0.2873092537085844"/>
    <n v="0.11646980994018991"/>
    <n v="0.59645698441344974"/>
    <n v="0.2873092537085844"/>
    <n v="0.31989998195946229"/>
    <n v="0.30167525063699407"/>
    <n v="-4.5240311050536608E-2"/>
    <n v="0.4709501254794457"/>
    <n v="0.44423584863350141"/>
    <n v="0.13096849802093499"/>
    <n v="0.47420290603134402"/>
    <n v="0.13096849802093499"/>
    <n v="0.30968716944870073"/>
    <n v="0.13096849802093499"/>
    <n v="0.47420290603134402"/>
    <n v="0.30968716944870073"/>
    <n v="0.35377262898231793"/>
    <n v="0.23741715399962171"/>
    <n v="4.684522218957099E-2"/>
    <n v="0.42660882003629608"/>
    <n v="0.42502925771290839"/>
    <n v="109.94308372343539"/>
    <n v="0.68708260299617441"/>
    <n v="109.94308372343539"/>
    <n v="8.4356802034988565"/>
    <n v="109.94308372343539"/>
    <n v="0.68708260299617441"/>
    <n v="8.4356802034988565"/>
    <n v="10.85072110947193"/>
    <n v="411.26709965211109"/>
    <n v="-0.17053866362509101"/>
    <n v="16.358972759019679"/>
    <n v="17.696037100639838"/>
  </r>
  <r>
    <d v="2026-02-05T16:44:13"/>
    <s v="02-05_16-44-13_multihead_spsa_f7_w5_h5_effsu2_effsu2_realamplitudes_full_r3_4_2.pkl"/>
    <x v="0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icientsu2', 'entangle': 'full', 'map': [0, 1, 2]}, {'features': ['sv', 'yr', 'rarad'], 'output_dim': 2, 'reps': 4, 'encoding': 'compact', 'ansatz': 'efficient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s v="full"/>
    <x v="0"/>
    <s v="[0, 1, 2]"/>
    <s v="false"/>
    <n v="200"/>
    <n v="80"/>
    <n v="120"/>
    <s v="spsa"/>
    <n v="4000"/>
    <n v="4000"/>
    <n v="0.12440007058746209"/>
    <m/>
    <n v="128"/>
    <x v="1"/>
    <x v="1"/>
    <n v="33.833976357588803"/>
    <n v="0.56216371166885726"/>
    <n v="33.833976357588803"/>
    <n v="9.1493908108400923"/>
    <n v="33.833976357588803"/>
    <n v="9.1493908108400923"/>
    <n v="8.3676321228866097"/>
    <n v="0.56216371166885726"/>
    <n v="118.2753898088004"/>
    <n v="17.998396957028259"/>
    <n v="17.539073377543389"/>
    <n v="-5.9528546179025747E-2"/>
    <n v="0.5714285714285714"/>
    <n v="5.4198551624304522E-2"/>
    <n v="0.6064484387276019"/>
    <n v="5.4198551624304522E-2"/>
    <n v="0.1870283042056434"/>
    <n v="5.4198551624304522E-2"/>
    <n v="0.6064484387276019"/>
    <n v="0.1870283042056434"/>
    <n v="0.1772485701191614"/>
    <n v="8.8049413773699584E-2"/>
    <n v="0.36064741176183562"/>
    <n v="0.24026509614119559"/>
    <n v="0.23038323626537319"/>
    <n v="0.13559716948885109"/>
    <n v="0.53018476883725285"/>
    <n v="0.13559716948885109"/>
    <n v="0.3191311913586567"/>
    <n v="0.13559716948885109"/>
    <n v="0.53018476883725285"/>
    <n v="0.3191311913586567"/>
    <n v="0.38183162931008691"/>
    <n v="0.31753196430558223"/>
    <n v="-0.1001804372034041"/>
    <n v="0.49396072415234932"/>
    <n v="0.51933371966752606"/>
    <n v="0.12546089077952949"/>
    <n v="0.49631420703892548"/>
    <n v="0.12546089077952949"/>
    <n v="0.29679151479613619"/>
    <n v="0.12546089077952949"/>
    <n v="0.49631420703892548"/>
    <n v="0.29679151479613619"/>
    <n v="0.35052240577274379"/>
    <n v="0.28745059423436969"/>
    <n v="-0.15402321468049029"/>
    <n v="0.46957574799244378"/>
    <n v="0.49289804219105049"/>
    <n v="135.02064881846229"/>
    <n v="0.61570743207164735"/>
    <n v="135.02064881846229"/>
    <n v="9.0973603095055786"/>
    <n v="135.02064881846229"/>
    <n v="0.61570743207164735"/>
    <n v="9.0973603095055786"/>
    <n v="8.295599522961064"/>
    <n v="472.40852726288853"/>
    <n v="-0.34455794459404993"/>
    <n v="17.94603408457494"/>
    <n v="17.47645516983965"/>
  </r>
  <r>
    <d v="2026-02-06T05:35:19"/>
    <s v="02-06_05-35-19_multihead_spsa_f7_w5_h5_effsu2_effsu2_realamplitudes_full_r3_5_2.pkl"/>
    <x v="0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icientsu2', 'entangle': 'full', 'map': [0, 1, 2]}, {'features': ['sv', 'yr', 'rarad'], 'output_dim': 2, 'reps': 5, 'encoding': 'compact', 'ansatz': 'efficient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s v="full"/>
    <x v="1"/>
    <s v="[0, 1, 2]"/>
    <s v="false"/>
    <n v="210"/>
    <n v="90"/>
    <n v="120"/>
    <s v="spsa"/>
    <n v="4000"/>
    <n v="4000"/>
    <n v="0.1096436536045944"/>
    <m/>
    <n v="128"/>
    <x v="1"/>
    <x v="1"/>
    <n v="33.390282603830038"/>
    <n v="0.62218717027294024"/>
    <n v="33.390282603830038"/>
    <n v="9.1930689003258159"/>
    <n v="33.390282603830038"/>
    <n v="9.1930689003258159"/>
    <n v="8.3811444824261478"/>
    <n v="0.62218717027294024"/>
    <n v="136.7093360980806"/>
    <n v="19.34220466946541"/>
    <n v="19.928408420634749"/>
    <n v="-0.57059380520227221"/>
    <n v="0.5714285714285714"/>
    <n v="5.6956174752434273E-2"/>
    <n v="0.5864245293250181"/>
    <n v="5.6956174752434273E-2"/>
    <n v="0.18874743972424851"/>
    <n v="5.6956174752434273E-2"/>
    <n v="0.5864245293250181"/>
    <n v="0.18874743972424851"/>
    <n v="0.1731916728132592"/>
    <n v="0.30735871190161851"/>
    <n v="-1.231821650475837"/>
    <n v="0.46349754924983799"/>
    <n v="0.42349521263529222"/>
    <n v="8.950735954653069E-2"/>
    <n v="0.68987611633310686"/>
    <n v="8.950735954653069E-2"/>
    <n v="0.23875167066537839"/>
    <n v="8.950735954653069E-2"/>
    <n v="0.68987611633310686"/>
    <n v="0.23875167066537839"/>
    <n v="0.27768646031128452"/>
    <n v="0.32376644670333099"/>
    <n v="-0.12178158713831649"/>
    <n v="0.49262121057079927"/>
    <n v="0.49207751245440162"/>
    <n v="0.1016567351285264"/>
    <n v="0.59188036267792765"/>
    <n v="0.1016567351285264"/>
    <n v="0.26112136026082933"/>
    <n v="0.1016567351285264"/>
    <n v="0.59188036267792765"/>
    <n v="0.26112136026082933"/>
    <n v="0.30428878001403969"/>
    <n v="0.34252952437606771"/>
    <n v="-0.37514769762888722"/>
    <n v="0.51129798986833841"/>
    <n v="0.52109178702705772"/>
    <n v="133.3130101458926"/>
    <n v="0.62056767275570635"/>
    <n v="133.3130101458926"/>
    <n v="9.1511200027464898"/>
    <n v="133.3130101458926"/>
    <n v="0.62056767275570635"/>
    <n v="9.1511200027464898"/>
    <n v="8.3188018059162108"/>
    <n v="545.86368970934211"/>
    <n v="-0.5536242855660547"/>
    <n v="19.27819960612409"/>
    <n v="19.877929496784649"/>
  </r>
  <r>
    <d v="2026-02-06T10:58:46"/>
    <s v="02-06_10-58-46_multihead_spsa_f7_w5_h5_effsu2_effsu2_realamplitudes_full_r3_5_2.pkl"/>
    <x v="0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su2', 'entangle': 'full', 'map': [0, 1, 2]}, {'features': ['sv', 'yr', 'rarad'], 'output_dim': 2, 'reps': 5, 'encoding': 'compact', 'ansatz': 'eff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s v="full"/>
    <x v="1"/>
    <s v="[0, 1, 2]"/>
    <s v="false"/>
    <n v="210"/>
    <n v="90"/>
    <n v="120"/>
    <s v="spsa"/>
    <n v="4000"/>
    <n v="4000"/>
    <n v="0.1022984348484198"/>
    <m/>
    <n v="128"/>
    <x v="0"/>
    <x v="0"/>
    <n v="25.99838145862989"/>
    <n v="0.77385176782163967"/>
    <n v="25.99838145862989"/>
    <n v="7.694404440716009"/>
    <n v="25.99838145862989"/>
    <n v="7.694404440716009"/>
    <n v="7.1660450605898536"/>
    <n v="0.77385176782163967"/>
    <n v="170.0519738532555"/>
    <n v="21.806079262615501"/>
    <n v="23.31634891402345"/>
    <n v="-1.131939046537173"/>
    <n v="0.5714285714285714"/>
    <n v="2.1791293765083632E-2"/>
    <n v="0.8417670320262145"/>
    <n v="2.1791293765083632E-2"/>
    <n v="0.11749936181449119"/>
    <n v="2.1791293765083632E-2"/>
    <n v="0.8417670320262145"/>
    <n v="0.11749936181449119"/>
    <n v="0.1016315508107663"/>
    <n v="0.52864701923618518"/>
    <n v="-2.838660878330618"/>
    <n v="0.60645443360690932"/>
    <n v="0.75530863040688034"/>
    <n v="5.7948675171007609E-2"/>
    <n v="0.79922021732702642"/>
    <n v="5.7948675171007609E-2"/>
    <n v="0.1905917270190621"/>
    <n v="5.7948675171007609E-2"/>
    <n v="0.79922021732702642"/>
    <n v="0.1905917270190621"/>
    <n v="0.19864177118877599"/>
    <n v="0.35606605593339741"/>
    <n v="-0.23369283450500841"/>
    <n v="0.5128949603970604"/>
    <n v="0.50327657817880289"/>
    <n v="6.2271521279278132E-2"/>
    <n v="0.74999953866449631"/>
    <n v="6.2271521279278132E-2"/>
    <n v="0.19946335721016409"/>
    <n v="6.2271521279278132E-2"/>
    <n v="0.74999953866449631"/>
    <n v="0.19946335721016409"/>
    <n v="0.23113415902838319"/>
    <n v="0.37935956709596991"/>
    <n v="-0.52300866973662674"/>
    <n v="0.52272124759347138"/>
    <n v="0.51373249306540314"/>
    <n v="103.85151434430411"/>
    <n v="0.70442028326882322"/>
    <n v="103.85151434430411"/>
    <n v="7.6662280718856577"/>
    <n v="103.85151434430411"/>
    <n v="0.70442028326882322"/>
    <n v="7.6662280718856577"/>
    <n v="7.1291440519565246"/>
    <n v="678.94382277075522"/>
    <n v="-0.93239380357643165"/>
    <n v="21.740184603193061"/>
    <n v="23.2526023818187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44CA01-057D-40A1-A333-ECFC3F3316D5}" name="TablaDinámica1" cacheId="8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H10" firstHeaderRow="0" firstDataRow="1" firstDataCol="1"/>
  <pivotFields count="95">
    <pivotField numFmtId="164" showAll="0"/>
    <pivotField dataField="1" showAll="0"/>
    <pivotField axis="axisRow" showAll="0">
      <items count="6">
        <item x="0"/>
        <item x="1"/>
        <item x="4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sd="0" x="0"/>
        <item sd="0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4">
    <field x="32"/>
    <field x="33"/>
    <field x="20"/>
    <field x="2"/>
  </rowFields>
  <rowItems count="9">
    <i>
      <x/>
    </i>
    <i r="1">
      <x v="1"/>
    </i>
    <i r="2">
      <x/>
    </i>
    <i r="2">
      <x v="1"/>
    </i>
    <i>
      <x v="1"/>
    </i>
    <i r="1">
      <x/>
    </i>
    <i r="2">
      <x/>
    </i>
    <i r="2">
      <x v="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Promedio de global open R2" fld="41" subtotal="average" baseField="0" baseItem="0"/>
    <dataField name="Promedio de global closed R2" fld="45" subtotal="average" baseField="0" baseItem="0"/>
    <dataField name="Promedio de Surge Velocity Global open R2" fld="52" subtotal="average" baseField="0" baseItem="0"/>
    <dataField name="Promedio de Sway Velocity Global open R2" fld="64" subtotal="average" baseField="0" baseItem="0"/>
    <dataField name="Promedio de Yaw Rate Global open R2" fld="76" subtotal="average" baseField="0" baseItem="0"/>
    <dataField name="Promedio de Yaw Angle Global open R2" fld="88" subtotal="average" baseField="0" baseItem="0"/>
    <dataField name="Cuenta de model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21"/>
  <sheetViews>
    <sheetView workbookViewId="0">
      <selection activeCell="G34" sqref="G34"/>
    </sheetView>
  </sheetViews>
  <sheetFormatPr baseColWidth="10" defaultColWidth="8.88671875" defaultRowHeight="14.4" x14ac:dyDescent="0.3"/>
  <cols>
    <col min="3" max="29" width="11.5546875" bestFit="1" customWidth="1"/>
    <col min="30" max="30" width="6.33203125" bestFit="1" customWidth="1"/>
    <col min="31" max="34" width="11.5546875" bestFit="1" customWidth="1"/>
  </cols>
  <sheetData>
    <row r="1" spans="1:9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</row>
    <row r="2" spans="1:95" x14ac:dyDescent="0.3">
      <c r="A2" s="2">
        <v>46058.699386574073</v>
      </c>
      <c r="B2" s="3" t="s">
        <v>95</v>
      </c>
      <c r="C2" s="3">
        <v>0</v>
      </c>
      <c r="D2" s="3" t="s">
        <v>96</v>
      </c>
      <c r="E2" s="3">
        <v>16590</v>
      </c>
      <c r="F2" s="3">
        <v>4.5</v>
      </c>
      <c r="G2" s="3" t="s">
        <v>97</v>
      </c>
      <c r="H2" s="3" t="s">
        <v>98</v>
      </c>
      <c r="I2" s="3">
        <v>5</v>
      </c>
      <c r="J2" s="3">
        <v>5</v>
      </c>
      <c r="K2" s="3" t="s">
        <v>99</v>
      </c>
      <c r="L2" s="3" t="s">
        <v>100</v>
      </c>
      <c r="M2" s="3" t="s">
        <v>101</v>
      </c>
      <c r="N2" s="3" t="s">
        <v>101</v>
      </c>
      <c r="O2" s="3" t="s">
        <v>102</v>
      </c>
      <c r="P2" s="3" t="s">
        <v>103</v>
      </c>
      <c r="Q2" s="3" t="s">
        <v>104</v>
      </c>
      <c r="R2" s="3" t="s">
        <v>105</v>
      </c>
      <c r="S2" s="3" t="s">
        <v>106</v>
      </c>
      <c r="T2" s="3" t="s">
        <v>107</v>
      </c>
      <c r="U2" s="3" t="s">
        <v>108</v>
      </c>
      <c r="V2" s="3" t="s">
        <v>109</v>
      </c>
      <c r="W2" s="3" t="s">
        <v>101</v>
      </c>
      <c r="X2" s="3">
        <v>200</v>
      </c>
      <c r="Y2" s="3">
        <v>80</v>
      </c>
      <c r="Z2" s="3">
        <v>120</v>
      </c>
      <c r="AA2" s="3" t="s">
        <v>110</v>
      </c>
      <c r="AB2" s="3">
        <v>4000</v>
      </c>
      <c r="AC2" s="3">
        <v>4000</v>
      </c>
      <c r="AD2" s="3">
        <v>0.1005270800365871</v>
      </c>
      <c r="AE2" s="3"/>
      <c r="AF2" s="3">
        <v>128</v>
      </c>
      <c r="AG2" s="3" t="s">
        <v>111</v>
      </c>
      <c r="AH2" s="3">
        <v>0.15</v>
      </c>
      <c r="AI2" s="3">
        <v>23.996430523296681</v>
      </c>
      <c r="AJ2" s="3">
        <v>0.76106982989235195</v>
      </c>
      <c r="AK2" s="3">
        <v>23.996430523296681</v>
      </c>
      <c r="AL2" s="3">
        <v>7.4566596548542377</v>
      </c>
      <c r="AM2" s="3">
        <v>23.996430523296681</v>
      </c>
      <c r="AN2" s="3">
        <v>7.4566596548542377</v>
      </c>
      <c r="AO2" s="3">
        <v>7.6567626609735582</v>
      </c>
      <c r="AP2" s="3">
        <v>0.76106982989235195</v>
      </c>
      <c r="AQ2" s="3">
        <v>123.69778138023131</v>
      </c>
      <c r="AR2" s="3">
        <v>18.865362182278432</v>
      </c>
      <c r="AS2" s="3">
        <v>18.812835215700549</v>
      </c>
      <c r="AT2" s="3">
        <v>-1.318806764611713E-3</v>
      </c>
      <c r="AU2" s="3">
        <v>0.5714285714285714</v>
      </c>
      <c r="AV2" s="3">
        <v>2.7807275351321319E-2</v>
      </c>
      <c r="AW2" s="3">
        <v>0.79808322729538617</v>
      </c>
      <c r="AX2" s="3">
        <v>2.7807275351321319E-2</v>
      </c>
      <c r="AY2" s="3">
        <v>0.133091126507312</v>
      </c>
      <c r="AZ2" s="3">
        <v>2.7807275351321319E-2</v>
      </c>
      <c r="BA2" s="3">
        <v>0.79808322729538617</v>
      </c>
      <c r="BB2" s="3">
        <v>0.133091126507312</v>
      </c>
      <c r="BC2" s="3">
        <v>0.12716358924806029</v>
      </c>
      <c r="BD2" s="3">
        <v>5.0740319851718431E-2</v>
      </c>
      <c r="BE2" s="3">
        <v>0.63155967274686586</v>
      </c>
      <c r="BF2" s="3">
        <v>0.17517045883084481</v>
      </c>
      <c r="BG2" s="3">
        <v>0.15750783568244309</v>
      </c>
      <c r="BH2" s="3">
        <v>5.7095828428264578E-2</v>
      </c>
      <c r="BI2" s="3">
        <v>0.80217514913790877</v>
      </c>
      <c r="BJ2" s="3">
        <v>5.7095828428264578E-2</v>
      </c>
      <c r="BK2" s="3">
        <v>0.18783963559987599</v>
      </c>
      <c r="BL2" s="3">
        <v>5.7095828428264578E-2</v>
      </c>
      <c r="BM2" s="3">
        <v>0.80217514913790877</v>
      </c>
      <c r="BN2" s="3">
        <v>0.18783963559987599</v>
      </c>
      <c r="BO2" s="3">
        <v>0.21506146973699061</v>
      </c>
      <c r="BP2" s="3">
        <v>0.31722457899118611</v>
      </c>
      <c r="BQ2" s="3">
        <v>-9.9115412740995001E-2</v>
      </c>
      <c r="BR2" s="3">
        <v>0.49409216707493242</v>
      </c>
      <c r="BS2" s="3">
        <v>0.4833023439113307</v>
      </c>
      <c r="BT2" s="3">
        <v>7.0548325828101069E-2</v>
      </c>
      <c r="BU2" s="3">
        <v>0.71677078637001701</v>
      </c>
      <c r="BV2" s="3">
        <v>7.0548325828101069E-2</v>
      </c>
      <c r="BW2" s="3">
        <v>0.20871941132913499</v>
      </c>
      <c r="BX2" s="3">
        <v>7.0548325828101069E-2</v>
      </c>
      <c r="BY2" s="3">
        <v>0.71677078637001701</v>
      </c>
      <c r="BZ2" s="3">
        <v>0.20871941132913499</v>
      </c>
      <c r="CA2" s="3">
        <v>0.25071194461870272</v>
      </c>
      <c r="CB2" s="3">
        <v>0.28179207384421201</v>
      </c>
      <c r="CC2" s="3">
        <v>-0.13130604511478519</v>
      </c>
      <c r="CD2" s="3">
        <v>0.46924151231374012</v>
      </c>
      <c r="CE2" s="3">
        <v>0.47638797693439078</v>
      </c>
      <c r="CF2" s="3">
        <v>95.830270663579341</v>
      </c>
      <c r="CG2" s="3">
        <v>0.72725015676609295</v>
      </c>
      <c r="CH2" s="3">
        <v>95.830270663579341</v>
      </c>
      <c r="CI2" s="3">
        <v>7.4257378076050609</v>
      </c>
      <c r="CJ2" s="3">
        <v>95.830270663579341</v>
      </c>
      <c r="CK2" s="3">
        <v>0.72725015676609295</v>
      </c>
      <c r="CL2" s="3">
        <v>7.4257378076050609</v>
      </c>
      <c r="CM2" s="3">
        <v>7.6195585108641009</v>
      </c>
      <c r="CN2" s="3">
        <v>494.14136854823909</v>
      </c>
      <c r="CO2" s="3">
        <v>-0.40641344194953821</v>
      </c>
      <c r="CP2" s="3">
        <v>18.82201514860553</v>
      </c>
      <c r="CQ2" s="4">
        <v>18.764449390143461</v>
      </c>
    </row>
    <row r="3" spans="1:95" x14ac:dyDescent="0.3">
      <c r="A3" s="5">
        <v>46058.831631944442</v>
      </c>
      <c r="B3" s="6" t="s">
        <v>112</v>
      </c>
      <c r="C3" s="6">
        <v>1</v>
      </c>
      <c r="D3" s="6" t="s">
        <v>96</v>
      </c>
      <c r="E3" s="6">
        <v>16590</v>
      </c>
      <c r="F3" s="6">
        <v>4.5</v>
      </c>
      <c r="G3" s="6" t="s">
        <v>97</v>
      </c>
      <c r="H3" s="6" t="s">
        <v>98</v>
      </c>
      <c r="I3" s="6">
        <v>5</v>
      </c>
      <c r="J3" s="6">
        <v>5</v>
      </c>
      <c r="K3" s="6" t="s">
        <v>99</v>
      </c>
      <c r="L3" s="6" t="s">
        <v>100</v>
      </c>
      <c r="M3" s="6" t="s">
        <v>101</v>
      </c>
      <c r="N3" s="6" t="s">
        <v>101</v>
      </c>
      <c r="O3" s="6" t="s">
        <v>102</v>
      </c>
      <c r="P3" s="6" t="s">
        <v>103</v>
      </c>
      <c r="Q3" s="6" t="s">
        <v>104</v>
      </c>
      <c r="R3" s="6" t="s">
        <v>105</v>
      </c>
      <c r="S3" s="6" t="s">
        <v>106</v>
      </c>
      <c r="T3" s="6" t="s">
        <v>107</v>
      </c>
      <c r="U3" s="6" t="s">
        <v>108</v>
      </c>
      <c r="V3" s="6" t="s">
        <v>109</v>
      </c>
      <c r="W3" s="6" t="s">
        <v>101</v>
      </c>
      <c r="X3" s="6">
        <v>200</v>
      </c>
      <c r="Y3" s="6">
        <v>80</v>
      </c>
      <c r="Z3" s="6">
        <v>120</v>
      </c>
      <c r="AA3" s="6" t="s">
        <v>110</v>
      </c>
      <c r="AB3" s="6">
        <v>4000</v>
      </c>
      <c r="AC3" s="6">
        <v>4000</v>
      </c>
      <c r="AD3" s="6">
        <v>0.1193700189692493</v>
      </c>
      <c r="AE3" s="6"/>
      <c r="AF3" s="6">
        <v>128</v>
      </c>
      <c r="AG3" s="6" t="s">
        <v>111</v>
      </c>
      <c r="AH3" s="6">
        <v>0.15</v>
      </c>
      <c r="AI3" s="6">
        <v>20.787792651419451</v>
      </c>
      <c r="AJ3" s="6">
        <v>0.75465785003142238</v>
      </c>
      <c r="AK3" s="6">
        <v>20.787792651419451</v>
      </c>
      <c r="AL3" s="6">
        <v>7.1649913821589264</v>
      </c>
      <c r="AM3" s="6">
        <v>20.787792651419451</v>
      </c>
      <c r="AN3" s="6">
        <v>7.1649913821589264</v>
      </c>
      <c r="AO3" s="6">
        <v>8.607585278808191</v>
      </c>
      <c r="AP3" s="6">
        <v>0.75465785003142238</v>
      </c>
      <c r="AQ3" s="6">
        <v>120.2008337211759</v>
      </c>
      <c r="AR3" s="6">
        <v>18.23187752062616</v>
      </c>
      <c r="AS3" s="6">
        <v>19.379622644112139</v>
      </c>
      <c r="AT3" s="6">
        <v>-0.1151548605921517</v>
      </c>
      <c r="AU3" s="6">
        <v>0.5714285714285714</v>
      </c>
      <c r="AV3" s="6">
        <v>2.440882255594486E-2</v>
      </c>
      <c r="AW3" s="6">
        <v>0.82276038864836931</v>
      </c>
      <c r="AX3" s="6">
        <v>2.440882255594486E-2</v>
      </c>
      <c r="AY3" s="6">
        <v>0.13063608250653519</v>
      </c>
      <c r="AZ3" s="6">
        <v>2.440882255594486E-2</v>
      </c>
      <c r="BA3" s="6">
        <v>0.82276038864836931</v>
      </c>
      <c r="BB3" s="6">
        <v>0.13063608250653519</v>
      </c>
      <c r="BC3" s="6">
        <v>0.13003597412495771</v>
      </c>
      <c r="BD3" s="6">
        <v>4.7187304198755012E-2</v>
      </c>
      <c r="BE3" s="6">
        <v>0.65735916028929642</v>
      </c>
      <c r="BF3" s="6">
        <v>0.172038756864377</v>
      </c>
      <c r="BG3" s="6">
        <v>0.13217728944683699</v>
      </c>
      <c r="BH3" s="6">
        <v>7.1726129478140249E-2</v>
      </c>
      <c r="BI3" s="6">
        <v>0.75148428076920681</v>
      </c>
      <c r="BJ3" s="6">
        <v>7.1726129478140249E-2</v>
      </c>
      <c r="BK3" s="6">
        <v>0.2115397924212287</v>
      </c>
      <c r="BL3" s="6">
        <v>7.1726129478140249E-2</v>
      </c>
      <c r="BM3" s="6">
        <v>0.75148428076920681</v>
      </c>
      <c r="BN3" s="6">
        <v>0.2115397924212287</v>
      </c>
      <c r="BO3" s="6">
        <v>0.20740855311343451</v>
      </c>
      <c r="BP3" s="6">
        <v>0.40110402085090979</v>
      </c>
      <c r="BQ3" s="6">
        <v>-0.38973976364507829</v>
      </c>
      <c r="BR3" s="6">
        <v>0.5414275384599232</v>
      </c>
      <c r="BS3" s="6">
        <v>0.57909850377966621</v>
      </c>
      <c r="BT3" s="6">
        <v>7.9570519786551552E-2</v>
      </c>
      <c r="BU3" s="6">
        <v>0.68054953136397311</v>
      </c>
      <c r="BV3" s="6">
        <v>7.9570519786551552E-2</v>
      </c>
      <c r="BW3" s="6">
        <v>0.22480441577309809</v>
      </c>
      <c r="BX3" s="6">
        <v>7.9570519786551552E-2</v>
      </c>
      <c r="BY3" s="6">
        <v>0.68054953136397311</v>
      </c>
      <c r="BZ3" s="6">
        <v>0.22480441577309809</v>
      </c>
      <c r="CA3" s="6">
        <v>0.27762715147830908</v>
      </c>
      <c r="CB3" s="6">
        <v>0.3392619219567079</v>
      </c>
      <c r="CC3" s="6">
        <v>-0.36202930746402728</v>
      </c>
      <c r="CD3" s="6">
        <v>0.50773329455344118</v>
      </c>
      <c r="CE3" s="6">
        <v>0.5024848046068392</v>
      </c>
      <c r="CF3" s="6">
        <v>82.975465133857085</v>
      </c>
      <c r="CG3" s="6">
        <v>0.76383719934413963</v>
      </c>
      <c r="CH3" s="6">
        <v>82.975465133857085</v>
      </c>
      <c r="CI3" s="6">
        <v>7.1330517970172567</v>
      </c>
      <c r="CJ3" s="6">
        <v>82.975465133857085</v>
      </c>
      <c r="CK3" s="6">
        <v>0.76383719934413963</v>
      </c>
      <c r="CL3" s="6">
        <v>7.1330517970172567</v>
      </c>
      <c r="CM3" s="6">
        <v>8.5723535752078828</v>
      </c>
      <c r="CN3" s="6">
        <v>480.0157816376971</v>
      </c>
      <c r="CO3" s="6">
        <v>-0.36620953154879771</v>
      </c>
      <c r="CP3" s="6">
        <v>18.17347229009307</v>
      </c>
      <c r="CQ3" s="7">
        <v>19.325008379137131</v>
      </c>
    </row>
    <row r="4" spans="1:95" x14ac:dyDescent="0.3">
      <c r="A4" s="2">
        <v>46059.198900462958</v>
      </c>
      <c r="B4" s="3" t="s">
        <v>113</v>
      </c>
      <c r="C4" s="3">
        <v>4</v>
      </c>
      <c r="D4" s="3" t="s">
        <v>96</v>
      </c>
      <c r="E4" s="3">
        <v>16590</v>
      </c>
      <c r="F4" s="3">
        <v>4.5</v>
      </c>
      <c r="G4" s="3" t="s">
        <v>97</v>
      </c>
      <c r="H4" s="3" t="s">
        <v>98</v>
      </c>
      <c r="I4" s="3">
        <v>5</v>
      </c>
      <c r="J4" s="3">
        <v>5</v>
      </c>
      <c r="K4" s="3" t="s">
        <v>99</v>
      </c>
      <c r="L4" s="3" t="s">
        <v>100</v>
      </c>
      <c r="M4" s="3" t="s">
        <v>101</v>
      </c>
      <c r="N4" s="3" t="s">
        <v>101</v>
      </c>
      <c r="O4" s="3" t="s">
        <v>102</v>
      </c>
      <c r="P4" s="3" t="s">
        <v>103</v>
      </c>
      <c r="Q4" s="3" t="s">
        <v>104</v>
      </c>
      <c r="R4" s="3" t="s">
        <v>105</v>
      </c>
      <c r="S4" s="3" t="s">
        <v>106</v>
      </c>
      <c r="T4" s="3" t="s">
        <v>107</v>
      </c>
      <c r="U4" s="3" t="s">
        <v>108</v>
      </c>
      <c r="V4" s="3" t="s">
        <v>109</v>
      </c>
      <c r="W4" s="3" t="s">
        <v>101</v>
      </c>
      <c r="X4" s="3">
        <v>200</v>
      </c>
      <c r="Y4" s="3">
        <v>80</v>
      </c>
      <c r="Z4" s="3">
        <v>120</v>
      </c>
      <c r="AA4" s="3" t="s">
        <v>110</v>
      </c>
      <c r="AB4" s="3">
        <v>4000</v>
      </c>
      <c r="AC4" s="3">
        <v>4000</v>
      </c>
      <c r="AD4" s="3">
        <v>0.1098984751851461</v>
      </c>
      <c r="AE4" s="3"/>
      <c r="AF4" s="3">
        <v>128</v>
      </c>
      <c r="AG4" s="3" t="s">
        <v>111</v>
      </c>
      <c r="AH4" s="3">
        <v>0.15</v>
      </c>
      <c r="AI4" s="3">
        <v>22.71993866149996</v>
      </c>
      <c r="AJ4" s="3">
        <v>0.75313283650651719</v>
      </c>
      <c r="AK4" s="3">
        <v>22.71993866149996</v>
      </c>
      <c r="AL4" s="3">
        <v>7.3424709833987123</v>
      </c>
      <c r="AM4" s="3">
        <v>22.71993866149996</v>
      </c>
      <c r="AN4" s="3">
        <v>7.3424709833987123</v>
      </c>
      <c r="AO4" s="3">
        <v>7.8485806093934487</v>
      </c>
      <c r="AP4" s="3">
        <v>0.75313283650651719</v>
      </c>
      <c r="AQ4" s="3">
        <v>113.33623757937031</v>
      </c>
      <c r="AR4" s="3">
        <v>17.618888352813538</v>
      </c>
      <c r="AS4" s="3">
        <v>18.742907187626539</v>
      </c>
      <c r="AT4" s="3">
        <v>3.8345955742663612E-2</v>
      </c>
      <c r="AU4" s="3">
        <v>0.5714285714285714</v>
      </c>
      <c r="AV4" s="3">
        <v>3.2166351073209587E-2</v>
      </c>
      <c r="AW4" s="3">
        <v>0.76643070145031467</v>
      </c>
      <c r="AX4" s="3">
        <v>3.2166351073209587E-2</v>
      </c>
      <c r="AY4" s="3">
        <v>0.14519623681806801</v>
      </c>
      <c r="AZ4" s="3">
        <v>3.2166351073209587E-2</v>
      </c>
      <c r="BA4" s="3">
        <v>0.76643070145031467</v>
      </c>
      <c r="BB4" s="3">
        <v>0.14519623681806801</v>
      </c>
      <c r="BC4" s="3">
        <v>0.1389410864990421</v>
      </c>
      <c r="BD4" s="3">
        <v>6.0894985897267141E-2</v>
      </c>
      <c r="BE4" s="3">
        <v>0.55782366769404113</v>
      </c>
      <c r="BF4" s="3">
        <v>0.2027561100531074</v>
      </c>
      <c r="BG4" s="3">
        <v>0.18173141208322621</v>
      </c>
      <c r="BH4" s="3">
        <v>5.2921168950530818E-2</v>
      </c>
      <c r="BI4" s="3">
        <v>0.8166394525960905</v>
      </c>
      <c r="BJ4" s="3">
        <v>5.2921168950530818E-2</v>
      </c>
      <c r="BK4" s="3">
        <v>0.17538627398709231</v>
      </c>
      <c r="BL4" s="3">
        <v>5.2921168950530818E-2</v>
      </c>
      <c r="BM4" s="3">
        <v>0.8166394525960905</v>
      </c>
      <c r="BN4" s="3">
        <v>0.17538627398709231</v>
      </c>
      <c r="BO4" s="3">
        <v>0.21509277853088821</v>
      </c>
      <c r="BP4" s="3">
        <v>0.34508236508752282</v>
      </c>
      <c r="BQ4" s="3">
        <v>-0.19563669164283001</v>
      </c>
      <c r="BR4" s="3">
        <v>0.49668804243500081</v>
      </c>
      <c r="BS4" s="3">
        <v>0.56450430345557245</v>
      </c>
      <c r="BT4" s="3">
        <v>7.7800055069918633E-2</v>
      </c>
      <c r="BU4" s="3">
        <v>0.68765738719989211</v>
      </c>
      <c r="BV4" s="3">
        <v>7.7800055069918633E-2</v>
      </c>
      <c r="BW4" s="3">
        <v>0.22107887961206679</v>
      </c>
      <c r="BX4" s="3">
        <v>7.7800055069918633E-2</v>
      </c>
      <c r="BY4" s="3">
        <v>0.68765738719989211</v>
      </c>
      <c r="BZ4" s="3">
        <v>0.22107887961206679</v>
      </c>
      <c r="CA4" s="3">
        <v>0.30627577941617878</v>
      </c>
      <c r="CB4" s="3">
        <v>0.2292363504501625</v>
      </c>
      <c r="CC4" s="3">
        <v>7.9688560836903788E-2</v>
      </c>
      <c r="CD4" s="3">
        <v>0.41467253977619839</v>
      </c>
      <c r="CE4" s="3">
        <v>0.37719335056065822</v>
      </c>
      <c r="CF4" s="3">
        <v>90.71686707090663</v>
      </c>
      <c r="CG4" s="3">
        <v>0.74180380477977048</v>
      </c>
      <c r="CH4" s="3">
        <v>90.71686707090663</v>
      </c>
      <c r="CI4" s="3">
        <v>7.3118898923092361</v>
      </c>
      <c r="CJ4" s="3">
        <v>90.71686707090663</v>
      </c>
      <c r="CK4" s="3">
        <v>0.74180380477977048</v>
      </c>
      <c r="CL4" s="3">
        <v>7.3118898923092361</v>
      </c>
      <c r="CM4" s="3">
        <v>7.8038587347997028</v>
      </c>
      <c r="CN4" s="3">
        <v>452.70973661604347</v>
      </c>
      <c r="CO4" s="3">
        <v>-0.28849171391745743</v>
      </c>
      <c r="CP4" s="3">
        <v>17.57288234160329</v>
      </c>
      <c r="CQ4" s="4">
        <v>18.691327375206111</v>
      </c>
    </row>
    <row r="5" spans="1:95" x14ac:dyDescent="0.3">
      <c r="A5" s="5">
        <v>46059.088229166657</v>
      </c>
      <c r="B5" s="6" t="s">
        <v>114</v>
      </c>
      <c r="C5" s="6">
        <v>3</v>
      </c>
      <c r="D5" s="6" t="s">
        <v>96</v>
      </c>
      <c r="E5" s="6">
        <v>16590</v>
      </c>
      <c r="F5" s="6">
        <v>4.5</v>
      </c>
      <c r="G5" s="6" t="s">
        <v>97</v>
      </c>
      <c r="H5" s="6" t="s">
        <v>98</v>
      </c>
      <c r="I5" s="6">
        <v>5</v>
      </c>
      <c r="J5" s="6">
        <v>5</v>
      </c>
      <c r="K5" s="6" t="s">
        <v>99</v>
      </c>
      <c r="L5" s="6" t="s">
        <v>100</v>
      </c>
      <c r="M5" s="6" t="s">
        <v>101</v>
      </c>
      <c r="N5" s="6" t="s">
        <v>101</v>
      </c>
      <c r="O5" s="6" t="s">
        <v>102</v>
      </c>
      <c r="P5" s="6" t="s">
        <v>103</v>
      </c>
      <c r="Q5" s="6" t="s">
        <v>104</v>
      </c>
      <c r="R5" s="6" t="s">
        <v>105</v>
      </c>
      <c r="S5" s="6" t="s">
        <v>106</v>
      </c>
      <c r="T5" s="6" t="s">
        <v>107</v>
      </c>
      <c r="U5" s="6" t="s">
        <v>108</v>
      </c>
      <c r="V5" s="6" t="s">
        <v>109</v>
      </c>
      <c r="W5" s="6" t="s">
        <v>101</v>
      </c>
      <c r="X5" s="6">
        <v>200</v>
      </c>
      <c r="Y5" s="6">
        <v>80</v>
      </c>
      <c r="Z5" s="6">
        <v>120</v>
      </c>
      <c r="AA5" s="6" t="s">
        <v>110</v>
      </c>
      <c r="AB5" s="6">
        <v>4000</v>
      </c>
      <c r="AC5" s="6">
        <v>4000</v>
      </c>
      <c r="AD5" s="6">
        <v>0.1054042275991947</v>
      </c>
      <c r="AE5" s="6"/>
      <c r="AF5" s="6">
        <v>128</v>
      </c>
      <c r="AG5" s="6" t="s">
        <v>111</v>
      </c>
      <c r="AH5" s="6">
        <v>0.15</v>
      </c>
      <c r="AI5" s="6">
        <v>23.49990717914665</v>
      </c>
      <c r="AJ5" s="6">
        <v>0.7431526309366121</v>
      </c>
      <c r="AK5" s="6">
        <v>23.49990717914665</v>
      </c>
      <c r="AL5" s="6">
        <v>7.3342493828488209</v>
      </c>
      <c r="AM5" s="6">
        <v>23.49990717914665</v>
      </c>
      <c r="AN5" s="6">
        <v>7.3342493828488209</v>
      </c>
      <c r="AO5" s="6">
        <v>7.8875681440001522</v>
      </c>
      <c r="AP5" s="6">
        <v>0.7431526309366121</v>
      </c>
      <c r="AQ5" s="6">
        <v>104.8112218979136</v>
      </c>
      <c r="AR5" s="6">
        <v>16.84593715077019</v>
      </c>
      <c r="AS5" s="6">
        <v>17.54033801211585</v>
      </c>
      <c r="AT5" s="6">
        <v>0.1974853795873461</v>
      </c>
      <c r="AU5" s="6">
        <v>0.5714285714285714</v>
      </c>
      <c r="AV5" s="6">
        <v>3.8431227397336842E-2</v>
      </c>
      <c r="AW5" s="6">
        <v>0.72093959911183236</v>
      </c>
      <c r="AX5" s="6">
        <v>3.8431227397336842E-2</v>
      </c>
      <c r="AY5" s="6">
        <v>0.1505414284468149</v>
      </c>
      <c r="AZ5" s="6">
        <v>3.8431227397336842E-2</v>
      </c>
      <c r="BA5" s="6">
        <v>0.72093959911183236</v>
      </c>
      <c r="BB5" s="6">
        <v>0.1505414284468149</v>
      </c>
      <c r="BC5" s="6">
        <v>0.1502025935164801</v>
      </c>
      <c r="BD5" s="6">
        <v>6.6549278602799924E-2</v>
      </c>
      <c r="BE5" s="6">
        <v>0.51676619188585593</v>
      </c>
      <c r="BF5" s="6">
        <v>0.21529424807206529</v>
      </c>
      <c r="BG5" s="6">
        <v>0.14319861235824721</v>
      </c>
      <c r="BH5" s="6">
        <v>4.2645082017198598E-2</v>
      </c>
      <c r="BI5" s="6">
        <v>0.85224389903277598</v>
      </c>
      <c r="BJ5" s="6">
        <v>4.2645082017198598E-2</v>
      </c>
      <c r="BK5" s="6">
        <v>0.1618366262841959</v>
      </c>
      <c r="BL5" s="6">
        <v>4.2645082017198598E-2</v>
      </c>
      <c r="BM5" s="6">
        <v>0.85224389903277598</v>
      </c>
      <c r="BN5" s="6">
        <v>0.1618366262841959</v>
      </c>
      <c r="BO5" s="6">
        <v>0.16152686444885031</v>
      </c>
      <c r="BP5" s="6">
        <v>0.22358056861163819</v>
      </c>
      <c r="BQ5" s="6">
        <v>0.22534108254809951</v>
      </c>
      <c r="BR5" s="6">
        <v>0.40308816234833378</v>
      </c>
      <c r="BS5" s="6">
        <v>0.37869891629978802</v>
      </c>
      <c r="BT5" s="6">
        <v>8.3070218199706905E-2</v>
      </c>
      <c r="BU5" s="6">
        <v>0.66649934919642884</v>
      </c>
      <c r="BV5" s="6">
        <v>8.3070218199706905E-2</v>
      </c>
      <c r="BW5" s="6">
        <v>0.240026898775794</v>
      </c>
      <c r="BX5" s="6">
        <v>8.3070218199706905E-2</v>
      </c>
      <c r="BY5" s="6">
        <v>0.66649934919642884</v>
      </c>
      <c r="BZ5" s="6">
        <v>0.240026898775794</v>
      </c>
      <c r="CA5" s="6">
        <v>0.3136937805717282</v>
      </c>
      <c r="CB5" s="6">
        <v>0.18937622927643399</v>
      </c>
      <c r="CC5" s="6">
        <v>0.23971433951716911</v>
      </c>
      <c r="CD5" s="6">
        <v>0.37865567240663678</v>
      </c>
      <c r="CE5" s="6">
        <v>0.39999775942246002</v>
      </c>
      <c r="CF5" s="6">
        <v>93.835482188972691</v>
      </c>
      <c r="CG5" s="6">
        <v>0.73292767640541245</v>
      </c>
      <c r="CH5" s="6">
        <v>93.835482188972691</v>
      </c>
      <c r="CI5" s="6">
        <v>7.3022530957676128</v>
      </c>
      <c r="CJ5" s="6">
        <v>93.835482188972691</v>
      </c>
      <c r="CK5" s="6">
        <v>0.73292767640541245</v>
      </c>
      <c r="CL5" s="6">
        <v>7.3022530957676128</v>
      </c>
      <c r="CM5" s="6">
        <v>7.8542661907619511</v>
      </c>
      <c r="CN5" s="6">
        <v>418.76538151516201</v>
      </c>
      <c r="CO5" s="6">
        <v>-0.19188009560174149</v>
      </c>
      <c r="CP5" s="6">
        <v>16.810983310719781</v>
      </c>
      <c r="CQ5" s="7">
        <v>17.507479015503218</v>
      </c>
    </row>
    <row r="6" spans="1:95" x14ac:dyDescent="0.3">
      <c r="A6" s="2">
        <v>46058.969050925924</v>
      </c>
      <c r="B6" s="3" t="s">
        <v>115</v>
      </c>
      <c r="C6" s="3">
        <v>2</v>
      </c>
      <c r="D6" s="3" t="s">
        <v>96</v>
      </c>
      <c r="E6" s="3">
        <v>16590</v>
      </c>
      <c r="F6" s="3">
        <v>4.5</v>
      </c>
      <c r="G6" s="3" t="s">
        <v>97</v>
      </c>
      <c r="H6" s="3" t="s">
        <v>98</v>
      </c>
      <c r="I6" s="3">
        <v>5</v>
      </c>
      <c r="J6" s="3">
        <v>5</v>
      </c>
      <c r="K6" s="3" t="s">
        <v>99</v>
      </c>
      <c r="L6" s="3" t="s">
        <v>100</v>
      </c>
      <c r="M6" s="3" t="s">
        <v>101</v>
      </c>
      <c r="N6" s="3" t="s">
        <v>101</v>
      </c>
      <c r="O6" s="3" t="s">
        <v>102</v>
      </c>
      <c r="P6" s="3" t="s">
        <v>103</v>
      </c>
      <c r="Q6" s="3" t="s">
        <v>104</v>
      </c>
      <c r="R6" s="3" t="s">
        <v>105</v>
      </c>
      <c r="S6" s="3" t="s">
        <v>106</v>
      </c>
      <c r="T6" s="3" t="s">
        <v>107</v>
      </c>
      <c r="U6" s="3" t="s">
        <v>108</v>
      </c>
      <c r="V6" s="3" t="s">
        <v>109</v>
      </c>
      <c r="W6" s="3" t="s">
        <v>101</v>
      </c>
      <c r="X6" s="3">
        <v>200</v>
      </c>
      <c r="Y6" s="3">
        <v>80</v>
      </c>
      <c r="Z6" s="3">
        <v>120</v>
      </c>
      <c r="AA6" s="3" t="s">
        <v>110</v>
      </c>
      <c r="AB6" s="3">
        <v>4000</v>
      </c>
      <c r="AC6" s="3">
        <v>4000</v>
      </c>
      <c r="AD6" s="3">
        <v>0.1863685587694871</v>
      </c>
      <c r="AE6" s="3"/>
      <c r="AF6" s="3">
        <v>128</v>
      </c>
      <c r="AG6" s="3" t="s">
        <v>111</v>
      </c>
      <c r="AH6" s="3">
        <v>0.15</v>
      </c>
      <c r="AI6" s="3">
        <v>24.156512009136879</v>
      </c>
      <c r="AJ6" s="3">
        <v>0.52586616514219497</v>
      </c>
      <c r="AK6" s="3">
        <v>24.156512009136879</v>
      </c>
      <c r="AL6" s="3">
        <v>7.5966463178856989</v>
      </c>
      <c r="AM6" s="3">
        <v>24.156512009136879</v>
      </c>
      <c r="AN6" s="3">
        <v>7.5966463178856989</v>
      </c>
      <c r="AO6" s="3">
        <v>8.5440478247755909</v>
      </c>
      <c r="AP6" s="3">
        <v>0.52586616514219497</v>
      </c>
      <c r="AQ6" s="3">
        <v>115.618310775711</v>
      </c>
      <c r="AR6" s="3">
        <v>17.897348000672441</v>
      </c>
      <c r="AS6" s="3">
        <v>18.841003224299062</v>
      </c>
      <c r="AT6" s="3">
        <v>1.075092988997575E-2</v>
      </c>
      <c r="AU6" s="3">
        <v>0.5714285714285714</v>
      </c>
      <c r="AV6" s="3">
        <v>2.3163221508344121E-2</v>
      </c>
      <c r="AW6" s="3">
        <v>0.83180506276445731</v>
      </c>
      <c r="AX6" s="3">
        <v>2.3163221508344121E-2</v>
      </c>
      <c r="AY6" s="3">
        <v>0.1232676951406509</v>
      </c>
      <c r="AZ6" s="3">
        <v>2.3163221508344121E-2</v>
      </c>
      <c r="BA6" s="3">
        <v>0.83180506276445731</v>
      </c>
      <c r="BB6" s="3">
        <v>0.1232676951406509</v>
      </c>
      <c r="BC6" s="3">
        <v>0.13399954228402111</v>
      </c>
      <c r="BD6" s="3">
        <v>4.091456216283431E-2</v>
      </c>
      <c r="BE6" s="3">
        <v>0.70290737786543844</v>
      </c>
      <c r="BF6" s="3">
        <v>0.15445796593006239</v>
      </c>
      <c r="BG6" s="3">
        <v>0.14682125564769391</v>
      </c>
      <c r="BH6" s="3">
        <v>0.2280279673749662</v>
      </c>
      <c r="BI6" s="3">
        <v>0.20993179571753909</v>
      </c>
      <c r="BJ6" s="3">
        <v>0.2280279673749662</v>
      </c>
      <c r="BK6" s="3">
        <v>0.42554239490524809</v>
      </c>
      <c r="BL6" s="3">
        <v>0.2280279673749662</v>
      </c>
      <c r="BM6" s="3">
        <v>0.20993179571753909</v>
      </c>
      <c r="BN6" s="3">
        <v>0.42554239490524809</v>
      </c>
      <c r="BO6" s="3">
        <v>0.4611251759224525</v>
      </c>
      <c r="BP6" s="3">
        <v>0.33451110617302432</v>
      </c>
      <c r="BQ6" s="3">
        <v>-0.15900953733482859</v>
      </c>
      <c r="BR6" s="3">
        <v>0.50312171654000337</v>
      </c>
      <c r="BS6" s="3">
        <v>0.46947614698107132</v>
      </c>
      <c r="BT6" s="3">
        <v>0.1655033043560232</v>
      </c>
      <c r="BU6" s="3">
        <v>0.33555658202099231</v>
      </c>
      <c r="BV6" s="3">
        <v>0.1655033043560232</v>
      </c>
      <c r="BW6" s="3">
        <v>0.35859584826319879</v>
      </c>
      <c r="BX6" s="3">
        <v>0.1655033043560232</v>
      </c>
      <c r="BY6" s="3">
        <v>0.33555658202099231</v>
      </c>
      <c r="BZ6" s="3">
        <v>0.35859584826319879</v>
      </c>
      <c r="CA6" s="3">
        <v>0.34952773197716369</v>
      </c>
      <c r="CB6" s="3">
        <v>0.29554593566387821</v>
      </c>
      <c r="CC6" s="3">
        <v>-0.18652344994805239</v>
      </c>
      <c r="CD6" s="3">
        <v>0.47059465643365123</v>
      </c>
      <c r="CE6" s="3">
        <v>0.47363127071469913</v>
      </c>
      <c r="CF6" s="3">
        <v>96.209353543308396</v>
      </c>
      <c r="CG6" s="3">
        <v>0.72617122006579149</v>
      </c>
      <c r="CH6" s="3">
        <v>96.209353543308396</v>
      </c>
      <c r="CI6" s="3">
        <v>7.5239599113497819</v>
      </c>
      <c r="CJ6" s="3">
        <v>96.209353543308396</v>
      </c>
      <c r="CK6" s="3">
        <v>0.72617122006579149</v>
      </c>
      <c r="CL6" s="3">
        <v>7.5239599113497819</v>
      </c>
      <c r="CM6" s="3">
        <v>8.4714569070636259</v>
      </c>
      <c r="CN6" s="3">
        <v>461.80227149884331</v>
      </c>
      <c r="CO6" s="3">
        <v>-0.31437067102265748</v>
      </c>
      <c r="CP6" s="3">
        <v>17.84691393929257</v>
      </c>
      <c r="CQ6" s="4">
        <v>18.79678296659463</v>
      </c>
    </row>
    <row r="7" spans="1:95" x14ac:dyDescent="0.3">
      <c r="A7" s="5">
        <v>46059.618125000001</v>
      </c>
      <c r="B7" s="6" t="s">
        <v>116</v>
      </c>
      <c r="C7" s="6">
        <v>1</v>
      </c>
      <c r="D7" s="6" t="s">
        <v>96</v>
      </c>
      <c r="E7" s="6">
        <v>16590</v>
      </c>
      <c r="F7" s="6">
        <v>4.5</v>
      </c>
      <c r="G7" s="6" t="s">
        <v>97</v>
      </c>
      <c r="H7" s="6" t="s">
        <v>98</v>
      </c>
      <c r="I7" s="6">
        <v>5</v>
      </c>
      <c r="J7" s="6">
        <v>5</v>
      </c>
      <c r="K7" s="6" t="s">
        <v>99</v>
      </c>
      <c r="L7" s="6" t="s">
        <v>100</v>
      </c>
      <c r="M7" s="6" t="s">
        <v>101</v>
      </c>
      <c r="N7" s="6" t="s">
        <v>101</v>
      </c>
      <c r="O7" s="6" t="s">
        <v>102</v>
      </c>
      <c r="P7" s="6" t="s">
        <v>120</v>
      </c>
      <c r="Q7" s="6" t="s">
        <v>104</v>
      </c>
      <c r="R7" s="6" t="s">
        <v>105</v>
      </c>
      <c r="S7" s="6" t="s">
        <v>106</v>
      </c>
      <c r="T7" s="6" t="s">
        <v>107</v>
      </c>
      <c r="U7" s="6" t="s">
        <v>118</v>
      </c>
      <c r="V7" s="6" t="s">
        <v>109</v>
      </c>
      <c r="W7" s="6" t="s">
        <v>101</v>
      </c>
      <c r="X7" s="6">
        <v>210</v>
      </c>
      <c r="Y7" s="6">
        <v>90</v>
      </c>
      <c r="Z7" s="6">
        <v>120</v>
      </c>
      <c r="AA7" s="6" t="s">
        <v>110</v>
      </c>
      <c r="AB7" s="6">
        <v>4000</v>
      </c>
      <c r="AC7" s="6">
        <v>4000</v>
      </c>
      <c r="AD7" s="6">
        <v>9.0376580867257805E-2</v>
      </c>
      <c r="AE7" s="6"/>
      <c r="AF7" s="6">
        <v>128</v>
      </c>
      <c r="AG7" s="6" t="s">
        <v>111</v>
      </c>
      <c r="AH7" s="6">
        <v>0.15</v>
      </c>
      <c r="AI7" s="6">
        <v>19.38458504464603</v>
      </c>
      <c r="AJ7" s="6">
        <v>0.78511120389983824</v>
      </c>
      <c r="AK7" s="6">
        <v>19.38458504464603</v>
      </c>
      <c r="AL7" s="6">
        <v>6.80211191424043</v>
      </c>
      <c r="AM7" s="6">
        <v>19.38458504464603</v>
      </c>
      <c r="AN7" s="6">
        <v>6.80211191424043</v>
      </c>
      <c r="AO7" s="6">
        <v>8.0053473811574687</v>
      </c>
      <c r="AP7" s="6">
        <v>0.78511120389983824</v>
      </c>
      <c r="AQ7" s="6">
        <v>87.495074864982996</v>
      </c>
      <c r="AR7" s="6">
        <v>14.69352366891145</v>
      </c>
      <c r="AS7" s="6">
        <v>14.84275502167365</v>
      </c>
      <c r="AT7" s="6">
        <v>0.25618586824317868</v>
      </c>
      <c r="AU7" s="6">
        <v>0.5714285714285714</v>
      </c>
      <c r="AV7" s="6">
        <v>2.3234070941860949E-2</v>
      </c>
      <c r="AW7" s="6">
        <v>0.83129060427174528</v>
      </c>
      <c r="AX7" s="6">
        <v>2.3234070941860949E-2</v>
      </c>
      <c r="AY7" s="6">
        <v>0.12702629921526329</v>
      </c>
      <c r="AZ7" s="6">
        <v>2.3234070941860949E-2</v>
      </c>
      <c r="BA7" s="6">
        <v>0.83129060427174528</v>
      </c>
      <c r="BB7" s="6">
        <v>0.12702629921526329</v>
      </c>
      <c r="BC7" s="6">
        <v>0.13326185672027141</v>
      </c>
      <c r="BD7" s="6">
        <v>0.1231587617794634</v>
      </c>
      <c r="BE7" s="6">
        <v>0.1057081503088019</v>
      </c>
      <c r="BF7" s="6">
        <v>0.27520394228737621</v>
      </c>
      <c r="BG7" s="6">
        <v>0.27619705748519191</v>
      </c>
      <c r="BH7" s="6">
        <v>4.5190850444097007E-2</v>
      </c>
      <c r="BI7" s="6">
        <v>0.84342335516391276</v>
      </c>
      <c r="BJ7" s="6">
        <v>4.5190850444097007E-2</v>
      </c>
      <c r="BK7" s="6">
        <v>0.168212837680042</v>
      </c>
      <c r="BL7" s="6">
        <v>4.5190850444097007E-2</v>
      </c>
      <c r="BM7" s="6">
        <v>0.84342335516391276</v>
      </c>
      <c r="BN7" s="6">
        <v>0.168212837680042</v>
      </c>
      <c r="BO7" s="6">
        <v>0.1856969801156127</v>
      </c>
      <c r="BP7" s="6">
        <v>0.15996108620278879</v>
      </c>
      <c r="BQ7" s="6">
        <v>0.44576900111778212</v>
      </c>
      <c r="BR7" s="6">
        <v>0.32204585308130301</v>
      </c>
      <c r="BS7" s="6">
        <v>0.28694191916870088</v>
      </c>
      <c r="BT7" s="6">
        <v>7.8212566421123147E-2</v>
      </c>
      <c r="BU7" s="6">
        <v>0.68600128460293208</v>
      </c>
      <c r="BV7" s="6">
        <v>7.8212566421123147E-2</v>
      </c>
      <c r="BW7" s="6">
        <v>0.22347929028757771</v>
      </c>
      <c r="BX7" s="6">
        <v>7.8212566421123147E-2</v>
      </c>
      <c r="BY7" s="6">
        <v>0.68600128460293208</v>
      </c>
      <c r="BZ7" s="6">
        <v>0.22347929028757771</v>
      </c>
      <c r="CA7" s="6">
        <v>0.25729525339202952</v>
      </c>
      <c r="CB7" s="6">
        <v>0.1324664465837487</v>
      </c>
      <c r="CC7" s="6">
        <v>0.46818911635563087</v>
      </c>
      <c r="CD7" s="6">
        <v>0.28795612039963497</v>
      </c>
      <c r="CE7" s="6">
        <v>0.29725886987067068</v>
      </c>
      <c r="CF7" s="6">
        <v>77.391702690777322</v>
      </c>
      <c r="CG7" s="6">
        <v>0.77972957156076317</v>
      </c>
      <c r="CH7" s="6">
        <v>77.391702690777322</v>
      </c>
      <c r="CI7" s="6">
        <v>6.7721209388298327</v>
      </c>
      <c r="CJ7" s="6">
        <v>77.391702690777322</v>
      </c>
      <c r="CK7" s="6">
        <v>0.77972957156076317</v>
      </c>
      <c r="CL7" s="6">
        <v>6.7721209388298327</v>
      </c>
      <c r="CM7" s="6">
        <v>7.9790038903724678</v>
      </c>
      <c r="CN7" s="6">
        <v>349.5647131653659</v>
      </c>
      <c r="CO7" s="6">
        <v>5.0772051904999227E-3</v>
      </c>
      <c r="CP7" s="6">
        <v>14.656555397039099</v>
      </c>
      <c r="CQ7" s="7">
        <v>14.804498740459371</v>
      </c>
    </row>
    <row r="8" spans="1:95" x14ac:dyDescent="0.3">
      <c r="A8" s="2">
        <v>46059.858171296299</v>
      </c>
      <c r="B8" s="3" t="s">
        <v>119</v>
      </c>
      <c r="C8" s="3">
        <v>2</v>
      </c>
      <c r="D8" s="3" t="s">
        <v>96</v>
      </c>
      <c r="E8" s="3">
        <v>16590</v>
      </c>
      <c r="F8" s="3">
        <v>4.5</v>
      </c>
      <c r="G8" s="3" t="s">
        <v>97</v>
      </c>
      <c r="H8" s="3" t="s">
        <v>98</v>
      </c>
      <c r="I8" s="3">
        <v>5</v>
      </c>
      <c r="J8" s="3">
        <v>5</v>
      </c>
      <c r="K8" s="3" t="s">
        <v>99</v>
      </c>
      <c r="L8" s="3" t="s">
        <v>100</v>
      </c>
      <c r="M8" s="3" t="s">
        <v>101</v>
      </c>
      <c r="N8" s="3" t="s">
        <v>101</v>
      </c>
      <c r="O8" s="3" t="s">
        <v>102</v>
      </c>
      <c r="P8" s="3" t="s">
        <v>120</v>
      </c>
      <c r="Q8" s="3" t="s">
        <v>104</v>
      </c>
      <c r="R8" s="3" t="s">
        <v>105</v>
      </c>
      <c r="S8" s="3" t="s">
        <v>106</v>
      </c>
      <c r="T8" s="3" t="s">
        <v>107</v>
      </c>
      <c r="U8" s="3" t="s">
        <v>118</v>
      </c>
      <c r="V8" s="3" t="s">
        <v>109</v>
      </c>
      <c r="W8" s="3" t="s">
        <v>101</v>
      </c>
      <c r="X8" s="3">
        <v>210</v>
      </c>
      <c r="Y8" s="3">
        <v>90</v>
      </c>
      <c r="Z8" s="3">
        <v>120</v>
      </c>
      <c r="AA8" s="3" t="s">
        <v>110</v>
      </c>
      <c r="AB8" s="3">
        <v>4000</v>
      </c>
      <c r="AC8" s="3">
        <v>4000</v>
      </c>
      <c r="AD8" s="3">
        <v>9.9458144795925935E-2</v>
      </c>
      <c r="AE8" s="3"/>
      <c r="AF8" s="3">
        <v>128</v>
      </c>
      <c r="AG8" s="3" t="s">
        <v>111</v>
      </c>
      <c r="AH8" s="3">
        <v>0.15</v>
      </c>
      <c r="AI8" s="3">
        <v>22.745918225871961</v>
      </c>
      <c r="AJ8" s="3">
        <v>0.75433683174301391</v>
      </c>
      <c r="AK8" s="3">
        <v>22.745918225871961</v>
      </c>
      <c r="AL8" s="3">
        <v>7.4876899190053621</v>
      </c>
      <c r="AM8" s="3">
        <v>22.745918225871961</v>
      </c>
      <c r="AN8" s="3">
        <v>7.4876899190053621</v>
      </c>
      <c r="AO8" s="3">
        <v>8.2755451448728063</v>
      </c>
      <c r="AP8" s="3">
        <v>0.75433683174301391</v>
      </c>
      <c r="AQ8" s="3">
        <v>123.7825635866524</v>
      </c>
      <c r="AR8" s="3">
        <v>18.078652028919151</v>
      </c>
      <c r="AS8" s="3">
        <v>19.71112560883617</v>
      </c>
      <c r="AT8" s="3">
        <v>-0.34708475593579152</v>
      </c>
      <c r="AU8" s="3">
        <v>0.5714285714285714</v>
      </c>
      <c r="AV8" s="3">
        <v>2.990015792506107E-2</v>
      </c>
      <c r="AW8" s="3">
        <v>0.78288619379964752</v>
      </c>
      <c r="AX8" s="3">
        <v>2.990015792506107E-2</v>
      </c>
      <c r="AY8" s="3">
        <v>0.13726689199768891</v>
      </c>
      <c r="AZ8" s="3">
        <v>2.990015792506107E-2</v>
      </c>
      <c r="BA8" s="3">
        <v>0.78288619379964752</v>
      </c>
      <c r="BB8" s="3">
        <v>0.13726689199768891</v>
      </c>
      <c r="BC8" s="3">
        <v>0.1388921880677656</v>
      </c>
      <c r="BD8" s="3">
        <v>0.2273129520606145</v>
      </c>
      <c r="BE8" s="3">
        <v>-0.65058593818171184</v>
      </c>
      <c r="BF8" s="3">
        <v>0.38949096185967941</v>
      </c>
      <c r="BG8" s="3">
        <v>0.33827235490667762</v>
      </c>
      <c r="BH8" s="3">
        <v>4.9525207828402959E-2</v>
      </c>
      <c r="BI8" s="3">
        <v>0.82840573256805838</v>
      </c>
      <c r="BJ8" s="3">
        <v>4.9525207828402959E-2</v>
      </c>
      <c r="BK8" s="3">
        <v>0.17647055208777029</v>
      </c>
      <c r="BL8" s="3">
        <v>4.9525207828402959E-2</v>
      </c>
      <c r="BM8" s="3">
        <v>0.82840573256805838</v>
      </c>
      <c r="BN8" s="3">
        <v>0.17647055208777029</v>
      </c>
      <c r="BO8" s="3">
        <v>0.18715067115944961</v>
      </c>
      <c r="BP8" s="3">
        <v>0.32482097026336137</v>
      </c>
      <c r="BQ8" s="3">
        <v>-0.12543528604655971</v>
      </c>
      <c r="BR8" s="3">
        <v>0.50146070365232109</v>
      </c>
      <c r="BS8" s="3">
        <v>0.50855420553775543</v>
      </c>
      <c r="BT8" s="3">
        <v>8.3556496122447768E-2</v>
      </c>
      <c r="BU8" s="3">
        <v>0.66454709714725757</v>
      </c>
      <c r="BV8" s="3">
        <v>8.3556496122447768E-2</v>
      </c>
      <c r="BW8" s="3">
        <v>0.23844536330270399</v>
      </c>
      <c r="BX8" s="3">
        <v>8.3556496122447768E-2</v>
      </c>
      <c r="BY8" s="3">
        <v>0.66454709714725757</v>
      </c>
      <c r="BZ8" s="3">
        <v>0.23844536330270399</v>
      </c>
      <c r="CA8" s="3">
        <v>0.30604890756594483</v>
      </c>
      <c r="CB8" s="3">
        <v>0.30027668822203563</v>
      </c>
      <c r="CC8" s="3">
        <v>-0.20551592512300881</v>
      </c>
      <c r="CD8" s="3">
        <v>0.48651504349031549</v>
      </c>
      <c r="CE8" s="3">
        <v>0.45773869298570441</v>
      </c>
      <c r="CF8" s="3">
        <v>90.820691041611752</v>
      </c>
      <c r="CG8" s="3">
        <v>0.74150830345709184</v>
      </c>
      <c r="CH8" s="3">
        <v>90.820691041611752</v>
      </c>
      <c r="CI8" s="3">
        <v>7.4593445223460941</v>
      </c>
      <c r="CJ8" s="3">
        <v>90.820691041611752</v>
      </c>
      <c r="CK8" s="3">
        <v>0.74150830345709184</v>
      </c>
      <c r="CL8" s="3">
        <v>7.4593445223460941</v>
      </c>
      <c r="CM8" s="3">
        <v>8.2471783279102144</v>
      </c>
      <c r="CN8" s="3">
        <v>494.27784373606352</v>
      </c>
      <c r="CO8" s="3">
        <v>-0.40680187439188309</v>
      </c>
      <c r="CP8" s="3">
        <v>18.018261670674871</v>
      </c>
      <c r="CQ8" s="4">
        <v>19.655377320094679</v>
      </c>
    </row>
    <row r="9" spans="1:95" x14ac:dyDescent="0.3">
      <c r="A9" s="5">
        <v>46060.008472222216</v>
      </c>
      <c r="B9" s="6" t="s">
        <v>121</v>
      </c>
      <c r="C9" s="6">
        <v>3</v>
      </c>
      <c r="D9" s="6" t="s">
        <v>96</v>
      </c>
      <c r="E9" s="6">
        <v>16590</v>
      </c>
      <c r="F9" s="6">
        <v>4.5</v>
      </c>
      <c r="G9" s="6" t="s">
        <v>97</v>
      </c>
      <c r="H9" s="6" t="s">
        <v>98</v>
      </c>
      <c r="I9" s="6">
        <v>5</v>
      </c>
      <c r="J9" s="6">
        <v>5</v>
      </c>
      <c r="K9" s="6" t="s">
        <v>99</v>
      </c>
      <c r="L9" s="6" t="s">
        <v>100</v>
      </c>
      <c r="M9" s="6" t="s">
        <v>101</v>
      </c>
      <c r="N9" s="6" t="s">
        <v>101</v>
      </c>
      <c r="O9" s="6" t="s">
        <v>102</v>
      </c>
      <c r="P9" s="6" t="s">
        <v>120</v>
      </c>
      <c r="Q9" s="6" t="s">
        <v>104</v>
      </c>
      <c r="R9" s="6" t="s">
        <v>105</v>
      </c>
      <c r="S9" s="6" t="s">
        <v>106</v>
      </c>
      <c r="T9" s="6" t="s">
        <v>107</v>
      </c>
      <c r="U9" s="6" t="s">
        <v>118</v>
      </c>
      <c r="V9" s="6" t="s">
        <v>109</v>
      </c>
      <c r="W9" s="6" t="s">
        <v>101</v>
      </c>
      <c r="X9" s="6">
        <v>210</v>
      </c>
      <c r="Y9" s="6">
        <v>90</v>
      </c>
      <c r="Z9" s="6">
        <v>120</v>
      </c>
      <c r="AA9" s="6" t="s">
        <v>110</v>
      </c>
      <c r="AB9" s="6">
        <v>4000</v>
      </c>
      <c r="AC9" s="6">
        <v>4000</v>
      </c>
      <c r="AD9" s="6">
        <v>9.770328586674408E-2</v>
      </c>
      <c r="AE9" s="6"/>
      <c r="AF9" s="6">
        <v>128</v>
      </c>
      <c r="AG9" s="6" t="s">
        <v>111</v>
      </c>
      <c r="AH9" s="6">
        <v>0.15</v>
      </c>
      <c r="AI9" s="6">
        <v>24.169062231657591</v>
      </c>
      <c r="AJ9" s="6">
        <v>0.78126569276423408</v>
      </c>
      <c r="AK9" s="6">
        <v>24.169062231657591</v>
      </c>
      <c r="AL9" s="6">
        <v>7.4955072285137607</v>
      </c>
      <c r="AM9" s="6">
        <v>24.169062231657591</v>
      </c>
      <c r="AN9" s="6">
        <v>7.4955072285137607</v>
      </c>
      <c r="AO9" s="6">
        <v>7.5745990678265196</v>
      </c>
      <c r="AP9" s="6">
        <v>0.78126569276423408</v>
      </c>
      <c r="AQ9" s="6">
        <v>126.88972531267579</v>
      </c>
      <c r="AR9" s="6">
        <v>18.32201838223931</v>
      </c>
      <c r="AS9" s="6">
        <v>19.339548238685321</v>
      </c>
      <c r="AT9" s="6">
        <v>-8.5596688202165427E-2</v>
      </c>
      <c r="AU9" s="6">
        <v>0.5714285714285714</v>
      </c>
      <c r="AV9" s="6">
        <v>1.8902673735374732E-2</v>
      </c>
      <c r="AW9" s="6">
        <v>0.86274214830782503</v>
      </c>
      <c r="AX9" s="6">
        <v>1.8902673735374732E-2</v>
      </c>
      <c r="AY9" s="6">
        <v>0.11197758429497751</v>
      </c>
      <c r="AZ9" s="6">
        <v>1.8902673735374732E-2</v>
      </c>
      <c r="BA9" s="6">
        <v>0.86274214830782503</v>
      </c>
      <c r="BB9" s="6">
        <v>0.11197758429497751</v>
      </c>
      <c r="BC9" s="6">
        <v>0.1398257679311237</v>
      </c>
      <c r="BD9" s="6">
        <v>6.3234809778444298E-2</v>
      </c>
      <c r="BE9" s="6">
        <v>0.54083352102143567</v>
      </c>
      <c r="BF9" s="6">
        <v>0.20249737249369679</v>
      </c>
      <c r="BG9" s="6">
        <v>0.21116035834276681</v>
      </c>
      <c r="BH9" s="6">
        <v>5.8903407657228027E-2</v>
      </c>
      <c r="BI9" s="6">
        <v>0.79591227317595692</v>
      </c>
      <c r="BJ9" s="6">
        <v>5.8903407657228027E-2</v>
      </c>
      <c r="BK9" s="6">
        <v>0.1943552372788333</v>
      </c>
      <c r="BL9" s="6">
        <v>5.8903407657228027E-2</v>
      </c>
      <c r="BM9" s="6">
        <v>0.79591227317595692</v>
      </c>
      <c r="BN9" s="6">
        <v>0.1943552372788333</v>
      </c>
      <c r="BO9" s="6">
        <v>0.20100563788778891</v>
      </c>
      <c r="BP9" s="6">
        <v>0.38216139293601459</v>
      </c>
      <c r="BQ9" s="6">
        <v>-0.32410760372452702</v>
      </c>
      <c r="BR9" s="6">
        <v>0.52386836431769723</v>
      </c>
      <c r="BS9" s="6">
        <v>0.50542414796411761</v>
      </c>
      <c r="BT9" s="6">
        <v>6.4473063114922097E-2</v>
      </c>
      <c r="BU9" s="6">
        <v>0.74116104454626197</v>
      </c>
      <c r="BV9" s="6">
        <v>6.4473063114922097E-2</v>
      </c>
      <c r="BW9" s="6">
        <v>0.2078280039411245</v>
      </c>
      <c r="BX9" s="6">
        <v>6.4473063114922097E-2</v>
      </c>
      <c r="BY9" s="6">
        <v>0.74116104454626197</v>
      </c>
      <c r="BZ9" s="6">
        <v>0.2078280039411245</v>
      </c>
      <c r="CA9" s="6">
        <v>0.25941851645642122</v>
      </c>
      <c r="CB9" s="6">
        <v>0.27812149292858251</v>
      </c>
      <c r="CC9" s="6">
        <v>-0.11656982375026791</v>
      </c>
      <c r="CD9" s="6">
        <v>0.44918344120769499</v>
      </c>
      <c r="CE9" s="6">
        <v>0.4300358339762394</v>
      </c>
      <c r="CF9" s="6">
        <v>96.533969782122583</v>
      </c>
      <c r="CG9" s="6">
        <v>0.7252473050268935</v>
      </c>
      <c r="CH9" s="6">
        <v>96.533969782122583</v>
      </c>
      <c r="CI9" s="6">
        <v>7.4684315026792216</v>
      </c>
      <c r="CJ9" s="6">
        <v>96.533969782122583</v>
      </c>
      <c r="CK9" s="6">
        <v>0.7252473050268935</v>
      </c>
      <c r="CL9" s="6">
        <v>7.4684315026792216</v>
      </c>
      <c r="CM9" s="6">
        <v>7.5413233318944064</v>
      </c>
      <c r="CN9" s="6">
        <v>506.8353835550605</v>
      </c>
      <c r="CO9" s="6">
        <v>-0.44254284635531382</v>
      </c>
      <c r="CP9" s="6">
        <v>18.27112242289903</v>
      </c>
      <c r="CQ9" s="7">
        <v>19.292298986076069</v>
      </c>
    </row>
    <row r="10" spans="1:95" x14ac:dyDescent="0.3">
      <c r="A10" s="8">
        <v>46060.164525462962</v>
      </c>
      <c r="B10" s="9" t="s">
        <v>122</v>
      </c>
      <c r="C10" s="9">
        <v>4</v>
      </c>
      <c r="D10" s="9" t="s">
        <v>96</v>
      </c>
      <c r="E10" s="9">
        <v>16590</v>
      </c>
      <c r="F10" s="9">
        <v>4.5</v>
      </c>
      <c r="G10" s="9" t="s">
        <v>97</v>
      </c>
      <c r="H10" s="9" t="s">
        <v>98</v>
      </c>
      <c r="I10" s="9">
        <v>5</v>
      </c>
      <c r="J10" s="9">
        <v>5</v>
      </c>
      <c r="K10" s="9" t="s">
        <v>99</v>
      </c>
      <c r="L10" s="9" t="s">
        <v>100</v>
      </c>
      <c r="M10" s="9" t="s">
        <v>101</v>
      </c>
      <c r="N10" s="9" t="s">
        <v>101</v>
      </c>
      <c r="O10" s="9" t="s">
        <v>102</v>
      </c>
      <c r="P10" s="9" t="s">
        <v>120</v>
      </c>
      <c r="Q10" s="9" t="s">
        <v>104</v>
      </c>
      <c r="R10" s="9" t="s">
        <v>105</v>
      </c>
      <c r="S10" s="9" t="s">
        <v>106</v>
      </c>
      <c r="T10" s="9" t="s">
        <v>107</v>
      </c>
      <c r="U10" s="9" t="s">
        <v>118</v>
      </c>
      <c r="V10" s="9" t="s">
        <v>109</v>
      </c>
      <c r="W10" s="9" t="s">
        <v>101</v>
      </c>
      <c r="X10" s="9">
        <v>210</v>
      </c>
      <c r="Y10" s="9">
        <v>90</v>
      </c>
      <c r="Z10" s="9">
        <v>120</v>
      </c>
      <c r="AA10" s="9" t="s">
        <v>110</v>
      </c>
      <c r="AB10" s="9">
        <v>4000</v>
      </c>
      <c r="AC10" s="9">
        <v>4000</v>
      </c>
      <c r="AD10" s="9">
        <v>0.1124703341496842</v>
      </c>
      <c r="AE10" s="9"/>
      <c r="AF10" s="9">
        <v>128</v>
      </c>
      <c r="AG10" s="9" t="s">
        <v>111</v>
      </c>
      <c r="AH10" s="9">
        <v>0.15</v>
      </c>
      <c r="AI10" s="9">
        <v>21.356283414583089</v>
      </c>
      <c r="AJ10" s="9">
        <v>0.75044355188041667</v>
      </c>
      <c r="AK10" s="9">
        <v>21.356283414583089</v>
      </c>
      <c r="AL10" s="9">
        <v>7.2243362737262684</v>
      </c>
      <c r="AM10" s="9">
        <v>21.356283414583089</v>
      </c>
      <c r="AN10" s="9">
        <v>7.2243362737262684</v>
      </c>
      <c r="AO10" s="9">
        <v>7.9053364304289344</v>
      </c>
      <c r="AP10" s="9">
        <v>0.75044355188041667</v>
      </c>
      <c r="AQ10" s="9">
        <v>104.7774749719442</v>
      </c>
      <c r="AR10" s="9">
        <v>16.697717027402359</v>
      </c>
      <c r="AS10" s="9">
        <v>17.15465820850272</v>
      </c>
      <c r="AT10" s="9">
        <v>-0.16126147744066779</v>
      </c>
      <c r="AU10" s="9">
        <v>0.5714285714285714</v>
      </c>
      <c r="AV10" s="9">
        <v>2.6607088316595501E-2</v>
      </c>
      <c r="AW10" s="9">
        <v>0.80679813695956659</v>
      </c>
      <c r="AX10" s="9">
        <v>2.6607088316595501E-2</v>
      </c>
      <c r="AY10" s="9">
        <v>0.13059841457188989</v>
      </c>
      <c r="AZ10" s="9">
        <v>2.6607088316595501E-2</v>
      </c>
      <c r="BA10" s="9">
        <v>0.80679813695956659</v>
      </c>
      <c r="BB10" s="9">
        <v>0.13059841457188989</v>
      </c>
      <c r="BC10" s="9">
        <v>0.1086830047649934</v>
      </c>
      <c r="BD10" s="9">
        <v>0.15791145905063991</v>
      </c>
      <c r="BE10" s="9">
        <v>-0.14664136567651551</v>
      </c>
      <c r="BF10" s="9">
        <v>0.30106988412206881</v>
      </c>
      <c r="BG10" s="9">
        <v>0.31399109272887038</v>
      </c>
      <c r="BH10" s="9">
        <v>6.5643772639719669E-2</v>
      </c>
      <c r="BI10" s="9">
        <v>0.77255834813233004</v>
      </c>
      <c r="BJ10" s="9">
        <v>6.5643772639719669E-2</v>
      </c>
      <c r="BK10" s="9">
        <v>0.2053718560457769</v>
      </c>
      <c r="BL10" s="9">
        <v>6.5643772639719669E-2</v>
      </c>
      <c r="BM10" s="9">
        <v>0.77255834813233004</v>
      </c>
      <c r="BN10" s="9">
        <v>0.2053718560457769</v>
      </c>
      <c r="BO10" s="9">
        <v>0.21911958566090489</v>
      </c>
      <c r="BP10" s="9">
        <v>0.33921826488266371</v>
      </c>
      <c r="BQ10" s="9">
        <v>-0.17531883689930661</v>
      </c>
      <c r="BR10" s="9">
        <v>0.50626830932459321</v>
      </c>
      <c r="BS10" s="9">
        <v>0.51477433492460944</v>
      </c>
      <c r="BT10" s="9">
        <v>8.3430559901587029E-2</v>
      </c>
      <c r="BU10" s="9">
        <v>0.66505269124014688</v>
      </c>
      <c r="BV10" s="9">
        <v>8.3430559901587029E-2</v>
      </c>
      <c r="BW10" s="9">
        <v>0.23963891803419729</v>
      </c>
      <c r="BX10" s="9">
        <v>8.3430559901587029E-2</v>
      </c>
      <c r="BY10" s="9">
        <v>0.66505269124014688</v>
      </c>
      <c r="BZ10" s="9">
        <v>0.23963891803419729</v>
      </c>
      <c r="CA10" s="9">
        <v>0.27823529718608259</v>
      </c>
      <c r="CB10" s="9">
        <v>0.28207522469183283</v>
      </c>
      <c r="CC10" s="9">
        <v>-0.13244280620682991</v>
      </c>
      <c r="CD10" s="9">
        <v>0.46052660849201432</v>
      </c>
      <c r="CE10" s="9">
        <v>0.45379448746707818</v>
      </c>
      <c r="CF10" s="9">
        <v>85.249452237474287</v>
      </c>
      <c r="CG10" s="9">
        <v>0.75736503118962306</v>
      </c>
      <c r="CH10" s="9">
        <v>85.249452237474287</v>
      </c>
      <c r="CI10" s="9">
        <v>7.1912902341083251</v>
      </c>
      <c r="CJ10" s="9">
        <v>85.249452237474287</v>
      </c>
      <c r="CK10" s="9">
        <v>0.75736503118962306</v>
      </c>
      <c r="CL10" s="9">
        <v>7.1912902341083251</v>
      </c>
      <c r="CM10" s="9">
        <v>7.8682851783192511</v>
      </c>
      <c r="CN10" s="9">
        <v>418.33069493914962</v>
      </c>
      <c r="CO10" s="9">
        <v>-0.1906429009800179</v>
      </c>
      <c r="CP10" s="9">
        <v>16.635069774092059</v>
      </c>
      <c r="CQ10" s="10">
        <v>17.092503746355781</v>
      </c>
    </row>
    <row r="11" spans="1:95" x14ac:dyDescent="0.3">
      <c r="A11" s="2">
        <v>46059.123819444438</v>
      </c>
      <c r="B11" s="3" t="s">
        <v>134</v>
      </c>
      <c r="C11" s="3">
        <v>4</v>
      </c>
      <c r="D11" s="3" t="s">
        <v>96</v>
      </c>
      <c r="E11" s="3">
        <v>16590</v>
      </c>
      <c r="F11" s="3">
        <v>4.5</v>
      </c>
      <c r="G11" s="3" t="s">
        <v>97</v>
      </c>
      <c r="H11" s="3" t="s">
        <v>98</v>
      </c>
      <c r="I11" s="3">
        <v>5</v>
      </c>
      <c r="J11" s="3">
        <v>5</v>
      </c>
      <c r="K11" s="3" t="s">
        <v>99</v>
      </c>
      <c r="L11" s="3" t="s">
        <v>100</v>
      </c>
      <c r="M11" s="3" t="s">
        <v>101</v>
      </c>
      <c r="N11" s="3" t="s">
        <v>101</v>
      </c>
      <c r="O11" s="3" t="s">
        <v>102</v>
      </c>
      <c r="P11" s="3" t="s">
        <v>103</v>
      </c>
      <c r="Q11" s="3" t="s">
        <v>104</v>
      </c>
      <c r="R11" s="3" t="s">
        <v>105</v>
      </c>
      <c r="S11" s="3" t="s">
        <v>106</v>
      </c>
      <c r="T11" s="3" t="s">
        <v>107</v>
      </c>
      <c r="U11" s="3" t="s">
        <v>108</v>
      </c>
      <c r="V11" s="3" t="s">
        <v>109</v>
      </c>
      <c r="W11" s="3" t="s">
        <v>101</v>
      </c>
      <c r="X11" s="3">
        <v>200</v>
      </c>
      <c r="Y11" s="3">
        <v>80</v>
      </c>
      <c r="Z11" s="3">
        <v>120</v>
      </c>
      <c r="AA11" s="3" t="s">
        <v>110</v>
      </c>
      <c r="AB11" s="3">
        <v>4000</v>
      </c>
      <c r="AC11" s="3">
        <v>4000</v>
      </c>
      <c r="AD11" s="3">
        <v>0.1278100798142475</v>
      </c>
      <c r="AE11" s="3"/>
      <c r="AF11" s="3">
        <v>128</v>
      </c>
      <c r="AG11" s="3" t="s">
        <v>132</v>
      </c>
      <c r="AH11" s="3">
        <v>0.1</v>
      </c>
      <c r="AI11" s="3">
        <v>32.204875758539153</v>
      </c>
      <c r="AJ11" s="3">
        <v>0.57543203013650746</v>
      </c>
      <c r="AK11" s="3">
        <v>32.204875758539153</v>
      </c>
      <c r="AL11" s="3">
        <v>8.9895152845691744</v>
      </c>
      <c r="AM11" s="3">
        <v>32.204875758539153</v>
      </c>
      <c r="AN11" s="3">
        <v>8.9895152845691744</v>
      </c>
      <c r="AO11" s="3">
        <v>9.5456886058425425</v>
      </c>
      <c r="AP11" s="3">
        <v>0.57543203013650746</v>
      </c>
      <c r="AQ11" s="3">
        <v>99.303375596082518</v>
      </c>
      <c r="AR11" s="3">
        <v>16.635865377346349</v>
      </c>
      <c r="AS11" s="3">
        <v>17.665163067677021</v>
      </c>
      <c r="AT11" s="3">
        <v>4.0054681531907298E-2</v>
      </c>
      <c r="AU11" s="3">
        <v>0.5714285714285714</v>
      </c>
      <c r="AV11" s="3">
        <v>5.7008719982722951E-2</v>
      </c>
      <c r="AW11" s="3">
        <v>0.58604298301431834</v>
      </c>
      <c r="AX11" s="3">
        <v>5.7008719982722951E-2</v>
      </c>
      <c r="AY11" s="3">
        <v>0.18592718422263921</v>
      </c>
      <c r="AZ11" s="3">
        <v>5.7008719982722951E-2</v>
      </c>
      <c r="BA11" s="3">
        <v>0.58604298301431834</v>
      </c>
      <c r="BB11" s="3">
        <v>0.18592718422263921</v>
      </c>
      <c r="BC11" s="3">
        <v>0.13472079951234489</v>
      </c>
      <c r="BD11" s="3">
        <v>8.4299506436878294E-2</v>
      </c>
      <c r="BE11" s="3">
        <v>0.38787658750185761</v>
      </c>
      <c r="BF11" s="3">
        <v>0.23299345026938961</v>
      </c>
      <c r="BG11" s="3">
        <v>0.17090352358721431</v>
      </c>
      <c r="BH11" s="3">
        <v>9.556997615483992E-2</v>
      </c>
      <c r="BI11" s="3">
        <v>0.66887044465116152</v>
      </c>
      <c r="BJ11" s="3">
        <v>9.556997615483992E-2</v>
      </c>
      <c r="BK11" s="3">
        <v>0.25769634236659938</v>
      </c>
      <c r="BL11" s="3">
        <v>9.556997615483992E-2</v>
      </c>
      <c r="BM11" s="3">
        <v>0.66887044465116152</v>
      </c>
      <c r="BN11" s="3">
        <v>0.25769634236659938</v>
      </c>
      <c r="BO11" s="3">
        <v>0.32756928574331939</v>
      </c>
      <c r="BP11" s="3">
        <v>0.31539384520352698</v>
      </c>
      <c r="BQ11" s="3">
        <v>-9.2772311178559885E-2</v>
      </c>
      <c r="BR11" s="3">
        <v>0.48427817464641632</v>
      </c>
      <c r="BS11" s="3">
        <v>0.51596414078498898</v>
      </c>
      <c r="BT11" s="3">
        <v>0.14631114941789999</v>
      </c>
      <c r="BU11" s="3">
        <v>0.41260701358239199</v>
      </c>
      <c r="BV11" s="3">
        <v>0.14631114941789999</v>
      </c>
      <c r="BW11" s="3">
        <v>0.33036280167818932</v>
      </c>
      <c r="BX11" s="3">
        <v>0.14631114941789999</v>
      </c>
      <c r="BY11" s="3">
        <v>0.41260701358239199</v>
      </c>
      <c r="BZ11" s="3">
        <v>0.33036280167818932</v>
      </c>
      <c r="CA11" s="3">
        <v>0.41610408803017179</v>
      </c>
      <c r="CB11" s="3">
        <v>0.25062916781317363</v>
      </c>
      <c r="CC11" s="3">
        <v>-6.1968342867040338E-3</v>
      </c>
      <c r="CD11" s="3">
        <v>0.44055258379694279</v>
      </c>
      <c r="CE11" s="3">
        <v>0.45437071168951748</v>
      </c>
      <c r="CF11" s="3">
        <v>128.52061318860129</v>
      </c>
      <c r="CG11" s="3">
        <v>0.63420767929815525</v>
      </c>
      <c r="CH11" s="3">
        <v>128.52061318860129</v>
      </c>
      <c r="CI11" s="3">
        <v>8.939943666489274</v>
      </c>
      <c r="CJ11" s="3">
        <v>128.52061318860129</v>
      </c>
      <c r="CK11" s="3">
        <v>0.63420767929815525</v>
      </c>
      <c r="CL11" s="3">
        <v>8.939943666489274</v>
      </c>
      <c r="CM11" s="3">
        <v>9.4854260703145403</v>
      </c>
      <c r="CN11" s="3">
        <v>396.56317986487608</v>
      </c>
      <c r="CO11" s="3">
        <v>-0.12868871590897221</v>
      </c>
      <c r="CP11" s="3">
        <v>16.582740249468419</v>
      </c>
      <c r="CQ11" s="4">
        <v>17.60967371253637</v>
      </c>
    </row>
    <row r="12" spans="1:95" x14ac:dyDescent="0.3">
      <c r="A12" s="2">
        <v>46059.798483796287</v>
      </c>
      <c r="B12" s="3" t="s">
        <v>140</v>
      </c>
      <c r="C12" s="3">
        <v>4</v>
      </c>
      <c r="D12" s="3" t="s">
        <v>96</v>
      </c>
      <c r="E12" s="3">
        <v>16590</v>
      </c>
      <c r="F12" s="3">
        <v>4.5</v>
      </c>
      <c r="G12" s="3" t="s">
        <v>97</v>
      </c>
      <c r="H12" s="3" t="s">
        <v>98</v>
      </c>
      <c r="I12" s="3">
        <v>5</v>
      </c>
      <c r="J12" s="3">
        <v>5</v>
      </c>
      <c r="K12" s="3" t="s">
        <v>99</v>
      </c>
      <c r="L12" s="3" t="s">
        <v>100</v>
      </c>
      <c r="M12" s="3" t="s">
        <v>101</v>
      </c>
      <c r="N12" s="3" t="s">
        <v>101</v>
      </c>
      <c r="O12" s="3" t="s">
        <v>102</v>
      </c>
      <c r="P12" s="3" t="s">
        <v>117</v>
      </c>
      <c r="Q12" s="3" t="s">
        <v>104</v>
      </c>
      <c r="R12" s="3" t="s">
        <v>105</v>
      </c>
      <c r="S12" s="3" t="s">
        <v>106</v>
      </c>
      <c r="T12" s="3" t="s">
        <v>107</v>
      </c>
      <c r="U12" s="3" t="s">
        <v>118</v>
      </c>
      <c r="V12" s="3" t="s">
        <v>109</v>
      </c>
      <c r="W12" s="3" t="s">
        <v>101</v>
      </c>
      <c r="X12" s="3">
        <v>210</v>
      </c>
      <c r="Y12" s="3">
        <v>90</v>
      </c>
      <c r="Z12" s="3">
        <v>120</v>
      </c>
      <c r="AA12" s="3" t="s">
        <v>110</v>
      </c>
      <c r="AB12" s="3">
        <v>4000</v>
      </c>
      <c r="AC12" s="3">
        <v>4000</v>
      </c>
      <c r="AD12" s="3">
        <v>0.1280967897574127</v>
      </c>
      <c r="AE12" s="3"/>
      <c r="AF12" s="3">
        <v>128</v>
      </c>
      <c r="AG12" s="3" t="s">
        <v>132</v>
      </c>
      <c r="AH12" s="3">
        <v>0.1</v>
      </c>
      <c r="AI12" s="3">
        <v>31.727193774110081</v>
      </c>
      <c r="AJ12" s="3">
        <v>0.59931994667472654</v>
      </c>
      <c r="AK12" s="3">
        <v>31.727193774110081</v>
      </c>
      <c r="AL12" s="3">
        <v>9.038957370896707</v>
      </c>
      <c r="AM12" s="3">
        <v>31.727193774110081</v>
      </c>
      <c r="AN12" s="3">
        <v>9.038957370896707</v>
      </c>
      <c r="AO12" s="3">
        <v>9.47981749856541</v>
      </c>
      <c r="AP12" s="3">
        <v>0.59931994667472654</v>
      </c>
      <c r="AQ12" s="3">
        <v>87.375327716712647</v>
      </c>
      <c r="AR12" s="3">
        <v>15.276790005769829</v>
      </c>
      <c r="AS12" s="3">
        <v>15.541853517929789</v>
      </c>
      <c r="AT12" s="3">
        <v>-2.391940674947288E-2</v>
      </c>
      <c r="AU12" s="3">
        <v>0.5714285714285714</v>
      </c>
      <c r="AV12" s="3">
        <v>5.0323433062692761E-2</v>
      </c>
      <c r="AW12" s="3">
        <v>0.63458680985252447</v>
      </c>
      <c r="AX12" s="3">
        <v>5.0323433062692761E-2</v>
      </c>
      <c r="AY12" s="3">
        <v>0.17633567946042561</v>
      </c>
      <c r="AZ12" s="3">
        <v>5.0323433062692761E-2</v>
      </c>
      <c r="BA12" s="3">
        <v>0.63458680985252447</v>
      </c>
      <c r="BB12" s="3">
        <v>0.17633567946042561</v>
      </c>
      <c r="BC12" s="3">
        <v>0.12728313384950971</v>
      </c>
      <c r="BD12" s="3">
        <v>0.13478323152986629</v>
      </c>
      <c r="BE12" s="3">
        <v>2.129946996348964E-2</v>
      </c>
      <c r="BF12" s="3">
        <v>0.30203274309372358</v>
      </c>
      <c r="BG12" s="3">
        <v>0.28233485777514561</v>
      </c>
      <c r="BH12" s="3">
        <v>0.10624090304584061</v>
      </c>
      <c r="BI12" s="3">
        <v>0.63189796209186699</v>
      </c>
      <c r="BJ12" s="3">
        <v>0.10624090304584061</v>
      </c>
      <c r="BK12" s="3">
        <v>0.26679539560801552</v>
      </c>
      <c r="BL12" s="3">
        <v>0.10624090304584061</v>
      </c>
      <c r="BM12" s="3">
        <v>0.63189796209186699</v>
      </c>
      <c r="BN12" s="3">
        <v>0.26679539560801552</v>
      </c>
      <c r="BO12" s="3">
        <v>0.28767882459646932</v>
      </c>
      <c r="BP12" s="3">
        <v>0.32760737604151219</v>
      </c>
      <c r="BQ12" s="3">
        <v>-0.13508958694170331</v>
      </c>
      <c r="BR12" s="3">
        <v>0.49486463828888022</v>
      </c>
      <c r="BS12" s="3">
        <v>0.48676875295081551</v>
      </c>
      <c r="BT12" s="3">
        <v>0.12673640116854579</v>
      </c>
      <c r="BU12" s="3">
        <v>0.49119343627339102</v>
      </c>
      <c r="BV12" s="3">
        <v>0.12673640116854579</v>
      </c>
      <c r="BW12" s="3">
        <v>0.2985470996758261</v>
      </c>
      <c r="BX12" s="3">
        <v>0.12673640116854579</v>
      </c>
      <c r="BY12" s="3">
        <v>0.49119343627339102</v>
      </c>
      <c r="BZ12" s="3">
        <v>0.2985470996758261</v>
      </c>
      <c r="CA12" s="3">
        <v>0.35483410684743327</v>
      </c>
      <c r="CB12" s="3">
        <v>0.24638615326080529</v>
      </c>
      <c r="CC12" s="3">
        <v>1.0837527067469431E-2</v>
      </c>
      <c r="CD12" s="3">
        <v>0.4317154918292373</v>
      </c>
      <c r="CE12" s="3">
        <v>0.44615935950167379</v>
      </c>
      <c r="CF12" s="3">
        <v>126.62547435916331</v>
      </c>
      <c r="CG12" s="3">
        <v>0.63960157848112131</v>
      </c>
      <c r="CH12" s="3">
        <v>126.62547435916331</v>
      </c>
      <c r="CI12" s="3">
        <v>8.996423532458488</v>
      </c>
      <c r="CJ12" s="3">
        <v>126.62547435916331</v>
      </c>
      <c r="CK12" s="3">
        <v>0.63960157848112131</v>
      </c>
      <c r="CL12" s="3">
        <v>8.996423532458488</v>
      </c>
      <c r="CM12" s="3">
        <v>9.4372555560711824</v>
      </c>
      <c r="CN12" s="3">
        <v>348.79253410601751</v>
      </c>
      <c r="CO12" s="3">
        <v>7.2749629128500137E-3</v>
      </c>
      <c r="CP12" s="3">
        <v>15.212629906161061</v>
      </c>
      <c r="CQ12" s="4">
        <v>15.476417785342919</v>
      </c>
    </row>
    <row r="13" spans="1:95" x14ac:dyDescent="0.3">
      <c r="A13" s="2">
        <v>46059.015104166669</v>
      </c>
      <c r="B13" s="3" t="s">
        <v>136</v>
      </c>
      <c r="C13" s="3">
        <v>3</v>
      </c>
      <c r="D13" s="3" t="s">
        <v>96</v>
      </c>
      <c r="E13" s="3">
        <v>16590</v>
      </c>
      <c r="F13" s="3">
        <v>4.5</v>
      </c>
      <c r="G13" s="3" t="s">
        <v>97</v>
      </c>
      <c r="H13" s="3" t="s">
        <v>98</v>
      </c>
      <c r="I13" s="3">
        <v>5</v>
      </c>
      <c r="J13" s="3">
        <v>5</v>
      </c>
      <c r="K13" s="3" t="s">
        <v>99</v>
      </c>
      <c r="L13" s="3" t="s">
        <v>100</v>
      </c>
      <c r="M13" s="3" t="s">
        <v>101</v>
      </c>
      <c r="N13" s="3" t="s">
        <v>101</v>
      </c>
      <c r="O13" s="3" t="s">
        <v>102</v>
      </c>
      <c r="P13" s="3" t="s">
        <v>103</v>
      </c>
      <c r="Q13" s="3" t="s">
        <v>104</v>
      </c>
      <c r="R13" s="3" t="s">
        <v>105</v>
      </c>
      <c r="S13" s="3" t="s">
        <v>106</v>
      </c>
      <c r="T13" s="3" t="s">
        <v>107</v>
      </c>
      <c r="U13" s="3" t="s">
        <v>108</v>
      </c>
      <c r="V13" s="3" t="s">
        <v>109</v>
      </c>
      <c r="W13" s="3" t="s">
        <v>101</v>
      </c>
      <c r="X13" s="3">
        <v>200</v>
      </c>
      <c r="Y13" s="3">
        <v>80</v>
      </c>
      <c r="Z13" s="3">
        <v>120</v>
      </c>
      <c r="AA13" s="3" t="s">
        <v>110</v>
      </c>
      <c r="AB13" s="3">
        <v>4000</v>
      </c>
      <c r="AC13" s="3">
        <v>4000</v>
      </c>
      <c r="AD13" s="3">
        <v>0.13574711025131331</v>
      </c>
      <c r="AE13" s="3"/>
      <c r="AF13" s="3">
        <v>128</v>
      </c>
      <c r="AG13" s="3" t="s">
        <v>132</v>
      </c>
      <c r="AH13" s="3">
        <v>0.1</v>
      </c>
      <c r="AI13" s="3">
        <v>32.581304418277433</v>
      </c>
      <c r="AJ13" s="3">
        <v>0.5507176340906148</v>
      </c>
      <c r="AK13" s="3">
        <v>32.581304418277433</v>
      </c>
      <c r="AL13" s="3">
        <v>8.8420536060554191</v>
      </c>
      <c r="AM13" s="3">
        <v>32.581304418277433</v>
      </c>
      <c r="AN13" s="3">
        <v>8.8420536060554191</v>
      </c>
      <c r="AO13" s="3">
        <v>8.8414367868543948</v>
      </c>
      <c r="AP13" s="3">
        <v>0.5507176340906148</v>
      </c>
      <c r="AQ13" s="3">
        <v>98.917223913479049</v>
      </c>
      <c r="AR13" s="3">
        <v>16.449510372972739</v>
      </c>
      <c r="AS13" s="3">
        <v>17.45668897553281</v>
      </c>
      <c r="AT13" s="3">
        <v>-6.6064347715469568E-2</v>
      </c>
      <c r="AU13" s="3">
        <v>0.5714285714285714</v>
      </c>
      <c r="AV13" s="3">
        <v>5.9503822417119517E-2</v>
      </c>
      <c r="AW13" s="3">
        <v>0.56792531327660911</v>
      </c>
      <c r="AX13" s="3">
        <v>5.9503822417119517E-2</v>
      </c>
      <c r="AY13" s="3">
        <v>0.189387274186573</v>
      </c>
      <c r="AZ13" s="3">
        <v>5.9503822417119517E-2</v>
      </c>
      <c r="BA13" s="3">
        <v>0.56792531327660911</v>
      </c>
      <c r="BB13" s="3">
        <v>0.189387274186573</v>
      </c>
      <c r="BC13" s="3">
        <v>0.1749069685221023</v>
      </c>
      <c r="BD13" s="3">
        <v>0.17058122621047209</v>
      </c>
      <c r="BE13" s="3">
        <v>-0.2386402567404933</v>
      </c>
      <c r="BF13" s="3">
        <v>0.30580406308628472</v>
      </c>
      <c r="BG13" s="3">
        <v>0.29742131580784592</v>
      </c>
      <c r="BH13" s="3">
        <v>0.1105360404453514</v>
      </c>
      <c r="BI13" s="3">
        <v>0.61701622836664471</v>
      </c>
      <c r="BJ13" s="3">
        <v>0.1105360404453514</v>
      </c>
      <c r="BK13" s="3">
        <v>0.27736777846974398</v>
      </c>
      <c r="BL13" s="3">
        <v>0.1105360404453514</v>
      </c>
      <c r="BM13" s="3">
        <v>0.61701622836664471</v>
      </c>
      <c r="BN13" s="3">
        <v>0.27736777846974398</v>
      </c>
      <c r="BO13" s="3">
        <v>0.25488019895159197</v>
      </c>
      <c r="BP13" s="3">
        <v>0.28190272734919208</v>
      </c>
      <c r="BQ13" s="3">
        <v>2.326725908641436E-2</v>
      </c>
      <c r="BR13" s="3">
        <v>0.45172538543227558</v>
      </c>
      <c r="BS13" s="3">
        <v>0.43444942526730113</v>
      </c>
      <c r="BT13" s="3">
        <v>0.1524554327535439</v>
      </c>
      <c r="BU13" s="3">
        <v>0.38793965943830461</v>
      </c>
      <c r="BV13" s="3">
        <v>0.1524554327535439</v>
      </c>
      <c r="BW13" s="3">
        <v>0.34074581921352259</v>
      </c>
      <c r="BX13" s="3">
        <v>0.1524554327535439</v>
      </c>
      <c r="BY13" s="3">
        <v>0.38793965943830461</v>
      </c>
      <c r="BZ13" s="3">
        <v>0.34074581921352259</v>
      </c>
      <c r="CA13" s="3">
        <v>0.39103660138906748</v>
      </c>
      <c r="CB13" s="3">
        <v>0.23032558319677421</v>
      </c>
      <c r="CC13" s="3">
        <v>7.5315635885650378E-2</v>
      </c>
      <c r="CD13" s="3">
        <v>0.42099572626738291</v>
      </c>
      <c r="CE13" s="3">
        <v>0.41919780940953871</v>
      </c>
      <c r="CF13" s="3">
        <v>130.0027223774932</v>
      </c>
      <c r="CG13" s="3">
        <v>0.6299893352808984</v>
      </c>
      <c r="CH13" s="3">
        <v>130.0027223774932</v>
      </c>
      <c r="CI13" s="3">
        <v>8.7893212820434758</v>
      </c>
      <c r="CJ13" s="3">
        <v>130.0027223774932</v>
      </c>
      <c r="CK13" s="3">
        <v>0.6299893352808984</v>
      </c>
      <c r="CL13" s="3">
        <v>8.7893212820434758</v>
      </c>
      <c r="CM13" s="3">
        <v>8.7796324568253716</v>
      </c>
      <c r="CN13" s="3">
        <v>394.98608611715969</v>
      </c>
      <c r="CO13" s="3">
        <v>-0.1242000290934575</v>
      </c>
      <c r="CP13" s="3">
        <v>16.388733231754191</v>
      </c>
      <c r="CQ13" s="4">
        <v>17.395452836237791</v>
      </c>
    </row>
    <row r="14" spans="1:95" x14ac:dyDescent="0.3">
      <c r="A14" s="5">
        <v>46058.90556712963</v>
      </c>
      <c r="B14" s="6" t="s">
        <v>137</v>
      </c>
      <c r="C14" s="6">
        <v>2</v>
      </c>
      <c r="D14" s="6" t="s">
        <v>96</v>
      </c>
      <c r="E14" s="6">
        <v>16590</v>
      </c>
      <c r="F14" s="6">
        <v>4.5</v>
      </c>
      <c r="G14" s="6" t="s">
        <v>97</v>
      </c>
      <c r="H14" s="6" t="s">
        <v>98</v>
      </c>
      <c r="I14" s="6">
        <v>5</v>
      </c>
      <c r="J14" s="6">
        <v>5</v>
      </c>
      <c r="K14" s="6" t="s">
        <v>99</v>
      </c>
      <c r="L14" s="6" t="s">
        <v>100</v>
      </c>
      <c r="M14" s="6" t="s">
        <v>101</v>
      </c>
      <c r="N14" s="6" t="s">
        <v>101</v>
      </c>
      <c r="O14" s="6" t="s">
        <v>102</v>
      </c>
      <c r="P14" s="6" t="s">
        <v>103</v>
      </c>
      <c r="Q14" s="6" t="s">
        <v>104</v>
      </c>
      <c r="R14" s="6" t="s">
        <v>105</v>
      </c>
      <c r="S14" s="6" t="s">
        <v>106</v>
      </c>
      <c r="T14" s="6" t="s">
        <v>107</v>
      </c>
      <c r="U14" s="6" t="s">
        <v>108</v>
      </c>
      <c r="V14" s="6" t="s">
        <v>109</v>
      </c>
      <c r="W14" s="6" t="s">
        <v>101</v>
      </c>
      <c r="X14" s="6">
        <v>200</v>
      </c>
      <c r="Y14" s="6">
        <v>80</v>
      </c>
      <c r="Z14" s="6">
        <v>120</v>
      </c>
      <c r="AA14" s="6" t="s">
        <v>110</v>
      </c>
      <c r="AB14" s="6">
        <v>4000</v>
      </c>
      <c r="AC14" s="6">
        <v>4000</v>
      </c>
      <c r="AD14" s="6">
        <v>0.2066072112366476</v>
      </c>
      <c r="AE14" s="6"/>
      <c r="AF14" s="6">
        <v>128</v>
      </c>
      <c r="AG14" s="6" t="s">
        <v>132</v>
      </c>
      <c r="AH14" s="6">
        <v>0.1</v>
      </c>
      <c r="AI14" s="6">
        <v>32.523388598974208</v>
      </c>
      <c r="AJ14" s="6">
        <v>0.354815434028801</v>
      </c>
      <c r="AK14" s="6">
        <v>32.523388598974208</v>
      </c>
      <c r="AL14" s="6">
        <v>9.1730283877789862</v>
      </c>
      <c r="AM14" s="6">
        <v>32.523388598974208</v>
      </c>
      <c r="AN14" s="6">
        <v>9.1730283877789862</v>
      </c>
      <c r="AO14" s="6">
        <v>9.1154609799920312</v>
      </c>
      <c r="AP14" s="6">
        <v>0.354815434028801</v>
      </c>
      <c r="AQ14" s="6">
        <v>97.214602394889027</v>
      </c>
      <c r="AR14" s="6">
        <v>16.299062418967761</v>
      </c>
      <c r="AS14" s="6">
        <v>17.26897877472015</v>
      </c>
      <c r="AT14" s="6">
        <v>4.7920437277333937E-2</v>
      </c>
      <c r="AU14" s="6">
        <v>0.5714285714285714</v>
      </c>
      <c r="AV14" s="6">
        <v>5.5089704638727241E-2</v>
      </c>
      <c r="AW14" s="6">
        <v>0.59997751561899637</v>
      </c>
      <c r="AX14" s="6">
        <v>5.5089704638727241E-2</v>
      </c>
      <c r="AY14" s="6">
        <v>0.1800353375208445</v>
      </c>
      <c r="AZ14" s="6">
        <v>5.5089704638727241E-2</v>
      </c>
      <c r="BA14" s="6">
        <v>0.59997751561899637</v>
      </c>
      <c r="BB14" s="6">
        <v>0.1800353375208445</v>
      </c>
      <c r="BC14" s="6">
        <v>0.1944827947312476</v>
      </c>
      <c r="BD14" s="6">
        <v>7.9624868699413875E-2</v>
      </c>
      <c r="BE14" s="6">
        <v>0.42182050158861339</v>
      </c>
      <c r="BF14" s="6">
        <v>0.22016311273798839</v>
      </c>
      <c r="BG14" s="6">
        <v>0.21945113129811911</v>
      </c>
      <c r="BH14" s="6">
        <v>0.28043848070086302</v>
      </c>
      <c r="BI14" s="6">
        <v>2.8340560986131361E-2</v>
      </c>
      <c r="BJ14" s="6">
        <v>0.28043848070086302</v>
      </c>
      <c r="BK14" s="6">
        <v>0.47218552945174058</v>
      </c>
      <c r="BL14" s="6">
        <v>0.28043848070086302</v>
      </c>
      <c r="BM14" s="6">
        <v>2.8340560986131361E-2</v>
      </c>
      <c r="BN14" s="6">
        <v>0.47218552945174058</v>
      </c>
      <c r="BO14" s="6">
        <v>0.49464711017908791</v>
      </c>
      <c r="BP14" s="6">
        <v>0.33505879217111639</v>
      </c>
      <c r="BQ14" s="6">
        <v>-0.1609071523423411</v>
      </c>
      <c r="BR14" s="6">
        <v>0.50103104260821119</v>
      </c>
      <c r="BS14" s="6">
        <v>0.47986771892795882</v>
      </c>
      <c r="BT14" s="6">
        <v>0.20931608511823771</v>
      </c>
      <c r="BU14" s="6">
        <v>0.15966212532671251</v>
      </c>
      <c r="BV14" s="6">
        <v>0.20931608511823771</v>
      </c>
      <c r="BW14" s="6">
        <v>0.3987570830883716</v>
      </c>
      <c r="BX14" s="6">
        <v>0.20931608511823771</v>
      </c>
      <c r="BY14" s="6">
        <v>0.15966212532671251</v>
      </c>
      <c r="BZ14" s="6">
        <v>0.3987570830883716</v>
      </c>
      <c r="CA14" s="6">
        <v>0.42402404648804909</v>
      </c>
      <c r="CB14" s="6">
        <v>0.24020222060666371</v>
      </c>
      <c r="CC14" s="6">
        <v>3.5664060684170162E-2</v>
      </c>
      <c r="CD14" s="6">
        <v>0.42637439936700611</v>
      </c>
      <c r="CE14" s="6">
        <v>0.45555687061645372</v>
      </c>
      <c r="CF14" s="6">
        <v>129.5487101254391</v>
      </c>
      <c r="CG14" s="6">
        <v>0.63128153418335964</v>
      </c>
      <c r="CH14" s="6">
        <v>129.5487101254391</v>
      </c>
      <c r="CI14" s="6">
        <v>9.0903048479087509</v>
      </c>
      <c r="CJ14" s="6">
        <v>129.5487101254391</v>
      </c>
      <c r="CK14" s="6">
        <v>0.63128153418335964</v>
      </c>
      <c r="CL14" s="6">
        <v>9.0903048479087509</v>
      </c>
      <c r="CM14" s="6">
        <v>9.0186761014600574</v>
      </c>
      <c r="CN14" s="6">
        <v>388.20352369807722</v>
      </c>
      <c r="CO14" s="6">
        <v>-0.10489566082110489</v>
      </c>
      <c r="CP14" s="6">
        <v>16.247996303739011</v>
      </c>
      <c r="CQ14" s="7">
        <v>17.217313768791701</v>
      </c>
    </row>
    <row r="15" spans="1:95" x14ac:dyDescent="0.3">
      <c r="A15" s="5">
        <v>46059.653715277767</v>
      </c>
      <c r="B15" s="6" t="s">
        <v>139</v>
      </c>
      <c r="C15" s="6">
        <v>3</v>
      </c>
      <c r="D15" s="6" t="s">
        <v>96</v>
      </c>
      <c r="E15" s="6">
        <v>16590</v>
      </c>
      <c r="F15" s="6">
        <v>4.5</v>
      </c>
      <c r="G15" s="6" t="s">
        <v>97</v>
      </c>
      <c r="H15" s="6" t="s">
        <v>98</v>
      </c>
      <c r="I15" s="6">
        <v>5</v>
      </c>
      <c r="J15" s="6">
        <v>5</v>
      </c>
      <c r="K15" s="6" t="s">
        <v>99</v>
      </c>
      <c r="L15" s="6" t="s">
        <v>100</v>
      </c>
      <c r="M15" s="6" t="s">
        <v>101</v>
      </c>
      <c r="N15" s="6" t="s">
        <v>101</v>
      </c>
      <c r="O15" s="6" t="s">
        <v>102</v>
      </c>
      <c r="P15" s="6" t="s">
        <v>117</v>
      </c>
      <c r="Q15" s="6" t="s">
        <v>104</v>
      </c>
      <c r="R15" s="6" t="s">
        <v>105</v>
      </c>
      <c r="S15" s="6" t="s">
        <v>106</v>
      </c>
      <c r="T15" s="6" t="s">
        <v>107</v>
      </c>
      <c r="U15" s="6" t="s">
        <v>118</v>
      </c>
      <c r="V15" s="6" t="s">
        <v>109</v>
      </c>
      <c r="W15" s="6" t="s">
        <v>101</v>
      </c>
      <c r="X15" s="6">
        <v>210</v>
      </c>
      <c r="Y15" s="6">
        <v>90</v>
      </c>
      <c r="Z15" s="6">
        <v>120</v>
      </c>
      <c r="AA15" s="6" t="s">
        <v>110</v>
      </c>
      <c r="AB15" s="6">
        <v>4000</v>
      </c>
      <c r="AC15" s="6">
        <v>4000</v>
      </c>
      <c r="AD15" s="6">
        <v>0.12507120101150879</v>
      </c>
      <c r="AE15" s="6"/>
      <c r="AF15" s="6">
        <v>128</v>
      </c>
      <c r="AG15" s="6" t="s">
        <v>132</v>
      </c>
      <c r="AH15" s="6">
        <v>0.1</v>
      </c>
      <c r="AI15" s="6">
        <v>33.154553814179387</v>
      </c>
      <c r="AJ15" s="6">
        <v>0.56685573749224027</v>
      </c>
      <c r="AK15" s="6">
        <v>33.154553814179387</v>
      </c>
      <c r="AL15" s="6">
        <v>8.9554546135804305</v>
      </c>
      <c r="AM15" s="6">
        <v>33.154553814179387</v>
      </c>
      <c r="AN15" s="6">
        <v>8.9554546135804305</v>
      </c>
      <c r="AO15" s="6">
        <v>8.688121271382272</v>
      </c>
      <c r="AP15" s="6">
        <v>0.56685573749224027</v>
      </c>
      <c r="AQ15" s="6">
        <v>102.06353280456401</v>
      </c>
      <c r="AR15" s="6">
        <v>16.469766999232831</v>
      </c>
      <c r="AS15" s="6">
        <v>18.00051268968005</v>
      </c>
      <c r="AT15" s="6">
        <v>-7.9152315035016796E-3</v>
      </c>
      <c r="AU15" s="6">
        <v>0.5714285714285714</v>
      </c>
      <c r="AV15" s="6">
        <v>4.6635772486501741E-2</v>
      </c>
      <c r="AW15" s="6">
        <v>0.66136399362789022</v>
      </c>
      <c r="AX15" s="6">
        <v>4.6635772486501741E-2</v>
      </c>
      <c r="AY15" s="6">
        <v>0.172519523099567</v>
      </c>
      <c r="AZ15" s="6">
        <v>4.6635772486501741E-2</v>
      </c>
      <c r="BA15" s="6">
        <v>0.66136399362789022</v>
      </c>
      <c r="BB15" s="6">
        <v>0.172519523099567</v>
      </c>
      <c r="BC15" s="6">
        <v>0.1671855182394768</v>
      </c>
      <c r="BD15" s="6">
        <v>7.9857990732620815E-2</v>
      </c>
      <c r="BE15" s="6">
        <v>0.42012773421040828</v>
      </c>
      <c r="BF15" s="6">
        <v>0.2355554259524073</v>
      </c>
      <c r="BG15" s="6">
        <v>0.22742180987942559</v>
      </c>
      <c r="BH15" s="6">
        <v>0.12616478136830411</v>
      </c>
      <c r="BI15" s="6">
        <v>0.56286597908652647</v>
      </c>
      <c r="BJ15" s="6">
        <v>0.12616478136830411</v>
      </c>
      <c r="BK15" s="6">
        <v>0.29218627171626099</v>
      </c>
      <c r="BL15" s="6">
        <v>0.12616478136830411</v>
      </c>
      <c r="BM15" s="6">
        <v>0.56286597908652647</v>
      </c>
      <c r="BN15" s="6">
        <v>0.29218627171626099</v>
      </c>
      <c r="BO15" s="6">
        <v>0.33599278348789852</v>
      </c>
      <c r="BP15" s="6">
        <v>0.34956648564180409</v>
      </c>
      <c r="BQ15" s="6">
        <v>-0.2111732116359302</v>
      </c>
      <c r="BR15" s="6">
        <v>0.51413485890642707</v>
      </c>
      <c r="BS15" s="6">
        <v>0.52193818096453448</v>
      </c>
      <c r="BT15" s="6">
        <v>0.1445332773120471</v>
      </c>
      <c r="BU15" s="6">
        <v>0.41974460774305761</v>
      </c>
      <c r="BV15" s="6">
        <v>0.1445332773120471</v>
      </c>
      <c r="BW15" s="6">
        <v>0.32393023173172059</v>
      </c>
      <c r="BX15" s="6">
        <v>0.1445332773120471</v>
      </c>
      <c r="BY15" s="6">
        <v>0.41974460774305761</v>
      </c>
      <c r="BZ15" s="6">
        <v>0.32393023173172059</v>
      </c>
      <c r="CA15" s="6">
        <v>0.39038689092087792</v>
      </c>
      <c r="CB15" s="6">
        <v>0.26917202806383589</v>
      </c>
      <c r="CC15" s="6">
        <v>-8.0640553051094521E-2</v>
      </c>
      <c r="CD15" s="6">
        <v>0.45086037993885297</v>
      </c>
      <c r="CE15" s="6">
        <v>0.44405984977160889</v>
      </c>
      <c r="CF15" s="6">
        <v>132.30088142555081</v>
      </c>
      <c r="CG15" s="6">
        <v>0.62344836951148308</v>
      </c>
      <c r="CH15" s="6">
        <v>132.30088142555081</v>
      </c>
      <c r="CI15" s="6">
        <v>8.8984131253958356</v>
      </c>
      <c r="CJ15" s="6">
        <v>132.30088142555081</v>
      </c>
      <c r="CK15" s="6">
        <v>0.62344836951148308</v>
      </c>
      <c r="CL15" s="6">
        <v>8.8984131253958356</v>
      </c>
      <c r="CM15" s="6">
        <v>8.6195758147643957</v>
      </c>
      <c r="CN15" s="6">
        <v>407.55553471381819</v>
      </c>
      <c r="CO15" s="6">
        <v>-0.15997489553738789</v>
      </c>
      <c r="CP15" s="6">
        <v>16.411602855313639</v>
      </c>
      <c r="CQ15" s="7">
        <v>17.943046862005971</v>
      </c>
    </row>
    <row r="16" spans="1:95" x14ac:dyDescent="0.3">
      <c r="A16" s="8">
        <v>46059.494039351863</v>
      </c>
      <c r="B16" s="9" t="s">
        <v>143</v>
      </c>
      <c r="C16" s="9">
        <v>2</v>
      </c>
      <c r="D16" s="9" t="s">
        <v>96</v>
      </c>
      <c r="E16" s="9">
        <v>16590</v>
      </c>
      <c r="F16" s="9">
        <v>4.5</v>
      </c>
      <c r="G16" s="9" t="s">
        <v>97</v>
      </c>
      <c r="H16" s="9" t="s">
        <v>98</v>
      </c>
      <c r="I16" s="9">
        <v>5</v>
      </c>
      <c r="J16" s="9">
        <v>5</v>
      </c>
      <c r="K16" s="9" t="s">
        <v>99</v>
      </c>
      <c r="L16" s="9" t="s">
        <v>100</v>
      </c>
      <c r="M16" s="9" t="s">
        <v>101</v>
      </c>
      <c r="N16" s="9" t="s">
        <v>101</v>
      </c>
      <c r="O16" s="9" t="s">
        <v>102</v>
      </c>
      <c r="P16" s="9" t="s">
        <v>117</v>
      </c>
      <c r="Q16" s="9" t="s">
        <v>104</v>
      </c>
      <c r="R16" s="9" t="s">
        <v>105</v>
      </c>
      <c r="S16" s="9" t="s">
        <v>106</v>
      </c>
      <c r="T16" s="9" t="s">
        <v>107</v>
      </c>
      <c r="U16" s="9" t="s">
        <v>118</v>
      </c>
      <c r="V16" s="9" t="s">
        <v>109</v>
      </c>
      <c r="W16" s="9" t="s">
        <v>101</v>
      </c>
      <c r="X16" s="9">
        <v>210</v>
      </c>
      <c r="Y16" s="9">
        <v>90</v>
      </c>
      <c r="Z16" s="9">
        <v>120</v>
      </c>
      <c r="AA16" s="9" t="s">
        <v>110</v>
      </c>
      <c r="AB16" s="9">
        <v>4000</v>
      </c>
      <c r="AC16" s="9">
        <v>4000</v>
      </c>
      <c r="AD16" s="9">
        <v>0.11982281220333579</v>
      </c>
      <c r="AE16" s="9"/>
      <c r="AF16" s="9">
        <v>128</v>
      </c>
      <c r="AG16" s="9" t="s">
        <v>132</v>
      </c>
      <c r="AH16" s="9">
        <v>0.1</v>
      </c>
      <c r="AI16" s="9">
        <v>33.846718591069703</v>
      </c>
      <c r="AJ16" s="9">
        <v>0.5826011060751517</v>
      </c>
      <c r="AK16" s="9">
        <v>33.846718591069703</v>
      </c>
      <c r="AL16" s="9">
        <v>9.4523972667791689</v>
      </c>
      <c r="AM16" s="9">
        <v>33.846718591069703</v>
      </c>
      <c r="AN16" s="9">
        <v>9.4523972667791689</v>
      </c>
      <c r="AO16" s="9">
        <v>9.0635319289384277</v>
      </c>
      <c r="AP16" s="9">
        <v>0.5826011060751517</v>
      </c>
      <c r="AQ16" s="9">
        <v>107.9193415115688</v>
      </c>
      <c r="AR16" s="9">
        <v>16.987789120309529</v>
      </c>
      <c r="AS16" s="9">
        <v>18.475572352788049</v>
      </c>
      <c r="AT16" s="9">
        <v>-0.2290843597431548</v>
      </c>
      <c r="AU16" s="9">
        <v>0.5714285714285714</v>
      </c>
      <c r="AV16" s="9">
        <v>5.4223320812633188E-2</v>
      </c>
      <c r="AW16" s="9">
        <v>0.60626858239480241</v>
      </c>
      <c r="AX16" s="9">
        <v>5.4223320812633188E-2</v>
      </c>
      <c r="AY16" s="9">
        <v>0.17617888565135459</v>
      </c>
      <c r="AZ16" s="9">
        <v>5.4223320812633188E-2</v>
      </c>
      <c r="BA16" s="9">
        <v>0.60626858239480241</v>
      </c>
      <c r="BB16" s="9">
        <v>0.17617888565135459</v>
      </c>
      <c r="BC16" s="9">
        <v>0.1915381199940687</v>
      </c>
      <c r="BD16" s="9">
        <v>0.1960635700714107</v>
      </c>
      <c r="BE16" s="9">
        <v>-0.42367502078491248</v>
      </c>
      <c r="BF16" s="9">
        <v>0.35703160970340192</v>
      </c>
      <c r="BG16" s="9">
        <v>0.30664644635923433</v>
      </c>
      <c r="BH16" s="9">
        <v>8.3778641385504324E-2</v>
      </c>
      <c r="BI16" s="9">
        <v>0.70972490120991893</v>
      </c>
      <c r="BJ16" s="9">
        <v>8.3778641385504324E-2</v>
      </c>
      <c r="BK16" s="9">
        <v>0.2350324029510524</v>
      </c>
      <c r="BL16" s="9">
        <v>8.3778641385504324E-2</v>
      </c>
      <c r="BM16" s="9">
        <v>0.70972490120991893</v>
      </c>
      <c r="BN16" s="9">
        <v>0.2350324029510524</v>
      </c>
      <c r="BO16" s="9">
        <v>0.27218381432143413</v>
      </c>
      <c r="BP16" s="9">
        <v>0.30302527392031881</v>
      </c>
      <c r="BQ16" s="9">
        <v>-4.99178533865694E-2</v>
      </c>
      <c r="BR16" s="9">
        <v>0.4795348112120118</v>
      </c>
      <c r="BS16" s="9">
        <v>0.48814768125296482</v>
      </c>
      <c r="BT16" s="9">
        <v>0.14971865723859021</v>
      </c>
      <c r="BU16" s="9">
        <v>0.3989269474835353</v>
      </c>
      <c r="BV16" s="9">
        <v>0.14971865723859021</v>
      </c>
      <c r="BW16" s="9">
        <v>0.34141029888067292</v>
      </c>
      <c r="BX16" s="9">
        <v>0.14971865723859021</v>
      </c>
      <c r="BY16" s="9">
        <v>0.3989269474835353</v>
      </c>
      <c r="BZ16" s="9">
        <v>0.34141029888067292</v>
      </c>
      <c r="CA16" s="9">
        <v>0.39676031590027039</v>
      </c>
      <c r="CB16" s="9">
        <v>0.30298714076112959</v>
      </c>
      <c r="CC16" s="9">
        <v>-0.21639753474617041</v>
      </c>
      <c r="CD16" s="9">
        <v>0.48466732412553271</v>
      </c>
      <c r="CE16" s="9">
        <v>0.43409786095480929</v>
      </c>
      <c r="CF16" s="9">
        <v>135.09915374484291</v>
      </c>
      <c r="CG16" s="9">
        <v>0.61548399321234804</v>
      </c>
      <c r="CH16" s="9">
        <v>135.09915374484291</v>
      </c>
      <c r="CI16" s="9">
        <v>9.4100864797064627</v>
      </c>
      <c r="CJ16" s="9">
        <v>135.09915374484291</v>
      </c>
      <c r="CK16" s="9">
        <v>0.61548399321234804</v>
      </c>
      <c r="CL16" s="9">
        <v>9.4100864797064627</v>
      </c>
      <c r="CM16" s="9">
        <v>9.0067255414214813</v>
      </c>
      <c r="CN16" s="9">
        <v>430.87529006152192</v>
      </c>
      <c r="CO16" s="9">
        <v>-0.2263470300549684</v>
      </c>
      <c r="CP16" s="9">
        <v>16.925084650071771</v>
      </c>
      <c r="CQ16" s="10">
        <v>18.421204664637951</v>
      </c>
    </row>
    <row r="17" spans="1:95" x14ac:dyDescent="0.3">
      <c r="A17" s="2">
        <v>46059.355578703697</v>
      </c>
      <c r="B17" s="3" t="s">
        <v>138</v>
      </c>
      <c r="C17" s="3">
        <v>1</v>
      </c>
      <c r="D17" s="3" t="s">
        <v>96</v>
      </c>
      <c r="E17" s="3">
        <v>16590</v>
      </c>
      <c r="F17" s="3">
        <v>4.5</v>
      </c>
      <c r="G17" s="3" t="s">
        <v>97</v>
      </c>
      <c r="H17" s="3" t="s">
        <v>98</v>
      </c>
      <c r="I17" s="3">
        <v>5</v>
      </c>
      <c r="J17" s="3">
        <v>5</v>
      </c>
      <c r="K17" s="3" t="s">
        <v>99</v>
      </c>
      <c r="L17" s="3" t="s">
        <v>100</v>
      </c>
      <c r="M17" s="3" t="s">
        <v>101</v>
      </c>
      <c r="N17" s="3" t="s">
        <v>101</v>
      </c>
      <c r="O17" s="3" t="s">
        <v>102</v>
      </c>
      <c r="P17" s="3" t="s">
        <v>117</v>
      </c>
      <c r="Q17" s="3" t="s">
        <v>104</v>
      </c>
      <c r="R17" s="3" t="s">
        <v>105</v>
      </c>
      <c r="S17" s="3" t="s">
        <v>106</v>
      </c>
      <c r="T17" s="3" t="s">
        <v>107</v>
      </c>
      <c r="U17" s="3" t="s">
        <v>118</v>
      </c>
      <c r="V17" s="3" t="s">
        <v>109</v>
      </c>
      <c r="W17" s="3" t="s">
        <v>101</v>
      </c>
      <c r="X17" s="3">
        <v>210</v>
      </c>
      <c r="Y17" s="3">
        <v>90</v>
      </c>
      <c r="Z17" s="3">
        <v>120</v>
      </c>
      <c r="AA17" s="3" t="s">
        <v>110</v>
      </c>
      <c r="AB17" s="3">
        <v>4000</v>
      </c>
      <c r="AC17" s="3">
        <v>4000</v>
      </c>
      <c r="AD17" s="3">
        <v>0.1157908048833724</v>
      </c>
      <c r="AE17" s="3"/>
      <c r="AF17" s="3">
        <v>128</v>
      </c>
      <c r="AG17" s="3" t="s">
        <v>132</v>
      </c>
      <c r="AH17" s="3">
        <v>0.1</v>
      </c>
      <c r="AI17" s="3">
        <v>27.512682232878571</v>
      </c>
      <c r="AJ17" s="3">
        <v>0.60736432908204496</v>
      </c>
      <c r="AK17" s="3">
        <v>27.512682232878571</v>
      </c>
      <c r="AL17" s="3">
        <v>8.3268263600039187</v>
      </c>
      <c r="AM17" s="3">
        <v>27.512682232878571</v>
      </c>
      <c r="AN17" s="3">
        <v>8.3268263600039187</v>
      </c>
      <c r="AO17" s="3">
        <v>10.42628945399291</v>
      </c>
      <c r="AP17" s="3">
        <v>0.60736432908204496</v>
      </c>
      <c r="AQ17" s="3">
        <v>111.56182475916999</v>
      </c>
      <c r="AR17" s="3">
        <v>17.718412143610191</v>
      </c>
      <c r="AS17" s="3">
        <v>19.17075105122969</v>
      </c>
      <c r="AT17" s="3">
        <v>-3.5102370108107628E-2</v>
      </c>
      <c r="AU17" s="3">
        <v>0.5714285714285714</v>
      </c>
      <c r="AV17" s="3">
        <v>4.0849339780707553E-2</v>
      </c>
      <c r="AW17" s="3">
        <v>0.70338097668951449</v>
      </c>
      <c r="AX17" s="3">
        <v>4.0849339780707553E-2</v>
      </c>
      <c r="AY17" s="3">
        <v>0.16456869023596341</v>
      </c>
      <c r="AZ17" s="3">
        <v>4.0849339780707553E-2</v>
      </c>
      <c r="BA17" s="3">
        <v>0.70338097668951449</v>
      </c>
      <c r="BB17" s="3">
        <v>0.16456869023596341</v>
      </c>
      <c r="BC17" s="3">
        <v>0.1513509983331347</v>
      </c>
      <c r="BD17" s="3">
        <v>9.3457458473617722E-2</v>
      </c>
      <c r="BE17" s="3">
        <v>0.32137801486287348</v>
      </c>
      <c r="BF17" s="3">
        <v>0.2524762850271301</v>
      </c>
      <c r="BG17" s="3">
        <v>0.23965394625790659</v>
      </c>
      <c r="BH17" s="3">
        <v>9.5576511792626398E-2</v>
      </c>
      <c r="BI17" s="3">
        <v>0.66884780006212607</v>
      </c>
      <c r="BJ17" s="3">
        <v>9.5576511792626398E-2</v>
      </c>
      <c r="BK17" s="3">
        <v>0.24544903370812871</v>
      </c>
      <c r="BL17" s="3">
        <v>9.5576511792626398E-2</v>
      </c>
      <c r="BM17" s="3">
        <v>0.66884780006212607</v>
      </c>
      <c r="BN17" s="3">
        <v>0.24544903370812871</v>
      </c>
      <c r="BO17" s="3">
        <v>0.30832445548831949</v>
      </c>
      <c r="BP17" s="3">
        <v>0.30587015369485943</v>
      </c>
      <c r="BQ17" s="3">
        <v>-5.9774754190209611E-2</v>
      </c>
      <c r="BR17" s="3">
        <v>0.48623661873369528</v>
      </c>
      <c r="BS17" s="3">
        <v>0.45056104923991502</v>
      </c>
      <c r="BT17" s="3">
        <v>0.15701931466042851</v>
      </c>
      <c r="BU17" s="3">
        <v>0.36961711714670359</v>
      </c>
      <c r="BV17" s="3">
        <v>0.15701931466042851</v>
      </c>
      <c r="BW17" s="3">
        <v>0.34606884420737388</v>
      </c>
      <c r="BX17" s="3">
        <v>0.15701931466042851</v>
      </c>
      <c r="BY17" s="3">
        <v>0.36961711714670359</v>
      </c>
      <c r="BZ17" s="3">
        <v>0.34606884420737388</v>
      </c>
      <c r="CA17" s="3">
        <v>0.33110947927406958</v>
      </c>
      <c r="CB17" s="3">
        <v>0.28242689649093</v>
      </c>
      <c r="CC17" s="3">
        <v>-0.1338546572457455</v>
      </c>
      <c r="CD17" s="3">
        <v>0.47111998448627052</v>
      </c>
      <c r="CE17" s="3">
        <v>0.47032810241797668</v>
      </c>
      <c r="CF17" s="3">
        <v>109.7572837652807</v>
      </c>
      <c r="CG17" s="3">
        <v>0.68761142242983186</v>
      </c>
      <c r="CH17" s="3">
        <v>109.7572837652807</v>
      </c>
      <c r="CI17" s="3">
        <v>8.2743374511765833</v>
      </c>
      <c r="CJ17" s="3">
        <v>109.7572837652807</v>
      </c>
      <c r="CK17" s="3">
        <v>0.68761142242983186</v>
      </c>
      <c r="CL17" s="3">
        <v>8.2743374511765833</v>
      </c>
      <c r="CM17" s="3">
        <v>10.393711853443669</v>
      </c>
      <c r="CN17" s="3">
        <v>445.56554452802209</v>
      </c>
      <c r="CO17" s="3">
        <v>-0.26815808385935802</v>
      </c>
      <c r="CP17" s="3">
        <v>17.667099914738401</v>
      </c>
      <c r="CQ17" s="4">
        <v>19.127487723382199</v>
      </c>
    </row>
    <row r="18" spans="1:95" x14ac:dyDescent="0.3">
      <c r="A18" s="2">
        <v>46058.797905092593</v>
      </c>
      <c r="B18" s="3" t="s">
        <v>131</v>
      </c>
      <c r="C18" s="3">
        <v>1</v>
      </c>
      <c r="D18" s="3" t="s">
        <v>96</v>
      </c>
      <c r="E18" s="3">
        <v>16590</v>
      </c>
      <c r="F18" s="3">
        <v>4.5</v>
      </c>
      <c r="G18" s="3" t="s">
        <v>97</v>
      </c>
      <c r="H18" s="3" t="s">
        <v>98</v>
      </c>
      <c r="I18" s="3">
        <v>5</v>
      </c>
      <c r="J18" s="3">
        <v>5</v>
      </c>
      <c r="K18" s="3" t="s">
        <v>99</v>
      </c>
      <c r="L18" s="3" t="s">
        <v>100</v>
      </c>
      <c r="M18" s="3" t="s">
        <v>101</v>
      </c>
      <c r="N18" s="3" t="s">
        <v>101</v>
      </c>
      <c r="O18" s="3" t="s">
        <v>102</v>
      </c>
      <c r="P18" s="3" t="s">
        <v>103</v>
      </c>
      <c r="Q18" s="3" t="s">
        <v>104</v>
      </c>
      <c r="R18" s="3" t="s">
        <v>105</v>
      </c>
      <c r="S18" s="3" t="s">
        <v>106</v>
      </c>
      <c r="T18" s="3" t="s">
        <v>107</v>
      </c>
      <c r="U18" s="3" t="s">
        <v>108</v>
      </c>
      <c r="V18" s="3" t="s">
        <v>109</v>
      </c>
      <c r="W18" s="3" t="s">
        <v>101</v>
      </c>
      <c r="X18" s="3">
        <v>200</v>
      </c>
      <c r="Y18" s="3">
        <v>80</v>
      </c>
      <c r="Z18" s="3">
        <v>120</v>
      </c>
      <c r="AA18" s="3" t="s">
        <v>110</v>
      </c>
      <c r="AB18" s="3">
        <v>4000</v>
      </c>
      <c r="AC18" s="3">
        <v>4000</v>
      </c>
      <c r="AD18" s="3">
        <v>0.1395430783224984</v>
      </c>
      <c r="AE18" s="3"/>
      <c r="AF18" s="3">
        <v>128</v>
      </c>
      <c r="AG18" s="3" t="s">
        <v>132</v>
      </c>
      <c r="AH18" s="3">
        <v>0.1</v>
      </c>
      <c r="AI18" s="3">
        <v>27.55674149227881</v>
      </c>
      <c r="AJ18" s="3">
        <v>0.62327809627532005</v>
      </c>
      <c r="AK18" s="3">
        <v>27.55674149227881</v>
      </c>
      <c r="AL18" s="3">
        <v>8.4800101557840222</v>
      </c>
      <c r="AM18" s="3">
        <v>27.55674149227881</v>
      </c>
      <c r="AN18" s="3">
        <v>8.4800101557840222</v>
      </c>
      <c r="AO18" s="3">
        <v>10.88554557715767</v>
      </c>
      <c r="AP18" s="3">
        <v>0.62327809627532005</v>
      </c>
      <c r="AQ18" s="3">
        <v>102.9702768527109</v>
      </c>
      <c r="AR18" s="3">
        <v>16.408472234389968</v>
      </c>
      <c r="AS18" s="3">
        <v>17.740693619175389</v>
      </c>
      <c r="AT18" s="3">
        <v>7.1770978582377298E-2</v>
      </c>
      <c r="AU18" s="3">
        <v>0.5714285714285714</v>
      </c>
      <c r="AV18" s="3">
        <v>3.6443937718917109E-2</v>
      </c>
      <c r="AW18" s="3">
        <v>0.73536989166031219</v>
      </c>
      <c r="AX18" s="3">
        <v>3.6443937718917109E-2</v>
      </c>
      <c r="AY18" s="3">
        <v>0.1559209934651983</v>
      </c>
      <c r="AZ18" s="3">
        <v>3.6443937718917109E-2</v>
      </c>
      <c r="BA18" s="3">
        <v>0.73536989166031219</v>
      </c>
      <c r="BB18" s="3">
        <v>0.1559209934651983</v>
      </c>
      <c r="BC18" s="3">
        <v>0.13992737688590451</v>
      </c>
      <c r="BD18" s="3">
        <v>7.4915354096130246E-2</v>
      </c>
      <c r="BE18" s="3">
        <v>0.456017666815558</v>
      </c>
      <c r="BF18" s="3">
        <v>0.22253013041728309</v>
      </c>
      <c r="BG18" s="3">
        <v>0.1902222971650967</v>
      </c>
      <c r="BH18" s="3">
        <v>0.11646980994018991</v>
      </c>
      <c r="BI18" s="3">
        <v>0.59645698441344974</v>
      </c>
      <c r="BJ18" s="3">
        <v>0.11646980994018991</v>
      </c>
      <c r="BK18" s="3">
        <v>0.2873092537085844</v>
      </c>
      <c r="BL18" s="3">
        <v>0.11646980994018991</v>
      </c>
      <c r="BM18" s="3">
        <v>0.59645698441344974</v>
      </c>
      <c r="BN18" s="3">
        <v>0.2873092537085844</v>
      </c>
      <c r="BO18" s="3">
        <v>0.31989998195946229</v>
      </c>
      <c r="BP18" s="3">
        <v>0.30167525063699407</v>
      </c>
      <c r="BQ18" s="3">
        <v>-4.5240311050536608E-2</v>
      </c>
      <c r="BR18" s="3">
        <v>0.4709501254794457</v>
      </c>
      <c r="BS18" s="3">
        <v>0.44423584863350141</v>
      </c>
      <c r="BT18" s="3">
        <v>0.13096849802093499</v>
      </c>
      <c r="BU18" s="3">
        <v>0.47420290603134402</v>
      </c>
      <c r="BV18" s="3">
        <v>0.13096849802093499</v>
      </c>
      <c r="BW18" s="3">
        <v>0.30968716944870073</v>
      </c>
      <c r="BX18" s="3">
        <v>0.13096849802093499</v>
      </c>
      <c r="BY18" s="3">
        <v>0.47420290603134402</v>
      </c>
      <c r="BZ18" s="3">
        <v>0.30968716944870073</v>
      </c>
      <c r="CA18" s="3">
        <v>0.35377262898231793</v>
      </c>
      <c r="CB18" s="3">
        <v>0.23741715399962171</v>
      </c>
      <c r="CC18" s="3">
        <v>4.684522218957099E-2</v>
      </c>
      <c r="CD18" s="3">
        <v>0.42660882003629608</v>
      </c>
      <c r="CE18" s="3">
        <v>0.42502925771290839</v>
      </c>
      <c r="CF18" s="3">
        <v>109.94308372343539</v>
      </c>
      <c r="CG18" s="3">
        <v>0.68708260299617441</v>
      </c>
      <c r="CH18" s="3">
        <v>109.94308372343539</v>
      </c>
      <c r="CI18" s="3">
        <v>8.4356802034988565</v>
      </c>
      <c r="CJ18" s="3">
        <v>109.94308372343539</v>
      </c>
      <c r="CK18" s="3">
        <v>0.68708260299617441</v>
      </c>
      <c r="CL18" s="3">
        <v>8.4356802034988565</v>
      </c>
      <c r="CM18" s="3">
        <v>10.85072110947193</v>
      </c>
      <c r="CN18" s="3">
        <v>411.26709965211109</v>
      </c>
      <c r="CO18" s="3">
        <v>-0.17053866362509101</v>
      </c>
      <c r="CP18" s="3">
        <v>16.358972759019679</v>
      </c>
      <c r="CQ18" s="4">
        <v>17.696037100639838</v>
      </c>
    </row>
    <row r="19" spans="1:95" x14ac:dyDescent="0.3">
      <c r="A19" s="5">
        <v>46058.697372685187</v>
      </c>
      <c r="B19" s="6" t="s">
        <v>135</v>
      </c>
      <c r="C19" s="6">
        <v>0</v>
      </c>
      <c r="D19" s="6" t="s">
        <v>96</v>
      </c>
      <c r="E19" s="6">
        <v>16590</v>
      </c>
      <c r="F19" s="6">
        <v>4.5</v>
      </c>
      <c r="G19" s="6" t="s">
        <v>97</v>
      </c>
      <c r="H19" s="6" t="s">
        <v>98</v>
      </c>
      <c r="I19" s="6">
        <v>5</v>
      </c>
      <c r="J19" s="6">
        <v>5</v>
      </c>
      <c r="K19" s="6" t="s">
        <v>99</v>
      </c>
      <c r="L19" s="6" t="s">
        <v>100</v>
      </c>
      <c r="M19" s="6" t="s">
        <v>101</v>
      </c>
      <c r="N19" s="6" t="s">
        <v>101</v>
      </c>
      <c r="O19" s="6" t="s">
        <v>102</v>
      </c>
      <c r="P19" s="6" t="s">
        <v>103</v>
      </c>
      <c r="Q19" s="6" t="s">
        <v>104</v>
      </c>
      <c r="R19" s="6" t="s">
        <v>105</v>
      </c>
      <c r="S19" s="6" t="s">
        <v>106</v>
      </c>
      <c r="T19" s="6" t="s">
        <v>107</v>
      </c>
      <c r="U19" s="6" t="s">
        <v>108</v>
      </c>
      <c r="V19" s="6" t="s">
        <v>109</v>
      </c>
      <c r="W19" s="6" t="s">
        <v>101</v>
      </c>
      <c r="X19" s="6">
        <v>200</v>
      </c>
      <c r="Y19" s="6">
        <v>80</v>
      </c>
      <c r="Z19" s="6">
        <v>120</v>
      </c>
      <c r="AA19" s="6" t="s">
        <v>110</v>
      </c>
      <c r="AB19" s="6">
        <v>4000</v>
      </c>
      <c r="AC19" s="6">
        <v>4000</v>
      </c>
      <c r="AD19" s="6">
        <v>0.12440007058746209</v>
      </c>
      <c r="AE19" s="6"/>
      <c r="AF19" s="6">
        <v>128</v>
      </c>
      <c r="AG19" s="6" t="s">
        <v>132</v>
      </c>
      <c r="AH19" s="6">
        <v>0.1</v>
      </c>
      <c r="AI19" s="6">
        <v>33.833976357588803</v>
      </c>
      <c r="AJ19" s="6">
        <v>0.56216371166885726</v>
      </c>
      <c r="AK19" s="6">
        <v>33.833976357588803</v>
      </c>
      <c r="AL19" s="6">
        <v>9.1493908108400923</v>
      </c>
      <c r="AM19" s="6">
        <v>33.833976357588803</v>
      </c>
      <c r="AN19" s="6">
        <v>9.1493908108400923</v>
      </c>
      <c r="AO19" s="6">
        <v>8.3676321228866097</v>
      </c>
      <c r="AP19" s="6">
        <v>0.56216371166885726</v>
      </c>
      <c r="AQ19" s="6">
        <v>118.2753898088004</v>
      </c>
      <c r="AR19" s="6">
        <v>17.998396957028259</v>
      </c>
      <c r="AS19" s="6">
        <v>17.539073377543389</v>
      </c>
      <c r="AT19" s="6">
        <v>-5.9528546179025747E-2</v>
      </c>
      <c r="AU19" s="6">
        <v>0.5714285714285714</v>
      </c>
      <c r="AV19" s="6">
        <v>5.4198551624304522E-2</v>
      </c>
      <c r="AW19" s="6">
        <v>0.6064484387276019</v>
      </c>
      <c r="AX19" s="6">
        <v>5.4198551624304522E-2</v>
      </c>
      <c r="AY19" s="6">
        <v>0.1870283042056434</v>
      </c>
      <c r="AZ19" s="6">
        <v>5.4198551624304522E-2</v>
      </c>
      <c r="BA19" s="6">
        <v>0.6064484387276019</v>
      </c>
      <c r="BB19" s="6">
        <v>0.1870283042056434</v>
      </c>
      <c r="BC19" s="6">
        <v>0.1772485701191614</v>
      </c>
      <c r="BD19" s="6">
        <v>8.8049413773699584E-2</v>
      </c>
      <c r="BE19" s="6">
        <v>0.36064741176183562</v>
      </c>
      <c r="BF19" s="6">
        <v>0.24026509614119559</v>
      </c>
      <c r="BG19" s="6">
        <v>0.23038323626537319</v>
      </c>
      <c r="BH19" s="6">
        <v>0.13559716948885109</v>
      </c>
      <c r="BI19" s="6">
        <v>0.53018476883725285</v>
      </c>
      <c r="BJ19" s="6">
        <v>0.13559716948885109</v>
      </c>
      <c r="BK19" s="6">
        <v>0.3191311913586567</v>
      </c>
      <c r="BL19" s="6">
        <v>0.13559716948885109</v>
      </c>
      <c r="BM19" s="6">
        <v>0.53018476883725285</v>
      </c>
      <c r="BN19" s="6">
        <v>0.3191311913586567</v>
      </c>
      <c r="BO19" s="6">
        <v>0.38183162931008691</v>
      </c>
      <c r="BP19" s="6">
        <v>0.31753196430558223</v>
      </c>
      <c r="BQ19" s="6">
        <v>-0.1001804372034041</v>
      </c>
      <c r="BR19" s="6">
        <v>0.49396072415234932</v>
      </c>
      <c r="BS19" s="6">
        <v>0.51933371966752606</v>
      </c>
      <c r="BT19" s="6">
        <v>0.12546089077952949</v>
      </c>
      <c r="BU19" s="6">
        <v>0.49631420703892548</v>
      </c>
      <c r="BV19" s="6">
        <v>0.12546089077952949</v>
      </c>
      <c r="BW19" s="6">
        <v>0.29679151479613619</v>
      </c>
      <c r="BX19" s="6">
        <v>0.12546089077952949</v>
      </c>
      <c r="BY19" s="6">
        <v>0.49631420703892548</v>
      </c>
      <c r="BZ19" s="6">
        <v>0.29679151479613619</v>
      </c>
      <c r="CA19" s="6">
        <v>0.35052240577274379</v>
      </c>
      <c r="CB19" s="6">
        <v>0.28745059423436969</v>
      </c>
      <c r="CC19" s="6">
        <v>-0.15402321468049029</v>
      </c>
      <c r="CD19" s="6">
        <v>0.46957574799244378</v>
      </c>
      <c r="CE19" s="6">
        <v>0.49289804219105049</v>
      </c>
      <c r="CF19" s="6">
        <v>135.02064881846229</v>
      </c>
      <c r="CG19" s="6">
        <v>0.61570743207164735</v>
      </c>
      <c r="CH19" s="6">
        <v>135.02064881846229</v>
      </c>
      <c r="CI19" s="6">
        <v>9.0973603095055786</v>
      </c>
      <c r="CJ19" s="6">
        <v>135.02064881846229</v>
      </c>
      <c r="CK19" s="6">
        <v>0.61570743207164735</v>
      </c>
      <c r="CL19" s="6">
        <v>9.0973603095055786</v>
      </c>
      <c r="CM19" s="6">
        <v>8.295599522961064</v>
      </c>
      <c r="CN19" s="6">
        <v>472.40852726288853</v>
      </c>
      <c r="CO19" s="6">
        <v>-0.34455794459404993</v>
      </c>
      <c r="CP19" s="6">
        <v>17.94603408457494</v>
      </c>
      <c r="CQ19" s="7">
        <v>17.47645516983965</v>
      </c>
    </row>
    <row r="20" spans="1:95" x14ac:dyDescent="0.3">
      <c r="A20" s="13">
        <v>46059.232858796298</v>
      </c>
      <c r="B20" s="14" t="s">
        <v>133</v>
      </c>
      <c r="C20" s="14">
        <v>0</v>
      </c>
      <c r="D20" s="14" t="s">
        <v>96</v>
      </c>
      <c r="E20" s="14">
        <v>16590</v>
      </c>
      <c r="F20" s="14">
        <v>4.5</v>
      </c>
      <c r="G20" s="14" t="s">
        <v>97</v>
      </c>
      <c r="H20" s="14" t="s">
        <v>98</v>
      </c>
      <c r="I20" s="14">
        <v>5</v>
      </c>
      <c r="J20" s="14">
        <v>5</v>
      </c>
      <c r="K20" s="14" t="s">
        <v>99</v>
      </c>
      <c r="L20" s="14" t="s">
        <v>100</v>
      </c>
      <c r="M20" s="14" t="s">
        <v>101</v>
      </c>
      <c r="N20" s="14" t="s">
        <v>101</v>
      </c>
      <c r="O20" s="14" t="s">
        <v>102</v>
      </c>
      <c r="P20" s="14" t="s">
        <v>117</v>
      </c>
      <c r="Q20" s="14" t="s">
        <v>104</v>
      </c>
      <c r="R20" s="14" t="s">
        <v>105</v>
      </c>
      <c r="S20" s="14" t="s">
        <v>106</v>
      </c>
      <c r="T20" s="14" t="s">
        <v>107</v>
      </c>
      <c r="U20" s="14" t="s">
        <v>118</v>
      </c>
      <c r="V20" s="14" t="s">
        <v>109</v>
      </c>
      <c r="W20" s="14" t="s">
        <v>101</v>
      </c>
      <c r="X20" s="14">
        <v>210</v>
      </c>
      <c r="Y20" s="14">
        <v>90</v>
      </c>
      <c r="Z20" s="14">
        <v>120</v>
      </c>
      <c r="AA20" s="14" t="s">
        <v>110</v>
      </c>
      <c r="AB20" s="14">
        <v>4000</v>
      </c>
      <c r="AC20" s="14">
        <v>4000</v>
      </c>
      <c r="AD20" s="14">
        <v>0.1096436536045944</v>
      </c>
      <c r="AE20" s="14"/>
      <c r="AF20" s="14">
        <v>128</v>
      </c>
      <c r="AG20" s="14" t="s">
        <v>132</v>
      </c>
      <c r="AH20" s="14">
        <v>0.1</v>
      </c>
      <c r="AI20" s="14">
        <v>33.390282603830038</v>
      </c>
      <c r="AJ20" s="14">
        <v>0.62218717027294024</v>
      </c>
      <c r="AK20" s="14">
        <v>33.390282603830038</v>
      </c>
      <c r="AL20" s="14">
        <v>9.1930689003258159</v>
      </c>
      <c r="AM20" s="14">
        <v>33.390282603830038</v>
      </c>
      <c r="AN20" s="14">
        <v>9.1930689003258159</v>
      </c>
      <c r="AO20" s="14">
        <v>8.3811444824261478</v>
      </c>
      <c r="AP20" s="14">
        <v>0.62218717027294024</v>
      </c>
      <c r="AQ20" s="14">
        <v>136.7093360980806</v>
      </c>
      <c r="AR20" s="14">
        <v>19.34220466946541</v>
      </c>
      <c r="AS20" s="14">
        <v>19.928408420634749</v>
      </c>
      <c r="AT20" s="14">
        <v>-0.57059380520227221</v>
      </c>
      <c r="AU20" s="14">
        <v>0.5714285714285714</v>
      </c>
      <c r="AV20" s="14">
        <v>5.6956174752434273E-2</v>
      </c>
      <c r="AW20" s="14">
        <v>0.5864245293250181</v>
      </c>
      <c r="AX20" s="14">
        <v>5.6956174752434273E-2</v>
      </c>
      <c r="AY20" s="14">
        <v>0.18874743972424851</v>
      </c>
      <c r="AZ20" s="14">
        <v>5.6956174752434273E-2</v>
      </c>
      <c r="BA20" s="14">
        <v>0.5864245293250181</v>
      </c>
      <c r="BB20" s="14">
        <v>0.18874743972424851</v>
      </c>
      <c r="BC20" s="14">
        <v>0.1731916728132592</v>
      </c>
      <c r="BD20" s="14">
        <v>0.30735871190161851</v>
      </c>
      <c r="BE20" s="14">
        <v>-1.231821650475837</v>
      </c>
      <c r="BF20" s="14">
        <v>0.46349754924983799</v>
      </c>
      <c r="BG20" s="14">
        <v>0.42349521263529222</v>
      </c>
      <c r="BH20" s="14">
        <v>8.950735954653069E-2</v>
      </c>
      <c r="BI20" s="14">
        <v>0.68987611633310686</v>
      </c>
      <c r="BJ20" s="14">
        <v>8.950735954653069E-2</v>
      </c>
      <c r="BK20" s="14">
        <v>0.23875167066537839</v>
      </c>
      <c r="BL20" s="14">
        <v>8.950735954653069E-2</v>
      </c>
      <c r="BM20" s="14">
        <v>0.68987611633310686</v>
      </c>
      <c r="BN20" s="14">
        <v>0.23875167066537839</v>
      </c>
      <c r="BO20" s="14">
        <v>0.27768646031128452</v>
      </c>
      <c r="BP20" s="14">
        <v>0.32376644670333099</v>
      </c>
      <c r="BQ20" s="14">
        <v>-0.12178158713831649</v>
      </c>
      <c r="BR20" s="14">
        <v>0.49262121057079927</v>
      </c>
      <c r="BS20" s="14">
        <v>0.49207751245440162</v>
      </c>
      <c r="BT20" s="14">
        <v>0.1016567351285264</v>
      </c>
      <c r="BU20" s="14">
        <v>0.59188036267792765</v>
      </c>
      <c r="BV20" s="14">
        <v>0.1016567351285264</v>
      </c>
      <c r="BW20" s="14">
        <v>0.26112136026082933</v>
      </c>
      <c r="BX20" s="14">
        <v>0.1016567351285264</v>
      </c>
      <c r="BY20" s="14">
        <v>0.59188036267792765</v>
      </c>
      <c r="BZ20" s="14">
        <v>0.26112136026082933</v>
      </c>
      <c r="CA20" s="14">
        <v>0.30428878001403969</v>
      </c>
      <c r="CB20" s="14">
        <v>0.34252952437606771</v>
      </c>
      <c r="CC20" s="14">
        <v>-0.37514769762888722</v>
      </c>
      <c r="CD20" s="14">
        <v>0.51129798986833841</v>
      </c>
      <c r="CE20" s="14">
        <v>0.52109178702705772</v>
      </c>
      <c r="CF20" s="14">
        <v>133.3130101458926</v>
      </c>
      <c r="CG20" s="14">
        <v>0.62056767275570635</v>
      </c>
      <c r="CH20" s="14">
        <v>133.3130101458926</v>
      </c>
      <c r="CI20" s="14">
        <v>9.1511200027464898</v>
      </c>
      <c r="CJ20" s="14">
        <v>133.3130101458926</v>
      </c>
      <c r="CK20" s="14">
        <v>0.62056767275570635</v>
      </c>
      <c r="CL20" s="14">
        <v>9.1511200027464898</v>
      </c>
      <c r="CM20" s="14">
        <v>8.3188018059162108</v>
      </c>
      <c r="CN20" s="14">
        <v>545.86368970934211</v>
      </c>
      <c r="CO20" s="14">
        <v>-0.5536242855660547</v>
      </c>
      <c r="CP20" s="14">
        <v>19.27819960612409</v>
      </c>
      <c r="CQ20" s="15">
        <v>19.877929496784649</v>
      </c>
    </row>
    <row r="21" spans="1:95" x14ac:dyDescent="0.3">
      <c r="A21" s="2">
        <v>46059.457476851851</v>
      </c>
      <c r="B21" s="6" t="s">
        <v>141</v>
      </c>
      <c r="C21" s="6">
        <v>0</v>
      </c>
      <c r="D21" s="6" t="s">
        <v>96</v>
      </c>
      <c r="E21" s="3">
        <v>16590</v>
      </c>
      <c r="F21" s="3">
        <v>4.5</v>
      </c>
      <c r="G21" s="6" t="s">
        <v>97</v>
      </c>
      <c r="H21" s="6" t="s">
        <v>98</v>
      </c>
      <c r="I21" s="6">
        <v>5</v>
      </c>
      <c r="J21" s="6">
        <v>5</v>
      </c>
      <c r="K21" s="6" t="s">
        <v>99</v>
      </c>
      <c r="L21" s="6" t="s">
        <v>100</v>
      </c>
      <c r="M21" s="6" t="s">
        <v>101</v>
      </c>
      <c r="N21" s="6" t="s">
        <v>101</v>
      </c>
      <c r="O21" s="6" t="s">
        <v>102</v>
      </c>
      <c r="P21" s="6" t="s">
        <v>120</v>
      </c>
      <c r="Q21" s="6" t="s">
        <v>104</v>
      </c>
      <c r="R21" s="6" t="s">
        <v>105</v>
      </c>
      <c r="S21" s="6" t="s">
        <v>106</v>
      </c>
      <c r="T21" s="6" t="s">
        <v>107</v>
      </c>
      <c r="U21" s="6" t="s">
        <v>118</v>
      </c>
      <c r="V21" s="6" t="s">
        <v>109</v>
      </c>
      <c r="W21" s="6" t="s">
        <v>101</v>
      </c>
      <c r="X21" s="6">
        <v>210</v>
      </c>
      <c r="Y21" s="6">
        <v>90</v>
      </c>
      <c r="Z21" s="6">
        <v>120</v>
      </c>
      <c r="AA21" s="6" t="s">
        <v>110</v>
      </c>
      <c r="AB21" s="6">
        <v>4000</v>
      </c>
      <c r="AC21" s="6">
        <v>4000</v>
      </c>
      <c r="AD21" s="6">
        <v>0.1022984348484198</v>
      </c>
      <c r="AE21" s="6"/>
      <c r="AF21" s="6">
        <v>128</v>
      </c>
      <c r="AG21" s="6" t="s">
        <v>111</v>
      </c>
      <c r="AH21" s="6">
        <v>0.15</v>
      </c>
      <c r="AI21" s="6">
        <v>25.99838145862989</v>
      </c>
      <c r="AJ21" s="6">
        <v>0.77385176782163967</v>
      </c>
      <c r="AK21" s="6">
        <v>25.99838145862989</v>
      </c>
      <c r="AL21" s="6">
        <v>7.694404440716009</v>
      </c>
      <c r="AM21" s="6">
        <v>25.99838145862989</v>
      </c>
      <c r="AN21" s="6">
        <v>7.694404440716009</v>
      </c>
      <c r="AO21" s="6">
        <v>7.1660450605898536</v>
      </c>
      <c r="AP21" s="6">
        <v>0.77385176782163967</v>
      </c>
      <c r="AQ21" s="6">
        <v>170.0519738532555</v>
      </c>
      <c r="AR21" s="6">
        <v>21.806079262615501</v>
      </c>
      <c r="AS21" s="6">
        <v>23.31634891402345</v>
      </c>
      <c r="AT21" s="6">
        <v>-1.131939046537173</v>
      </c>
      <c r="AU21" s="6">
        <v>0.5714285714285714</v>
      </c>
      <c r="AV21" s="6">
        <v>2.1791293765083632E-2</v>
      </c>
      <c r="AW21" s="6">
        <v>0.8417670320262145</v>
      </c>
      <c r="AX21" s="6">
        <v>2.1791293765083632E-2</v>
      </c>
      <c r="AY21" s="6">
        <v>0.11749936181449119</v>
      </c>
      <c r="AZ21" s="6">
        <v>2.1791293765083632E-2</v>
      </c>
      <c r="BA21" s="6">
        <v>0.8417670320262145</v>
      </c>
      <c r="BB21" s="6">
        <v>0.11749936181449119</v>
      </c>
      <c r="BC21" s="6">
        <v>0.1016315508107663</v>
      </c>
      <c r="BD21" s="6">
        <v>0.52864701923618518</v>
      </c>
      <c r="BE21" s="6">
        <v>-2.838660878330618</v>
      </c>
      <c r="BF21" s="6">
        <v>0.60645443360690932</v>
      </c>
      <c r="BG21" s="6">
        <v>0.75530863040688034</v>
      </c>
      <c r="BH21" s="6">
        <v>5.7948675171007609E-2</v>
      </c>
      <c r="BI21" s="6">
        <v>0.79922021732702642</v>
      </c>
      <c r="BJ21" s="6">
        <v>5.7948675171007609E-2</v>
      </c>
      <c r="BK21" s="6">
        <v>0.1905917270190621</v>
      </c>
      <c r="BL21" s="6">
        <v>5.7948675171007609E-2</v>
      </c>
      <c r="BM21" s="6">
        <v>0.79922021732702642</v>
      </c>
      <c r="BN21" s="6">
        <v>0.1905917270190621</v>
      </c>
      <c r="BO21" s="6">
        <v>0.19864177118877599</v>
      </c>
      <c r="BP21" s="6">
        <v>0.35606605593339741</v>
      </c>
      <c r="BQ21" s="6">
        <v>-0.23369283450500841</v>
      </c>
      <c r="BR21" s="6">
        <v>0.5128949603970604</v>
      </c>
      <c r="BS21" s="6">
        <v>0.50327657817880289</v>
      </c>
      <c r="BT21" s="6">
        <v>6.2271521279278132E-2</v>
      </c>
      <c r="BU21" s="6">
        <v>0.74999953866449631</v>
      </c>
      <c r="BV21" s="6">
        <v>6.2271521279278132E-2</v>
      </c>
      <c r="BW21" s="6">
        <v>0.19946335721016409</v>
      </c>
      <c r="BX21" s="6">
        <v>6.2271521279278132E-2</v>
      </c>
      <c r="BY21" s="6">
        <v>0.74999953866449631</v>
      </c>
      <c r="BZ21" s="6">
        <v>0.19946335721016409</v>
      </c>
      <c r="CA21" s="6">
        <v>0.23113415902838319</v>
      </c>
      <c r="CB21" s="6">
        <v>0.37935956709596991</v>
      </c>
      <c r="CC21" s="6">
        <v>-0.52300866973662674</v>
      </c>
      <c r="CD21" s="6">
        <v>0.52272124759347138</v>
      </c>
      <c r="CE21" s="6">
        <v>0.51373249306540314</v>
      </c>
      <c r="CF21" s="6">
        <v>103.85151434430411</v>
      </c>
      <c r="CG21" s="6">
        <v>0.70442028326882322</v>
      </c>
      <c r="CH21" s="6">
        <v>103.85151434430411</v>
      </c>
      <c r="CI21" s="6">
        <v>7.6662280718856577</v>
      </c>
      <c r="CJ21" s="6">
        <v>103.85151434430411</v>
      </c>
      <c r="CK21" s="6">
        <v>0.70442028326882322</v>
      </c>
      <c r="CL21" s="6">
        <v>7.6662280718856577</v>
      </c>
      <c r="CM21" s="6">
        <v>7.1291440519565246</v>
      </c>
      <c r="CN21" s="6">
        <v>678.94382277075522</v>
      </c>
      <c r="CO21" s="6">
        <v>-0.93239380357643165</v>
      </c>
      <c r="CP21" s="6">
        <v>21.740184603193061</v>
      </c>
      <c r="CQ21" s="7">
        <v>23.252602381818789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7191A-4CC1-4BAF-A17B-210CE6AB086D}">
  <dimension ref="A1:H10"/>
  <sheetViews>
    <sheetView tabSelected="1" workbookViewId="0">
      <selection activeCell="D20" sqref="D20"/>
    </sheetView>
  </sheetViews>
  <sheetFormatPr baseColWidth="10" defaultRowHeight="14.4" x14ac:dyDescent="0.3"/>
  <cols>
    <col min="1" max="1" width="17.109375" bestFit="1" customWidth="1"/>
    <col min="2" max="2" width="25.44140625" bestFit="1" customWidth="1"/>
    <col min="3" max="3" width="26.6640625" bestFit="1" customWidth="1"/>
    <col min="4" max="4" width="39" bestFit="1" customWidth="1"/>
    <col min="5" max="5" width="38.5546875" bestFit="1" customWidth="1"/>
    <col min="6" max="6" width="34.44140625" bestFit="1" customWidth="1"/>
    <col min="7" max="7" width="35.6640625" bestFit="1" customWidth="1"/>
    <col min="8" max="8" width="18.44140625" bestFit="1" customWidth="1"/>
  </cols>
  <sheetData>
    <row r="1" spans="1:8" x14ac:dyDescent="0.3">
      <c r="A1" s="11" t="s">
        <v>123</v>
      </c>
      <c r="B1" t="s">
        <v>125</v>
      </c>
      <c r="C1" t="s">
        <v>126</v>
      </c>
      <c r="D1" t="s">
        <v>127</v>
      </c>
      <c r="E1" t="s">
        <v>128</v>
      </c>
      <c r="F1" t="s">
        <v>129</v>
      </c>
      <c r="G1" t="s">
        <v>130</v>
      </c>
      <c r="H1" t="s">
        <v>142</v>
      </c>
    </row>
    <row r="2" spans="1:8" x14ac:dyDescent="0.3">
      <c r="A2" s="12" t="s">
        <v>132</v>
      </c>
      <c r="B2" s="18">
        <v>0.56447351957972036</v>
      </c>
      <c r="C2" s="18">
        <v>-8.3246196980938603E-2</v>
      </c>
      <c r="D2" s="18">
        <v>0.62877890341875875</v>
      </c>
      <c r="E2" s="18">
        <v>0.57040817460381854</v>
      </c>
      <c r="F2" s="18">
        <v>0.42020883827422939</v>
      </c>
      <c r="G2" s="18">
        <v>0.63849816202207266</v>
      </c>
      <c r="H2" s="18">
        <v>10</v>
      </c>
    </row>
    <row r="3" spans="1:8" x14ac:dyDescent="0.3">
      <c r="A3" s="16">
        <v>0.1</v>
      </c>
      <c r="B3" s="18">
        <v>0.56447351957972036</v>
      </c>
      <c r="C3" s="18">
        <v>-8.3246196980938603E-2</v>
      </c>
      <c r="D3" s="18">
        <v>0.62877890341875875</v>
      </c>
      <c r="E3" s="18">
        <v>0.57040817460381854</v>
      </c>
      <c r="F3" s="18">
        <v>0.42020883827422939</v>
      </c>
      <c r="G3" s="18">
        <v>0.63849816202207266</v>
      </c>
      <c r="H3" s="18">
        <v>10</v>
      </c>
    </row>
    <row r="4" spans="1:8" x14ac:dyDescent="0.3">
      <c r="A4" s="17" t="s">
        <v>108</v>
      </c>
      <c r="B4" s="18">
        <v>0.53328138124002011</v>
      </c>
      <c r="C4" s="18">
        <v>6.8306406994246439E-3</v>
      </c>
      <c r="D4" s="18">
        <v>0.61915282845956765</v>
      </c>
      <c r="E4" s="18">
        <v>0.48817379745092804</v>
      </c>
      <c r="F4" s="18">
        <v>0.38614518228353573</v>
      </c>
      <c r="G4" s="18">
        <v>0.6396537167660471</v>
      </c>
      <c r="H4" s="18">
        <v>5</v>
      </c>
    </row>
    <row r="5" spans="1:8" x14ac:dyDescent="0.3">
      <c r="A5" s="17" t="s">
        <v>118</v>
      </c>
      <c r="B5" s="18">
        <v>0.59566565791942083</v>
      </c>
      <c r="C5" s="18">
        <v>-0.17332303466130186</v>
      </c>
      <c r="D5" s="18">
        <v>0.63840497837794996</v>
      </c>
      <c r="E5" s="18">
        <v>0.65264255175670915</v>
      </c>
      <c r="F5" s="18">
        <v>0.45427249426492305</v>
      </c>
      <c r="G5" s="18">
        <v>0.63734260727809811</v>
      </c>
      <c r="H5" s="18">
        <v>5</v>
      </c>
    </row>
    <row r="6" spans="1:8" x14ac:dyDescent="0.3">
      <c r="A6" s="12" t="s">
        <v>111</v>
      </c>
      <c r="B6" s="18">
        <v>0.73828883606182405</v>
      </c>
      <c r="C6" s="18">
        <v>-0.1339587502009397</v>
      </c>
      <c r="D6" s="18">
        <v>0.8065503094635359</v>
      </c>
      <c r="E6" s="18">
        <v>0.74719945036208057</v>
      </c>
      <c r="F6" s="18">
        <v>0.65937952923523979</v>
      </c>
      <c r="G6" s="18">
        <v>0.74002605518644016</v>
      </c>
      <c r="H6" s="18">
        <v>10</v>
      </c>
    </row>
    <row r="7" spans="1:8" x14ac:dyDescent="0.3">
      <c r="A7" s="16">
        <v>0.15</v>
      </c>
      <c r="B7" s="18">
        <v>0.73828883606182405</v>
      </c>
      <c r="C7" s="18">
        <v>-0.1339587502009397</v>
      </c>
      <c r="D7" s="18">
        <v>0.8065503094635359</v>
      </c>
      <c r="E7" s="18">
        <v>0.74719945036208057</v>
      </c>
      <c r="F7" s="18">
        <v>0.65937952923523979</v>
      </c>
      <c r="G7" s="18">
        <v>0.74002605518644016</v>
      </c>
      <c r="H7" s="18">
        <v>10</v>
      </c>
    </row>
    <row r="8" spans="1:8" x14ac:dyDescent="0.3">
      <c r="A8" s="17" t="s">
        <v>108</v>
      </c>
      <c r="B8" s="18">
        <v>0.70757586250181981</v>
      </c>
      <c r="C8" s="18">
        <v>2.602171957264441E-2</v>
      </c>
      <c r="D8" s="18">
        <v>0.78800379585407199</v>
      </c>
      <c r="E8" s="18">
        <v>0.68649491545070418</v>
      </c>
      <c r="F8" s="18">
        <v>0.61740672723026069</v>
      </c>
      <c r="G8" s="18">
        <v>0.73839801147224138</v>
      </c>
      <c r="H8" s="18">
        <v>5</v>
      </c>
    </row>
    <row r="9" spans="1:8" x14ac:dyDescent="0.3">
      <c r="A9" s="17" t="s">
        <v>118</v>
      </c>
      <c r="B9" s="18">
        <v>0.76900180962182851</v>
      </c>
      <c r="C9" s="18">
        <v>-0.29393921997452377</v>
      </c>
      <c r="D9" s="18">
        <v>0.82509682307299992</v>
      </c>
      <c r="E9" s="18">
        <v>0.80790398527345686</v>
      </c>
      <c r="F9" s="18">
        <v>0.70135233124021901</v>
      </c>
      <c r="G9" s="18">
        <v>0.74165409890063905</v>
      </c>
      <c r="H9" s="18">
        <v>5</v>
      </c>
    </row>
    <row r="10" spans="1:8" x14ac:dyDescent="0.3">
      <c r="A10" s="12" t="s">
        <v>124</v>
      </c>
      <c r="B10" s="18">
        <v>0.65138117782077232</v>
      </c>
      <c r="C10" s="18">
        <v>-0.10860247359093915</v>
      </c>
      <c r="D10" s="18">
        <v>0.71766460644114738</v>
      </c>
      <c r="E10" s="18">
        <v>0.65880381248294939</v>
      </c>
      <c r="F10" s="18">
        <v>0.53979418375473476</v>
      </c>
      <c r="G10" s="18">
        <v>0.68926210860425641</v>
      </c>
      <c r="H10" s="18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Main_results</vt:lpstr>
      <vt:lpstr>Analizer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Uxue Ballarin</dc:creator>
  <cp:lastModifiedBy>Uxue Ballarin Manso</cp:lastModifiedBy>
  <dcterms:created xsi:type="dcterms:W3CDTF">2015-06-05T18:19:34Z</dcterms:created>
  <dcterms:modified xsi:type="dcterms:W3CDTF">2026-02-11T09:50:40Z</dcterms:modified>
</cp:coreProperties>
</file>