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sorted_by_experiment/"/>
    </mc:Choice>
  </mc:AlternateContent>
  <xr:revisionPtr revIDLastSave="39" documentId="11_AD4D2F04E46CFB4ACB3E20D455D6CCDA693EDF1F" xr6:coauthVersionLast="47" xr6:coauthVersionMax="47" xr10:uidLastSave="{57A120E0-94D2-46D6-8033-F3CE589D24A7}"/>
  <bookViews>
    <workbookView xWindow="28680" yWindow="-5580" windowWidth="51840" windowHeight="21120" activeTab="1" xr2:uid="{00000000-000D-0000-FFFF-FFFF00000000}"/>
  </bookViews>
  <sheets>
    <sheet name="Main_results" sheetId="1" r:id="rId1"/>
    <sheet name="Analizer" sheetId="2" r:id="rId2"/>
  </sheets>
  <definedNames>
    <definedName name="_xlnm._FilterDatabase" localSheetId="0" hidden="1">Main_results!$A$1:$CQ$15</definedName>
  </definedName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<sst xmlns="http://schemas.openxmlformats.org/spreadsheetml/2006/main" count="391" uniqueCount="135">
  <si>
    <t>date</t>
  </si>
  <si>
    <t>model_id</t>
  </si>
  <si>
    <t>run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</si>
  <si>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</si>
  <si>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</si>
  <si>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</si>
  <si>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</si>
  <si>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</si>
  <si>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</si>
  <si>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</si>
  <si>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</si>
  <si>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</si>
  <si>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</si>
  <si>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</si>
  <si>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</si>
  <si>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</si>
  <si>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</si>
  <si>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</si>
  <si>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</si>
  <si>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</si>
  <si>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</si>
  <si>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</si>
  <si>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</si>
  <si>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total params</t>
  </si>
  <si>
    <t>q params</t>
  </si>
  <si>
    <t>c params</t>
  </si>
  <si>
    <t>optimizer</t>
  </si>
  <si>
    <t>maxiter</t>
  </si>
  <si>
    <t>iterations</t>
  </si>
  <si>
    <t>final val loss</t>
  </si>
  <si>
    <t>tolerance</t>
  </si>
  <si>
    <t>batch_size</t>
  </si>
  <si>
    <t>learning_rate</t>
  </si>
  <si>
    <t>perturbation</t>
  </si>
  <si>
    <t>step MSE</t>
  </si>
  <si>
    <t>step R2</t>
  </si>
  <si>
    <t>local MSE</t>
  </si>
  <si>
    <t>local ADE</t>
  </si>
  <si>
    <t>global open MSE</t>
  </si>
  <si>
    <t>global open ADE</t>
  </si>
  <si>
    <t>global open FDE</t>
  </si>
  <si>
    <t>global open R2</t>
  </si>
  <si>
    <t>global closed MSE</t>
  </si>
  <si>
    <t>global closed ADE</t>
  </si>
  <si>
    <t>global closed FDE</t>
  </si>
  <si>
    <t>global closed R2</t>
  </si>
  <si>
    <t>recursivity</t>
  </si>
  <si>
    <t>Surge Velocity Step MSE</t>
  </si>
  <si>
    <t>Surge Velocity Step R2</t>
  </si>
  <si>
    <t>Surge Velocity Local MSE</t>
  </si>
  <si>
    <t>Surge Velocity Local ADE</t>
  </si>
  <si>
    <t>Surge Velocity Global open MSE</t>
  </si>
  <si>
    <t>Surge Velocity Global open R2</t>
  </si>
  <si>
    <t>Surge Velocity Global open ADE</t>
  </si>
  <si>
    <t>Surge Velocity Global open FDE</t>
  </si>
  <si>
    <t>Surge Velocity Global closed MSE</t>
  </si>
  <si>
    <t>Surge Velocity Global closed R2</t>
  </si>
  <si>
    <t>Surge Velocity Global closed ADE</t>
  </si>
  <si>
    <t>Surge Velocity Global closed FDE</t>
  </si>
  <si>
    <t>Sway Velocity Step MSE</t>
  </si>
  <si>
    <t>Sway Velocity Step R2</t>
  </si>
  <si>
    <t>Sway Velocity Local MSE</t>
  </si>
  <si>
    <t>Sway Velocity Local ADE</t>
  </si>
  <si>
    <t>Sway Velocity Global open MSE</t>
  </si>
  <si>
    <t>Sway Velocity Global open R2</t>
  </si>
  <si>
    <t>Sway Velocity Global open ADE</t>
  </si>
  <si>
    <t>Sway Velocity Global open FDE</t>
  </si>
  <si>
    <t>Sway Velocity Global closed MSE</t>
  </si>
  <si>
    <t>Sway Velocity Global closed R2</t>
  </si>
  <si>
    <t>Sway Velocity Global closed ADE</t>
  </si>
  <si>
    <t>Sway Velocity Global closed FDE</t>
  </si>
  <si>
    <t>Yaw Rate Step MSE</t>
  </si>
  <si>
    <t>Yaw Rate Step R2</t>
  </si>
  <si>
    <t>Yaw Rate Local MSE</t>
  </si>
  <si>
    <t>Yaw Rate Local ADE</t>
  </si>
  <si>
    <t>Yaw Rate Global open MSE</t>
  </si>
  <si>
    <t>Yaw Rate Global open R2</t>
  </si>
  <si>
    <t>Yaw Rate Global open ADE</t>
  </si>
  <si>
    <t>Yaw Rate Global open FDE</t>
  </si>
  <si>
    <t>Yaw Rate Global closed MSE</t>
  </si>
  <si>
    <t>Yaw Rate Global closed R2</t>
  </si>
  <si>
    <t>Yaw Rate Global closed ADE</t>
  </si>
  <si>
    <t>Yaw Rate Global closed FDE</t>
  </si>
  <si>
    <t>Yaw Angle Step MSE</t>
  </si>
  <si>
    <t>Yaw Angle Step R2</t>
  </si>
  <si>
    <t>Yaw Angle Local MSE</t>
  </si>
  <si>
    <t>Yaw Angle Local ADE</t>
  </si>
  <si>
    <t>Yaw Angle Global open MSE</t>
  </si>
  <si>
    <t>Yaw Angle Global open R2</t>
  </si>
  <si>
    <t>Yaw Angle Global open ADE</t>
  </si>
  <si>
    <t>Yaw Angle Global open FDE</t>
  </si>
  <si>
    <t>Yaw Angle Global closed MSE</t>
  </si>
  <si>
    <t>Yaw Angle Global closed R2</t>
  </si>
  <si>
    <t>Yaw Angle Global closed ADE</t>
  </si>
  <si>
    <t>Yaw Angle Global closed FDE</t>
  </si>
  <si>
    <t>02-05_16-47-07_multihead_spsa_f7_w5_h5_effsu2_effsu2_realamplitudes_full_r3_4_2.pkl</t>
  </si>
  <si>
    <t>data/reduce_row_number_absolutes</t>
  </si>
  <si>
    <t>[['wv', 'asv', 'ararad'], ['sv', 'yr', 'rarad'], ['ya', 'yr', 'rarad']]</t>
  </si>
  <si>
    <t>['Surge Velocity', 'Sway Velocity', 'Yaw Rate', 'Yaw Angle']</t>
  </si>
  <si>
    <t>motion</t>
  </si>
  <si>
    <t>true</t>
  </si>
  <si>
    <t>false</t>
  </si>
  <si>
    <t>multihead</t>
  </si>
  <si>
    <t>[{'features': ['wv', 'asv', 'ararad'], 'output_dim': 1, 'reps': 3, 'encoding': 'compact', 'ansatz': 'efficientsu2', 'entangle': 'full', 'map': [0, 1, 2]}, {'features': ['sv', 'yr', 'rarad'], 'output_dim': 2, 'reps': 4, 'encoding': 'compact', 'ansatz': 'efficientsu2', 'entangle': 'full', 'map': [0, 1, 2]}, {'features': ['ya', 'yr', 'rarad'], 'output_dim': 1, 'reps': 2, 'encoding': 'compact', 'ansatz': 'realamplitudes', 'entangle': 'full', 'map': [0, 1, 2]}]</t>
  </si>
  <si>
    <t>multihead3</t>
  </si>
  <si>
    <t>compact</t>
  </si>
  <si>
    <t>['effsu2', 'effsu2', 'realamplitudes']</t>
  </si>
  <si>
    <t>full</t>
  </si>
  <si>
    <t>[3, 4, 2]</t>
  </si>
  <si>
    <t>[0, 1, 2]</t>
  </si>
  <si>
    <t>spsa</t>
  </si>
  <si>
    <t>[0.05, 0.001]</t>
  </si>
  <si>
    <t>02-05_19-57-33_multihead_spsa_f7_w5_h5_effsu2_effsu2_realamplitudes_full_r3_4_2.pkl</t>
  </si>
  <si>
    <t>02-05_23-15-26_multihead_spsa_f7_w5_h5_effsu2_effsu2_realamplitudes_full_r3_4_2.pkl</t>
  </si>
  <si>
    <t>02-06_13-58-32_multihead_spsa_f7_w5_h5_effsu2_effsu2_realamplitudes_full_r3_4_2.pkl</t>
  </si>
  <si>
    <t>02-06_16-59-16_multihead_spsa_f7_w5_h5_effsu2_effsu2_realamplitudes_full_r3_4_2.pkl</t>
  </si>
  <si>
    <t>02-07_01-40-31_multihead_spsa_f7_w5_h5_effsu2_effsu2_realamplitudes_full_r3_4_2.pkl</t>
  </si>
  <si>
    <t>[{'features': ['wv', 'asv', 'ararad'], 'output_dim': 1, 'reps': 3, 'encoding': 'compact', 'ansatz': 'effsu2', 'entangle': 'full', 'map': [0, 1, 2]}, {'features': ['sv', 'yr', 'rarad'], 'output_dim': 2, 'reps': 4, 'encoding': 'compact', 'ansatz': 'effsu2', 'entangle': 'full', 'map': [0, 1, 2]}, {'features': ['ya', 'yr', 'rarad'], 'output_dim': 1, 'reps': 2, 'encoding': 'compact', 'ansatz': 'realamplitudes', 'entangle': 'full', 'map': [0, 1, 2]}]</t>
  </si>
  <si>
    <t>02-06_22-56-48_multihead_spsa_f7_w5_h5_effsu2_effsu2_realamplitudes_full_r3_4_2.pkl</t>
  </si>
  <si>
    <t>02-07_04-23-58_multihead_spsa_f7_w5_h5_effsu2_effsu2_realamplitudes_full_r3_4_2.pkl</t>
  </si>
  <si>
    <t>02-06_02-07-03_multihead_spsa_f7_w5_h5_effsu2_effsu2_realamplitudes_full_r3_4_2.pkl</t>
  </si>
  <si>
    <t>02-07_06-55-39_multihead_spsa_f7_w5_h5_effsu2_effsu2_realamplitudes_full_r3_4_2.pkl</t>
  </si>
  <si>
    <t>02-06_04-46-25_multihead_spsa_f7_w5_h5_effsu2_effsu2_realamplitudes_full_r3_4_2.pkl</t>
  </si>
  <si>
    <t>Etiquetas de fila</t>
  </si>
  <si>
    <t>Total general</t>
  </si>
  <si>
    <t>Promedio de global open R2</t>
  </si>
  <si>
    <t>Promedio de global closed R2</t>
  </si>
  <si>
    <t>Promedio de Surge Velocity Global open R2</t>
  </si>
  <si>
    <t>Promedio de Sway Velocity Global open R2</t>
  </si>
  <si>
    <t>Promedio de Yaw Rate Global open R2</t>
  </si>
  <si>
    <t>Promedio de Yaw Angle Global open R2</t>
  </si>
  <si>
    <t>02-09_12-48-21_multihead_spsa_f7_w5_h5_effsu2_effsu2_realamplitudes_full_r3_4_2.pkl</t>
  </si>
  <si>
    <t>02-09_19-17-08_multihead_spsa_f7_w5_h5_effsu2_effsu2_realamplitudes_full_r3_4_2.pkl</t>
  </si>
  <si>
    <t>02-10_01-28-46_multihead_spsa_f7_w5_h5_effsu2_effsu2_realamplitudes_full_r3_4_2.pkl</t>
  </si>
  <si>
    <t>02-06_10-59-10_multihead_spsa_f7_w5_h5_effsu2_effsu2_realamplitudes_full_r3_4_2.pkl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</si>
</sst>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64" fontId="0" fillId="3" borderId="2" xfId="0" applyNumberFormat="1" applyFill="1" applyBorder="1"/>
    <xf numFmtId="0" fontId="0" fillId="3" borderId="3" xfId="0" applyFill="1" applyBorder="1"/>
    <xf numFmtId="164" fontId="0" fillId="4" borderId="2" xfId="0" applyNumberFormat="1" applyFill="1" applyBorder="1"/>
    <xf numFmtId="0" fontId="0" fillId="4" borderId="3" xfId="0" applyFill="1" applyBorder="1"/>
    <xf numFmtId="164" fontId="0" fillId="3" borderId="4" xfId="0" applyNumberFormat="1" applyFill="1" applyBorder="1"/>
    <xf numFmtId="0" fontId="0" fillId="3" borderId="5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3" borderId="6" xfId="0" applyFill="1" applyBorder="1"/>
    <xf numFmtId="0" fontId="0" fillId="4" borderId="6" xfId="0" applyFill="1" applyBorder="1"/>
    <xf numFmtId="0" fontId="0" fillId="3" borderId="7" xfId="0" applyFill="1" applyBorder="1"/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064.457725810185" createdVersion="8" refreshedVersion="8" minRefreshableVersion="3" recordCount="15" xr:uid="{16A556BA-3056-441F-914F-346AE8F1F10A}">
  <cacheSource type="worksheet">
    <worksheetSource ref="A1:CQ16" sheet="Main_results"/>
  </cacheSource>
  <cacheFields count="95">
    <cacheField name="date" numFmtId="164">
      <sharedItems containsSemiMixedTypes="0" containsNonDate="0" containsDate="1" containsString="0" minDate="2026-02-05T16:47:07" maxDate="2026-02-10T01:28:46"/>
    </cacheField>
    <cacheField name="model_id" numFmtId="0">
      <sharedItems/>
    </cacheField>
    <cacheField name="run" numFmtId="0">
      <sharedItems containsSemiMixedTypes="0" containsString="0" containsNumber="1" containsInteger="1" minValue="0" maxValue="4" count="5">
        <n v="0"/>
        <n v="1"/>
        <n v="2"/>
        <n v="3"/>
        <n v="4"/>
      </sharedItems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/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 longText="1"/>
    </cacheField>
    <cacheField name="head_number" numFmtId="0">
      <sharedItems/>
    </cacheField>
    <cacheField name="encoding" numFmtId="0">
      <sharedItems/>
    </cacheField>
    <cacheField name="ansatz" numFmtId="0">
      <sharedItems/>
    </cacheField>
    <cacheField name="entangle" numFmtId="0">
      <sharedItems/>
    </cacheField>
    <cacheField name="reps" numFmtId="0">
      <sharedItems/>
    </cacheField>
    <cacheField name="map" numFmtId="0">
      <sharedItems/>
    </cacheField>
    <cacheField name="reorder" numFmtId="0">
      <sharedItems/>
    </cacheField>
    <cacheField name="total params" numFmtId="0">
      <sharedItems containsSemiMixedTypes="0" containsString="0" containsNumber="1" containsInteger="1" minValue="200" maxValue="200"/>
    </cacheField>
    <cacheField name="q params" numFmtId="0">
      <sharedItems containsSemiMixedTypes="0" containsString="0" containsNumber="1" containsInteger="1" minValue="80" maxValue="80"/>
    </cacheField>
    <cacheField name="c params" numFmtId="0">
      <sharedItems containsSemiMixedTypes="0" containsString="0" containsNumber="1" containsInteger="1" minValue="120" maxValue="120"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4000" maxValue="4000"/>
    </cacheField>
    <cacheField name="final val loss" numFmtId="0">
      <sharedItems containsSemiMixedTypes="0" containsString="0" containsNumber="1" minValue="9.9983907907901209E-2" maxValue="0.193697370892538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64" maxValue="256" count="3">
        <n v="128"/>
        <n v="64"/>
        <n v="256"/>
      </sharedItems>
    </cacheField>
    <cacheField name="learning_rate" numFmtId="0">
      <sharedItems count="1">
        <s v="[0.05, 0.001]"/>
      </sharedItems>
    </cacheField>
    <cacheField name="perturbation" numFmtId="0">
      <sharedItems containsSemiMixedTypes="0" containsString="0" containsNumber="1" minValue="0.15" maxValue="0.15"/>
    </cacheField>
    <cacheField name="step MSE" numFmtId="0">
      <sharedItems containsSemiMixedTypes="0" containsString="0" containsNumber="1" minValue="20.52023657418804" maxValue="24.41027060803361"/>
    </cacheField>
    <cacheField name="step R2" numFmtId="0">
      <sharedItems containsSemiMixedTypes="0" containsString="0" containsNumber="1" minValue="0.51465202335429172" maxValue="0.76267315412888981"/>
    </cacheField>
    <cacheField name="local MSE" numFmtId="0">
      <sharedItems containsSemiMixedTypes="0" containsString="0" containsNumber="1" minValue="20.52023657418804" maxValue="24.41027060803361"/>
    </cacheField>
    <cacheField name="local ADE" numFmtId="0">
      <sharedItems containsSemiMixedTypes="0" containsString="0" containsNumber="1" minValue="7.1393780764837729" maxValue="7.5966463178856989"/>
    </cacheField>
    <cacheField name="global open MSE" numFmtId="0">
      <sharedItems containsSemiMixedTypes="0" containsString="0" containsNumber="1" minValue="20.52023657418804" maxValue="24.41027060803361"/>
    </cacheField>
    <cacheField name="global open ADE" numFmtId="0">
      <sharedItems containsSemiMixedTypes="0" containsString="0" containsNumber="1" minValue="7.1393780764837729" maxValue="7.5966463178856989"/>
    </cacheField>
    <cacheField name="global open FDE" numFmtId="0">
      <sharedItems containsSemiMixedTypes="0" containsString="0" containsNumber="1" minValue="7.6567626609735582" maxValue="8.680777410332249"/>
    </cacheField>
    <cacheField name="global open R2" numFmtId="0">
      <sharedItems containsSemiMixedTypes="0" containsString="0" containsNumber="1" minValue="0.51465202335429172" maxValue="0.76267315412888981"/>
    </cacheField>
    <cacheField name="global closed MSE" numFmtId="0">
      <sharedItems containsSemiMixedTypes="0" containsString="0" containsNumber="1" minValue="98.685308973265052" maxValue="123.7662411959961"/>
    </cacheField>
    <cacheField name="global closed ADE" numFmtId="0">
      <sharedItems containsSemiMixedTypes="0" containsString="0" containsNumber="1" minValue="16.304226007563841" maxValue="18.865362182278432"/>
    </cacheField>
    <cacheField name="global closed FDE" numFmtId="0">
      <sharedItems containsSemiMixedTypes="0" containsString="0" containsNumber="1" minValue="16.91476714231727" maxValue="19.579376411410351"/>
    </cacheField>
    <cacheField name="global closed R2" numFmtId="0">
      <sharedItems containsSemiMixedTypes="0" containsString="0" containsNumber="1" minValue="-0.65834236083212971" maxValue="0.26424261996865378"/>
    </cacheField>
    <cacheField name="recursivity" numFmtId="0">
      <sharedItems containsSemiMixedTypes="0" containsString="0" containsNumber="1" minValue="0.5714285714285714" maxValue="0.5714285714285714"/>
    </cacheField>
    <cacheField name="Surge Velocity Step MSE" numFmtId="0">
      <sharedItems containsSemiMixedTypes="0" containsString="0" containsNumber="1" minValue="2.1230134369552591E-2" maxValue="4.0674832587169023E-2"/>
    </cacheField>
    <cacheField name="Surge Velocity Step R2" numFmtId="0">
      <sharedItems containsSemiMixedTypes="0" containsString="0" containsNumber="1" minValue="0.70464812454516967" maxValue="0.84584177479360023"/>
    </cacheField>
    <cacheField name="Surge Velocity Local MSE" numFmtId="0">
      <sharedItems containsSemiMixedTypes="0" containsString="0" containsNumber="1" minValue="2.1230134369552591E-2" maxValue="4.0674832587169023E-2"/>
    </cacheField>
    <cacheField name="Surge Velocity Local ADE" numFmtId="0">
      <sharedItems containsSemiMixedTypes="0" containsString="0" containsNumber="1" minValue="0.1186895341911635" maxValue="0.15447807140354469"/>
    </cacheField>
    <cacheField name="Surge Velocity Global open MSE" numFmtId="0">
      <sharedItems containsSemiMixedTypes="0" containsString="0" containsNumber="1" minValue="2.1230134369552591E-2" maxValue="4.0674832587169023E-2"/>
    </cacheField>
    <cacheField name="Surge Velocity Global open R2" numFmtId="0">
      <sharedItems containsSemiMixedTypes="0" containsString="0" containsNumber="1" minValue="0.70464812454516967" maxValue="0.84584177479360023"/>
    </cacheField>
    <cacheField name="Surge Velocity Global open ADE" numFmtId="0">
      <sharedItems containsSemiMixedTypes="0" containsString="0" containsNumber="1" minValue="0.1186895341911635" maxValue="0.15447807140354469"/>
    </cacheField>
    <cacheField name="Surge Velocity Global open FDE" numFmtId="0">
      <sharedItems containsSemiMixedTypes="0" containsString="0" containsNumber="1" minValue="0.119316132005805" maxValue="0.1506895256859784"/>
    </cacheField>
    <cacheField name="Surge Velocity Global closed MSE" numFmtId="0">
      <sharedItems containsSemiMixedTypes="0" containsString="0" containsNumber="1" minValue="3.5922258716899851E-2" maxValue="0.40333560775711352"/>
    </cacheField>
    <cacheField name="Surge Velocity Global closed R2" numFmtId="0">
      <sharedItems containsSemiMixedTypes="0" containsString="0" containsNumber="1" minValue="-1.9287380085334609" maxValue="0.73915795572427612"/>
    </cacheField>
    <cacheField name="Surge Velocity Global closed ADE" numFmtId="0">
      <sharedItems containsSemiMixedTypes="0" containsString="0" containsNumber="1" minValue="0.14391261996785371" maxValue="0.51479931262556344"/>
    </cacheField>
    <cacheField name="Surge Velocity Global closed FDE" numFmtId="0">
      <sharedItems containsSemiMixedTypes="0" containsString="0" containsNumber="1" minValue="0.1168526847835286" maxValue="0.36830122041333102"/>
    </cacheField>
    <cacheField name="Sway Velocity Step MSE" numFmtId="0">
      <sharedItems containsSemiMixedTypes="0" containsString="0" containsNumber="1" minValue="4.1895136196172383E-2" maxValue="0.2296317902177597"/>
    </cacheField>
    <cacheField name="Sway Velocity Step R2" numFmtId="0">
      <sharedItems containsSemiMixedTypes="0" containsString="0" containsNumber="1" minValue="0.20437489211496729" maxValue="0.85484230112769533"/>
    </cacheField>
    <cacheField name="Sway Velocity Local MSE" numFmtId="0">
      <sharedItems containsSemiMixedTypes="0" containsString="0" containsNumber="1" minValue="4.1895136196172383E-2" maxValue="0.2296317902177597"/>
    </cacheField>
    <cacheField name="Sway Velocity Local ADE" numFmtId="0">
      <sharedItems containsSemiMixedTypes="0" containsString="0" containsNumber="1" minValue="0.15987510923976259" maxValue="0.42794804202183218"/>
    </cacheField>
    <cacheField name="Sway Velocity Global open MSE" numFmtId="0">
      <sharedItems containsSemiMixedTypes="0" containsString="0" containsNumber="1" minValue="4.1895136196172383E-2" maxValue="0.2296317902177597"/>
    </cacheField>
    <cacheField name="Sway Velocity Global open R2" numFmtId="0">
      <sharedItems containsSemiMixedTypes="0" containsString="0" containsNumber="1" minValue="0.20437489211496729" maxValue="0.85484230112769533"/>
    </cacheField>
    <cacheField name="Sway Velocity Global open ADE" numFmtId="0">
      <sharedItems containsSemiMixedTypes="0" containsString="0" containsNumber="1" minValue="0.15987510923976259" maxValue="0.42794804202183218"/>
    </cacheField>
    <cacheField name="Sway Velocity Global open FDE" numFmtId="0">
      <sharedItems containsSemiMixedTypes="0" containsString="0" containsNumber="1" minValue="0.15759127303766729" maxValue="0.46650521647899701"/>
    </cacheField>
    <cacheField name="Sway Velocity Global closed MSE" numFmtId="0">
      <sharedItems containsSemiMixedTypes="0" containsString="0" containsNumber="1" minValue="0.19094277182782701" maxValue="0.40546770054529518"/>
    </cacheField>
    <cacheField name="Sway Velocity Global closed R2" numFmtId="0">
      <sharedItems containsSemiMixedTypes="0" containsString="0" containsNumber="1" minValue="-0.40485898178264002" maxValue="0.33842407755773951"/>
    </cacheField>
    <cacheField name="Sway Velocity Global closed ADE" numFmtId="0">
      <sharedItems containsSemiMixedTypes="0" containsString="0" containsNumber="1" minValue="0.36140972301017821" maxValue="0.54185377552457425"/>
    </cacheField>
    <cacheField name="Sway Velocity Global closed FDE" numFmtId="0">
      <sharedItems containsSemiMixedTypes="0" containsString="0" containsNumber="1" minValue="0.33178117375529198" maxValue="0.5872060602162843"/>
    </cacheField>
    <cacheField name="Yaw Rate Step MSE" numFmtId="0">
      <sharedItems containsSemiMixedTypes="0" containsString="0" containsNumber="1" minValue="6.7470172118256455E-2" maxValue="0.17897698530452219"/>
    </cacheField>
    <cacheField name="Yaw Rate Step R2" numFmtId="0">
      <sharedItems containsSemiMixedTypes="0" containsString="0" containsNumber="1" minValue="0.28146401476371791" maxValue="0.72912859988916123"/>
    </cacheField>
    <cacheField name="Yaw Rate Local MSE" numFmtId="0">
      <sharedItems containsSemiMixedTypes="0" containsString="0" containsNumber="1" minValue="6.7470172118256455E-2" maxValue="0.17897698530452219"/>
    </cacheField>
    <cacheField name="Yaw Rate Local ADE" numFmtId="0">
      <sharedItems containsSemiMixedTypes="0" containsString="0" containsNumber="1" minValue="0.2033124590403293" maxValue="0.37398925309713882"/>
    </cacheField>
    <cacheField name="Yaw Rate Global open MSE" numFmtId="0">
      <sharedItems containsSemiMixedTypes="0" containsString="0" containsNumber="1" minValue="6.7470172118256455E-2" maxValue="0.17897698530452219"/>
    </cacheField>
    <cacheField name="Yaw Rate Global open R2" numFmtId="0">
      <sharedItems containsSemiMixedTypes="0" containsString="0" containsNumber="1" minValue="0.28146401476371791" maxValue="0.72912859988916123"/>
    </cacheField>
    <cacheField name="Yaw Rate Global open ADE" numFmtId="0">
      <sharedItems containsSemiMixedTypes="0" containsString="0" containsNumber="1" minValue="0.2033124590403293" maxValue="0.37398925309713882"/>
    </cacheField>
    <cacheField name="Yaw Rate Global open FDE" numFmtId="0">
      <sharedItems containsSemiMixedTypes="0" containsString="0" containsNumber="1" minValue="0.24461306578653449" maxValue="0.36341982428974767"/>
    </cacheField>
    <cacheField name="Yaw Rate Global closed MSE" numFmtId="0">
      <sharedItems containsSemiMixedTypes="0" containsString="0" containsNumber="1" minValue="0.16241689513611249" maxValue="0.34776185063736181"/>
    </cacheField>
    <cacheField name="Yaw Rate Global closed R2" numFmtId="0">
      <sharedItems containsSemiMixedTypes="0" containsString="0" containsNumber="1" minValue="-0.3961538325732199" maxValue="0.34794753880181822"/>
    </cacheField>
    <cacheField name="Yaw Rate Global closed ADE" numFmtId="0">
      <sharedItems containsSemiMixedTypes="0" containsString="0" containsNumber="1" minValue="0.34330403263935311" maxValue="0.51187160539207277"/>
    </cacheField>
    <cacheField name="Yaw Rate Global closed FDE" numFmtId="0">
      <sharedItems containsSemiMixedTypes="0" containsString="0" containsNumber="1" minValue="0.37435760317268318" maxValue="0.51811869267396904"/>
    </cacheField>
    <cacheField name="Yaw Angle Step MSE" numFmtId="0">
      <sharedItems containsSemiMixedTypes="0" containsString="0" containsNumber="1" minValue="81.905125188075189" maxValue="97.487891819569484"/>
    </cacheField>
    <cacheField name="Yaw Angle Step R2" numFmtId="0">
      <sharedItems containsSemiMixedTypes="0" containsString="0" containsNumber="1" minValue="0.72253227475128878" maxValue="0.76688357550897235"/>
    </cacheField>
    <cacheField name="Yaw Angle Local MSE" numFmtId="0">
      <sharedItems containsSemiMixedTypes="0" containsString="0" containsNumber="1" minValue="81.905125188075189" maxValue="97.487891819569484"/>
    </cacheField>
    <cacheField name="Yaw Angle Local ADE" numFmtId="0">
      <sharedItems containsSemiMixedTypes="0" containsString="0" containsNumber="1" minValue="7.1066471940774827" maxValue="7.5239599113497819"/>
    </cacheField>
    <cacheField name="Yaw Angle Global open MSE" numFmtId="0">
      <sharedItems containsSemiMixedTypes="0" containsString="0" containsNumber="1" minValue="81.905125188075189" maxValue="97.487891819569484"/>
    </cacheField>
    <cacheField name="Yaw Angle Global open R2" numFmtId="0">
      <sharedItems containsSemiMixedTypes="0" containsString="0" containsNumber="1" minValue="0.72253227475128878" maxValue="0.76688357550897235"/>
    </cacheField>
    <cacheField name="Yaw Angle Global open ADE" numFmtId="0">
      <sharedItems containsSemiMixedTypes="0" containsString="0" containsNumber="1" minValue="7.1066471940774827" maxValue="7.5239599113497819"/>
    </cacheField>
    <cacheField name="Yaw Angle Global open FDE" numFmtId="0">
      <sharedItems containsSemiMixedTypes="0" containsString="0" containsNumber="1" minValue="7.6195585108641009" maxValue="8.6473105078585526"/>
    </cacheField>
    <cacheField name="Yaw Angle Global closed MSE" numFmtId="0">
      <sharedItems containsSemiMixedTypes="0" containsString="0" containsNumber="1" minValue="394.30391808199761" maxValue="494.14136854823909"/>
    </cacheField>
    <cacheField name="Yaw Angle Global closed R2" numFmtId="0">
      <sharedItems containsSemiMixedTypes="0" containsString="0" containsNumber="1" minValue="-0.40641344194953821" maxValue="-0.12225845861305221"/>
    </cacheField>
    <cacheField name="Yaw Angle Global closed ADE" numFmtId="0">
      <sharedItems containsSemiMixedTypes="0" containsString="0" containsNumber="1" minValue="16.27145103436126" maxValue="18.82201514860553"/>
    </cacheField>
    <cacheField name="Yaw Angle Global closed FDE" numFmtId="0">
      <sharedItems containsSemiMixedTypes="0" containsString="0" containsNumber="1" minValue="16.88505995513486" maxValue="19.525459988954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d v="2026-02-05T16:47:07"/>
    <s v="02-05_16-47-07_multihead_spsa_f7_w5_h5_effsu2_effsu2_realamplitudes_full_r3_4_2.pkl"/>
    <x v="0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icientsu2', 'entangle': 'full', 'map': [0, 1, 2]}, {'features': ['sv', 'yr', 'rarad'], 'output_dim': 2, 'reps': 4, 'encoding': 'compact', 'ansatz': 'efficientsu2', 'entangle': 'full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s v="full"/>
    <s v="[3, 4, 2]"/>
    <s v="[0, 1, 2]"/>
    <s v="false"/>
    <n v="200"/>
    <n v="80"/>
    <n v="120"/>
    <s v="spsa"/>
    <n v="4000"/>
    <n v="4000"/>
    <n v="0.1005270800365871"/>
    <m/>
    <x v="0"/>
    <x v="0"/>
    <n v="0.15"/>
    <n v="23.996430523296681"/>
    <n v="0.76106982989235195"/>
    <n v="23.996430523296681"/>
    <n v="7.4566596548542377"/>
    <n v="23.996430523296681"/>
    <n v="7.4566596548542377"/>
    <n v="7.6567626609735582"/>
    <n v="0.76106982989235195"/>
    <n v="123.69778138023131"/>
    <n v="18.865362182278432"/>
    <n v="18.812835215700549"/>
    <n v="-1.318806764611713E-3"/>
    <n v="0.5714285714285714"/>
    <n v="2.7807275351321319E-2"/>
    <n v="0.79808322729538617"/>
    <n v="2.7807275351321319E-2"/>
    <n v="0.133091126507312"/>
    <n v="2.7807275351321319E-2"/>
    <n v="0.79808322729538617"/>
    <n v="0.133091126507312"/>
    <n v="0.12716358924806029"/>
    <n v="5.0740319851718431E-2"/>
    <n v="0.63155967274686586"/>
    <n v="0.17517045883084481"/>
    <n v="0.15750783568244309"/>
    <n v="5.7095828428264578E-2"/>
    <n v="0.80217514913790877"/>
    <n v="5.7095828428264578E-2"/>
    <n v="0.18783963559987599"/>
    <n v="5.7095828428264578E-2"/>
    <n v="0.80217514913790877"/>
    <n v="0.18783963559987599"/>
    <n v="0.21506146973699061"/>
    <n v="0.31722457899118611"/>
    <n v="-9.9115412740995001E-2"/>
    <n v="0.49409216707493242"/>
    <n v="0.4833023439113307"/>
    <n v="7.0548325828101069E-2"/>
    <n v="0.71677078637001701"/>
    <n v="7.0548325828101069E-2"/>
    <n v="0.20871941132913499"/>
    <n v="7.0548325828101069E-2"/>
    <n v="0.71677078637001701"/>
    <n v="0.20871941132913499"/>
    <n v="0.25071194461870272"/>
    <n v="0.28179207384421201"/>
    <n v="-0.13130604511478519"/>
    <n v="0.46924151231374012"/>
    <n v="0.47638797693439078"/>
    <n v="95.830270663579341"/>
    <n v="0.72725015676609295"/>
    <n v="95.830270663579341"/>
    <n v="7.4257378076050609"/>
    <n v="95.830270663579341"/>
    <n v="0.72725015676609295"/>
    <n v="7.4257378076050609"/>
    <n v="7.6195585108641009"/>
    <n v="494.14136854823909"/>
    <n v="-0.40641344194953821"/>
    <n v="18.82201514860553"/>
    <n v="18.764449390143461"/>
  </r>
  <r>
    <d v="2026-02-05T19:57:33"/>
    <s v="02-05_19-57-33_multihead_spsa_f7_w5_h5_effsu2_effsu2_realamplitudes_full_r3_4_2.pkl"/>
    <x v="1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icientsu2', 'entangle': 'full', 'map': [0, 1, 2]}, {'features': ['sv', 'yr', 'rarad'], 'output_dim': 2, 'reps': 4, 'encoding': 'compact', 'ansatz': 'efficientsu2', 'entangle': 'full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s v="full"/>
    <s v="[3, 4, 2]"/>
    <s v="[0, 1, 2]"/>
    <s v="false"/>
    <n v="200"/>
    <n v="80"/>
    <n v="120"/>
    <s v="spsa"/>
    <n v="4000"/>
    <n v="4000"/>
    <n v="0.1193700189692493"/>
    <m/>
    <x v="0"/>
    <x v="0"/>
    <n v="0.15"/>
    <n v="20.787792651419451"/>
    <n v="0.75465785003142238"/>
    <n v="20.787792651419451"/>
    <n v="7.1649913821589264"/>
    <n v="20.787792651419451"/>
    <n v="7.1649913821589264"/>
    <n v="8.607585278808191"/>
    <n v="0.75465785003142238"/>
    <n v="120.2008337211759"/>
    <n v="18.23187752062616"/>
    <n v="19.379622644112139"/>
    <n v="-0.1151548605921517"/>
    <n v="0.5714285714285714"/>
    <n v="2.440882255594486E-2"/>
    <n v="0.82276038864836931"/>
    <n v="2.440882255594486E-2"/>
    <n v="0.13063608250653519"/>
    <n v="2.440882255594486E-2"/>
    <n v="0.82276038864836931"/>
    <n v="0.13063608250653519"/>
    <n v="0.13003597412495771"/>
    <n v="4.7187304198755012E-2"/>
    <n v="0.65735916028929642"/>
    <n v="0.172038756864377"/>
    <n v="0.13217728944683699"/>
    <n v="7.1726129478140249E-2"/>
    <n v="0.75148428076920681"/>
    <n v="7.1726129478140249E-2"/>
    <n v="0.2115397924212287"/>
    <n v="7.1726129478140249E-2"/>
    <n v="0.75148428076920681"/>
    <n v="0.2115397924212287"/>
    <n v="0.20740855311343451"/>
    <n v="0.40110402085090979"/>
    <n v="-0.38973976364507829"/>
    <n v="0.5414275384599232"/>
    <n v="0.57909850377966621"/>
    <n v="7.9570519786551552E-2"/>
    <n v="0.68054953136397311"/>
    <n v="7.9570519786551552E-2"/>
    <n v="0.22480441577309809"/>
    <n v="7.9570519786551552E-2"/>
    <n v="0.68054953136397311"/>
    <n v="0.22480441577309809"/>
    <n v="0.27762715147830908"/>
    <n v="0.3392619219567079"/>
    <n v="-0.36202930746402728"/>
    <n v="0.50773329455344118"/>
    <n v="0.5024848046068392"/>
    <n v="82.975465133857085"/>
    <n v="0.76383719934413963"/>
    <n v="82.975465133857085"/>
    <n v="7.1330517970172567"/>
    <n v="82.975465133857085"/>
    <n v="0.76383719934413963"/>
    <n v="7.1330517970172567"/>
    <n v="8.5723535752078828"/>
    <n v="480.0157816376971"/>
    <n v="-0.36620953154879771"/>
    <n v="18.17347229009307"/>
    <n v="19.325008379137131"/>
  </r>
  <r>
    <d v="2026-02-05T23:15:26"/>
    <s v="02-05_23-15-26_multihead_spsa_f7_w5_h5_effsu2_effsu2_realamplitudes_full_r3_4_2.pkl"/>
    <x v="2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icientsu2', 'entangle': 'full', 'map': [0, 1, 2]}, {'features': ['sv', 'yr', 'rarad'], 'output_dim': 2, 'reps': 4, 'encoding': 'compact', 'ansatz': 'efficientsu2', 'entangle': 'full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s v="full"/>
    <s v="[3, 4, 2]"/>
    <s v="[0, 1, 2]"/>
    <s v="false"/>
    <n v="200"/>
    <n v="80"/>
    <n v="120"/>
    <s v="spsa"/>
    <n v="4000"/>
    <n v="4000"/>
    <n v="0.1863685587694871"/>
    <m/>
    <x v="0"/>
    <x v="0"/>
    <n v="0.15"/>
    <n v="24.156512009136879"/>
    <n v="0.52586616514219497"/>
    <n v="24.156512009136879"/>
    <n v="7.5966463178856989"/>
    <n v="24.156512009136879"/>
    <n v="7.5966463178856989"/>
    <n v="8.5440478247755909"/>
    <n v="0.52586616514219497"/>
    <n v="115.618310775711"/>
    <n v="17.897348000672441"/>
    <n v="18.841003224299062"/>
    <n v="1.075092988997575E-2"/>
    <n v="0.5714285714285714"/>
    <n v="2.3163221508344121E-2"/>
    <n v="0.83180506276445731"/>
    <n v="2.3163221508344121E-2"/>
    <n v="0.1232676951406509"/>
    <n v="2.3163221508344121E-2"/>
    <n v="0.83180506276445731"/>
    <n v="0.1232676951406509"/>
    <n v="0.13399954228402111"/>
    <n v="4.091456216283431E-2"/>
    <n v="0.70290737786543844"/>
    <n v="0.15445796593006239"/>
    <n v="0.14682125564769391"/>
    <n v="0.2280279673749662"/>
    <n v="0.20993179571753909"/>
    <n v="0.2280279673749662"/>
    <n v="0.42554239490524809"/>
    <n v="0.2280279673749662"/>
    <n v="0.20993179571753909"/>
    <n v="0.42554239490524809"/>
    <n v="0.4611251759224525"/>
    <n v="0.33451110617302432"/>
    <n v="-0.15900953733482859"/>
    <n v="0.50312171654000337"/>
    <n v="0.46947614698107132"/>
    <n v="0.1655033043560232"/>
    <n v="0.33555658202099231"/>
    <n v="0.1655033043560232"/>
    <n v="0.35859584826319879"/>
    <n v="0.1655033043560232"/>
    <n v="0.33555658202099231"/>
    <n v="0.35859584826319879"/>
    <n v="0.34952773197716369"/>
    <n v="0.29554593566387821"/>
    <n v="-0.18652344994805239"/>
    <n v="0.47059465643365123"/>
    <n v="0.47363127071469913"/>
    <n v="96.209353543308396"/>
    <n v="0.72617122006579149"/>
    <n v="96.209353543308396"/>
    <n v="7.5239599113497819"/>
    <n v="96.209353543308396"/>
    <n v="0.72617122006579149"/>
    <n v="7.5239599113497819"/>
    <n v="8.4714569070636259"/>
    <n v="461.80227149884331"/>
    <n v="-0.31437067102265748"/>
    <n v="17.84691393929257"/>
    <n v="18.79678296659463"/>
  </r>
  <r>
    <d v="2026-02-06T13:58:32"/>
    <s v="02-06_13-58-32_multihead_spsa_f7_w5_h5_effsu2_effsu2_realamplitudes_full_r3_4_2.pkl"/>
    <x v="1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icientsu2', 'entangle': 'full', 'map': [0, 1, 2]}, {'features': ['sv', 'yr', 'rarad'], 'output_dim': 2, 'reps': 4, 'encoding': 'compact', 'ansatz': 'efficientsu2', 'entangle': 'full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s v="full"/>
    <s v="[3, 4, 2]"/>
    <s v="[0, 1, 2]"/>
    <s v="false"/>
    <n v="200"/>
    <n v="80"/>
    <n v="120"/>
    <s v="spsa"/>
    <n v="4000"/>
    <n v="4000"/>
    <n v="0.12152746393523731"/>
    <m/>
    <x v="1"/>
    <x v="0"/>
    <n v="0.15"/>
    <n v="20.52023657418804"/>
    <n v="0.75538436348233973"/>
    <n v="20.52023657418804"/>
    <n v="7.1393780764837729"/>
    <n v="20.52023657418804"/>
    <n v="7.1393780764837729"/>
    <n v="8.6105821528222162"/>
    <n v="0.75538436348233973"/>
    <n v="119.6316942312998"/>
    <n v="18.134868022077619"/>
    <n v="19.048325479772259"/>
    <n v="-8.3049152309793234E-2"/>
    <n v="0.5714285714285714"/>
    <n v="2.433563901762997E-2"/>
    <n v="0.82329179575981593"/>
    <n v="2.433563901762997E-2"/>
    <n v="0.13057572937562589"/>
    <n v="2.433563901762997E-2"/>
    <n v="0.82329179575981593"/>
    <n v="0.13057572937562589"/>
    <n v="0.12576988228294619"/>
    <n v="7.0160208689995132E-2"/>
    <n v="0.49054617066994038"/>
    <n v="0.21817133014195941"/>
    <n v="0.19260083321520699"/>
    <n v="7.1883112777743008E-2"/>
    <n v="0.7509403671648921"/>
    <n v="7.1883112777743008E-2"/>
    <n v="0.21358809720046579"/>
    <n v="7.1883112777743008E-2"/>
    <n v="0.7509403671648921"/>
    <n v="0.21358809720046579"/>
    <n v="0.20822930007241969"/>
    <n v="0.36620912528060162"/>
    <n v="-0.26883640341592391"/>
    <n v="0.51681733831504872"/>
    <n v="0.542042091056955"/>
    <n v="7.9602356882051167E-2"/>
    <n v="0.6804217154956762"/>
    <n v="7.9602356882051167E-2"/>
    <n v="0.22548057936789481"/>
    <n v="7.9602356882051167E-2"/>
    <n v="0.6804217154956762"/>
    <n v="0.22548057936789481"/>
    <n v="0.28246719785888491"/>
    <n v="0.29741403842918568"/>
    <n v="-0.1940232916662992"/>
    <n v="0.47209445024313251"/>
    <n v="0.45390295406893738"/>
    <n v="81.905125188075189"/>
    <n v="0.76688357550897235"/>
    <n v="81.905125188075189"/>
    <n v="7.1066471940774827"/>
    <n v="81.905125188075189"/>
    <n v="0.76688357550897235"/>
    <n v="7.1066471940774827"/>
    <n v="8.5757851043131161"/>
    <n v="477.7929935527996"/>
    <n v="-0.3598830848269019"/>
    <n v="18.0815904026509"/>
    <n v="18.99840129957553"/>
  </r>
  <r>
    <d v="2026-02-06T16:59:16"/>
    <s v="02-06_16-59-16_multihead_spsa_f7_w5_h5_effsu2_effsu2_realamplitudes_full_r3_4_2.pkl"/>
    <x v="0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icientsu2', 'entangle': 'full', 'map': [0, 1, 2]}, {'features': ['sv', 'yr', 'rarad'], 'output_dim': 2, 'reps': 4, 'encoding': 'compact', 'ansatz': 'efficientsu2', 'entangle': 'full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s v="full"/>
    <s v="[3, 4, 2]"/>
    <s v="[0, 1, 2]"/>
    <s v="false"/>
    <n v="200"/>
    <n v="80"/>
    <n v="120"/>
    <s v="spsa"/>
    <n v="4000"/>
    <n v="4000"/>
    <n v="0.1013760840515352"/>
    <m/>
    <x v="2"/>
    <x v="0"/>
    <n v="0.15"/>
    <n v="23.9166556552834"/>
    <n v="0.76236993829285737"/>
    <n v="23.9166556552834"/>
    <n v="7.4395036523786278"/>
    <n v="23.9166556552834"/>
    <n v="7.4395036523786278"/>
    <n v="7.6626463593432863"/>
    <n v="0.76236993829285737"/>
    <n v="122.4500765052088"/>
    <n v="18.79401959039421"/>
    <n v="18.915622552607289"/>
    <n v="-1.3142933295878619E-2"/>
    <n v="0.5714285714285714"/>
    <n v="2.679274633515883E-2"/>
    <n v="0.80545001969667696"/>
    <n v="2.679274633515883E-2"/>
    <n v="0.12965689717138301"/>
    <n v="2.679274633515883E-2"/>
    <n v="0.80545001969667696"/>
    <n v="0.12965689717138301"/>
    <n v="0.119316132005805"/>
    <n v="5.4594265477382962E-2"/>
    <n v="0.60357504451264843"/>
    <n v="0.18350145602150739"/>
    <n v="0.17024241611293359"/>
    <n v="5.7435144321833338E-2"/>
    <n v="0.80099949203846388"/>
    <n v="5.7435144321833338E-2"/>
    <n v="0.18856599411089711"/>
    <n v="5.7435144321833338E-2"/>
    <n v="0.80099949203846388"/>
    <n v="0.18856599411089711"/>
    <n v="0.22105408168977189"/>
    <n v="0.32040707110273581"/>
    <n v="-0.11014206818445001"/>
    <n v="0.49565933574045767"/>
    <n v="0.49077848744364178"/>
    <n v="7.1021174806190329E-2"/>
    <n v="0.71487244728602106"/>
    <n v="7.1021174806190329E-2"/>
    <n v="0.20942274943918729"/>
    <n v="7.1021174806190329E-2"/>
    <n v="0.71487244728602106"/>
    <n v="0.20942274943918729"/>
    <n v="0.25218661441665269"/>
    <n v="0.28740296943613908"/>
    <n v="-0.15383201617940889"/>
    <n v="0.47166029724429293"/>
    <n v="0.48280660230639399"/>
    <n v="95.511373555670204"/>
    <n v="0.72815779415026893"/>
    <n v="95.511373555670204"/>
    <n v="7.4086318960692026"/>
    <n v="95.511373555670204"/>
    <n v="0.72815779415026893"/>
    <n v="7.4086318960692026"/>
    <n v="7.6253028171464416"/>
    <n v="489.13790171481998"/>
    <n v="-0.39217269333230859"/>
    <n v="18.751219164684429"/>
    <n v="18.866890487085001"/>
  </r>
  <r>
    <d v="2026-02-07T01:40:31"/>
    <s v="02-07_01-40-31_multihead_spsa_f7_w5_h5_effsu2_effsu2_realamplitudes_full_r3_4_2.pkl"/>
    <x v="2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su2', 'entangle': 'full', 'map': [0, 1, 2]}, {'features': ['sv', 'yr', 'rarad'], 'output_dim': 2, 'reps': 4, 'encoding': 'compact', 'ansatz': 'effsu2', 'entangle': 'full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s v="full"/>
    <s v="[3, 4, 2]"/>
    <s v="[0, 1, 2]"/>
    <s v="false"/>
    <n v="200"/>
    <n v="80"/>
    <n v="120"/>
    <s v="spsa"/>
    <n v="4000"/>
    <n v="4000"/>
    <n v="0.17499957312285239"/>
    <m/>
    <x v="1"/>
    <x v="0"/>
    <n v="0.15"/>
    <n v="23.71418679985976"/>
    <n v="0.55174316562540371"/>
    <n v="23.71418679985976"/>
    <n v="7.5441954563370546"/>
    <n v="23.71418679985976"/>
    <n v="7.5441954563370546"/>
    <n v="8.3360671530445973"/>
    <n v="0.55174316562540371"/>
    <n v="123.7662411959961"/>
    <n v="18.38068586240318"/>
    <n v="19.579376411410351"/>
    <n v="-0.65834236083212971"/>
    <n v="0.5714285714285714"/>
    <n v="2.392440438855124E-2"/>
    <n v="0.82627789087625136"/>
    <n v="2.392440438855124E-2"/>
    <n v="0.1247537950792847"/>
    <n v="2.392440438855124E-2"/>
    <n v="0.82627789087625136"/>
    <n v="0.1247537950792847"/>
    <n v="0.1384625037890744"/>
    <n v="0.40333560775711352"/>
    <n v="-1.9287380085334609"/>
    <n v="0.51479931262556344"/>
    <n v="0.36830122041333102"/>
    <n v="0.21634811068292059"/>
    <n v="0.25040000454819838"/>
    <n v="0.21634811068292059"/>
    <n v="0.41026481700260681"/>
    <n v="0.21634811068292059"/>
    <n v="0.25040000454819838"/>
    <n v="0.41026481700260681"/>
    <n v="0.45853829310804711"/>
    <n v="0.33533363512248232"/>
    <n v="-0.16185942446731369"/>
    <n v="0.50478946232725719"/>
    <n v="0.47892105021429471"/>
    <n v="0.14965961700801311"/>
    <n v="0.399163975334765"/>
    <n v="0.14965961700801311"/>
    <n v="0.33402809636670039"/>
    <n v="0.14965961700801311"/>
    <n v="0.399163975334765"/>
    <n v="0.33402809636670039"/>
    <n v="0.36341982428974767"/>
    <n v="0.2831201980093227"/>
    <n v="-0.1366380435495014"/>
    <n v="0.45761815525612198"/>
    <n v="0.49605885538753142"/>
    <n v="94.466815067359093"/>
    <n v="0.73113079174239393"/>
    <n v="94.466815067359093"/>
    <n v="7.4796748739075634"/>
    <n v="94.466815067359093"/>
    <n v="0.73113079174239393"/>
    <n v="7.4796748739075634"/>
    <n v="8.261695574997681"/>
    <n v="494.04317534309507"/>
    <n v="-0.40613396677823582"/>
    <n v="18.31426470669053"/>
    <n v="19.52545998895479"/>
  </r>
  <r>
    <d v="2026-02-06T22:56:48"/>
    <s v="02-06_22-56-48_multihead_spsa_f7_w5_h5_effsu2_effsu2_realamplitudes_full_r3_4_2.pkl"/>
    <x v="1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icientsu2', 'entangle': 'full', 'map': [0, 1, 2]}, {'features': ['sv', 'yr', 'rarad'], 'output_dim': 2, 'reps': 4, 'encoding': 'compact', 'ansatz': 'efficientsu2', 'entangle': 'full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s v="full"/>
    <s v="[3, 4, 2]"/>
    <s v="[0, 1, 2]"/>
    <s v="false"/>
    <n v="200"/>
    <n v="80"/>
    <n v="120"/>
    <s v="spsa"/>
    <n v="4000"/>
    <n v="4000"/>
    <n v="0.1185838284190312"/>
    <m/>
    <x v="2"/>
    <x v="0"/>
    <n v="0.15"/>
    <n v="20.925360973510259"/>
    <n v="0.75432424402798681"/>
    <n v="20.925360973510259"/>
    <n v="7.1692144127033526"/>
    <n v="20.925360973510259"/>
    <n v="7.1692144127033526"/>
    <n v="8.680777410332249"/>
    <n v="0.75432424402798681"/>
    <n v="118.59878039922459"/>
    <n v="18.123261750666401"/>
    <n v="19.289217826961941"/>
    <n v="-0.1184700506489705"/>
    <n v="0.5714285714285714"/>
    <n v="2.4736663823691149E-2"/>
    <n v="0.82037983715936569"/>
    <n v="2.4736663823691149E-2"/>
    <n v="0.13133103049635211"/>
    <n v="2.4736663823691149E-2"/>
    <n v="0.82037983715936569"/>
    <n v="0.13133103049635211"/>
    <n v="0.1320577161980182"/>
    <n v="4.4747737332861179E-2"/>
    <n v="0.67507356999448831"/>
    <n v="0.1658003823152856"/>
    <n v="0.1168526847835286"/>
    <n v="7.2901440489136646E-2"/>
    <n v="0.7474120791413934"/>
    <n v="7.2901440489136646E-2"/>
    <n v="0.21329521291432299"/>
    <n v="7.2901440489136646E-2"/>
    <n v="0.7474120791413934"/>
    <n v="0.21329521291432299"/>
    <n v="0.20854024178217229"/>
    <n v="0.40546770054529518"/>
    <n v="-0.40485898178264002"/>
    <n v="0.54185377552457425"/>
    <n v="0.5872060602162843"/>
    <n v="7.790539112392586E-2"/>
    <n v="0.68723449626104749"/>
    <n v="7.790539112392586E-2"/>
    <n v="0.22022266947567601"/>
    <n v="7.790539112392586E-2"/>
    <n v="0.68723449626104749"/>
    <n v="0.22022266947567601"/>
    <n v="0.26870188125407329"/>
    <n v="0.34776185063736181"/>
    <n v="-0.3961538325732199"/>
    <n v="0.51187160539207277"/>
    <n v="0.51811869267396904"/>
    <n v="83.525900398604392"/>
    <n v="0.76227056355013989"/>
    <n v="83.525900398604392"/>
    <n v="7.1380273398765546"/>
    <n v="83.525900398604392"/>
    <n v="0.76227056355013989"/>
    <n v="7.1380273398765546"/>
    <n v="8.6473105078585526"/>
    <n v="473.59714430838397"/>
    <n v="-0.34794095823451188"/>
    <n v="18.066631847901689"/>
    <n v="19.232224190742649"/>
  </r>
  <r>
    <d v="2026-02-07T04:23:58"/>
    <s v="02-07_04-23-58_multihead_spsa_f7_w5_h5_effsu2_effsu2_realamplitudes_full_r3_4_2.pkl"/>
    <x v="3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su2', 'entangle': 'full', 'map': [0, 1, 2]}, {'features': ['sv', 'yr', 'rarad'], 'output_dim': 2, 'reps': 4, 'encoding': 'compact', 'ansatz': 'effsu2', 'entangle': 'full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s v="full"/>
    <s v="[3, 4, 2]"/>
    <s v="[0, 1, 2]"/>
    <s v="false"/>
    <n v="200"/>
    <n v="80"/>
    <n v="120"/>
    <s v="spsa"/>
    <n v="4000"/>
    <n v="4000"/>
    <n v="0.103993120975752"/>
    <m/>
    <x v="1"/>
    <x v="0"/>
    <n v="0.15"/>
    <n v="23.662293010959559"/>
    <n v="0.75117711053254821"/>
    <n v="23.662293010959559"/>
    <n v="7.3585219614162396"/>
    <n v="23.662293010959559"/>
    <n v="7.3585219614162396"/>
    <n v="8.0353455520875023"/>
    <n v="0.75117711053254821"/>
    <n v="100.2031123425529"/>
    <n v="16.46719289229328"/>
    <n v="17.141573919631998"/>
    <n v="0.2587192613172537"/>
    <n v="0.5714285714285714"/>
    <n v="3.5978209234170111E-2"/>
    <n v="0.73875168262719515"/>
    <n v="3.5978209234170111E-2"/>
    <n v="0.14616238339417159"/>
    <n v="3.5978209234170111E-2"/>
    <n v="0.73875168262719515"/>
    <n v="0.14616238339417159"/>
    <n v="0.146411816380385"/>
    <n v="7.0499574407975552E-2"/>
    <n v="0.48808193677160078"/>
    <n v="0.22649162278522891"/>
    <n v="0.12888650021216899"/>
    <n v="4.1895136196172383E-2"/>
    <n v="0.85484230112769533"/>
    <n v="4.1895136196172383E-2"/>
    <n v="0.15987510923976259"/>
    <n v="4.1895136196172383E-2"/>
    <n v="0.85484230112769533"/>
    <n v="0.15987510923976259"/>
    <n v="0.15759127303766729"/>
    <n v="0.19094277182782701"/>
    <n v="0.33842407755773951"/>
    <n v="0.36140972301017821"/>
    <n v="0.33178117375529198"/>
    <n v="7.9693894081260166E-2"/>
    <n v="0.68005422259424253"/>
    <n v="7.9693894081260166E-2"/>
    <n v="0.23399618969218641"/>
    <n v="7.9693894081260166E-2"/>
    <n v="0.68005422259424253"/>
    <n v="0.23399618969218641"/>
    <n v="0.30981360031633381"/>
    <n v="0.16241689513611249"/>
    <n v="0.34794753880181822"/>
    <n v="0.34330403263935311"/>
    <n v="0.37435760317268318"/>
    <n v="94.491604804326286"/>
    <n v="0.73106023578105939"/>
    <n v="94.491604804326286"/>
    <n v="7.3279425602178847"/>
    <n v="94.491604804326286"/>
    <n v="0.73106023578105939"/>
    <n v="7.3279425602178847"/>
    <n v="8.0042232589474889"/>
    <n v="400.38859012884097"/>
    <n v="-0.13957650786215051"/>
    <n v="16.434925567099231"/>
    <n v="17.1115094490426"/>
  </r>
  <r>
    <d v="2026-02-06T02:07:03"/>
    <s v="02-06_02-07-03_multihead_spsa_f7_w5_h5_effsu2_effsu2_realamplitudes_full_r3_4_2.pkl"/>
    <x v="3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icientsu2', 'entangle': 'full', 'map': [0, 1, 2]}, {'features': ['sv', 'yr', 'rarad'], 'output_dim': 2, 'reps': 4, 'encoding': 'compact', 'ansatz': 'efficientsu2', 'entangle': 'full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s v="full"/>
    <s v="[3, 4, 2]"/>
    <s v="[0, 1, 2]"/>
    <s v="false"/>
    <n v="200"/>
    <n v="80"/>
    <n v="120"/>
    <s v="spsa"/>
    <n v="4000"/>
    <n v="4000"/>
    <n v="0.1054042275991947"/>
    <m/>
    <x v="0"/>
    <x v="0"/>
    <n v="0.15"/>
    <n v="23.49990717914665"/>
    <n v="0.7431526309366121"/>
    <n v="23.49990717914665"/>
    <n v="7.3342493828488209"/>
    <n v="23.49990717914665"/>
    <n v="7.3342493828488209"/>
    <n v="7.8875681440001522"/>
    <n v="0.7431526309366121"/>
    <n v="104.8112218979136"/>
    <n v="16.84593715077019"/>
    <n v="17.54033801211585"/>
    <n v="0.1974853795873461"/>
    <n v="0.5714285714285714"/>
    <n v="3.8431227397336842E-2"/>
    <n v="0.72093959911183236"/>
    <n v="3.8431227397336842E-2"/>
    <n v="0.1505414284468149"/>
    <n v="3.8431227397336842E-2"/>
    <n v="0.72093959911183236"/>
    <n v="0.1505414284468149"/>
    <n v="0.1502025935164801"/>
    <n v="6.6549278602799924E-2"/>
    <n v="0.51676619188585593"/>
    <n v="0.21529424807206529"/>
    <n v="0.14319861235824721"/>
    <n v="4.2645082017198598E-2"/>
    <n v="0.85224389903277598"/>
    <n v="4.2645082017198598E-2"/>
    <n v="0.1618366262841959"/>
    <n v="4.2645082017198598E-2"/>
    <n v="0.85224389903277598"/>
    <n v="0.1618366262841959"/>
    <n v="0.16152686444885031"/>
    <n v="0.22358056861163819"/>
    <n v="0.22534108254809951"/>
    <n v="0.40308816234833378"/>
    <n v="0.37869891629978802"/>
    <n v="8.3070218199706905E-2"/>
    <n v="0.66649934919642884"/>
    <n v="8.3070218199706905E-2"/>
    <n v="0.240026898775794"/>
    <n v="8.3070218199706905E-2"/>
    <n v="0.66649934919642884"/>
    <n v="0.240026898775794"/>
    <n v="0.3136937805717282"/>
    <n v="0.18937622927643399"/>
    <n v="0.23971433951716911"/>
    <n v="0.37865567240663678"/>
    <n v="0.39999775942246002"/>
    <n v="93.835482188972691"/>
    <n v="0.73292767640541245"/>
    <n v="93.835482188972691"/>
    <n v="7.3022530957676128"/>
    <n v="93.835482188972691"/>
    <n v="0.73292767640541245"/>
    <n v="7.3022530957676128"/>
    <n v="7.8542661907619511"/>
    <n v="418.76538151516201"/>
    <n v="-0.19188009560174149"/>
    <n v="16.810983310719781"/>
    <n v="17.507479015503218"/>
  </r>
  <r>
    <d v="2026-02-07T06:55:39"/>
    <s v="02-07_06-55-39_multihead_spsa_f7_w5_h5_effsu2_effsu2_realamplitudes_full_r3_4_2.pkl"/>
    <x v="4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su2', 'entangle': 'full', 'map': [0, 1, 2]}, {'features': ['sv', 'yr', 'rarad'], 'output_dim': 2, 'reps': 4, 'encoding': 'compact', 'ansatz': 'effsu2', 'entangle': 'full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s v="full"/>
    <s v="[3, 4, 2]"/>
    <s v="[0, 1, 2]"/>
    <s v="false"/>
    <n v="200"/>
    <n v="80"/>
    <n v="120"/>
    <s v="spsa"/>
    <n v="4000"/>
    <n v="4000"/>
    <n v="0.1084149318022346"/>
    <m/>
    <x v="1"/>
    <x v="0"/>
    <n v="0.15"/>
    <n v="22.5618084019059"/>
    <n v="0.75584598148419857"/>
    <n v="22.5618084019059"/>
    <n v="7.2535900055799489"/>
    <n v="22.5618084019059"/>
    <n v="7.2535900055799489"/>
    <n v="7.75379155787589"/>
    <n v="0.75584598148419857"/>
    <n v="114.0471462539744"/>
    <n v="17.547123890310221"/>
    <n v="18.946510146543869"/>
    <n v="1.4050428946723559E-2"/>
    <n v="0.5714285714285714"/>
    <n v="3.0178638284083511E-2"/>
    <n v="0.78086406632958738"/>
    <n v="3.0178638284083511E-2"/>
    <n v="0.14209762362806719"/>
    <n v="3.0178638284083511E-2"/>
    <n v="0.78086406632958738"/>
    <n v="0.14209762362806719"/>
    <n v="0.1318049397039073"/>
    <n v="5.596711472585858E-2"/>
    <n v="0.59360638393156129"/>
    <n v="0.19934719942001139"/>
    <n v="0.17875777975451179"/>
    <n v="5.4475418637823757E-2"/>
    <n v="0.81125430938939402"/>
    <n v="5.4475418637823757E-2"/>
    <n v="0.1775554485132545"/>
    <n v="5.4475418637823757E-2"/>
    <n v="0.81125430938939402"/>
    <n v="0.1775554485132545"/>
    <n v="0.21571099697751481"/>
    <n v="0.36272841373455561"/>
    <n v="-0.25677648132624559"/>
    <n v="0.50662106170698706"/>
    <n v="0.58199986246534208"/>
    <n v="7.7798727604705839E-2"/>
    <n v="0.68766271655284172"/>
    <n v="7.7798727604705839E-2"/>
    <n v="0.22263636545496671"/>
    <n v="7.7798727604705839E-2"/>
    <n v="0.68766271655284172"/>
    <n v="0.22263636545496671"/>
    <n v="0.30437205874987788"/>
    <n v="0.2451312479727018"/>
    <n v="1.5875574870272021E-2"/>
    <n v="0.42445046853095192"/>
    <n v="0.38426072718883131"/>
    <n v="90.084780823097375"/>
    <n v="0.74360283366497015"/>
    <n v="90.084780823097375"/>
    <n v="7.2222113409023319"/>
    <n v="90.084780823097375"/>
    <n v="0.74360283366497015"/>
    <n v="7.2222113409023319"/>
    <n v="7.7049475470225053"/>
    <n v="455.52475823946497"/>
    <n v="-0.29650376168870579"/>
    <n v="17.498517160269831"/>
    <n v="18.89497909723157"/>
  </r>
  <r>
    <d v="2026-02-06T04:46:25"/>
    <s v="02-06_04-46-25_multihead_spsa_f7_w5_h5_effsu2_effsu2_realamplitudes_full_r3_4_2.pkl"/>
    <x v="4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icientsu2', 'entangle': 'full', 'map': [0, 1, 2]}, {'features': ['sv', 'yr', 'rarad'], 'output_dim': 2, 'reps': 4, 'encoding': 'compact', 'ansatz': 'efficientsu2', 'entangle': 'full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s v="full"/>
    <s v="[3, 4, 2]"/>
    <s v="[0, 1, 2]"/>
    <s v="false"/>
    <n v="200"/>
    <n v="80"/>
    <n v="120"/>
    <s v="spsa"/>
    <n v="4000"/>
    <n v="4000"/>
    <n v="0.1098984751851461"/>
    <m/>
    <x v="0"/>
    <x v="0"/>
    <n v="0.15"/>
    <n v="22.71993866149996"/>
    <n v="0.75313283650651719"/>
    <n v="22.71993866149996"/>
    <n v="7.3424709833987123"/>
    <n v="22.71993866149996"/>
    <n v="7.3424709833987123"/>
    <n v="7.8485806093934487"/>
    <n v="0.75313283650651719"/>
    <n v="113.33623757937031"/>
    <n v="17.618888352813538"/>
    <n v="18.742907187626539"/>
    <n v="3.8345955742663612E-2"/>
    <n v="0.5714285714285714"/>
    <n v="3.2166351073209587E-2"/>
    <n v="0.76643070145031467"/>
    <n v="3.2166351073209587E-2"/>
    <n v="0.14519623681806801"/>
    <n v="3.2166351073209587E-2"/>
    <n v="0.76643070145031467"/>
    <n v="0.14519623681806801"/>
    <n v="0.1389410864990421"/>
    <n v="6.0894985897267141E-2"/>
    <n v="0.55782366769404113"/>
    <n v="0.2027561100531074"/>
    <n v="0.18173141208322621"/>
    <n v="5.2921168950530818E-2"/>
    <n v="0.8166394525960905"/>
    <n v="5.2921168950530818E-2"/>
    <n v="0.17538627398709231"/>
    <n v="5.2921168950530818E-2"/>
    <n v="0.8166394525960905"/>
    <n v="0.17538627398709231"/>
    <n v="0.21509277853088821"/>
    <n v="0.34508236508752282"/>
    <n v="-0.19563669164283001"/>
    <n v="0.49668804243500081"/>
    <n v="0.56450430345557245"/>
    <n v="7.7800055069918633E-2"/>
    <n v="0.68765738719989211"/>
    <n v="7.7800055069918633E-2"/>
    <n v="0.22107887961206679"/>
    <n v="7.7800055069918633E-2"/>
    <n v="0.68765738719989211"/>
    <n v="0.22107887961206679"/>
    <n v="0.30627577941617878"/>
    <n v="0.2292363504501625"/>
    <n v="7.9688560836903788E-2"/>
    <n v="0.41467253977619839"/>
    <n v="0.37719335056065822"/>
    <n v="90.71686707090663"/>
    <n v="0.74180380477977048"/>
    <n v="90.71686707090663"/>
    <n v="7.3118898923092361"/>
    <n v="90.71686707090663"/>
    <n v="0.74180380477977048"/>
    <n v="7.3118898923092361"/>
    <n v="7.8038587347997028"/>
    <n v="452.70973661604347"/>
    <n v="-0.28849171391745743"/>
    <n v="17.57288234160329"/>
    <n v="18.691327375206111"/>
  </r>
  <r>
    <d v="2026-02-09T12:48:21"/>
    <s v="02-09_12-48-21_multihead_spsa_f7_w5_h5_effsu2_effsu2_realamplitudes_full_r3_4_2.pkl"/>
    <x v="2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su2', 'entangle': 'full', 'map': [0, 1, 2]}, {'features': ['sv', 'yr', 'rarad'], 'output_dim': 2, 'reps': 4, 'encoding': 'compact', 'ansatz': 'effsu2', 'entangle': 'full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s v="full"/>
    <s v="[3, 4, 2]"/>
    <s v="[0, 1, 2]"/>
    <s v="false"/>
    <n v="200"/>
    <n v="80"/>
    <n v="120"/>
    <s v="spsa"/>
    <n v="4000"/>
    <n v="4000"/>
    <n v="0.193697370892538"/>
    <m/>
    <x v="2"/>
    <x v="0"/>
    <n v="0.15"/>
    <n v="24.09337639475623"/>
    <n v="0.51465202335429172"/>
    <n v="24.09337639475623"/>
    <n v="7.5632771354795771"/>
    <n v="24.09337639475623"/>
    <n v="7.5632771354795771"/>
    <n v="8.5782052099021033"/>
    <n v="0.51465202335429172"/>
    <n v="113.9738234243998"/>
    <n v="17.652736990887881"/>
    <n v="18.60797071652814"/>
    <n v="2.1589296599318158E-2"/>
    <n v="0.5714285714285714"/>
    <n v="2.1230134369552591E-2"/>
    <n v="0.84584177479360023"/>
    <n v="2.1230134369552591E-2"/>
    <n v="0.1186895341911635"/>
    <n v="2.1230134369552591E-2"/>
    <n v="0.84584177479360023"/>
    <n v="0.1186895341911635"/>
    <n v="0.13203290072281901"/>
    <n v="3.5922258716899851E-2"/>
    <n v="0.73915795572427612"/>
    <n v="0.14391261996785371"/>
    <n v="0.1271450100169069"/>
    <n v="0.2296317902177597"/>
    <n v="0.20437489211496729"/>
    <n v="0.2296317902177597"/>
    <n v="0.42794804202183218"/>
    <n v="0.2296317902177597"/>
    <n v="0.20437489211496729"/>
    <n v="0.42794804202183218"/>
    <n v="0.46650521647899701"/>
    <n v="0.33026415411248022"/>
    <n v="-0.14429475551760421"/>
    <n v="0.50104052777620756"/>
    <n v="0.47228479429331272"/>
    <n v="0.17897698530452219"/>
    <n v="0.28146401476371791"/>
    <n v="0.17897698530452219"/>
    <n v="0.37398925309713882"/>
    <n v="0.17897698530452219"/>
    <n v="0.28146401476371791"/>
    <n v="0.37398925309713882"/>
    <n v="0.3630176040671047"/>
    <n v="0.30210342950844032"/>
    <n v="-0.2128497135861753"/>
    <n v="0.48013973989233177"/>
    <n v="0.47999461006874689"/>
    <n v="95.943666669133748"/>
    <n v="0.72692741174487852"/>
    <n v="95.943666669133748"/>
    <n v="7.4885459925906037"/>
    <n v="95.943666669133748"/>
    <n v="0.72692741174487852"/>
    <n v="7.4885459925906037"/>
    <n v="8.504016444663538"/>
    <n v="455.22700385526218"/>
    <n v="-0.29565630022322997"/>
    <n v="17.60387150432063"/>
    <n v="18.56282863308461"/>
  </r>
  <r>
    <d v="2026-02-09T19:17:08"/>
    <s v="02-09_19-17-08_multihead_spsa_f7_w5_h5_effsu2_effsu2_realamplitudes_full_r3_4_2.pkl"/>
    <x v="3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su2', 'entangle': 'full', 'map': [0, 1, 2]}, {'features': ['sv', 'yr', 'rarad'], 'output_dim': 2, 'reps': 4, 'encoding': 'compact', 'ansatz': 'effsu2', 'entangle': 'full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s v="full"/>
    <s v="[3, 4, 2]"/>
    <s v="[0, 1, 2]"/>
    <s v="false"/>
    <n v="200"/>
    <n v="80"/>
    <n v="120"/>
    <s v="spsa"/>
    <n v="4000"/>
    <n v="4000"/>
    <n v="0.10532864991925241"/>
    <m/>
    <x v="2"/>
    <x v="0"/>
    <n v="0.15"/>
    <n v="23.64297203057053"/>
    <n v="0.73516168931784831"/>
    <n v="23.64297203057053"/>
    <n v="7.3656228311269309"/>
    <n v="23.64297203057053"/>
    <n v="7.3656228311269309"/>
    <n v="7.7789062244387006"/>
    <n v="0.73516168931784831"/>
    <n v="98.685308973265052"/>
    <n v="16.304226007563841"/>
    <n v="16.91476714231727"/>
    <n v="0.26424261996865378"/>
    <n v="0.5714285714285714"/>
    <n v="4.0674832587169023E-2"/>
    <n v="0.70464812454516967"/>
    <n v="4.0674832587169023E-2"/>
    <n v="0.15447807140354469"/>
    <n v="4.0674832587169023E-2"/>
    <n v="0.70464812454516967"/>
    <n v="0.15447807140354469"/>
    <n v="0.1506895256859784"/>
    <n v="5.510505312169748E-2"/>
    <n v="0.59986606578768031"/>
    <n v="0.19033060737307911"/>
    <n v="0.1285411193959296"/>
    <n v="4.3830007517334089E-2"/>
    <n v="0.84813838525357754"/>
    <n v="4.3830007517334089E-2"/>
    <n v="0.1642040753123746"/>
    <n v="4.3830007517334089E-2"/>
    <n v="0.84813838525357754"/>
    <n v="0.1642040753123746"/>
    <n v="0.16813988135776309"/>
    <n v="0.2069953886298376"/>
    <n v="0.28280518888894829"/>
    <n v="0.38127912396777869"/>
    <n v="0.3564392499705018"/>
    <n v="8.5549826392097156E-2"/>
    <n v="0.6565445066087765"/>
    <n v="8.5549826392097156E-2"/>
    <n v="0.24378492046696801"/>
    <n v="8.5549826392097156E-2"/>
    <n v="0.6565445066087765"/>
    <n v="0.24378492046696801"/>
    <n v="0.32281262891710039"/>
    <n v="0.17521736930924969"/>
    <n v="0.2965576838110362"/>
    <n v="0.36068749695695518"/>
    <n v="0.38759071279426688"/>
    <n v="94.401833455786061"/>
    <n v="0.73131574086386564"/>
    <n v="94.401833455786061"/>
    <n v="7.3334376583229206"/>
    <n v="94.401833455786061"/>
    <n v="0.73131574086386564"/>
    <n v="7.3334376583229206"/>
    <n v="7.7435734929398574"/>
    <n v="394.30391808199761"/>
    <n v="-0.12225845861305221"/>
    <n v="16.27145103436126"/>
    <n v="16.88505995513486"/>
  </r>
  <r>
    <d v="2026-02-10T01:28:46"/>
    <s v="02-10_01-28-46_multihead_spsa_f7_w5_h5_effsu2_effsu2_realamplitudes_full_r3_4_2.pkl"/>
    <x v="4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su2', 'entangle': 'full', 'map': [0, 1, 2]}, {'features': ['sv', 'yr', 'rarad'], 'output_dim': 2, 'reps': 4, 'encoding': 'compact', 'ansatz': 'effsu2', 'entangle': 'full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s v="full"/>
    <s v="[3, 4, 2]"/>
    <s v="[0, 1, 2]"/>
    <s v="false"/>
    <n v="200"/>
    <n v="80"/>
    <n v="120"/>
    <s v="spsa"/>
    <n v="4000"/>
    <n v="4000"/>
    <n v="0.1090906005451085"/>
    <m/>
    <x v="2"/>
    <x v="0"/>
    <n v="0.15"/>
    <n v="22.726497050952631"/>
    <n v="0.75916354525772389"/>
    <n v="22.726497050952631"/>
    <n v="7.3733878456271862"/>
    <n v="22.726497050952631"/>
    <n v="7.3733878456271862"/>
    <n v="7.9942254843015847"/>
    <n v="0.75916354525772389"/>
    <n v="106.5451488766754"/>
    <n v="17.121606655707701"/>
    <n v="18.00254947162091"/>
    <n v="0.105389840293345"/>
    <n v="0.5714285714285714"/>
    <n v="2.9251011092453458E-2"/>
    <n v="0.78759983912431697"/>
    <n v="2.9251011092453458E-2"/>
    <n v="0.13761417989509361"/>
    <n v="2.9251011092453458E-2"/>
    <n v="0.78759983912431697"/>
    <n v="0.13761417989509361"/>
    <n v="0.126997626124777"/>
    <n v="5.2072208141742647E-2"/>
    <n v="0.62188844168495683"/>
    <n v="0.18459321219352201"/>
    <n v="0.15709141501540469"/>
    <n v="5.3082342557748359E-2"/>
    <n v="0.81608102047086484"/>
    <n v="5.3082342557748359E-2"/>
    <n v="0.1765756227501549"/>
    <n v="5.3082342557748359E-2"/>
    <n v="0.81608102047086484"/>
    <n v="0.1765756227501549"/>
    <n v="0.22406576080012"/>
    <n v="0.31964878303554861"/>
    <n v="-0.1075147619883363"/>
    <n v="0.47843198727710962"/>
    <n v="0.53097488261527948"/>
    <n v="7.6904048287620597E-2"/>
    <n v="0.6912545710221667"/>
    <n v="7.6904048287620597E-2"/>
    <n v="0.219418752396116"/>
    <n v="7.6904048287620597E-2"/>
    <n v="0.6912545710221667"/>
    <n v="0.219418752396116"/>
    <n v="0.30167151572214912"/>
    <n v="0.2195720029607397"/>
    <n v="0.1184878591554164"/>
    <n v="0.40758206381535289"/>
    <n v="0.38227542822468968"/>
    <n v="90.746750801872722"/>
    <n v="0.74171875041354773"/>
    <n v="90.746750801872722"/>
    <n v="7.3444699496311712"/>
    <n v="90.746750801872722"/>
    <n v="0.74171875041354773"/>
    <n v="7.3444699496311712"/>
    <n v="7.9510043905243881"/>
    <n v="425.58930251256618"/>
    <n v="-0.21130217767867249"/>
    <n v="17.077946069589519"/>
    <n v="17.952242611067621"/>
  </r>
  <r>
    <d v="2026-02-06T10:59:10"/>
    <s v="02-06_10-59-10_multihead_spsa_f7_w5_h5_effsu2_effsu2_realamplitudes_full_r3_4_2.pkl"/>
    <x v="0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icientsu2', 'entangle': 'full', 'map': [0, 1, 2]}, {'features': ['sv', 'yr', 'rarad'], 'output_dim': 2, 'reps': 4, 'encoding': 'compact', 'ansatz': 'efficientsu2', 'entangle': 'full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s v="full"/>
    <s v="[3, 4, 2]"/>
    <s v="[0, 1, 2]"/>
    <s v="false"/>
    <n v="200"/>
    <n v="80"/>
    <n v="120"/>
    <s v="spsa"/>
    <n v="4000"/>
    <n v="4000"/>
    <n v="9.9983907907901209E-2"/>
    <m/>
    <x v="1"/>
    <x v="0"/>
    <n v="0.15"/>
    <n v="24.41027060803361"/>
    <n v="0.76267315412888981"/>
    <n v="24.41027060803361"/>
    <n v="7.5321235792274894"/>
    <n v="24.41027060803361"/>
    <n v="7.5321235792274894"/>
    <n v="7.7201155957490686"/>
    <n v="0.76267315412888981"/>
    <n v="118.19221890040561"/>
    <n v="18.35423273729393"/>
    <n v="18.529112414225501"/>
    <n v="5.7453887699825179E-2"/>
    <n v="0.5714285714285714"/>
    <n v="2.7384449153667018E-2"/>
    <n v="0.80115349218709775"/>
    <n v="2.7384449153667018E-2"/>
    <n v="0.13154551181232771"/>
    <n v="2.7384449153667018E-2"/>
    <n v="0.80115349218709775"/>
    <n v="0.13154551181232771"/>
    <n v="0.12598611515095709"/>
    <n v="4.4473755590461968E-2"/>
    <n v="0.67706303169133908"/>
    <n v="0.15798142480696681"/>
    <n v="0.13934145159118491"/>
    <n v="5.833599129301964E-2"/>
    <n v="0.79787824968801091"/>
    <n v="5.833599129301964E-2"/>
    <n v="0.19153812280775889"/>
    <n v="5.833599129301964E-2"/>
    <n v="0.79787824968801091"/>
    <n v="0.19153812280775889"/>
    <n v="0.21786287082035841"/>
    <n v="0.29595410275870332"/>
    <n v="-2.541775558652715E-2"/>
    <n v="0.47258866085839929"/>
    <n v="0.48002211735000921"/>
    <n v="6.7470172118256455E-2"/>
    <n v="0.72912859988916123"/>
    <n v="6.7470172118256455E-2"/>
    <n v="0.2033124590403293"/>
    <n v="6.7470172118256455E-2"/>
    <n v="0.72912859988916123"/>
    <n v="0.2033124590403293"/>
    <n v="0.24461306578653449"/>
    <n v="0.26850915014754412"/>
    <n v="-7.7979307886730576E-2"/>
    <n v="0.45331185422940878"/>
    <n v="0.48323596072848712"/>
    <n v="97.487891819569484"/>
    <n v="0.72253227475128878"/>
    <n v="97.487891819569484"/>
    <n v="7.5029421004671928"/>
    <n v="97.487891819569484"/>
    <n v="0.72253227475128878"/>
    <n v="7.5029421004671928"/>
    <n v="7.6843435390366608"/>
    <n v="472.15993859312579"/>
    <n v="-0.34385041741878458"/>
    <n v="18.31276727172779"/>
    <n v="18.4791515954601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43C215-7B24-44EE-A6CE-936C876895F1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G25" firstHeaderRow="0" firstDataRow="1" firstDataCol="1"/>
  <pivotFields count="95">
    <pivotField numFmtId="164"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3">
    <field x="31"/>
    <field x="32"/>
    <field x="2"/>
  </rowFields>
  <rowItems count="22">
    <i>
      <x/>
    </i>
    <i r="1">
      <x/>
    </i>
    <i r="2">
      <x/>
    </i>
    <i r="2">
      <x v="1"/>
    </i>
    <i r="2">
      <x v="2"/>
    </i>
    <i r="2">
      <x v="3"/>
    </i>
    <i r="2">
      <x v="4"/>
    </i>
    <i>
      <x v="1"/>
    </i>
    <i r="1">
      <x/>
    </i>
    <i r="2">
      <x/>
    </i>
    <i r="2">
      <x v="1"/>
    </i>
    <i r="2">
      <x v="2"/>
    </i>
    <i r="2">
      <x v="3"/>
    </i>
    <i r="2">
      <x v="4"/>
    </i>
    <i>
      <x v="2"/>
    </i>
    <i r="1">
      <x/>
    </i>
    <i r="2">
      <x/>
    </i>
    <i r="2">
      <x v="1"/>
    </i>
    <i r="2">
      <x v="2"/>
    </i>
    <i r="2">
      <x v="3"/>
    </i>
    <i r="2"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Promedio de global open R2" fld="41" subtotal="average" baseField="0" baseItem="0"/>
    <dataField name="Promedio de global closed R2" fld="45" subtotal="average" baseField="0" baseItem="0"/>
    <dataField name="Promedio de Surge Velocity Global open R2" fld="52" subtotal="average" baseField="0" baseItem="0"/>
    <dataField name="Promedio de Sway Velocity Global open R2" fld="64" subtotal="average" baseField="0" baseItem="0"/>
    <dataField name="Promedio de Yaw Rate Global open R2" fld="76" subtotal="average" baseField="0" baseItem="0"/>
    <dataField name="Promedio de Yaw Angle Global open R2" fld="8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16"/>
  <sheetViews>
    <sheetView workbookViewId="0">
      <selection activeCell="AG24" sqref="AG24"/>
    </sheetView>
  </sheetViews>
  <sheetFormatPr baseColWidth="10" defaultColWidth="8.88671875" defaultRowHeight="14.4" x14ac:dyDescent="0.3"/>
  <sheetData>
    <row r="1" spans="1:9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</row>
    <row r="2" spans="1:95" x14ac:dyDescent="0.3">
      <c r="A2" s="2">
        <v>46058.699386574073</v>
      </c>
      <c r="B2" s="3" t="s">
        <v>95</v>
      </c>
      <c r="C2" s="3">
        <v>0</v>
      </c>
      <c r="D2" s="3" t="s">
        <v>96</v>
      </c>
      <c r="E2" s="3">
        <v>16590</v>
      </c>
      <c r="F2" s="3">
        <v>4.5</v>
      </c>
      <c r="G2" s="3" t="s">
        <v>97</v>
      </c>
      <c r="H2" s="3" t="s">
        <v>98</v>
      </c>
      <c r="I2" s="3">
        <v>5</v>
      </c>
      <c r="J2" s="3">
        <v>5</v>
      </c>
      <c r="K2" s="3" t="s">
        <v>99</v>
      </c>
      <c r="L2" s="3" t="s">
        <v>100</v>
      </c>
      <c r="M2" s="3" t="s">
        <v>101</v>
      </c>
      <c r="N2" s="3" t="s">
        <v>101</v>
      </c>
      <c r="O2" s="3" t="s">
        <v>102</v>
      </c>
      <c r="P2" s="3" t="s">
        <v>103</v>
      </c>
      <c r="Q2" s="3" t="s">
        <v>104</v>
      </c>
      <c r="R2" s="3" t="s">
        <v>105</v>
      </c>
      <c r="S2" s="3" t="s">
        <v>106</v>
      </c>
      <c r="T2" s="3" t="s">
        <v>107</v>
      </c>
      <c r="U2" s="3" t="s">
        <v>108</v>
      </c>
      <c r="V2" s="3" t="s">
        <v>109</v>
      </c>
      <c r="W2" s="3" t="s">
        <v>101</v>
      </c>
      <c r="X2" s="3">
        <v>200</v>
      </c>
      <c r="Y2" s="3">
        <v>80</v>
      </c>
      <c r="Z2" s="3">
        <v>120</v>
      </c>
      <c r="AA2" s="3" t="s">
        <v>110</v>
      </c>
      <c r="AB2" s="3">
        <v>4000</v>
      </c>
      <c r="AC2" s="3">
        <v>4000</v>
      </c>
      <c r="AD2" s="3">
        <v>0.1005270800365871</v>
      </c>
      <c r="AE2" s="3"/>
      <c r="AF2" s="3">
        <v>128</v>
      </c>
      <c r="AG2" s="3" t="s">
        <v>111</v>
      </c>
      <c r="AH2" s="3">
        <v>0.15</v>
      </c>
      <c r="AI2" s="3">
        <v>23.996430523296681</v>
      </c>
      <c r="AJ2" s="3">
        <v>0.76106982989235195</v>
      </c>
      <c r="AK2" s="3">
        <v>23.996430523296681</v>
      </c>
      <c r="AL2" s="3">
        <v>7.4566596548542377</v>
      </c>
      <c r="AM2" s="3">
        <v>23.996430523296681</v>
      </c>
      <c r="AN2" s="3">
        <v>7.4566596548542377</v>
      </c>
      <c r="AO2" s="3">
        <v>7.6567626609735582</v>
      </c>
      <c r="AP2" s="3">
        <v>0.76106982989235195</v>
      </c>
      <c r="AQ2" s="3">
        <v>123.69778138023131</v>
      </c>
      <c r="AR2" s="3">
        <v>18.865362182278432</v>
      </c>
      <c r="AS2" s="3">
        <v>18.812835215700549</v>
      </c>
      <c r="AT2" s="3">
        <v>-1.318806764611713E-3</v>
      </c>
      <c r="AU2" s="3">
        <v>0.5714285714285714</v>
      </c>
      <c r="AV2" s="3">
        <v>2.7807275351321319E-2</v>
      </c>
      <c r="AW2" s="3">
        <v>0.79808322729538617</v>
      </c>
      <c r="AX2" s="3">
        <v>2.7807275351321319E-2</v>
      </c>
      <c r="AY2" s="3">
        <v>0.133091126507312</v>
      </c>
      <c r="AZ2" s="3">
        <v>2.7807275351321319E-2</v>
      </c>
      <c r="BA2" s="3">
        <v>0.79808322729538617</v>
      </c>
      <c r="BB2" s="3">
        <v>0.133091126507312</v>
      </c>
      <c r="BC2" s="3">
        <v>0.12716358924806029</v>
      </c>
      <c r="BD2" s="3">
        <v>5.0740319851718431E-2</v>
      </c>
      <c r="BE2" s="3">
        <v>0.63155967274686586</v>
      </c>
      <c r="BF2" s="3">
        <v>0.17517045883084481</v>
      </c>
      <c r="BG2" s="3">
        <v>0.15750783568244309</v>
      </c>
      <c r="BH2" s="3">
        <v>5.7095828428264578E-2</v>
      </c>
      <c r="BI2" s="3">
        <v>0.80217514913790877</v>
      </c>
      <c r="BJ2" s="3">
        <v>5.7095828428264578E-2</v>
      </c>
      <c r="BK2" s="3">
        <v>0.18783963559987599</v>
      </c>
      <c r="BL2" s="3">
        <v>5.7095828428264578E-2</v>
      </c>
      <c r="BM2" s="3">
        <v>0.80217514913790877</v>
      </c>
      <c r="BN2" s="3">
        <v>0.18783963559987599</v>
      </c>
      <c r="BO2" s="3">
        <v>0.21506146973699061</v>
      </c>
      <c r="BP2" s="3">
        <v>0.31722457899118611</v>
      </c>
      <c r="BQ2" s="3">
        <v>-9.9115412740995001E-2</v>
      </c>
      <c r="BR2" s="3">
        <v>0.49409216707493242</v>
      </c>
      <c r="BS2" s="3">
        <v>0.4833023439113307</v>
      </c>
      <c r="BT2" s="3">
        <v>7.0548325828101069E-2</v>
      </c>
      <c r="BU2" s="3">
        <v>0.71677078637001701</v>
      </c>
      <c r="BV2" s="3">
        <v>7.0548325828101069E-2</v>
      </c>
      <c r="BW2" s="3">
        <v>0.20871941132913499</v>
      </c>
      <c r="BX2" s="3">
        <v>7.0548325828101069E-2</v>
      </c>
      <c r="BY2" s="3">
        <v>0.71677078637001701</v>
      </c>
      <c r="BZ2" s="3">
        <v>0.20871941132913499</v>
      </c>
      <c r="CA2" s="3">
        <v>0.25071194461870272</v>
      </c>
      <c r="CB2" s="3">
        <v>0.28179207384421201</v>
      </c>
      <c r="CC2" s="3">
        <v>-0.13130604511478519</v>
      </c>
      <c r="CD2" s="3">
        <v>0.46924151231374012</v>
      </c>
      <c r="CE2" s="3">
        <v>0.47638797693439078</v>
      </c>
      <c r="CF2" s="3">
        <v>95.830270663579341</v>
      </c>
      <c r="CG2" s="3">
        <v>0.72725015676609295</v>
      </c>
      <c r="CH2" s="3">
        <v>95.830270663579341</v>
      </c>
      <c r="CI2" s="3">
        <v>7.4257378076050609</v>
      </c>
      <c r="CJ2" s="3">
        <v>95.830270663579341</v>
      </c>
      <c r="CK2" s="3">
        <v>0.72725015676609295</v>
      </c>
      <c r="CL2" s="3">
        <v>7.4257378076050609</v>
      </c>
      <c r="CM2" s="3">
        <v>7.6195585108641009</v>
      </c>
      <c r="CN2" s="3">
        <v>494.14136854823909</v>
      </c>
      <c r="CO2" s="3">
        <v>-0.40641344194953821</v>
      </c>
      <c r="CP2" s="3">
        <v>18.82201514860553</v>
      </c>
      <c r="CQ2" s="3">
        <v>18.764449390143461</v>
      </c>
    </row>
    <row r="3" spans="1:95" x14ac:dyDescent="0.3">
      <c r="A3" s="4">
        <v>46058.831631944442</v>
      </c>
      <c r="B3" s="5" t="s">
        <v>112</v>
      </c>
      <c r="C3" s="5">
        <v>1</v>
      </c>
      <c r="D3" s="5" t="s">
        <v>96</v>
      </c>
      <c r="E3" s="5">
        <v>16590</v>
      </c>
      <c r="F3" s="5">
        <v>4.5</v>
      </c>
      <c r="G3" s="5" t="s">
        <v>97</v>
      </c>
      <c r="H3" s="5" t="s">
        <v>98</v>
      </c>
      <c r="I3" s="5">
        <v>5</v>
      </c>
      <c r="J3" s="5">
        <v>5</v>
      </c>
      <c r="K3" s="5" t="s">
        <v>99</v>
      </c>
      <c r="L3" s="5" t="s">
        <v>100</v>
      </c>
      <c r="M3" s="5" t="s">
        <v>101</v>
      </c>
      <c r="N3" s="5" t="s">
        <v>101</v>
      </c>
      <c r="O3" s="5" t="s">
        <v>102</v>
      </c>
      <c r="P3" s="5" t="s">
        <v>103</v>
      </c>
      <c r="Q3" s="5" t="s">
        <v>104</v>
      </c>
      <c r="R3" s="5" t="s">
        <v>105</v>
      </c>
      <c r="S3" s="5" t="s">
        <v>106</v>
      </c>
      <c r="T3" s="5" t="s">
        <v>107</v>
      </c>
      <c r="U3" s="5" t="s">
        <v>108</v>
      </c>
      <c r="V3" s="5" t="s">
        <v>109</v>
      </c>
      <c r="W3" s="5" t="s">
        <v>101</v>
      </c>
      <c r="X3" s="5">
        <v>200</v>
      </c>
      <c r="Y3" s="5">
        <v>80</v>
      </c>
      <c r="Z3" s="5">
        <v>120</v>
      </c>
      <c r="AA3" s="5" t="s">
        <v>110</v>
      </c>
      <c r="AB3" s="5">
        <v>4000</v>
      </c>
      <c r="AC3" s="5">
        <v>4000</v>
      </c>
      <c r="AD3" s="5">
        <v>0.1193700189692493</v>
      </c>
      <c r="AE3" s="5"/>
      <c r="AF3" s="5">
        <v>128</v>
      </c>
      <c r="AG3" s="5" t="s">
        <v>111</v>
      </c>
      <c r="AH3" s="5">
        <v>0.15</v>
      </c>
      <c r="AI3" s="5">
        <v>20.787792651419451</v>
      </c>
      <c r="AJ3" s="5">
        <v>0.75465785003142238</v>
      </c>
      <c r="AK3" s="5">
        <v>20.787792651419451</v>
      </c>
      <c r="AL3" s="5">
        <v>7.1649913821589264</v>
      </c>
      <c r="AM3" s="5">
        <v>20.787792651419451</v>
      </c>
      <c r="AN3" s="5">
        <v>7.1649913821589264</v>
      </c>
      <c r="AO3" s="5">
        <v>8.607585278808191</v>
      </c>
      <c r="AP3" s="5">
        <v>0.75465785003142238</v>
      </c>
      <c r="AQ3" s="5">
        <v>120.2008337211759</v>
      </c>
      <c r="AR3" s="5">
        <v>18.23187752062616</v>
      </c>
      <c r="AS3" s="5">
        <v>19.379622644112139</v>
      </c>
      <c r="AT3" s="5">
        <v>-0.1151548605921517</v>
      </c>
      <c r="AU3" s="5">
        <v>0.5714285714285714</v>
      </c>
      <c r="AV3" s="5">
        <v>2.440882255594486E-2</v>
      </c>
      <c r="AW3" s="5">
        <v>0.82276038864836931</v>
      </c>
      <c r="AX3" s="5">
        <v>2.440882255594486E-2</v>
      </c>
      <c r="AY3" s="5">
        <v>0.13063608250653519</v>
      </c>
      <c r="AZ3" s="5">
        <v>2.440882255594486E-2</v>
      </c>
      <c r="BA3" s="5">
        <v>0.82276038864836931</v>
      </c>
      <c r="BB3" s="5">
        <v>0.13063608250653519</v>
      </c>
      <c r="BC3" s="5">
        <v>0.13003597412495771</v>
      </c>
      <c r="BD3" s="5">
        <v>4.7187304198755012E-2</v>
      </c>
      <c r="BE3" s="5">
        <v>0.65735916028929642</v>
      </c>
      <c r="BF3" s="5">
        <v>0.172038756864377</v>
      </c>
      <c r="BG3" s="5">
        <v>0.13217728944683699</v>
      </c>
      <c r="BH3" s="5">
        <v>7.1726129478140249E-2</v>
      </c>
      <c r="BI3" s="5">
        <v>0.75148428076920681</v>
      </c>
      <c r="BJ3" s="5">
        <v>7.1726129478140249E-2</v>
      </c>
      <c r="BK3" s="5">
        <v>0.2115397924212287</v>
      </c>
      <c r="BL3" s="5">
        <v>7.1726129478140249E-2</v>
      </c>
      <c r="BM3" s="5">
        <v>0.75148428076920681</v>
      </c>
      <c r="BN3" s="5">
        <v>0.2115397924212287</v>
      </c>
      <c r="BO3" s="5">
        <v>0.20740855311343451</v>
      </c>
      <c r="BP3" s="5">
        <v>0.40110402085090979</v>
      </c>
      <c r="BQ3" s="5">
        <v>-0.38973976364507829</v>
      </c>
      <c r="BR3" s="5">
        <v>0.5414275384599232</v>
      </c>
      <c r="BS3" s="5">
        <v>0.57909850377966621</v>
      </c>
      <c r="BT3" s="5">
        <v>7.9570519786551552E-2</v>
      </c>
      <c r="BU3" s="5">
        <v>0.68054953136397311</v>
      </c>
      <c r="BV3" s="5">
        <v>7.9570519786551552E-2</v>
      </c>
      <c r="BW3" s="5">
        <v>0.22480441577309809</v>
      </c>
      <c r="BX3" s="5">
        <v>7.9570519786551552E-2</v>
      </c>
      <c r="BY3" s="5">
        <v>0.68054953136397311</v>
      </c>
      <c r="BZ3" s="5">
        <v>0.22480441577309809</v>
      </c>
      <c r="CA3" s="5">
        <v>0.27762715147830908</v>
      </c>
      <c r="CB3" s="5">
        <v>0.3392619219567079</v>
      </c>
      <c r="CC3" s="5">
        <v>-0.36202930746402728</v>
      </c>
      <c r="CD3" s="5">
        <v>0.50773329455344118</v>
      </c>
      <c r="CE3" s="5">
        <v>0.5024848046068392</v>
      </c>
      <c r="CF3" s="5">
        <v>82.975465133857085</v>
      </c>
      <c r="CG3" s="5">
        <v>0.76383719934413963</v>
      </c>
      <c r="CH3" s="5">
        <v>82.975465133857085</v>
      </c>
      <c r="CI3" s="5">
        <v>7.1330517970172567</v>
      </c>
      <c r="CJ3" s="5">
        <v>82.975465133857085</v>
      </c>
      <c r="CK3" s="5">
        <v>0.76383719934413963</v>
      </c>
      <c r="CL3" s="5">
        <v>7.1330517970172567</v>
      </c>
      <c r="CM3" s="5">
        <v>8.5723535752078828</v>
      </c>
      <c r="CN3" s="5">
        <v>480.0157816376971</v>
      </c>
      <c r="CO3" s="5">
        <v>-0.36620953154879771</v>
      </c>
      <c r="CP3" s="5">
        <v>18.17347229009307</v>
      </c>
      <c r="CQ3" s="5">
        <v>19.325008379137131</v>
      </c>
    </row>
    <row r="4" spans="1:95" x14ac:dyDescent="0.3">
      <c r="A4" s="2">
        <v>46058.969050925924</v>
      </c>
      <c r="B4" s="3" t="s">
        <v>113</v>
      </c>
      <c r="C4" s="3">
        <v>2</v>
      </c>
      <c r="D4" s="3" t="s">
        <v>96</v>
      </c>
      <c r="E4" s="3">
        <v>16590</v>
      </c>
      <c r="F4" s="3">
        <v>4.5</v>
      </c>
      <c r="G4" s="3" t="s">
        <v>97</v>
      </c>
      <c r="H4" s="3" t="s">
        <v>98</v>
      </c>
      <c r="I4" s="3">
        <v>5</v>
      </c>
      <c r="J4" s="3">
        <v>5</v>
      </c>
      <c r="K4" s="3" t="s">
        <v>99</v>
      </c>
      <c r="L4" s="3" t="s">
        <v>100</v>
      </c>
      <c r="M4" s="3" t="s">
        <v>101</v>
      </c>
      <c r="N4" s="3" t="s">
        <v>101</v>
      </c>
      <c r="O4" s="3" t="s">
        <v>102</v>
      </c>
      <c r="P4" s="3" t="s">
        <v>103</v>
      </c>
      <c r="Q4" s="3" t="s">
        <v>104</v>
      </c>
      <c r="R4" s="3" t="s">
        <v>105</v>
      </c>
      <c r="S4" s="3" t="s">
        <v>106</v>
      </c>
      <c r="T4" s="3" t="s">
        <v>107</v>
      </c>
      <c r="U4" s="3" t="s">
        <v>108</v>
      </c>
      <c r="V4" s="3" t="s">
        <v>109</v>
      </c>
      <c r="W4" s="3" t="s">
        <v>101</v>
      </c>
      <c r="X4" s="3">
        <v>200</v>
      </c>
      <c r="Y4" s="3">
        <v>80</v>
      </c>
      <c r="Z4" s="3">
        <v>120</v>
      </c>
      <c r="AA4" s="3" t="s">
        <v>110</v>
      </c>
      <c r="AB4" s="3">
        <v>4000</v>
      </c>
      <c r="AC4" s="3">
        <v>4000</v>
      </c>
      <c r="AD4" s="3">
        <v>0.1863685587694871</v>
      </c>
      <c r="AE4" s="3"/>
      <c r="AF4" s="3">
        <v>128</v>
      </c>
      <c r="AG4" s="3" t="s">
        <v>111</v>
      </c>
      <c r="AH4" s="3">
        <v>0.15</v>
      </c>
      <c r="AI4" s="3">
        <v>24.156512009136879</v>
      </c>
      <c r="AJ4" s="3">
        <v>0.52586616514219497</v>
      </c>
      <c r="AK4" s="3">
        <v>24.156512009136879</v>
      </c>
      <c r="AL4" s="3">
        <v>7.5966463178856989</v>
      </c>
      <c r="AM4" s="3">
        <v>24.156512009136879</v>
      </c>
      <c r="AN4" s="3">
        <v>7.5966463178856989</v>
      </c>
      <c r="AO4" s="3">
        <v>8.5440478247755909</v>
      </c>
      <c r="AP4" s="3">
        <v>0.52586616514219497</v>
      </c>
      <c r="AQ4" s="3">
        <v>115.618310775711</v>
      </c>
      <c r="AR4" s="3">
        <v>17.897348000672441</v>
      </c>
      <c r="AS4" s="3">
        <v>18.841003224299062</v>
      </c>
      <c r="AT4" s="3">
        <v>1.075092988997575E-2</v>
      </c>
      <c r="AU4" s="3">
        <v>0.5714285714285714</v>
      </c>
      <c r="AV4" s="3">
        <v>2.3163221508344121E-2</v>
      </c>
      <c r="AW4" s="3">
        <v>0.83180506276445731</v>
      </c>
      <c r="AX4" s="3">
        <v>2.3163221508344121E-2</v>
      </c>
      <c r="AY4" s="3">
        <v>0.1232676951406509</v>
      </c>
      <c r="AZ4" s="3">
        <v>2.3163221508344121E-2</v>
      </c>
      <c r="BA4" s="3">
        <v>0.83180506276445731</v>
      </c>
      <c r="BB4" s="3">
        <v>0.1232676951406509</v>
      </c>
      <c r="BC4" s="3">
        <v>0.13399954228402111</v>
      </c>
      <c r="BD4" s="3">
        <v>4.091456216283431E-2</v>
      </c>
      <c r="BE4" s="3">
        <v>0.70290737786543844</v>
      </c>
      <c r="BF4" s="3">
        <v>0.15445796593006239</v>
      </c>
      <c r="BG4" s="3">
        <v>0.14682125564769391</v>
      </c>
      <c r="BH4" s="3">
        <v>0.2280279673749662</v>
      </c>
      <c r="BI4" s="3">
        <v>0.20993179571753909</v>
      </c>
      <c r="BJ4" s="3">
        <v>0.2280279673749662</v>
      </c>
      <c r="BK4" s="3">
        <v>0.42554239490524809</v>
      </c>
      <c r="BL4" s="3">
        <v>0.2280279673749662</v>
      </c>
      <c r="BM4" s="3">
        <v>0.20993179571753909</v>
      </c>
      <c r="BN4" s="3">
        <v>0.42554239490524809</v>
      </c>
      <c r="BO4" s="3">
        <v>0.4611251759224525</v>
      </c>
      <c r="BP4" s="3">
        <v>0.33451110617302432</v>
      </c>
      <c r="BQ4" s="3">
        <v>-0.15900953733482859</v>
      </c>
      <c r="BR4" s="3">
        <v>0.50312171654000337</v>
      </c>
      <c r="BS4" s="3">
        <v>0.46947614698107132</v>
      </c>
      <c r="BT4" s="3">
        <v>0.1655033043560232</v>
      </c>
      <c r="BU4" s="3">
        <v>0.33555658202099231</v>
      </c>
      <c r="BV4" s="3">
        <v>0.1655033043560232</v>
      </c>
      <c r="BW4" s="3">
        <v>0.35859584826319879</v>
      </c>
      <c r="BX4" s="3">
        <v>0.1655033043560232</v>
      </c>
      <c r="BY4" s="3">
        <v>0.33555658202099231</v>
      </c>
      <c r="BZ4" s="3">
        <v>0.35859584826319879</v>
      </c>
      <c r="CA4" s="3">
        <v>0.34952773197716369</v>
      </c>
      <c r="CB4" s="3">
        <v>0.29554593566387821</v>
      </c>
      <c r="CC4" s="3">
        <v>-0.18652344994805239</v>
      </c>
      <c r="CD4" s="3">
        <v>0.47059465643365123</v>
      </c>
      <c r="CE4" s="3">
        <v>0.47363127071469913</v>
      </c>
      <c r="CF4" s="3">
        <v>96.209353543308396</v>
      </c>
      <c r="CG4" s="3">
        <v>0.72617122006579149</v>
      </c>
      <c r="CH4" s="3">
        <v>96.209353543308396</v>
      </c>
      <c r="CI4" s="3">
        <v>7.5239599113497819</v>
      </c>
      <c r="CJ4" s="3">
        <v>96.209353543308396</v>
      </c>
      <c r="CK4" s="3">
        <v>0.72617122006579149</v>
      </c>
      <c r="CL4" s="3">
        <v>7.5239599113497819</v>
      </c>
      <c r="CM4" s="3">
        <v>8.4714569070636259</v>
      </c>
      <c r="CN4" s="3">
        <v>461.80227149884331</v>
      </c>
      <c r="CO4" s="3">
        <v>-0.31437067102265748</v>
      </c>
      <c r="CP4" s="3">
        <v>17.84691393929257</v>
      </c>
      <c r="CQ4" s="3">
        <v>18.79678296659463</v>
      </c>
    </row>
    <row r="5" spans="1:95" x14ac:dyDescent="0.3">
      <c r="A5" s="4">
        <v>46059.582314814812</v>
      </c>
      <c r="B5" s="5" t="s">
        <v>114</v>
      </c>
      <c r="C5" s="5">
        <v>1</v>
      </c>
      <c r="D5" s="5" t="s">
        <v>96</v>
      </c>
      <c r="E5" s="5">
        <v>16590</v>
      </c>
      <c r="F5" s="5">
        <v>4.5</v>
      </c>
      <c r="G5" s="5" t="s">
        <v>97</v>
      </c>
      <c r="H5" s="5" t="s">
        <v>98</v>
      </c>
      <c r="I5" s="5">
        <v>5</v>
      </c>
      <c r="J5" s="5">
        <v>5</v>
      </c>
      <c r="K5" s="5" t="s">
        <v>99</v>
      </c>
      <c r="L5" s="5" t="s">
        <v>100</v>
      </c>
      <c r="M5" s="5" t="s">
        <v>101</v>
      </c>
      <c r="N5" s="5" t="s">
        <v>101</v>
      </c>
      <c r="O5" s="5" t="s">
        <v>102</v>
      </c>
      <c r="P5" s="5" t="s">
        <v>103</v>
      </c>
      <c r="Q5" s="5" t="s">
        <v>104</v>
      </c>
      <c r="R5" s="5" t="s">
        <v>105</v>
      </c>
      <c r="S5" s="5" t="s">
        <v>106</v>
      </c>
      <c r="T5" s="5" t="s">
        <v>107</v>
      </c>
      <c r="U5" s="5" t="s">
        <v>108</v>
      </c>
      <c r="V5" s="5" t="s">
        <v>109</v>
      </c>
      <c r="W5" s="5" t="s">
        <v>101</v>
      </c>
      <c r="X5" s="5">
        <v>200</v>
      </c>
      <c r="Y5" s="5">
        <v>80</v>
      </c>
      <c r="Z5" s="5">
        <v>120</v>
      </c>
      <c r="AA5" s="5" t="s">
        <v>110</v>
      </c>
      <c r="AB5" s="5">
        <v>4000</v>
      </c>
      <c r="AC5" s="5">
        <v>4000</v>
      </c>
      <c r="AD5" s="5">
        <v>0.12152746393523731</v>
      </c>
      <c r="AE5" s="5"/>
      <c r="AF5" s="5">
        <v>64</v>
      </c>
      <c r="AG5" s="5" t="s">
        <v>111</v>
      </c>
      <c r="AH5" s="5">
        <v>0.15</v>
      </c>
      <c r="AI5" s="5">
        <v>20.52023657418804</v>
      </c>
      <c r="AJ5" s="5">
        <v>0.75538436348233973</v>
      </c>
      <c r="AK5" s="5">
        <v>20.52023657418804</v>
      </c>
      <c r="AL5" s="5">
        <v>7.1393780764837729</v>
      </c>
      <c r="AM5" s="5">
        <v>20.52023657418804</v>
      </c>
      <c r="AN5" s="5">
        <v>7.1393780764837729</v>
      </c>
      <c r="AO5" s="5">
        <v>8.6105821528222162</v>
      </c>
      <c r="AP5" s="5">
        <v>0.75538436348233973</v>
      </c>
      <c r="AQ5" s="5">
        <v>119.6316942312998</v>
      </c>
      <c r="AR5" s="5">
        <v>18.134868022077619</v>
      </c>
      <c r="AS5" s="5">
        <v>19.048325479772259</v>
      </c>
      <c r="AT5" s="5">
        <v>-8.3049152309793234E-2</v>
      </c>
      <c r="AU5" s="5">
        <v>0.5714285714285714</v>
      </c>
      <c r="AV5" s="5">
        <v>2.433563901762997E-2</v>
      </c>
      <c r="AW5" s="5">
        <v>0.82329179575981593</v>
      </c>
      <c r="AX5" s="5">
        <v>2.433563901762997E-2</v>
      </c>
      <c r="AY5" s="5">
        <v>0.13057572937562589</v>
      </c>
      <c r="AZ5" s="5">
        <v>2.433563901762997E-2</v>
      </c>
      <c r="BA5" s="5">
        <v>0.82329179575981593</v>
      </c>
      <c r="BB5" s="5">
        <v>0.13057572937562589</v>
      </c>
      <c r="BC5" s="5">
        <v>0.12576988228294619</v>
      </c>
      <c r="BD5" s="5">
        <v>7.0160208689995132E-2</v>
      </c>
      <c r="BE5" s="5">
        <v>0.49054617066994038</v>
      </c>
      <c r="BF5" s="5">
        <v>0.21817133014195941</v>
      </c>
      <c r="BG5" s="5">
        <v>0.19260083321520699</v>
      </c>
      <c r="BH5" s="5">
        <v>7.1883112777743008E-2</v>
      </c>
      <c r="BI5" s="5">
        <v>0.7509403671648921</v>
      </c>
      <c r="BJ5" s="5">
        <v>7.1883112777743008E-2</v>
      </c>
      <c r="BK5" s="5">
        <v>0.21358809720046579</v>
      </c>
      <c r="BL5" s="5">
        <v>7.1883112777743008E-2</v>
      </c>
      <c r="BM5" s="5">
        <v>0.7509403671648921</v>
      </c>
      <c r="BN5" s="5">
        <v>0.21358809720046579</v>
      </c>
      <c r="BO5" s="5">
        <v>0.20822930007241969</v>
      </c>
      <c r="BP5" s="5">
        <v>0.36620912528060162</v>
      </c>
      <c r="BQ5" s="5">
        <v>-0.26883640341592391</v>
      </c>
      <c r="BR5" s="5">
        <v>0.51681733831504872</v>
      </c>
      <c r="BS5" s="5">
        <v>0.542042091056955</v>
      </c>
      <c r="BT5" s="5">
        <v>7.9602356882051167E-2</v>
      </c>
      <c r="BU5" s="5">
        <v>0.6804217154956762</v>
      </c>
      <c r="BV5" s="5">
        <v>7.9602356882051167E-2</v>
      </c>
      <c r="BW5" s="5">
        <v>0.22548057936789481</v>
      </c>
      <c r="BX5" s="5">
        <v>7.9602356882051167E-2</v>
      </c>
      <c r="BY5" s="5">
        <v>0.6804217154956762</v>
      </c>
      <c r="BZ5" s="5">
        <v>0.22548057936789481</v>
      </c>
      <c r="CA5" s="5">
        <v>0.28246719785888491</v>
      </c>
      <c r="CB5" s="5">
        <v>0.29741403842918568</v>
      </c>
      <c r="CC5" s="5">
        <v>-0.1940232916662992</v>
      </c>
      <c r="CD5" s="5">
        <v>0.47209445024313251</v>
      </c>
      <c r="CE5" s="5">
        <v>0.45390295406893738</v>
      </c>
      <c r="CF5" s="5">
        <v>81.905125188075189</v>
      </c>
      <c r="CG5" s="5">
        <v>0.76688357550897235</v>
      </c>
      <c r="CH5" s="5">
        <v>81.905125188075189</v>
      </c>
      <c r="CI5" s="5">
        <v>7.1066471940774827</v>
      </c>
      <c r="CJ5" s="5">
        <v>81.905125188075189</v>
      </c>
      <c r="CK5" s="5">
        <v>0.76688357550897235</v>
      </c>
      <c r="CL5" s="5">
        <v>7.1066471940774827</v>
      </c>
      <c r="CM5" s="5">
        <v>8.5757851043131161</v>
      </c>
      <c r="CN5" s="5">
        <v>477.7929935527996</v>
      </c>
      <c r="CO5" s="5">
        <v>-0.3598830848269019</v>
      </c>
      <c r="CP5" s="5">
        <v>18.0815904026509</v>
      </c>
      <c r="CQ5" s="5">
        <v>18.99840129957553</v>
      </c>
    </row>
    <row r="6" spans="1:95" x14ac:dyDescent="0.3">
      <c r="A6" s="2">
        <v>46059.707824074067</v>
      </c>
      <c r="B6" s="3" t="s">
        <v>115</v>
      </c>
      <c r="C6" s="3">
        <v>0</v>
      </c>
      <c r="D6" s="3" t="s">
        <v>96</v>
      </c>
      <c r="E6" s="3">
        <v>16590</v>
      </c>
      <c r="F6" s="3">
        <v>4.5</v>
      </c>
      <c r="G6" s="3" t="s">
        <v>97</v>
      </c>
      <c r="H6" s="3" t="s">
        <v>98</v>
      </c>
      <c r="I6" s="3">
        <v>5</v>
      </c>
      <c r="J6" s="3">
        <v>5</v>
      </c>
      <c r="K6" s="3" t="s">
        <v>99</v>
      </c>
      <c r="L6" s="3" t="s">
        <v>100</v>
      </c>
      <c r="M6" s="3" t="s">
        <v>101</v>
      </c>
      <c r="N6" s="3" t="s">
        <v>101</v>
      </c>
      <c r="O6" s="3" t="s">
        <v>102</v>
      </c>
      <c r="P6" s="3" t="s">
        <v>103</v>
      </c>
      <c r="Q6" s="3" t="s">
        <v>104</v>
      </c>
      <c r="R6" s="3" t="s">
        <v>105</v>
      </c>
      <c r="S6" s="3" t="s">
        <v>106</v>
      </c>
      <c r="T6" s="3" t="s">
        <v>107</v>
      </c>
      <c r="U6" s="3" t="s">
        <v>108</v>
      </c>
      <c r="V6" s="3" t="s">
        <v>109</v>
      </c>
      <c r="W6" s="3" t="s">
        <v>101</v>
      </c>
      <c r="X6" s="3">
        <v>200</v>
      </c>
      <c r="Y6" s="3">
        <v>80</v>
      </c>
      <c r="Z6" s="3">
        <v>120</v>
      </c>
      <c r="AA6" s="3" t="s">
        <v>110</v>
      </c>
      <c r="AB6" s="3">
        <v>4000</v>
      </c>
      <c r="AC6" s="3">
        <v>4000</v>
      </c>
      <c r="AD6" s="3">
        <v>0.1013760840515352</v>
      </c>
      <c r="AE6" s="3"/>
      <c r="AF6" s="3">
        <v>256</v>
      </c>
      <c r="AG6" s="3" t="s">
        <v>111</v>
      </c>
      <c r="AH6" s="3">
        <v>0.15</v>
      </c>
      <c r="AI6" s="3">
        <v>23.9166556552834</v>
      </c>
      <c r="AJ6" s="3">
        <v>0.76236993829285737</v>
      </c>
      <c r="AK6" s="3">
        <v>23.9166556552834</v>
      </c>
      <c r="AL6" s="3">
        <v>7.4395036523786278</v>
      </c>
      <c r="AM6" s="3">
        <v>23.9166556552834</v>
      </c>
      <c r="AN6" s="3">
        <v>7.4395036523786278</v>
      </c>
      <c r="AO6" s="3">
        <v>7.6626463593432863</v>
      </c>
      <c r="AP6" s="3">
        <v>0.76236993829285737</v>
      </c>
      <c r="AQ6" s="3">
        <v>122.4500765052088</v>
      </c>
      <c r="AR6" s="3">
        <v>18.79401959039421</v>
      </c>
      <c r="AS6" s="3">
        <v>18.915622552607289</v>
      </c>
      <c r="AT6" s="3">
        <v>-1.3142933295878619E-2</v>
      </c>
      <c r="AU6" s="3">
        <v>0.5714285714285714</v>
      </c>
      <c r="AV6" s="3">
        <v>2.679274633515883E-2</v>
      </c>
      <c r="AW6" s="3">
        <v>0.80545001969667696</v>
      </c>
      <c r="AX6" s="3">
        <v>2.679274633515883E-2</v>
      </c>
      <c r="AY6" s="3">
        <v>0.12965689717138301</v>
      </c>
      <c r="AZ6" s="3">
        <v>2.679274633515883E-2</v>
      </c>
      <c r="BA6" s="3">
        <v>0.80545001969667696</v>
      </c>
      <c r="BB6" s="3">
        <v>0.12965689717138301</v>
      </c>
      <c r="BC6" s="3">
        <v>0.119316132005805</v>
      </c>
      <c r="BD6" s="3">
        <v>5.4594265477382962E-2</v>
      </c>
      <c r="BE6" s="3">
        <v>0.60357504451264843</v>
      </c>
      <c r="BF6" s="3">
        <v>0.18350145602150739</v>
      </c>
      <c r="BG6" s="3">
        <v>0.17024241611293359</v>
      </c>
      <c r="BH6" s="3">
        <v>5.7435144321833338E-2</v>
      </c>
      <c r="BI6" s="3">
        <v>0.80099949203846388</v>
      </c>
      <c r="BJ6" s="3">
        <v>5.7435144321833338E-2</v>
      </c>
      <c r="BK6" s="3">
        <v>0.18856599411089711</v>
      </c>
      <c r="BL6" s="3">
        <v>5.7435144321833338E-2</v>
      </c>
      <c r="BM6" s="3">
        <v>0.80099949203846388</v>
      </c>
      <c r="BN6" s="3">
        <v>0.18856599411089711</v>
      </c>
      <c r="BO6" s="3">
        <v>0.22105408168977189</v>
      </c>
      <c r="BP6" s="3">
        <v>0.32040707110273581</v>
      </c>
      <c r="BQ6" s="3">
        <v>-0.11014206818445001</v>
      </c>
      <c r="BR6" s="3">
        <v>0.49565933574045767</v>
      </c>
      <c r="BS6" s="3">
        <v>0.49077848744364178</v>
      </c>
      <c r="BT6" s="3">
        <v>7.1021174806190329E-2</v>
      </c>
      <c r="BU6" s="3">
        <v>0.71487244728602106</v>
      </c>
      <c r="BV6" s="3">
        <v>7.1021174806190329E-2</v>
      </c>
      <c r="BW6" s="3">
        <v>0.20942274943918729</v>
      </c>
      <c r="BX6" s="3">
        <v>7.1021174806190329E-2</v>
      </c>
      <c r="BY6" s="3">
        <v>0.71487244728602106</v>
      </c>
      <c r="BZ6" s="3">
        <v>0.20942274943918729</v>
      </c>
      <c r="CA6" s="3">
        <v>0.25218661441665269</v>
      </c>
      <c r="CB6" s="3">
        <v>0.28740296943613908</v>
      </c>
      <c r="CC6" s="3">
        <v>-0.15383201617940889</v>
      </c>
      <c r="CD6" s="3">
        <v>0.47166029724429293</v>
      </c>
      <c r="CE6" s="3">
        <v>0.48280660230639399</v>
      </c>
      <c r="CF6" s="3">
        <v>95.511373555670204</v>
      </c>
      <c r="CG6" s="3">
        <v>0.72815779415026893</v>
      </c>
      <c r="CH6" s="3">
        <v>95.511373555670204</v>
      </c>
      <c r="CI6" s="3">
        <v>7.4086318960692026</v>
      </c>
      <c r="CJ6" s="3">
        <v>95.511373555670204</v>
      </c>
      <c r="CK6" s="3">
        <v>0.72815779415026893</v>
      </c>
      <c r="CL6" s="3">
        <v>7.4086318960692026</v>
      </c>
      <c r="CM6" s="3">
        <v>7.6253028171464416</v>
      </c>
      <c r="CN6" s="3">
        <v>489.13790171481998</v>
      </c>
      <c r="CO6" s="3">
        <v>-0.39217269333230859</v>
      </c>
      <c r="CP6" s="3">
        <v>18.751219164684429</v>
      </c>
      <c r="CQ6" s="3">
        <v>18.866890487085001</v>
      </c>
    </row>
    <row r="7" spans="1:95" x14ac:dyDescent="0.3">
      <c r="A7" s="4">
        <v>46060.069803240738</v>
      </c>
      <c r="B7" s="5" t="s">
        <v>116</v>
      </c>
      <c r="C7" s="5">
        <v>2</v>
      </c>
      <c r="D7" s="5" t="s">
        <v>96</v>
      </c>
      <c r="E7" s="5">
        <v>16590</v>
      </c>
      <c r="F7" s="5">
        <v>4.5</v>
      </c>
      <c r="G7" s="5" t="s">
        <v>97</v>
      </c>
      <c r="H7" s="5" t="s">
        <v>98</v>
      </c>
      <c r="I7" s="5">
        <v>5</v>
      </c>
      <c r="J7" s="5">
        <v>5</v>
      </c>
      <c r="K7" s="5" t="s">
        <v>99</v>
      </c>
      <c r="L7" s="5" t="s">
        <v>100</v>
      </c>
      <c r="M7" s="5" t="s">
        <v>101</v>
      </c>
      <c r="N7" s="5" t="s">
        <v>101</v>
      </c>
      <c r="O7" s="5" t="s">
        <v>102</v>
      </c>
      <c r="P7" s="5" t="s">
        <v>117</v>
      </c>
      <c r="Q7" s="5" t="s">
        <v>104</v>
      </c>
      <c r="R7" s="5" t="s">
        <v>105</v>
      </c>
      <c r="S7" s="5" t="s">
        <v>106</v>
      </c>
      <c r="T7" s="5" t="s">
        <v>107</v>
      </c>
      <c r="U7" s="5" t="s">
        <v>108</v>
      </c>
      <c r="V7" s="5" t="s">
        <v>109</v>
      </c>
      <c r="W7" s="5" t="s">
        <v>101</v>
      </c>
      <c r="X7" s="5">
        <v>200</v>
      </c>
      <c r="Y7" s="5">
        <v>80</v>
      </c>
      <c r="Z7" s="5">
        <v>120</v>
      </c>
      <c r="AA7" s="5" t="s">
        <v>110</v>
      </c>
      <c r="AB7" s="5">
        <v>4000</v>
      </c>
      <c r="AC7" s="5">
        <v>4000</v>
      </c>
      <c r="AD7" s="5">
        <v>0.17499957312285239</v>
      </c>
      <c r="AE7" s="5"/>
      <c r="AF7" s="5">
        <v>64</v>
      </c>
      <c r="AG7" s="5" t="s">
        <v>111</v>
      </c>
      <c r="AH7" s="5">
        <v>0.15</v>
      </c>
      <c r="AI7" s="5">
        <v>23.71418679985976</v>
      </c>
      <c r="AJ7" s="5">
        <v>0.55174316562540371</v>
      </c>
      <c r="AK7" s="5">
        <v>23.71418679985976</v>
      </c>
      <c r="AL7" s="5">
        <v>7.5441954563370546</v>
      </c>
      <c r="AM7" s="5">
        <v>23.71418679985976</v>
      </c>
      <c r="AN7" s="5">
        <v>7.5441954563370546</v>
      </c>
      <c r="AO7" s="5">
        <v>8.3360671530445973</v>
      </c>
      <c r="AP7" s="5">
        <v>0.55174316562540371</v>
      </c>
      <c r="AQ7" s="5">
        <v>123.7662411959961</v>
      </c>
      <c r="AR7" s="5">
        <v>18.38068586240318</v>
      </c>
      <c r="AS7" s="5">
        <v>19.579376411410351</v>
      </c>
      <c r="AT7" s="5">
        <v>-0.65834236083212971</v>
      </c>
      <c r="AU7" s="5">
        <v>0.5714285714285714</v>
      </c>
      <c r="AV7" s="5">
        <v>2.392440438855124E-2</v>
      </c>
      <c r="AW7" s="5">
        <v>0.82627789087625136</v>
      </c>
      <c r="AX7" s="5">
        <v>2.392440438855124E-2</v>
      </c>
      <c r="AY7" s="5">
        <v>0.1247537950792847</v>
      </c>
      <c r="AZ7" s="5">
        <v>2.392440438855124E-2</v>
      </c>
      <c r="BA7" s="5">
        <v>0.82627789087625136</v>
      </c>
      <c r="BB7" s="5">
        <v>0.1247537950792847</v>
      </c>
      <c r="BC7" s="5">
        <v>0.1384625037890744</v>
      </c>
      <c r="BD7" s="5">
        <v>0.40333560775711352</v>
      </c>
      <c r="BE7" s="5">
        <v>-1.9287380085334609</v>
      </c>
      <c r="BF7" s="5">
        <v>0.51479931262556344</v>
      </c>
      <c r="BG7" s="5">
        <v>0.36830122041333102</v>
      </c>
      <c r="BH7" s="5">
        <v>0.21634811068292059</v>
      </c>
      <c r="BI7" s="5">
        <v>0.25040000454819838</v>
      </c>
      <c r="BJ7" s="5">
        <v>0.21634811068292059</v>
      </c>
      <c r="BK7" s="5">
        <v>0.41026481700260681</v>
      </c>
      <c r="BL7" s="5">
        <v>0.21634811068292059</v>
      </c>
      <c r="BM7" s="5">
        <v>0.25040000454819838</v>
      </c>
      <c r="BN7" s="5">
        <v>0.41026481700260681</v>
      </c>
      <c r="BO7" s="5">
        <v>0.45853829310804711</v>
      </c>
      <c r="BP7" s="5">
        <v>0.33533363512248232</v>
      </c>
      <c r="BQ7" s="5">
        <v>-0.16185942446731369</v>
      </c>
      <c r="BR7" s="5">
        <v>0.50478946232725719</v>
      </c>
      <c r="BS7" s="5">
        <v>0.47892105021429471</v>
      </c>
      <c r="BT7" s="5">
        <v>0.14965961700801311</v>
      </c>
      <c r="BU7" s="5">
        <v>0.399163975334765</v>
      </c>
      <c r="BV7" s="5">
        <v>0.14965961700801311</v>
      </c>
      <c r="BW7" s="5">
        <v>0.33402809636670039</v>
      </c>
      <c r="BX7" s="5">
        <v>0.14965961700801311</v>
      </c>
      <c r="BY7" s="5">
        <v>0.399163975334765</v>
      </c>
      <c r="BZ7" s="5">
        <v>0.33402809636670039</v>
      </c>
      <c r="CA7" s="5">
        <v>0.36341982428974767</v>
      </c>
      <c r="CB7" s="5">
        <v>0.2831201980093227</v>
      </c>
      <c r="CC7" s="5">
        <v>-0.1366380435495014</v>
      </c>
      <c r="CD7" s="5">
        <v>0.45761815525612198</v>
      </c>
      <c r="CE7" s="5">
        <v>0.49605885538753142</v>
      </c>
      <c r="CF7" s="5">
        <v>94.466815067359093</v>
      </c>
      <c r="CG7" s="5">
        <v>0.73113079174239393</v>
      </c>
      <c r="CH7" s="5">
        <v>94.466815067359093</v>
      </c>
      <c r="CI7" s="5">
        <v>7.4796748739075634</v>
      </c>
      <c r="CJ7" s="5">
        <v>94.466815067359093</v>
      </c>
      <c r="CK7" s="5">
        <v>0.73113079174239393</v>
      </c>
      <c r="CL7" s="5">
        <v>7.4796748739075634</v>
      </c>
      <c r="CM7" s="5">
        <v>8.261695574997681</v>
      </c>
      <c r="CN7" s="5">
        <v>494.04317534309507</v>
      </c>
      <c r="CO7" s="5">
        <v>-0.40613396677823582</v>
      </c>
      <c r="CP7" s="5">
        <v>18.31426470669053</v>
      </c>
      <c r="CQ7" s="5">
        <v>19.52545998895479</v>
      </c>
    </row>
    <row r="8" spans="1:95" x14ac:dyDescent="0.3">
      <c r="A8" s="2">
        <v>46059.956111111111</v>
      </c>
      <c r="B8" s="3" t="s">
        <v>118</v>
      </c>
      <c r="C8" s="3">
        <v>1</v>
      </c>
      <c r="D8" s="3" t="s">
        <v>96</v>
      </c>
      <c r="E8" s="3">
        <v>16590</v>
      </c>
      <c r="F8" s="3">
        <v>4.5</v>
      </c>
      <c r="G8" s="3" t="s">
        <v>97</v>
      </c>
      <c r="H8" s="3" t="s">
        <v>98</v>
      </c>
      <c r="I8" s="3">
        <v>5</v>
      </c>
      <c r="J8" s="3">
        <v>5</v>
      </c>
      <c r="K8" s="3" t="s">
        <v>99</v>
      </c>
      <c r="L8" s="3" t="s">
        <v>100</v>
      </c>
      <c r="M8" s="3" t="s">
        <v>101</v>
      </c>
      <c r="N8" s="3" t="s">
        <v>101</v>
      </c>
      <c r="O8" s="3" t="s">
        <v>102</v>
      </c>
      <c r="P8" s="3" t="s">
        <v>103</v>
      </c>
      <c r="Q8" s="3" t="s">
        <v>104</v>
      </c>
      <c r="R8" s="3" t="s">
        <v>105</v>
      </c>
      <c r="S8" s="3" t="s">
        <v>106</v>
      </c>
      <c r="T8" s="3" t="s">
        <v>107</v>
      </c>
      <c r="U8" s="3" t="s">
        <v>108</v>
      </c>
      <c r="V8" s="3" t="s">
        <v>109</v>
      </c>
      <c r="W8" s="3" t="s">
        <v>101</v>
      </c>
      <c r="X8" s="3">
        <v>200</v>
      </c>
      <c r="Y8" s="3">
        <v>80</v>
      </c>
      <c r="Z8" s="3">
        <v>120</v>
      </c>
      <c r="AA8" s="3" t="s">
        <v>110</v>
      </c>
      <c r="AB8" s="3">
        <v>4000</v>
      </c>
      <c r="AC8" s="3">
        <v>4000</v>
      </c>
      <c r="AD8" s="3">
        <v>0.1185838284190312</v>
      </c>
      <c r="AE8" s="3"/>
      <c r="AF8" s="3">
        <v>256</v>
      </c>
      <c r="AG8" s="3" t="s">
        <v>111</v>
      </c>
      <c r="AH8" s="3">
        <v>0.15</v>
      </c>
      <c r="AI8" s="3">
        <v>20.925360973510259</v>
      </c>
      <c r="AJ8" s="3">
        <v>0.75432424402798681</v>
      </c>
      <c r="AK8" s="3">
        <v>20.925360973510259</v>
      </c>
      <c r="AL8" s="3">
        <v>7.1692144127033526</v>
      </c>
      <c r="AM8" s="3">
        <v>20.925360973510259</v>
      </c>
      <c r="AN8" s="3">
        <v>7.1692144127033526</v>
      </c>
      <c r="AO8" s="3">
        <v>8.680777410332249</v>
      </c>
      <c r="AP8" s="3">
        <v>0.75432424402798681</v>
      </c>
      <c r="AQ8" s="3">
        <v>118.59878039922459</v>
      </c>
      <c r="AR8" s="3">
        <v>18.123261750666401</v>
      </c>
      <c r="AS8" s="3">
        <v>19.289217826961941</v>
      </c>
      <c r="AT8" s="3">
        <v>-0.1184700506489705</v>
      </c>
      <c r="AU8" s="3">
        <v>0.5714285714285714</v>
      </c>
      <c r="AV8" s="3">
        <v>2.4736663823691149E-2</v>
      </c>
      <c r="AW8" s="3">
        <v>0.82037983715936569</v>
      </c>
      <c r="AX8" s="3">
        <v>2.4736663823691149E-2</v>
      </c>
      <c r="AY8" s="3">
        <v>0.13133103049635211</v>
      </c>
      <c r="AZ8" s="3">
        <v>2.4736663823691149E-2</v>
      </c>
      <c r="BA8" s="3">
        <v>0.82037983715936569</v>
      </c>
      <c r="BB8" s="3">
        <v>0.13133103049635211</v>
      </c>
      <c r="BC8" s="3">
        <v>0.1320577161980182</v>
      </c>
      <c r="BD8" s="3">
        <v>4.4747737332861179E-2</v>
      </c>
      <c r="BE8" s="3">
        <v>0.67507356999448831</v>
      </c>
      <c r="BF8" s="3">
        <v>0.1658003823152856</v>
      </c>
      <c r="BG8" s="3">
        <v>0.1168526847835286</v>
      </c>
      <c r="BH8" s="3">
        <v>7.2901440489136646E-2</v>
      </c>
      <c r="BI8" s="3">
        <v>0.7474120791413934</v>
      </c>
      <c r="BJ8" s="3">
        <v>7.2901440489136646E-2</v>
      </c>
      <c r="BK8" s="3">
        <v>0.21329521291432299</v>
      </c>
      <c r="BL8" s="3">
        <v>7.2901440489136646E-2</v>
      </c>
      <c r="BM8" s="3">
        <v>0.7474120791413934</v>
      </c>
      <c r="BN8" s="3">
        <v>0.21329521291432299</v>
      </c>
      <c r="BO8" s="3">
        <v>0.20854024178217229</v>
      </c>
      <c r="BP8" s="3">
        <v>0.40546770054529518</v>
      </c>
      <c r="BQ8" s="3">
        <v>-0.40485898178264002</v>
      </c>
      <c r="BR8" s="3">
        <v>0.54185377552457425</v>
      </c>
      <c r="BS8" s="3">
        <v>0.5872060602162843</v>
      </c>
      <c r="BT8" s="3">
        <v>7.790539112392586E-2</v>
      </c>
      <c r="BU8" s="3">
        <v>0.68723449626104749</v>
      </c>
      <c r="BV8" s="3">
        <v>7.790539112392586E-2</v>
      </c>
      <c r="BW8" s="3">
        <v>0.22022266947567601</v>
      </c>
      <c r="BX8" s="3">
        <v>7.790539112392586E-2</v>
      </c>
      <c r="BY8" s="3">
        <v>0.68723449626104749</v>
      </c>
      <c r="BZ8" s="3">
        <v>0.22022266947567601</v>
      </c>
      <c r="CA8" s="3">
        <v>0.26870188125407329</v>
      </c>
      <c r="CB8" s="3">
        <v>0.34776185063736181</v>
      </c>
      <c r="CC8" s="3">
        <v>-0.3961538325732199</v>
      </c>
      <c r="CD8" s="3">
        <v>0.51187160539207277</v>
      </c>
      <c r="CE8" s="3">
        <v>0.51811869267396904</v>
      </c>
      <c r="CF8" s="3">
        <v>83.525900398604392</v>
      </c>
      <c r="CG8" s="3">
        <v>0.76227056355013989</v>
      </c>
      <c r="CH8" s="3">
        <v>83.525900398604392</v>
      </c>
      <c r="CI8" s="3">
        <v>7.1380273398765546</v>
      </c>
      <c r="CJ8" s="3">
        <v>83.525900398604392</v>
      </c>
      <c r="CK8" s="3">
        <v>0.76227056355013989</v>
      </c>
      <c r="CL8" s="3">
        <v>7.1380273398765546</v>
      </c>
      <c r="CM8" s="3">
        <v>8.6473105078585526</v>
      </c>
      <c r="CN8" s="3">
        <v>473.59714430838397</v>
      </c>
      <c r="CO8" s="3">
        <v>-0.34794095823451188</v>
      </c>
      <c r="CP8" s="3">
        <v>18.066631847901689</v>
      </c>
      <c r="CQ8" s="3">
        <v>19.232224190742649</v>
      </c>
    </row>
    <row r="9" spans="1:95" x14ac:dyDescent="0.3">
      <c r="A9" s="4">
        <v>46060.183310185188</v>
      </c>
      <c r="B9" s="5" t="s">
        <v>119</v>
      </c>
      <c r="C9" s="5">
        <v>3</v>
      </c>
      <c r="D9" s="5" t="s">
        <v>96</v>
      </c>
      <c r="E9" s="5">
        <v>16590</v>
      </c>
      <c r="F9" s="5">
        <v>4.5</v>
      </c>
      <c r="G9" s="5" t="s">
        <v>97</v>
      </c>
      <c r="H9" s="5" t="s">
        <v>98</v>
      </c>
      <c r="I9" s="5">
        <v>5</v>
      </c>
      <c r="J9" s="5">
        <v>5</v>
      </c>
      <c r="K9" s="5" t="s">
        <v>99</v>
      </c>
      <c r="L9" s="5" t="s">
        <v>100</v>
      </c>
      <c r="M9" s="5" t="s">
        <v>101</v>
      </c>
      <c r="N9" s="5" t="s">
        <v>101</v>
      </c>
      <c r="O9" s="5" t="s">
        <v>102</v>
      </c>
      <c r="P9" s="5" t="s">
        <v>117</v>
      </c>
      <c r="Q9" s="5" t="s">
        <v>104</v>
      </c>
      <c r="R9" s="5" t="s">
        <v>105</v>
      </c>
      <c r="S9" s="5" t="s">
        <v>106</v>
      </c>
      <c r="T9" s="5" t="s">
        <v>107</v>
      </c>
      <c r="U9" s="5" t="s">
        <v>108</v>
      </c>
      <c r="V9" s="5" t="s">
        <v>109</v>
      </c>
      <c r="W9" s="5" t="s">
        <v>101</v>
      </c>
      <c r="X9" s="5">
        <v>200</v>
      </c>
      <c r="Y9" s="5">
        <v>80</v>
      </c>
      <c r="Z9" s="5">
        <v>120</v>
      </c>
      <c r="AA9" s="5" t="s">
        <v>110</v>
      </c>
      <c r="AB9" s="5">
        <v>4000</v>
      </c>
      <c r="AC9" s="5">
        <v>4000</v>
      </c>
      <c r="AD9" s="5">
        <v>0.103993120975752</v>
      </c>
      <c r="AE9" s="5"/>
      <c r="AF9" s="5">
        <v>64</v>
      </c>
      <c r="AG9" s="5" t="s">
        <v>111</v>
      </c>
      <c r="AH9" s="5">
        <v>0.15</v>
      </c>
      <c r="AI9" s="5">
        <v>23.662293010959559</v>
      </c>
      <c r="AJ9" s="5">
        <v>0.75117711053254821</v>
      </c>
      <c r="AK9" s="5">
        <v>23.662293010959559</v>
      </c>
      <c r="AL9" s="5">
        <v>7.3585219614162396</v>
      </c>
      <c r="AM9" s="5">
        <v>23.662293010959559</v>
      </c>
      <c r="AN9" s="5">
        <v>7.3585219614162396</v>
      </c>
      <c r="AO9" s="5">
        <v>8.0353455520875023</v>
      </c>
      <c r="AP9" s="5">
        <v>0.75117711053254821</v>
      </c>
      <c r="AQ9" s="5">
        <v>100.2031123425529</v>
      </c>
      <c r="AR9" s="5">
        <v>16.46719289229328</v>
      </c>
      <c r="AS9" s="5">
        <v>17.141573919631998</v>
      </c>
      <c r="AT9" s="5">
        <v>0.2587192613172537</v>
      </c>
      <c r="AU9" s="5">
        <v>0.5714285714285714</v>
      </c>
      <c r="AV9" s="5">
        <v>3.5978209234170111E-2</v>
      </c>
      <c r="AW9" s="5">
        <v>0.73875168262719515</v>
      </c>
      <c r="AX9" s="5">
        <v>3.5978209234170111E-2</v>
      </c>
      <c r="AY9" s="5">
        <v>0.14616238339417159</v>
      </c>
      <c r="AZ9" s="5">
        <v>3.5978209234170111E-2</v>
      </c>
      <c r="BA9" s="5">
        <v>0.73875168262719515</v>
      </c>
      <c r="BB9" s="5">
        <v>0.14616238339417159</v>
      </c>
      <c r="BC9" s="5">
        <v>0.146411816380385</v>
      </c>
      <c r="BD9" s="5">
        <v>7.0499574407975552E-2</v>
      </c>
      <c r="BE9" s="5">
        <v>0.48808193677160078</v>
      </c>
      <c r="BF9" s="5">
        <v>0.22649162278522891</v>
      </c>
      <c r="BG9" s="5">
        <v>0.12888650021216899</v>
      </c>
      <c r="BH9" s="5">
        <v>4.1895136196172383E-2</v>
      </c>
      <c r="BI9" s="5">
        <v>0.85484230112769533</v>
      </c>
      <c r="BJ9" s="5">
        <v>4.1895136196172383E-2</v>
      </c>
      <c r="BK9" s="5">
        <v>0.15987510923976259</v>
      </c>
      <c r="BL9" s="5">
        <v>4.1895136196172383E-2</v>
      </c>
      <c r="BM9" s="5">
        <v>0.85484230112769533</v>
      </c>
      <c r="BN9" s="5">
        <v>0.15987510923976259</v>
      </c>
      <c r="BO9" s="5">
        <v>0.15759127303766729</v>
      </c>
      <c r="BP9" s="5">
        <v>0.19094277182782701</v>
      </c>
      <c r="BQ9" s="5">
        <v>0.33842407755773951</v>
      </c>
      <c r="BR9" s="5">
        <v>0.36140972301017821</v>
      </c>
      <c r="BS9" s="5">
        <v>0.33178117375529198</v>
      </c>
      <c r="BT9" s="5">
        <v>7.9693894081260166E-2</v>
      </c>
      <c r="BU9" s="5">
        <v>0.68005422259424253</v>
      </c>
      <c r="BV9" s="5">
        <v>7.9693894081260166E-2</v>
      </c>
      <c r="BW9" s="5">
        <v>0.23399618969218641</v>
      </c>
      <c r="BX9" s="5">
        <v>7.9693894081260166E-2</v>
      </c>
      <c r="BY9" s="5">
        <v>0.68005422259424253</v>
      </c>
      <c r="BZ9" s="5">
        <v>0.23399618969218641</v>
      </c>
      <c r="CA9" s="5">
        <v>0.30981360031633381</v>
      </c>
      <c r="CB9" s="5">
        <v>0.16241689513611249</v>
      </c>
      <c r="CC9" s="5">
        <v>0.34794753880181822</v>
      </c>
      <c r="CD9" s="5">
        <v>0.34330403263935311</v>
      </c>
      <c r="CE9" s="5">
        <v>0.37435760317268318</v>
      </c>
      <c r="CF9" s="5">
        <v>94.491604804326286</v>
      </c>
      <c r="CG9" s="5">
        <v>0.73106023578105939</v>
      </c>
      <c r="CH9" s="5">
        <v>94.491604804326286</v>
      </c>
      <c r="CI9" s="5">
        <v>7.3279425602178847</v>
      </c>
      <c r="CJ9" s="5">
        <v>94.491604804326286</v>
      </c>
      <c r="CK9" s="5">
        <v>0.73106023578105939</v>
      </c>
      <c r="CL9" s="5">
        <v>7.3279425602178847</v>
      </c>
      <c r="CM9" s="5">
        <v>8.0042232589474889</v>
      </c>
      <c r="CN9" s="5">
        <v>400.38859012884097</v>
      </c>
      <c r="CO9" s="5">
        <v>-0.13957650786215051</v>
      </c>
      <c r="CP9" s="5">
        <v>16.434925567099231</v>
      </c>
      <c r="CQ9" s="5">
        <v>17.1115094490426</v>
      </c>
    </row>
    <row r="10" spans="1:95" x14ac:dyDescent="0.3">
      <c r="A10" s="2">
        <v>46059.088229166657</v>
      </c>
      <c r="B10" s="3" t="s">
        <v>120</v>
      </c>
      <c r="C10" s="3">
        <v>3</v>
      </c>
      <c r="D10" s="3" t="s">
        <v>96</v>
      </c>
      <c r="E10" s="3">
        <v>16590</v>
      </c>
      <c r="F10" s="3">
        <v>4.5</v>
      </c>
      <c r="G10" s="3" t="s">
        <v>97</v>
      </c>
      <c r="H10" s="3" t="s">
        <v>98</v>
      </c>
      <c r="I10" s="3">
        <v>5</v>
      </c>
      <c r="J10" s="3">
        <v>5</v>
      </c>
      <c r="K10" s="3" t="s">
        <v>99</v>
      </c>
      <c r="L10" s="3" t="s">
        <v>100</v>
      </c>
      <c r="M10" s="3" t="s">
        <v>101</v>
      </c>
      <c r="N10" s="3" t="s">
        <v>101</v>
      </c>
      <c r="O10" s="3" t="s">
        <v>102</v>
      </c>
      <c r="P10" s="3" t="s">
        <v>103</v>
      </c>
      <c r="Q10" s="3" t="s">
        <v>104</v>
      </c>
      <c r="R10" s="3" t="s">
        <v>105</v>
      </c>
      <c r="S10" s="3" t="s">
        <v>106</v>
      </c>
      <c r="T10" s="3" t="s">
        <v>107</v>
      </c>
      <c r="U10" s="3" t="s">
        <v>108</v>
      </c>
      <c r="V10" s="3" t="s">
        <v>109</v>
      </c>
      <c r="W10" s="3" t="s">
        <v>101</v>
      </c>
      <c r="X10" s="3">
        <v>200</v>
      </c>
      <c r="Y10" s="3">
        <v>80</v>
      </c>
      <c r="Z10" s="3">
        <v>120</v>
      </c>
      <c r="AA10" s="3" t="s">
        <v>110</v>
      </c>
      <c r="AB10" s="3">
        <v>4000</v>
      </c>
      <c r="AC10" s="3">
        <v>4000</v>
      </c>
      <c r="AD10" s="3">
        <v>0.1054042275991947</v>
      </c>
      <c r="AE10" s="3"/>
      <c r="AF10" s="3">
        <v>128</v>
      </c>
      <c r="AG10" s="3" t="s">
        <v>111</v>
      </c>
      <c r="AH10" s="3">
        <v>0.15</v>
      </c>
      <c r="AI10" s="3">
        <v>23.49990717914665</v>
      </c>
      <c r="AJ10" s="3">
        <v>0.7431526309366121</v>
      </c>
      <c r="AK10" s="3">
        <v>23.49990717914665</v>
      </c>
      <c r="AL10" s="3">
        <v>7.3342493828488209</v>
      </c>
      <c r="AM10" s="3">
        <v>23.49990717914665</v>
      </c>
      <c r="AN10" s="3">
        <v>7.3342493828488209</v>
      </c>
      <c r="AO10" s="3">
        <v>7.8875681440001522</v>
      </c>
      <c r="AP10" s="3">
        <v>0.7431526309366121</v>
      </c>
      <c r="AQ10" s="3">
        <v>104.8112218979136</v>
      </c>
      <c r="AR10" s="3">
        <v>16.84593715077019</v>
      </c>
      <c r="AS10" s="3">
        <v>17.54033801211585</v>
      </c>
      <c r="AT10" s="3">
        <v>0.1974853795873461</v>
      </c>
      <c r="AU10" s="3">
        <v>0.5714285714285714</v>
      </c>
      <c r="AV10" s="3">
        <v>3.8431227397336842E-2</v>
      </c>
      <c r="AW10" s="3">
        <v>0.72093959911183236</v>
      </c>
      <c r="AX10" s="3">
        <v>3.8431227397336842E-2</v>
      </c>
      <c r="AY10" s="3">
        <v>0.1505414284468149</v>
      </c>
      <c r="AZ10" s="3">
        <v>3.8431227397336842E-2</v>
      </c>
      <c r="BA10" s="3">
        <v>0.72093959911183236</v>
      </c>
      <c r="BB10" s="3">
        <v>0.1505414284468149</v>
      </c>
      <c r="BC10" s="3">
        <v>0.1502025935164801</v>
      </c>
      <c r="BD10" s="3">
        <v>6.6549278602799924E-2</v>
      </c>
      <c r="BE10" s="3">
        <v>0.51676619188585593</v>
      </c>
      <c r="BF10" s="3">
        <v>0.21529424807206529</v>
      </c>
      <c r="BG10" s="3">
        <v>0.14319861235824721</v>
      </c>
      <c r="BH10" s="3">
        <v>4.2645082017198598E-2</v>
      </c>
      <c r="BI10" s="3">
        <v>0.85224389903277598</v>
      </c>
      <c r="BJ10" s="3">
        <v>4.2645082017198598E-2</v>
      </c>
      <c r="BK10" s="3">
        <v>0.1618366262841959</v>
      </c>
      <c r="BL10" s="3">
        <v>4.2645082017198598E-2</v>
      </c>
      <c r="BM10" s="3">
        <v>0.85224389903277598</v>
      </c>
      <c r="BN10" s="3">
        <v>0.1618366262841959</v>
      </c>
      <c r="BO10" s="3">
        <v>0.16152686444885031</v>
      </c>
      <c r="BP10" s="3">
        <v>0.22358056861163819</v>
      </c>
      <c r="BQ10" s="3">
        <v>0.22534108254809951</v>
      </c>
      <c r="BR10" s="3">
        <v>0.40308816234833378</v>
      </c>
      <c r="BS10" s="3">
        <v>0.37869891629978802</v>
      </c>
      <c r="BT10" s="3">
        <v>8.3070218199706905E-2</v>
      </c>
      <c r="BU10" s="3">
        <v>0.66649934919642884</v>
      </c>
      <c r="BV10" s="3">
        <v>8.3070218199706905E-2</v>
      </c>
      <c r="BW10" s="3">
        <v>0.240026898775794</v>
      </c>
      <c r="BX10" s="3">
        <v>8.3070218199706905E-2</v>
      </c>
      <c r="BY10" s="3">
        <v>0.66649934919642884</v>
      </c>
      <c r="BZ10" s="3">
        <v>0.240026898775794</v>
      </c>
      <c r="CA10" s="3">
        <v>0.3136937805717282</v>
      </c>
      <c r="CB10" s="3">
        <v>0.18937622927643399</v>
      </c>
      <c r="CC10" s="3">
        <v>0.23971433951716911</v>
      </c>
      <c r="CD10" s="3">
        <v>0.37865567240663678</v>
      </c>
      <c r="CE10" s="3">
        <v>0.39999775942246002</v>
      </c>
      <c r="CF10" s="3">
        <v>93.835482188972691</v>
      </c>
      <c r="CG10" s="3">
        <v>0.73292767640541245</v>
      </c>
      <c r="CH10" s="3">
        <v>93.835482188972691</v>
      </c>
      <c r="CI10" s="3">
        <v>7.3022530957676128</v>
      </c>
      <c r="CJ10" s="3">
        <v>93.835482188972691</v>
      </c>
      <c r="CK10" s="3">
        <v>0.73292767640541245</v>
      </c>
      <c r="CL10" s="3">
        <v>7.3022530957676128</v>
      </c>
      <c r="CM10" s="3">
        <v>7.8542661907619511</v>
      </c>
      <c r="CN10" s="3">
        <v>418.76538151516201</v>
      </c>
      <c r="CO10" s="3">
        <v>-0.19188009560174149</v>
      </c>
      <c r="CP10" s="3">
        <v>16.810983310719781</v>
      </c>
      <c r="CQ10" s="3">
        <v>17.507479015503218</v>
      </c>
    </row>
    <row r="11" spans="1:95" x14ac:dyDescent="0.3">
      <c r="A11" s="4">
        <v>46060.288645833331</v>
      </c>
      <c r="B11" s="5" t="s">
        <v>121</v>
      </c>
      <c r="C11" s="5">
        <v>4</v>
      </c>
      <c r="D11" s="5" t="s">
        <v>96</v>
      </c>
      <c r="E11" s="5">
        <v>16590</v>
      </c>
      <c r="F11" s="5">
        <v>4.5</v>
      </c>
      <c r="G11" s="5" t="s">
        <v>97</v>
      </c>
      <c r="H11" s="5" t="s">
        <v>98</v>
      </c>
      <c r="I11" s="5">
        <v>5</v>
      </c>
      <c r="J11" s="5">
        <v>5</v>
      </c>
      <c r="K11" s="5" t="s">
        <v>99</v>
      </c>
      <c r="L11" s="5" t="s">
        <v>100</v>
      </c>
      <c r="M11" s="5" t="s">
        <v>101</v>
      </c>
      <c r="N11" s="5" t="s">
        <v>101</v>
      </c>
      <c r="O11" s="5" t="s">
        <v>102</v>
      </c>
      <c r="P11" s="5" t="s">
        <v>117</v>
      </c>
      <c r="Q11" s="5" t="s">
        <v>104</v>
      </c>
      <c r="R11" s="5" t="s">
        <v>105</v>
      </c>
      <c r="S11" s="5" t="s">
        <v>106</v>
      </c>
      <c r="T11" s="5" t="s">
        <v>107</v>
      </c>
      <c r="U11" s="5" t="s">
        <v>108</v>
      </c>
      <c r="V11" s="5" t="s">
        <v>109</v>
      </c>
      <c r="W11" s="5" t="s">
        <v>101</v>
      </c>
      <c r="X11" s="5">
        <v>200</v>
      </c>
      <c r="Y11" s="5">
        <v>80</v>
      </c>
      <c r="Z11" s="5">
        <v>120</v>
      </c>
      <c r="AA11" s="5" t="s">
        <v>110</v>
      </c>
      <c r="AB11" s="5">
        <v>4000</v>
      </c>
      <c r="AC11" s="5">
        <v>4000</v>
      </c>
      <c r="AD11" s="5">
        <v>0.1084149318022346</v>
      </c>
      <c r="AE11" s="5"/>
      <c r="AF11" s="5">
        <v>64</v>
      </c>
      <c r="AG11" s="5" t="s">
        <v>111</v>
      </c>
      <c r="AH11" s="5">
        <v>0.15</v>
      </c>
      <c r="AI11" s="5">
        <v>22.5618084019059</v>
      </c>
      <c r="AJ11" s="5">
        <v>0.75584598148419857</v>
      </c>
      <c r="AK11" s="5">
        <v>22.5618084019059</v>
      </c>
      <c r="AL11" s="5">
        <v>7.2535900055799489</v>
      </c>
      <c r="AM11" s="5">
        <v>22.5618084019059</v>
      </c>
      <c r="AN11" s="5">
        <v>7.2535900055799489</v>
      </c>
      <c r="AO11" s="5">
        <v>7.75379155787589</v>
      </c>
      <c r="AP11" s="5">
        <v>0.75584598148419857</v>
      </c>
      <c r="AQ11" s="5">
        <v>114.0471462539744</v>
      </c>
      <c r="AR11" s="5">
        <v>17.547123890310221</v>
      </c>
      <c r="AS11" s="5">
        <v>18.946510146543869</v>
      </c>
      <c r="AT11" s="5">
        <v>1.4050428946723559E-2</v>
      </c>
      <c r="AU11" s="5">
        <v>0.5714285714285714</v>
      </c>
      <c r="AV11" s="5">
        <v>3.0178638284083511E-2</v>
      </c>
      <c r="AW11" s="5">
        <v>0.78086406632958738</v>
      </c>
      <c r="AX11" s="5">
        <v>3.0178638284083511E-2</v>
      </c>
      <c r="AY11" s="5">
        <v>0.14209762362806719</v>
      </c>
      <c r="AZ11" s="5">
        <v>3.0178638284083511E-2</v>
      </c>
      <c r="BA11" s="5">
        <v>0.78086406632958738</v>
      </c>
      <c r="BB11" s="5">
        <v>0.14209762362806719</v>
      </c>
      <c r="BC11" s="5">
        <v>0.1318049397039073</v>
      </c>
      <c r="BD11" s="5">
        <v>5.596711472585858E-2</v>
      </c>
      <c r="BE11" s="5">
        <v>0.59360638393156129</v>
      </c>
      <c r="BF11" s="5">
        <v>0.19934719942001139</v>
      </c>
      <c r="BG11" s="5">
        <v>0.17875777975451179</v>
      </c>
      <c r="BH11" s="5">
        <v>5.4475418637823757E-2</v>
      </c>
      <c r="BI11" s="5">
        <v>0.81125430938939402</v>
      </c>
      <c r="BJ11" s="5">
        <v>5.4475418637823757E-2</v>
      </c>
      <c r="BK11" s="5">
        <v>0.1775554485132545</v>
      </c>
      <c r="BL11" s="5">
        <v>5.4475418637823757E-2</v>
      </c>
      <c r="BM11" s="5">
        <v>0.81125430938939402</v>
      </c>
      <c r="BN11" s="5">
        <v>0.1775554485132545</v>
      </c>
      <c r="BO11" s="5">
        <v>0.21571099697751481</v>
      </c>
      <c r="BP11" s="5">
        <v>0.36272841373455561</v>
      </c>
      <c r="BQ11" s="5">
        <v>-0.25677648132624559</v>
      </c>
      <c r="BR11" s="5">
        <v>0.50662106170698706</v>
      </c>
      <c r="BS11" s="5">
        <v>0.58199986246534208</v>
      </c>
      <c r="BT11" s="5">
        <v>7.7798727604705839E-2</v>
      </c>
      <c r="BU11" s="5">
        <v>0.68766271655284172</v>
      </c>
      <c r="BV11" s="5">
        <v>7.7798727604705839E-2</v>
      </c>
      <c r="BW11" s="5">
        <v>0.22263636545496671</v>
      </c>
      <c r="BX11" s="5">
        <v>7.7798727604705839E-2</v>
      </c>
      <c r="BY11" s="5">
        <v>0.68766271655284172</v>
      </c>
      <c r="BZ11" s="5">
        <v>0.22263636545496671</v>
      </c>
      <c r="CA11" s="5">
        <v>0.30437205874987788</v>
      </c>
      <c r="CB11" s="5">
        <v>0.2451312479727018</v>
      </c>
      <c r="CC11" s="5">
        <v>1.5875574870272021E-2</v>
      </c>
      <c r="CD11" s="5">
        <v>0.42445046853095192</v>
      </c>
      <c r="CE11" s="5">
        <v>0.38426072718883131</v>
      </c>
      <c r="CF11" s="5">
        <v>90.084780823097375</v>
      </c>
      <c r="CG11" s="5">
        <v>0.74360283366497015</v>
      </c>
      <c r="CH11" s="5">
        <v>90.084780823097375</v>
      </c>
      <c r="CI11" s="5">
        <v>7.2222113409023319</v>
      </c>
      <c r="CJ11" s="5">
        <v>90.084780823097375</v>
      </c>
      <c r="CK11" s="5">
        <v>0.74360283366497015</v>
      </c>
      <c r="CL11" s="5">
        <v>7.2222113409023319</v>
      </c>
      <c r="CM11" s="5">
        <v>7.7049475470225053</v>
      </c>
      <c r="CN11" s="5">
        <v>455.52475823946497</v>
      </c>
      <c r="CO11" s="5">
        <v>-0.29650376168870579</v>
      </c>
      <c r="CP11" s="5">
        <v>17.498517160269831</v>
      </c>
      <c r="CQ11" s="5">
        <v>18.89497909723157</v>
      </c>
    </row>
    <row r="12" spans="1:95" x14ac:dyDescent="0.3">
      <c r="A12" s="6">
        <v>46059.198900462958</v>
      </c>
      <c r="B12" s="7" t="s">
        <v>122</v>
      </c>
      <c r="C12" s="7">
        <v>4</v>
      </c>
      <c r="D12" s="7" t="s">
        <v>96</v>
      </c>
      <c r="E12" s="7">
        <v>16590</v>
      </c>
      <c r="F12" s="7">
        <v>4.5</v>
      </c>
      <c r="G12" s="7" t="s">
        <v>97</v>
      </c>
      <c r="H12" s="7" t="s">
        <v>98</v>
      </c>
      <c r="I12" s="7">
        <v>5</v>
      </c>
      <c r="J12" s="7">
        <v>5</v>
      </c>
      <c r="K12" s="7" t="s">
        <v>99</v>
      </c>
      <c r="L12" s="7" t="s">
        <v>100</v>
      </c>
      <c r="M12" s="7" t="s">
        <v>101</v>
      </c>
      <c r="N12" s="7" t="s">
        <v>101</v>
      </c>
      <c r="O12" s="7" t="s">
        <v>102</v>
      </c>
      <c r="P12" s="7" t="s">
        <v>103</v>
      </c>
      <c r="Q12" s="7" t="s">
        <v>104</v>
      </c>
      <c r="R12" s="7" t="s">
        <v>105</v>
      </c>
      <c r="S12" s="7" t="s">
        <v>106</v>
      </c>
      <c r="T12" s="7" t="s">
        <v>107</v>
      </c>
      <c r="U12" s="7" t="s">
        <v>108</v>
      </c>
      <c r="V12" s="7" t="s">
        <v>109</v>
      </c>
      <c r="W12" s="7" t="s">
        <v>101</v>
      </c>
      <c r="X12" s="7">
        <v>200</v>
      </c>
      <c r="Y12" s="7">
        <v>80</v>
      </c>
      <c r="Z12" s="7">
        <v>120</v>
      </c>
      <c r="AA12" s="7" t="s">
        <v>110</v>
      </c>
      <c r="AB12" s="7">
        <v>4000</v>
      </c>
      <c r="AC12" s="7">
        <v>4000</v>
      </c>
      <c r="AD12" s="7">
        <v>0.1098984751851461</v>
      </c>
      <c r="AE12" s="7"/>
      <c r="AF12" s="7">
        <v>128</v>
      </c>
      <c r="AG12" s="7" t="s">
        <v>111</v>
      </c>
      <c r="AH12" s="7">
        <v>0.15</v>
      </c>
      <c r="AI12" s="7">
        <v>22.71993866149996</v>
      </c>
      <c r="AJ12" s="7">
        <v>0.75313283650651719</v>
      </c>
      <c r="AK12" s="7">
        <v>22.71993866149996</v>
      </c>
      <c r="AL12" s="7">
        <v>7.3424709833987123</v>
      </c>
      <c r="AM12" s="7">
        <v>22.71993866149996</v>
      </c>
      <c r="AN12" s="7">
        <v>7.3424709833987123</v>
      </c>
      <c r="AO12" s="7">
        <v>7.8485806093934487</v>
      </c>
      <c r="AP12" s="7">
        <v>0.75313283650651719</v>
      </c>
      <c r="AQ12" s="7">
        <v>113.33623757937031</v>
      </c>
      <c r="AR12" s="7">
        <v>17.618888352813538</v>
      </c>
      <c r="AS12" s="7">
        <v>18.742907187626539</v>
      </c>
      <c r="AT12" s="7">
        <v>3.8345955742663612E-2</v>
      </c>
      <c r="AU12" s="7">
        <v>0.5714285714285714</v>
      </c>
      <c r="AV12" s="7">
        <v>3.2166351073209587E-2</v>
      </c>
      <c r="AW12" s="7">
        <v>0.76643070145031467</v>
      </c>
      <c r="AX12" s="7">
        <v>3.2166351073209587E-2</v>
      </c>
      <c r="AY12" s="7">
        <v>0.14519623681806801</v>
      </c>
      <c r="AZ12" s="7">
        <v>3.2166351073209587E-2</v>
      </c>
      <c r="BA12" s="7">
        <v>0.76643070145031467</v>
      </c>
      <c r="BB12" s="7">
        <v>0.14519623681806801</v>
      </c>
      <c r="BC12" s="7">
        <v>0.1389410864990421</v>
      </c>
      <c r="BD12" s="7">
        <v>6.0894985897267141E-2</v>
      </c>
      <c r="BE12" s="7">
        <v>0.55782366769404113</v>
      </c>
      <c r="BF12" s="7">
        <v>0.2027561100531074</v>
      </c>
      <c r="BG12" s="7">
        <v>0.18173141208322621</v>
      </c>
      <c r="BH12" s="7">
        <v>5.2921168950530818E-2</v>
      </c>
      <c r="BI12" s="7">
        <v>0.8166394525960905</v>
      </c>
      <c r="BJ12" s="7">
        <v>5.2921168950530818E-2</v>
      </c>
      <c r="BK12" s="7">
        <v>0.17538627398709231</v>
      </c>
      <c r="BL12" s="7">
        <v>5.2921168950530818E-2</v>
      </c>
      <c r="BM12" s="7">
        <v>0.8166394525960905</v>
      </c>
      <c r="BN12" s="7">
        <v>0.17538627398709231</v>
      </c>
      <c r="BO12" s="7">
        <v>0.21509277853088821</v>
      </c>
      <c r="BP12" s="7">
        <v>0.34508236508752282</v>
      </c>
      <c r="BQ12" s="7">
        <v>-0.19563669164283001</v>
      </c>
      <c r="BR12" s="7">
        <v>0.49668804243500081</v>
      </c>
      <c r="BS12" s="7">
        <v>0.56450430345557245</v>
      </c>
      <c r="BT12" s="7">
        <v>7.7800055069918633E-2</v>
      </c>
      <c r="BU12" s="7">
        <v>0.68765738719989211</v>
      </c>
      <c r="BV12" s="7">
        <v>7.7800055069918633E-2</v>
      </c>
      <c r="BW12" s="7">
        <v>0.22107887961206679</v>
      </c>
      <c r="BX12" s="7">
        <v>7.7800055069918633E-2</v>
      </c>
      <c r="BY12" s="7">
        <v>0.68765738719989211</v>
      </c>
      <c r="BZ12" s="7">
        <v>0.22107887961206679</v>
      </c>
      <c r="CA12" s="7">
        <v>0.30627577941617878</v>
      </c>
      <c r="CB12" s="7">
        <v>0.2292363504501625</v>
      </c>
      <c r="CC12" s="7">
        <v>7.9688560836903788E-2</v>
      </c>
      <c r="CD12" s="7">
        <v>0.41467253977619839</v>
      </c>
      <c r="CE12" s="7">
        <v>0.37719335056065822</v>
      </c>
      <c r="CF12" s="7">
        <v>90.71686707090663</v>
      </c>
      <c r="CG12" s="7">
        <v>0.74180380477977048</v>
      </c>
      <c r="CH12" s="7">
        <v>90.71686707090663</v>
      </c>
      <c r="CI12" s="7">
        <v>7.3118898923092361</v>
      </c>
      <c r="CJ12" s="7">
        <v>90.71686707090663</v>
      </c>
      <c r="CK12" s="7">
        <v>0.74180380477977048</v>
      </c>
      <c r="CL12" s="7">
        <v>7.3118898923092361</v>
      </c>
      <c r="CM12" s="7">
        <v>7.8038587347997028</v>
      </c>
      <c r="CN12" s="7">
        <v>452.70973661604347</v>
      </c>
      <c r="CO12" s="7">
        <v>-0.28849171391745743</v>
      </c>
      <c r="CP12" s="7">
        <v>17.57288234160329</v>
      </c>
      <c r="CQ12" s="7">
        <v>18.691327375206111</v>
      </c>
    </row>
    <row r="13" spans="1:95" x14ac:dyDescent="0.3">
      <c r="A13" s="2">
        <v>46062.533576388887</v>
      </c>
      <c r="B13" s="3" t="s">
        <v>131</v>
      </c>
      <c r="C13" s="3">
        <v>2</v>
      </c>
      <c r="D13" s="3" t="s">
        <v>96</v>
      </c>
      <c r="E13" s="3">
        <v>16590</v>
      </c>
      <c r="F13" s="3">
        <v>4.5</v>
      </c>
      <c r="G13" s="3" t="s">
        <v>97</v>
      </c>
      <c r="H13" s="3" t="s">
        <v>98</v>
      </c>
      <c r="I13" s="3">
        <v>5</v>
      </c>
      <c r="J13" s="3">
        <v>5</v>
      </c>
      <c r="K13" s="3" t="s">
        <v>99</v>
      </c>
      <c r="L13" s="3" t="s">
        <v>100</v>
      </c>
      <c r="M13" s="3" t="s">
        <v>101</v>
      </c>
      <c r="N13" s="3" t="s">
        <v>101</v>
      </c>
      <c r="O13" s="3" t="s">
        <v>102</v>
      </c>
      <c r="P13" s="3" t="s">
        <v>117</v>
      </c>
      <c r="Q13" s="3" t="s">
        <v>104</v>
      </c>
      <c r="R13" s="3" t="s">
        <v>105</v>
      </c>
      <c r="S13" s="3" t="s">
        <v>106</v>
      </c>
      <c r="T13" s="3" t="s">
        <v>107</v>
      </c>
      <c r="U13" s="3" t="s">
        <v>108</v>
      </c>
      <c r="V13" s="3" t="s">
        <v>109</v>
      </c>
      <c r="W13" s="3" t="s">
        <v>101</v>
      </c>
      <c r="X13" s="3">
        <v>200</v>
      </c>
      <c r="Y13" s="3">
        <v>80</v>
      </c>
      <c r="Z13" s="3">
        <v>120</v>
      </c>
      <c r="AA13" s="3" t="s">
        <v>110</v>
      </c>
      <c r="AB13" s="3">
        <v>4000</v>
      </c>
      <c r="AC13" s="3">
        <v>4000</v>
      </c>
      <c r="AD13" s="3">
        <v>0.193697370892538</v>
      </c>
      <c r="AE13" s="3"/>
      <c r="AF13" s="3">
        <v>256</v>
      </c>
      <c r="AG13" s="3" t="s">
        <v>111</v>
      </c>
      <c r="AH13" s="3">
        <v>0.15</v>
      </c>
      <c r="AI13" s="3">
        <v>24.09337639475623</v>
      </c>
      <c r="AJ13" s="3">
        <v>0.51465202335429172</v>
      </c>
      <c r="AK13" s="3">
        <v>24.09337639475623</v>
      </c>
      <c r="AL13" s="3">
        <v>7.5632771354795771</v>
      </c>
      <c r="AM13" s="3">
        <v>24.09337639475623</v>
      </c>
      <c r="AN13" s="3">
        <v>7.5632771354795771</v>
      </c>
      <c r="AO13" s="3">
        <v>8.5782052099021033</v>
      </c>
      <c r="AP13" s="3">
        <v>0.51465202335429172</v>
      </c>
      <c r="AQ13" s="3">
        <v>113.9738234243998</v>
      </c>
      <c r="AR13" s="3">
        <v>17.652736990887881</v>
      </c>
      <c r="AS13" s="3">
        <v>18.60797071652814</v>
      </c>
      <c r="AT13" s="3">
        <v>2.1589296599318158E-2</v>
      </c>
      <c r="AU13" s="3">
        <v>0.5714285714285714</v>
      </c>
      <c r="AV13" s="3">
        <v>2.1230134369552591E-2</v>
      </c>
      <c r="AW13" s="3">
        <v>0.84584177479360023</v>
      </c>
      <c r="AX13" s="3">
        <v>2.1230134369552591E-2</v>
      </c>
      <c r="AY13" s="3">
        <v>0.1186895341911635</v>
      </c>
      <c r="AZ13" s="3">
        <v>2.1230134369552591E-2</v>
      </c>
      <c r="BA13" s="3">
        <v>0.84584177479360023</v>
      </c>
      <c r="BB13" s="3">
        <v>0.1186895341911635</v>
      </c>
      <c r="BC13" s="3">
        <v>0.13203290072281901</v>
      </c>
      <c r="BD13" s="3">
        <v>3.5922258716899851E-2</v>
      </c>
      <c r="BE13" s="3">
        <v>0.73915795572427612</v>
      </c>
      <c r="BF13" s="3">
        <v>0.14391261996785371</v>
      </c>
      <c r="BG13" s="3">
        <v>0.1271450100169069</v>
      </c>
      <c r="BH13" s="3">
        <v>0.2296317902177597</v>
      </c>
      <c r="BI13" s="3">
        <v>0.20437489211496729</v>
      </c>
      <c r="BJ13" s="3">
        <v>0.2296317902177597</v>
      </c>
      <c r="BK13" s="3">
        <v>0.42794804202183218</v>
      </c>
      <c r="BL13" s="3">
        <v>0.2296317902177597</v>
      </c>
      <c r="BM13" s="3">
        <v>0.20437489211496729</v>
      </c>
      <c r="BN13" s="3">
        <v>0.42794804202183218</v>
      </c>
      <c r="BO13" s="3">
        <v>0.46650521647899701</v>
      </c>
      <c r="BP13" s="3">
        <v>0.33026415411248022</v>
      </c>
      <c r="BQ13" s="3">
        <v>-0.14429475551760421</v>
      </c>
      <c r="BR13" s="3">
        <v>0.50104052777620756</v>
      </c>
      <c r="BS13" s="3">
        <v>0.47228479429331272</v>
      </c>
      <c r="BT13" s="3">
        <v>0.17897698530452219</v>
      </c>
      <c r="BU13" s="3">
        <v>0.28146401476371791</v>
      </c>
      <c r="BV13" s="3">
        <v>0.17897698530452219</v>
      </c>
      <c r="BW13" s="3">
        <v>0.37398925309713882</v>
      </c>
      <c r="BX13" s="3">
        <v>0.17897698530452219</v>
      </c>
      <c r="BY13" s="3">
        <v>0.28146401476371791</v>
      </c>
      <c r="BZ13" s="3">
        <v>0.37398925309713882</v>
      </c>
      <c r="CA13" s="3">
        <v>0.3630176040671047</v>
      </c>
      <c r="CB13" s="3">
        <v>0.30210342950844032</v>
      </c>
      <c r="CC13" s="3">
        <v>-0.2128497135861753</v>
      </c>
      <c r="CD13" s="3">
        <v>0.48013973989233177</v>
      </c>
      <c r="CE13" s="3">
        <v>0.47999461006874689</v>
      </c>
      <c r="CF13" s="3">
        <v>95.943666669133748</v>
      </c>
      <c r="CG13" s="3">
        <v>0.72692741174487852</v>
      </c>
      <c r="CH13" s="3">
        <v>95.943666669133748</v>
      </c>
      <c r="CI13" s="3">
        <v>7.4885459925906037</v>
      </c>
      <c r="CJ13" s="3">
        <v>95.943666669133748</v>
      </c>
      <c r="CK13" s="3">
        <v>0.72692741174487852</v>
      </c>
      <c r="CL13" s="3">
        <v>7.4885459925906037</v>
      </c>
      <c r="CM13" s="3">
        <v>8.504016444663538</v>
      </c>
      <c r="CN13" s="3">
        <v>455.22700385526218</v>
      </c>
      <c r="CO13" s="3">
        <v>-0.29565630022322997</v>
      </c>
      <c r="CP13" s="3">
        <v>17.60387150432063</v>
      </c>
      <c r="CQ13" s="11">
        <v>18.56282863308461</v>
      </c>
    </row>
    <row r="14" spans="1:95" x14ac:dyDescent="0.3">
      <c r="A14" s="4">
        <v>46062.803564814807</v>
      </c>
      <c r="B14" s="5" t="s">
        <v>132</v>
      </c>
      <c r="C14" s="5">
        <v>3</v>
      </c>
      <c r="D14" s="5" t="s">
        <v>96</v>
      </c>
      <c r="E14" s="5">
        <v>16590</v>
      </c>
      <c r="F14" s="5">
        <v>4.5</v>
      </c>
      <c r="G14" s="5" t="s">
        <v>97</v>
      </c>
      <c r="H14" s="5" t="s">
        <v>98</v>
      </c>
      <c r="I14" s="5">
        <v>5</v>
      </c>
      <c r="J14" s="5">
        <v>5</v>
      </c>
      <c r="K14" s="5" t="s">
        <v>99</v>
      </c>
      <c r="L14" s="5" t="s">
        <v>100</v>
      </c>
      <c r="M14" s="5" t="s">
        <v>101</v>
      </c>
      <c r="N14" s="5" t="s">
        <v>101</v>
      </c>
      <c r="O14" s="5" t="s">
        <v>102</v>
      </c>
      <c r="P14" s="5" t="s">
        <v>117</v>
      </c>
      <c r="Q14" s="5" t="s">
        <v>104</v>
      </c>
      <c r="R14" s="5" t="s">
        <v>105</v>
      </c>
      <c r="S14" s="5" t="s">
        <v>106</v>
      </c>
      <c r="T14" s="5" t="s">
        <v>107</v>
      </c>
      <c r="U14" s="5" t="s">
        <v>108</v>
      </c>
      <c r="V14" s="5" t="s">
        <v>109</v>
      </c>
      <c r="W14" s="5" t="s">
        <v>101</v>
      </c>
      <c r="X14" s="5">
        <v>200</v>
      </c>
      <c r="Y14" s="5">
        <v>80</v>
      </c>
      <c r="Z14" s="5">
        <v>120</v>
      </c>
      <c r="AA14" s="5" t="s">
        <v>110</v>
      </c>
      <c r="AB14" s="5">
        <v>4000</v>
      </c>
      <c r="AC14" s="5">
        <v>4000</v>
      </c>
      <c r="AD14" s="5">
        <v>0.10532864991925241</v>
      </c>
      <c r="AE14" s="5"/>
      <c r="AF14" s="5">
        <v>256</v>
      </c>
      <c r="AG14" s="5" t="s">
        <v>111</v>
      </c>
      <c r="AH14" s="5">
        <v>0.15</v>
      </c>
      <c r="AI14" s="5">
        <v>23.64297203057053</v>
      </c>
      <c r="AJ14" s="5">
        <v>0.73516168931784831</v>
      </c>
      <c r="AK14" s="5">
        <v>23.64297203057053</v>
      </c>
      <c r="AL14" s="5">
        <v>7.3656228311269309</v>
      </c>
      <c r="AM14" s="5">
        <v>23.64297203057053</v>
      </c>
      <c r="AN14" s="5">
        <v>7.3656228311269309</v>
      </c>
      <c r="AO14" s="5">
        <v>7.7789062244387006</v>
      </c>
      <c r="AP14" s="5">
        <v>0.73516168931784831</v>
      </c>
      <c r="AQ14" s="5">
        <v>98.685308973265052</v>
      </c>
      <c r="AR14" s="5">
        <v>16.304226007563841</v>
      </c>
      <c r="AS14" s="5">
        <v>16.91476714231727</v>
      </c>
      <c r="AT14" s="5">
        <v>0.26424261996865378</v>
      </c>
      <c r="AU14" s="5">
        <v>0.5714285714285714</v>
      </c>
      <c r="AV14" s="5">
        <v>4.0674832587169023E-2</v>
      </c>
      <c r="AW14" s="5">
        <v>0.70464812454516967</v>
      </c>
      <c r="AX14" s="5">
        <v>4.0674832587169023E-2</v>
      </c>
      <c r="AY14" s="5">
        <v>0.15447807140354469</v>
      </c>
      <c r="AZ14" s="5">
        <v>4.0674832587169023E-2</v>
      </c>
      <c r="BA14" s="5">
        <v>0.70464812454516967</v>
      </c>
      <c r="BB14" s="5">
        <v>0.15447807140354469</v>
      </c>
      <c r="BC14" s="5">
        <v>0.1506895256859784</v>
      </c>
      <c r="BD14" s="5">
        <v>5.510505312169748E-2</v>
      </c>
      <c r="BE14" s="5">
        <v>0.59986606578768031</v>
      </c>
      <c r="BF14" s="5">
        <v>0.19033060737307911</v>
      </c>
      <c r="BG14" s="5">
        <v>0.1285411193959296</v>
      </c>
      <c r="BH14" s="5">
        <v>4.3830007517334089E-2</v>
      </c>
      <c r="BI14" s="5">
        <v>0.84813838525357754</v>
      </c>
      <c r="BJ14" s="5">
        <v>4.3830007517334089E-2</v>
      </c>
      <c r="BK14" s="5">
        <v>0.1642040753123746</v>
      </c>
      <c r="BL14" s="5">
        <v>4.3830007517334089E-2</v>
      </c>
      <c r="BM14" s="5">
        <v>0.84813838525357754</v>
      </c>
      <c r="BN14" s="5">
        <v>0.1642040753123746</v>
      </c>
      <c r="BO14" s="5">
        <v>0.16813988135776309</v>
      </c>
      <c r="BP14" s="5">
        <v>0.2069953886298376</v>
      </c>
      <c r="BQ14" s="5">
        <v>0.28280518888894829</v>
      </c>
      <c r="BR14" s="5">
        <v>0.38127912396777869</v>
      </c>
      <c r="BS14" s="5">
        <v>0.3564392499705018</v>
      </c>
      <c r="BT14" s="5">
        <v>8.5549826392097156E-2</v>
      </c>
      <c r="BU14" s="5">
        <v>0.6565445066087765</v>
      </c>
      <c r="BV14" s="5">
        <v>8.5549826392097156E-2</v>
      </c>
      <c r="BW14" s="5">
        <v>0.24378492046696801</v>
      </c>
      <c r="BX14" s="5">
        <v>8.5549826392097156E-2</v>
      </c>
      <c r="BY14" s="5">
        <v>0.6565445066087765</v>
      </c>
      <c r="BZ14" s="5">
        <v>0.24378492046696801</v>
      </c>
      <c r="CA14" s="5">
        <v>0.32281262891710039</v>
      </c>
      <c r="CB14" s="5">
        <v>0.17521736930924969</v>
      </c>
      <c r="CC14" s="5">
        <v>0.2965576838110362</v>
      </c>
      <c r="CD14" s="5">
        <v>0.36068749695695518</v>
      </c>
      <c r="CE14" s="5">
        <v>0.38759071279426688</v>
      </c>
      <c r="CF14" s="5">
        <v>94.401833455786061</v>
      </c>
      <c r="CG14" s="5">
        <v>0.73131574086386564</v>
      </c>
      <c r="CH14" s="5">
        <v>94.401833455786061</v>
      </c>
      <c r="CI14" s="5">
        <v>7.3334376583229206</v>
      </c>
      <c r="CJ14" s="5">
        <v>94.401833455786061</v>
      </c>
      <c r="CK14" s="5">
        <v>0.73131574086386564</v>
      </c>
      <c r="CL14" s="5">
        <v>7.3334376583229206</v>
      </c>
      <c r="CM14" s="5">
        <v>7.7435734929398574</v>
      </c>
      <c r="CN14" s="5">
        <v>394.30391808199761</v>
      </c>
      <c r="CO14" s="5">
        <v>-0.12225845861305221</v>
      </c>
      <c r="CP14" s="5">
        <v>16.27145103436126</v>
      </c>
      <c r="CQ14" s="12">
        <v>16.88505995513486</v>
      </c>
    </row>
    <row r="15" spans="1:95" x14ac:dyDescent="0.3">
      <c r="A15" s="6">
        <v>46063.061643518522</v>
      </c>
      <c r="B15" s="7" t="s">
        <v>133</v>
      </c>
      <c r="C15" s="7">
        <v>4</v>
      </c>
      <c r="D15" s="7" t="s">
        <v>96</v>
      </c>
      <c r="E15" s="7">
        <v>16590</v>
      </c>
      <c r="F15" s="7">
        <v>4.5</v>
      </c>
      <c r="G15" s="7" t="s">
        <v>97</v>
      </c>
      <c r="H15" s="7" t="s">
        <v>98</v>
      </c>
      <c r="I15" s="7">
        <v>5</v>
      </c>
      <c r="J15" s="7">
        <v>5</v>
      </c>
      <c r="K15" s="7" t="s">
        <v>99</v>
      </c>
      <c r="L15" s="7" t="s">
        <v>100</v>
      </c>
      <c r="M15" s="7" t="s">
        <v>101</v>
      </c>
      <c r="N15" s="7" t="s">
        <v>101</v>
      </c>
      <c r="O15" s="7" t="s">
        <v>102</v>
      </c>
      <c r="P15" s="7" t="s">
        <v>117</v>
      </c>
      <c r="Q15" s="7" t="s">
        <v>104</v>
      </c>
      <c r="R15" s="7" t="s">
        <v>105</v>
      </c>
      <c r="S15" s="7" t="s">
        <v>106</v>
      </c>
      <c r="T15" s="7" t="s">
        <v>107</v>
      </c>
      <c r="U15" s="7" t="s">
        <v>108</v>
      </c>
      <c r="V15" s="7" t="s">
        <v>109</v>
      </c>
      <c r="W15" s="7" t="s">
        <v>101</v>
      </c>
      <c r="X15" s="7">
        <v>200</v>
      </c>
      <c r="Y15" s="7">
        <v>80</v>
      </c>
      <c r="Z15" s="7">
        <v>120</v>
      </c>
      <c r="AA15" s="7" t="s">
        <v>110</v>
      </c>
      <c r="AB15" s="7">
        <v>4000</v>
      </c>
      <c r="AC15" s="7">
        <v>4000</v>
      </c>
      <c r="AD15" s="7">
        <v>0.1090906005451085</v>
      </c>
      <c r="AE15" s="7"/>
      <c r="AF15" s="7">
        <v>256</v>
      </c>
      <c r="AG15" s="7" t="s">
        <v>111</v>
      </c>
      <c r="AH15" s="7">
        <v>0.15</v>
      </c>
      <c r="AI15" s="7">
        <v>22.726497050952631</v>
      </c>
      <c r="AJ15" s="7">
        <v>0.75916354525772389</v>
      </c>
      <c r="AK15" s="7">
        <v>22.726497050952631</v>
      </c>
      <c r="AL15" s="7">
        <v>7.3733878456271862</v>
      </c>
      <c r="AM15" s="7">
        <v>22.726497050952631</v>
      </c>
      <c r="AN15" s="7">
        <v>7.3733878456271862</v>
      </c>
      <c r="AO15" s="7">
        <v>7.9942254843015847</v>
      </c>
      <c r="AP15" s="7">
        <v>0.75916354525772389</v>
      </c>
      <c r="AQ15" s="7">
        <v>106.5451488766754</v>
      </c>
      <c r="AR15" s="7">
        <v>17.121606655707701</v>
      </c>
      <c r="AS15" s="7">
        <v>18.00254947162091</v>
      </c>
      <c r="AT15" s="7">
        <v>0.105389840293345</v>
      </c>
      <c r="AU15" s="7">
        <v>0.5714285714285714</v>
      </c>
      <c r="AV15" s="7">
        <v>2.9251011092453458E-2</v>
      </c>
      <c r="AW15" s="7">
        <v>0.78759983912431697</v>
      </c>
      <c r="AX15" s="7">
        <v>2.9251011092453458E-2</v>
      </c>
      <c r="AY15" s="7">
        <v>0.13761417989509361</v>
      </c>
      <c r="AZ15" s="7">
        <v>2.9251011092453458E-2</v>
      </c>
      <c r="BA15" s="7">
        <v>0.78759983912431697</v>
      </c>
      <c r="BB15" s="7">
        <v>0.13761417989509361</v>
      </c>
      <c r="BC15" s="7">
        <v>0.126997626124777</v>
      </c>
      <c r="BD15" s="7">
        <v>5.2072208141742647E-2</v>
      </c>
      <c r="BE15" s="7">
        <v>0.62188844168495683</v>
      </c>
      <c r="BF15" s="7">
        <v>0.18459321219352201</v>
      </c>
      <c r="BG15" s="7">
        <v>0.15709141501540469</v>
      </c>
      <c r="BH15" s="7">
        <v>5.3082342557748359E-2</v>
      </c>
      <c r="BI15" s="7">
        <v>0.81608102047086484</v>
      </c>
      <c r="BJ15" s="7">
        <v>5.3082342557748359E-2</v>
      </c>
      <c r="BK15" s="7">
        <v>0.1765756227501549</v>
      </c>
      <c r="BL15" s="7">
        <v>5.3082342557748359E-2</v>
      </c>
      <c r="BM15" s="7">
        <v>0.81608102047086484</v>
      </c>
      <c r="BN15" s="7">
        <v>0.1765756227501549</v>
      </c>
      <c r="BO15" s="7">
        <v>0.22406576080012</v>
      </c>
      <c r="BP15" s="7">
        <v>0.31964878303554861</v>
      </c>
      <c r="BQ15" s="7">
        <v>-0.1075147619883363</v>
      </c>
      <c r="BR15" s="7">
        <v>0.47843198727710962</v>
      </c>
      <c r="BS15" s="7">
        <v>0.53097488261527948</v>
      </c>
      <c r="BT15" s="7">
        <v>7.6904048287620597E-2</v>
      </c>
      <c r="BU15" s="7">
        <v>0.6912545710221667</v>
      </c>
      <c r="BV15" s="7">
        <v>7.6904048287620597E-2</v>
      </c>
      <c r="BW15" s="7">
        <v>0.219418752396116</v>
      </c>
      <c r="BX15" s="7">
        <v>7.6904048287620597E-2</v>
      </c>
      <c r="BY15" s="7">
        <v>0.6912545710221667</v>
      </c>
      <c r="BZ15" s="7">
        <v>0.219418752396116</v>
      </c>
      <c r="CA15" s="7">
        <v>0.30167151572214912</v>
      </c>
      <c r="CB15" s="7">
        <v>0.2195720029607397</v>
      </c>
      <c r="CC15" s="7">
        <v>0.1184878591554164</v>
      </c>
      <c r="CD15" s="7">
        <v>0.40758206381535289</v>
      </c>
      <c r="CE15" s="7">
        <v>0.38227542822468968</v>
      </c>
      <c r="CF15" s="7">
        <v>90.746750801872722</v>
      </c>
      <c r="CG15" s="7">
        <v>0.74171875041354773</v>
      </c>
      <c r="CH15" s="7">
        <v>90.746750801872722</v>
      </c>
      <c r="CI15" s="7">
        <v>7.3444699496311712</v>
      </c>
      <c r="CJ15" s="7">
        <v>90.746750801872722</v>
      </c>
      <c r="CK15" s="7">
        <v>0.74171875041354773</v>
      </c>
      <c r="CL15" s="7">
        <v>7.3444699496311712</v>
      </c>
      <c r="CM15" s="7">
        <v>7.9510043905243881</v>
      </c>
      <c r="CN15" s="7">
        <v>425.58930251256618</v>
      </c>
      <c r="CO15" s="7">
        <v>-0.21130217767867249</v>
      </c>
      <c r="CP15" s="7">
        <v>17.077946069589519</v>
      </c>
      <c r="CQ15" s="13">
        <v>17.952242611067621</v>
      </c>
    </row>
    <row r="16" spans="1:95" x14ac:dyDescent="0.3">
      <c r="A16" s="2">
        <v>46059.457754629628</v>
      </c>
      <c r="B16" s="5" t="s">
        <v>134</v>
      </c>
      <c r="C16" s="5">
        <v>0</v>
      </c>
      <c r="D16" s="5" t="s">
        <v>96</v>
      </c>
      <c r="E16" s="3">
        <v>16590</v>
      </c>
      <c r="F16" s="3">
        <v>4.5</v>
      </c>
      <c r="G16" s="5" t="s">
        <v>97</v>
      </c>
      <c r="H16" s="5" t="s">
        <v>98</v>
      </c>
      <c r="I16" s="5">
        <v>5</v>
      </c>
      <c r="J16" s="5">
        <v>5</v>
      </c>
      <c r="K16" s="5" t="s">
        <v>99</v>
      </c>
      <c r="L16" s="5" t="s">
        <v>100</v>
      </c>
      <c r="M16" s="5" t="s">
        <v>101</v>
      </c>
      <c r="N16" s="5" t="s">
        <v>101</v>
      </c>
      <c r="O16" s="5" t="s">
        <v>102</v>
      </c>
      <c r="P16" s="5" t="s">
        <v>103</v>
      </c>
      <c r="Q16" s="5" t="s">
        <v>104</v>
      </c>
      <c r="R16" s="5" t="s">
        <v>105</v>
      </c>
      <c r="S16" s="5" t="s">
        <v>106</v>
      </c>
      <c r="T16" s="5" t="s">
        <v>107</v>
      </c>
      <c r="U16" s="5" t="s">
        <v>108</v>
      </c>
      <c r="V16" s="5" t="s">
        <v>109</v>
      </c>
      <c r="W16" s="5" t="s">
        <v>101</v>
      </c>
      <c r="X16" s="5">
        <v>200</v>
      </c>
      <c r="Y16" s="5">
        <v>80</v>
      </c>
      <c r="Z16" s="5">
        <v>120</v>
      </c>
      <c r="AA16" s="5" t="s">
        <v>110</v>
      </c>
      <c r="AB16" s="5">
        <v>4000</v>
      </c>
      <c r="AC16" s="5">
        <v>4000</v>
      </c>
      <c r="AD16" s="5">
        <v>9.9983907907901209E-2</v>
      </c>
      <c r="AE16" s="5"/>
      <c r="AF16" s="5">
        <v>64</v>
      </c>
      <c r="AG16" s="5" t="s">
        <v>111</v>
      </c>
      <c r="AH16" s="5">
        <v>0.15</v>
      </c>
      <c r="AI16" s="5">
        <v>24.41027060803361</v>
      </c>
      <c r="AJ16" s="5">
        <v>0.76267315412888981</v>
      </c>
      <c r="AK16" s="5">
        <v>24.41027060803361</v>
      </c>
      <c r="AL16" s="5">
        <v>7.5321235792274894</v>
      </c>
      <c r="AM16" s="5">
        <v>24.41027060803361</v>
      </c>
      <c r="AN16" s="5">
        <v>7.5321235792274894</v>
      </c>
      <c r="AO16" s="5">
        <v>7.7201155957490686</v>
      </c>
      <c r="AP16" s="5">
        <v>0.76267315412888981</v>
      </c>
      <c r="AQ16" s="5">
        <v>118.19221890040561</v>
      </c>
      <c r="AR16" s="5">
        <v>18.35423273729393</v>
      </c>
      <c r="AS16" s="5">
        <v>18.529112414225501</v>
      </c>
      <c r="AT16" s="5">
        <v>5.7453887699825179E-2</v>
      </c>
      <c r="AU16" s="5">
        <v>0.5714285714285714</v>
      </c>
      <c r="AV16" s="5">
        <v>2.7384449153667018E-2</v>
      </c>
      <c r="AW16" s="5">
        <v>0.80115349218709775</v>
      </c>
      <c r="AX16" s="5">
        <v>2.7384449153667018E-2</v>
      </c>
      <c r="AY16" s="5">
        <v>0.13154551181232771</v>
      </c>
      <c r="AZ16" s="5">
        <v>2.7384449153667018E-2</v>
      </c>
      <c r="BA16" s="5">
        <v>0.80115349218709775</v>
      </c>
      <c r="BB16" s="5">
        <v>0.13154551181232771</v>
      </c>
      <c r="BC16" s="5">
        <v>0.12598611515095709</v>
      </c>
      <c r="BD16" s="5">
        <v>4.4473755590461968E-2</v>
      </c>
      <c r="BE16" s="5">
        <v>0.67706303169133908</v>
      </c>
      <c r="BF16" s="5">
        <v>0.15798142480696681</v>
      </c>
      <c r="BG16" s="5">
        <v>0.13934145159118491</v>
      </c>
      <c r="BH16" s="5">
        <v>5.833599129301964E-2</v>
      </c>
      <c r="BI16" s="5">
        <v>0.79787824968801091</v>
      </c>
      <c r="BJ16" s="5">
        <v>5.833599129301964E-2</v>
      </c>
      <c r="BK16" s="5">
        <v>0.19153812280775889</v>
      </c>
      <c r="BL16" s="5">
        <v>5.833599129301964E-2</v>
      </c>
      <c r="BM16" s="5">
        <v>0.79787824968801091</v>
      </c>
      <c r="BN16" s="5">
        <v>0.19153812280775889</v>
      </c>
      <c r="BO16" s="5">
        <v>0.21786287082035841</v>
      </c>
      <c r="BP16" s="5">
        <v>0.29595410275870332</v>
      </c>
      <c r="BQ16" s="5">
        <v>-2.541775558652715E-2</v>
      </c>
      <c r="BR16" s="5">
        <v>0.47258866085839929</v>
      </c>
      <c r="BS16" s="5">
        <v>0.48002211735000921</v>
      </c>
      <c r="BT16" s="5">
        <v>6.7470172118256455E-2</v>
      </c>
      <c r="BU16" s="5">
        <v>0.72912859988916123</v>
      </c>
      <c r="BV16" s="5">
        <v>6.7470172118256455E-2</v>
      </c>
      <c r="BW16" s="5">
        <v>0.2033124590403293</v>
      </c>
      <c r="BX16" s="5">
        <v>6.7470172118256455E-2</v>
      </c>
      <c r="BY16" s="5">
        <v>0.72912859988916123</v>
      </c>
      <c r="BZ16" s="5">
        <v>0.2033124590403293</v>
      </c>
      <c r="CA16" s="5">
        <v>0.24461306578653449</v>
      </c>
      <c r="CB16" s="5">
        <v>0.26850915014754412</v>
      </c>
      <c r="CC16" s="5">
        <v>-7.7979307886730576E-2</v>
      </c>
      <c r="CD16" s="5">
        <v>0.45331185422940878</v>
      </c>
      <c r="CE16" s="5">
        <v>0.48323596072848712</v>
      </c>
      <c r="CF16" s="5">
        <v>97.487891819569484</v>
      </c>
      <c r="CG16" s="5">
        <v>0.72253227475128878</v>
      </c>
      <c r="CH16" s="5">
        <v>97.487891819569484</v>
      </c>
      <c r="CI16" s="5">
        <v>7.5029421004671928</v>
      </c>
      <c r="CJ16" s="5">
        <v>97.487891819569484</v>
      </c>
      <c r="CK16" s="5">
        <v>0.72253227475128878</v>
      </c>
      <c r="CL16" s="5">
        <v>7.5029421004671928</v>
      </c>
      <c r="CM16" s="5">
        <v>7.6843435390366608</v>
      </c>
      <c r="CN16" s="5">
        <v>472.15993859312579</v>
      </c>
      <c r="CO16" s="5">
        <v>-0.34385041741878458</v>
      </c>
      <c r="CP16" s="5">
        <v>18.31276727172779</v>
      </c>
      <c r="CQ16" s="12">
        <v>18.479151595460198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4793-A8AF-40E1-A284-45E85AC73ABE}">
  <dimension ref="A3:G25"/>
  <sheetViews>
    <sheetView tabSelected="1" workbookViewId="0">
      <selection activeCell="F16" sqref="F16"/>
    </sheetView>
  </sheetViews>
  <sheetFormatPr baseColWidth="10" defaultRowHeight="14.4" x14ac:dyDescent="0.3"/>
  <cols>
    <col min="1" max="1" width="17.109375" bestFit="1" customWidth="1"/>
    <col min="2" max="2" width="25.44140625" bestFit="1" customWidth="1"/>
    <col min="3" max="3" width="26.6640625" bestFit="1" customWidth="1"/>
    <col min="4" max="4" width="39" bestFit="1" customWidth="1"/>
    <col min="5" max="5" width="38.5546875" bestFit="1" customWidth="1"/>
    <col min="6" max="6" width="34.44140625" bestFit="1" customWidth="1"/>
    <col min="7" max="7" width="35.6640625" bestFit="1" customWidth="1"/>
  </cols>
  <sheetData>
    <row r="3" spans="1:7" x14ac:dyDescent="0.3">
      <c r="A3" s="8" t="s">
        <v>123</v>
      </c>
      <c r="B3" t="s">
        <v>125</v>
      </c>
      <c r="C3" t="s">
        <v>126</v>
      </c>
      <c r="D3" t="s">
        <v>127</v>
      </c>
      <c r="E3" t="s">
        <v>128</v>
      </c>
      <c r="F3" t="s">
        <v>129</v>
      </c>
      <c r="G3" t="s">
        <v>130</v>
      </c>
    </row>
    <row r="4" spans="1:7" x14ac:dyDescent="0.3">
      <c r="A4" s="9">
        <v>64</v>
      </c>
      <c r="B4" s="14">
        <v>0.71536475505067609</v>
      </c>
      <c r="C4" s="14">
        <v>-8.2233587035624112E-2</v>
      </c>
      <c r="D4" s="14">
        <v>0.79406778555598956</v>
      </c>
      <c r="E4" s="14">
        <v>0.69306304638363814</v>
      </c>
      <c r="F4" s="14">
        <v>0.63528624597333727</v>
      </c>
      <c r="G4" s="14">
        <v>0.73904194228973696</v>
      </c>
    </row>
    <row r="5" spans="1:7" x14ac:dyDescent="0.3">
      <c r="A5" s="10" t="s">
        <v>111</v>
      </c>
      <c r="B5" s="14">
        <v>0.71536475505067609</v>
      </c>
      <c r="C5" s="14">
        <v>-8.2233587035624112E-2</v>
      </c>
      <c r="D5" s="14">
        <v>0.79406778555598956</v>
      </c>
      <c r="E5" s="14">
        <v>0.69306304638363814</v>
      </c>
      <c r="F5" s="14">
        <v>0.63528624597333727</v>
      </c>
      <c r="G5" s="14">
        <v>0.73904194228973696</v>
      </c>
    </row>
    <row r="6" spans="1:7" x14ac:dyDescent="0.3">
      <c r="A6" s="15">
        <v>0</v>
      </c>
      <c r="B6" s="14">
        <v>0.76267315412888981</v>
      </c>
      <c r="C6" s="14">
        <v>5.7453887699825179E-2</v>
      </c>
      <c r="D6" s="14">
        <v>0.80115349218709775</v>
      </c>
      <c r="E6" s="14">
        <v>0.79787824968801091</v>
      </c>
      <c r="F6" s="14">
        <v>0.72912859988916123</v>
      </c>
      <c r="G6" s="14">
        <v>0.72253227475128878</v>
      </c>
    </row>
    <row r="7" spans="1:7" x14ac:dyDescent="0.3">
      <c r="A7" s="15">
        <v>1</v>
      </c>
      <c r="B7" s="14">
        <v>0.75538436348233973</v>
      </c>
      <c r="C7" s="14">
        <v>-8.3049152309793234E-2</v>
      </c>
      <c r="D7" s="14">
        <v>0.82329179575981593</v>
      </c>
      <c r="E7" s="14">
        <v>0.7509403671648921</v>
      </c>
      <c r="F7" s="14">
        <v>0.6804217154956762</v>
      </c>
      <c r="G7" s="14">
        <v>0.76688357550897235</v>
      </c>
    </row>
    <row r="8" spans="1:7" x14ac:dyDescent="0.3">
      <c r="A8" s="15">
        <v>2</v>
      </c>
      <c r="B8" s="14">
        <v>0.55174316562540371</v>
      </c>
      <c r="C8" s="14">
        <v>-0.65834236083212971</v>
      </c>
      <c r="D8" s="14">
        <v>0.82627789087625136</v>
      </c>
      <c r="E8" s="14">
        <v>0.25040000454819838</v>
      </c>
      <c r="F8" s="14">
        <v>0.399163975334765</v>
      </c>
      <c r="G8" s="14">
        <v>0.73113079174239393</v>
      </c>
    </row>
    <row r="9" spans="1:7" x14ac:dyDescent="0.3">
      <c r="A9" s="15">
        <v>3</v>
      </c>
      <c r="B9" s="14">
        <v>0.75117711053254821</v>
      </c>
      <c r="C9" s="14">
        <v>0.2587192613172537</v>
      </c>
      <c r="D9" s="14">
        <v>0.73875168262719515</v>
      </c>
      <c r="E9" s="14">
        <v>0.85484230112769533</v>
      </c>
      <c r="F9" s="14">
        <v>0.68005422259424253</v>
      </c>
      <c r="G9" s="14">
        <v>0.73106023578105939</v>
      </c>
    </row>
    <row r="10" spans="1:7" x14ac:dyDescent="0.3">
      <c r="A10" s="15">
        <v>4</v>
      </c>
      <c r="B10" s="14">
        <v>0.75584598148419857</v>
      </c>
      <c r="C10" s="14">
        <v>1.4050428946723559E-2</v>
      </c>
      <c r="D10" s="14">
        <v>0.78086406632958738</v>
      </c>
      <c r="E10" s="14">
        <v>0.81125430938939402</v>
      </c>
      <c r="F10" s="14">
        <v>0.68766271655284172</v>
      </c>
      <c r="G10" s="14">
        <v>0.74360283366497015</v>
      </c>
    </row>
    <row r="11" spans="1:7" x14ac:dyDescent="0.3">
      <c r="A11" s="9">
        <v>128</v>
      </c>
      <c r="B11" s="14">
        <v>0.7075758625018197</v>
      </c>
      <c r="C11" s="14">
        <v>2.602171957264441E-2</v>
      </c>
      <c r="D11" s="14">
        <v>0.78800379585407188</v>
      </c>
      <c r="E11" s="14">
        <v>0.68649491545070429</v>
      </c>
      <c r="F11" s="14">
        <v>0.61740672723026058</v>
      </c>
      <c r="G11" s="14">
        <v>0.73839801147224149</v>
      </c>
    </row>
    <row r="12" spans="1:7" x14ac:dyDescent="0.3">
      <c r="A12" s="10" t="s">
        <v>111</v>
      </c>
      <c r="B12" s="14">
        <v>0.7075758625018197</v>
      </c>
      <c r="C12" s="14">
        <v>2.602171957264441E-2</v>
      </c>
      <c r="D12" s="14">
        <v>0.78800379585407188</v>
      </c>
      <c r="E12" s="14">
        <v>0.68649491545070429</v>
      </c>
      <c r="F12" s="14">
        <v>0.61740672723026058</v>
      </c>
      <c r="G12" s="14">
        <v>0.73839801147224149</v>
      </c>
    </row>
    <row r="13" spans="1:7" x14ac:dyDescent="0.3">
      <c r="A13" s="15">
        <v>0</v>
      </c>
      <c r="B13" s="14">
        <v>0.76106982989235195</v>
      </c>
      <c r="C13" s="14">
        <v>-1.318806764611713E-3</v>
      </c>
      <c r="D13" s="14">
        <v>0.79808322729538617</v>
      </c>
      <c r="E13" s="14">
        <v>0.80217514913790877</v>
      </c>
      <c r="F13" s="14">
        <v>0.71677078637001701</v>
      </c>
      <c r="G13" s="14">
        <v>0.72725015676609295</v>
      </c>
    </row>
    <row r="14" spans="1:7" x14ac:dyDescent="0.3">
      <c r="A14" s="15">
        <v>1</v>
      </c>
      <c r="B14" s="14">
        <v>0.75465785003142238</v>
      </c>
      <c r="C14" s="14">
        <v>-0.1151548605921517</v>
      </c>
      <c r="D14" s="14">
        <v>0.82276038864836931</v>
      </c>
      <c r="E14" s="14">
        <v>0.75148428076920681</v>
      </c>
      <c r="F14" s="14">
        <v>0.68054953136397311</v>
      </c>
      <c r="G14" s="14">
        <v>0.76383719934413963</v>
      </c>
    </row>
    <row r="15" spans="1:7" x14ac:dyDescent="0.3">
      <c r="A15" s="15">
        <v>2</v>
      </c>
      <c r="B15" s="14">
        <v>0.52586616514219497</v>
      </c>
      <c r="C15" s="14">
        <v>1.075092988997575E-2</v>
      </c>
      <c r="D15" s="14">
        <v>0.83180506276445731</v>
      </c>
      <c r="E15" s="14">
        <v>0.20993179571753909</v>
      </c>
      <c r="F15" s="14">
        <v>0.33555658202099231</v>
      </c>
      <c r="G15" s="14">
        <v>0.72617122006579149</v>
      </c>
    </row>
    <row r="16" spans="1:7" x14ac:dyDescent="0.3">
      <c r="A16" s="15">
        <v>3</v>
      </c>
      <c r="B16" s="14">
        <v>0.7431526309366121</v>
      </c>
      <c r="C16" s="14">
        <v>0.1974853795873461</v>
      </c>
      <c r="D16" s="14">
        <v>0.72093959911183236</v>
      </c>
      <c r="E16" s="14">
        <v>0.85224389903277598</v>
      </c>
      <c r="F16" s="14">
        <v>0.66649934919642884</v>
      </c>
      <c r="G16" s="14">
        <v>0.73292767640541245</v>
      </c>
    </row>
    <row r="17" spans="1:7" x14ac:dyDescent="0.3">
      <c r="A17" s="15">
        <v>4</v>
      </c>
      <c r="B17" s="14">
        <v>0.75313283650651719</v>
      </c>
      <c r="C17" s="14">
        <v>3.8345955742663612E-2</v>
      </c>
      <c r="D17" s="14">
        <v>0.76643070145031467</v>
      </c>
      <c r="E17" s="14">
        <v>0.8166394525960905</v>
      </c>
      <c r="F17" s="14">
        <v>0.68765738719989211</v>
      </c>
      <c r="G17" s="14">
        <v>0.74180380477977048</v>
      </c>
    </row>
    <row r="18" spans="1:7" x14ac:dyDescent="0.3">
      <c r="A18" s="9">
        <v>256</v>
      </c>
      <c r="B18" s="14">
        <v>0.70513428805014156</v>
      </c>
      <c r="C18" s="14">
        <v>5.1921754583293567E-2</v>
      </c>
      <c r="D18" s="14">
        <v>0.79278391906382573</v>
      </c>
      <c r="E18" s="14">
        <v>0.68340117380385335</v>
      </c>
      <c r="F18" s="14">
        <v>0.60627400718834601</v>
      </c>
      <c r="G18" s="14">
        <v>0.73807805214454025</v>
      </c>
    </row>
    <row r="19" spans="1:7" x14ac:dyDescent="0.3">
      <c r="A19" s="10" t="s">
        <v>111</v>
      </c>
      <c r="B19" s="14">
        <v>0.70513428805014156</v>
      </c>
      <c r="C19" s="14">
        <v>5.1921754583293567E-2</v>
      </c>
      <c r="D19" s="14">
        <v>0.79278391906382573</v>
      </c>
      <c r="E19" s="14">
        <v>0.68340117380385335</v>
      </c>
      <c r="F19" s="14">
        <v>0.60627400718834601</v>
      </c>
      <c r="G19" s="14">
        <v>0.73807805214454025</v>
      </c>
    </row>
    <row r="20" spans="1:7" x14ac:dyDescent="0.3">
      <c r="A20" s="15">
        <v>0</v>
      </c>
      <c r="B20" s="14">
        <v>0.76236993829285737</v>
      </c>
      <c r="C20" s="14">
        <v>-1.3142933295878619E-2</v>
      </c>
      <c r="D20" s="14">
        <v>0.80545001969667696</v>
      </c>
      <c r="E20" s="14">
        <v>0.80099949203846388</v>
      </c>
      <c r="F20" s="14">
        <v>0.71487244728602106</v>
      </c>
      <c r="G20" s="14">
        <v>0.72815779415026893</v>
      </c>
    </row>
    <row r="21" spans="1:7" x14ac:dyDescent="0.3">
      <c r="A21" s="15">
        <v>1</v>
      </c>
      <c r="B21" s="14">
        <v>0.75432424402798681</v>
      </c>
      <c r="C21" s="14">
        <v>-0.1184700506489705</v>
      </c>
      <c r="D21" s="14">
        <v>0.82037983715936569</v>
      </c>
      <c r="E21" s="14">
        <v>0.7474120791413934</v>
      </c>
      <c r="F21" s="14">
        <v>0.68723449626104749</v>
      </c>
      <c r="G21" s="14">
        <v>0.76227056355013989</v>
      </c>
    </row>
    <row r="22" spans="1:7" x14ac:dyDescent="0.3">
      <c r="A22" s="15">
        <v>2</v>
      </c>
      <c r="B22" s="14">
        <v>0.51465202335429172</v>
      </c>
      <c r="C22" s="14">
        <v>2.1589296599318158E-2</v>
      </c>
      <c r="D22" s="14">
        <v>0.84584177479360023</v>
      </c>
      <c r="E22" s="14">
        <v>0.20437489211496729</v>
      </c>
      <c r="F22" s="14">
        <v>0.28146401476371791</v>
      </c>
      <c r="G22" s="14">
        <v>0.72692741174487852</v>
      </c>
    </row>
    <row r="23" spans="1:7" x14ac:dyDescent="0.3">
      <c r="A23" s="15">
        <v>3</v>
      </c>
      <c r="B23" s="14">
        <v>0.73516168931784831</v>
      </c>
      <c r="C23" s="14">
        <v>0.26424261996865378</v>
      </c>
      <c r="D23" s="14">
        <v>0.70464812454516967</v>
      </c>
      <c r="E23" s="14">
        <v>0.84813838525357754</v>
      </c>
      <c r="F23" s="14">
        <v>0.6565445066087765</v>
      </c>
      <c r="G23" s="14">
        <v>0.73131574086386564</v>
      </c>
    </row>
    <row r="24" spans="1:7" x14ac:dyDescent="0.3">
      <c r="A24" s="15">
        <v>4</v>
      </c>
      <c r="B24" s="14">
        <v>0.75916354525772389</v>
      </c>
      <c r="C24" s="14">
        <v>0.105389840293345</v>
      </c>
      <c r="D24" s="14">
        <v>0.78759983912431697</v>
      </c>
      <c r="E24" s="14">
        <v>0.81608102047086484</v>
      </c>
      <c r="F24" s="14">
        <v>0.6912545710221667</v>
      </c>
      <c r="G24" s="14">
        <v>0.74171875041354773</v>
      </c>
    </row>
    <row r="25" spans="1:7" x14ac:dyDescent="0.3">
      <c r="A25" s="9" t="s">
        <v>124</v>
      </c>
      <c r="B25" s="14">
        <v>0.70935830186754578</v>
      </c>
      <c r="C25" s="14">
        <v>-1.4300376265620437E-3</v>
      </c>
      <c r="D25" s="14">
        <v>0.79161850015796242</v>
      </c>
      <c r="E25" s="14">
        <v>0.68765304521273196</v>
      </c>
      <c r="F25" s="14">
        <v>0.6196556601306481</v>
      </c>
      <c r="G25" s="14">
        <v>0.73850600196883953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Main_results</vt:lpstr>
      <vt:lpstr>Analizer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Uxue Ballarin</dc:creator>
  <cp:lastModifiedBy>Uxue Ballarin Manso</cp:lastModifiedBy>
  <dcterms:created xsi:type="dcterms:W3CDTF">2015-06-05T18:19:34Z</dcterms:created>
  <dcterms:modified xsi:type="dcterms:W3CDTF">2026-02-11T10:22:08Z</dcterms:modified>
</cp:coreProperties>
</file>