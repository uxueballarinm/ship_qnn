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"/>
    </mc:Choice>
  </mc:AlternateContent>
  <xr:revisionPtr revIDLastSave="26" documentId="11_61C932A9D380517DBBBB3711595ED87656CD3F1C" xr6:coauthVersionLast="47" xr6:coauthVersionMax="47" xr10:uidLastSave="{CE1F4B53-8C00-4D04-B52C-3916C9F12819}"/>
  <bookViews>
    <workbookView xWindow="28680" yWindow="-5580" windowWidth="51840" windowHeight="21120" xr2:uid="{00000000-000D-0000-FFFF-FFFF00000000}"/>
  </bookViews>
  <sheets>
    <sheet name="Main_results" sheetId="1" r:id="rId1"/>
    <sheet name="Analizer" sheetId="2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<sst xmlns="http://schemas.openxmlformats.org/spreadsheetml/2006/main" count="458" uniqueCount="161">
  <si>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</si>
  <si>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</si>
  <si>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</si>
  <si>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</si>
  <si>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</si>
  <si>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</si>
  <si>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</si>
  <si>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</si>
  <si>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</si>
  <si>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</si>
  <si>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</si>
  <si>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</si>
  <si>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</si>
  <si>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</si>
  <si>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</si>
  <si>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</si>
  <si>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</si>
  <si>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</si>
  <si>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</si>
  <si>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</si>
  <si>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</si>
  <si>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</si>
  <si>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</si>
  <si>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</si>
  <si>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</si>
  <si>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</si>
  <si>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</si>
  <si>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</si>
  <si>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</si>
  <si>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</si>
  <si>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</si>
  <si>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</si>
  <si>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</si>
  <si>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</si>
  <si>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</si>
  <si>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</si>
  <si>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</si>
  <si>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</si>
  <si>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</si>
  <si>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</si>
  <si>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</si>
  <si>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local ADE</t>
  </si>
  <si>
    <t>global open MSE</t>
  </si>
  <si>
    <t>global open ADE</t>
  </si>
  <si>
    <t>global open FDE</t>
  </si>
  <si>
    <t>global open R2</t>
  </si>
  <si>
    <t>global closed MSE</t>
  </si>
  <si>
    <t>global closed ADE</t>
  </si>
  <si>
    <t>global closed FDE</t>
  </si>
  <si>
    <t>global closed R2</t>
  </si>
  <si>
    <t>recursivity</t>
  </si>
  <si>
    <t>Surge Velocity Step MSE</t>
  </si>
  <si>
    <t>Surge Velocity Step R2</t>
  </si>
  <si>
    <t>Surge Velocity Local MSE</t>
  </si>
  <si>
    <t>Surge Velocity Local ADE</t>
  </si>
  <si>
    <t>Surge Velocity Global open MSE</t>
  </si>
  <si>
    <t>Surge Velocity Global open R2</t>
  </si>
  <si>
    <t>Surge Velocity Global open ADE</t>
  </si>
  <si>
    <t>Surge Velocity Global open FDE</t>
  </si>
  <si>
    <t>Surge Velocity Global closed MSE</t>
  </si>
  <si>
    <t>Surge Velocity Global closed R2</t>
  </si>
  <si>
    <t>Surge Velocity Global closed ADE</t>
  </si>
  <si>
    <t>Surge Velocity Global closed FDE</t>
  </si>
  <si>
    <t>Sway Velocity Step MSE</t>
  </si>
  <si>
    <t>Sway Velocity Step R2</t>
  </si>
  <si>
    <t>Sway Velocity Local MSE</t>
  </si>
  <si>
    <t>Sway Velocity Local ADE</t>
  </si>
  <si>
    <t>Sway Velocity Global open MSE</t>
  </si>
  <si>
    <t>Sway Velocity Global open R2</t>
  </si>
  <si>
    <t>Sway Velocity Global open ADE</t>
  </si>
  <si>
    <t>Sway Velocity Global open FDE</t>
  </si>
  <si>
    <t>Sway Velocity Global closed MSE</t>
  </si>
  <si>
    <t>Sway Velocity Global closed R2</t>
  </si>
  <si>
    <t>Sway Velocity Global closed ADE</t>
  </si>
  <si>
    <t>Sway Velocity Global closed FDE</t>
  </si>
  <si>
    <t>Yaw Rate Step MSE</t>
  </si>
  <si>
    <t>Yaw Rate Step R2</t>
  </si>
  <si>
    <t>Yaw Rate Local MSE</t>
  </si>
  <si>
    <t>Yaw Rate Local ADE</t>
  </si>
  <si>
    <t>Yaw Rate Global open MSE</t>
  </si>
  <si>
    <t>Yaw Rate Global open R2</t>
  </si>
  <si>
    <t>Yaw Rate Global open ADE</t>
  </si>
  <si>
    <t>Yaw Rate Global open FDE</t>
  </si>
  <si>
    <t>Yaw Rate Global closed MSE</t>
  </si>
  <si>
    <t>Yaw Rate Global closed R2</t>
  </si>
  <si>
    <t>Yaw Rate Global closed ADE</t>
  </si>
  <si>
    <t>Yaw Rate Global closed FDE</t>
  </si>
  <si>
    <t>Yaw Angle Step MSE</t>
  </si>
  <si>
    <t>Yaw Angle Step R2</t>
  </si>
  <si>
    <t>Yaw Angle Local MSE</t>
  </si>
  <si>
    <t>Yaw Angle Local ADE</t>
  </si>
  <si>
    <t>Yaw Angle Global open MSE</t>
  </si>
  <si>
    <t>Yaw Angle Global open R2</t>
  </si>
  <si>
    <t>Yaw Angle Global open ADE</t>
  </si>
  <si>
    <t>Yaw Angle Global open FDE</t>
  </si>
  <si>
    <t>Yaw Angle Global closed MSE</t>
  </si>
  <si>
    <t>Yaw Angle Global closed R2</t>
  </si>
  <si>
    <t>Yaw Angle Global closed ADE</t>
  </si>
  <si>
    <t>Yaw Angle Global closed FDE</t>
  </si>
  <si>
    <t>02-16_09-05-12_reeval</t>
  </si>
  <si>
    <t>02-16_09-05-12_reeval_multihead_spsa_f5_w5_h5_effsu2_effsu2_realamplitudes_full_r4_5_3.pkl</t>
  </si>
  <si>
    <t>Selected (Saved)</t>
  </si>
  <si>
    <t>data/reduce_row_number_absolutes</t>
  </si>
  <si>
    <t>[['wv', 'sv', 'rarad'], ['yr', 'sv', 'rarad'], ['ya', 'yr', 'rarad']]</t>
  </si>
  <si>
    <t>['Surge Velocity', 'Sway Velocity', 'Yaw Rate', 'Yaw Angle']</t>
  </si>
  <si>
    <t>motion</t>
  </si>
  <si>
    <t>true</t>
  </si>
  <si>
    <t>false</t>
  </si>
  <si>
    <t>multihead</t>
  </si>
  <si>
    <t>[{'features': ['wv', 'sv', 'rarad'], 'output_dim': 2, 'reps': 4, 'encoding': 'serial', 'ansatz': 'effsu2', 'entangle': 'full', 'map': [0, 1, 2]}, {'features': ['yr', 'sv', 'rarad'], 'output_dim': 1, 'reps': 5, 'encoding': 'serial', 'ansatz': 'effsu2', 'entangle': 'full', 'map': [0, 1, 2]}, {'features': ['ya', 'yr', 'rarad'], 'output_dim': 1, 'reps': 3, 'encoding': 'serial', 'ansatz': 'realamplitudes', 'entangle': 'full', 'map': [0, 1, 2]}]</t>
  </si>
  <si>
    <t>serial</t>
  </si>
  <si>
    <t>['effsu2', 'effsu2', 'realamplitudes']</t>
  </si>
  <si>
    <t>full</t>
  </si>
  <si>
    <t>[4, 5, 3]</t>
  </si>
  <si>
    <t>[0, 1, 2]</t>
  </si>
  <si>
    <t>spsa</t>
  </si>
  <si>
    <t>[0.05, 0.001]</t>
  </si>
  <si>
    <t>02-13_09-53-32_multihead_spsa_f5_w5_h5_effsu2_effsu2_realamplitudes_full_r4_5_3.pkl</t>
  </si>
  <si>
    <t>Final (Last Iteration)</t>
  </si>
  <si>
    <t>[{'features': ['wv', 'sv', 'rarad'], 'output_dim': 2, 'reps': 4, 'encoding': 'accumulated', 'ansatz': 'effsu2', 'entangle': 'full', 'map': [0, 1, 2]}, {'features': ['yr', 'sv', 'rarad'], 'output_dim': 1, 'reps': 5, 'encoding': 'accumulated', 'ansatz': 'effsu2', 'entangle': 'full', 'map': [0, 1, 2]}, {'features': ['ya', 'yr', 'rarad'], 'output_dim': 1, 'reps': 3, 'encoding': 'accumulated', 'ansatz': 'realamplitudes', 'entangle': 'full', 'map': [0, 1, 2]}]</t>
  </si>
  <si>
    <t>accumulated</t>
  </si>
  <si>
    <t>02-13_14-47-24_multihead_spsa_f5_w5_h5_effsu2_effsu2_realamplitudes_full_r4_5_3.pkl</t>
  </si>
  <si>
    <t>02-13_15-38-42_multihead_spsa_f5_w5_h5_effsu2_effsu2_realamplitudes_full_r4_5_3.pkl</t>
  </si>
  <si>
    <t>02-13_20-02-40_multihead_spsa_f5_w5_h5_effsu2_effsu2_realamplitudes_full_r4_5_3.pkl</t>
  </si>
  <si>
    <t>02-13_21-36-48_multihead_spsa_f5_w5_h5_effsu2_effsu2_realamplitudes_full_r4_5_3.pkl</t>
  </si>
  <si>
    <t>Best (Lowest Val Loss)</t>
  </si>
  <si>
    <t>02-14_00-48-58_multihead_spsa_f7_w5_h5_effsu2_lin_r5.pkl</t>
  </si>
  <si>
    <t>['wv', 'sv', 'yr', 'ya', 'rarad', 'asv']</t>
  </si>
  <si>
    <t>[{'features': ['wv', 'sv', 'yr', 'ya', 'rarad', 'asv'], 'output_dim': 4, 'reps': 5, 'encoding': 'serial', 'ansatz': 'effsu2', 'entangle': 'lin', 'map': [0, 1, 2, 3, 4, 5]}]</t>
  </si>
  <si>
    <t>effsu2</t>
  </si>
  <si>
    <t>lin</t>
  </si>
  <si>
    <t>5</t>
  </si>
  <si>
    <t>[0, 1, 2, 3, 4, 5]</t>
  </si>
  <si>
    <t>02-14_03-21-58_multihead_spsa_f7_w5_h5_effsu2_lin_r5.pkl</t>
  </si>
  <si>
    <t>[{'features': ['wv', 'sv', 'yr', 'ya', 'rarad', 'asv'], 'output_dim': 4, 'reps': 5, 'encoding': 'accumulated', 'ansatz': 'effsu2', 'entangle': 'lin', 'map': [0, 1, 2, 3, 4, 5]}]</t>
  </si>
  <si>
    <t>02-14_03-45-30_multihead_spsa_f7_w5_h5_effsu2_lin_r5.pkl</t>
  </si>
  <si>
    <t>02-14_06-15-12_multihead_spsa_f7_w5_h5_effsu2_lin_r5.pkl</t>
  </si>
  <si>
    <t>02-14_06-31-33_multihead_spsa_f7_w5_h5_effsu2_lin_r5.pkl</t>
  </si>
  <si>
    <t>02-14_09-09-32_multihead_spsa_f7_w5_h5_effsu2_lin_r5.pkl</t>
  </si>
  <si>
    <t>02-14_09-19-37_multihead_spsa_f7_w5_h5_effsu2_full_lin_r4.pkl</t>
  </si>
  <si>
    <t>[['wv', 'asv', 'ararad'], ['sv', 'yr', 'ya', 'rarad']]</t>
  </si>
  <si>
    <t>[{'features': ['wv', 'asv', 'ararad'], 'output_dim': 1, 'reps': 4, 'encoding': 'serial', 'ansatz': 'effsu2', 'entangle': 'full', 'map': [0, 1, 2]}, {'features': ['sv', 'yr', 'ya', 'rarad'], 'output_dim': 3, 'reps': 4, 'encoding': 'serial', 'ansatz': 'effsu2', 'entangle': 'lin', 'map': [0, 1, -1, 2, 3, -1]}]</t>
  </si>
  <si>
    <t>['full', 'lin']</t>
  </si>
  <si>
    <t>4</t>
  </si>
  <si>
    <t>[[0, 1, 2], [0, 1, -1, 2, 3, -1]]</t>
  </si>
  <si>
    <t>02-14_12-00-32_multihead_spsa_f7_w5_h5_effsu2_full_lin_r4.pkl</t>
  </si>
  <si>
    <t>[{'features': ['wv', 'asv', 'ararad'], 'output_dim': 1, 'reps': 4, 'encoding': 'accumulated', 'ansatz': 'effsu2', 'entangle': 'full', 'map': [0, 1, 2]}, {'features': ['sv', 'yr', 'ya', 'rarad'], 'output_dim': 3, 'reps': 4, 'encoding': 'accumulated', 'ansatz': 'effsu2', 'entangle': 'lin', 'map': [0, 1, -1, 2, 3, -1]}]</t>
  </si>
  <si>
    <t>02-14_12-59-54_multihead_spsa_f7_w5_h5_effsu2_full_lin_r4.pkl</t>
  </si>
  <si>
    <t>02-14_15-38-48_multihead_spsa_f7_w5_h5_effsu2_full_lin_r4.pkl</t>
  </si>
  <si>
    <t>02-14_18-28-40_multihead_spsa_f7_w5_h5_effsu2_full_lin_r4.pkl</t>
  </si>
  <si>
    <t>02-14_17-25-52_multihead_spsa_f7_w5_h5_effsu2_full_lin_r4.pkl</t>
  </si>
  <si>
    <t>Etiquetas de fila</t>
  </si>
  <si>
    <t>Total general</t>
  </si>
  <si>
    <t>Promedio de Val Global Open R2</t>
  </si>
  <si>
    <t>Promedio de Val Global Closed R2</t>
  </si>
  <si>
    <t>Promedio de global open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</si>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</sst>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2" borderId="1" xfId="0" applyNumberFormat="1" applyFill="1" applyBorder="1"/>
    <xf numFmtId="0" fontId="0" fillId="2" borderId="2" xfId="0" applyFill="1" applyBorder="1"/>
    <xf numFmtId="164" fontId="0" fillId="3" borderId="1" xfId="0" applyNumberFormat="1" applyFill="1" applyBorder="1"/>
    <xf numFmtId="0" fontId="0" fillId="3" borderId="2" xfId="0" applyFill="1" applyBorder="1"/>
    <xf numFmtId="164" fontId="0" fillId="2" borderId="3" xfId="0" applyNumberFormat="1" applyFill="1" applyBorder="1"/>
    <xf numFmtId="0" fontId="0" fillId="2" borderId="4" xfId="0" applyFill="1" applyBorder="1"/>
    <xf numFmtId="0" fontId="1" fillId="0" borderId="5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10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yyyy\-mm\-dd\ hh:mm:ss"/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69.383592013888" createdVersion="8" refreshedVersion="8" minRefreshableVersion="3" recordCount="18" xr:uid="{53C684ED-EAE8-4CDD-A2A7-EA3C660D36DC}">
  <cacheSource type="worksheet">
    <worksheetSource name="Tabla1"/>
  </cacheSource>
  <cacheFields count="99">
    <cacheField name="date" numFmtId="0">
      <sharedItems containsDate="1" containsMixedTypes="1" minDate="2026-02-13T09:53:32" maxDate="2026-02-14T18:28:40"/>
    </cacheField>
    <cacheField name="model_id" numFmtId="0">
      <sharedItems/>
    </cacheField>
    <cacheField name="run" numFmtId="0">
      <sharedItems containsSemiMixedTypes="0" containsString="0" containsNumber="1" containsInteger="1" minValue="0" maxValue="2" count="3">
        <n v="0"/>
        <n v="1"/>
        <n v="2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3" count="3">
        <n v="3"/>
        <n v="1"/>
        <n v="2"/>
      </sharedItems>
    </cacheField>
    <cacheField name="encoding" numFmtId="0">
      <sharedItems count="2">
        <s v="serial"/>
        <s v="accumulated"/>
      </sharedItems>
    </cacheField>
    <cacheField name="ansatz" numFmtId="0">
      <sharedItems/>
    </cacheField>
    <cacheField name="entangle" numFmtId="0">
      <sharedItems/>
    </cacheField>
    <cacheField name="reps" numFmtId="0">
      <sharedItems/>
    </cacheField>
    <cacheField name="map" numFmtId="0">
      <sharedItems/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128" maxValue="128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total params" numFmtId="0">
      <sharedItems containsSemiMixedTypes="0" containsString="0" containsNumber="1" containsInteger="1" minValue="170" maxValue="240"/>
    </cacheField>
    <cacheField name="q params" numFmtId="0">
      <sharedItems containsSemiMixedTypes="0" containsString="0" containsNumber="1" containsInteger="1" minValue="50" maxValue="12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0.1343919586373043" maxValue="0.26850242980214462"/>
    </cacheField>
    <cacheField name="Val Global Open MSE" numFmtId="0">
      <sharedItems containsSemiMixedTypes="0" containsString="0" containsNumber="1" minValue="27.793045093450161" maxValue="82.650820648461206"/>
    </cacheField>
    <cacheField name="Val Global Open R2" numFmtId="0">
      <sharedItems containsSemiMixedTypes="0" containsString="0" containsNumber="1" minValue="7.8687342227968332E-2" maxValue="0.59636933958607474"/>
    </cacheField>
    <cacheField name="Val Global Closed R2" numFmtId="0">
      <sharedItems containsSemiMixedTypes="0" containsString="0" containsNumber="1" minValue="-0.19482723524219431" maxValue="0.1105295458879325"/>
    </cacheField>
    <cacheField name="step MSE" numFmtId="0">
      <sharedItems containsSemiMixedTypes="0" containsString="0" containsNumber="1" minValue="32.600862991112947" maxValue="88.284759510985083"/>
    </cacheField>
    <cacheField name="step R2" numFmtId="0">
      <sharedItems containsSemiMixedTypes="0" containsString="0" containsNumber="1" minValue="0.1012850757698603" maxValue="0.54463998527526292"/>
    </cacheField>
    <cacheField name="local MSE" numFmtId="0">
      <sharedItems containsSemiMixedTypes="0" containsString="0" containsNumber="1" minValue="32.600862991112947" maxValue="88.284759510985083"/>
    </cacheField>
    <cacheField name="local ADE" numFmtId="0">
      <sharedItems containsSemiMixedTypes="0" containsString="0" containsNumber="1" minValue="8.6192173785796342" maxValue="15.80092752301981"/>
    </cacheField>
    <cacheField name="global open MSE" numFmtId="0">
      <sharedItems containsSemiMixedTypes="0" containsString="0" containsNumber="1" minValue="32.600862991112947" maxValue="88.284759510985083"/>
    </cacheField>
    <cacheField name="global open ADE" numFmtId="0">
      <sharedItems containsSemiMixedTypes="0" containsString="0" containsNumber="1" minValue="8.6192173785796342" maxValue="15.80092752301981"/>
    </cacheField>
    <cacheField name="global open FDE" numFmtId="0">
      <sharedItems containsSemiMixedTypes="0" containsString="0" containsNumber="1" minValue="8.7763532820591337" maxValue="16.190811445379332"/>
    </cacheField>
    <cacheField name="global open R2" numFmtId="0">
      <sharedItems containsSemiMixedTypes="0" containsString="0" containsNumber="1" minValue="0.1012850757698603" maxValue="0.54463998527526292"/>
    </cacheField>
    <cacheField name="global closed MSE" numFmtId="0">
      <sharedItems containsSemiMixedTypes="0" containsString="0" containsNumber="1" minValue="89.265022814167764" maxValue="155.62913496514199"/>
    </cacheField>
    <cacheField name="global closed ADE" numFmtId="0">
      <sharedItems containsSemiMixedTypes="0" containsString="0" containsNumber="1" minValue="15.66915989734985" maxValue="21.179293998862139"/>
    </cacheField>
    <cacheField name="global closed FDE" numFmtId="0">
      <sharedItems containsSemiMixedTypes="0" containsString="0" containsNumber="1" minValue="15.50304217203024" maxValue="21.394301309950251"/>
    </cacheField>
    <cacheField name="global closed R2" numFmtId="0">
      <sharedItems containsSemiMixedTypes="0" containsString="0" containsNumber="1" minValue="-0.13824388211719149" maxValue="8.1375450623105611E-2"/>
    </cacheField>
    <cacheField name="recursivity" numFmtId="0">
      <sharedItems containsSemiMixedTypes="0" containsString="0" containsNumber="1" minValue="0.5714285714285714" maxValue="0.8"/>
    </cacheField>
    <cacheField name="Surge Velocity Step MSE" numFmtId="0">
      <sharedItems containsSemiMixedTypes="0" containsString="0" containsNumber="1" minValue="4.0522405891467869E-2" maxValue="0.15038943820472159"/>
    </cacheField>
    <cacheField name="Surge Velocity Step R2" numFmtId="0">
      <sharedItems containsSemiMixedTypes="0" containsString="0" containsNumber="1" minValue="-9.2021768674090065E-2" maxValue="0.70575493943735723"/>
    </cacheField>
    <cacheField name="Surge Velocity Local MSE" numFmtId="0">
      <sharedItems containsSemiMixedTypes="0" containsString="0" containsNumber="1" minValue="4.0522405891467869E-2" maxValue="0.15038943820472159"/>
    </cacheField>
    <cacheField name="Surge Velocity Local ADE" numFmtId="0">
      <sharedItems containsSemiMixedTypes="0" containsString="0" containsNumber="1" minValue="0.154834418972425" maxValue="0.32765845883424438"/>
    </cacheField>
    <cacheField name="Surge Velocity Global open MSE" numFmtId="0">
      <sharedItems containsSemiMixedTypes="0" containsString="0" containsNumber="1" minValue="4.0522405891467869E-2" maxValue="0.15038943820472159"/>
    </cacheField>
    <cacheField name="Surge Velocity Global open R2" numFmtId="0">
      <sharedItems containsSemiMixedTypes="0" containsString="0" containsNumber="1" minValue="-9.2021768674090065E-2" maxValue="0.70575493943735723"/>
    </cacheField>
    <cacheField name="Surge Velocity Global open ADE" numFmtId="0">
      <sharedItems containsSemiMixedTypes="0" containsString="0" containsNumber="1" minValue="0.154834418972425" maxValue="0.32765845883424438"/>
    </cacheField>
    <cacheField name="Surge Velocity Global open FDE" numFmtId="0">
      <sharedItems containsSemiMixedTypes="0" containsString="0" containsNumber="1" minValue="0.14116308228517241" maxValue="0.33208453326448018"/>
    </cacheField>
    <cacheField name="Surge Velocity Global closed MSE" numFmtId="0">
      <sharedItems containsSemiMixedTypes="0" containsString="0" containsNumber="1" minValue="0.12923631174883241" maxValue="0.18419834792074119"/>
    </cacheField>
    <cacheField name="Surge Velocity Global closed R2" numFmtId="0">
      <sharedItems containsSemiMixedTypes="0" containsString="0" containsNumber="1" minValue="-0.33751816673079382" maxValue="6.1577279511073613E-2"/>
    </cacheField>
    <cacheField name="Surge Velocity Global closed ADE" numFmtId="0">
      <sharedItems containsSemiMixedTypes="0" containsString="0" containsNumber="1" minValue="0.27714441458660799" maxValue="0.35066376902282947"/>
    </cacheField>
    <cacheField name="Surge Velocity Global closed FDE" numFmtId="0">
      <sharedItems containsSemiMixedTypes="0" containsString="0" containsNumber="1" minValue="0.24373837621069139" maxValue="0.35825936425012478"/>
    </cacheField>
    <cacheField name="Sway Velocity Step MSE" numFmtId="0">
      <sharedItems containsSemiMixedTypes="0" containsString="0" containsNumber="1" minValue="0.1111406102891426" maxValue="0.27323007927401771"/>
    </cacheField>
    <cacheField name="Sway Velocity Step R2" numFmtId="0">
      <sharedItems containsSemiMixedTypes="0" containsString="0" containsNumber="1" minValue="5.3316132345278433E-2" maxValue="0.61492152298315084"/>
    </cacheField>
    <cacheField name="Sway Velocity Local MSE" numFmtId="0">
      <sharedItems containsSemiMixedTypes="0" containsString="0" containsNumber="1" minValue="0.1111406102891426" maxValue="0.27323007927401771"/>
    </cacheField>
    <cacheField name="Sway Velocity Local ADE" numFmtId="0">
      <sharedItems containsSemiMixedTypes="0" containsString="0" containsNumber="1" minValue="0.2668717114608441" maxValue="0.46241205113524197"/>
    </cacheField>
    <cacheField name="Sway Velocity Global open MSE" numFmtId="0">
      <sharedItems containsSemiMixedTypes="0" containsString="0" containsNumber="1" minValue="0.1111406102891426" maxValue="0.27323007927401771"/>
    </cacheField>
    <cacheField name="Sway Velocity Global open R2" numFmtId="0">
      <sharedItems containsSemiMixedTypes="0" containsString="0" containsNumber="1" minValue="5.3316132345278433E-2" maxValue="0.61492152298315084"/>
    </cacheField>
    <cacheField name="Sway Velocity Global open ADE" numFmtId="0">
      <sharedItems containsSemiMixedTypes="0" containsString="0" containsNumber="1" minValue="0.2668717114608441" maxValue="0.46241205113524197"/>
    </cacheField>
    <cacheField name="Sway Velocity Global open FDE" numFmtId="0">
      <sharedItems containsSemiMixedTypes="0" containsString="0" containsNumber="1" minValue="0.25236725033077712" maxValue="0.46607494128227572"/>
    </cacheField>
    <cacheField name="Sway Velocity Global closed MSE" numFmtId="0">
      <sharedItems containsSemiMixedTypes="0" containsString="0" containsNumber="1" minValue="0.15330315124763069" maxValue="0.33386359485279149"/>
    </cacheField>
    <cacheField name="Sway Velocity Global closed R2" numFmtId="0">
      <sharedItems containsSemiMixedTypes="0" containsString="0" containsNumber="1" minValue="-0.15676604890699181" maxValue="0.46883732372226922"/>
    </cacheField>
    <cacheField name="Sway Velocity Global closed ADE" numFmtId="0">
      <sharedItems containsSemiMixedTypes="0" containsString="0" containsNumber="1" minValue="0.31667614083325901" maxValue="0.51021659811448827"/>
    </cacheField>
    <cacheField name="Sway Velocity Global closed FDE" numFmtId="0">
      <sharedItems containsSemiMixedTypes="0" containsString="0" containsNumber="1" minValue="0.27092943083723142" maxValue="0.51871211822924823"/>
    </cacheField>
    <cacheField name="Yaw Rate Step MSE" numFmtId="0">
      <sharedItems containsSemiMixedTypes="0" containsString="0" containsNumber="1" minValue="7.2378443303249912E-2" maxValue="0.20910610164585361"/>
    </cacheField>
    <cacheField name="Yaw Rate Step R2" numFmtId="0">
      <sharedItems containsSemiMixedTypes="0" containsString="0" containsNumber="1" minValue="0.1605051425501626" maxValue="0.70942344357693787"/>
    </cacheField>
    <cacheField name="Yaw Rate Local MSE" numFmtId="0">
      <sharedItems containsSemiMixedTypes="0" containsString="0" containsNumber="1" minValue="7.2378443303249912E-2" maxValue="0.20910610164585361"/>
    </cacheField>
    <cacheField name="Yaw Rate Local ADE" numFmtId="0">
      <sharedItems containsSemiMixedTypes="0" containsString="0" containsNumber="1" minValue="0.21945033180829271" maxValue="0.4047779746443752"/>
    </cacheField>
    <cacheField name="Yaw Rate Global open MSE" numFmtId="0">
      <sharedItems containsSemiMixedTypes="0" containsString="0" containsNumber="1" minValue="7.2378443303249912E-2" maxValue="0.20910610164585361"/>
    </cacheField>
    <cacheField name="Yaw Rate Global open R2" numFmtId="0">
      <sharedItems containsSemiMixedTypes="0" containsString="0" containsNumber="1" minValue="0.1605051425501626" maxValue="0.70942344357693787"/>
    </cacheField>
    <cacheField name="Yaw Rate Global open ADE" numFmtId="0">
      <sharedItems containsSemiMixedTypes="0" containsString="0" containsNumber="1" minValue="0.21945033180829271" maxValue="0.4047779746443752"/>
    </cacheField>
    <cacheField name="Yaw Rate Global open FDE" numFmtId="0">
      <sharedItems containsSemiMixedTypes="0" containsString="0" containsNumber="1" minValue="0.23038417155563809" maxValue="0.4008476909887565"/>
    </cacheField>
    <cacheField name="Yaw Rate Global closed MSE" numFmtId="0">
      <sharedItems containsSemiMixedTypes="0" containsString="0" containsNumber="1" minValue="0.20178585676354369" maxValue="0.30598714719045161"/>
    </cacheField>
    <cacheField name="Yaw Rate Global closed R2" numFmtId="0">
      <sharedItems containsSemiMixedTypes="0" containsString="0" containsNumber="1" minValue="-0.22844161165214991" maxValue="0.1898936103452363"/>
    </cacheField>
    <cacheField name="Yaw Rate Global closed ADE" numFmtId="0">
      <sharedItems containsSemiMixedTypes="0" containsString="0" containsNumber="1" minValue="0.38532728368987951" maxValue="0.49271626032962862"/>
    </cacheField>
    <cacheField name="Yaw Rate Global closed FDE" numFmtId="0">
      <sharedItems containsSemiMixedTypes="0" containsString="0" containsNumber="1" minValue="0.37283889129706921" maxValue="0.51285484647305024"/>
    </cacheField>
    <cacheField name="Yaw Angle Step MSE" numFmtId="0">
      <sharedItems containsSemiMixedTypes="0" containsString="0" containsNumber="1" minValue="130.08837739559999" maxValue="352.63786956994193"/>
    </cacheField>
    <cacheField name="Yaw Angle Step R2" numFmtId="0">
      <sharedItems containsSemiMixedTypes="0" containsString="0" containsNumber="1" minValue="-3.669539671820043E-3" maxValue="0.629745546000131"/>
    </cacheField>
    <cacheField name="Yaw Angle Local MSE" numFmtId="0">
      <sharedItems containsSemiMixedTypes="0" containsString="0" containsNumber="1" minValue="130.08837739559999" maxValue="352.63786956994193"/>
    </cacheField>
    <cacheField name="Yaw Angle Local ADE" numFmtId="0">
      <sharedItems containsSemiMixedTypes="0" containsString="0" containsNumber="1" minValue="8.5702239225730867" maxValue="15.7569056013627"/>
    </cacheField>
    <cacheField name="Yaw Angle Global open MSE" numFmtId="0">
      <sharedItems containsSemiMixedTypes="0" containsString="0" containsNumber="1" minValue="130.08837739559999" maxValue="352.63786956994193"/>
    </cacheField>
    <cacheField name="Yaw Angle Global open R2" numFmtId="0">
      <sharedItems containsSemiMixedTypes="0" containsString="0" containsNumber="1" minValue="-3.669539671820043E-3" maxValue="0.629745546000131"/>
    </cacheField>
    <cacheField name="Yaw Angle Global open ADE" numFmtId="0">
      <sharedItems containsSemiMixedTypes="0" containsString="0" containsNumber="1" minValue="8.5702239225730867" maxValue="15.7569056013627"/>
    </cacheField>
    <cacheField name="Yaw Angle Global open FDE" numFmtId="0">
      <sharedItems containsSemiMixedTypes="0" containsString="0" containsNumber="1" minValue="8.6841266712703753" maxValue="16.15031010992066"/>
    </cacheField>
    <cacheField name="Yaw Angle Global closed MSE" numFmtId="0">
      <sharedItems containsSemiMixedTypes="0" containsString="0" containsNumber="1" minValue="356.40866989796478" maxValue="621.93339901004458"/>
    </cacheField>
    <cacheField name="Yaw Angle Global closed R2" numFmtId="0">
      <sharedItems containsSemiMixedTypes="0" containsString="0" containsNumber="1" minValue="-0.77013208777662312" maxValue="-1.440190212068782E-2"/>
    </cacheField>
    <cacheField name="Yaw Angle Global closed ADE" numFmtId="0">
      <sharedItems containsSemiMixedTypes="0" containsString="0" containsNumber="1" minValue="15.612290401453279" maxValue="21.141351049932609"/>
    </cacheField>
    <cacheField name="Yaw Angle Global closed FDE" numFmtId="0">
      <sharedItems containsSemiMixedTypes="0" containsString="0" containsNumber="1" minValue="15.449110143566861" maxValue="21.3611864391087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02-16_09-05-12_reeval"/>
    <s v="02-16_09-05-12_reeval_multihead_spsa_f5_w5_h5_effsu2_effsu2_realamplitudes_full_r4_5_3.pkl"/>
    <x v="0"/>
    <s v="Selected (Saved)"/>
    <s v="data/reduce_row_number_absolutes"/>
    <n v="16590"/>
    <n v="4.5"/>
    <s v="[['wv', 'sv', 'rarad'], ['yr', 'sv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2, 'reps': 4, 'encoding': 'serial', 'ansatz': 'effsu2', 'entangle': 'full', 'map': [0, 1, 2]}, {'features': ['yr', 'sv', 'rarad'], 'output_dim': 1, 'reps': 5, 'encoding': 'serial', 'ansatz': 'effsu2', 'entangle': 'full', 'map': [0, 1, 2]}, {'features': ['ya', 'yr', 'rarad'], 'output_dim': 1, 'reps': 3, 'encoding': 'serial', 'ansatz': 'realamplitudes', 'entangle': 'full', 'map': [0, 1, 2]}]"/>
    <x v="0"/>
    <x v="0"/>
    <s v="['effsu2', 'effsu2', 'realamplitudes']"/>
    <s v="full"/>
    <s v="[4, 5, 3]"/>
    <s v="[0, 1, 2]"/>
    <s v="false"/>
    <s v="spsa"/>
    <n v="4000"/>
    <n v="4000"/>
    <m/>
    <n v="128"/>
    <s v="[0.05, 0.001]"/>
    <n v="0.15"/>
    <n v="225"/>
    <n v="105"/>
    <n v="120"/>
    <n v="0.13984998386537911"/>
    <n v="33.016117459259618"/>
    <n v="0.56505726096630937"/>
    <n v="-0.19482723524219431"/>
    <n v="35.970399728961212"/>
    <n v="0.53606510197743928"/>
    <n v="35.970399728961212"/>
    <n v="9.2162921604815313"/>
    <n v="35.970399728961212"/>
    <n v="9.2162921604815313"/>
    <n v="9.6511051771988452"/>
    <n v="0.53606510197743928"/>
    <n v="153.85825192483281"/>
    <n v="21.081024539921561"/>
    <n v="21.18252910681252"/>
    <n v="-0.1092486589059711"/>
    <n v="0.8"/>
    <n v="9.6939973030004928E-2"/>
    <n v="0.29609045643658088"/>
    <n v="9.6939973030004928E-2"/>
    <n v="0.2418948716373433"/>
    <n v="9.6939973030004928E-2"/>
    <n v="0.29609045643658088"/>
    <n v="0.2418948716373433"/>
    <n v="0.23103095563985929"/>
    <n v="0.13785756826488069"/>
    <n v="-1.0241897226375141E-3"/>
    <n v="0.30959447112553051"/>
    <n v="0.31681035545955122"/>
    <n v="0.11991217085320351"/>
    <n v="0.5845299390762233"/>
    <n v="0.11991217085320351"/>
    <n v="0.27974105998115351"/>
    <n v="0.11991217085320351"/>
    <n v="0.5845299390762233"/>
    <n v="0.27974105998115351"/>
    <n v="0.29297726642300498"/>
    <n v="0.15330315124763069"/>
    <n v="0.46883732372226922"/>
    <n v="0.31667614083325901"/>
    <n v="0.27092943083723142"/>
    <n v="8.1624639916220293E-2"/>
    <n v="0.67230288876546296"/>
    <n v="8.1624639916220293E-2"/>
    <n v="0.23288511622892069"/>
    <n v="8.1624639916220293E-2"/>
    <n v="0.67230288876546296"/>
    <n v="0.23288511622892069"/>
    <n v="0.29003555946293041"/>
    <n v="0.28765014282408158"/>
    <n v="-0.15482433915058461"/>
    <n v="0.45617419000389448"/>
    <n v="0.45859474391184052"/>
    <n v="143.58312213204559"/>
    <n v="0.5913371236314986"/>
    <n v="143.58312213204559"/>
    <n v="9.1742583315778372"/>
    <n v="143.58312213204559"/>
    <n v="0.5913371236314986"/>
    <n v="9.1742583315778372"/>
    <n v="9.6094284268665646"/>
    <n v="614.85419683699331"/>
    <n v="-0.74998343047292737"/>
    <n v="21.042387126490919"/>
    <n v="21.148154394746872"/>
  </r>
  <r>
    <d v="2026-02-13T09:53:32"/>
    <s v="02-13_09-53-32_multihead_spsa_f5_w5_h5_effsu2_effsu2_realamplitudes_full_r4_5_3.pkl"/>
    <x v="0"/>
    <s v="Final (Last Iteration)"/>
    <s v="data/reduce_row_number_absolutes"/>
    <n v="16590"/>
    <n v="4.5"/>
    <s v="[['wv', 'sv', 'rarad'], ['yr', 'sv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2, 'reps': 4, 'encoding': 'accumulated', 'ansatz': 'effsu2', 'entangle': 'full', 'map': [0, 1, 2]}, {'features': ['yr', 'sv', 'rarad'], 'output_dim': 1, 'reps': 5, 'encoding': 'accumulated', 'ansatz': 'effsu2', 'entangle': 'full', 'map': [0, 1, 2]}, {'features': ['ya', 'yr', 'rarad'], 'output_dim': 1, 'reps': 3, 'encoding': 'accumulated', 'ansatz': 'realamplitudes', 'entangle': 'full', 'map': [0, 1, 2]}]"/>
    <x v="0"/>
    <x v="1"/>
    <s v="['effsu2', 'effsu2', 'realamplitudes']"/>
    <s v="full"/>
    <s v="[4, 5, 3]"/>
    <s v="[0, 1, 2]"/>
    <s v="false"/>
    <s v="spsa"/>
    <n v="4000"/>
    <n v="4000"/>
    <m/>
    <n v="128"/>
    <s v="[0.05, 0.001]"/>
    <n v="0.15"/>
    <n v="225"/>
    <n v="105"/>
    <n v="120"/>
    <n v="0.1401262415925687"/>
    <n v="33.109234514989801"/>
    <n v="0.56542176008563116"/>
    <n v="-0.19285026328619251"/>
    <n v="36.078467481746159"/>
    <n v="0.53580485532298305"/>
    <n v="36.078467481746159"/>
    <n v="9.2290519997809017"/>
    <n v="36.078467481746159"/>
    <n v="9.2290519997809017"/>
    <n v="9.6559541477133504"/>
    <n v="0.53580485532298305"/>
    <n v="155.62913496514199"/>
    <n v="21.179293998862139"/>
    <n v="21.394301309950251"/>
    <n v="-0.1189740873093813"/>
    <n v="0.8"/>
    <n v="9.6969084920647888E-2"/>
    <n v="0.29587906647004558"/>
    <n v="9.6969084920647888E-2"/>
    <n v="0.2418282330911086"/>
    <n v="9.6969084920647888E-2"/>
    <n v="0.29587906647004558"/>
    <n v="0.2418282330911086"/>
    <n v="0.23086135798032451"/>
    <n v="0.1389814432926065"/>
    <n v="-9.1849755477375616E-3"/>
    <n v="0.31098869777851779"/>
    <n v="0.31672953572373469"/>
    <n v="0.1202626030829145"/>
    <n v="0.58331576624629489"/>
    <n v="0.1202626030829145"/>
    <n v="0.28025395124932539"/>
    <n v="0.1202626030829145"/>
    <n v="0.58331576624629489"/>
    <n v="0.28025395124932539"/>
    <n v="0.29397082575192329"/>
    <n v="0.15744803402580501"/>
    <n v="0.45447619016829371"/>
    <n v="0.32074120296559061"/>
    <n v="0.27671200532668522"/>
    <n v="8.1222376509820879E-2"/>
    <n v="0.67391784910547492"/>
    <n v="8.1222376509820879E-2"/>
    <n v="0.2322329454516622"/>
    <n v="8.1222376509820879E-2"/>
    <n v="0.67391784910547492"/>
    <n v="0.2322329454516622"/>
    <n v="0.28760875701652372"/>
    <n v="0.28671137320920331"/>
    <n v="-0.1510554760814653"/>
    <n v="0.45478890829784502"/>
    <n v="0.45659477629721978"/>
    <n v="144.0154158624708"/>
    <n v="0.59010673947012648"/>
    <n v="144.0154158624708"/>
    <n v="9.1868615243117642"/>
    <n v="144.0154158624708"/>
    <n v="0.59010673947012648"/>
    <n v="9.1868615243117642"/>
    <n v="9.613752876135516"/>
    <n v="621.93339901004458"/>
    <n v="-0.77013208777662312"/>
    <n v="21.141351049932609"/>
    <n v="21.361186439108721"/>
  </r>
  <r>
    <d v="2026-02-13T14:47:24"/>
    <s v="02-13_14-47-24_multihead_spsa_f5_w5_h5_effsu2_effsu2_realamplitudes_full_r4_5_3.pkl"/>
    <x v="1"/>
    <s v="Final (Last Iteration)"/>
    <s v="data/reduce_row_number_absolutes"/>
    <n v="16590"/>
    <n v="4.5"/>
    <s v="[['wv', 'sv', 'rarad'], ['yr', 'sv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2, 'reps': 4, 'encoding': 'serial', 'ansatz': 'effsu2', 'entangle': 'full', 'map': [0, 1, 2]}, {'features': ['yr', 'sv', 'rarad'], 'output_dim': 1, 'reps': 5, 'encoding': 'serial', 'ansatz': 'effsu2', 'entangle': 'full', 'map': [0, 1, 2]}, {'features': ['ya', 'yr', 'rarad'], 'output_dim': 1, 'reps': 3, 'encoding': 'serial', 'ansatz': 'realamplitudes', 'entangle': 'full', 'map': [0, 1, 2]}]"/>
    <x v="0"/>
    <x v="0"/>
    <s v="['effsu2', 'effsu2', 'realamplitudes']"/>
    <s v="full"/>
    <s v="[4, 5, 3]"/>
    <s v="[0, 1, 2]"/>
    <s v="false"/>
    <s v="spsa"/>
    <n v="4000"/>
    <n v="4000"/>
    <m/>
    <n v="128"/>
    <s v="[0.05, 0.001]"/>
    <n v="0.15"/>
    <n v="225"/>
    <n v="105"/>
    <n v="120"/>
    <n v="0.13439445006397061"/>
    <n v="27.793045093450161"/>
    <n v="0.5957725388853905"/>
    <n v="0.1105295458879325"/>
    <n v="32.716734828156767"/>
    <n v="0.54389670205838936"/>
    <n v="32.716734828156767"/>
    <n v="8.6385468196218955"/>
    <n v="32.716734828156767"/>
    <n v="8.6385468196218955"/>
    <n v="9.113655339252416"/>
    <n v="0.54389670205838936"/>
    <n v="98.844926883388766"/>
    <n v="16.666259594600341"/>
    <n v="16.438694194602341"/>
    <n v="8.1375450623105611E-2"/>
    <n v="0.8"/>
    <n v="8.4167387041083508E-2"/>
    <n v="0.38883594514022818"/>
    <n v="8.4167387041083508E-2"/>
    <n v="0.22355996178199489"/>
    <n v="8.4167387041083508E-2"/>
    <n v="0.38883594514022818"/>
    <n v="0.22355996178199489"/>
    <n v="0.21434064562074631"/>
    <n v="0.14606814026769049"/>
    <n v="-6.0643558392191821E-2"/>
    <n v="0.32175424003057029"/>
    <n v="0.3302957567527629"/>
    <n v="0.15905755749855699"/>
    <n v="0.44889953510046771"/>
    <n v="0.15905755749855699"/>
    <n v="0.33146739351551302"/>
    <n v="0.15905755749855699"/>
    <n v="0.44889953510046771"/>
    <n v="0.33146739351551302"/>
    <n v="0.34611084408812298"/>
    <n v="0.196253519930284"/>
    <n v="0.32002346966298473"/>
    <n v="0.37517726533994189"/>
    <n v="0.34967329577654749"/>
    <n v="7.2378443303249912E-2"/>
    <n v="0.70942344357693787"/>
    <n v="7.2378443303249912E-2"/>
    <n v="0.21945033180829271"/>
    <n v="7.2378443303249912E-2"/>
    <n v="0.70942344357693787"/>
    <n v="0.21945033180829271"/>
    <n v="0.26629606311497589"/>
    <n v="0.20178585676354369"/>
    <n v="0.1898936103452363"/>
    <n v="0.38532728368987951"/>
    <n v="0.37283889129706921"/>
    <n v="130.5513359247839"/>
    <n v="0.62842788441591213"/>
    <n v="130.5513359247839"/>
    <n v="8.5904196839637343"/>
    <n v="130.5513359247839"/>
    <n v="0.62842788441591213"/>
    <n v="8.5904196839637343"/>
    <n v="9.0674448443946964"/>
    <n v="394.83560001659419"/>
    <n v="-0.12377171912361271"/>
    <n v="16.619613328411958"/>
    <n v="16.389042712318911"/>
  </r>
  <r>
    <d v="2026-02-13T15:38:42"/>
    <s v="02-13_15-38-42_multihead_spsa_f5_w5_h5_effsu2_effsu2_realamplitudes_full_r4_5_3.pkl"/>
    <x v="1"/>
    <s v="Final (Last Iteration)"/>
    <s v="data/reduce_row_number_absolutes"/>
    <n v="16590"/>
    <n v="4.5"/>
    <s v="[['wv', 'sv', 'rarad'], ['yr', 'sv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2, 'reps': 4, 'encoding': 'accumulated', 'ansatz': 'effsu2', 'entangle': 'full', 'map': [0, 1, 2]}, {'features': ['yr', 'sv', 'rarad'], 'output_dim': 1, 'reps': 5, 'encoding': 'accumulated', 'ansatz': 'effsu2', 'entangle': 'full', 'map': [0, 1, 2]}, {'features': ['ya', 'yr', 'rarad'], 'output_dim': 1, 'reps': 3, 'encoding': 'accumulated', 'ansatz': 'realamplitudes', 'entangle': 'full', 'map': [0, 1, 2]}]"/>
    <x v="0"/>
    <x v="1"/>
    <s v="['effsu2', 'effsu2', 'realamplitudes']"/>
    <s v="full"/>
    <s v="[4, 5, 3]"/>
    <s v="[0, 1, 2]"/>
    <s v="false"/>
    <s v="spsa"/>
    <n v="4000"/>
    <n v="4000"/>
    <m/>
    <n v="128"/>
    <s v="[0.05, 0.001]"/>
    <n v="0.15"/>
    <n v="225"/>
    <n v="105"/>
    <n v="120"/>
    <n v="0.1343919586373043"/>
    <n v="27.805943410594679"/>
    <n v="0.59636933958607474"/>
    <n v="0.1017990385820456"/>
    <n v="32.600862991112947"/>
    <n v="0.54463998527526292"/>
    <n v="32.600862991112947"/>
    <n v="8.6192173785796342"/>
    <n v="32.600862991112947"/>
    <n v="8.6192173785796342"/>
    <n v="9.0891748297868311"/>
    <n v="0.54463998527526292"/>
    <n v="99.229064001174606"/>
    <n v="16.686402044326641"/>
    <n v="16.469277677107939"/>
    <n v="7.9451097334563014E-2"/>
    <n v="0.8"/>
    <n v="8.4200993693899773E-2"/>
    <n v="0.38859191738877352"/>
    <n v="8.4200993693899773E-2"/>
    <n v="0.22372550158417831"/>
    <n v="8.4200993693899773E-2"/>
    <n v="0.38859191738877352"/>
    <n v="0.22372550158417831"/>
    <n v="0.2142345998021985"/>
    <n v="0.14694205597204191"/>
    <n v="-6.6989316342551675E-2"/>
    <n v="0.32256952976470032"/>
    <n v="0.33140586920928439"/>
    <n v="0.1584056866094464"/>
    <n v="0.45115812850334069"/>
    <n v="0.1584056866094464"/>
    <n v="0.330749472181674"/>
    <n v="0.1584056866094464"/>
    <n v="0.45115812850334069"/>
    <n v="0.330749472181674"/>
    <n v="0.34583273697640188"/>
    <n v="0.1947326468279876"/>
    <n v="0.3252929701313062"/>
    <n v="0.37344370357727691"/>
    <n v="0.34755503824949452"/>
    <n v="7.2467888548538487E-2"/>
    <n v="0.70906434920880568"/>
    <n v="7.2467888548538487E-2"/>
    <n v="0.21981460834096339"/>
    <n v="7.2467888548538487E-2"/>
    <n v="0.70906434920880568"/>
    <n v="0.21981460834096339"/>
    <n v="0.26703152491562532"/>
    <n v="0.20234570658149689"/>
    <n v="0.1876459904077179"/>
    <n v="0.38629793820169073"/>
    <n v="0.37463829146265298"/>
    <n v="130.08837739559999"/>
    <n v="0.629745546000131"/>
    <n v="130.08837739559999"/>
    <n v="8.5702239225730867"/>
    <n v="130.08837739559999"/>
    <n v="0.629745546000131"/>
    <n v="8.5702239225730867"/>
    <n v="9.0409583114172296"/>
    <n v="396.37223559531628"/>
    <n v="-0.1281452548582187"/>
    <n v="16.639558310652781"/>
    <n v="16.418168706498111"/>
  </r>
  <r>
    <d v="2026-02-13T20:02:40"/>
    <s v="02-13_20-02-40_multihead_spsa_f5_w5_h5_effsu2_effsu2_realamplitudes_full_r4_5_3.pkl"/>
    <x v="2"/>
    <s v="Final (Last Iteration)"/>
    <s v="data/reduce_row_number_absolutes"/>
    <n v="16590"/>
    <n v="4.5"/>
    <s v="[['wv', 'sv', 'rarad'], ['yr', 'sv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2, 'reps': 4, 'encoding': 'serial', 'ansatz': 'effsu2', 'entangle': 'full', 'map': [0, 1, 2]}, {'features': ['yr', 'sv', 'rarad'], 'output_dim': 1, 'reps': 5, 'encoding': 'serial', 'ansatz': 'effsu2', 'entangle': 'full', 'map': [0, 1, 2]}, {'features': ['ya', 'yr', 'rarad'], 'output_dim': 1, 'reps': 3, 'encoding': 'serial', 'ansatz': 'realamplitudes', 'entangle': 'full', 'map': [0, 1, 2]}]"/>
    <x v="0"/>
    <x v="0"/>
    <s v="['effsu2', 'effsu2', 'realamplitudes']"/>
    <s v="full"/>
    <s v="[4, 5, 3]"/>
    <s v="[0, 1, 2]"/>
    <s v="false"/>
    <s v="spsa"/>
    <n v="4000"/>
    <n v="4000"/>
    <m/>
    <n v="128"/>
    <s v="[0.05, 0.001]"/>
    <n v="0.15"/>
    <n v="225"/>
    <n v="105"/>
    <n v="120"/>
    <n v="0.183409100707146"/>
    <n v="30.52389525944259"/>
    <n v="0.46064071960036479"/>
    <n v="-4.5562213464056422E-2"/>
    <n v="33.736381264515728"/>
    <n v="0.46893729965768521"/>
    <n v="33.736381264515728"/>
    <n v="8.8395861893605812"/>
    <n v="33.736381264515728"/>
    <n v="8.8395861893605812"/>
    <n v="8.7763532820591337"/>
    <n v="0.46893729965768521"/>
    <n v="91.484422617858186"/>
    <n v="15.815479237161229"/>
    <n v="15.603460351463641"/>
    <n v="2.0193644904453661E-2"/>
    <n v="0.8"/>
    <n v="9.6747042928947771E-2"/>
    <n v="0.29749137842087681"/>
    <n v="9.6747042928947771E-2"/>
    <n v="0.23871160225149679"/>
    <n v="9.6747042928947771E-2"/>
    <n v="0.29749137842087681"/>
    <n v="0.23871160225149679"/>
    <n v="0.25004008510718911"/>
    <n v="0.13872532783682709"/>
    <n v="-7.3252461921144976E-3"/>
    <n v="0.30847875100597888"/>
    <n v="0.30471345703911218"/>
    <n v="0.20176933142571041"/>
    <n v="0.30091236090944251"/>
    <n v="0.20176933142571041"/>
    <n v="0.39766555332538123"/>
    <n v="0.20176933142571041"/>
    <n v="0.30091236090944251"/>
    <n v="0.39766555332538123"/>
    <n v="0.41051777983528032"/>
    <n v="0.23966420748107761"/>
    <n v="0.16961470904142309"/>
    <n v="0.42338006517036569"/>
    <n v="0.41858701718958807"/>
    <n v="8.460597335115326E-2"/>
    <n v="0.66033377802565152"/>
    <n v="8.460597335115326E-2"/>
    <n v="0.23742856889759009"/>
    <n v="8.460597335115326E-2"/>
    <n v="0.66033377802565152"/>
    <n v="0.23742856889759009"/>
    <n v="0.3262584583094591"/>
    <n v="0.25949921113335289"/>
    <n v="-4.1807252605625678E-2"/>
    <n v="0.43724584829005098"/>
    <n v="0.41699975842457643"/>
    <n v="134.5624027103573"/>
    <n v="0.61701168127477191"/>
    <n v="134.5624027103573"/>
    <n v="8.7744763094565581"/>
    <n v="134.5624027103573"/>
    <n v="0.61701168127477191"/>
    <n v="8.7744763094565581"/>
    <n v="8.6841266712703753"/>
    <n v="365.29980172498068"/>
    <n v="-3.9707630625869017E-2"/>
    <n v="15.75980158598593"/>
    <n v="15.5510001642877"/>
  </r>
  <r>
    <d v="2026-02-13T21:36:48"/>
    <s v="02-13_21-36-48_multihead_spsa_f5_w5_h5_effsu2_effsu2_realamplitudes_full_r4_5_3.pkl"/>
    <x v="2"/>
    <s v="Best (Lowest Val Loss)"/>
    <s v="data/reduce_row_number_absolutes"/>
    <n v="16590"/>
    <n v="4.5"/>
    <s v="[['wv', 'sv', 'rarad'], ['yr', 'sv', 'rarad'], ['ya', 'yr', 'rarad']]"/>
    <s v="['Surge Velocity', 'Sway Velocity', 'Yaw Rate', 'Yaw Angle']"/>
    <n v="5"/>
    <n v="5"/>
    <s v="motion"/>
    <s v="true"/>
    <s v="false"/>
    <s v="false"/>
    <s v="multihead"/>
    <s v="[{'features': ['wv', 'sv', 'rarad'], 'output_dim': 2, 'reps': 4, 'encoding': 'accumulated', 'ansatz': 'effsu2', 'entangle': 'full', 'map': [0, 1, 2]}, {'features': ['yr', 'sv', 'rarad'], 'output_dim': 1, 'reps': 5, 'encoding': 'accumulated', 'ansatz': 'effsu2', 'entangle': 'full', 'map': [0, 1, 2]}, {'features': ['ya', 'yr', 'rarad'], 'output_dim': 1, 'reps': 3, 'encoding': 'accumulated', 'ansatz': 'realamplitudes', 'entangle': 'full', 'map': [0, 1, 2]}]"/>
    <x v="0"/>
    <x v="1"/>
    <s v="['effsu2', 'effsu2', 'realamplitudes']"/>
    <s v="full"/>
    <s v="[4, 5, 3]"/>
    <s v="[0, 1, 2]"/>
    <s v="false"/>
    <s v="spsa"/>
    <n v="4000"/>
    <n v="4000"/>
    <m/>
    <n v="128"/>
    <s v="[0.05, 0.001]"/>
    <n v="0.15"/>
    <n v="225"/>
    <n v="105"/>
    <n v="120"/>
    <n v="0.18335267569426031"/>
    <n v="30.6731146932751"/>
    <n v="0.45955500374212238"/>
    <n v="-3.1617434869303317E-2"/>
    <n v="33.895526303564409"/>
    <n v="0.46846606071250801"/>
    <n v="33.895526303564409"/>
    <n v="8.8627498337449335"/>
    <n v="33.895526303564409"/>
    <n v="8.8627498337449335"/>
    <n v="8.8121275012487068"/>
    <n v="0.46846606071250801"/>
    <n v="89.774246528987547"/>
    <n v="15.66915989734985"/>
    <n v="15.50304217203024"/>
    <n v="3.1033066632969539E-2"/>
    <n v="0.8"/>
    <n v="9.6678706317503749E-2"/>
    <n v="0.29798759057636548"/>
    <n v="9.6678706317503749E-2"/>
    <n v="0.23849491649575541"/>
    <n v="9.6678706317503749E-2"/>
    <n v="0.29798759057636548"/>
    <n v="0.23849491649575541"/>
    <n v="0.25032145931564559"/>
    <n v="0.13766543548853241"/>
    <n v="3.709426533641258E-4"/>
    <n v="0.30736476634598281"/>
    <n v="0.30441064617336488"/>
    <n v="0.2020812082761681"/>
    <n v="0.29983177423389151"/>
    <n v="0.2020812082761681"/>
    <n v="0.39828657550475233"/>
    <n v="0.2020812082761681"/>
    <n v="0.29983177423389151"/>
    <n v="0.39828657550475233"/>
    <n v="0.4102571280860482"/>
    <n v="0.24028568507412351"/>
    <n v="0.1674614219179531"/>
    <n v="0.42476844338524811"/>
    <n v="0.41863844407642931"/>
    <n v="8.4478713730400723E-2"/>
    <n v="0.66084468515051253"/>
    <n v="8.4478713730400723E-2"/>
    <n v="0.23751090829496191"/>
    <n v="8.4478713730400723E-2"/>
    <n v="0.66084468515051253"/>
    <n v="0.23751090829496191"/>
    <n v="0.32652307881737602"/>
    <n v="0.25492619878542572"/>
    <n v="-2.3448054481214339E-2"/>
    <n v="0.43399536658385518"/>
    <n v="0.41519881385008378"/>
    <n v="135.1988665859337"/>
    <n v="0.61520019288926009"/>
    <n v="135.1988665859337"/>
    <n v="8.7981955936931495"/>
    <n v="135.1988665859337"/>
    <n v="0.61520019288926009"/>
    <n v="8.7981955936931495"/>
    <n v="8.7214842778676331"/>
    <n v="358.4641087966022"/>
    <n v="-2.0252043558233179E-2"/>
    <n v="15.612290401453279"/>
    <n v="15.449110143566861"/>
  </r>
  <r>
    <d v="2026-02-14T00:48:58"/>
    <s v="02-14_00-48-58_multihead_spsa_f7_w5_h5_effsu2_lin_r5.pkl"/>
    <x v="0"/>
    <s v="Final (Last Iteration)"/>
    <s v="data/reduce_row_number_absolutes"/>
    <n v="16590"/>
    <n v="4.5"/>
    <s v="['wv', 'sv', 'yr', 'ya', 'rarad', 'asv']"/>
    <s v="['Surge Velocity', 'Sway Velocity', 'Yaw Rate', 'Yaw Angle']"/>
    <n v="5"/>
    <n v="5"/>
    <s v="motion"/>
    <s v="true"/>
    <s v="false"/>
    <s v="false"/>
    <s v="multihead"/>
    <s v="[{'features': ['wv', 'sv', 'yr', 'ya', 'rarad', 'asv'], 'output_dim': 4, 'reps': 5, 'encoding': 'serial', 'ansatz': 'effsu2', 'entangle': 'lin', 'map': [0, 1, 2, 3, 4, 5]}]"/>
    <x v="1"/>
    <x v="0"/>
    <s v="effsu2"/>
    <s v="lin"/>
    <s v="5"/>
    <s v="[0, 1, 2, 3, 4, 5]"/>
    <s v="false"/>
    <s v="spsa"/>
    <n v="4000"/>
    <n v="4000"/>
    <m/>
    <n v="128"/>
    <s v="[0.05, 0.001]"/>
    <n v="0.15"/>
    <n v="220"/>
    <n v="100"/>
    <n v="120"/>
    <n v="0.22176776148565161"/>
    <n v="82.650820648461206"/>
    <n v="0.23200127258511621"/>
    <n v="-1.9756046896128861E-2"/>
    <n v="74.282224616676643"/>
    <n v="0.22709376558516611"/>
    <n v="74.282224616676643"/>
    <n v="14.823843520548801"/>
    <n v="74.282224616676643"/>
    <n v="14.823843520548801"/>
    <n v="14.2403428435658"/>
    <n v="0.22709376558516611"/>
    <n v="91.245753800849485"/>
    <n v="16.146161853036819"/>
    <n v="16.66180639342576"/>
    <n v="-4.1749496650150708E-2"/>
    <n v="0.5714285714285714"/>
    <n v="0.12607777631165529"/>
    <n v="8.451233064033381E-2"/>
    <n v="0.12607777631165529"/>
    <n v="0.29494976708781862"/>
    <n v="0.12607777631165529"/>
    <n v="8.451233064033381E-2"/>
    <n v="0.29494976708781862"/>
    <n v="0.30945951018561091"/>
    <n v="0.16341793489690659"/>
    <n v="-0.1866254999653596"/>
    <n v="0.34648463585161599"/>
    <n v="0.35825936425012478"/>
    <n v="0.2081226008409838"/>
    <n v="0.2788996393295774"/>
    <n v="0.2081226008409838"/>
    <n v="0.40105716399354813"/>
    <n v="0.2081226008409838"/>
    <n v="0.2788996393295774"/>
    <n v="0.40105716399354813"/>
    <n v="0.40180151287907362"/>
    <n v="0.2861194278032585"/>
    <n v="8.6572926244362636E-3"/>
    <n v="0.47162331885172037"/>
    <n v="0.43719947417333438"/>
    <n v="0.15212651925356141"/>
    <n v="0.38926014310476759"/>
    <n v="0.15212651925356141"/>
    <n v="0.34082612842160481"/>
    <n v="0.15212651925356141"/>
    <n v="0.38926014310476759"/>
    <n v="0.34082612842160481"/>
    <n v="0.33513223388936542"/>
    <n v="0.2371739225035191"/>
    <n v="4.7821719711837463E-2"/>
    <n v="0.4143429717707251"/>
    <n v="0.42440127900562402"/>
    <n v="296.64257157029942"/>
    <n v="0.1557029492659876"/>
    <n v="296.64257157029942"/>
    <n v="14.78059380261894"/>
    <n v="296.64257157029942"/>
    <n v="0.1557029492659876"/>
    <n v="14.78059380261894"/>
    <n v="14.19079910718397"/>
    <n v="364.29630391819421"/>
    <n v="-3.6851498971524947E-2"/>
    <n v="16.087134009365979"/>
    <n v="16.59841632686712"/>
  </r>
  <r>
    <d v="2026-02-14T03:21:58"/>
    <s v="02-14_03-21-58_multihead_spsa_f7_w5_h5_effsu2_lin_r5.pkl"/>
    <x v="0"/>
    <s v="Best (Lowest Val Loss)"/>
    <s v="data/reduce_row_number_absolutes"/>
    <n v="16590"/>
    <n v="4.5"/>
    <s v="['wv', 'sv', 'yr', 'ya', 'rarad', 'asv']"/>
    <s v="['Surge Velocity', 'Sway Velocity', 'Yaw Rate', 'Yaw Angle']"/>
    <n v="5"/>
    <n v="5"/>
    <s v="motion"/>
    <s v="true"/>
    <s v="false"/>
    <s v="false"/>
    <s v="multihead"/>
    <s v="[{'features': ['wv', 'sv', 'yr', 'ya', 'rarad', 'asv'], 'output_dim': 4, 'reps': 5, 'encoding': 'accumulated', 'ansatz': 'effsu2', 'entangle': 'lin', 'map': [0, 1, 2, 3, 4, 5]}]"/>
    <x v="1"/>
    <x v="1"/>
    <s v="effsu2"/>
    <s v="lin"/>
    <s v="5"/>
    <s v="[0, 1, 2, 3, 4, 5]"/>
    <s v="false"/>
    <s v="spsa"/>
    <n v="4000"/>
    <n v="4000"/>
    <m/>
    <n v="128"/>
    <s v="[0.05, 0.001]"/>
    <n v="0.15"/>
    <n v="170"/>
    <n v="50"/>
    <n v="120"/>
    <n v="0.23708188519884041"/>
    <n v="78.850115961406161"/>
    <n v="0.13105388920450001"/>
    <n v="4.0213310068087094E-3"/>
    <n v="71.086331297731931"/>
    <n v="0.13861833231825119"/>
    <n v="71.086331297731931"/>
    <n v="14.345619269923541"/>
    <n v="71.086331297731931"/>
    <n v="14.345619269923541"/>
    <n v="14.695132869848299"/>
    <n v="0.13861833231825119"/>
    <n v="89.265022814167764"/>
    <n v="16.11014925194586"/>
    <n v="16.444631832125079"/>
    <n v="3.6391180311094729E-3"/>
    <n v="0.5714285714285714"/>
    <n v="0.15038943820472159"/>
    <n v="-9.2021768674090065E-2"/>
    <n v="0.15038943820472159"/>
    <n v="0.32765845883424438"/>
    <n v="0.15038943820472159"/>
    <n v="-9.2021768674090065E-2"/>
    <n v="0.32765845883424438"/>
    <n v="0.33208453326448018"/>
    <n v="0.15556829271213349"/>
    <n v="-0.1296269484420414"/>
    <n v="0.33696203305875311"/>
    <n v="0.33727622369075788"/>
    <n v="0.22749547285335961"/>
    <n v="0.21177677550365531"/>
    <n v="0.22749547285335961"/>
    <n v="0.41753384496604179"/>
    <n v="0.22749547285335961"/>
    <n v="0.21177677550365531"/>
    <n v="0.41753384496604179"/>
    <n v="0.42405325238601038"/>
    <n v="0.2714662333957934"/>
    <n v="5.9427481587576159E-2"/>
    <n v="0.4565655653652369"/>
    <n v="0.45240601223657251"/>
    <n v="0.1887066165381642"/>
    <n v="0.24240262286153791"/>
    <n v="0.1887066165381642"/>
    <n v="0.3859119857485459"/>
    <n v="0.1887066165381642"/>
    <n v="0.24240262286153791"/>
    <n v="0.3859119857485459"/>
    <n v="0.38283741634255231"/>
    <n v="0.22438683259850009"/>
    <n v="9.9157841099594357E-2"/>
    <n v="0.41552561700279439"/>
    <n v="0.41895776843207228"/>
    <n v="283.77873366333182"/>
    <n v="0.19231569958189851"/>
    <n v="283.77873366333182"/>
    <n v="14.288584377461319"/>
    <n v="283.77873366333182"/>
    <n v="0.19231569958189851"/>
    <n v="14.288584377461319"/>
    <n v="14.634382979987249"/>
    <n v="356.40866989796478"/>
    <n v="-1.440190212068782E-2"/>
    <n v="16.05453005801866"/>
    <n v="16.38871015466551"/>
  </r>
  <r>
    <d v="2026-02-14T03:45:30"/>
    <s v="02-14_03-45-30_multihead_spsa_f7_w5_h5_effsu2_lin_r5.pkl"/>
    <x v="1"/>
    <s v="Final (Last Iteration)"/>
    <s v="data/reduce_row_number_absolutes"/>
    <n v="16590"/>
    <n v="4.5"/>
    <s v="['wv', 'sv', 'yr', 'ya', 'rarad', 'asv']"/>
    <s v="['Surge Velocity', 'Sway Velocity', 'Yaw Rate', 'Yaw Angle']"/>
    <n v="5"/>
    <n v="5"/>
    <s v="motion"/>
    <s v="true"/>
    <s v="false"/>
    <s v="false"/>
    <s v="multihead"/>
    <s v="[{'features': ['wv', 'sv', 'yr', 'ya', 'rarad', 'asv'], 'output_dim': 4, 'reps': 5, 'encoding': 'serial', 'ansatz': 'effsu2', 'entangle': 'lin', 'map': [0, 1, 2, 3, 4, 5]}]"/>
    <x v="1"/>
    <x v="0"/>
    <s v="effsu2"/>
    <s v="lin"/>
    <s v="5"/>
    <s v="[0, 1, 2, 3, 4, 5]"/>
    <s v="false"/>
    <s v="spsa"/>
    <n v="4000"/>
    <n v="4000"/>
    <m/>
    <n v="128"/>
    <s v="[0.05, 0.001]"/>
    <n v="0.15"/>
    <n v="220"/>
    <n v="100"/>
    <n v="120"/>
    <n v="0.2313284248771989"/>
    <n v="78.371188826183868"/>
    <n v="0.19632256454942909"/>
    <n v="-4.4066545366980681E-2"/>
    <n v="71.378964722885144"/>
    <n v="0.20877257951486219"/>
    <n v="71.378964722885144"/>
    <n v="14.57769921738538"/>
    <n v="71.378964722885144"/>
    <n v="14.57769921738538"/>
    <n v="15.09327639480218"/>
    <n v="0.20877257951486219"/>
    <n v="92.176693703092681"/>
    <n v="16.302759609011339"/>
    <n v="15.983604434281499"/>
    <n v="-8.8511103232544686E-2"/>
    <n v="0.5714285714285714"/>
    <n v="0.12903941363852631"/>
    <n v="6.3007014372988945E-2"/>
    <n v="0.12903941363852631"/>
    <n v="0.30312939734024152"/>
    <n v="0.12903941363852631"/>
    <n v="6.3007014372988945E-2"/>
    <n v="0.30312939734024152"/>
    <n v="0.30266303253666138"/>
    <n v="0.14677029717113299"/>
    <n v="-6.5742125370945592E-2"/>
    <n v="0.32333563021125039"/>
    <n v="0.31583628471626107"/>
    <n v="0.22319830278194219"/>
    <n v="0.22666555200289151"/>
    <n v="0.22319830278194219"/>
    <n v="0.41261810866535609"/>
    <n v="0.22319830278194219"/>
    <n v="0.22666555200289151"/>
    <n v="0.41261810866535609"/>
    <n v="0.39177040559650389"/>
    <n v="0.30898825066310098"/>
    <n v="-7.057829421574624E-2"/>
    <n v="0.49407364044411262"/>
    <n v="0.4936076880135406"/>
    <n v="0.16026479397933149"/>
    <n v="0.35658754423259842"/>
    <n v="0.16026479397933149"/>
    <n v="0.34289553213436152"/>
    <n v="0.16026479397933149"/>
    <n v="0.35658754423259842"/>
    <n v="0.34289553213436152"/>
    <n v="0.32746961573445049"/>
    <n v="0.29154138958491732"/>
    <n v="-0.17044646408657729"/>
    <n v="0.47252894302539578"/>
    <n v="0.47281229334411862"/>
    <n v="285.00335638113859"/>
    <n v="0.1888302074509717"/>
    <n v="285.00335638113859"/>
    <n v="14.53329518214762"/>
    <n v="285.00335638113859"/>
    <n v="0.1888302074509717"/>
    <n v="14.53329518214762"/>
    <n v="15.05039834894982"/>
    <n v="367.95947487495317"/>
    <n v="-4.7277529256908979E-2"/>
    <n v="16.235799629587209"/>
    <n v="15.91896064693036"/>
  </r>
  <r>
    <d v="2026-02-14T06:15:12"/>
    <s v="02-14_06-15-12_multihead_spsa_f7_w5_h5_effsu2_lin_r5.pkl"/>
    <x v="1"/>
    <s v="Final (Last Iteration)"/>
    <s v="data/reduce_row_number_absolutes"/>
    <n v="16590"/>
    <n v="4.5"/>
    <s v="['wv', 'sv', 'yr', 'ya', 'rarad', 'asv']"/>
    <s v="['Surge Velocity', 'Sway Velocity', 'Yaw Rate', 'Yaw Angle']"/>
    <n v="5"/>
    <n v="5"/>
    <s v="motion"/>
    <s v="true"/>
    <s v="false"/>
    <s v="false"/>
    <s v="multihead"/>
    <s v="[{'features': ['wv', 'sv', 'yr', 'ya', 'rarad', 'asv'], 'output_dim': 4, 'reps': 5, 'encoding': 'accumulated', 'ansatz': 'effsu2', 'entangle': 'lin', 'map': [0, 1, 2, 3, 4, 5]}]"/>
    <x v="1"/>
    <x v="1"/>
    <s v="effsu2"/>
    <s v="lin"/>
    <s v="5"/>
    <s v="[0, 1, 2, 3, 4, 5]"/>
    <s v="false"/>
    <s v="spsa"/>
    <n v="4000"/>
    <n v="4000"/>
    <m/>
    <n v="128"/>
    <s v="[0.05, 0.001]"/>
    <n v="0.15"/>
    <n v="170"/>
    <n v="50"/>
    <n v="120"/>
    <n v="0.26850242980214462"/>
    <n v="77.984333439469239"/>
    <n v="7.8687342227968332E-2"/>
    <n v="-1.533021635719531E-2"/>
    <n v="69.269505217692199"/>
    <n v="0.1063864193223809"/>
    <n v="69.269505217692199"/>
    <n v="14.235612131923039"/>
    <n v="69.269505217692199"/>
    <n v="14.235612131923039"/>
    <n v="14.845996041261859"/>
    <n v="0.1063864193223809"/>
    <n v="94.584755120795265"/>
    <n v="16.39189088345114"/>
    <n v="16.20140060925079"/>
    <n v="-3.9327580057704009E-2"/>
    <n v="0.5714285714285714"/>
    <n v="0.13791318595029589"/>
    <n v="-1.4280460301132609E-3"/>
    <n v="0.13791318595029589"/>
    <n v="0.31098115761810707"/>
    <n v="0.13791318595029589"/>
    <n v="-1.4280460301132609E-3"/>
    <n v="0.31098115761810707"/>
    <n v="0.31105670973193023"/>
    <n v="0.14515757798835729"/>
    <n v="-5.4031698924960958E-2"/>
    <n v="0.32569579017047512"/>
    <n v="0.31430334576939672"/>
    <n v="0.27323007927401771"/>
    <n v="5.3316132345278433E-2"/>
    <n v="0.27323007927401771"/>
    <n v="0.46241205113524197"/>
    <n v="0.27323007927401771"/>
    <n v="5.3316132345278433E-2"/>
    <n v="0.46241205113524197"/>
    <n v="0.46607494128227572"/>
    <n v="0.29868223769720631"/>
    <n v="-3.487016046789404E-2"/>
    <n v="0.48222932926832229"/>
    <n v="0.51216406712874007"/>
    <n v="0.20910610164585361"/>
    <n v="0.1605051425501626"/>
    <n v="0.20910610164585361"/>
    <n v="0.4047779746443752"/>
    <n v="0.20910610164585361"/>
    <n v="0.1605051425501626"/>
    <n v="0.4047779746443752"/>
    <n v="0.4008476909887565"/>
    <n v="0.24748065095706109"/>
    <n v="6.4434650087088494E-3"/>
    <n v="0.43570035950396663"/>
    <n v="0.44312686561988901"/>
    <n v="276.45777150389972"/>
    <n v="0.2131524484241967"/>
    <n v="276.45777150389972"/>
    <n v="14.177930688490809"/>
    <n v="276.45777150389972"/>
    <n v="0.2131524484241967"/>
    <n v="14.177930688490809"/>
    <n v="14.79140009475679"/>
    <n v="377.64770001653949"/>
    <n v="-7.4851925846678213E-2"/>
    <n v="16.330656750931599"/>
    <n v="16.137271235510269"/>
  </r>
  <r>
    <d v="2026-02-14T06:31:33"/>
    <s v="02-14_06-31-33_multihead_spsa_f7_w5_h5_effsu2_lin_r5.pkl"/>
    <x v="2"/>
    <s v="Final (Last Iteration)"/>
    <s v="data/reduce_row_number_absolutes"/>
    <n v="16590"/>
    <n v="4.5"/>
    <s v="['wv', 'sv', 'yr', 'ya', 'rarad', 'asv']"/>
    <s v="['Surge Velocity', 'Sway Velocity', 'Yaw Rate', 'Yaw Angle']"/>
    <n v="5"/>
    <n v="5"/>
    <s v="motion"/>
    <s v="true"/>
    <s v="false"/>
    <s v="false"/>
    <s v="multihead"/>
    <s v="[{'features': ['wv', 'sv', 'yr', 'ya', 'rarad', 'asv'], 'output_dim': 4, 'reps': 5, 'encoding': 'serial', 'ansatz': 'effsu2', 'entangle': 'lin', 'map': [0, 1, 2, 3, 4, 5]}]"/>
    <x v="1"/>
    <x v="0"/>
    <s v="effsu2"/>
    <s v="lin"/>
    <s v="5"/>
    <s v="[0, 1, 2, 3, 4, 5]"/>
    <s v="false"/>
    <s v="spsa"/>
    <n v="4000"/>
    <n v="4000"/>
    <m/>
    <n v="128"/>
    <s v="[0.05, 0.001]"/>
    <n v="0.15"/>
    <n v="220"/>
    <n v="100"/>
    <n v="120"/>
    <n v="0.25485923700566782"/>
    <n v="77.429144212261463"/>
    <n v="0.14881052536224409"/>
    <n v="-0.16512207786582911"/>
    <n v="72.694007070880176"/>
    <n v="0.15167139994415341"/>
    <n v="72.694007070880176"/>
    <n v="14.674383166592881"/>
    <n v="72.694007070880176"/>
    <n v="14.674383166592881"/>
    <n v="15.260075833630779"/>
    <n v="0.15167139994415341"/>
    <n v="90.680435495347609"/>
    <n v="16.186337829601261"/>
    <n v="15.982254565467819"/>
    <n v="-0.13011120891066991"/>
    <n v="0.5714285714285714"/>
    <n v="0.13071147190294"/>
    <n v="5.0865709471339837E-2"/>
    <n v="0.13071147190294"/>
    <n v="0.30449677220693472"/>
    <n v="0.13071147190294"/>
    <n v="5.0865709471339837E-2"/>
    <n v="0.30449677220693472"/>
    <n v="0.30571750406719722"/>
    <n v="0.15219348134539951"/>
    <n v="-0.1051214544283896"/>
    <n v="0.33392396146278241"/>
    <n v="0.33888217233310192"/>
    <n v="0.25054158795883258"/>
    <n v="0.1319269088987971"/>
    <n v="0.25054158795883258"/>
    <n v="0.44234446221867357"/>
    <n v="0.25054158795883258"/>
    <n v="0.1319269088987971"/>
    <n v="0.44234446221867357"/>
    <n v="0.41964861862170932"/>
    <n v="0.33386359485279149"/>
    <n v="-0.15676604890699181"/>
    <n v="0.51021659811448827"/>
    <n v="0.51871211822924823"/>
    <n v="0.18684512858389651"/>
    <n v="0.24987590820573699"/>
    <n v="0.18684512858389651"/>
    <n v="0.38144061378023392"/>
    <n v="0.18684512858389651"/>
    <n v="0.24987590820573699"/>
    <n v="0.38144061378023392"/>
    <n v="0.3587472635929676"/>
    <n v="0.30598714719045161"/>
    <n v="-0.22844161165214991"/>
    <n v="0.49271626032962862"/>
    <n v="0.5044440375364464"/>
    <n v="290.20793009507548"/>
    <n v="0.17401707320074039"/>
    <n v="290.20793009507548"/>
    <n v="14.625279124814719"/>
    <n v="290.20793009507548"/>
    <n v="0.17401707320074039"/>
    <n v="14.625279124814719"/>
    <n v="15.20421698599565"/>
    <n v="361.92969775800162"/>
    <n v="-3.011572065514145E-2"/>
    <n v="16.119841406954329"/>
    <n v="15.912068536883829"/>
  </r>
  <r>
    <d v="2026-02-14T09:09:32"/>
    <s v="02-14_09-09-32_multihead_spsa_f7_w5_h5_effsu2_lin_r5.pkl"/>
    <x v="2"/>
    <s v="Final (Last Iteration)"/>
    <s v="data/reduce_row_number_absolutes"/>
    <n v="16590"/>
    <n v="4.5"/>
    <s v="['wv', 'sv', 'yr', 'ya', 'rarad', 'asv']"/>
    <s v="['Surge Velocity', 'Sway Velocity', 'Yaw Rate', 'Yaw Angle']"/>
    <n v="5"/>
    <n v="5"/>
    <s v="motion"/>
    <s v="true"/>
    <s v="false"/>
    <s v="false"/>
    <s v="multihead"/>
    <s v="[{'features': ['wv', 'sv', 'yr', 'ya', 'rarad', 'asv'], 'output_dim': 4, 'reps': 5, 'encoding': 'accumulated', 'ansatz': 'effsu2', 'entangle': 'lin', 'map': [0, 1, 2, 3, 4, 5]}]"/>
    <x v="1"/>
    <x v="1"/>
    <s v="effsu2"/>
    <s v="lin"/>
    <s v="5"/>
    <s v="[0, 1, 2, 3, 4, 5]"/>
    <s v="false"/>
    <s v="spsa"/>
    <n v="4000"/>
    <n v="4000"/>
    <m/>
    <n v="128"/>
    <s v="[0.05, 0.001]"/>
    <n v="0.15"/>
    <n v="170"/>
    <n v="50"/>
    <n v="120"/>
    <n v="0.25630495800921721"/>
    <n v="79.347382479299071"/>
    <n v="8.3435606771806753E-2"/>
    <n v="-5.5509080753013279E-2"/>
    <n v="71.283136958484761"/>
    <n v="0.1012850757698603"/>
    <n v="71.283136958484761"/>
    <n v="14.27208624074605"/>
    <n v="71.283136958484761"/>
    <n v="14.27208624074605"/>
    <n v="15.94815943957248"/>
    <n v="0.1012850757698603"/>
    <n v="94.547145701547933"/>
    <n v="16.434458511061521"/>
    <n v="16.036491712429989"/>
    <n v="-6.2988501319030499E-2"/>
    <n v="0.5714285714285714"/>
    <n v="0.14785543545860699"/>
    <n v="-7.3621632376818402E-2"/>
    <n v="0.14785543545860699"/>
    <n v="0.32334829941784587"/>
    <n v="0.14785543545860699"/>
    <n v="-7.3621632376818402E-2"/>
    <n v="0.32334829941784587"/>
    <n v="0.31616242041508252"/>
    <n v="0.1521738925803737"/>
    <n v="-0.1049792146668411"/>
    <n v="0.33427828962146372"/>
    <n v="0.34096117774517098"/>
    <n v="0.25785725196769083"/>
    <n v="0.106579695602333"/>
    <n v="0.25785725196769083"/>
    <n v="0.4490456671422644"/>
    <n v="0.25785725196769083"/>
    <n v="0.106579695602333"/>
    <n v="0.4490456671422644"/>
    <n v="0.44123771364416209"/>
    <n v="0.29233415616193242"/>
    <n v="-1.28754137841891E-2"/>
    <n v="0.47974730586886599"/>
    <n v="0.47825210257430367"/>
    <n v="0.20375575813596941"/>
    <n v="0.1819850794185035"/>
    <n v="0.20375575813596941"/>
    <n v="0.3992792567457995"/>
    <n v="0.20375575813596941"/>
    <n v="0.1819850794185035"/>
    <n v="0.3992792567457995"/>
    <n v="0.37830480791747267"/>
    <n v="0.26396212352031112"/>
    <n v="-5.9724434211573703E-2"/>
    <n v="0.45293199398639822"/>
    <n v="0.44520525601319"/>
    <n v="284.52307938837549"/>
    <n v="0.19019716043542961"/>
    <n v="284.52307938837549"/>
    <n v="14.20979104969294"/>
    <n v="284.52307938837549"/>
    <n v="0.19019716043542961"/>
    <n v="14.20979104969294"/>
    <n v="15.886931422653261"/>
    <n v="377.4801126339301"/>
    <n v="-7.4374942613528949E-2"/>
    <n v="16.371437368586601"/>
    <n v="15.975832587830411"/>
  </r>
  <r>
    <d v="2026-02-14T09:19:37"/>
    <s v="02-14_09-19-37_multihead_spsa_f7_w5_h5_effsu2_full_lin_r4.pkl"/>
    <x v="0"/>
    <s v="Final (Last Iteration)"/>
    <s v="data/reduce_row_number_absolutes"/>
    <n v="16590"/>
    <n v="4.5"/>
    <s v="[['wv', 'asv', 'ararad'], ['sv', 'yr', 'ya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4, 'encoding': 'serial', 'ansatz': 'effsu2', 'entangle': 'full', 'map': [0, 1, 2]}, {'features': ['sv', 'yr', 'ya', 'rarad'], 'output_dim': 3, 'reps': 4, 'encoding': 'serial', 'ansatz': 'effsu2', 'entangle': 'lin', 'map': [0, 1, -1, 2, 3, -1]}]"/>
    <x v="2"/>
    <x v="0"/>
    <s v="effsu2"/>
    <s v="['full', 'lin']"/>
    <s v="4"/>
    <s v="[[0, 1, 2], [0, 1, -1, 2, 3, -1]]"/>
    <s v="false"/>
    <s v="spsa"/>
    <n v="4000"/>
    <n v="4000"/>
    <m/>
    <n v="128"/>
    <s v="[0.05, 0.001]"/>
    <n v="0.15"/>
    <n v="240"/>
    <n v="120"/>
    <n v="120"/>
    <n v="0.170402808011198"/>
    <n v="67.942321969732276"/>
    <n v="0.51430011788560537"/>
    <n v="-6.4581655494265255E-2"/>
    <n v="75.504286147685562"/>
    <n v="0.46132363377535007"/>
    <n v="75.504286147685562"/>
    <n v="14.627552421817549"/>
    <n v="75.504286147685562"/>
    <n v="14.627552421817549"/>
    <n v="15.17210926548473"/>
    <n v="0.46132363377535007"/>
    <n v="97.183188571212213"/>
    <n v="16.627968408567732"/>
    <n v="16.52754049575579"/>
    <n v="-8.2759795501815669E-2"/>
    <n v="0.5714285714285714"/>
    <n v="4.0522405891467869E-2"/>
    <n v="0.70575493943735723"/>
    <n v="4.0522405891467869E-2"/>
    <n v="0.154834418972425"/>
    <n v="4.0522405891467869E-2"/>
    <n v="0.70575493943735723"/>
    <n v="0.154834418972425"/>
    <n v="0.14116308228517241"/>
    <n v="0.12923631174883241"/>
    <n v="6.1577279511073613E-2"/>
    <n v="0.27714441458660799"/>
    <n v="0.35615131551469942"/>
    <n v="0.15164730281057451"/>
    <n v="0.4745744848972302"/>
    <n v="0.15164730281057451"/>
    <n v="0.32964607078203451"/>
    <n v="0.15164730281057451"/>
    <n v="0.4745744848972302"/>
    <n v="0.32964607078203451"/>
    <n v="0.25267808398845748"/>
    <n v="0.31645104578384131"/>
    <n v="-9.64352853903232E-2"/>
    <n v="0.49170959306578499"/>
    <n v="0.5073761735522857"/>
    <n v="0.1186458331209737"/>
    <n v="0.52367450792230841"/>
    <n v="0.1186458331209737"/>
    <n v="0.2833219283311581"/>
    <n v="0.1186458331209737"/>
    <n v="0.52367450792230841"/>
    <n v="0.2833219283311581"/>
    <n v="0.23038417155563809"/>
    <n v="0.29688334337391892"/>
    <n v="-0.19189271887925941"/>
    <n v="0.48747883412105802"/>
    <n v="0.51285484647305024"/>
    <n v="301.70632904891932"/>
    <n v="0.14129060284450329"/>
    <n v="301.70632904891932"/>
    <n v="14.59796468862741"/>
    <n v="301.70632904891932"/>
    <n v="0.14129060284450329"/>
    <n v="14.59796468862741"/>
    <n v="15.153096117283919"/>
    <n v="387.99018358394358"/>
    <n v="-0.104288457248763"/>
    <n v="16.561543952665389"/>
    <n v="16.454561371727639"/>
  </r>
  <r>
    <d v="2026-02-14T12:00:32"/>
    <s v="02-14_12-00-32_multihead_spsa_f7_w5_h5_effsu2_full_lin_r4.pkl"/>
    <x v="0"/>
    <s v="Final (Last Iteration)"/>
    <s v="data/reduce_row_number_absolutes"/>
    <n v="16590"/>
    <n v="4.5"/>
    <s v="[['wv', 'asv', 'ararad'], ['sv', 'yr', 'ya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4, 'encoding': 'accumulated', 'ansatz': 'effsu2', 'entangle': 'full', 'map': [0, 1, 2]}, {'features': ['sv', 'yr', 'ya', 'rarad'], 'output_dim': 3, 'reps': 4, 'encoding': 'accumulated', 'ansatz': 'effsu2', 'entangle': 'lin', 'map': [0, 1, -1, 2, 3, -1]}]"/>
    <x v="2"/>
    <x v="1"/>
    <s v="effsu2"/>
    <s v="['full', 'lin']"/>
    <s v="4"/>
    <s v="[[0, 1, 2], [0, 1, -1, 2, 3, -1]]"/>
    <s v="false"/>
    <s v="spsa"/>
    <n v="4000"/>
    <n v="4000"/>
    <m/>
    <n v="128"/>
    <s v="[0.05, 0.001]"/>
    <n v="0.15"/>
    <n v="200"/>
    <n v="80"/>
    <n v="120"/>
    <n v="0.19232553943208999"/>
    <n v="66.16003925349932"/>
    <n v="0.45032852521990258"/>
    <n v="-5.0427303326677282E-2"/>
    <n v="73.491363725492079"/>
    <n v="0.38541624771921468"/>
    <n v="73.491363725492079"/>
    <n v="13.832924474174311"/>
    <n v="73.491363725492079"/>
    <n v="13.832924474174311"/>
    <n v="14.10578777643507"/>
    <n v="0.38541624771921468"/>
    <n v="95.979803613424593"/>
    <n v="16.48163587240585"/>
    <n v="16.39494053350451"/>
    <n v="-5.7294218175265872E-2"/>
    <n v="0.5714285714285714"/>
    <n v="6.2748212579953486E-2"/>
    <n v="0.54436684583248018"/>
    <n v="6.2748212579953486E-2"/>
    <n v="0.18317355815540251"/>
    <n v="6.2748212579953486E-2"/>
    <n v="0.54436684583248018"/>
    <n v="0.18317355815540251"/>
    <n v="0.17295688779820409"/>
    <n v="0.14186556852554841"/>
    <n v="-3.0127453793233672E-2"/>
    <n v="0.30202082639190431"/>
    <n v="0.33088386177298879"/>
    <n v="0.199575104195157"/>
    <n v="0.30851488961584611"/>
    <n v="0.199575104195157"/>
    <n v="0.38273559864832829"/>
    <n v="0.199575104195157"/>
    <n v="0.30851488961584611"/>
    <n v="0.38273559864832829"/>
    <n v="0.35442657702262143"/>
    <n v="0.29725072022558291"/>
    <n v="-2.991025817509918E-2"/>
    <n v="0.47861640508716358"/>
    <n v="0.47293470701556078"/>
    <n v="0.1184708641897818"/>
    <n v="0.52437695283803776"/>
    <n v="0.1184708641897818"/>
    <n v="0.28570185824263411"/>
    <n v="0.1184708641897818"/>
    <n v="0.52437695283803776"/>
    <n v="0.28570185824263411"/>
    <n v="0.25568529130796069"/>
    <n v="0.26862683141139743"/>
    <n v="-7.8451760938293758E-2"/>
    <n v="0.44570330624078641"/>
    <n v="0.44460502546371972"/>
    <n v="293.58466072100231"/>
    <n v="0.16440630259050271"/>
    <n v="293.58466072100231"/>
    <n v="13.79215258563953"/>
    <n v="293.58466072100231"/>
    <n v="0.16440630259050271"/>
    <n v="13.79215258563953"/>
    <n v="14.06943392021104"/>
    <n v="383.21147133353742"/>
    <n v="-9.0687399794444179E-2"/>
    <n v="16.420493290922881"/>
    <n v="16.333922670444181"/>
  </r>
  <r>
    <d v="2026-02-14T12:59:54"/>
    <s v="02-14_12-59-54_multihead_spsa_f7_w5_h5_effsu2_full_lin_r4.pkl"/>
    <x v="1"/>
    <s v="Final (Last Iteration)"/>
    <s v="data/reduce_row_number_absolutes"/>
    <n v="16590"/>
    <n v="4.5"/>
    <s v="[['wv', 'asv', 'ararad'], ['sv', 'yr', 'ya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4, 'encoding': 'serial', 'ansatz': 'effsu2', 'entangle': 'full', 'map': [0, 1, 2]}, {'features': ['sv', 'yr', 'ya', 'rarad'], 'output_dim': 3, 'reps': 4, 'encoding': 'serial', 'ansatz': 'effsu2', 'entangle': 'lin', 'map': [0, 1, -1, 2, 3, -1]}]"/>
    <x v="2"/>
    <x v="0"/>
    <s v="effsu2"/>
    <s v="['full', 'lin']"/>
    <s v="4"/>
    <s v="[[0, 1, 2], [0, 1, -1, 2, 3, -1]]"/>
    <s v="false"/>
    <s v="spsa"/>
    <n v="4000"/>
    <n v="4000"/>
    <m/>
    <n v="128"/>
    <s v="[0.05, 0.001]"/>
    <n v="0.15"/>
    <n v="240"/>
    <n v="120"/>
    <n v="120"/>
    <n v="0.18017085187104959"/>
    <n v="64.585543423575331"/>
    <n v="0.48741232509245902"/>
    <n v="-3.5337581258156697E-2"/>
    <n v="70.430481130515858"/>
    <n v="0.41905631180653108"/>
    <n v="70.430481130515858"/>
    <n v="13.96184235946037"/>
    <n v="70.430481130515858"/>
    <n v="13.96184235946037"/>
    <n v="13.295493361514369"/>
    <n v="0.41905631180653108"/>
    <n v="97.981061286802969"/>
    <n v="16.64474476898134"/>
    <n v="16.396868949314641"/>
    <n v="-5.6640357698674093E-2"/>
    <n v="0.5714285714285714"/>
    <n v="8.6034523860273632E-2"/>
    <n v="0.37527811770242009"/>
    <n v="8.6034523860273632E-2"/>
    <n v="0.22027147086680179"/>
    <n v="8.6034523860273632E-2"/>
    <n v="0.37527811770242009"/>
    <n v="0.22027147086680179"/>
    <n v="0.22202125842616721"/>
    <n v="0.1377361182012416"/>
    <n v="-1.423052307218953E-4"/>
    <n v="0.28909892159644918"/>
    <n v="0.24373837621069139"/>
    <n v="0.1111406102891426"/>
    <n v="0.61492152298315084"/>
    <n v="0.1111406102891426"/>
    <n v="0.2668717114608441"/>
    <n v="0.1111406102891426"/>
    <n v="0.61492152298315084"/>
    <n v="0.2668717114608441"/>
    <n v="0.25236725033077712"/>
    <n v="0.29958302446474722"/>
    <n v="-3.7991194225573947E-2"/>
    <n v="0.4670988625836266"/>
    <n v="0.45140655792701911"/>
    <n v="0.12779812911981961"/>
    <n v="0.48693093437560009"/>
    <n v="0.12779812911981961"/>
    <n v="0.30919171907481902"/>
    <n v="0.12779812911981961"/>
    <n v="0.48693093437560009"/>
    <n v="0.30919171907481902"/>
    <n v="0.30960378404756927"/>
    <n v="0.26775439506583132"/>
    <n v="-7.4949204964123828E-2"/>
    <n v="0.44675792633255862"/>
    <n v="0.47509883111410728"/>
    <n v="281.39695125879501"/>
    <n v="0.19909467216494869"/>
    <n v="281.39695125879501"/>
    <n v="13.932604622735919"/>
    <n v="281.39695125879501"/>
    <n v="0.19909467216494869"/>
    <n v="13.932604622735919"/>
    <n v="13.2660821134274"/>
    <n v="391.21917160947999"/>
    <n v="-0.11347872637427781"/>
    <n v="16.584169172822929"/>
    <n v="16.33573745359303"/>
  </r>
  <r>
    <d v="2026-02-14T15:38:48"/>
    <s v="02-14_15-38-48_multihead_spsa_f7_w5_h5_effsu2_full_lin_r4.pkl"/>
    <x v="1"/>
    <s v="Final (Last Iteration)"/>
    <s v="data/reduce_row_number_absolutes"/>
    <n v="16590"/>
    <n v="4.5"/>
    <s v="[['wv', 'asv', 'ararad'], ['sv', 'yr', 'ya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4, 'encoding': 'accumulated', 'ansatz': 'effsu2', 'entangle': 'full', 'map': [0, 1, 2]}, {'features': ['sv', 'yr', 'ya', 'rarad'], 'output_dim': 3, 'reps': 4, 'encoding': 'accumulated', 'ansatz': 'effsu2', 'entangle': 'lin', 'map': [0, 1, -1, 2, 3, -1]}]"/>
    <x v="2"/>
    <x v="1"/>
    <s v="effsu2"/>
    <s v="['full', 'lin']"/>
    <s v="4"/>
    <s v="[[0, 1, 2], [0, 1, -1, 2, 3, -1]]"/>
    <s v="false"/>
    <s v="spsa"/>
    <n v="4000"/>
    <n v="4000"/>
    <m/>
    <n v="128"/>
    <s v="[0.05, 0.001]"/>
    <n v="0.15"/>
    <n v="200"/>
    <n v="80"/>
    <n v="120"/>
    <n v="0.23917069440917871"/>
    <n v="82.186645657655959"/>
    <n v="0.2477215574507102"/>
    <n v="-7.8876646971796222E-2"/>
    <n v="88.284759510985083"/>
    <n v="0.2155686291075449"/>
    <n v="88.284759510985083"/>
    <n v="15.80092752301981"/>
    <n v="88.284759510985083"/>
    <n v="15.80092752301981"/>
    <n v="16.190811445379332"/>
    <n v="0.2155686291075449"/>
    <n v="97.014165198169664"/>
    <n v="16.527760986732002"/>
    <n v="16.37241719411864"/>
    <n v="-6.7733639548710201E-2"/>
    <n v="0.5714285714285714"/>
    <n v="7.7394913516817584E-2"/>
    <n v="0.43801285945385021"/>
    <n v="7.7394913516817584E-2"/>
    <n v="0.20869038538527179"/>
    <n v="7.7394913516817584E-2"/>
    <n v="0.43801285945385021"/>
    <n v="0.20869038538527179"/>
    <n v="0.2084289473151397"/>
    <n v="0.13381960846564481"/>
    <n v="2.8296619334404079E-2"/>
    <n v="0.28172762116966171"/>
    <n v="0.2453841186330333"/>
    <n v="0.2350402634580924"/>
    <n v="0.18563568748980469"/>
    <n v="0.2350402634580924"/>
    <n v="0.4198636650683783"/>
    <n v="0.2350402634580924"/>
    <n v="0.18563568748980469"/>
    <n v="0.4198636650683783"/>
    <n v="0.4207304883918811"/>
    <n v="0.32715550424369122"/>
    <n v="-0.13352394767394049"/>
    <n v="0.50237851529505451"/>
    <n v="0.50032762649576312"/>
    <n v="0.18873329702191921"/>
    <n v="0.2422955091583496"/>
    <n v="0.18873329702191921"/>
    <n v="0.38154073683319578"/>
    <n v="0.18873329702191921"/>
    <n v="0.2422955091583496"/>
    <n v="0.38154073683319578"/>
    <n v="0.36675299077774431"/>
    <n v="0.2648515991500956"/>
    <n v="-6.3295397522322494E-2"/>
    <n v="0.45475737896825269"/>
    <n v="0.46352345182633498"/>
    <n v="352.63786956994193"/>
    <n v="-3.669539671820043E-3"/>
    <n v="352.63786956994193"/>
    <n v="15.7569056013627"/>
    <n v="352.63786956994193"/>
    <n v="-3.669539671820043E-3"/>
    <n v="15.7569056013627"/>
    <n v="16.15031010992066"/>
    <n v="387.33083408081723"/>
    <n v="-0.10241183233297391"/>
    <n v="16.46557846671163"/>
    <n v="16.307772431490228"/>
  </r>
  <r>
    <d v="2026-02-14T18:28:40"/>
    <s v="02-14_18-28-40_multihead_spsa_f7_w5_h5_effsu2_full_lin_r4.pkl"/>
    <x v="2"/>
    <s v="Best (Lowest Val Loss)"/>
    <s v="data/reduce_row_number_absolutes"/>
    <n v="16590"/>
    <n v="4.5"/>
    <s v="[['wv', 'asv', 'ararad'], ['sv', 'yr', 'ya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4, 'encoding': 'accumulated', 'ansatz': 'effsu2', 'entangle': 'full', 'map': [0, 1, 2]}, {'features': ['sv', 'yr', 'ya', 'rarad'], 'output_dim': 3, 'reps': 4, 'encoding': 'accumulated', 'ansatz': 'effsu2', 'entangle': 'lin', 'map': [0, 1, -1, 2, 3, -1]}]"/>
    <x v="2"/>
    <x v="1"/>
    <s v="effsu2"/>
    <s v="['full', 'lin']"/>
    <s v="4"/>
    <s v="[[0, 1, 2], [0, 1, -1, 2, 3, -1]]"/>
    <s v="false"/>
    <s v="spsa"/>
    <n v="4000"/>
    <n v="4000"/>
    <m/>
    <n v="128"/>
    <s v="[0.05, 0.001]"/>
    <n v="0.15"/>
    <n v="200"/>
    <n v="80"/>
    <n v="120"/>
    <n v="0.17881439815959441"/>
    <n v="68.511719115736412"/>
    <n v="0.46570697187315357"/>
    <n v="-1.5318314722045151E-2"/>
    <n v="75.281779116326149"/>
    <n v="0.3917878019175145"/>
    <n v="75.281779116326149"/>
    <n v="14.156126402968409"/>
    <n v="75.281779116326149"/>
    <n v="14.156126402968409"/>
    <n v="13.823298942743889"/>
    <n v="0.3917878019175145"/>
    <n v="95.651679710757421"/>
    <n v="16.507247953211859"/>
    <n v="16.60523368264024"/>
    <n v="-0.13824388211719149"/>
    <n v="0.5714285714285714"/>
    <n v="5.6907414415609842E-2"/>
    <n v="0.58677859241545716"/>
    <n v="5.6907414415609842E-2"/>
    <n v="0.17150247727805751"/>
    <n v="5.6907414415609842E-2"/>
    <n v="0.58677859241545716"/>
    <n v="0.17150247727805751"/>
    <n v="0.16196796239678241"/>
    <n v="0.18419834792074119"/>
    <n v="-0.33751816673079382"/>
    <n v="0.35066376902282947"/>
    <n v="0.34895546901523378"/>
    <n v="0.16095078102650071"/>
    <n v="0.44233991993463101"/>
    <n v="0.16095078102650071"/>
    <n v="0.34152165108823729"/>
    <n v="0.16095078102650071"/>
    <n v="0.44233991993463101"/>
    <n v="0.34152165108823729"/>
    <n v="0.34087283869063378"/>
    <n v="0.30014828647057468"/>
    <n v="-3.9949706345970608E-2"/>
    <n v="0.48452374410739202"/>
    <n v="0.49539134685147751"/>
    <n v="0.15093495391484699"/>
    <n v="0.39404390104531972"/>
    <n v="0.15093495391484699"/>
    <n v="0.32492059852713789"/>
    <n v="0.15093495391484699"/>
    <n v="0.39404390104531972"/>
    <n v="0.32492059852713789"/>
    <n v="0.32058621546745919"/>
    <n v="0.27117748856406509"/>
    <n v="-8.8691842628538575E-2"/>
    <n v="0.45906197648109598"/>
    <n v="0.48770355124299608"/>
    <n v="300.75832331594751"/>
    <n v="0.14398879427464781"/>
    <n v="300.75832331594751"/>
    <n v="14.118392952522971"/>
    <n v="300.75832331594751"/>
    <n v="0.14398879427464781"/>
    <n v="14.118392952522971"/>
    <n v="13.782777636989961"/>
    <n v="381.85119472007449"/>
    <n v="-8.6815812763460842E-2"/>
    <n v="16.44276664456601"/>
    <n v="16.536155706546609"/>
  </r>
  <r>
    <d v="2026-02-14T17:25:52"/>
    <s v="02-14_17-25-52_multihead_spsa_f7_w5_h5_effsu2_full_lin_r4.pkl"/>
    <x v="2"/>
    <s v="Final (Last Iteration)"/>
    <s v="data/reduce_row_number_absolutes"/>
    <n v="16590"/>
    <n v="4.5"/>
    <s v="[['wv', 'asv', 'ararad'], ['sv', 'yr', 'ya', 'rarad']]"/>
    <s v="['Surge Velocity', 'Sway Velocity', 'Yaw Rate', 'Yaw Angle']"/>
    <n v="5"/>
    <n v="5"/>
    <s v="motion"/>
    <s v="true"/>
    <s v="false"/>
    <s v="false"/>
    <s v="multihead"/>
    <s v="[{'features': ['wv', 'asv', 'ararad'], 'output_dim': 1, 'reps': 4, 'encoding': 'serial', 'ansatz': 'effsu2', 'entangle': 'full', 'map': [0, 1, 2]}, {'features': ['sv', 'yr', 'ya', 'rarad'], 'output_dim': 3, 'reps': 4, 'encoding': 'serial', 'ansatz': 'effsu2', 'entangle': 'lin', 'map': [0, 1, -1, 2, 3, -1]}]"/>
    <x v="2"/>
    <x v="0"/>
    <s v="effsu2"/>
    <s v="['full', 'lin']"/>
    <s v="4"/>
    <s v="[[0, 1, 2], [0, 1, -1, 2, 3, -1]]"/>
    <s v="false"/>
    <s v="spsa"/>
    <n v="4000"/>
    <n v="4000"/>
    <m/>
    <n v="128"/>
    <s v="[0.05, 0.001]"/>
    <n v="0.15"/>
    <n v="240"/>
    <n v="120"/>
    <n v="120"/>
    <n v="0.19665544721145389"/>
    <n v="56.574486762793583"/>
    <n v="0.4423500846274816"/>
    <n v="5.930474091176649E-2"/>
    <n v="62.848431892309947"/>
    <n v="0.37005034390711827"/>
    <n v="62.848431892309947"/>
    <n v="12.71151222027806"/>
    <n v="62.848431892309947"/>
    <n v="12.71151222027806"/>
    <n v="12.35133216811235"/>
    <n v="0.37005034390711827"/>
    <n v="98.819562152282131"/>
    <n v="16.804734741471741"/>
    <n v="16.555387886816881"/>
    <n v="-7.4239685185245041E-3"/>
    <n v="0.5714285714285714"/>
    <n v="6.7479497018011897E-2"/>
    <n v="0.5100116034575769"/>
    <n v="6.7479497018011897E-2"/>
    <n v="0.19009172612408659"/>
    <n v="6.7479497018011897E-2"/>
    <n v="0.5100116034575769"/>
    <n v="0.19009172612408659"/>
    <n v="0.1771800483907286"/>
    <n v="0.13928708050591801"/>
    <n v="-1.140429689262246E-2"/>
    <n v="0.29903833814231279"/>
    <n v="0.27008533428034232"/>
    <n v="0.1889205004704862"/>
    <n v="0.34543081589014252"/>
    <n v="0.1889205004704862"/>
    <n v="0.37392346461705389"/>
    <n v="0.1889205004704862"/>
    <n v="0.34543081589014252"/>
    <n v="0.37392346461705389"/>
    <n v="0.37316263442532238"/>
    <n v="0.2763323812464562"/>
    <n v="4.2567318606672511E-2"/>
    <n v="0.46502152822439191"/>
    <n v="0.45832922613657168"/>
    <n v="0.1646277885037907"/>
    <n v="0.339071501240374"/>
    <n v="0.1646277885037907"/>
    <n v="0.35290667438605311"/>
    <n v="0.1646277885037907"/>
    <n v="0.339071501240374"/>
    <n v="0.35290667438605311"/>
    <n v="0.36357831712893479"/>
    <n v="0.23356136481060971"/>
    <n v="6.2324996189989101E-2"/>
    <n v="0.42749130319965861"/>
    <n v="0.42350674287407741"/>
    <n v="250.97269978324709"/>
    <n v="0.28568745504037513"/>
    <n v="250.97269978324709"/>
    <n v="12.665364316334029"/>
    <n v="250.97269978324709"/>
    <n v="0.28568745504037513"/>
    <n v="12.665364316334029"/>
    <n v="12.30287263503968"/>
    <n v="394.62906778256581"/>
    <n v="-0.1231838919781407"/>
    <n v="16.74921907623262"/>
    <n v="16.5013711685788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2C333-4E04-426C-9B90-E9F21E623A85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I31" firstHeaderRow="0" firstDataRow="1" firstDataCol="1"/>
  <pivotFields count="99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3">
    <field x="17"/>
    <field x="18"/>
    <field x="2"/>
  </rowFields>
  <rowItems count="2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>
      <x v="2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Promedio de Val Global Open R2" fld="36" subtotal="average" baseField="0" baseItem="0"/>
    <dataField name="Promedio de Val Global Closed R2" fld="37" subtotal="average" baseField="0" baseItem="0"/>
    <dataField name="Promedio de global open R2" fld="45" subtotal="average" baseField="0" baseItem="0"/>
    <dataField name="Promedio de global closed R2" fld="49" subtotal="average" baseField="0" baseItem="0"/>
    <dataField name="Promedio de Surge Velocity Global open R2" fld="56" subtotal="average" baseField="0" baseItem="0"/>
    <dataField name="Promedio de Sway Velocity Global open R2" fld="68" subtotal="average" baseField="0" baseItem="0"/>
    <dataField name="Promedio de Yaw Rate Global open R2" fld="80" subtotal="average" baseField="0" baseItem="0"/>
    <dataField name="Promedio de Yaw Angle Global open R2" fld="9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A10C7-E0F3-492F-A85E-3277CFAD0CD6}" name="Tabla1" displayName="Tabla1" ref="A1:CU19" totalsRowShown="0" headerRowDxfId="0" dataDxfId="1" headerRowBorderDxfId="101" tableBorderDxfId="102">
  <autoFilter ref="A1:CU19" xr:uid="{C4FA10C7-E0F3-492F-A85E-3277CFAD0CD6}"/>
  <tableColumns count="99">
    <tableColumn id="1" xr3:uid="{1418A88C-8A96-483B-B75F-9FB4A0887DAB}" name="date" dataDxfId="100"/>
    <tableColumn id="2" xr3:uid="{0D45F363-0A22-4FC5-A46B-353F2436BDF8}" name="model_id" dataDxfId="99"/>
    <tableColumn id="3" xr3:uid="{9D85206A-BB4E-43CB-A12E-CA5FEC631EC4}" name="run" dataDxfId="98"/>
    <tableColumn id="4" xr3:uid="{7DE40986-AD9E-4071-89BE-9D66D3F0CEB3}" name="weight_selection" dataDxfId="97"/>
    <tableColumn id="5" xr3:uid="{602EFD7E-506D-467E-943C-8E7D88E48E8F}" name="data" dataDxfId="96"/>
    <tableColumn id="6" xr3:uid="{A6DC5AFF-2E42-42E7-8E80-D73CAEC55601}" name="data_n" dataDxfId="95"/>
    <tableColumn id="7" xr3:uid="{73BFFC7D-F521-4450-86A8-8A30D1DC9EC3}" name="data_dt" dataDxfId="94"/>
    <tableColumn id="8" xr3:uid="{DE58618B-7091-473F-BDB5-EA0032545809}" name="features" dataDxfId="93"/>
    <tableColumn id="9" xr3:uid="{CD5915CF-75D9-4954-8D4D-0116777A3391}" name="targets" dataDxfId="92"/>
    <tableColumn id="10" xr3:uid="{3AB8496A-14AE-4AF8-8D39-433D3F7E4864}" name="window_size" dataDxfId="91"/>
    <tableColumn id="11" xr3:uid="{323D8F02-FAD5-4390-A6A0-1B6E1A8058A7}" name="horizon" dataDxfId="90"/>
    <tableColumn id="12" xr3:uid="{9E34E215-80B4-461F-A346-1F40B317B605}" name="predict" dataDxfId="89"/>
    <tableColumn id="13" xr3:uid="{D4400983-62C5-4F62-8B30-EB8EB5D51373}" name="norm" dataDxfId="88"/>
    <tableColumn id="14" xr3:uid="{F3DACFB8-6C2F-4B5C-A5AC-5C0DED3DBCF8}" name="reconstruct_train" dataDxfId="87"/>
    <tableColumn id="15" xr3:uid="{86DAA53E-BA98-474F-9689-32B73D04D5F4}" name="reconstruct_val" dataDxfId="86"/>
    <tableColumn id="16" xr3:uid="{2715082F-A94D-4A8E-AEDB-8EFB5E5806BF}" name="model" dataDxfId="85"/>
    <tableColumn id="17" xr3:uid="{F2C87854-6E37-4287-B317-AE7E77409A91}" name="heads_config" dataDxfId="84"/>
    <tableColumn id="18" xr3:uid="{D1028682-3150-4AA0-BD28-F32AE3BD9AFC}" name="head_number" dataDxfId="83"/>
    <tableColumn id="19" xr3:uid="{1220B9C2-4ECB-4A3B-9728-7452A4FDE039}" name="encoding" dataDxfId="82"/>
    <tableColumn id="20" xr3:uid="{722B4404-6AB7-44CB-AC40-D7F832666DF0}" name="ansatz" dataDxfId="81"/>
    <tableColumn id="21" xr3:uid="{643F04DF-3335-4EA1-9ECF-38272B361311}" name="entangle" dataDxfId="80"/>
    <tableColumn id="22" xr3:uid="{38697440-BCC6-49BB-8DC8-9C3131838C9E}" name="reps" dataDxfId="79"/>
    <tableColumn id="23" xr3:uid="{FFB5680A-C90E-49BF-AC8F-C56FB5654AA9}" name="map" dataDxfId="78"/>
    <tableColumn id="24" xr3:uid="{A5FE7FF9-6895-47A7-B046-6B9844B592ED}" name="reorder" dataDxfId="77"/>
    <tableColumn id="25" xr3:uid="{C44CABCC-A7CB-4DCE-B1D8-1E50F8361124}" name="optimizer" dataDxfId="76"/>
    <tableColumn id="26" xr3:uid="{10713B5A-2871-4DC9-8F36-52763B8EFE66}" name="maxiter" dataDxfId="75"/>
    <tableColumn id="27" xr3:uid="{FBAF65D2-51CB-487F-A25C-91FFD14A95C9}" name="iterations" dataDxfId="74"/>
    <tableColumn id="28" xr3:uid="{349BAED7-BEB2-4FA8-A72D-2229243770AA}" name="tolerance" dataDxfId="73"/>
    <tableColumn id="29" xr3:uid="{01110B1D-C8D6-4B30-96DC-64F7845B8A73}" name="batch_size" dataDxfId="72"/>
    <tableColumn id="30" xr3:uid="{7005233B-9567-44F5-B339-DCA611B631FF}" name="learning_rate" dataDxfId="71"/>
    <tableColumn id="31" xr3:uid="{8E03B959-F64B-4911-9756-387A8E645FBC}" name="perturbation" dataDxfId="70"/>
    <tableColumn id="32" xr3:uid="{F0F6DE38-09E2-4428-AA43-ED5862C95BD0}" name="total params" dataDxfId="69"/>
    <tableColumn id="33" xr3:uid="{68C506BF-E94C-4FA7-9939-CD210EC7CFB2}" name="q params" dataDxfId="68"/>
    <tableColumn id="34" xr3:uid="{90CEDD49-FC64-4C6E-A661-0CAE45CBF164}" name="c params" dataDxfId="67"/>
    <tableColumn id="35" xr3:uid="{4DA75B2A-32AE-4AEA-939A-55DE6E4C3395}" name="final val loss" dataDxfId="66"/>
    <tableColumn id="36" xr3:uid="{C175CCAD-79D6-4F36-AF6A-0578F2B894B1}" name="Val Global Open MSE" dataDxfId="65"/>
    <tableColumn id="37" xr3:uid="{58D18F3F-29B4-4455-9BC0-FADA115A7BEC}" name="Val Global Open R2" dataDxfId="64"/>
    <tableColumn id="38" xr3:uid="{0E3A16E3-EBFC-4063-850B-4BB7B6923075}" name="Val Global Closed R2" dataDxfId="63"/>
    <tableColumn id="39" xr3:uid="{04344AA5-B162-4D81-ABB9-EB071E87445B}" name="step MSE" dataDxfId="62"/>
    <tableColumn id="40" xr3:uid="{F0F87C32-078C-4F07-99F2-3539856F4AFA}" name="step R2" dataDxfId="61"/>
    <tableColumn id="41" xr3:uid="{C512C44E-4A51-4C37-B8ED-9C8FD691C55B}" name="local MSE" dataDxfId="60"/>
    <tableColumn id="42" xr3:uid="{0261974F-7852-4F65-A662-9FA191167057}" name="local ADE" dataDxfId="59"/>
    <tableColumn id="43" xr3:uid="{895C9D17-93C4-4B54-9D22-B6FF5D7EB82F}" name="global open MSE" dataDxfId="58"/>
    <tableColumn id="44" xr3:uid="{C92117D1-284E-43B9-B5B2-BA50EF38D57B}" name="global open ADE" dataDxfId="57"/>
    <tableColumn id="45" xr3:uid="{B5F663DE-81E3-474C-A2A4-2DB96F7DC06A}" name="global open FDE" dataDxfId="56"/>
    <tableColumn id="46" xr3:uid="{572C7B5F-2C1C-4B54-945B-F00E9C8A66EC}" name="global open R2" dataDxfId="55"/>
    <tableColumn id="47" xr3:uid="{E756FD71-B910-4DE1-A1C5-EA8DD3164AB7}" name="global closed MSE" dataDxfId="54"/>
    <tableColumn id="48" xr3:uid="{588126E8-7A2C-4296-8904-ADDD33705B72}" name="global closed ADE" dataDxfId="53"/>
    <tableColumn id="49" xr3:uid="{2541251F-859B-40DE-A012-0E7A7DDF8ABE}" name="global closed FDE" dataDxfId="52"/>
    <tableColumn id="50" xr3:uid="{8A50BDE6-3262-45C7-B113-C1FB8C96A647}" name="global closed R2" dataDxfId="51"/>
    <tableColumn id="51" xr3:uid="{796EE567-7B48-4817-8C2E-871672BBE29C}" name="recursivity" dataDxfId="50"/>
    <tableColumn id="52" xr3:uid="{B084632A-49AD-47D0-8781-455788F148FC}" name="Surge Velocity Step MSE" dataDxfId="49"/>
    <tableColumn id="53" xr3:uid="{5FC27CD4-E9E2-4AE4-AC4F-552FE33C9EAE}" name="Surge Velocity Step R2" dataDxfId="48"/>
    <tableColumn id="54" xr3:uid="{47781AA5-677C-4943-861E-86D70A1A1EC9}" name="Surge Velocity Local MSE" dataDxfId="47"/>
    <tableColumn id="55" xr3:uid="{41330ED5-6E8F-4F18-B1EA-C9491FEF48F8}" name="Surge Velocity Local ADE" dataDxfId="46"/>
    <tableColumn id="56" xr3:uid="{02888BD0-D55B-411A-B0BA-DABD928101F6}" name="Surge Velocity Global open MSE" dataDxfId="45"/>
    <tableColumn id="57" xr3:uid="{3D76ABA6-8518-4C48-B289-FD417D4EB5B7}" name="Surge Velocity Global open R2" dataDxfId="44"/>
    <tableColumn id="58" xr3:uid="{A00BE330-709E-416F-A649-C1CF24058094}" name="Surge Velocity Global open ADE" dataDxfId="43"/>
    <tableColumn id="59" xr3:uid="{510F319E-32BA-4B79-8F78-340E2B52EB11}" name="Surge Velocity Global open FDE" dataDxfId="42"/>
    <tableColumn id="60" xr3:uid="{B921D0A3-68B1-4A67-8C4F-3D2E2AC70678}" name="Surge Velocity Global closed MSE" dataDxfId="41"/>
    <tableColumn id="61" xr3:uid="{398A3767-2E29-488A-A12E-941E3AB358BE}" name="Surge Velocity Global closed R2" dataDxfId="40"/>
    <tableColumn id="62" xr3:uid="{07170C59-EB68-4FD3-A61D-68FAA50DE22A}" name="Surge Velocity Global closed ADE" dataDxfId="39"/>
    <tableColumn id="63" xr3:uid="{1EE16305-DDEB-4CCD-841D-89C317FFA71C}" name="Surge Velocity Global closed FDE" dataDxfId="38"/>
    <tableColumn id="64" xr3:uid="{04D9C65B-1594-4A5E-A63B-D6D8F031225A}" name="Sway Velocity Step MSE" dataDxfId="37"/>
    <tableColumn id="65" xr3:uid="{518310EF-0C51-4F94-8D28-0927F552ED80}" name="Sway Velocity Step R2" dataDxfId="36"/>
    <tableColumn id="66" xr3:uid="{BC3E147D-CA82-41FC-BBE4-4728E9D0CA9B}" name="Sway Velocity Local MSE" dataDxfId="35"/>
    <tableColumn id="67" xr3:uid="{69D02B54-F874-4FDF-9CAE-97C8478851AC}" name="Sway Velocity Local ADE" dataDxfId="34"/>
    <tableColumn id="68" xr3:uid="{228CFECA-2881-49AC-845C-86D112E61907}" name="Sway Velocity Global open MSE" dataDxfId="33"/>
    <tableColumn id="69" xr3:uid="{F6665EBD-E138-4928-8B0F-657CCAEFC97D}" name="Sway Velocity Global open R2" dataDxfId="32"/>
    <tableColumn id="70" xr3:uid="{FB34D740-4962-451A-B626-B473E01F9F70}" name="Sway Velocity Global open ADE" dataDxfId="31"/>
    <tableColumn id="71" xr3:uid="{AC28D7D5-93C2-4278-B793-5EBDBFE9CB3D}" name="Sway Velocity Global open FDE" dataDxfId="30"/>
    <tableColumn id="72" xr3:uid="{A013E716-D197-4D92-B6AC-9D126F242309}" name="Sway Velocity Global closed MSE" dataDxfId="29"/>
    <tableColumn id="73" xr3:uid="{AC346E4B-4C37-43A4-96F1-1067E389BB27}" name="Sway Velocity Global closed R2" dataDxfId="28"/>
    <tableColumn id="74" xr3:uid="{2BB5CB1A-5E80-4F4D-892D-CFD5540AC0D8}" name="Sway Velocity Global closed ADE" dataDxfId="27"/>
    <tableColumn id="75" xr3:uid="{E94F8F25-4BF2-4CD6-8FEA-38F080EF1C59}" name="Sway Velocity Global closed FDE" dataDxfId="26"/>
    <tableColumn id="76" xr3:uid="{3096F8FD-6A38-49C3-B76A-CF98B4247640}" name="Yaw Rate Step MSE" dataDxfId="25"/>
    <tableColumn id="77" xr3:uid="{6F36A2D4-84E0-40FA-ABE9-0EA5536183CF}" name="Yaw Rate Step R2" dataDxfId="24"/>
    <tableColumn id="78" xr3:uid="{673D0BC9-243A-4869-903D-A1264D2C5211}" name="Yaw Rate Local MSE" dataDxfId="23"/>
    <tableColumn id="79" xr3:uid="{531A56C6-4B60-4726-A041-74EE789DB301}" name="Yaw Rate Local ADE" dataDxfId="22"/>
    <tableColumn id="80" xr3:uid="{96E1AFBB-FC95-4804-AF39-889CE47E4E28}" name="Yaw Rate Global open MSE" dataDxfId="21"/>
    <tableColumn id="81" xr3:uid="{C3762B61-FE10-49C5-AE61-CD9CC8079C7F}" name="Yaw Rate Global open R2" dataDxfId="20"/>
    <tableColumn id="82" xr3:uid="{A09F0271-87C2-4F17-8761-3F3A757FE37D}" name="Yaw Rate Global open ADE" dataDxfId="19"/>
    <tableColumn id="83" xr3:uid="{B2580E82-468B-4676-9005-8F8664BCB63C}" name="Yaw Rate Global open FDE" dataDxfId="18"/>
    <tableColumn id="84" xr3:uid="{2EAF76F3-EBB5-4DCF-8471-0B88C4DE3465}" name="Yaw Rate Global closed MSE" dataDxfId="17"/>
    <tableColumn id="85" xr3:uid="{B48BC1D0-EC2A-428C-B53F-FBE0D32ED7B6}" name="Yaw Rate Global closed R2" dataDxfId="16"/>
    <tableColumn id="86" xr3:uid="{B6849E2D-A722-4D5F-9ABB-2FE7EA422940}" name="Yaw Rate Global closed ADE" dataDxfId="15"/>
    <tableColumn id="87" xr3:uid="{3224E61B-9529-458E-B3A2-5EEBC8F8A086}" name="Yaw Rate Global closed FDE" dataDxfId="14"/>
    <tableColumn id="88" xr3:uid="{132ACA67-D065-45B9-B9FD-AA25ACAD2708}" name="Yaw Angle Step MSE" dataDxfId="13"/>
    <tableColumn id="89" xr3:uid="{0F3CB1E7-0556-4F88-A0A9-32445A58AD9E}" name="Yaw Angle Step R2" dataDxfId="12"/>
    <tableColumn id="90" xr3:uid="{9230F9CA-EE24-44A0-9328-62FD49987DD8}" name="Yaw Angle Local MSE" dataDxfId="11"/>
    <tableColumn id="91" xr3:uid="{53DA1232-0D75-4E3F-9554-59C0A9D7FEBC}" name="Yaw Angle Local ADE" dataDxfId="10"/>
    <tableColumn id="92" xr3:uid="{AF3B129B-7D69-4015-BC7E-14BE7CC2DB0B}" name="Yaw Angle Global open MSE" dataDxfId="9"/>
    <tableColumn id="93" xr3:uid="{68C2481D-30BD-493B-89AF-446542982FCB}" name="Yaw Angle Global open R2" dataDxfId="8"/>
    <tableColumn id="94" xr3:uid="{3E53C10D-7370-494F-8DDC-0C55BB81B6B8}" name="Yaw Angle Global open ADE" dataDxfId="7"/>
    <tableColumn id="95" xr3:uid="{2E9D4053-AEDB-4581-BFAE-A6A210B2224A}" name="Yaw Angle Global open FDE" dataDxfId="6"/>
    <tableColumn id="96" xr3:uid="{D2C56423-D84F-4938-A62B-EDDFE0061886}" name="Yaw Angle Global closed MSE" dataDxfId="5"/>
    <tableColumn id="97" xr3:uid="{95A47004-AE29-4BF2-8953-2F99DCC8557A}" name="Yaw Angle Global closed R2" dataDxfId="4"/>
    <tableColumn id="98" xr3:uid="{381CE008-63A4-4C42-BA2D-C44912A7F952}" name="Yaw Angle Global closed ADE" dataDxfId="3"/>
    <tableColumn id="99" xr3:uid="{068436B7-ED1F-4CEB-83A7-74136C3F3624}" name="Yaw Angle Global closed FD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9"/>
  <sheetViews>
    <sheetView tabSelected="1" workbookViewId="0"/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13.6640625" customWidth="1"/>
    <col min="33" max="33" width="10.6640625" customWidth="1"/>
    <col min="34" max="34" width="10.44140625" customWidth="1"/>
    <col min="35" max="35" width="13.44140625" customWidth="1"/>
    <col min="36" max="36" width="21.109375" customWidth="1"/>
    <col min="37" max="37" width="19.44140625" customWidth="1"/>
    <col min="38" max="38" width="20.5546875" customWidth="1"/>
    <col min="39" max="39" width="10.88671875" customWidth="1"/>
    <col min="40" max="40" width="9.21875" customWidth="1"/>
    <col min="41" max="41" width="11.109375" customWidth="1"/>
    <col min="42" max="42" width="10.88671875" customWidth="1"/>
    <col min="43" max="43" width="17.21875" customWidth="1"/>
    <col min="44" max="44" width="17" customWidth="1"/>
    <col min="45" max="45" width="16.6640625" customWidth="1"/>
    <col min="46" max="46" width="15.5546875" customWidth="1"/>
    <col min="47" max="47" width="18.33203125" customWidth="1"/>
    <col min="48" max="48" width="18.109375" customWidth="1"/>
    <col min="49" max="49" width="17.77734375" customWidth="1"/>
    <col min="50" max="50" width="16.6640625" customWidth="1"/>
    <col min="51" max="51" width="12" customWidth="1"/>
    <col min="52" max="52" width="23.77734375" customWidth="1"/>
    <col min="53" max="53" width="22.109375" customWidth="1"/>
    <col min="54" max="54" width="24.21875" customWidth="1"/>
    <col min="55" max="55" width="23.88671875" customWidth="1"/>
    <col min="56" max="56" width="30.44140625" customWidth="1"/>
    <col min="57" max="57" width="28.77734375" customWidth="1"/>
    <col min="58" max="58" width="30.109375" customWidth="1"/>
    <col min="59" max="59" width="29.88671875" customWidth="1"/>
    <col min="60" max="60" width="31.5546875" customWidth="1"/>
    <col min="61" max="61" width="29.88671875" customWidth="1"/>
    <col min="62" max="62" width="31.21875" customWidth="1"/>
    <col min="63" max="63" width="31" customWidth="1"/>
    <col min="64" max="64" width="23.33203125" customWidth="1"/>
    <col min="65" max="65" width="21.6640625" customWidth="1"/>
    <col min="66" max="66" width="23.77734375" customWidth="1"/>
    <col min="67" max="67" width="23.44140625" customWidth="1"/>
    <col min="68" max="68" width="30" customWidth="1"/>
    <col min="69" max="69" width="28.33203125" customWidth="1"/>
    <col min="70" max="70" width="29.77734375" customWidth="1"/>
    <col min="71" max="71" width="29.44140625" customWidth="1"/>
    <col min="72" max="72" width="31.109375" customWidth="1"/>
    <col min="73" max="73" width="29.44140625" customWidth="1"/>
    <col min="74" max="74" width="30.88671875" customWidth="1"/>
    <col min="75" max="75" width="30.5546875" customWidth="1"/>
    <col min="76" max="76" width="19.33203125" customWidth="1"/>
    <col min="77" max="77" width="17.6640625" customWidth="1"/>
    <col min="78" max="78" width="19.77734375" customWidth="1"/>
    <col min="79" max="79" width="19.44140625" customWidth="1"/>
    <col min="80" max="80" width="26" customWidth="1"/>
    <col min="81" max="81" width="24.33203125" customWidth="1"/>
    <col min="82" max="82" width="25.6640625" customWidth="1"/>
    <col min="83" max="83" width="25.44140625" customWidth="1"/>
    <col min="84" max="84" width="27.109375" customWidth="1"/>
    <col min="85" max="85" width="25.44140625" customWidth="1"/>
    <col min="86" max="86" width="26.77734375" customWidth="1"/>
    <col min="87" max="87" width="26.5546875" customWidth="1"/>
    <col min="88" max="88" width="20.44140625" customWidth="1"/>
    <col min="89" max="89" width="18.77734375" customWidth="1"/>
    <col min="90" max="90" width="20.88671875" customWidth="1"/>
    <col min="91" max="91" width="20.5546875" customWidth="1"/>
    <col min="92" max="92" width="27.109375" customWidth="1"/>
    <col min="93" max="93" width="25.44140625" customWidth="1"/>
    <col min="94" max="94" width="26.77734375" customWidth="1"/>
    <col min="95" max="95" width="26.5546875" customWidth="1"/>
    <col min="96" max="96" width="28.21875" customWidth="1"/>
    <col min="97" max="97" width="26.5546875" customWidth="1"/>
    <col min="98" max="98" width="27.88671875" customWidth="1"/>
    <col min="99" max="99" width="27.6640625" customWidth="1"/>
  </cols>
  <sheetData>
    <row r="1" spans="1:9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</row>
    <row r="2" spans="1:99" x14ac:dyDescent="0.3">
      <c r="A2" t="s">
        <v>99</v>
      </c>
      <c r="B2" t="s">
        <v>100</v>
      </c>
      <c r="C2">
        <v>0</v>
      </c>
      <c r="D2" t="s">
        <v>101</v>
      </c>
      <c r="E2" t="s">
        <v>102</v>
      </c>
      <c r="F2">
        <v>16590</v>
      </c>
      <c r="G2">
        <v>4.5</v>
      </c>
      <c r="H2" t="s">
        <v>103</v>
      </c>
      <c r="I2" t="s">
        <v>104</v>
      </c>
      <c r="J2">
        <v>5</v>
      </c>
      <c r="K2">
        <v>5</v>
      </c>
      <c r="L2" t="s">
        <v>105</v>
      </c>
      <c r="M2" t="s">
        <v>106</v>
      </c>
      <c r="N2" t="s">
        <v>107</v>
      </c>
      <c r="O2" t="s">
        <v>107</v>
      </c>
      <c r="P2" t="s">
        <v>108</v>
      </c>
      <c r="Q2" t="s">
        <v>109</v>
      </c>
      <c r="R2">
        <v>3</v>
      </c>
      <c r="S2" t="s">
        <v>110</v>
      </c>
      <c r="T2" t="s">
        <v>111</v>
      </c>
      <c r="U2" t="s">
        <v>112</v>
      </c>
      <c r="V2" t="s">
        <v>113</v>
      </c>
      <c r="W2" t="s">
        <v>114</v>
      </c>
      <c r="X2" t="s">
        <v>107</v>
      </c>
      <c r="Y2" t="s">
        <v>115</v>
      </c>
      <c r="Z2">
        <v>4000</v>
      </c>
      <c r="AA2">
        <v>4000</v>
      </c>
      <c r="AC2">
        <v>128</v>
      </c>
      <c r="AD2" t="s">
        <v>116</v>
      </c>
      <c r="AE2">
        <v>0.15</v>
      </c>
      <c r="AF2">
        <v>225</v>
      </c>
      <c r="AG2">
        <v>105</v>
      </c>
      <c r="AH2">
        <v>120</v>
      </c>
      <c r="AI2">
        <v>0.13984998386537911</v>
      </c>
      <c r="AJ2">
        <v>33.016117459259618</v>
      </c>
      <c r="AK2">
        <v>0.56505726096630937</v>
      </c>
      <c r="AL2">
        <v>-0.19482723524219431</v>
      </c>
      <c r="AM2">
        <v>35.970399728961212</v>
      </c>
      <c r="AN2">
        <v>0.53606510197743928</v>
      </c>
      <c r="AO2">
        <v>35.970399728961212</v>
      </c>
      <c r="AP2">
        <v>9.2162921604815313</v>
      </c>
      <c r="AQ2">
        <v>35.970399728961212</v>
      </c>
      <c r="AR2">
        <v>9.2162921604815313</v>
      </c>
      <c r="AS2">
        <v>9.6511051771988452</v>
      </c>
      <c r="AT2">
        <v>0.53606510197743928</v>
      </c>
      <c r="AU2">
        <v>153.85825192483281</v>
      </c>
      <c r="AV2">
        <v>21.081024539921561</v>
      </c>
      <c r="AW2">
        <v>21.18252910681252</v>
      </c>
      <c r="AX2">
        <v>-0.1092486589059711</v>
      </c>
      <c r="AY2">
        <v>0.8</v>
      </c>
      <c r="AZ2">
        <v>9.6939973030004928E-2</v>
      </c>
      <c r="BA2">
        <v>0.29609045643658088</v>
      </c>
      <c r="BB2">
        <v>9.6939973030004928E-2</v>
      </c>
      <c r="BC2">
        <v>0.2418948716373433</v>
      </c>
      <c r="BD2">
        <v>9.6939973030004928E-2</v>
      </c>
      <c r="BE2">
        <v>0.29609045643658088</v>
      </c>
      <c r="BF2">
        <v>0.2418948716373433</v>
      </c>
      <c r="BG2">
        <v>0.23103095563985929</v>
      </c>
      <c r="BH2">
        <v>0.13785756826488069</v>
      </c>
      <c r="BI2">
        <v>-1.0241897226375141E-3</v>
      </c>
      <c r="BJ2">
        <v>0.30959447112553051</v>
      </c>
      <c r="BK2">
        <v>0.31681035545955122</v>
      </c>
      <c r="BL2">
        <v>0.11991217085320351</v>
      </c>
      <c r="BM2">
        <v>0.5845299390762233</v>
      </c>
      <c r="BN2">
        <v>0.11991217085320351</v>
      </c>
      <c r="BO2">
        <v>0.27974105998115351</v>
      </c>
      <c r="BP2">
        <v>0.11991217085320351</v>
      </c>
      <c r="BQ2">
        <v>0.5845299390762233</v>
      </c>
      <c r="BR2">
        <v>0.27974105998115351</v>
      </c>
      <c r="BS2">
        <v>0.29297726642300498</v>
      </c>
      <c r="BT2">
        <v>0.15330315124763069</v>
      </c>
      <c r="BU2">
        <v>0.46883732372226922</v>
      </c>
      <c r="BV2">
        <v>0.31667614083325901</v>
      </c>
      <c r="BW2">
        <v>0.27092943083723142</v>
      </c>
      <c r="BX2">
        <v>8.1624639916220293E-2</v>
      </c>
      <c r="BY2">
        <v>0.67230288876546296</v>
      </c>
      <c r="BZ2">
        <v>8.1624639916220293E-2</v>
      </c>
      <c r="CA2">
        <v>0.23288511622892069</v>
      </c>
      <c r="CB2">
        <v>8.1624639916220293E-2</v>
      </c>
      <c r="CC2">
        <v>0.67230288876546296</v>
      </c>
      <c r="CD2">
        <v>0.23288511622892069</v>
      </c>
      <c r="CE2">
        <v>0.29003555946293041</v>
      </c>
      <c r="CF2">
        <v>0.28765014282408158</v>
      </c>
      <c r="CG2">
        <v>-0.15482433915058461</v>
      </c>
      <c r="CH2">
        <v>0.45617419000389448</v>
      </c>
      <c r="CI2">
        <v>0.45859474391184052</v>
      </c>
      <c r="CJ2">
        <v>143.58312213204559</v>
      </c>
      <c r="CK2">
        <v>0.5913371236314986</v>
      </c>
      <c r="CL2">
        <v>143.58312213204559</v>
      </c>
      <c r="CM2">
        <v>9.1742583315778372</v>
      </c>
      <c r="CN2">
        <v>143.58312213204559</v>
      </c>
      <c r="CO2">
        <v>0.5913371236314986</v>
      </c>
      <c r="CP2">
        <v>9.1742583315778372</v>
      </c>
      <c r="CQ2">
        <v>9.6094284268665646</v>
      </c>
      <c r="CR2">
        <v>614.85419683699331</v>
      </c>
      <c r="CS2">
        <v>-0.74998343047292737</v>
      </c>
      <c r="CT2">
        <v>21.042387126490919</v>
      </c>
      <c r="CU2">
        <v>21.148154394746872</v>
      </c>
    </row>
    <row r="3" spans="1:99" x14ac:dyDescent="0.3">
      <c r="A3" s="1">
        <v>46066.412175925929</v>
      </c>
      <c r="B3" s="2" t="s">
        <v>117</v>
      </c>
      <c r="C3" s="2">
        <v>0</v>
      </c>
      <c r="D3" s="2" t="s">
        <v>118</v>
      </c>
      <c r="E3" s="2" t="s">
        <v>102</v>
      </c>
      <c r="F3" s="2">
        <v>16590</v>
      </c>
      <c r="G3" s="2">
        <v>4.5</v>
      </c>
      <c r="H3" s="2" t="s">
        <v>103</v>
      </c>
      <c r="I3" s="2" t="s">
        <v>104</v>
      </c>
      <c r="J3" s="2">
        <v>5</v>
      </c>
      <c r="K3" s="2">
        <v>5</v>
      </c>
      <c r="L3" s="2" t="s">
        <v>105</v>
      </c>
      <c r="M3" s="2" t="s">
        <v>106</v>
      </c>
      <c r="N3" s="2" t="s">
        <v>107</v>
      </c>
      <c r="O3" s="2" t="s">
        <v>107</v>
      </c>
      <c r="P3" s="2" t="s">
        <v>108</v>
      </c>
      <c r="Q3" s="2" t="s">
        <v>119</v>
      </c>
      <c r="R3" s="2">
        <v>3</v>
      </c>
      <c r="S3" s="2" t="s">
        <v>120</v>
      </c>
      <c r="T3" s="2" t="s">
        <v>111</v>
      </c>
      <c r="U3" s="2" t="s">
        <v>112</v>
      </c>
      <c r="V3" s="2" t="s">
        <v>113</v>
      </c>
      <c r="W3" s="2" t="s">
        <v>114</v>
      </c>
      <c r="X3" s="2" t="s">
        <v>107</v>
      </c>
      <c r="Y3" s="2" t="s">
        <v>115</v>
      </c>
      <c r="Z3" s="2">
        <v>4000</v>
      </c>
      <c r="AA3" s="2">
        <v>4000</v>
      </c>
      <c r="AB3" s="2"/>
      <c r="AC3" s="2">
        <v>128</v>
      </c>
      <c r="AD3" s="2" t="s">
        <v>116</v>
      </c>
      <c r="AE3" s="2">
        <v>0.15</v>
      </c>
      <c r="AF3" s="2">
        <v>225</v>
      </c>
      <c r="AG3" s="2">
        <v>105</v>
      </c>
      <c r="AH3" s="2">
        <v>120</v>
      </c>
      <c r="AI3" s="2">
        <v>0.1401262415925687</v>
      </c>
      <c r="AJ3" s="2">
        <v>33.109234514989801</v>
      </c>
      <c r="AK3" s="2">
        <v>0.56542176008563116</v>
      </c>
      <c r="AL3" s="2">
        <v>-0.19285026328619251</v>
      </c>
      <c r="AM3" s="2">
        <v>36.078467481746159</v>
      </c>
      <c r="AN3" s="2">
        <v>0.53580485532298305</v>
      </c>
      <c r="AO3" s="2">
        <v>36.078467481746159</v>
      </c>
      <c r="AP3" s="2">
        <v>9.2290519997809017</v>
      </c>
      <c r="AQ3" s="2">
        <v>36.078467481746159</v>
      </c>
      <c r="AR3" s="2">
        <v>9.2290519997809017</v>
      </c>
      <c r="AS3" s="2">
        <v>9.6559541477133504</v>
      </c>
      <c r="AT3" s="2">
        <v>0.53580485532298305</v>
      </c>
      <c r="AU3" s="2">
        <v>155.62913496514199</v>
      </c>
      <c r="AV3" s="2">
        <v>21.179293998862139</v>
      </c>
      <c r="AW3" s="2">
        <v>21.394301309950251</v>
      </c>
      <c r="AX3" s="2">
        <v>-0.1189740873093813</v>
      </c>
      <c r="AY3" s="2">
        <v>0.8</v>
      </c>
      <c r="AZ3" s="2">
        <v>9.6969084920647888E-2</v>
      </c>
      <c r="BA3" s="2">
        <v>0.29587906647004558</v>
      </c>
      <c r="BB3" s="2">
        <v>9.6969084920647888E-2</v>
      </c>
      <c r="BC3" s="2">
        <v>0.2418282330911086</v>
      </c>
      <c r="BD3" s="2">
        <v>9.6969084920647888E-2</v>
      </c>
      <c r="BE3" s="2">
        <v>0.29587906647004558</v>
      </c>
      <c r="BF3" s="2">
        <v>0.2418282330911086</v>
      </c>
      <c r="BG3" s="2">
        <v>0.23086135798032451</v>
      </c>
      <c r="BH3" s="2">
        <v>0.1389814432926065</v>
      </c>
      <c r="BI3" s="2">
        <v>-9.1849755477375616E-3</v>
      </c>
      <c r="BJ3" s="2">
        <v>0.31098869777851779</v>
      </c>
      <c r="BK3" s="2">
        <v>0.31672953572373469</v>
      </c>
      <c r="BL3" s="2">
        <v>0.1202626030829145</v>
      </c>
      <c r="BM3" s="2">
        <v>0.58331576624629489</v>
      </c>
      <c r="BN3" s="2">
        <v>0.1202626030829145</v>
      </c>
      <c r="BO3" s="2">
        <v>0.28025395124932539</v>
      </c>
      <c r="BP3" s="2">
        <v>0.1202626030829145</v>
      </c>
      <c r="BQ3" s="2">
        <v>0.58331576624629489</v>
      </c>
      <c r="BR3" s="2">
        <v>0.28025395124932539</v>
      </c>
      <c r="BS3" s="2">
        <v>0.29397082575192329</v>
      </c>
      <c r="BT3" s="2">
        <v>0.15744803402580501</v>
      </c>
      <c r="BU3" s="2">
        <v>0.45447619016829371</v>
      </c>
      <c r="BV3" s="2">
        <v>0.32074120296559061</v>
      </c>
      <c r="BW3" s="2">
        <v>0.27671200532668522</v>
      </c>
      <c r="BX3" s="2">
        <v>8.1222376509820879E-2</v>
      </c>
      <c r="BY3" s="2">
        <v>0.67391784910547492</v>
      </c>
      <c r="BZ3" s="2">
        <v>8.1222376509820879E-2</v>
      </c>
      <c r="CA3" s="2">
        <v>0.2322329454516622</v>
      </c>
      <c r="CB3" s="2">
        <v>8.1222376509820879E-2</v>
      </c>
      <c r="CC3" s="2">
        <v>0.67391784910547492</v>
      </c>
      <c r="CD3" s="2">
        <v>0.2322329454516622</v>
      </c>
      <c r="CE3" s="2">
        <v>0.28760875701652372</v>
      </c>
      <c r="CF3" s="2">
        <v>0.28671137320920331</v>
      </c>
      <c r="CG3" s="2">
        <v>-0.1510554760814653</v>
      </c>
      <c r="CH3" s="2">
        <v>0.45478890829784502</v>
      </c>
      <c r="CI3" s="2">
        <v>0.45659477629721978</v>
      </c>
      <c r="CJ3" s="2">
        <v>144.0154158624708</v>
      </c>
      <c r="CK3" s="2">
        <v>0.59010673947012648</v>
      </c>
      <c r="CL3" s="2">
        <v>144.0154158624708</v>
      </c>
      <c r="CM3" s="2">
        <v>9.1868615243117642</v>
      </c>
      <c r="CN3" s="2">
        <v>144.0154158624708</v>
      </c>
      <c r="CO3" s="2">
        <v>0.59010673947012648</v>
      </c>
      <c r="CP3" s="2">
        <v>9.1868615243117642</v>
      </c>
      <c r="CQ3" s="2">
        <v>9.613752876135516</v>
      </c>
      <c r="CR3" s="2">
        <v>621.93339901004458</v>
      </c>
      <c r="CS3" s="2">
        <v>-0.77013208777662312</v>
      </c>
      <c r="CT3" s="2">
        <v>21.141351049932609</v>
      </c>
      <c r="CU3" s="2">
        <v>21.361186439108721</v>
      </c>
    </row>
    <row r="4" spans="1:99" x14ac:dyDescent="0.3">
      <c r="A4" s="3">
        <v>46066.616249999999</v>
      </c>
      <c r="B4" s="4" t="s">
        <v>121</v>
      </c>
      <c r="C4" s="4">
        <v>1</v>
      </c>
      <c r="D4" s="4" t="s">
        <v>118</v>
      </c>
      <c r="E4" s="4" t="s">
        <v>102</v>
      </c>
      <c r="F4" s="4">
        <v>16590</v>
      </c>
      <c r="G4" s="4">
        <v>4.5</v>
      </c>
      <c r="H4" s="4" t="s">
        <v>103</v>
      </c>
      <c r="I4" s="4" t="s">
        <v>104</v>
      </c>
      <c r="J4" s="4">
        <v>5</v>
      </c>
      <c r="K4" s="4">
        <v>5</v>
      </c>
      <c r="L4" s="4" t="s">
        <v>105</v>
      </c>
      <c r="M4" s="4" t="s">
        <v>106</v>
      </c>
      <c r="N4" s="4" t="s">
        <v>107</v>
      </c>
      <c r="O4" s="4" t="s">
        <v>107</v>
      </c>
      <c r="P4" s="4" t="s">
        <v>108</v>
      </c>
      <c r="Q4" s="4" t="s">
        <v>109</v>
      </c>
      <c r="R4" s="4">
        <v>3</v>
      </c>
      <c r="S4" s="4" t="s">
        <v>110</v>
      </c>
      <c r="T4" s="4" t="s">
        <v>111</v>
      </c>
      <c r="U4" s="4" t="s">
        <v>112</v>
      </c>
      <c r="V4" s="4" t="s">
        <v>113</v>
      </c>
      <c r="W4" s="4" t="s">
        <v>114</v>
      </c>
      <c r="X4" s="4" t="s">
        <v>107</v>
      </c>
      <c r="Y4" s="4" t="s">
        <v>115</v>
      </c>
      <c r="Z4" s="4">
        <v>4000</v>
      </c>
      <c r="AA4" s="4">
        <v>4000</v>
      </c>
      <c r="AB4" s="4"/>
      <c r="AC4" s="4">
        <v>128</v>
      </c>
      <c r="AD4" s="4" t="s">
        <v>116</v>
      </c>
      <c r="AE4" s="4">
        <v>0.15</v>
      </c>
      <c r="AF4" s="4">
        <v>225</v>
      </c>
      <c r="AG4" s="4">
        <v>105</v>
      </c>
      <c r="AH4" s="4">
        <v>120</v>
      </c>
      <c r="AI4" s="4">
        <v>0.13439445006397061</v>
      </c>
      <c r="AJ4" s="4">
        <v>27.793045093450161</v>
      </c>
      <c r="AK4" s="4">
        <v>0.5957725388853905</v>
      </c>
      <c r="AL4" s="4">
        <v>0.1105295458879325</v>
      </c>
      <c r="AM4" s="4">
        <v>32.716734828156767</v>
      </c>
      <c r="AN4" s="4">
        <v>0.54389670205838936</v>
      </c>
      <c r="AO4" s="4">
        <v>32.716734828156767</v>
      </c>
      <c r="AP4" s="4">
        <v>8.6385468196218955</v>
      </c>
      <c r="AQ4" s="4">
        <v>32.716734828156767</v>
      </c>
      <c r="AR4" s="4">
        <v>8.6385468196218955</v>
      </c>
      <c r="AS4" s="4">
        <v>9.113655339252416</v>
      </c>
      <c r="AT4" s="4">
        <v>0.54389670205838936</v>
      </c>
      <c r="AU4" s="4">
        <v>98.844926883388766</v>
      </c>
      <c r="AV4" s="4">
        <v>16.666259594600341</v>
      </c>
      <c r="AW4" s="4">
        <v>16.438694194602341</v>
      </c>
      <c r="AX4" s="4">
        <v>8.1375450623105611E-2</v>
      </c>
      <c r="AY4" s="4">
        <v>0.8</v>
      </c>
      <c r="AZ4" s="4">
        <v>8.4167387041083508E-2</v>
      </c>
      <c r="BA4" s="4">
        <v>0.38883594514022818</v>
      </c>
      <c r="BB4" s="4">
        <v>8.4167387041083508E-2</v>
      </c>
      <c r="BC4" s="4">
        <v>0.22355996178199489</v>
      </c>
      <c r="BD4" s="4">
        <v>8.4167387041083508E-2</v>
      </c>
      <c r="BE4" s="4">
        <v>0.38883594514022818</v>
      </c>
      <c r="BF4" s="4">
        <v>0.22355996178199489</v>
      </c>
      <c r="BG4" s="4">
        <v>0.21434064562074631</v>
      </c>
      <c r="BH4" s="4">
        <v>0.14606814026769049</v>
      </c>
      <c r="BI4" s="4">
        <v>-6.0643558392191821E-2</v>
      </c>
      <c r="BJ4" s="4">
        <v>0.32175424003057029</v>
      </c>
      <c r="BK4" s="4">
        <v>0.3302957567527629</v>
      </c>
      <c r="BL4" s="4">
        <v>0.15905755749855699</v>
      </c>
      <c r="BM4" s="4">
        <v>0.44889953510046771</v>
      </c>
      <c r="BN4" s="4">
        <v>0.15905755749855699</v>
      </c>
      <c r="BO4" s="4">
        <v>0.33146739351551302</v>
      </c>
      <c r="BP4" s="4">
        <v>0.15905755749855699</v>
      </c>
      <c r="BQ4" s="4">
        <v>0.44889953510046771</v>
      </c>
      <c r="BR4" s="4">
        <v>0.33146739351551302</v>
      </c>
      <c r="BS4" s="4">
        <v>0.34611084408812298</v>
      </c>
      <c r="BT4" s="4">
        <v>0.196253519930284</v>
      </c>
      <c r="BU4" s="4">
        <v>0.32002346966298473</v>
      </c>
      <c r="BV4" s="4">
        <v>0.37517726533994189</v>
      </c>
      <c r="BW4" s="4">
        <v>0.34967329577654749</v>
      </c>
      <c r="BX4" s="4">
        <v>7.2378443303249912E-2</v>
      </c>
      <c r="BY4" s="4">
        <v>0.70942344357693787</v>
      </c>
      <c r="BZ4" s="4">
        <v>7.2378443303249912E-2</v>
      </c>
      <c r="CA4" s="4">
        <v>0.21945033180829271</v>
      </c>
      <c r="CB4" s="4">
        <v>7.2378443303249912E-2</v>
      </c>
      <c r="CC4" s="4">
        <v>0.70942344357693787</v>
      </c>
      <c r="CD4" s="4">
        <v>0.21945033180829271</v>
      </c>
      <c r="CE4" s="4">
        <v>0.26629606311497589</v>
      </c>
      <c r="CF4" s="4">
        <v>0.20178585676354369</v>
      </c>
      <c r="CG4" s="4">
        <v>0.1898936103452363</v>
      </c>
      <c r="CH4" s="4">
        <v>0.38532728368987951</v>
      </c>
      <c r="CI4" s="4">
        <v>0.37283889129706921</v>
      </c>
      <c r="CJ4" s="4">
        <v>130.5513359247839</v>
      </c>
      <c r="CK4" s="4">
        <v>0.62842788441591213</v>
      </c>
      <c r="CL4" s="4">
        <v>130.5513359247839</v>
      </c>
      <c r="CM4" s="4">
        <v>8.5904196839637343</v>
      </c>
      <c r="CN4" s="4">
        <v>130.5513359247839</v>
      </c>
      <c r="CO4" s="4">
        <v>0.62842788441591213</v>
      </c>
      <c r="CP4" s="4">
        <v>8.5904196839637343</v>
      </c>
      <c r="CQ4" s="4">
        <v>9.0674448443946964</v>
      </c>
      <c r="CR4" s="4">
        <v>394.83560001659419</v>
      </c>
      <c r="CS4" s="4">
        <v>-0.12377171912361271</v>
      </c>
      <c r="CT4" s="4">
        <v>16.619613328411958</v>
      </c>
      <c r="CU4" s="4">
        <v>16.389042712318911</v>
      </c>
    </row>
    <row r="5" spans="1:99" x14ac:dyDescent="0.3">
      <c r="A5" s="1">
        <v>46066.651875000003</v>
      </c>
      <c r="B5" s="2" t="s">
        <v>122</v>
      </c>
      <c r="C5" s="2">
        <v>1</v>
      </c>
      <c r="D5" s="2" t="s">
        <v>118</v>
      </c>
      <c r="E5" s="2" t="s">
        <v>102</v>
      </c>
      <c r="F5" s="2">
        <v>16590</v>
      </c>
      <c r="G5" s="2">
        <v>4.5</v>
      </c>
      <c r="H5" s="2" t="s">
        <v>103</v>
      </c>
      <c r="I5" s="2" t="s">
        <v>104</v>
      </c>
      <c r="J5" s="2">
        <v>5</v>
      </c>
      <c r="K5" s="2">
        <v>5</v>
      </c>
      <c r="L5" s="2" t="s">
        <v>105</v>
      </c>
      <c r="M5" s="2" t="s">
        <v>106</v>
      </c>
      <c r="N5" s="2" t="s">
        <v>107</v>
      </c>
      <c r="O5" s="2" t="s">
        <v>107</v>
      </c>
      <c r="P5" s="2" t="s">
        <v>108</v>
      </c>
      <c r="Q5" s="2" t="s">
        <v>119</v>
      </c>
      <c r="R5" s="2">
        <v>3</v>
      </c>
      <c r="S5" s="2" t="s">
        <v>120</v>
      </c>
      <c r="T5" s="2" t="s">
        <v>111</v>
      </c>
      <c r="U5" s="2" t="s">
        <v>112</v>
      </c>
      <c r="V5" s="2" t="s">
        <v>113</v>
      </c>
      <c r="W5" s="2" t="s">
        <v>114</v>
      </c>
      <c r="X5" s="2" t="s">
        <v>107</v>
      </c>
      <c r="Y5" s="2" t="s">
        <v>115</v>
      </c>
      <c r="Z5" s="2">
        <v>4000</v>
      </c>
      <c r="AA5" s="2">
        <v>4000</v>
      </c>
      <c r="AB5" s="2"/>
      <c r="AC5" s="2">
        <v>128</v>
      </c>
      <c r="AD5" s="2" t="s">
        <v>116</v>
      </c>
      <c r="AE5" s="2">
        <v>0.15</v>
      </c>
      <c r="AF5" s="2">
        <v>225</v>
      </c>
      <c r="AG5" s="2">
        <v>105</v>
      </c>
      <c r="AH5" s="2">
        <v>120</v>
      </c>
      <c r="AI5" s="2">
        <v>0.1343919586373043</v>
      </c>
      <c r="AJ5" s="2">
        <v>27.805943410594679</v>
      </c>
      <c r="AK5" s="2">
        <v>0.59636933958607474</v>
      </c>
      <c r="AL5" s="2">
        <v>0.1017990385820456</v>
      </c>
      <c r="AM5" s="2">
        <v>32.600862991112947</v>
      </c>
      <c r="AN5" s="2">
        <v>0.54463998527526292</v>
      </c>
      <c r="AO5" s="2">
        <v>32.600862991112947</v>
      </c>
      <c r="AP5" s="2">
        <v>8.6192173785796342</v>
      </c>
      <c r="AQ5" s="2">
        <v>32.600862991112947</v>
      </c>
      <c r="AR5" s="2">
        <v>8.6192173785796342</v>
      </c>
      <c r="AS5" s="2">
        <v>9.0891748297868311</v>
      </c>
      <c r="AT5" s="2">
        <v>0.54463998527526292</v>
      </c>
      <c r="AU5" s="2">
        <v>99.229064001174606</v>
      </c>
      <c r="AV5" s="2">
        <v>16.686402044326641</v>
      </c>
      <c r="AW5" s="2">
        <v>16.469277677107939</v>
      </c>
      <c r="AX5" s="2">
        <v>7.9451097334563014E-2</v>
      </c>
      <c r="AY5" s="2">
        <v>0.8</v>
      </c>
      <c r="AZ5" s="2">
        <v>8.4200993693899773E-2</v>
      </c>
      <c r="BA5" s="2">
        <v>0.38859191738877352</v>
      </c>
      <c r="BB5" s="2">
        <v>8.4200993693899773E-2</v>
      </c>
      <c r="BC5" s="2">
        <v>0.22372550158417831</v>
      </c>
      <c r="BD5" s="2">
        <v>8.4200993693899773E-2</v>
      </c>
      <c r="BE5" s="2">
        <v>0.38859191738877352</v>
      </c>
      <c r="BF5" s="2">
        <v>0.22372550158417831</v>
      </c>
      <c r="BG5" s="2">
        <v>0.2142345998021985</v>
      </c>
      <c r="BH5" s="2">
        <v>0.14694205597204191</v>
      </c>
      <c r="BI5" s="2">
        <v>-6.6989316342551675E-2</v>
      </c>
      <c r="BJ5" s="2">
        <v>0.32256952976470032</v>
      </c>
      <c r="BK5" s="2">
        <v>0.33140586920928439</v>
      </c>
      <c r="BL5" s="2">
        <v>0.1584056866094464</v>
      </c>
      <c r="BM5" s="2">
        <v>0.45115812850334069</v>
      </c>
      <c r="BN5" s="2">
        <v>0.1584056866094464</v>
      </c>
      <c r="BO5" s="2">
        <v>0.330749472181674</v>
      </c>
      <c r="BP5" s="2">
        <v>0.1584056866094464</v>
      </c>
      <c r="BQ5" s="2">
        <v>0.45115812850334069</v>
      </c>
      <c r="BR5" s="2">
        <v>0.330749472181674</v>
      </c>
      <c r="BS5" s="2">
        <v>0.34583273697640188</v>
      </c>
      <c r="BT5" s="2">
        <v>0.1947326468279876</v>
      </c>
      <c r="BU5" s="2">
        <v>0.3252929701313062</v>
      </c>
      <c r="BV5" s="2">
        <v>0.37344370357727691</v>
      </c>
      <c r="BW5" s="2">
        <v>0.34755503824949452</v>
      </c>
      <c r="BX5" s="2">
        <v>7.2467888548538487E-2</v>
      </c>
      <c r="BY5" s="2">
        <v>0.70906434920880568</v>
      </c>
      <c r="BZ5" s="2">
        <v>7.2467888548538487E-2</v>
      </c>
      <c r="CA5" s="2">
        <v>0.21981460834096339</v>
      </c>
      <c r="CB5" s="2">
        <v>7.2467888548538487E-2</v>
      </c>
      <c r="CC5" s="2">
        <v>0.70906434920880568</v>
      </c>
      <c r="CD5" s="2">
        <v>0.21981460834096339</v>
      </c>
      <c r="CE5" s="2">
        <v>0.26703152491562532</v>
      </c>
      <c r="CF5" s="2">
        <v>0.20234570658149689</v>
      </c>
      <c r="CG5" s="2">
        <v>0.1876459904077179</v>
      </c>
      <c r="CH5" s="2">
        <v>0.38629793820169073</v>
      </c>
      <c r="CI5" s="2">
        <v>0.37463829146265298</v>
      </c>
      <c r="CJ5" s="2">
        <v>130.08837739559999</v>
      </c>
      <c r="CK5" s="2">
        <v>0.629745546000131</v>
      </c>
      <c r="CL5" s="2">
        <v>130.08837739559999</v>
      </c>
      <c r="CM5" s="2">
        <v>8.5702239225730867</v>
      </c>
      <c r="CN5" s="2">
        <v>130.08837739559999</v>
      </c>
      <c r="CO5" s="2">
        <v>0.629745546000131</v>
      </c>
      <c r="CP5" s="2">
        <v>8.5702239225730867</v>
      </c>
      <c r="CQ5" s="2">
        <v>9.0409583114172296</v>
      </c>
      <c r="CR5" s="2">
        <v>396.37223559531628</v>
      </c>
      <c r="CS5" s="2">
        <v>-0.1281452548582187</v>
      </c>
      <c r="CT5" s="2">
        <v>16.639558310652781</v>
      </c>
      <c r="CU5" s="2">
        <v>16.418168706498111</v>
      </c>
    </row>
    <row r="6" spans="1:99" x14ac:dyDescent="0.3">
      <c r="A6" s="3">
        <v>46066.835185185177</v>
      </c>
      <c r="B6" s="4" t="s">
        <v>123</v>
      </c>
      <c r="C6" s="4">
        <v>2</v>
      </c>
      <c r="D6" s="4" t="s">
        <v>118</v>
      </c>
      <c r="E6" s="4" t="s">
        <v>102</v>
      </c>
      <c r="F6" s="4">
        <v>16590</v>
      </c>
      <c r="G6" s="4">
        <v>4.5</v>
      </c>
      <c r="H6" s="4" t="s">
        <v>103</v>
      </c>
      <c r="I6" s="4" t="s">
        <v>104</v>
      </c>
      <c r="J6" s="4">
        <v>5</v>
      </c>
      <c r="K6" s="4">
        <v>5</v>
      </c>
      <c r="L6" s="4" t="s">
        <v>105</v>
      </c>
      <c r="M6" s="4" t="s">
        <v>106</v>
      </c>
      <c r="N6" s="4" t="s">
        <v>107</v>
      </c>
      <c r="O6" s="4" t="s">
        <v>107</v>
      </c>
      <c r="P6" s="4" t="s">
        <v>108</v>
      </c>
      <c r="Q6" s="4" t="s">
        <v>109</v>
      </c>
      <c r="R6" s="4">
        <v>3</v>
      </c>
      <c r="S6" s="4" t="s">
        <v>110</v>
      </c>
      <c r="T6" s="4" t="s">
        <v>111</v>
      </c>
      <c r="U6" s="4" t="s">
        <v>112</v>
      </c>
      <c r="V6" s="4" t="s">
        <v>113</v>
      </c>
      <c r="W6" s="4" t="s">
        <v>114</v>
      </c>
      <c r="X6" s="4" t="s">
        <v>107</v>
      </c>
      <c r="Y6" s="4" t="s">
        <v>115</v>
      </c>
      <c r="Z6" s="4">
        <v>4000</v>
      </c>
      <c r="AA6" s="4">
        <v>4000</v>
      </c>
      <c r="AB6" s="4"/>
      <c r="AC6" s="4">
        <v>128</v>
      </c>
      <c r="AD6" s="4" t="s">
        <v>116</v>
      </c>
      <c r="AE6" s="4">
        <v>0.15</v>
      </c>
      <c r="AF6" s="4">
        <v>225</v>
      </c>
      <c r="AG6" s="4">
        <v>105</v>
      </c>
      <c r="AH6" s="4">
        <v>120</v>
      </c>
      <c r="AI6" s="4">
        <v>0.183409100707146</v>
      </c>
      <c r="AJ6" s="4">
        <v>30.52389525944259</v>
      </c>
      <c r="AK6" s="4">
        <v>0.46064071960036479</v>
      </c>
      <c r="AL6" s="4">
        <v>-4.5562213464056422E-2</v>
      </c>
      <c r="AM6" s="4">
        <v>33.736381264515728</v>
      </c>
      <c r="AN6" s="4">
        <v>0.46893729965768521</v>
      </c>
      <c r="AO6" s="4">
        <v>33.736381264515728</v>
      </c>
      <c r="AP6" s="4">
        <v>8.8395861893605812</v>
      </c>
      <c r="AQ6" s="4">
        <v>33.736381264515728</v>
      </c>
      <c r="AR6" s="4">
        <v>8.8395861893605812</v>
      </c>
      <c r="AS6" s="4">
        <v>8.7763532820591337</v>
      </c>
      <c r="AT6" s="4">
        <v>0.46893729965768521</v>
      </c>
      <c r="AU6" s="4">
        <v>91.484422617858186</v>
      </c>
      <c r="AV6" s="4">
        <v>15.815479237161229</v>
      </c>
      <c r="AW6" s="4">
        <v>15.603460351463641</v>
      </c>
      <c r="AX6" s="4">
        <v>2.0193644904453661E-2</v>
      </c>
      <c r="AY6" s="4">
        <v>0.8</v>
      </c>
      <c r="AZ6" s="4">
        <v>9.6747042928947771E-2</v>
      </c>
      <c r="BA6" s="4">
        <v>0.29749137842087681</v>
      </c>
      <c r="BB6" s="4">
        <v>9.6747042928947771E-2</v>
      </c>
      <c r="BC6" s="4">
        <v>0.23871160225149679</v>
      </c>
      <c r="BD6" s="4">
        <v>9.6747042928947771E-2</v>
      </c>
      <c r="BE6" s="4">
        <v>0.29749137842087681</v>
      </c>
      <c r="BF6" s="4">
        <v>0.23871160225149679</v>
      </c>
      <c r="BG6" s="4">
        <v>0.25004008510718911</v>
      </c>
      <c r="BH6" s="4">
        <v>0.13872532783682709</v>
      </c>
      <c r="BI6" s="4">
        <v>-7.3252461921144976E-3</v>
      </c>
      <c r="BJ6" s="4">
        <v>0.30847875100597888</v>
      </c>
      <c r="BK6" s="4">
        <v>0.30471345703911218</v>
      </c>
      <c r="BL6" s="4">
        <v>0.20176933142571041</v>
      </c>
      <c r="BM6" s="4">
        <v>0.30091236090944251</v>
      </c>
      <c r="BN6" s="4">
        <v>0.20176933142571041</v>
      </c>
      <c r="BO6" s="4">
        <v>0.39766555332538123</v>
      </c>
      <c r="BP6" s="4">
        <v>0.20176933142571041</v>
      </c>
      <c r="BQ6" s="4">
        <v>0.30091236090944251</v>
      </c>
      <c r="BR6" s="4">
        <v>0.39766555332538123</v>
      </c>
      <c r="BS6" s="4">
        <v>0.41051777983528032</v>
      </c>
      <c r="BT6" s="4">
        <v>0.23966420748107761</v>
      </c>
      <c r="BU6" s="4">
        <v>0.16961470904142309</v>
      </c>
      <c r="BV6" s="4">
        <v>0.42338006517036569</v>
      </c>
      <c r="BW6" s="4">
        <v>0.41858701718958807</v>
      </c>
      <c r="BX6" s="4">
        <v>8.460597335115326E-2</v>
      </c>
      <c r="BY6" s="4">
        <v>0.66033377802565152</v>
      </c>
      <c r="BZ6" s="4">
        <v>8.460597335115326E-2</v>
      </c>
      <c r="CA6" s="4">
        <v>0.23742856889759009</v>
      </c>
      <c r="CB6" s="4">
        <v>8.460597335115326E-2</v>
      </c>
      <c r="CC6" s="4">
        <v>0.66033377802565152</v>
      </c>
      <c r="CD6" s="4">
        <v>0.23742856889759009</v>
      </c>
      <c r="CE6" s="4">
        <v>0.3262584583094591</v>
      </c>
      <c r="CF6" s="4">
        <v>0.25949921113335289</v>
      </c>
      <c r="CG6" s="4">
        <v>-4.1807252605625678E-2</v>
      </c>
      <c r="CH6" s="4">
        <v>0.43724584829005098</v>
      </c>
      <c r="CI6" s="4">
        <v>0.41699975842457643</v>
      </c>
      <c r="CJ6" s="4">
        <v>134.5624027103573</v>
      </c>
      <c r="CK6" s="4">
        <v>0.61701168127477191</v>
      </c>
      <c r="CL6" s="4">
        <v>134.5624027103573</v>
      </c>
      <c r="CM6" s="4">
        <v>8.7744763094565581</v>
      </c>
      <c r="CN6" s="4">
        <v>134.5624027103573</v>
      </c>
      <c r="CO6" s="4">
        <v>0.61701168127477191</v>
      </c>
      <c r="CP6" s="4">
        <v>8.7744763094565581</v>
      </c>
      <c r="CQ6" s="4">
        <v>8.6841266712703753</v>
      </c>
      <c r="CR6" s="4">
        <v>365.29980172498068</v>
      </c>
      <c r="CS6" s="4">
        <v>-3.9707630625869017E-2</v>
      </c>
      <c r="CT6" s="4">
        <v>15.75980158598593</v>
      </c>
      <c r="CU6" s="4">
        <v>15.5510001642877</v>
      </c>
    </row>
    <row r="7" spans="1:99" x14ac:dyDescent="0.3">
      <c r="A7" s="1">
        <v>46066.900555555563</v>
      </c>
      <c r="B7" s="2" t="s">
        <v>124</v>
      </c>
      <c r="C7" s="2">
        <v>2</v>
      </c>
      <c r="D7" s="2" t="s">
        <v>125</v>
      </c>
      <c r="E7" s="2" t="s">
        <v>102</v>
      </c>
      <c r="F7" s="2">
        <v>16590</v>
      </c>
      <c r="G7" s="2">
        <v>4.5</v>
      </c>
      <c r="H7" s="2" t="s">
        <v>103</v>
      </c>
      <c r="I7" s="2" t="s">
        <v>104</v>
      </c>
      <c r="J7" s="2">
        <v>5</v>
      </c>
      <c r="K7" s="2">
        <v>5</v>
      </c>
      <c r="L7" s="2" t="s">
        <v>105</v>
      </c>
      <c r="M7" s="2" t="s">
        <v>106</v>
      </c>
      <c r="N7" s="2" t="s">
        <v>107</v>
      </c>
      <c r="O7" s="2" t="s">
        <v>107</v>
      </c>
      <c r="P7" s="2" t="s">
        <v>108</v>
      </c>
      <c r="Q7" s="2" t="s">
        <v>119</v>
      </c>
      <c r="R7" s="2">
        <v>3</v>
      </c>
      <c r="S7" s="2" t="s">
        <v>120</v>
      </c>
      <c r="T7" s="2" t="s">
        <v>111</v>
      </c>
      <c r="U7" s="2" t="s">
        <v>112</v>
      </c>
      <c r="V7" s="2" t="s">
        <v>113</v>
      </c>
      <c r="W7" s="2" t="s">
        <v>114</v>
      </c>
      <c r="X7" s="2" t="s">
        <v>107</v>
      </c>
      <c r="Y7" s="2" t="s">
        <v>115</v>
      </c>
      <c r="Z7" s="2">
        <v>4000</v>
      </c>
      <c r="AA7" s="2">
        <v>4000</v>
      </c>
      <c r="AB7" s="2"/>
      <c r="AC7" s="2">
        <v>128</v>
      </c>
      <c r="AD7" s="2" t="s">
        <v>116</v>
      </c>
      <c r="AE7" s="2">
        <v>0.15</v>
      </c>
      <c r="AF7" s="2">
        <v>225</v>
      </c>
      <c r="AG7" s="2">
        <v>105</v>
      </c>
      <c r="AH7" s="2">
        <v>120</v>
      </c>
      <c r="AI7" s="2">
        <v>0.18335267569426031</v>
      </c>
      <c r="AJ7" s="2">
        <v>30.6731146932751</v>
      </c>
      <c r="AK7" s="2">
        <v>0.45955500374212238</v>
      </c>
      <c r="AL7" s="2">
        <v>-3.1617434869303317E-2</v>
      </c>
      <c r="AM7" s="2">
        <v>33.895526303564409</v>
      </c>
      <c r="AN7" s="2">
        <v>0.46846606071250801</v>
      </c>
      <c r="AO7" s="2">
        <v>33.895526303564409</v>
      </c>
      <c r="AP7" s="2">
        <v>8.8627498337449335</v>
      </c>
      <c r="AQ7" s="2">
        <v>33.895526303564409</v>
      </c>
      <c r="AR7" s="2">
        <v>8.8627498337449335</v>
      </c>
      <c r="AS7" s="2">
        <v>8.8121275012487068</v>
      </c>
      <c r="AT7" s="2">
        <v>0.46846606071250801</v>
      </c>
      <c r="AU7" s="2">
        <v>89.774246528987547</v>
      </c>
      <c r="AV7" s="2">
        <v>15.66915989734985</v>
      </c>
      <c r="AW7" s="2">
        <v>15.50304217203024</v>
      </c>
      <c r="AX7" s="2">
        <v>3.1033066632969539E-2</v>
      </c>
      <c r="AY7" s="2">
        <v>0.8</v>
      </c>
      <c r="AZ7" s="2">
        <v>9.6678706317503749E-2</v>
      </c>
      <c r="BA7" s="2">
        <v>0.29798759057636548</v>
      </c>
      <c r="BB7" s="2">
        <v>9.6678706317503749E-2</v>
      </c>
      <c r="BC7" s="2">
        <v>0.23849491649575541</v>
      </c>
      <c r="BD7" s="2">
        <v>9.6678706317503749E-2</v>
      </c>
      <c r="BE7" s="2">
        <v>0.29798759057636548</v>
      </c>
      <c r="BF7" s="2">
        <v>0.23849491649575541</v>
      </c>
      <c r="BG7" s="2">
        <v>0.25032145931564559</v>
      </c>
      <c r="BH7" s="2">
        <v>0.13766543548853241</v>
      </c>
      <c r="BI7" s="2">
        <v>3.709426533641258E-4</v>
      </c>
      <c r="BJ7" s="2">
        <v>0.30736476634598281</v>
      </c>
      <c r="BK7" s="2">
        <v>0.30441064617336488</v>
      </c>
      <c r="BL7" s="2">
        <v>0.2020812082761681</v>
      </c>
      <c r="BM7" s="2">
        <v>0.29983177423389151</v>
      </c>
      <c r="BN7" s="2">
        <v>0.2020812082761681</v>
      </c>
      <c r="BO7" s="2">
        <v>0.39828657550475233</v>
      </c>
      <c r="BP7" s="2">
        <v>0.2020812082761681</v>
      </c>
      <c r="BQ7" s="2">
        <v>0.29983177423389151</v>
      </c>
      <c r="BR7" s="2">
        <v>0.39828657550475233</v>
      </c>
      <c r="BS7" s="2">
        <v>0.4102571280860482</v>
      </c>
      <c r="BT7" s="2">
        <v>0.24028568507412351</v>
      </c>
      <c r="BU7" s="2">
        <v>0.1674614219179531</v>
      </c>
      <c r="BV7" s="2">
        <v>0.42476844338524811</v>
      </c>
      <c r="BW7" s="2">
        <v>0.41863844407642931</v>
      </c>
      <c r="BX7" s="2">
        <v>8.4478713730400723E-2</v>
      </c>
      <c r="BY7" s="2">
        <v>0.66084468515051253</v>
      </c>
      <c r="BZ7" s="2">
        <v>8.4478713730400723E-2</v>
      </c>
      <c r="CA7" s="2">
        <v>0.23751090829496191</v>
      </c>
      <c r="CB7" s="2">
        <v>8.4478713730400723E-2</v>
      </c>
      <c r="CC7" s="2">
        <v>0.66084468515051253</v>
      </c>
      <c r="CD7" s="2">
        <v>0.23751090829496191</v>
      </c>
      <c r="CE7" s="2">
        <v>0.32652307881737602</v>
      </c>
      <c r="CF7" s="2">
        <v>0.25492619878542572</v>
      </c>
      <c r="CG7" s="2">
        <v>-2.3448054481214339E-2</v>
      </c>
      <c r="CH7" s="2">
        <v>0.43399536658385518</v>
      </c>
      <c r="CI7" s="2">
        <v>0.41519881385008378</v>
      </c>
      <c r="CJ7" s="2">
        <v>135.1988665859337</v>
      </c>
      <c r="CK7" s="2">
        <v>0.61520019288926009</v>
      </c>
      <c r="CL7" s="2">
        <v>135.1988665859337</v>
      </c>
      <c r="CM7" s="2">
        <v>8.7981955936931495</v>
      </c>
      <c r="CN7" s="2">
        <v>135.1988665859337</v>
      </c>
      <c r="CO7" s="2">
        <v>0.61520019288926009</v>
      </c>
      <c r="CP7" s="2">
        <v>8.7981955936931495</v>
      </c>
      <c r="CQ7" s="2">
        <v>8.7214842778676331</v>
      </c>
      <c r="CR7" s="2">
        <v>358.4641087966022</v>
      </c>
      <c r="CS7" s="2">
        <v>-2.0252043558233179E-2</v>
      </c>
      <c r="CT7" s="2">
        <v>15.612290401453279</v>
      </c>
      <c r="CU7" s="2">
        <v>15.449110143566861</v>
      </c>
    </row>
    <row r="8" spans="1:99" x14ac:dyDescent="0.3">
      <c r="A8" s="3">
        <v>46067.034004629633</v>
      </c>
      <c r="B8" s="4" t="s">
        <v>126</v>
      </c>
      <c r="C8" s="4">
        <v>0</v>
      </c>
      <c r="D8" s="4" t="s">
        <v>118</v>
      </c>
      <c r="E8" s="4" t="s">
        <v>102</v>
      </c>
      <c r="F8" s="4">
        <v>16590</v>
      </c>
      <c r="G8" s="4">
        <v>4.5</v>
      </c>
      <c r="H8" s="4" t="s">
        <v>127</v>
      </c>
      <c r="I8" s="4" t="s">
        <v>104</v>
      </c>
      <c r="J8" s="4">
        <v>5</v>
      </c>
      <c r="K8" s="4">
        <v>5</v>
      </c>
      <c r="L8" s="4" t="s">
        <v>105</v>
      </c>
      <c r="M8" s="4" t="s">
        <v>106</v>
      </c>
      <c r="N8" s="4" t="s">
        <v>107</v>
      </c>
      <c r="O8" s="4" t="s">
        <v>107</v>
      </c>
      <c r="P8" s="4" t="s">
        <v>108</v>
      </c>
      <c r="Q8" s="4" t="s">
        <v>128</v>
      </c>
      <c r="R8" s="4">
        <v>1</v>
      </c>
      <c r="S8" s="4" t="s">
        <v>110</v>
      </c>
      <c r="T8" s="4" t="s">
        <v>129</v>
      </c>
      <c r="U8" s="4" t="s">
        <v>130</v>
      </c>
      <c r="V8" s="4" t="s">
        <v>131</v>
      </c>
      <c r="W8" s="4" t="s">
        <v>132</v>
      </c>
      <c r="X8" s="4" t="s">
        <v>107</v>
      </c>
      <c r="Y8" s="4" t="s">
        <v>115</v>
      </c>
      <c r="Z8" s="4">
        <v>4000</v>
      </c>
      <c r="AA8" s="4">
        <v>4000</v>
      </c>
      <c r="AB8" s="4"/>
      <c r="AC8" s="4">
        <v>128</v>
      </c>
      <c r="AD8" s="4" t="s">
        <v>116</v>
      </c>
      <c r="AE8" s="4">
        <v>0.15</v>
      </c>
      <c r="AF8" s="4">
        <v>220</v>
      </c>
      <c r="AG8" s="4">
        <v>100</v>
      </c>
      <c r="AH8" s="4">
        <v>120</v>
      </c>
      <c r="AI8" s="4">
        <v>0.22176776148565161</v>
      </c>
      <c r="AJ8" s="4">
        <v>82.650820648461206</v>
      </c>
      <c r="AK8" s="4">
        <v>0.23200127258511621</v>
      </c>
      <c r="AL8" s="4">
        <v>-1.9756046896128861E-2</v>
      </c>
      <c r="AM8" s="4">
        <v>74.282224616676643</v>
      </c>
      <c r="AN8" s="4">
        <v>0.22709376558516611</v>
      </c>
      <c r="AO8" s="4">
        <v>74.282224616676643</v>
      </c>
      <c r="AP8" s="4">
        <v>14.823843520548801</v>
      </c>
      <c r="AQ8" s="4">
        <v>74.282224616676643</v>
      </c>
      <c r="AR8" s="4">
        <v>14.823843520548801</v>
      </c>
      <c r="AS8" s="4">
        <v>14.2403428435658</v>
      </c>
      <c r="AT8" s="4">
        <v>0.22709376558516611</v>
      </c>
      <c r="AU8" s="4">
        <v>91.245753800849485</v>
      </c>
      <c r="AV8" s="4">
        <v>16.146161853036819</v>
      </c>
      <c r="AW8" s="4">
        <v>16.66180639342576</v>
      </c>
      <c r="AX8" s="4">
        <v>-4.1749496650150708E-2</v>
      </c>
      <c r="AY8" s="4">
        <v>0.5714285714285714</v>
      </c>
      <c r="AZ8" s="4">
        <v>0.12607777631165529</v>
      </c>
      <c r="BA8" s="4">
        <v>8.451233064033381E-2</v>
      </c>
      <c r="BB8" s="4">
        <v>0.12607777631165529</v>
      </c>
      <c r="BC8" s="4">
        <v>0.29494976708781862</v>
      </c>
      <c r="BD8" s="4">
        <v>0.12607777631165529</v>
      </c>
      <c r="BE8" s="4">
        <v>8.451233064033381E-2</v>
      </c>
      <c r="BF8" s="4">
        <v>0.29494976708781862</v>
      </c>
      <c r="BG8" s="4">
        <v>0.30945951018561091</v>
      </c>
      <c r="BH8" s="4">
        <v>0.16341793489690659</v>
      </c>
      <c r="BI8" s="4">
        <v>-0.1866254999653596</v>
      </c>
      <c r="BJ8" s="4">
        <v>0.34648463585161599</v>
      </c>
      <c r="BK8" s="4">
        <v>0.35825936425012478</v>
      </c>
      <c r="BL8" s="4">
        <v>0.2081226008409838</v>
      </c>
      <c r="BM8" s="4">
        <v>0.2788996393295774</v>
      </c>
      <c r="BN8" s="4">
        <v>0.2081226008409838</v>
      </c>
      <c r="BO8" s="4">
        <v>0.40105716399354813</v>
      </c>
      <c r="BP8" s="4">
        <v>0.2081226008409838</v>
      </c>
      <c r="BQ8" s="4">
        <v>0.2788996393295774</v>
      </c>
      <c r="BR8" s="4">
        <v>0.40105716399354813</v>
      </c>
      <c r="BS8" s="4">
        <v>0.40180151287907362</v>
      </c>
      <c r="BT8" s="4">
        <v>0.2861194278032585</v>
      </c>
      <c r="BU8" s="4">
        <v>8.6572926244362636E-3</v>
      </c>
      <c r="BV8" s="4">
        <v>0.47162331885172037</v>
      </c>
      <c r="BW8" s="4">
        <v>0.43719947417333438</v>
      </c>
      <c r="BX8" s="4">
        <v>0.15212651925356141</v>
      </c>
      <c r="BY8" s="4">
        <v>0.38926014310476759</v>
      </c>
      <c r="BZ8" s="4">
        <v>0.15212651925356141</v>
      </c>
      <c r="CA8" s="4">
        <v>0.34082612842160481</v>
      </c>
      <c r="CB8" s="4">
        <v>0.15212651925356141</v>
      </c>
      <c r="CC8" s="4">
        <v>0.38926014310476759</v>
      </c>
      <c r="CD8" s="4">
        <v>0.34082612842160481</v>
      </c>
      <c r="CE8" s="4">
        <v>0.33513223388936542</v>
      </c>
      <c r="CF8" s="4">
        <v>0.2371739225035191</v>
      </c>
      <c r="CG8" s="4">
        <v>4.7821719711837463E-2</v>
      </c>
      <c r="CH8" s="4">
        <v>0.4143429717707251</v>
      </c>
      <c r="CI8" s="4">
        <v>0.42440127900562402</v>
      </c>
      <c r="CJ8" s="4">
        <v>296.64257157029942</v>
      </c>
      <c r="CK8" s="4">
        <v>0.1557029492659876</v>
      </c>
      <c r="CL8" s="4">
        <v>296.64257157029942</v>
      </c>
      <c r="CM8" s="4">
        <v>14.78059380261894</v>
      </c>
      <c r="CN8" s="4">
        <v>296.64257157029942</v>
      </c>
      <c r="CO8" s="4">
        <v>0.1557029492659876</v>
      </c>
      <c r="CP8" s="4">
        <v>14.78059380261894</v>
      </c>
      <c r="CQ8" s="4">
        <v>14.19079910718397</v>
      </c>
      <c r="CR8" s="4">
        <v>364.29630391819421</v>
      </c>
      <c r="CS8" s="4">
        <v>-3.6851498971524947E-2</v>
      </c>
      <c r="CT8" s="4">
        <v>16.087134009365979</v>
      </c>
      <c r="CU8" s="4">
        <v>16.59841632686712</v>
      </c>
    </row>
    <row r="9" spans="1:99" x14ac:dyDescent="0.3">
      <c r="A9" s="1">
        <v>46067.14025462963</v>
      </c>
      <c r="B9" s="2" t="s">
        <v>133</v>
      </c>
      <c r="C9" s="2">
        <v>0</v>
      </c>
      <c r="D9" s="2" t="s">
        <v>125</v>
      </c>
      <c r="E9" s="2" t="s">
        <v>102</v>
      </c>
      <c r="F9" s="2">
        <v>16590</v>
      </c>
      <c r="G9" s="2">
        <v>4.5</v>
      </c>
      <c r="H9" s="2" t="s">
        <v>127</v>
      </c>
      <c r="I9" s="2" t="s">
        <v>104</v>
      </c>
      <c r="J9" s="2">
        <v>5</v>
      </c>
      <c r="K9" s="2">
        <v>5</v>
      </c>
      <c r="L9" s="2" t="s">
        <v>105</v>
      </c>
      <c r="M9" s="2" t="s">
        <v>106</v>
      </c>
      <c r="N9" s="2" t="s">
        <v>107</v>
      </c>
      <c r="O9" s="2" t="s">
        <v>107</v>
      </c>
      <c r="P9" s="2" t="s">
        <v>108</v>
      </c>
      <c r="Q9" s="2" t="s">
        <v>134</v>
      </c>
      <c r="R9" s="2">
        <v>1</v>
      </c>
      <c r="S9" s="2" t="s">
        <v>120</v>
      </c>
      <c r="T9" s="2" t="s">
        <v>129</v>
      </c>
      <c r="U9" s="2" t="s">
        <v>130</v>
      </c>
      <c r="V9" s="2" t="s">
        <v>131</v>
      </c>
      <c r="W9" s="2" t="s">
        <v>132</v>
      </c>
      <c r="X9" s="2" t="s">
        <v>107</v>
      </c>
      <c r="Y9" s="2" t="s">
        <v>115</v>
      </c>
      <c r="Z9" s="2">
        <v>4000</v>
      </c>
      <c r="AA9" s="2">
        <v>4000</v>
      </c>
      <c r="AB9" s="2"/>
      <c r="AC9" s="2">
        <v>128</v>
      </c>
      <c r="AD9" s="2" t="s">
        <v>116</v>
      </c>
      <c r="AE9" s="2">
        <v>0.15</v>
      </c>
      <c r="AF9" s="2">
        <v>170</v>
      </c>
      <c r="AG9" s="2">
        <v>50</v>
      </c>
      <c r="AH9" s="2">
        <v>120</v>
      </c>
      <c r="AI9" s="2">
        <v>0.23708188519884041</v>
      </c>
      <c r="AJ9" s="2">
        <v>78.850115961406161</v>
      </c>
      <c r="AK9" s="2">
        <v>0.13105388920450001</v>
      </c>
      <c r="AL9" s="2">
        <v>4.0213310068087094E-3</v>
      </c>
      <c r="AM9" s="2">
        <v>71.086331297731931</v>
      </c>
      <c r="AN9" s="2">
        <v>0.13861833231825119</v>
      </c>
      <c r="AO9" s="2">
        <v>71.086331297731931</v>
      </c>
      <c r="AP9" s="2">
        <v>14.345619269923541</v>
      </c>
      <c r="AQ9" s="2">
        <v>71.086331297731931</v>
      </c>
      <c r="AR9" s="2">
        <v>14.345619269923541</v>
      </c>
      <c r="AS9" s="2">
        <v>14.695132869848299</v>
      </c>
      <c r="AT9" s="2">
        <v>0.13861833231825119</v>
      </c>
      <c r="AU9" s="2">
        <v>89.265022814167764</v>
      </c>
      <c r="AV9" s="2">
        <v>16.11014925194586</v>
      </c>
      <c r="AW9" s="2">
        <v>16.444631832125079</v>
      </c>
      <c r="AX9" s="2">
        <v>3.6391180311094729E-3</v>
      </c>
      <c r="AY9" s="2">
        <v>0.5714285714285714</v>
      </c>
      <c r="AZ9" s="2">
        <v>0.15038943820472159</v>
      </c>
      <c r="BA9" s="2">
        <v>-9.2021768674090065E-2</v>
      </c>
      <c r="BB9" s="2">
        <v>0.15038943820472159</v>
      </c>
      <c r="BC9" s="2">
        <v>0.32765845883424438</v>
      </c>
      <c r="BD9" s="2">
        <v>0.15038943820472159</v>
      </c>
      <c r="BE9" s="2">
        <v>-9.2021768674090065E-2</v>
      </c>
      <c r="BF9" s="2">
        <v>0.32765845883424438</v>
      </c>
      <c r="BG9" s="2">
        <v>0.33208453326448018</v>
      </c>
      <c r="BH9" s="2">
        <v>0.15556829271213349</v>
      </c>
      <c r="BI9" s="2">
        <v>-0.1296269484420414</v>
      </c>
      <c r="BJ9" s="2">
        <v>0.33696203305875311</v>
      </c>
      <c r="BK9" s="2">
        <v>0.33727622369075788</v>
      </c>
      <c r="BL9" s="2">
        <v>0.22749547285335961</v>
      </c>
      <c r="BM9" s="2">
        <v>0.21177677550365531</v>
      </c>
      <c r="BN9" s="2">
        <v>0.22749547285335961</v>
      </c>
      <c r="BO9" s="2">
        <v>0.41753384496604179</v>
      </c>
      <c r="BP9" s="2">
        <v>0.22749547285335961</v>
      </c>
      <c r="BQ9" s="2">
        <v>0.21177677550365531</v>
      </c>
      <c r="BR9" s="2">
        <v>0.41753384496604179</v>
      </c>
      <c r="BS9" s="2">
        <v>0.42405325238601038</v>
      </c>
      <c r="BT9" s="2">
        <v>0.2714662333957934</v>
      </c>
      <c r="BU9" s="2">
        <v>5.9427481587576159E-2</v>
      </c>
      <c r="BV9" s="2">
        <v>0.4565655653652369</v>
      </c>
      <c r="BW9" s="2">
        <v>0.45240601223657251</v>
      </c>
      <c r="BX9" s="2">
        <v>0.1887066165381642</v>
      </c>
      <c r="BY9" s="2">
        <v>0.24240262286153791</v>
      </c>
      <c r="BZ9" s="2">
        <v>0.1887066165381642</v>
      </c>
      <c r="CA9" s="2">
        <v>0.3859119857485459</v>
      </c>
      <c r="CB9" s="2">
        <v>0.1887066165381642</v>
      </c>
      <c r="CC9" s="2">
        <v>0.24240262286153791</v>
      </c>
      <c r="CD9" s="2">
        <v>0.3859119857485459</v>
      </c>
      <c r="CE9" s="2">
        <v>0.38283741634255231</v>
      </c>
      <c r="CF9" s="2">
        <v>0.22438683259850009</v>
      </c>
      <c r="CG9" s="2">
        <v>9.9157841099594357E-2</v>
      </c>
      <c r="CH9" s="2">
        <v>0.41552561700279439</v>
      </c>
      <c r="CI9" s="2">
        <v>0.41895776843207228</v>
      </c>
      <c r="CJ9" s="2">
        <v>283.77873366333182</v>
      </c>
      <c r="CK9" s="2">
        <v>0.19231569958189851</v>
      </c>
      <c r="CL9" s="2">
        <v>283.77873366333182</v>
      </c>
      <c r="CM9" s="2">
        <v>14.288584377461319</v>
      </c>
      <c r="CN9" s="2">
        <v>283.77873366333182</v>
      </c>
      <c r="CO9" s="2">
        <v>0.19231569958189851</v>
      </c>
      <c r="CP9" s="2">
        <v>14.288584377461319</v>
      </c>
      <c r="CQ9" s="2">
        <v>14.634382979987249</v>
      </c>
      <c r="CR9" s="2">
        <v>356.40866989796478</v>
      </c>
      <c r="CS9" s="2">
        <v>-1.440190212068782E-2</v>
      </c>
      <c r="CT9" s="2">
        <v>16.05453005801866</v>
      </c>
      <c r="CU9" s="2">
        <v>16.38871015466551</v>
      </c>
    </row>
    <row r="10" spans="1:99" x14ac:dyDescent="0.3">
      <c r="A10" s="3">
        <v>46067.156597222223</v>
      </c>
      <c r="B10" s="4" t="s">
        <v>135</v>
      </c>
      <c r="C10" s="4">
        <v>1</v>
      </c>
      <c r="D10" s="4" t="s">
        <v>118</v>
      </c>
      <c r="E10" s="4" t="s">
        <v>102</v>
      </c>
      <c r="F10" s="4">
        <v>16590</v>
      </c>
      <c r="G10" s="4">
        <v>4.5</v>
      </c>
      <c r="H10" s="4" t="s">
        <v>127</v>
      </c>
      <c r="I10" s="4" t="s">
        <v>104</v>
      </c>
      <c r="J10" s="4">
        <v>5</v>
      </c>
      <c r="K10" s="4">
        <v>5</v>
      </c>
      <c r="L10" s="4" t="s">
        <v>105</v>
      </c>
      <c r="M10" s="4" t="s">
        <v>106</v>
      </c>
      <c r="N10" s="4" t="s">
        <v>107</v>
      </c>
      <c r="O10" s="4" t="s">
        <v>107</v>
      </c>
      <c r="P10" s="4" t="s">
        <v>108</v>
      </c>
      <c r="Q10" s="4" t="s">
        <v>128</v>
      </c>
      <c r="R10" s="4">
        <v>1</v>
      </c>
      <c r="S10" s="4" t="s">
        <v>110</v>
      </c>
      <c r="T10" s="4" t="s">
        <v>129</v>
      </c>
      <c r="U10" s="4" t="s">
        <v>130</v>
      </c>
      <c r="V10" s="4" t="s">
        <v>131</v>
      </c>
      <c r="W10" s="4" t="s">
        <v>132</v>
      </c>
      <c r="X10" s="4" t="s">
        <v>107</v>
      </c>
      <c r="Y10" s="4" t="s">
        <v>115</v>
      </c>
      <c r="Z10" s="4">
        <v>4000</v>
      </c>
      <c r="AA10" s="4">
        <v>4000</v>
      </c>
      <c r="AB10" s="4"/>
      <c r="AC10" s="4">
        <v>128</v>
      </c>
      <c r="AD10" s="4" t="s">
        <v>116</v>
      </c>
      <c r="AE10" s="4">
        <v>0.15</v>
      </c>
      <c r="AF10" s="4">
        <v>220</v>
      </c>
      <c r="AG10" s="4">
        <v>100</v>
      </c>
      <c r="AH10" s="4">
        <v>120</v>
      </c>
      <c r="AI10" s="4">
        <v>0.2313284248771989</v>
      </c>
      <c r="AJ10" s="4">
        <v>78.371188826183868</v>
      </c>
      <c r="AK10" s="4">
        <v>0.19632256454942909</v>
      </c>
      <c r="AL10" s="4">
        <v>-4.4066545366980681E-2</v>
      </c>
      <c r="AM10" s="4">
        <v>71.378964722885144</v>
      </c>
      <c r="AN10" s="4">
        <v>0.20877257951486219</v>
      </c>
      <c r="AO10" s="4">
        <v>71.378964722885144</v>
      </c>
      <c r="AP10" s="4">
        <v>14.57769921738538</v>
      </c>
      <c r="AQ10" s="4">
        <v>71.378964722885144</v>
      </c>
      <c r="AR10" s="4">
        <v>14.57769921738538</v>
      </c>
      <c r="AS10" s="4">
        <v>15.09327639480218</v>
      </c>
      <c r="AT10" s="4">
        <v>0.20877257951486219</v>
      </c>
      <c r="AU10" s="4">
        <v>92.176693703092681</v>
      </c>
      <c r="AV10" s="4">
        <v>16.302759609011339</v>
      </c>
      <c r="AW10" s="4">
        <v>15.983604434281499</v>
      </c>
      <c r="AX10" s="4">
        <v>-8.8511103232544686E-2</v>
      </c>
      <c r="AY10" s="4">
        <v>0.5714285714285714</v>
      </c>
      <c r="AZ10" s="4">
        <v>0.12903941363852631</v>
      </c>
      <c r="BA10" s="4">
        <v>6.3007014372988945E-2</v>
      </c>
      <c r="BB10" s="4">
        <v>0.12903941363852631</v>
      </c>
      <c r="BC10" s="4">
        <v>0.30312939734024152</v>
      </c>
      <c r="BD10" s="4">
        <v>0.12903941363852631</v>
      </c>
      <c r="BE10" s="4">
        <v>6.3007014372988945E-2</v>
      </c>
      <c r="BF10" s="4">
        <v>0.30312939734024152</v>
      </c>
      <c r="BG10" s="4">
        <v>0.30266303253666138</v>
      </c>
      <c r="BH10" s="4">
        <v>0.14677029717113299</v>
      </c>
      <c r="BI10" s="4">
        <v>-6.5742125370945592E-2</v>
      </c>
      <c r="BJ10" s="4">
        <v>0.32333563021125039</v>
      </c>
      <c r="BK10" s="4">
        <v>0.31583628471626107</v>
      </c>
      <c r="BL10" s="4">
        <v>0.22319830278194219</v>
      </c>
      <c r="BM10" s="4">
        <v>0.22666555200289151</v>
      </c>
      <c r="BN10" s="4">
        <v>0.22319830278194219</v>
      </c>
      <c r="BO10" s="4">
        <v>0.41261810866535609</v>
      </c>
      <c r="BP10" s="4">
        <v>0.22319830278194219</v>
      </c>
      <c r="BQ10" s="4">
        <v>0.22666555200289151</v>
      </c>
      <c r="BR10" s="4">
        <v>0.41261810866535609</v>
      </c>
      <c r="BS10" s="4">
        <v>0.39177040559650389</v>
      </c>
      <c r="BT10" s="4">
        <v>0.30898825066310098</v>
      </c>
      <c r="BU10" s="4">
        <v>-7.057829421574624E-2</v>
      </c>
      <c r="BV10" s="4">
        <v>0.49407364044411262</v>
      </c>
      <c r="BW10" s="4">
        <v>0.4936076880135406</v>
      </c>
      <c r="BX10" s="4">
        <v>0.16026479397933149</v>
      </c>
      <c r="BY10" s="4">
        <v>0.35658754423259842</v>
      </c>
      <c r="BZ10" s="4">
        <v>0.16026479397933149</v>
      </c>
      <c r="CA10" s="4">
        <v>0.34289553213436152</v>
      </c>
      <c r="CB10" s="4">
        <v>0.16026479397933149</v>
      </c>
      <c r="CC10" s="4">
        <v>0.35658754423259842</v>
      </c>
      <c r="CD10" s="4">
        <v>0.34289553213436152</v>
      </c>
      <c r="CE10" s="4">
        <v>0.32746961573445049</v>
      </c>
      <c r="CF10" s="4">
        <v>0.29154138958491732</v>
      </c>
      <c r="CG10" s="4">
        <v>-0.17044646408657729</v>
      </c>
      <c r="CH10" s="4">
        <v>0.47252894302539578</v>
      </c>
      <c r="CI10" s="4">
        <v>0.47281229334411862</v>
      </c>
      <c r="CJ10" s="4">
        <v>285.00335638113859</v>
      </c>
      <c r="CK10" s="4">
        <v>0.1888302074509717</v>
      </c>
      <c r="CL10" s="4">
        <v>285.00335638113859</v>
      </c>
      <c r="CM10" s="4">
        <v>14.53329518214762</v>
      </c>
      <c r="CN10" s="4">
        <v>285.00335638113859</v>
      </c>
      <c r="CO10" s="4">
        <v>0.1888302074509717</v>
      </c>
      <c r="CP10" s="4">
        <v>14.53329518214762</v>
      </c>
      <c r="CQ10" s="4">
        <v>15.05039834894982</v>
      </c>
      <c r="CR10" s="4">
        <v>367.95947487495317</v>
      </c>
      <c r="CS10" s="4">
        <v>-4.7277529256908979E-2</v>
      </c>
      <c r="CT10" s="4">
        <v>16.235799629587209</v>
      </c>
      <c r="CU10" s="4">
        <v>15.91896064693036</v>
      </c>
    </row>
    <row r="11" spans="1:99" x14ac:dyDescent="0.3">
      <c r="A11" s="1">
        <v>46067.260555555556</v>
      </c>
      <c r="B11" s="2" t="s">
        <v>136</v>
      </c>
      <c r="C11" s="2">
        <v>1</v>
      </c>
      <c r="D11" s="2" t="s">
        <v>118</v>
      </c>
      <c r="E11" s="2" t="s">
        <v>102</v>
      </c>
      <c r="F11" s="2">
        <v>16590</v>
      </c>
      <c r="G11" s="2">
        <v>4.5</v>
      </c>
      <c r="H11" s="2" t="s">
        <v>127</v>
      </c>
      <c r="I11" s="2" t="s">
        <v>104</v>
      </c>
      <c r="J11" s="2">
        <v>5</v>
      </c>
      <c r="K11" s="2">
        <v>5</v>
      </c>
      <c r="L11" s="2" t="s">
        <v>105</v>
      </c>
      <c r="M11" s="2" t="s">
        <v>106</v>
      </c>
      <c r="N11" s="2" t="s">
        <v>107</v>
      </c>
      <c r="O11" s="2" t="s">
        <v>107</v>
      </c>
      <c r="P11" s="2" t="s">
        <v>108</v>
      </c>
      <c r="Q11" s="2" t="s">
        <v>134</v>
      </c>
      <c r="R11" s="2">
        <v>1</v>
      </c>
      <c r="S11" s="2" t="s">
        <v>120</v>
      </c>
      <c r="T11" s="2" t="s">
        <v>129</v>
      </c>
      <c r="U11" s="2" t="s">
        <v>130</v>
      </c>
      <c r="V11" s="2" t="s">
        <v>131</v>
      </c>
      <c r="W11" s="2" t="s">
        <v>132</v>
      </c>
      <c r="X11" s="2" t="s">
        <v>107</v>
      </c>
      <c r="Y11" s="2" t="s">
        <v>115</v>
      </c>
      <c r="Z11" s="2">
        <v>4000</v>
      </c>
      <c r="AA11" s="2">
        <v>4000</v>
      </c>
      <c r="AB11" s="2"/>
      <c r="AC11" s="2">
        <v>128</v>
      </c>
      <c r="AD11" s="2" t="s">
        <v>116</v>
      </c>
      <c r="AE11" s="2">
        <v>0.15</v>
      </c>
      <c r="AF11" s="2">
        <v>170</v>
      </c>
      <c r="AG11" s="2">
        <v>50</v>
      </c>
      <c r="AH11" s="2">
        <v>120</v>
      </c>
      <c r="AI11" s="2">
        <v>0.26850242980214462</v>
      </c>
      <c r="AJ11" s="2">
        <v>77.984333439469239</v>
      </c>
      <c r="AK11" s="2">
        <v>7.8687342227968332E-2</v>
      </c>
      <c r="AL11" s="2">
        <v>-1.533021635719531E-2</v>
      </c>
      <c r="AM11" s="2">
        <v>69.269505217692199</v>
      </c>
      <c r="AN11" s="2">
        <v>0.1063864193223809</v>
      </c>
      <c r="AO11" s="2">
        <v>69.269505217692199</v>
      </c>
      <c r="AP11" s="2">
        <v>14.235612131923039</v>
      </c>
      <c r="AQ11" s="2">
        <v>69.269505217692199</v>
      </c>
      <c r="AR11" s="2">
        <v>14.235612131923039</v>
      </c>
      <c r="AS11" s="2">
        <v>14.845996041261859</v>
      </c>
      <c r="AT11" s="2">
        <v>0.1063864193223809</v>
      </c>
      <c r="AU11" s="2">
        <v>94.584755120795265</v>
      </c>
      <c r="AV11" s="2">
        <v>16.39189088345114</v>
      </c>
      <c r="AW11" s="2">
        <v>16.20140060925079</v>
      </c>
      <c r="AX11" s="2">
        <v>-3.9327580057704009E-2</v>
      </c>
      <c r="AY11" s="2">
        <v>0.5714285714285714</v>
      </c>
      <c r="AZ11" s="2">
        <v>0.13791318595029589</v>
      </c>
      <c r="BA11" s="2">
        <v>-1.4280460301132609E-3</v>
      </c>
      <c r="BB11" s="2">
        <v>0.13791318595029589</v>
      </c>
      <c r="BC11" s="2">
        <v>0.31098115761810707</v>
      </c>
      <c r="BD11" s="2">
        <v>0.13791318595029589</v>
      </c>
      <c r="BE11" s="2">
        <v>-1.4280460301132609E-3</v>
      </c>
      <c r="BF11" s="2">
        <v>0.31098115761810707</v>
      </c>
      <c r="BG11" s="2">
        <v>0.31105670973193023</v>
      </c>
      <c r="BH11" s="2">
        <v>0.14515757798835729</v>
      </c>
      <c r="BI11" s="2">
        <v>-5.4031698924960958E-2</v>
      </c>
      <c r="BJ11" s="2">
        <v>0.32569579017047512</v>
      </c>
      <c r="BK11" s="2">
        <v>0.31430334576939672</v>
      </c>
      <c r="BL11" s="2">
        <v>0.27323007927401771</v>
      </c>
      <c r="BM11" s="2">
        <v>5.3316132345278433E-2</v>
      </c>
      <c r="BN11" s="2">
        <v>0.27323007927401771</v>
      </c>
      <c r="BO11" s="2">
        <v>0.46241205113524197</v>
      </c>
      <c r="BP11" s="2">
        <v>0.27323007927401771</v>
      </c>
      <c r="BQ11" s="2">
        <v>5.3316132345278433E-2</v>
      </c>
      <c r="BR11" s="2">
        <v>0.46241205113524197</v>
      </c>
      <c r="BS11" s="2">
        <v>0.46607494128227572</v>
      </c>
      <c r="BT11" s="2">
        <v>0.29868223769720631</v>
      </c>
      <c r="BU11" s="2">
        <v>-3.487016046789404E-2</v>
      </c>
      <c r="BV11" s="2">
        <v>0.48222932926832229</v>
      </c>
      <c r="BW11" s="2">
        <v>0.51216406712874007</v>
      </c>
      <c r="BX11" s="2">
        <v>0.20910610164585361</v>
      </c>
      <c r="BY11" s="2">
        <v>0.1605051425501626</v>
      </c>
      <c r="BZ11" s="2">
        <v>0.20910610164585361</v>
      </c>
      <c r="CA11" s="2">
        <v>0.4047779746443752</v>
      </c>
      <c r="CB11" s="2">
        <v>0.20910610164585361</v>
      </c>
      <c r="CC11" s="2">
        <v>0.1605051425501626</v>
      </c>
      <c r="CD11" s="2">
        <v>0.4047779746443752</v>
      </c>
      <c r="CE11" s="2">
        <v>0.4008476909887565</v>
      </c>
      <c r="CF11" s="2">
        <v>0.24748065095706109</v>
      </c>
      <c r="CG11" s="2">
        <v>6.4434650087088494E-3</v>
      </c>
      <c r="CH11" s="2">
        <v>0.43570035950396663</v>
      </c>
      <c r="CI11" s="2">
        <v>0.44312686561988901</v>
      </c>
      <c r="CJ11" s="2">
        <v>276.45777150389972</v>
      </c>
      <c r="CK11" s="2">
        <v>0.2131524484241967</v>
      </c>
      <c r="CL11" s="2">
        <v>276.45777150389972</v>
      </c>
      <c r="CM11" s="2">
        <v>14.177930688490809</v>
      </c>
      <c r="CN11" s="2">
        <v>276.45777150389972</v>
      </c>
      <c r="CO11" s="2">
        <v>0.2131524484241967</v>
      </c>
      <c r="CP11" s="2">
        <v>14.177930688490809</v>
      </c>
      <c r="CQ11" s="2">
        <v>14.79140009475679</v>
      </c>
      <c r="CR11" s="2">
        <v>377.64770001653949</v>
      </c>
      <c r="CS11" s="2">
        <v>-7.4851925846678213E-2</v>
      </c>
      <c r="CT11" s="2">
        <v>16.330656750931599</v>
      </c>
      <c r="CU11" s="2">
        <v>16.137271235510269</v>
      </c>
    </row>
    <row r="12" spans="1:99" x14ac:dyDescent="0.3">
      <c r="A12" s="3">
        <v>46067.271909722222</v>
      </c>
      <c r="B12" s="4" t="s">
        <v>137</v>
      </c>
      <c r="C12" s="4">
        <v>2</v>
      </c>
      <c r="D12" s="4" t="s">
        <v>118</v>
      </c>
      <c r="E12" s="4" t="s">
        <v>102</v>
      </c>
      <c r="F12" s="4">
        <v>16590</v>
      </c>
      <c r="G12" s="4">
        <v>4.5</v>
      </c>
      <c r="H12" s="4" t="s">
        <v>127</v>
      </c>
      <c r="I12" s="4" t="s">
        <v>104</v>
      </c>
      <c r="J12" s="4">
        <v>5</v>
      </c>
      <c r="K12" s="4">
        <v>5</v>
      </c>
      <c r="L12" s="4" t="s">
        <v>105</v>
      </c>
      <c r="M12" s="4" t="s">
        <v>106</v>
      </c>
      <c r="N12" s="4" t="s">
        <v>107</v>
      </c>
      <c r="O12" s="4" t="s">
        <v>107</v>
      </c>
      <c r="P12" s="4" t="s">
        <v>108</v>
      </c>
      <c r="Q12" s="4" t="s">
        <v>128</v>
      </c>
      <c r="R12" s="4">
        <v>1</v>
      </c>
      <c r="S12" s="4" t="s">
        <v>110</v>
      </c>
      <c r="T12" s="4" t="s">
        <v>129</v>
      </c>
      <c r="U12" s="4" t="s">
        <v>130</v>
      </c>
      <c r="V12" s="4" t="s">
        <v>131</v>
      </c>
      <c r="W12" s="4" t="s">
        <v>132</v>
      </c>
      <c r="X12" s="4" t="s">
        <v>107</v>
      </c>
      <c r="Y12" s="4" t="s">
        <v>115</v>
      </c>
      <c r="Z12" s="4">
        <v>4000</v>
      </c>
      <c r="AA12" s="4">
        <v>4000</v>
      </c>
      <c r="AB12" s="4"/>
      <c r="AC12" s="4">
        <v>128</v>
      </c>
      <c r="AD12" s="4" t="s">
        <v>116</v>
      </c>
      <c r="AE12" s="4">
        <v>0.15</v>
      </c>
      <c r="AF12" s="4">
        <v>220</v>
      </c>
      <c r="AG12" s="4">
        <v>100</v>
      </c>
      <c r="AH12" s="4">
        <v>120</v>
      </c>
      <c r="AI12" s="4">
        <v>0.25485923700566782</v>
      </c>
      <c r="AJ12" s="4">
        <v>77.429144212261463</v>
      </c>
      <c r="AK12" s="4">
        <v>0.14881052536224409</v>
      </c>
      <c r="AL12" s="4">
        <v>-0.16512207786582911</v>
      </c>
      <c r="AM12" s="4">
        <v>72.694007070880176</v>
      </c>
      <c r="AN12" s="4">
        <v>0.15167139994415341</v>
      </c>
      <c r="AO12" s="4">
        <v>72.694007070880176</v>
      </c>
      <c r="AP12" s="4">
        <v>14.674383166592881</v>
      </c>
      <c r="AQ12" s="4">
        <v>72.694007070880176</v>
      </c>
      <c r="AR12" s="4">
        <v>14.674383166592881</v>
      </c>
      <c r="AS12" s="4">
        <v>15.260075833630779</v>
      </c>
      <c r="AT12" s="4">
        <v>0.15167139994415341</v>
      </c>
      <c r="AU12" s="4">
        <v>90.680435495347609</v>
      </c>
      <c r="AV12" s="4">
        <v>16.186337829601261</v>
      </c>
      <c r="AW12" s="4">
        <v>15.982254565467819</v>
      </c>
      <c r="AX12" s="4">
        <v>-0.13011120891066991</v>
      </c>
      <c r="AY12" s="4">
        <v>0.5714285714285714</v>
      </c>
      <c r="AZ12" s="4">
        <v>0.13071147190294</v>
      </c>
      <c r="BA12" s="4">
        <v>5.0865709471339837E-2</v>
      </c>
      <c r="BB12" s="4">
        <v>0.13071147190294</v>
      </c>
      <c r="BC12" s="4">
        <v>0.30449677220693472</v>
      </c>
      <c r="BD12" s="4">
        <v>0.13071147190294</v>
      </c>
      <c r="BE12" s="4">
        <v>5.0865709471339837E-2</v>
      </c>
      <c r="BF12" s="4">
        <v>0.30449677220693472</v>
      </c>
      <c r="BG12" s="4">
        <v>0.30571750406719722</v>
      </c>
      <c r="BH12" s="4">
        <v>0.15219348134539951</v>
      </c>
      <c r="BI12" s="4">
        <v>-0.1051214544283896</v>
      </c>
      <c r="BJ12" s="4">
        <v>0.33392396146278241</v>
      </c>
      <c r="BK12" s="4">
        <v>0.33888217233310192</v>
      </c>
      <c r="BL12" s="4">
        <v>0.25054158795883258</v>
      </c>
      <c r="BM12" s="4">
        <v>0.1319269088987971</v>
      </c>
      <c r="BN12" s="4">
        <v>0.25054158795883258</v>
      </c>
      <c r="BO12" s="4">
        <v>0.44234446221867357</v>
      </c>
      <c r="BP12" s="4">
        <v>0.25054158795883258</v>
      </c>
      <c r="BQ12" s="4">
        <v>0.1319269088987971</v>
      </c>
      <c r="BR12" s="4">
        <v>0.44234446221867357</v>
      </c>
      <c r="BS12" s="4">
        <v>0.41964861862170932</v>
      </c>
      <c r="BT12" s="4">
        <v>0.33386359485279149</v>
      </c>
      <c r="BU12" s="4">
        <v>-0.15676604890699181</v>
      </c>
      <c r="BV12" s="4">
        <v>0.51021659811448827</v>
      </c>
      <c r="BW12" s="4">
        <v>0.51871211822924823</v>
      </c>
      <c r="BX12" s="4">
        <v>0.18684512858389651</v>
      </c>
      <c r="BY12" s="4">
        <v>0.24987590820573699</v>
      </c>
      <c r="BZ12" s="4">
        <v>0.18684512858389651</v>
      </c>
      <c r="CA12" s="4">
        <v>0.38144061378023392</v>
      </c>
      <c r="CB12" s="4">
        <v>0.18684512858389651</v>
      </c>
      <c r="CC12" s="4">
        <v>0.24987590820573699</v>
      </c>
      <c r="CD12" s="4">
        <v>0.38144061378023392</v>
      </c>
      <c r="CE12" s="4">
        <v>0.3587472635929676</v>
      </c>
      <c r="CF12" s="4">
        <v>0.30598714719045161</v>
      </c>
      <c r="CG12" s="4">
        <v>-0.22844161165214991</v>
      </c>
      <c r="CH12" s="4">
        <v>0.49271626032962862</v>
      </c>
      <c r="CI12" s="4">
        <v>0.5044440375364464</v>
      </c>
      <c r="CJ12" s="4">
        <v>290.20793009507548</v>
      </c>
      <c r="CK12" s="4">
        <v>0.17401707320074039</v>
      </c>
      <c r="CL12" s="4">
        <v>290.20793009507548</v>
      </c>
      <c r="CM12" s="4">
        <v>14.625279124814719</v>
      </c>
      <c r="CN12" s="4">
        <v>290.20793009507548</v>
      </c>
      <c r="CO12" s="4">
        <v>0.17401707320074039</v>
      </c>
      <c r="CP12" s="4">
        <v>14.625279124814719</v>
      </c>
      <c r="CQ12" s="4">
        <v>15.20421698599565</v>
      </c>
      <c r="CR12" s="4">
        <v>361.92969775800162</v>
      </c>
      <c r="CS12" s="4">
        <v>-3.011572065514145E-2</v>
      </c>
      <c r="CT12" s="4">
        <v>16.119841406954329</v>
      </c>
      <c r="CU12" s="4">
        <v>15.912068536883829</v>
      </c>
    </row>
    <row r="13" spans="1:99" x14ac:dyDescent="0.3">
      <c r="A13" s="1">
        <v>46067.381620370368</v>
      </c>
      <c r="B13" s="2" t="s">
        <v>138</v>
      </c>
      <c r="C13" s="2">
        <v>2</v>
      </c>
      <c r="D13" s="2" t="s">
        <v>118</v>
      </c>
      <c r="E13" s="2" t="s">
        <v>102</v>
      </c>
      <c r="F13" s="2">
        <v>16590</v>
      </c>
      <c r="G13" s="2">
        <v>4.5</v>
      </c>
      <c r="H13" s="2" t="s">
        <v>127</v>
      </c>
      <c r="I13" s="2" t="s">
        <v>104</v>
      </c>
      <c r="J13" s="2">
        <v>5</v>
      </c>
      <c r="K13" s="2">
        <v>5</v>
      </c>
      <c r="L13" s="2" t="s">
        <v>105</v>
      </c>
      <c r="M13" s="2" t="s">
        <v>106</v>
      </c>
      <c r="N13" s="2" t="s">
        <v>107</v>
      </c>
      <c r="O13" s="2" t="s">
        <v>107</v>
      </c>
      <c r="P13" s="2" t="s">
        <v>108</v>
      </c>
      <c r="Q13" s="2" t="s">
        <v>134</v>
      </c>
      <c r="R13" s="2">
        <v>1</v>
      </c>
      <c r="S13" s="2" t="s">
        <v>120</v>
      </c>
      <c r="T13" s="2" t="s">
        <v>129</v>
      </c>
      <c r="U13" s="2" t="s">
        <v>130</v>
      </c>
      <c r="V13" s="2" t="s">
        <v>131</v>
      </c>
      <c r="W13" s="2" t="s">
        <v>132</v>
      </c>
      <c r="X13" s="2" t="s">
        <v>107</v>
      </c>
      <c r="Y13" s="2" t="s">
        <v>115</v>
      </c>
      <c r="Z13" s="2">
        <v>4000</v>
      </c>
      <c r="AA13" s="2">
        <v>4000</v>
      </c>
      <c r="AB13" s="2"/>
      <c r="AC13" s="2">
        <v>128</v>
      </c>
      <c r="AD13" s="2" t="s">
        <v>116</v>
      </c>
      <c r="AE13" s="2">
        <v>0.15</v>
      </c>
      <c r="AF13" s="2">
        <v>170</v>
      </c>
      <c r="AG13" s="2">
        <v>50</v>
      </c>
      <c r="AH13" s="2">
        <v>120</v>
      </c>
      <c r="AI13" s="2">
        <v>0.25630495800921721</v>
      </c>
      <c r="AJ13" s="2">
        <v>79.347382479299071</v>
      </c>
      <c r="AK13" s="2">
        <v>8.3435606771806753E-2</v>
      </c>
      <c r="AL13" s="2">
        <v>-5.5509080753013279E-2</v>
      </c>
      <c r="AM13" s="2">
        <v>71.283136958484761</v>
      </c>
      <c r="AN13" s="2">
        <v>0.1012850757698603</v>
      </c>
      <c r="AO13" s="2">
        <v>71.283136958484761</v>
      </c>
      <c r="AP13" s="2">
        <v>14.27208624074605</v>
      </c>
      <c r="AQ13" s="2">
        <v>71.283136958484761</v>
      </c>
      <c r="AR13" s="2">
        <v>14.27208624074605</v>
      </c>
      <c r="AS13" s="2">
        <v>15.94815943957248</v>
      </c>
      <c r="AT13" s="2">
        <v>0.1012850757698603</v>
      </c>
      <c r="AU13" s="2">
        <v>94.547145701547933</v>
      </c>
      <c r="AV13" s="2">
        <v>16.434458511061521</v>
      </c>
      <c r="AW13" s="2">
        <v>16.036491712429989</v>
      </c>
      <c r="AX13" s="2">
        <v>-6.2988501319030499E-2</v>
      </c>
      <c r="AY13" s="2">
        <v>0.5714285714285714</v>
      </c>
      <c r="AZ13" s="2">
        <v>0.14785543545860699</v>
      </c>
      <c r="BA13" s="2">
        <v>-7.3621632376818402E-2</v>
      </c>
      <c r="BB13" s="2">
        <v>0.14785543545860699</v>
      </c>
      <c r="BC13" s="2">
        <v>0.32334829941784587</v>
      </c>
      <c r="BD13" s="2">
        <v>0.14785543545860699</v>
      </c>
      <c r="BE13" s="2">
        <v>-7.3621632376818402E-2</v>
      </c>
      <c r="BF13" s="2">
        <v>0.32334829941784587</v>
      </c>
      <c r="BG13" s="2">
        <v>0.31616242041508252</v>
      </c>
      <c r="BH13" s="2">
        <v>0.1521738925803737</v>
      </c>
      <c r="BI13" s="2">
        <v>-0.1049792146668411</v>
      </c>
      <c r="BJ13" s="2">
        <v>0.33427828962146372</v>
      </c>
      <c r="BK13" s="2">
        <v>0.34096117774517098</v>
      </c>
      <c r="BL13" s="2">
        <v>0.25785725196769083</v>
      </c>
      <c r="BM13" s="2">
        <v>0.106579695602333</v>
      </c>
      <c r="BN13" s="2">
        <v>0.25785725196769083</v>
      </c>
      <c r="BO13" s="2">
        <v>0.4490456671422644</v>
      </c>
      <c r="BP13" s="2">
        <v>0.25785725196769083</v>
      </c>
      <c r="BQ13" s="2">
        <v>0.106579695602333</v>
      </c>
      <c r="BR13" s="2">
        <v>0.4490456671422644</v>
      </c>
      <c r="BS13" s="2">
        <v>0.44123771364416209</v>
      </c>
      <c r="BT13" s="2">
        <v>0.29233415616193242</v>
      </c>
      <c r="BU13" s="2">
        <v>-1.28754137841891E-2</v>
      </c>
      <c r="BV13" s="2">
        <v>0.47974730586886599</v>
      </c>
      <c r="BW13" s="2">
        <v>0.47825210257430367</v>
      </c>
      <c r="BX13" s="2">
        <v>0.20375575813596941</v>
      </c>
      <c r="BY13" s="2">
        <v>0.1819850794185035</v>
      </c>
      <c r="BZ13" s="2">
        <v>0.20375575813596941</v>
      </c>
      <c r="CA13" s="2">
        <v>0.3992792567457995</v>
      </c>
      <c r="CB13" s="2">
        <v>0.20375575813596941</v>
      </c>
      <c r="CC13" s="2">
        <v>0.1819850794185035</v>
      </c>
      <c r="CD13" s="2">
        <v>0.3992792567457995</v>
      </c>
      <c r="CE13" s="2">
        <v>0.37830480791747267</v>
      </c>
      <c r="CF13" s="2">
        <v>0.26396212352031112</v>
      </c>
      <c r="CG13" s="2">
        <v>-5.9724434211573703E-2</v>
      </c>
      <c r="CH13" s="2">
        <v>0.45293199398639822</v>
      </c>
      <c r="CI13" s="2">
        <v>0.44520525601319</v>
      </c>
      <c r="CJ13" s="2">
        <v>284.52307938837549</v>
      </c>
      <c r="CK13" s="2">
        <v>0.19019716043542961</v>
      </c>
      <c r="CL13" s="2">
        <v>284.52307938837549</v>
      </c>
      <c r="CM13" s="2">
        <v>14.20979104969294</v>
      </c>
      <c r="CN13" s="2">
        <v>284.52307938837549</v>
      </c>
      <c r="CO13" s="2">
        <v>0.19019716043542961</v>
      </c>
      <c r="CP13" s="2">
        <v>14.20979104969294</v>
      </c>
      <c r="CQ13" s="2">
        <v>15.886931422653261</v>
      </c>
      <c r="CR13" s="2">
        <v>377.4801126339301</v>
      </c>
      <c r="CS13" s="2">
        <v>-7.4374942613528949E-2</v>
      </c>
      <c r="CT13" s="2">
        <v>16.371437368586601</v>
      </c>
      <c r="CU13" s="2">
        <v>15.975832587830411</v>
      </c>
    </row>
    <row r="14" spans="1:99" x14ac:dyDescent="0.3">
      <c r="A14" s="3">
        <v>46067.388622685183</v>
      </c>
      <c r="B14" s="4" t="s">
        <v>139</v>
      </c>
      <c r="C14" s="4">
        <v>0</v>
      </c>
      <c r="D14" s="4" t="s">
        <v>118</v>
      </c>
      <c r="E14" s="4" t="s">
        <v>102</v>
      </c>
      <c r="F14" s="4">
        <v>16590</v>
      </c>
      <c r="G14" s="4">
        <v>4.5</v>
      </c>
      <c r="H14" s="4" t="s">
        <v>140</v>
      </c>
      <c r="I14" s="4" t="s">
        <v>104</v>
      </c>
      <c r="J14" s="4">
        <v>5</v>
      </c>
      <c r="K14" s="4">
        <v>5</v>
      </c>
      <c r="L14" s="4" t="s">
        <v>105</v>
      </c>
      <c r="M14" s="4" t="s">
        <v>106</v>
      </c>
      <c r="N14" s="4" t="s">
        <v>107</v>
      </c>
      <c r="O14" s="4" t="s">
        <v>107</v>
      </c>
      <c r="P14" s="4" t="s">
        <v>108</v>
      </c>
      <c r="Q14" s="4" t="s">
        <v>141</v>
      </c>
      <c r="R14" s="4">
        <v>2</v>
      </c>
      <c r="S14" s="4" t="s">
        <v>110</v>
      </c>
      <c r="T14" s="4" t="s">
        <v>129</v>
      </c>
      <c r="U14" s="4" t="s">
        <v>142</v>
      </c>
      <c r="V14" s="4" t="s">
        <v>143</v>
      </c>
      <c r="W14" s="4" t="s">
        <v>144</v>
      </c>
      <c r="X14" s="4" t="s">
        <v>107</v>
      </c>
      <c r="Y14" s="4" t="s">
        <v>115</v>
      </c>
      <c r="Z14" s="4">
        <v>4000</v>
      </c>
      <c r="AA14" s="4">
        <v>4000</v>
      </c>
      <c r="AB14" s="4"/>
      <c r="AC14" s="4">
        <v>128</v>
      </c>
      <c r="AD14" s="4" t="s">
        <v>116</v>
      </c>
      <c r="AE14" s="4">
        <v>0.15</v>
      </c>
      <c r="AF14" s="4">
        <v>240</v>
      </c>
      <c r="AG14" s="4">
        <v>120</v>
      </c>
      <c r="AH14" s="4">
        <v>120</v>
      </c>
      <c r="AI14" s="4">
        <v>0.170402808011198</v>
      </c>
      <c r="AJ14" s="4">
        <v>67.942321969732276</v>
      </c>
      <c r="AK14" s="4">
        <v>0.51430011788560537</v>
      </c>
      <c r="AL14" s="4">
        <v>-6.4581655494265255E-2</v>
      </c>
      <c r="AM14" s="4">
        <v>75.504286147685562</v>
      </c>
      <c r="AN14" s="4">
        <v>0.46132363377535007</v>
      </c>
      <c r="AO14" s="4">
        <v>75.504286147685562</v>
      </c>
      <c r="AP14" s="4">
        <v>14.627552421817549</v>
      </c>
      <c r="AQ14" s="4">
        <v>75.504286147685562</v>
      </c>
      <c r="AR14" s="4">
        <v>14.627552421817549</v>
      </c>
      <c r="AS14" s="4">
        <v>15.17210926548473</v>
      </c>
      <c r="AT14" s="4">
        <v>0.46132363377535007</v>
      </c>
      <c r="AU14" s="4">
        <v>97.183188571212213</v>
      </c>
      <c r="AV14" s="4">
        <v>16.627968408567732</v>
      </c>
      <c r="AW14" s="4">
        <v>16.52754049575579</v>
      </c>
      <c r="AX14" s="4">
        <v>-8.2759795501815669E-2</v>
      </c>
      <c r="AY14" s="4">
        <v>0.5714285714285714</v>
      </c>
      <c r="AZ14" s="4">
        <v>4.0522405891467869E-2</v>
      </c>
      <c r="BA14" s="4">
        <v>0.70575493943735723</v>
      </c>
      <c r="BB14" s="4">
        <v>4.0522405891467869E-2</v>
      </c>
      <c r="BC14" s="4">
        <v>0.154834418972425</v>
      </c>
      <c r="BD14" s="4">
        <v>4.0522405891467869E-2</v>
      </c>
      <c r="BE14" s="4">
        <v>0.70575493943735723</v>
      </c>
      <c r="BF14" s="4">
        <v>0.154834418972425</v>
      </c>
      <c r="BG14" s="4">
        <v>0.14116308228517241</v>
      </c>
      <c r="BH14" s="4">
        <v>0.12923631174883241</v>
      </c>
      <c r="BI14" s="4">
        <v>6.1577279511073613E-2</v>
      </c>
      <c r="BJ14" s="4">
        <v>0.27714441458660799</v>
      </c>
      <c r="BK14" s="4">
        <v>0.35615131551469942</v>
      </c>
      <c r="BL14" s="4">
        <v>0.15164730281057451</v>
      </c>
      <c r="BM14" s="4">
        <v>0.4745744848972302</v>
      </c>
      <c r="BN14" s="4">
        <v>0.15164730281057451</v>
      </c>
      <c r="BO14" s="4">
        <v>0.32964607078203451</v>
      </c>
      <c r="BP14" s="4">
        <v>0.15164730281057451</v>
      </c>
      <c r="BQ14" s="4">
        <v>0.4745744848972302</v>
      </c>
      <c r="BR14" s="4">
        <v>0.32964607078203451</v>
      </c>
      <c r="BS14" s="4">
        <v>0.25267808398845748</v>
      </c>
      <c r="BT14" s="4">
        <v>0.31645104578384131</v>
      </c>
      <c r="BU14" s="4">
        <v>-9.64352853903232E-2</v>
      </c>
      <c r="BV14" s="4">
        <v>0.49170959306578499</v>
      </c>
      <c r="BW14" s="4">
        <v>0.5073761735522857</v>
      </c>
      <c r="BX14" s="4">
        <v>0.1186458331209737</v>
      </c>
      <c r="BY14" s="4">
        <v>0.52367450792230841</v>
      </c>
      <c r="BZ14" s="4">
        <v>0.1186458331209737</v>
      </c>
      <c r="CA14" s="4">
        <v>0.2833219283311581</v>
      </c>
      <c r="CB14" s="4">
        <v>0.1186458331209737</v>
      </c>
      <c r="CC14" s="4">
        <v>0.52367450792230841</v>
      </c>
      <c r="CD14" s="4">
        <v>0.2833219283311581</v>
      </c>
      <c r="CE14" s="4">
        <v>0.23038417155563809</v>
      </c>
      <c r="CF14" s="4">
        <v>0.29688334337391892</v>
      </c>
      <c r="CG14" s="4">
        <v>-0.19189271887925941</v>
      </c>
      <c r="CH14" s="4">
        <v>0.48747883412105802</v>
      </c>
      <c r="CI14" s="4">
        <v>0.51285484647305024</v>
      </c>
      <c r="CJ14" s="4">
        <v>301.70632904891932</v>
      </c>
      <c r="CK14" s="4">
        <v>0.14129060284450329</v>
      </c>
      <c r="CL14" s="4">
        <v>301.70632904891932</v>
      </c>
      <c r="CM14" s="4">
        <v>14.59796468862741</v>
      </c>
      <c r="CN14" s="4">
        <v>301.70632904891932</v>
      </c>
      <c r="CO14" s="4">
        <v>0.14129060284450329</v>
      </c>
      <c r="CP14" s="4">
        <v>14.59796468862741</v>
      </c>
      <c r="CQ14" s="4">
        <v>15.153096117283919</v>
      </c>
      <c r="CR14" s="4">
        <v>387.99018358394358</v>
      </c>
      <c r="CS14" s="4">
        <v>-0.104288457248763</v>
      </c>
      <c r="CT14" s="4">
        <v>16.561543952665389</v>
      </c>
      <c r="CU14" s="4">
        <v>16.454561371727639</v>
      </c>
    </row>
    <row r="15" spans="1:99" x14ac:dyDescent="0.3">
      <c r="A15" s="1">
        <v>46067.50037037037</v>
      </c>
      <c r="B15" s="2" t="s">
        <v>145</v>
      </c>
      <c r="C15" s="2">
        <v>0</v>
      </c>
      <c r="D15" s="2" t="s">
        <v>118</v>
      </c>
      <c r="E15" s="2" t="s">
        <v>102</v>
      </c>
      <c r="F15" s="2">
        <v>16590</v>
      </c>
      <c r="G15" s="2">
        <v>4.5</v>
      </c>
      <c r="H15" s="2" t="s">
        <v>140</v>
      </c>
      <c r="I15" s="2" t="s">
        <v>104</v>
      </c>
      <c r="J15" s="2">
        <v>5</v>
      </c>
      <c r="K15" s="2">
        <v>5</v>
      </c>
      <c r="L15" s="2" t="s">
        <v>105</v>
      </c>
      <c r="M15" s="2" t="s">
        <v>106</v>
      </c>
      <c r="N15" s="2" t="s">
        <v>107</v>
      </c>
      <c r="O15" s="2" t="s">
        <v>107</v>
      </c>
      <c r="P15" s="2" t="s">
        <v>108</v>
      </c>
      <c r="Q15" s="2" t="s">
        <v>146</v>
      </c>
      <c r="R15" s="2">
        <v>2</v>
      </c>
      <c r="S15" s="2" t="s">
        <v>120</v>
      </c>
      <c r="T15" s="2" t="s">
        <v>129</v>
      </c>
      <c r="U15" s="2" t="s">
        <v>142</v>
      </c>
      <c r="V15" s="2" t="s">
        <v>143</v>
      </c>
      <c r="W15" s="2" t="s">
        <v>144</v>
      </c>
      <c r="X15" s="2" t="s">
        <v>107</v>
      </c>
      <c r="Y15" s="2" t="s">
        <v>115</v>
      </c>
      <c r="Z15" s="2">
        <v>4000</v>
      </c>
      <c r="AA15" s="2">
        <v>4000</v>
      </c>
      <c r="AB15" s="2"/>
      <c r="AC15" s="2">
        <v>128</v>
      </c>
      <c r="AD15" s="2" t="s">
        <v>116</v>
      </c>
      <c r="AE15" s="2">
        <v>0.15</v>
      </c>
      <c r="AF15" s="2">
        <v>200</v>
      </c>
      <c r="AG15" s="2">
        <v>80</v>
      </c>
      <c r="AH15" s="2">
        <v>120</v>
      </c>
      <c r="AI15" s="2">
        <v>0.19232553943208999</v>
      </c>
      <c r="AJ15" s="2">
        <v>66.16003925349932</v>
      </c>
      <c r="AK15" s="2">
        <v>0.45032852521990258</v>
      </c>
      <c r="AL15" s="2">
        <v>-5.0427303326677282E-2</v>
      </c>
      <c r="AM15" s="2">
        <v>73.491363725492079</v>
      </c>
      <c r="AN15" s="2">
        <v>0.38541624771921468</v>
      </c>
      <c r="AO15" s="2">
        <v>73.491363725492079</v>
      </c>
      <c r="AP15" s="2">
        <v>13.832924474174311</v>
      </c>
      <c r="AQ15" s="2">
        <v>73.491363725492079</v>
      </c>
      <c r="AR15" s="2">
        <v>13.832924474174311</v>
      </c>
      <c r="AS15" s="2">
        <v>14.10578777643507</v>
      </c>
      <c r="AT15" s="2">
        <v>0.38541624771921468</v>
      </c>
      <c r="AU15" s="2">
        <v>95.979803613424593</v>
      </c>
      <c r="AV15" s="2">
        <v>16.48163587240585</v>
      </c>
      <c r="AW15" s="2">
        <v>16.39494053350451</v>
      </c>
      <c r="AX15" s="2">
        <v>-5.7294218175265872E-2</v>
      </c>
      <c r="AY15" s="2">
        <v>0.5714285714285714</v>
      </c>
      <c r="AZ15" s="2">
        <v>6.2748212579953486E-2</v>
      </c>
      <c r="BA15" s="2">
        <v>0.54436684583248018</v>
      </c>
      <c r="BB15" s="2">
        <v>6.2748212579953486E-2</v>
      </c>
      <c r="BC15" s="2">
        <v>0.18317355815540251</v>
      </c>
      <c r="BD15" s="2">
        <v>6.2748212579953486E-2</v>
      </c>
      <c r="BE15" s="2">
        <v>0.54436684583248018</v>
      </c>
      <c r="BF15" s="2">
        <v>0.18317355815540251</v>
      </c>
      <c r="BG15" s="2">
        <v>0.17295688779820409</v>
      </c>
      <c r="BH15" s="2">
        <v>0.14186556852554841</v>
      </c>
      <c r="BI15" s="2">
        <v>-3.0127453793233672E-2</v>
      </c>
      <c r="BJ15" s="2">
        <v>0.30202082639190431</v>
      </c>
      <c r="BK15" s="2">
        <v>0.33088386177298879</v>
      </c>
      <c r="BL15" s="2">
        <v>0.199575104195157</v>
      </c>
      <c r="BM15" s="2">
        <v>0.30851488961584611</v>
      </c>
      <c r="BN15" s="2">
        <v>0.199575104195157</v>
      </c>
      <c r="BO15" s="2">
        <v>0.38273559864832829</v>
      </c>
      <c r="BP15" s="2">
        <v>0.199575104195157</v>
      </c>
      <c r="BQ15" s="2">
        <v>0.30851488961584611</v>
      </c>
      <c r="BR15" s="2">
        <v>0.38273559864832829</v>
      </c>
      <c r="BS15" s="2">
        <v>0.35442657702262143</v>
      </c>
      <c r="BT15" s="2">
        <v>0.29725072022558291</v>
      </c>
      <c r="BU15" s="2">
        <v>-2.991025817509918E-2</v>
      </c>
      <c r="BV15" s="2">
        <v>0.47861640508716358</v>
      </c>
      <c r="BW15" s="2">
        <v>0.47293470701556078</v>
      </c>
      <c r="BX15" s="2">
        <v>0.1184708641897818</v>
      </c>
      <c r="BY15" s="2">
        <v>0.52437695283803776</v>
      </c>
      <c r="BZ15" s="2">
        <v>0.1184708641897818</v>
      </c>
      <c r="CA15" s="2">
        <v>0.28570185824263411</v>
      </c>
      <c r="CB15" s="2">
        <v>0.1184708641897818</v>
      </c>
      <c r="CC15" s="2">
        <v>0.52437695283803776</v>
      </c>
      <c r="CD15" s="2">
        <v>0.28570185824263411</v>
      </c>
      <c r="CE15" s="2">
        <v>0.25568529130796069</v>
      </c>
      <c r="CF15" s="2">
        <v>0.26862683141139743</v>
      </c>
      <c r="CG15" s="2">
        <v>-7.8451760938293758E-2</v>
      </c>
      <c r="CH15" s="2">
        <v>0.44570330624078641</v>
      </c>
      <c r="CI15" s="2">
        <v>0.44460502546371972</v>
      </c>
      <c r="CJ15" s="2">
        <v>293.58466072100231</v>
      </c>
      <c r="CK15" s="2">
        <v>0.16440630259050271</v>
      </c>
      <c r="CL15" s="2">
        <v>293.58466072100231</v>
      </c>
      <c r="CM15" s="2">
        <v>13.79215258563953</v>
      </c>
      <c r="CN15" s="2">
        <v>293.58466072100231</v>
      </c>
      <c r="CO15" s="2">
        <v>0.16440630259050271</v>
      </c>
      <c r="CP15" s="2">
        <v>13.79215258563953</v>
      </c>
      <c r="CQ15" s="2">
        <v>14.06943392021104</v>
      </c>
      <c r="CR15" s="2">
        <v>383.21147133353742</v>
      </c>
      <c r="CS15" s="2">
        <v>-9.0687399794444179E-2</v>
      </c>
      <c r="CT15" s="2">
        <v>16.420493290922881</v>
      </c>
      <c r="CU15" s="2">
        <v>16.333922670444181</v>
      </c>
    </row>
    <row r="16" spans="1:99" x14ac:dyDescent="0.3">
      <c r="A16" s="3">
        <v>46067.541597222233</v>
      </c>
      <c r="B16" s="4" t="s">
        <v>147</v>
      </c>
      <c r="C16" s="4">
        <v>1</v>
      </c>
      <c r="D16" s="4" t="s">
        <v>118</v>
      </c>
      <c r="E16" s="4" t="s">
        <v>102</v>
      </c>
      <c r="F16" s="4">
        <v>16590</v>
      </c>
      <c r="G16" s="4">
        <v>4.5</v>
      </c>
      <c r="H16" s="4" t="s">
        <v>140</v>
      </c>
      <c r="I16" s="4" t="s">
        <v>104</v>
      </c>
      <c r="J16" s="4">
        <v>5</v>
      </c>
      <c r="K16" s="4">
        <v>5</v>
      </c>
      <c r="L16" s="4" t="s">
        <v>105</v>
      </c>
      <c r="M16" s="4" t="s">
        <v>106</v>
      </c>
      <c r="N16" s="4" t="s">
        <v>107</v>
      </c>
      <c r="O16" s="4" t="s">
        <v>107</v>
      </c>
      <c r="P16" s="4" t="s">
        <v>108</v>
      </c>
      <c r="Q16" s="4" t="s">
        <v>141</v>
      </c>
      <c r="R16" s="4">
        <v>2</v>
      </c>
      <c r="S16" s="4" t="s">
        <v>110</v>
      </c>
      <c r="T16" s="4" t="s">
        <v>129</v>
      </c>
      <c r="U16" s="4" t="s">
        <v>142</v>
      </c>
      <c r="V16" s="4" t="s">
        <v>143</v>
      </c>
      <c r="W16" s="4" t="s">
        <v>144</v>
      </c>
      <c r="X16" s="4" t="s">
        <v>107</v>
      </c>
      <c r="Y16" s="4" t="s">
        <v>115</v>
      </c>
      <c r="Z16" s="4">
        <v>4000</v>
      </c>
      <c r="AA16" s="4">
        <v>4000</v>
      </c>
      <c r="AB16" s="4"/>
      <c r="AC16" s="4">
        <v>128</v>
      </c>
      <c r="AD16" s="4" t="s">
        <v>116</v>
      </c>
      <c r="AE16" s="4">
        <v>0.15</v>
      </c>
      <c r="AF16" s="4">
        <v>240</v>
      </c>
      <c r="AG16" s="4">
        <v>120</v>
      </c>
      <c r="AH16" s="4">
        <v>120</v>
      </c>
      <c r="AI16" s="4">
        <v>0.18017085187104959</v>
      </c>
      <c r="AJ16" s="4">
        <v>64.585543423575331</v>
      </c>
      <c r="AK16" s="4">
        <v>0.48741232509245902</v>
      </c>
      <c r="AL16" s="4">
        <v>-3.5337581258156697E-2</v>
      </c>
      <c r="AM16" s="4">
        <v>70.430481130515858</v>
      </c>
      <c r="AN16" s="4">
        <v>0.41905631180653108</v>
      </c>
      <c r="AO16" s="4">
        <v>70.430481130515858</v>
      </c>
      <c r="AP16" s="4">
        <v>13.96184235946037</v>
      </c>
      <c r="AQ16" s="4">
        <v>70.430481130515858</v>
      </c>
      <c r="AR16" s="4">
        <v>13.96184235946037</v>
      </c>
      <c r="AS16" s="4">
        <v>13.295493361514369</v>
      </c>
      <c r="AT16" s="4">
        <v>0.41905631180653108</v>
      </c>
      <c r="AU16" s="4">
        <v>97.981061286802969</v>
      </c>
      <c r="AV16" s="4">
        <v>16.64474476898134</v>
      </c>
      <c r="AW16" s="4">
        <v>16.396868949314641</v>
      </c>
      <c r="AX16" s="4">
        <v>-5.6640357698674093E-2</v>
      </c>
      <c r="AY16" s="4">
        <v>0.5714285714285714</v>
      </c>
      <c r="AZ16" s="4">
        <v>8.6034523860273632E-2</v>
      </c>
      <c r="BA16" s="4">
        <v>0.37527811770242009</v>
      </c>
      <c r="BB16" s="4">
        <v>8.6034523860273632E-2</v>
      </c>
      <c r="BC16" s="4">
        <v>0.22027147086680179</v>
      </c>
      <c r="BD16" s="4">
        <v>8.6034523860273632E-2</v>
      </c>
      <c r="BE16" s="4">
        <v>0.37527811770242009</v>
      </c>
      <c r="BF16" s="4">
        <v>0.22027147086680179</v>
      </c>
      <c r="BG16" s="4">
        <v>0.22202125842616721</v>
      </c>
      <c r="BH16" s="4">
        <v>0.1377361182012416</v>
      </c>
      <c r="BI16" s="4">
        <v>-1.423052307218953E-4</v>
      </c>
      <c r="BJ16" s="4">
        <v>0.28909892159644918</v>
      </c>
      <c r="BK16" s="4">
        <v>0.24373837621069139</v>
      </c>
      <c r="BL16" s="4">
        <v>0.1111406102891426</v>
      </c>
      <c r="BM16" s="4">
        <v>0.61492152298315084</v>
      </c>
      <c r="BN16" s="4">
        <v>0.1111406102891426</v>
      </c>
      <c r="BO16" s="4">
        <v>0.2668717114608441</v>
      </c>
      <c r="BP16" s="4">
        <v>0.1111406102891426</v>
      </c>
      <c r="BQ16" s="4">
        <v>0.61492152298315084</v>
      </c>
      <c r="BR16" s="4">
        <v>0.2668717114608441</v>
      </c>
      <c r="BS16" s="4">
        <v>0.25236725033077712</v>
      </c>
      <c r="BT16" s="4">
        <v>0.29958302446474722</v>
      </c>
      <c r="BU16" s="4">
        <v>-3.7991194225573947E-2</v>
      </c>
      <c r="BV16" s="4">
        <v>0.4670988625836266</v>
      </c>
      <c r="BW16" s="4">
        <v>0.45140655792701911</v>
      </c>
      <c r="BX16" s="4">
        <v>0.12779812911981961</v>
      </c>
      <c r="BY16" s="4">
        <v>0.48693093437560009</v>
      </c>
      <c r="BZ16" s="4">
        <v>0.12779812911981961</v>
      </c>
      <c r="CA16" s="4">
        <v>0.30919171907481902</v>
      </c>
      <c r="CB16" s="4">
        <v>0.12779812911981961</v>
      </c>
      <c r="CC16" s="4">
        <v>0.48693093437560009</v>
      </c>
      <c r="CD16" s="4">
        <v>0.30919171907481902</v>
      </c>
      <c r="CE16" s="4">
        <v>0.30960378404756927</v>
      </c>
      <c r="CF16" s="4">
        <v>0.26775439506583132</v>
      </c>
      <c r="CG16" s="4">
        <v>-7.4949204964123828E-2</v>
      </c>
      <c r="CH16" s="4">
        <v>0.44675792633255862</v>
      </c>
      <c r="CI16" s="4">
        <v>0.47509883111410728</v>
      </c>
      <c r="CJ16" s="4">
        <v>281.39695125879501</v>
      </c>
      <c r="CK16" s="4">
        <v>0.19909467216494869</v>
      </c>
      <c r="CL16" s="4">
        <v>281.39695125879501</v>
      </c>
      <c r="CM16" s="4">
        <v>13.932604622735919</v>
      </c>
      <c r="CN16" s="4">
        <v>281.39695125879501</v>
      </c>
      <c r="CO16" s="4">
        <v>0.19909467216494869</v>
      </c>
      <c r="CP16" s="4">
        <v>13.932604622735919</v>
      </c>
      <c r="CQ16" s="4">
        <v>13.2660821134274</v>
      </c>
      <c r="CR16" s="4">
        <v>391.21917160947999</v>
      </c>
      <c r="CS16" s="4">
        <v>-0.11347872637427781</v>
      </c>
      <c r="CT16" s="4">
        <v>16.584169172822929</v>
      </c>
      <c r="CU16" s="4">
        <v>16.33573745359303</v>
      </c>
    </row>
    <row r="17" spans="1:99" x14ac:dyDescent="0.3">
      <c r="A17" s="1">
        <v>46067.651944444442</v>
      </c>
      <c r="B17" s="2" t="s">
        <v>148</v>
      </c>
      <c r="C17" s="2">
        <v>1</v>
      </c>
      <c r="D17" s="2" t="s">
        <v>118</v>
      </c>
      <c r="E17" s="2" t="s">
        <v>102</v>
      </c>
      <c r="F17" s="2">
        <v>16590</v>
      </c>
      <c r="G17" s="2">
        <v>4.5</v>
      </c>
      <c r="H17" s="2" t="s">
        <v>140</v>
      </c>
      <c r="I17" s="2" t="s">
        <v>104</v>
      </c>
      <c r="J17" s="2">
        <v>5</v>
      </c>
      <c r="K17" s="2">
        <v>5</v>
      </c>
      <c r="L17" s="2" t="s">
        <v>105</v>
      </c>
      <c r="M17" s="2" t="s">
        <v>106</v>
      </c>
      <c r="N17" s="2" t="s">
        <v>107</v>
      </c>
      <c r="O17" s="2" t="s">
        <v>107</v>
      </c>
      <c r="P17" s="2" t="s">
        <v>108</v>
      </c>
      <c r="Q17" s="2" t="s">
        <v>146</v>
      </c>
      <c r="R17" s="2">
        <v>2</v>
      </c>
      <c r="S17" s="2" t="s">
        <v>120</v>
      </c>
      <c r="T17" s="2" t="s">
        <v>129</v>
      </c>
      <c r="U17" s="2" t="s">
        <v>142</v>
      </c>
      <c r="V17" s="2" t="s">
        <v>143</v>
      </c>
      <c r="W17" s="2" t="s">
        <v>144</v>
      </c>
      <c r="X17" s="2" t="s">
        <v>107</v>
      </c>
      <c r="Y17" s="2" t="s">
        <v>115</v>
      </c>
      <c r="Z17" s="2">
        <v>4000</v>
      </c>
      <c r="AA17" s="2">
        <v>4000</v>
      </c>
      <c r="AB17" s="2"/>
      <c r="AC17" s="2">
        <v>128</v>
      </c>
      <c r="AD17" s="2" t="s">
        <v>116</v>
      </c>
      <c r="AE17" s="2">
        <v>0.15</v>
      </c>
      <c r="AF17" s="2">
        <v>200</v>
      </c>
      <c r="AG17" s="2">
        <v>80</v>
      </c>
      <c r="AH17" s="2">
        <v>120</v>
      </c>
      <c r="AI17" s="2">
        <v>0.23917069440917871</v>
      </c>
      <c r="AJ17" s="2">
        <v>82.186645657655959</v>
      </c>
      <c r="AK17" s="2">
        <v>0.2477215574507102</v>
      </c>
      <c r="AL17" s="2">
        <v>-7.8876646971796222E-2</v>
      </c>
      <c r="AM17" s="2">
        <v>88.284759510985083</v>
      </c>
      <c r="AN17" s="2">
        <v>0.2155686291075449</v>
      </c>
      <c r="AO17" s="2">
        <v>88.284759510985083</v>
      </c>
      <c r="AP17" s="2">
        <v>15.80092752301981</v>
      </c>
      <c r="AQ17" s="2">
        <v>88.284759510985083</v>
      </c>
      <c r="AR17" s="2">
        <v>15.80092752301981</v>
      </c>
      <c r="AS17" s="2">
        <v>16.190811445379332</v>
      </c>
      <c r="AT17" s="2">
        <v>0.2155686291075449</v>
      </c>
      <c r="AU17" s="2">
        <v>97.014165198169664</v>
      </c>
      <c r="AV17" s="2">
        <v>16.527760986732002</v>
      </c>
      <c r="AW17" s="2">
        <v>16.37241719411864</v>
      </c>
      <c r="AX17" s="2">
        <v>-6.7733639548710201E-2</v>
      </c>
      <c r="AY17" s="2">
        <v>0.5714285714285714</v>
      </c>
      <c r="AZ17" s="2">
        <v>7.7394913516817584E-2</v>
      </c>
      <c r="BA17" s="2">
        <v>0.43801285945385021</v>
      </c>
      <c r="BB17" s="2">
        <v>7.7394913516817584E-2</v>
      </c>
      <c r="BC17" s="2">
        <v>0.20869038538527179</v>
      </c>
      <c r="BD17" s="2">
        <v>7.7394913516817584E-2</v>
      </c>
      <c r="BE17" s="2">
        <v>0.43801285945385021</v>
      </c>
      <c r="BF17" s="2">
        <v>0.20869038538527179</v>
      </c>
      <c r="BG17" s="2">
        <v>0.2084289473151397</v>
      </c>
      <c r="BH17" s="2">
        <v>0.13381960846564481</v>
      </c>
      <c r="BI17" s="2">
        <v>2.8296619334404079E-2</v>
      </c>
      <c r="BJ17" s="2">
        <v>0.28172762116966171</v>
      </c>
      <c r="BK17" s="2">
        <v>0.2453841186330333</v>
      </c>
      <c r="BL17" s="2">
        <v>0.2350402634580924</v>
      </c>
      <c r="BM17" s="2">
        <v>0.18563568748980469</v>
      </c>
      <c r="BN17" s="2">
        <v>0.2350402634580924</v>
      </c>
      <c r="BO17" s="2">
        <v>0.4198636650683783</v>
      </c>
      <c r="BP17" s="2">
        <v>0.2350402634580924</v>
      </c>
      <c r="BQ17" s="2">
        <v>0.18563568748980469</v>
      </c>
      <c r="BR17" s="2">
        <v>0.4198636650683783</v>
      </c>
      <c r="BS17" s="2">
        <v>0.4207304883918811</v>
      </c>
      <c r="BT17" s="2">
        <v>0.32715550424369122</v>
      </c>
      <c r="BU17" s="2">
        <v>-0.13352394767394049</v>
      </c>
      <c r="BV17" s="2">
        <v>0.50237851529505451</v>
      </c>
      <c r="BW17" s="2">
        <v>0.50032762649576312</v>
      </c>
      <c r="BX17" s="2">
        <v>0.18873329702191921</v>
      </c>
      <c r="BY17" s="2">
        <v>0.2422955091583496</v>
      </c>
      <c r="BZ17" s="2">
        <v>0.18873329702191921</v>
      </c>
      <c r="CA17" s="2">
        <v>0.38154073683319578</v>
      </c>
      <c r="CB17" s="2">
        <v>0.18873329702191921</v>
      </c>
      <c r="CC17" s="2">
        <v>0.2422955091583496</v>
      </c>
      <c r="CD17" s="2">
        <v>0.38154073683319578</v>
      </c>
      <c r="CE17" s="2">
        <v>0.36675299077774431</v>
      </c>
      <c r="CF17" s="2">
        <v>0.2648515991500956</v>
      </c>
      <c r="CG17" s="2">
        <v>-6.3295397522322494E-2</v>
      </c>
      <c r="CH17" s="2">
        <v>0.45475737896825269</v>
      </c>
      <c r="CI17" s="2">
        <v>0.46352345182633498</v>
      </c>
      <c r="CJ17" s="2">
        <v>352.63786956994193</v>
      </c>
      <c r="CK17" s="2">
        <v>-3.669539671820043E-3</v>
      </c>
      <c r="CL17" s="2">
        <v>352.63786956994193</v>
      </c>
      <c r="CM17" s="2">
        <v>15.7569056013627</v>
      </c>
      <c r="CN17" s="2">
        <v>352.63786956994193</v>
      </c>
      <c r="CO17" s="2">
        <v>-3.669539671820043E-3</v>
      </c>
      <c r="CP17" s="2">
        <v>15.7569056013627</v>
      </c>
      <c r="CQ17" s="2">
        <v>16.15031010992066</v>
      </c>
      <c r="CR17" s="2">
        <v>387.33083408081723</v>
      </c>
      <c r="CS17" s="2">
        <v>-0.10241183233297391</v>
      </c>
      <c r="CT17" s="2">
        <v>16.46557846671163</v>
      </c>
      <c r="CU17" s="2">
        <v>16.307772431490228</v>
      </c>
    </row>
    <row r="18" spans="1:99" x14ac:dyDescent="0.3">
      <c r="A18" s="3">
        <v>46067.769907407397</v>
      </c>
      <c r="B18" s="4" t="s">
        <v>149</v>
      </c>
      <c r="C18" s="4">
        <v>2</v>
      </c>
      <c r="D18" s="4" t="s">
        <v>125</v>
      </c>
      <c r="E18" s="4" t="s">
        <v>102</v>
      </c>
      <c r="F18" s="4">
        <v>16590</v>
      </c>
      <c r="G18" s="4">
        <v>4.5</v>
      </c>
      <c r="H18" s="4" t="s">
        <v>140</v>
      </c>
      <c r="I18" s="4" t="s">
        <v>104</v>
      </c>
      <c r="J18" s="4">
        <v>5</v>
      </c>
      <c r="K18" s="4">
        <v>5</v>
      </c>
      <c r="L18" s="4" t="s">
        <v>105</v>
      </c>
      <c r="M18" s="4" t="s">
        <v>106</v>
      </c>
      <c r="N18" s="4" t="s">
        <v>107</v>
      </c>
      <c r="O18" s="4" t="s">
        <v>107</v>
      </c>
      <c r="P18" s="4" t="s">
        <v>108</v>
      </c>
      <c r="Q18" s="4" t="s">
        <v>146</v>
      </c>
      <c r="R18" s="4">
        <v>2</v>
      </c>
      <c r="S18" s="4" t="s">
        <v>120</v>
      </c>
      <c r="T18" s="4" t="s">
        <v>129</v>
      </c>
      <c r="U18" s="4" t="s">
        <v>142</v>
      </c>
      <c r="V18" s="4" t="s">
        <v>143</v>
      </c>
      <c r="W18" s="4" t="s">
        <v>144</v>
      </c>
      <c r="X18" s="4" t="s">
        <v>107</v>
      </c>
      <c r="Y18" s="4" t="s">
        <v>115</v>
      </c>
      <c r="Z18" s="4">
        <v>4000</v>
      </c>
      <c r="AA18" s="4">
        <v>4000</v>
      </c>
      <c r="AB18" s="4"/>
      <c r="AC18" s="4">
        <v>128</v>
      </c>
      <c r="AD18" s="4" t="s">
        <v>116</v>
      </c>
      <c r="AE18" s="4">
        <v>0.15</v>
      </c>
      <c r="AF18" s="4">
        <v>200</v>
      </c>
      <c r="AG18" s="4">
        <v>80</v>
      </c>
      <c r="AH18" s="4">
        <v>120</v>
      </c>
      <c r="AI18" s="4">
        <v>0.17881439815959441</v>
      </c>
      <c r="AJ18" s="4">
        <v>68.511719115736412</v>
      </c>
      <c r="AK18" s="4">
        <v>0.46570697187315357</v>
      </c>
      <c r="AL18" s="4">
        <v>-1.5318314722045151E-2</v>
      </c>
      <c r="AM18" s="4">
        <v>75.281779116326149</v>
      </c>
      <c r="AN18" s="4">
        <v>0.3917878019175145</v>
      </c>
      <c r="AO18" s="4">
        <v>75.281779116326149</v>
      </c>
      <c r="AP18" s="4">
        <v>14.156126402968409</v>
      </c>
      <c r="AQ18" s="4">
        <v>75.281779116326149</v>
      </c>
      <c r="AR18" s="4">
        <v>14.156126402968409</v>
      </c>
      <c r="AS18" s="4">
        <v>13.823298942743889</v>
      </c>
      <c r="AT18" s="4">
        <v>0.3917878019175145</v>
      </c>
      <c r="AU18" s="4">
        <v>95.651679710757421</v>
      </c>
      <c r="AV18" s="4">
        <v>16.507247953211859</v>
      </c>
      <c r="AW18" s="4">
        <v>16.60523368264024</v>
      </c>
      <c r="AX18" s="4">
        <v>-0.13824388211719149</v>
      </c>
      <c r="AY18" s="4">
        <v>0.5714285714285714</v>
      </c>
      <c r="AZ18" s="4">
        <v>5.6907414415609842E-2</v>
      </c>
      <c r="BA18" s="4">
        <v>0.58677859241545716</v>
      </c>
      <c r="BB18" s="4">
        <v>5.6907414415609842E-2</v>
      </c>
      <c r="BC18" s="4">
        <v>0.17150247727805751</v>
      </c>
      <c r="BD18" s="4">
        <v>5.6907414415609842E-2</v>
      </c>
      <c r="BE18" s="4">
        <v>0.58677859241545716</v>
      </c>
      <c r="BF18" s="4">
        <v>0.17150247727805751</v>
      </c>
      <c r="BG18" s="4">
        <v>0.16196796239678241</v>
      </c>
      <c r="BH18" s="4">
        <v>0.18419834792074119</v>
      </c>
      <c r="BI18" s="4">
        <v>-0.33751816673079382</v>
      </c>
      <c r="BJ18" s="4">
        <v>0.35066376902282947</v>
      </c>
      <c r="BK18" s="4">
        <v>0.34895546901523378</v>
      </c>
      <c r="BL18" s="4">
        <v>0.16095078102650071</v>
      </c>
      <c r="BM18" s="4">
        <v>0.44233991993463101</v>
      </c>
      <c r="BN18" s="4">
        <v>0.16095078102650071</v>
      </c>
      <c r="BO18" s="4">
        <v>0.34152165108823729</v>
      </c>
      <c r="BP18" s="4">
        <v>0.16095078102650071</v>
      </c>
      <c r="BQ18" s="4">
        <v>0.44233991993463101</v>
      </c>
      <c r="BR18" s="4">
        <v>0.34152165108823729</v>
      </c>
      <c r="BS18" s="4">
        <v>0.34087283869063378</v>
      </c>
      <c r="BT18" s="4">
        <v>0.30014828647057468</v>
      </c>
      <c r="BU18" s="4">
        <v>-3.9949706345970608E-2</v>
      </c>
      <c r="BV18" s="4">
        <v>0.48452374410739202</v>
      </c>
      <c r="BW18" s="4">
        <v>0.49539134685147751</v>
      </c>
      <c r="BX18" s="4">
        <v>0.15093495391484699</v>
      </c>
      <c r="BY18" s="4">
        <v>0.39404390104531972</v>
      </c>
      <c r="BZ18" s="4">
        <v>0.15093495391484699</v>
      </c>
      <c r="CA18" s="4">
        <v>0.32492059852713789</v>
      </c>
      <c r="CB18" s="4">
        <v>0.15093495391484699</v>
      </c>
      <c r="CC18" s="4">
        <v>0.39404390104531972</v>
      </c>
      <c r="CD18" s="4">
        <v>0.32492059852713789</v>
      </c>
      <c r="CE18" s="4">
        <v>0.32058621546745919</v>
      </c>
      <c r="CF18" s="4">
        <v>0.27117748856406509</v>
      </c>
      <c r="CG18" s="4">
        <v>-8.8691842628538575E-2</v>
      </c>
      <c r="CH18" s="4">
        <v>0.45906197648109598</v>
      </c>
      <c r="CI18" s="4">
        <v>0.48770355124299608</v>
      </c>
      <c r="CJ18" s="4">
        <v>300.75832331594751</v>
      </c>
      <c r="CK18" s="4">
        <v>0.14398879427464781</v>
      </c>
      <c r="CL18" s="4">
        <v>300.75832331594751</v>
      </c>
      <c r="CM18" s="4">
        <v>14.118392952522971</v>
      </c>
      <c r="CN18" s="4">
        <v>300.75832331594751</v>
      </c>
      <c r="CO18" s="4">
        <v>0.14398879427464781</v>
      </c>
      <c r="CP18" s="4">
        <v>14.118392952522971</v>
      </c>
      <c r="CQ18" s="4">
        <v>13.782777636989961</v>
      </c>
      <c r="CR18" s="4">
        <v>381.85119472007449</v>
      </c>
      <c r="CS18" s="4">
        <v>-8.6815812763460842E-2</v>
      </c>
      <c r="CT18" s="4">
        <v>16.44276664456601</v>
      </c>
      <c r="CU18" s="4">
        <v>16.536155706546609</v>
      </c>
    </row>
    <row r="19" spans="1:99" x14ac:dyDescent="0.3">
      <c r="A19" s="5">
        <v>46067.7262962963</v>
      </c>
      <c r="B19" s="6" t="s">
        <v>150</v>
      </c>
      <c r="C19" s="6">
        <v>2</v>
      </c>
      <c r="D19" s="6" t="s">
        <v>118</v>
      </c>
      <c r="E19" s="6" t="s">
        <v>102</v>
      </c>
      <c r="F19" s="6">
        <v>16590</v>
      </c>
      <c r="G19" s="6">
        <v>4.5</v>
      </c>
      <c r="H19" s="6" t="s">
        <v>140</v>
      </c>
      <c r="I19" s="6" t="s">
        <v>104</v>
      </c>
      <c r="J19" s="6">
        <v>5</v>
      </c>
      <c r="K19" s="6">
        <v>5</v>
      </c>
      <c r="L19" s="6" t="s">
        <v>105</v>
      </c>
      <c r="M19" s="6" t="s">
        <v>106</v>
      </c>
      <c r="N19" s="6" t="s">
        <v>107</v>
      </c>
      <c r="O19" s="6" t="s">
        <v>107</v>
      </c>
      <c r="P19" s="6" t="s">
        <v>108</v>
      </c>
      <c r="Q19" s="6" t="s">
        <v>141</v>
      </c>
      <c r="R19" s="6">
        <v>2</v>
      </c>
      <c r="S19" s="6" t="s">
        <v>110</v>
      </c>
      <c r="T19" s="6" t="s">
        <v>129</v>
      </c>
      <c r="U19" s="6" t="s">
        <v>142</v>
      </c>
      <c r="V19" s="6" t="s">
        <v>143</v>
      </c>
      <c r="W19" s="6" t="s">
        <v>144</v>
      </c>
      <c r="X19" s="6" t="s">
        <v>107</v>
      </c>
      <c r="Y19" s="6" t="s">
        <v>115</v>
      </c>
      <c r="Z19" s="6">
        <v>4000</v>
      </c>
      <c r="AA19" s="6">
        <v>4000</v>
      </c>
      <c r="AB19" s="6"/>
      <c r="AC19" s="6">
        <v>128</v>
      </c>
      <c r="AD19" s="6" t="s">
        <v>116</v>
      </c>
      <c r="AE19" s="6">
        <v>0.15</v>
      </c>
      <c r="AF19" s="6">
        <v>240</v>
      </c>
      <c r="AG19" s="6">
        <v>120</v>
      </c>
      <c r="AH19" s="6">
        <v>120</v>
      </c>
      <c r="AI19" s="6">
        <v>0.19665544721145389</v>
      </c>
      <c r="AJ19" s="6">
        <v>56.574486762793583</v>
      </c>
      <c r="AK19" s="6">
        <v>0.4423500846274816</v>
      </c>
      <c r="AL19" s="6">
        <v>5.930474091176649E-2</v>
      </c>
      <c r="AM19" s="6">
        <v>62.848431892309947</v>
      </c>
      <c r="AN19" s="6">
        <v>0.37005034390711827</v>
      </c>
      <c r="AO19" s="6">
        <v>62.848431892309947</v>
      </c>
      <c r="AP19" s="6">
        <v>12.71151222027806</v>
      </c>
      <c r="AQ19" s="6">
        <v>62.848431892309947</v>
      </c>
      <c r="AR19" s="6">
        <v>12.71151222027806</v>
      </c>
      <c r="AS19" s="6">
        <v>12.35133216811235</v>
      </c>
      <c r="AT19" s="6">
        <v>0.37005034390711827</v>
      </c>
      <c r="AU19" s="6">
        <v>98.819562152282131</v>
      </c>
      <c r="AV19" s="6">
        <v>16.804734741471741</v>
      </c>
      <c r="AW19" s="6">
        <v>16.555387886816881</v>
      </c>
      <c r="AX19" s="6">
        <v>-7.4239685185245041E-3</v>
      </c>
      <c r="AY19" s="6">
        <v>0.5714285714285714</v>
      </c>
      <c r="AZ19" s="6">
        <v>6.7479497018011897E-2</v>
      </c>
      <c r="BA19" s="6">
        <v>0.5100116034575769</v>
      </c>
      <c r="BB19" s="6">
        <v>6.7479497018011897E-2</v>
      </c>
      <c r="BC19" s="6">
        <v>0.19009172612408659</v>
      </c>
      <c r="BD19" s="6">
        <v>6.7479497018011897E-2</v>
      </c>
      <c r="BE19" s="6">
        <v>0.5100116034575769</v>
      </c>
      <c r="BF19" s="6">
        <v>0.19009172612408659</v>
      </c>
      <c r="BG19" s="6">
        <v>0.1771800483907286</v>
      </c>
      <c r="BH19" s="6">
        <v>0.13928708050591801</v>
      </c>
      <c r="BI19" s="6">
        <v>-1.140429689262246E-2</v>
      </c>
      <c r="BJ19" s="6">
        <v>0.29903833814231279</v>
      </c>
      <c r="BK19" s="6">
        <v>0.27008533428034232</v>
      </c>
      <c r="BL19" s="6">
        <v>0.1889205004704862</v>
      </c>
      <c r="BM19" s="6">
        <v>0.34543081589014252</v>
      </c>
      <c r="BN19" s="6">
        <v>0.1889205004704862</v>
      </c>
      <c r="BO19" s="6">
        <v>0.37392346461705389</v>
      </c>
      <c r="BP19" s="6">
        <v>0.1889205004704862</v>
      </c>
      <c r="BQ19" s="6">
        <v>0.34543081589014252</v>
      </c>
      <c r="BR19" s="6">
        <v>0.37392346461705389</v>
      </c>
      <c r="BS19" s="6">
        <v>0.37316263442532238</v>
      </c>
      <c r="BT19" s="6">
        <v>0.2763323812464562</v>
      </c>
      <c r="BU19" s="6">
        <v>4.2567318606672511E-2</v>
      </c>
      <c r="BV19" s="6">
        <v>0.46502152822439191</v>
      </c>
      <c r="BW19" s="6">
        <v>0.45832922613657168</v>
      </c>
      <c r="BX19" s="6">
        <v>0.1646277885037907</v>
      </c>
      <c r="BY19" s="6">
        <v>0.339071501240374</v>
      </c>
      <c r="BZ19" s="6">
        <v>0.1646277885037907</v>
      </c>
      <c r="CA19" s="6">
        <v>0.35290667438605311</v>
      </c>
      <c r="CB19" s="6">
        <v>0.1646277885037907</v>
      </c>
      <c r="CC19" s="6">
        <v>0.339071501240374</v>
      </c>
      <c r="CD19" s="6">
        <v>0.35290667438605311</v>
      </c>
      <c r="CE19" s="6">
        <v>0.36357831712893479</v>
      </c>
      <c r="CF19" s="6">
        <v>0.23356136481060971</v>
      </c>
      <c r="CG19" s="6">
        <v>6.2324996189989101E-2</v>
      </c>
      <c r="CH19" s="6">
        <v>0.42749130319965861</v>
      </c>
      <c r="CI19" s="6">
        <v>0.42350674287407741</v>
      </c>
      <c r="CJ19" s="6">
        <v>250.97269978324709</v>
      </c>
      <c r="CK19" s="6">
        <v>0.28568745504037513</v>
      </c>
      <c r="CL19" s="6">
        <v>250.97269978324709</v>
      </c>
      <c r="CM19" s="6">
        <v>12.665364316334029</v>
      </c>
      <c r="CN19" s="6">
        <v>250.97269978324709</v>
      </c>
      <c r="CO19" s="6">
        <v>0.28568745504037513</v>
      </c>
      <c r="CP19" s="6">
        <v>12.665364316334029</v>
      </c>
      <c r="CQ19" s="6">
        <v>12.30287263503968</v>
      </c>
      <c r="CR19" s="6">
        <v>394.62906778256581</v>
      </c>
      <c r="CS19" s="6">
        <v>-0.1231838919781407</v>
      </c>
      <c r="CT19" s="6">
        <v>16.74921907623262</v>
      </c>
      <c r="CU19" s="6">
        <v>16.501371168578871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B1E0-6FE3-4331-A1F6-FAE671DC68CA}">
  <dimension ref="A3:I31"/>
  <sheetViews>
    <sheetView workbookViewId="0">
      <selection activeCell="D50" sqref="D50"/>
    </sheetView>
  </sheetViews>
  <sheetFormatPr baseColWidth="10" defaultRowHeight="14.4" x14ac:dyDescent="0.3"/>
  <cols>
    <col min="1" max="1" width="17.109375" bestFit="1" customWidth="1"/>
    <col min="2" max="2" width="29.44140625" bestFit="1" customWidth="1"/>
    <col min="3" max="3" width="30.6640625" bestFit="1" customWidth="1"/>
    <col min="4" max="4" width="25.44140625" bestFit="1" customWidth="1"/>
    <col min="5" max="5" width="26.6640625" bestFit="1" customWidth="1"/>
    <col min="6" max="6" width="39" bestFit="1" customWidth="1"/>
    <col min="7" max="7" width="38.5546875" bestFit="1" customWidth="1"/>
    <col min="8" max="8" width="34.44140625" bestFit="1" customWidth="1"/>
    <col min="9" max="9" width="35.6640625" bestFit="1" customWidth="1"/>
  </cols>
  <sheetData>
    <row r="3" spans="1:9" x14ac:dyDescent="0.3">
      <c r="A3" s="8" t="s">
        <v>151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H3" t="s">
        <v>159</v>
      </c>
      <c r="I3" t="s">
        <v>160</v>
      </c>
    </row>
    <row r="4" spans="1:9" x14ac:dyDescent="0.3">
      <c r="A4" s="9">
        <v>1</v>
      </c>
      <c r="B4" s="12">
        <v>0.14505186678351076</v>
      </c>
      <c r="C4" s="12">
        <v>-4.929377270538976E-2</v>
      </c>
      <c r="D4" s="12">
        <v>0.15563792874244567</v>
      </c>
      <c r="E4" s="12">
        <v>-5.9841462023165058E-2</v>
      </c>
      <c r="F4" s="12">
        <v>5.2189345672734771E-3</v>
      </c>
      <c r="G4" s="12">
        <v>0.16819411728042213</v>
      </c>
      <c r="H4" s="12">
        <v>0.26343607339555114</v>
      </c>
      <c r="I4" s="12">
        <v>0.18570258972653741</v>
      </c>
    </row>
    <row r="5" spans="1:9" x14ac:dyDescent="0.3">
      <c r="A5" s="10" t="s">
        <v>120</v>
      </c>
      <c r="B5" s="12">
        <v>9.7725612734758369E-2</v>
      </c>
      <c r="C5" s="12">
        <v>-2.2272655367799959E-2</v>
      </c>
      <c r="D5" s="12">
        <v>0.11542994247016412</v>
      </c>
      <c r="E5" s="12">
        <v>-3.2892321115208345E-2</v>
      </c>
      <c r="F5" s="12">
        <v>-5.5690482360340576E-2</v>
      </c>
      <c r="G5" s="12">
        <v>0.12389086781708891</v>
      </c>
      <c r="H5" s="12">
        <v>0.19496428161006799</v>
      </c>
      <c r="I5" s="12">
        <v>0.19855510281384162</v>
      </c>
    </row>
    <row r="6" spans="1:9" x14ac:dyDescent="0.3">
      <c r="A6" s="11">
        <v>0</v>
      </c>
      <c r="B6" s="12">
        <v>0.13105388920450001</v>
      </c>
      <c r="C6" s="12">
        <v>4.0213310068087094E-3</v>
      </c>
      <c r="D6" s="12">
        <v>0.13861833231825119</v>
      </c>
      <c r="E6" s="12">
        <v>3.6391180311094729E-3</v>
      </c>
      <c r="F6" s="12">
        <v>-9.2021768674090065E-2</v>
      </c>
      <c r="G6" s="12">
        <v>0.21177677550365531</v>
      </c>
      <c r="H6" s="12">
        <v>0.24240262286153791</v>
      </c>
      <c r="I6" s="12">
        <v>0.19231569958189851</v>
      </c>
    </row>
    <row r="7" spans="1:9" x14ac:dyDescent="0.3">
      <c r="A7" s="11">
        <v>1</v>
      </c>
      <c r="B7" s="12">
        <v>7.8687342227968332E-2</v>
      </c>
      <c r="C7" s="12">
        <v>-1.533021635719531E-2</v>
      </c>
      <c r="D7" s="12">
        <v>0.1063864193223809</v>
      </c>
      <c r="E7" s="12">
        <v>-3.9327580057704009E-2</v>
      </c>
      <c r="F7" s="12">
        <v>-1.4280460301132609E-3</v>
      </c>
      <c r="G7" s="12">
        <v>5.3316132345278433E-2</v>
      </c>
      <c r="H7" s="12">
        <v>0.1605051425501626</v>
      </c>
      <c r="I7" s="12">
        <v>0.2131524484241967</v>
      </c>
    </row>
    <row r="8" spans="1:9" x14ac:dyDescent="0.3">
      <c r="A8" s="11">
        <v>2</v>
      </c>
      <c r="B8" s="12">
        <v>8.3435606771806753E-2</v>
      </c>
      <c r="C8" s="12">
        <v>-5.5509080753013279E-2</v>
      </c>
      <c r="D8" s="12">
        <v>0.1012850757698603</v>
      </c>
      <c r="E8" s="12">
        <v>-6.2988501319030499E-2</v>
      </c>
      <c r="F8" s="12">
        <v>-7.3621632376818402E-2</v>
      </c>
      <c r="G8" s="12">
        <v>0.106579695602333</v>
      </c>
      <c r="H8" s="12">
        <v>0.1819850794185035</v>
      </c>
      <c r="I8" s="12">
        <v>0.19019716043542961</v>
      </c>
    </row>
    <row r="9" spans="1:9" x14ac:dyDescent="0.3">
      <c r="A9" s="10" t="s">
        <v>110</v>
      </c>
      <c r="B9" s="12">
        <v>0.19237812083226313</v>
      </c>
      <c r="C9" s="12">
        <v>-7.6314890042979547E-2</v>
      </c>
      <c r="D9" s="12">
        <v>0.19584591501472723</v>
      </c>
      <c r="E9" s="12">
        <v>-8.6790602931121771E-2</v>
      </c>
      <c r="F9" s="12">
        <v>6.6128351494887536E-2</v>
      </c>
      <c r="G9" s="12">
        <v>0.21249736674375533</v>
      </c>
      <c r="H9" s="12">
        <v>0.33190786518103438</v>
      </c>
      <c r="I9" s="12">
        <v>0.17285007663923321</v>
      </c>
    </row>
    <row r="10" spans="1:9" x14ac:dyDescent="0.3">
      <c r="A10" s="11">
        <v>0</v>
      </c>
      <c r="B10" s="12">
        <v>0.23200127258511621</v>
      </c>
      <c r="C10" s="12">
        <v>-1.9756046896128861E-2</v>
      </c>
      <c r="D10" s="12">
        <v>0.22709376558516611</v>
      </c>
      <c r="E10" s="12">
        <v>-4.1749496650150708E-2</v>
      </c>
      <c r="F10" s="12">
        <v>8.451233064033381E-2</v>
      </c>
      <c r="G10" s="12">
        <v>0.2788996393295774</v>
      </c>
      <c r="H10" s="12">
        <v>0.38926014310476759</v>
      </c>
      <c r="I10" s="12">
        <v>0.1557029492659876</v>
      </c>
    </row>
    <row r="11" spans="1:9" x14ac:dyDescent="0.3">
      <c r="A11" s="11">
        <v>1</v>
      </c>
      <c r="B11" s="12">
        <v>0.19632256454942909</v>
      </c>
      <c r="C11" s="12">
        <v>-4.4066545366980681E-2</v>
      </c>
      <c r="D11" s="12">
        <v>0.20877257951486219</v>
      </c>
      <c r="E11" s="12">
        <v>-8.8511103232544686E-2</v>
      </c>
      <c r="F11" s="12">
        <v>6.3007014372988945E-2</v>
      </c>
      <c r="G11" s="12">
        <v>0.22666555200289151</v>
      </c>
      <c r="H11" s="12">
        <v>0.35658754423259842</v>
      </c>
      <c r="I11" s="12">
        <v>0.1888302074509717</v>
      </c>
    </row>
    <row r="12" spans="1:9" x14ac:dyDescent="0.3">
      <c r="A12" s="11">
        <v>2</v>
      </c>
      <c r="B12" s="12">
        <v>0.14881052536224409</v>
      </c>
      <c r="C12" s="12">
        <v>-0.16512207786582911</v>
      </c>
      <c r="D12" s="12">
        <v>0.15167139994415341</v>
      </c>
      <c r="E12" s="12">
        <v>-0.13011120891066991</v>
      </c>
      <c r="F12" s="12">
        <v>5.0865709471339837E-2</v>
      </c>
      <c r="G12" s="12">
        <v>0.1319269088987971</v>
      </c>
      <c r="H12" s="12">
        <v>0.24987590820573699</v>
      </c>
      <c r="I12" s="12">
        <v>0.17401707320074039</v>
      </c>
    </row>
    <row r="13" spans="1:9" x14ac:dyDescent="0.3">
      <c r="A13" s="9">
        <v>2</v>
      </c>
      <c r="B13" s="12">
        <v>0.43463659702488538</v>
      </c>
      <c r="C13" s="12">
        <v>-3.0872793476862351E-2</v>
      </c>
      <c r="D13" s="12">
        <v>0.37386716137221226</v>
      </c>
      <c r="E13" s="12">
        <v>-6.8349310260030313E-2</v>
      </c>
      <c r="F13" s="12">
        <v>0.52670049304985689</v>
      </c>
      <c r="G13" s="12">
        <v>0.39523622013513426</v>
      </c>
      <c r="H13" s="12">
        <v>0.41839888442999823</v>
      </c>
      <c r="I13" s="12">
        <v>0.15513304787385962</v>
      </c>
    </row>
    <row r="14" spans="1:9" x14ac:dyDescent="0.3">
      <c r="A14" s="10" t="s">
        <v>120</v>
      </c>
      <c r="B14" s="12">
        <v>0.38791901818125546</v>
      </c>
      <c r="C14" s="12">
        <v>-4.8207421673506216E-2</v>
      </c>
      <c r="D14" s="12">
        <v>0.33092422624809137</v>
      </c>
      <c r="E14" s="12">
        <v>-8.7757246613722528E-2</v>
      </c>
      <c r="F14" s="12">
        <v>0.5230527659005958</v>
      </c>
      <c r="G14" s="12">
        <v>0.31216349901342727</v>
      </c>
      <c r="H14" s="12">
        <v>0.38690545434723572</v>
      </c>
      <c r="I14" s="12">
        <v>0.10157518573111017</v>
      </c>
    </row>
    <row r="15" spans="1:9" x14ac:dyDescent="0.3">
      <c r="A15" s="11">
        <v>0</v>
      </c>
      <c r="B15" s="12">
        <v>0.45032852521990258</v>
      </c>
      <c r="C15" s="12">
        <v>-5.0427303326677282E-2</v>
      </c>
      <c r="D15" s="12">
        <v>0.38541624771921468</v>
      </c>
      <c r="E15" s="12">
        <v>-5.7294218175265872E-2</v>
      </c>
      <c r="F15" s="12">
        <v>0.54436684583248018</v>
      </c>
      <c r="G15" s="12">
        <v>0.30851488961584611</v>
      </c>
      <c r="H15" s="12">
        <v>0.52437695283803776</v>
      </c>
      <c r="I15" s="12">
        <v>0.16440630259050271</v>
      </c>
    </row>
    <row r="16" spans="1:9" x14ac:dyDescent="0.3">
      <c r="A16" s="11">
        <v>1</v>
      </c>
      <c r="B16" s="12">
        <v>0.2477215574507102</v>
      </c>
      <c r="C16" s="12">
        <v>-7.8876646971796222E-2</v>
      </c>
      <c r="D16" s="12">
        <v>0.2155686291075449</v>
      </c>
      <c r="E16" s="12">
        <v>-6.7733639548710201E-2</v>
      </c>
      <c r="F16" s="12">
        <v>0.43801285945385021</v>
      </c>
      <c r="G16" s="12">
        <v>0.18563568748980469</v>
      </c>
      <c r="H16" s="12">
        <v>0.2422955091583496</v>
      </c>
      <c r="I16" s="12">
        <v>-3.669539671820043E-3</v>
      </c>
    </row>
    <row r="17" spans="1:9" x14ac:dyDescent="0.3">
      <c r="A17" s="11">
        <v>2</v>
      </c>
      <c r="B17" s="12">
        <v>0.46570697187315357</v>
      </c>
      <c r="C17" s="12">
        <v>-1.5318314722045151E-2</v>
      </c>
      <c r="D17" s="12">
        <v>0.3917878019175145</v>
      </c>
      <c r="E17" s="12">
        <v>-0.13824388211719149</v>
      </c>
      <c r="F17" s="12">
        <v>0.58677859241545716</v>
      </c>
      <c r="G17" s="12">
        <v>0.44233991993463101</v>
      </c>
      <c r="H17" s="12">
        <v>0.39404390104531972</v>
      </c>
      <c r="I17" s="12">
        <v>0.14398879427464781</v>
      </c>
    </row>
    <row r="18" spans="1:9" x14ac:dyDescent="0.3">
      <c r="A18" s="10" t="s">
        <v>110</v>
      </c>
      <c r="B18" s="12">
        <v>0.48135417586851537</v>
      </c>
      <c r="C18" s="12">
        <v>-1.3538165280218487E-2</v>
      </c>
      <c r="D18" s="12">
        <v>0.4168100964963331</v>
      </c>
      <c r="E18" s="12">
        <v>-4.8941373906338091E-2</v>
      </c>
      <c r="F18" s="12">
        <v>0.53034822019911809</v>
      </c>
      <c r="G18" s="12">
        <v>0.47830894125684115</v>
      </c>
      <c r="H18" s="12">
        <v>0.44989231451276085</v>
      </c>
      <c r="I18" s="12">
        <v>0.20869091001660903</v>
      </c>
    </row>
    <row r="19" spans="1:9" x14ac:dyDescent="0.3">
      <c r="A19" s="11">
        <v>0</v>
      </c>
      <c r="B19" s="12">
        <v>0.51430011788560537</v>
      </c>
      <c r="C19" s="12">
        <v>-6.4581655494265255E-2</v>
      </c>
      <c r="D19" s="12">
        <v>0.46132363377535007</v>
      </c>
      <c r="E19" s="12">
        <v>-8.2759795501815669E-2</v>
      </c>
      <c r="F19" s="12">
        <v>0.70575493943735723</v>
      </c>
      <c r="G19" s="12">
        <v>0.4745744848972302</v>
      </c>
      <c r="H19" s="12">
        <v>0.52367450792230841</v>
      </c>
      <c r="I19" s="12">
        <v>0.14129060284450329</v>
      </c>
    </row>
    <row r="20" spans="1:9" x14ac:dyDescent="0.3">
      <c r="A20" s="11">
        <v>1</v>
      </c>
      <c r="B20" s="12">
        <v>0.48741232509245902</v>
      </c>
      <c r="C20" s="12">
        <v>-3.5337581258156697E-2</v>
      </c>
      <c r="D20" s="12">
        <v>0.41905631180653108</v>
      </c>
      <c r="E20" s="12">
        <v>-5.6640357698674093E-2</v>
      </c>
      <c r="F20" s="12">
        <v>0.37527811770242009</v>
      </c>
      <c r="G20" s="12">
        <v>0.61492152298315084</v>
      </c>
      <c r="H20" s="12">
        <v>0.48693093437560009</v>
      </c>
      <c r="I20" s="12">
        <v>0.19909467216494869</v>
      </c>
    </row>
    <row r="21" spans="1:9" x14ac:dyDescent="0.3">
      <c r="A21" s="11">
        <v>2</v>
      </c>
      <c r="B21" s="12">
        <v>0.4423500846274816</v>
      </c>
      <c r="C21" s="12">
        <v>5.930474091176649E-2</v>
      </c>
      <c r="D21" s="12">
        <v>0.37005034390711827</v>
      </c>
      <c r="E21" s="12">
        <v>-7.4239685185245041E-3</v>
      </c>
      <c r="F21" s="12">
        <v>0.5100116034575769</v>
      </c>
      <c r="G21" s="12">
        <v>0.34543081589014252</v>
      </c>
      <c r="H21" s="12">
        <v>0.339071501240374</v>
      </c>
      <c r="I21" s="12">
        <v>0.28568745504037513</v>
      </c>
    </row>
    <row r="22" spans="1:9" x14ac:dyDescent="0.3">
      <c r="A22" s="9">
        <v>3</v>
      </c>
      <c r="B22" s="12">
        <v>0.54046943714431561</v>
      </c>
      <c r="C22" s="12">
        <v>-4.2088093731961408E-2</v>
      </c>
      <c r="D22" s="12">
        <v>0.51630166750071138</v>
      </c>
      <c r="E22" s="12">
        <v>-2.6949144533767642E-3</v>
      </c>
      <c r="F22" s="12">
        <v>0.32747939240547841</v>
      </c>
      <c r="G22" s="12">
        <v>0.44477458401161013</v>
      </c>
      <c r="H22" s="12">
        <v>0.68098116563880762</v>
      </c>
      <c r="I22" s="12">
        <v>0.61197152794695009</v>
      </c>
    </row>
    <row r="23" spans="1:9" x14ac:dyDescent="0.3">
      <c r="A23" s="10" t="s">
        <v>120</v>
      </c>
      <c r="B23" s="12">
        <v>0.54044870113794274</v>
      </c>
      <c r="C23" s="12">
        <v>-4.088955319115007E-2</v>
      </c>
      <c r="D23" s="12">
        <v>0.51630363377025135</v>
      </c>
      <c r="E23" s="12">
        <v>-2.8299744472829167E-3</v>
      </c>
      <c r="F23" s="12">
        <v>0.32748619147839486</v>
      </c>
      <c r="G23" s="12">
        <v>0.44476855632784229</v>
      </c>
      <c r="H23" s="12">
        <v>0.68127562782159767</v>
      </c>
      <c r="I23" s="12">
        <v>0.61168415945317256</v>
      </c>
    </row>
    <row r="24" spans="1:9" x14ac:dyDescent="0.3">
      <c r="A24" s="11">
        <v>0</v>
      </c>
      <c r="B24" s="12">
        <v>0.56542176008563116</v>
      </c>
      <c r="C24" s="12">
        <v>-0.19285026328619251</v>
      </c>
      <c r="D24" s="12">
        <v>0.53580485532298305</v>
      </c>
      <c r="E24" s="12">
        <v>-0.1189740873093813</v>
      </c>
      <c r="F24" s="12">
        <v>0.29587906647004558</v>
      </c>
      <c r="G24" s="12">
        <v>0.58331576624629489</v>
      </c>
      <c r="H24" s="12">
        <v>0.67391784910547492</v>
      </c>
      <c r="I24" s="12">
        <v>0.59010673947012648</v>
      </c>
    </row>
    <row r="25" spans="1:9" x14ac:dyDescent="0.3">
      <c r="A25" s="11">
        <v>1</v>
      </c>
      <c r="B25" s="12">
        <v>0.59636933958607474</v>
      </c>
      <c r="C25" s="12">
        <v>0.1017990385820456</v>
      </c>
      <c r="D25" s="12">
        <v>0.54463998527526292</v>
      </c>
      <c r="E25" s="12">
        <v>7.9451097334563014E-2</v>
      </c>
      <c r="F25" s="12">
        <v>0.38859191738877352</v>
      </c>
      <c r="G25" s="12">
        <v>0.45115812850334069</v>
      </c>
      <c r="H25" s="12">
        <v>0.70906434920880568</v>
      </c>
      <c r="I25" s="12">
        <v>0.629745546000131</v>
      </c>
    </row>
    <row r="26" spans="1:9" x14ac:dyDescent="0.3">
      <c r="A26" s="11">
        <v>2</v>
      </c>
      <c r="B26" s="12">
        <v>0.45955500374212238</v>
      </c>
      <c r="C26" s="12">
        <v>-3.1617434869303317E-2</v>
      </c>
      <c r="D26" s="12">
        <v>0.46846606071250801</v>
      </c>
      <c r="E26" s="12">
        <v>3.1033066632969539E-2</v>
      </c>
      <c r="F26" s="12">
        <v>0.29798759057636548</v>
      </c>
      <c r="G26" s="12">
        <v>0.29983177423389151</v>
      </c>
      <c r="H26" s="12">
        <v>0.66084468515051253</v>
      </c>
      <c r="I26" s="12">
        <v>0.61520019288926009</v>
      </c>
    </row>
    <row r="27" spans="1:9" x14ac:dyDescent="0.3">
      <c r="A27" s="10" t="s">
        <v>110</v>
      </c>
      <c r="B27" s="12">
        <v>0.54049017315068826</v>
      </c>
      <c r="C27" s="12">
        <v>-4.3286634272772739E-2</v>
      </c>
      <c r="D27" s="12">
        <v>0.5162997012311713</v>
      </c>
      <c r="E27" s="12">
        <v>-2.5598544594706099E-3</v>
      </c>
      <c r="F27" s="12">
        <v>0.32747259333256196</v>
      </c>
      <c r="G27" s="12">
        <v>0.4447806116953778</v>
      </c>
      <c r="H27" s="12">
        <v>0.68068670345601745</v>
      </c>
      <c r="I27" s="12">
        <v>0.61225889644072751</v>
      </c>
    </row>
    <row r="28" spans="1:9" x14ac:dyDescent="0.3">
      <c r="A28" s="11">
        <v>0</v>
      </c>
      <c r="B28" s="12">
        <v>0.56505726096630937</v>
      </c>
      <c r="C28" s="12">
        <v>-0.19482723524219431</v>
      </c>
      <c r="D28" s="12">
        <v>0.53606510197743928</v>
      </c>
      <c r="E28" s="12">
        <v>-0.1092486589059711</v>
      </c>
      <c r="F28" s="12">
        <v>0.29609045643658088</v>
      </c>
      <c r="G28" s="12">
        <v>0.5845299390762233</v>
      </c>
      <c r="H28" s="12">
        <v>0.67230288876546296</v>
      </c>
      <c r="I28" s="12">
        <v>0.5913371236314986</v>
      </c>
    </row>
    <row r="29" spans="1:9" x14ac:dyDescent="0.3">
      <c r="A29" s="11">
        <v>1</v>
      </c>
      <c r="B29" s="12">
        <v>0.5957725388853905</v>
      </c>
      <c r="C29" s="12">
        <v>0.1105295458879325</v>
      </c>
      <c r="D29" s="12">
        <v>0.54389670205838936</v>
      </c>
      <c r="E29" s="12">
        <v>8.1375450623105611E-2</v>
      </c>
      <c r="F29" s="12">
        <v>0.38883594514022818</v>
      </c>
      <c r="G29" s="12">
        <v>0.44889953510046771</v>
      </c>
      <c r="H29" s="12">
        <v>0.70942344357693787</v>
      </c>
      <c r="I29" s="12">
        <v>0.62842788441591213</v>
      </c>
    </row>
    <row r="30" spans="1:9" x14ac:dyDescent="0.3">
      <c r="A30" s="11">
        <v>2</v>
      </c>
      <c r="B30" s="12">
        <v>0.46064071960036479</v>
      </c>
      <c r="C30" s="12">
        <v>-4.5562213464056422E-2</v>
      </c>
      <c r="D30" s="12">
        <v>0.46893729965768521</v>
      </c>
      <c r="E30" s="12">
        <v>2.0193644904453661E-2</v>
      </c>
      <c r="F30" s="12">
        <v>0.29749137842087681</v>
      </c>
      <c r="G30" s="12">
        <v>0.30091236090944251</v>
      </c>
      <c r="H30" s="12">
        <v>0.66033377802565152</v>
      </c>
      <c r="I30" s="12">
        <v>0.61701168127477191</v>
      </c>
    </row>
    <row r="31" spans="1:9" x14ac:dyDescent="0.3">
      <c r="A31" s="9" t="s">
        <v>152</v>
      </c>
      <c r="B31" s="12">
        <v>0.37338596698423721</v>
      </c>
      <c r="C31" s="12">
        <v>-4.0751553304737828E-2</v>
      </c>
      <c r="D31" s="12">
        <v>0.34860225253845645</v>
      </c>
      <c r="E31" s="12">
        <v>-4.3628562245524041E-2</v>
      </c>
      <c r="F31" s="12">
        <v>0.2864662733408696</v>
      </c>
      <c r="G31" s="12">
        <v>0.33606830714238883</v>
      </c>
      <c r="H31" s="12">
        <v>0.45427204115478559</v>
      </c>
      <c r="I31" s="12">
        <v>0.31760238851578237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Main_results</vt:lpstr>
      <vt:lpstr>Analizer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2026-02-16T08:05:12Z</dcterms:created>
  <dcterms:modified xsi:type="dcterms:W3CDTF">2026-02-16T08:15:34Z</dcterms:modified>
</cp:coreProperties>
</file>